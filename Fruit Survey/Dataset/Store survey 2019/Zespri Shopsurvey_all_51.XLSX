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28"/>
  <workbookPr defaultThemeVersion="124226"/>
  <mc:AlternateContent xmlns:mc="http://schemas.openxmlformats.org/markup-compatibility/2006">
    <mc:Choice Requires="x15">
      <x15ac:absPath xmlns:x15ac="http://schemas.microsoft.com/office/spreadsheetml/2010/11/ac" url="C:\Users\aspeuser\AppData\Local\Microsoft\Windows\INetCache\Content.Outlook\DHSTKRWG\"/>
    </mc:Choice>
  </mc:AlternateContent>
  <xr:revisionPtr revIDLastSave="0" documentId="13_ncr:1_{9669AAC6-1034-47FD-931E-7F2E45B36302}"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fukuoka!$A$1:$BA$121</definedName>
    <definedName name="_xlnm._FilterDatabase" localSheetId="4" hidden="1">hiroshima!$A$1:$BA$79</definedName>
    <definedName name="_xlnm._FilterDatabase" localSheetId="1" hidden="1">miyagi!$A$1:$BA$297</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79" i="24" l="1"/>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21" i="22" l="1"/>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93" i="22"/>
  <c r="T93" i="22"/>
  <c r="Q93" i="22"/>
  <c r="V92" i="22"/>
  <c r="T92" i="22"/>
  <c r="Q92" i="22"/>
  <c r="V91" i="22"/>
  <c r="T91" i="22"/>
  <c r="Q91" i="22"/>
  <c r="V90" i="22"/>
  <c r="T90" i="22"/>
  <c r="Q90" i="22"/>
  <c r="V89" i="22"/>
  <c r="T89" i="22"/>
  <c r="Q89" i="22"/>
  <c r="V88" i="22"/>
  <c r="T88" i="22"/>
  <c r="Q88" i="22"/>
  <c r="V87" i="22"/>
  <c r="T87" i="22"/>
  <c r="Q87" i="22"/>
  <c r="V86" i="22"/>
  <c r="T86" i="22"/>
  <c r="Q86" i="22"/>
  <c r="V85" i="22"/>
  <c r="T85" i="22"/>
  <c r="Q85" i="22"/>
  <c r="V84" i="22"/>
  <c r="T84" i="22"/>
  <c r="Q84" i="22"/>
  <c r="V83" i="22"/>
  <c r="T83" i="22"/>
  <c r="Q83" i="22"/>
  <c r="V82" i="22"/>
  <c r="T82" i="22"/>
  <c r="Q82" i="22"/>
  <c r="V81" i="22"/>
  <c r="T81" i="22"/>
  <c r="Q81" i="22"/>
  <c r="V80" i="22"/>
  <c r="T80" i="22"/>
  <c r="Q80" i="22"/>
  <c r="V79" i="22"/>
  <c r="T79" i="22"/>
  <c r="Q79" i="22"/>
  <c r="V78" i="22"/>
  <c r="T78" i="22"/>
  <c r="Q78" i="22"/>
  <c r="V77" i="22"/>
  <c r="T77" i="22"/>
  <c r="Q77" i="22"/>
  <c r="V76" i="22"/>
  <c r="T76" i="22"/>
  <c r="Q76" i="22"/>
  <c r="V75" i="22"/>
  <c r="T75" i="22"/>
  <c r="Q75" i="22"/>
  <c r="V74" i="22"/>
  <c r="T74" i="22"/>
  <c r="Q74" i="22"/>
  <c r="V73" i="22"/>
  <c r="T73" i="22"/>
  <c r="Q73" i="22"/>
  <c r="V72" i="22"/>
  <c r="T72" i="22"/>
  <c r="Q72" i="22"/>
  <c r="V71" i="22"/>
  <c r="T71" i="22"/>
  <c r="Q71" i="22"/>
  <c r="V70" i="22"/>
  <c r="T70" i="22"/>
  <c r="Q7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c r="V79" i="21" s="1"/>
  <c r="Q79" i="21"/>
  <c r="T78" i="21"/>
  <c r="V78" i="21" s="1"/>
  <c r="Q78" i="21"/>
  <c r="T77" i="21"/>
  <c r="V77" i="21" s="1"/>
  <c r="Q77"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5" i="19" l="1"/>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297" i="18" l="1"/>
  <c r="T296" i="18"/>
  <c r="T295" i="18"/>
  <c r="T294" i="18"/>
  <c r="T293" i="18"/>
  <c r="T292" i="18"/>
  <c r="T291" i="18"/>
  <c r="T290" i="18"/>
  <c r="T289" i="18"/>
  <c r="T288" i="18"/>
  <c r="T287" i="18"/>
  <c r="T286" i="18"/>
  <c r="T285" i="18"/>
  <c r="T284" i="18"/>
  <c r="T283" i="18"/>
  <c r="T282" i="18"/>
  <c r="T281" i="18"/>
  <c r="T280" i="18"/>
  <c r="T279" i="18"/>
  <c r="T278" i="18"/>
  <c r="T277" i="18"/>
  <c r="V277" i="18" s="1"/>
  <c r="T276" i="18"/>
  <c r="V276" i="18" s="1"/>
  <c r="V275" i="18"/>
  <c r="T275" i="18"/>
  <c r="T274" i="18"/>
  <c r="V274" i="18" s="1"/>
  <c r="V273" i="18"/>
  <c r="T273" i="18"/>
  <c r="T272" i="18"/>
  <c r="V272" i="18" s="1"/>
  <c r="T271" i="18"/>
  <c r="V271" i="18" s="1"/>
  <c r="T270" i="18"/>
  <c r="V270" i="18" s="1"/>
  <c r="V269" i="18"/>
  <c r="T269" i="18"/>
  <c r="Q269" i="18"/>
  <c r="T268" i="18"/>
  <c r="V268" i="18" s="1"/>
  <c r="Q268" i="18"/>
  <c r="T267" i="18"/>
  <c r="V267" i="18" s="1"/>
  <c r="Q267" i="18"/>
  <c r="V266" i="18"/>
  <c r="T266" i="18"/>
  <c r="Q266" i="18"/>
  <c r="V265" i="18"/>
  <c r="T265" i="18"/>
  <c r="Q265" i="18"/>
  <c r="T264" i="18"/>
  <c r="V264" i="18" s="1"/>
  <c r="Q264" i="18"/>
  <c r="T263" i="18"/>
  <c r="V263" i="18" s="1"/>
  <c r="Q263" i="18"/>
  <c r="V262" i="18"/>
  <c r="T262" i="18"/>
  <c r="Q262" i="18"/>
  <c r="V261" i="18"/>
  <c r="T261" i="18"/>
  <c r="Q261" i="18"/>
  <c r="T260" i="18"/>
  <c r="V260" i="18" s="1"/>
  <c r="Q260" i="18"/>
  <c r="T259" i="18"/>
  <c r="V259" i="18" s="1"/>
  <c r="Q259" i="18"/>
  <c r="V258" i="18"/>
  <c r="T258" i="18"/>
  <c r="Q258" i="18"/>
  <c r="V257" i="18"/>
  <c r="T257" i="18"/>
  <c r="Q257" i="18"/>
  <c r="T256" i="18"/>
  <c r="V256" i="18" s="1"/>
  <c r="Q256" i="18"/>
  <c r="T255" i="18"/>
  <c r="V255" i="18" s="1"/>
  <c r="Q255" i="18"/>
  <c r="V254" i="18"/>
  <c r="T254" i="18"/>
  <c r="Q254" i="18"/>
  <c r="V253" i="18"/>
  <c r="T253" i="18"/>
  <c r="Q253" i="18"/>
  <c r="T252" i="18"/>
  <c r="V252" i="18" s="1"/>
  <c r="Q252" i="18"/>
  <c r="T251" i="18"/>
  <c r="V251" i="18" s="1"/>
  <c r="Q251" i="18"/>
  <c r="V250" i="18"/>
  <c r="T250" i="18"/>
  <c r="Q250" i="18"/>
  <c r="V249" i="18"/>
  <c r="T249" i="18"/>
  <c r="Q249" i="18"/>
  <c r="T248" i="18"/>
  <c r="V248" i="18" s="1"/>
  <c r="Q248" i="18"/>
  <c r="T247" i="18"/>
  <c r="V247" i="18" s="1"/>
  <c r="Q247" i="18"/>
  <c r="V246" i="18"/>
  <c r="T246" i="18"/>
  <c r="Q246" i="18"/>
  <c r="V245" i="18"/>
  <c r="T245" i="18"/>
  <c r="Q245" i="18"/>
  <c r="T244" i="18"/>
  <c r="V244" i="18" s="1"/>
  <c r="Q244" i="18"/>
  <c r="T243" i="18"/>
  <c r="V243" i="18" s="1"/>
  <c r="Q243" i="18"/>
  <c r="V242" i="18"/>
  <c r="T242" i="18"/>
  <c r="Q242" i="18"/>
  <c r="V241" i="18"/>
  <c r="T241" i="18"/>
  <c r="Q241" i="18"/>
  <c r="T240" i="18"/>
  <c r="V240" i="18" s="1"/>
  <c r="Q240" i="18"/>
  <c r="T239" i="18"/>
  <c r="V239" i="18" s="1"/>
  <c r="Q239" i="18"/>
  <c r="V238" i="18"/>
  <c r="T238" i="18"/>
  <c r="Q238" i="18"/>
  <c r="V237" i="18"/>
  <c r="T237" i="18"/>
  <c r="Q237" i="18"/>
  <c r="T236" i="18"/>
  <c r="V236" i="18" s="1"/>
  <c r="Q236" i="18"/>
  <c r="T235" i="18"/>
  <c r="V235" i="18" s="1"/>
  <c r="Q235" i="18"/>
  <c r="V234" i="18"/>
  <c r="T234" i="18"/>
  <c r="Q234" i="18"/>
  <c r="V233" i="18"/>
  <c r="T233" i="18"/>
  <c r="Q233" i="18"/>
  <c r="T232" i="18"/>
  <c r="V232" i="18" s="1"/>
  <c r="Q232" i="18"/>
  <c r="T231" i="18"/>
  <c r="V231" i="18" s="1"/>
  <c r="Q231" i="18"/>
  <c r="V230" i="18"/>
  <c r="T230" i="18"/>
  <c r="Q230" i="18"/>
  <c r="V229" i="18"/>
  <c r="T229" i="18"/>
  <c r="Q229" i="18"/>
  <c r="T228" i="18"/>
  <c r="V228" i="18" s="1"/>
  <c r="Q228" i="18"/>
  <c r="T227" i="18"/>
  <c r="V227" i="18" s="1"/>
  <c r="Q227" i="18"/>
  <c r="V226" i="18"/>
  <c r="T226" i="18"/>
  <c r="Q226" i="18"/>
  <c r="V225" i="18"/>
  <c r="T225" i="18"/>
  <c r="Q225" i="18"/>
  <c r="T224" i="18"/>
  <c r="V224" i="18" s="1"/>
  <c r="Q224" i="18"/>
  <c r="T223" i="18"/>
  <c r="V223" i="18" s="1"/>
  <c r="Q223" i="18"/>
  <c r="V222" i="18"/>
  <c r="T222" i="18"/>
  <c r="Q222" i="18"/>
  <c r="V221" i="18"/>
  <c r="T221" i="18"/>
  <c r="Q221" i="18"/>
  <c r="T220" i="18"/>
  <c r="V220" i="18" s="1"/>
  <c r="Q220" i="18"/>
  <c r="T219" i="18"/>
  <c r="V219" i="18" s="1"/>
  <c r="Q219" i="18"/>
  <c r="V218" i="18"/>
  <c r="T218" i="18"/>
  <c r="Q218" i="18"/>
  <c r="V217" i="18"/>
  <c r="T217" i="18"/>
  <c r="Q217" i="18"/>
  <c r="T216" i="18"/>
  <c r="V216" i="18" s="1"/>
  <c r="Q216" i="18"/>
  <c r="T215" i="18"/>
  <c r="V215" i="18" s="1"/>
  <c r="Q215" i="18"/>
  <c r="V214" i="18"/>
  <c r="T214" i="18"/>
  <c r="Q214" i="18"/>
  <c r="V213" i="18"/>
  <c r="T213" i="18"/>
  <c r="Q213" i="18"/>
  <c r="T212" i="18"/>
  <c r="V212" i="18" s="1"/>
  <c r="Q212" i="18"/>
  <c r="T211" i="18"/>
  <c r="V211" i="18" s="1"/>
  <c r="Q211" i="18"/>
  <c r="V210" i="18"/>
  <c r="T210" i="18"/>
  <c r="Q210" i="18"/>
  <c r="V209" i="18"/>
  <c r="T209" i="18"/>
  <c r="Q209" i="18"/>
  <c r="T208" i="18"/>
  <c r="V208" i="18" s="1"/>
  <c r="Q208" i="18"/>
  <c r="T207" i="18"/>
  <c r="V207" i="18" s="1"/>
  <c r="Q207" i="18"/>
  <c r="V206" i="18"/>
  <c r="T206" i="18"/>
  <c r="Q206" i="18"/>
  <c r="V205" i="18"/>
  <c r="T205" i="18"/>
  <c r="Q205" i="18"/>
  <c r="T204" i="18"/>
  <c r="V204" i="18" s="1"/>
  <c r="Q204" i="18"/>
  <c r="T203" i="18"/>
  <c r="V203" i="18" s="1"/>
  <c r="Q203" i="18"/>
  <c r="V202" i="18"/>
  <c r="T202" i="18"/>
  <c r="Q202" i="18"/>
  <c r="V201" i="18"/>
  <c r="T201" i="18"/>
  <c r="Q201" i="18"/>
  <c r="T200" i="18"/>
  <c r="V200" i="18" s="1"/>
  <c r="Q200" i="18"/>
  <c r="T199" i="18"/>
  <c r="V199" i="18" s="1"/>
  <c r="Q199" i="18"/>
  <c r="V198" i="18"/>
  <c r="T198" i="18"/>
  <c r="Q198" i="18"/>
  <c r="V197" i="18"/>
  <c r="T197" i="18"/>
  <c r="Q197" i="18"/>
  <c r="T196" i="18"/>
  <c r="V196" i="18" s="1"/>
  <c r="Q196" i="18"/>
  <c r="T195" i="18"/>
  <c r="V195" i="18" s="1"/>
  <c r="Q195" i="18"/>
  <c r="V194" i="18"/>
  <c r="T194" i="18"/>
  <c r="Q194" i="18"/>
  <c r="V193" i="18"/>
  <c r="T193" i="18"/>
  <c r="Q193" i="18"/>
  <c r="T192" i="18"/>
  <c r="V192" i="18" s="1"/>
  <c r="Q192" i="18"/>
  <c r="T191" i="18"/>
  <c r="V191" i="18" s="1"/>
  <c r="Q191" i="18"/>
  <c r="V190" i="18"/>
  <c r="T190" i="18"/>
  <c r="Q190" i="18"/>
  <c r="V189" i="18"/>
  <c r="T189" i="18"/>
  <c r="Q189" i="18"/>
  <c r="T188" i="18"/>
  <c r="V188" i="18" s="1"/>
  <c r="Q188" i="18"/>
  <c r="T187" i="18"/>
  <c r="V187" i="18" s="1"/>
  <c r="Q187" i="18"/>
  <c r="V186" i="18"/>
  <c r="T186" i="18"/>
  <c r="Q186" i="18"/>
  <c r="V185" i="18"/>
  <c r="T185" i="18"/>
  <c r="Q185" i="18"/>
  <c r="T184" i="18"/>
  <c r="V184" i="18" s="1"/>
  <c r="Q184" i="18"/>
  <c r="T183" i="18"/>
  <c r="V183" i="18" s="1"/>
  <c r="Q183" i="18"/>
  <c r="V182" i="18"/>
  <c r="T182" i="18"/>
  <c r="Q182" i="18"/>
  <c r="V181" i="18"/>
  <c r="T181" i="18"/>
  <c r="Q181" i="18"/>
  <c r="T180" i="18"/>
  <c r="V180" i="18" s="1"/>
  <c r="Q180" i="18"/>
  <c r="T179" i="18"/>
  <c r="V179" i="18" s="1"/>
  <c r="Q179" i="18"/>
  <c r="V178" i="18"/>
  <c r="T178" i="18"/>
  <c r="Q178" i="18"/>
  <c r="V177" i="18"/>
  <c r="T177" i="18"/>
  <c r="Q177" i="18"/>
  <c r="T176" i="18"/>
  <c r="V176" i="18" s="1"/>
  <c r="Q176" i="18"/>
  <c r="T175" i="18"/>
  <c r="V175" i="18" s="1"/>
  <c r="Q175" i="18"/>
  <c r="V174" i="18"/>
  <c r="T174" i="18"/>
  <c r="Q174" i="18"/>
  <c r="V173" i="18"/>
  <c r="T173" i="18"/>
  <c r="Q173" i="18"/>
  <c r="T172" i="18"/>
  <c r="V172" i="18" s="1"/>
  <c r="Q172" i="18"/>
  <c r="T171" i="18"/>
  <c r="V171" i="18" s="1"/>
  <c r="Q171" i="18"/>
  <c r="V170" i="18"/>
  <c r="T170" i="18"/>
  <c r="Q170" i="18"/>
  <c r="V169" i="18"/>
  <c r="T169" i="18"/>
  <c r="Q169" i="18"/>
  <c r="T168" i="18"/>
  <c r="V168" i="18" s="1"/>
  <c r="Q168" i="18"/>
  <c r="T167" i="18"/>
  <c r="V167" i="18" s="1"/>
  <c r="Q167" i="18"/>
  <c r="V166" i="18"/>
  <c r="T166" i="18"/>
  <c r="Q166" i="18"/>
  <c r="V165" i="18"/>
  <c r="T165" i="18"/>
  <c r="Q165" i="18"/>
  <c r="T164" i="18"/>
  <c r="V164" i="18" s="1"/>
  <c r="Q164" i="18"/>
  <c r="T163" i="18"/>
  <c r="V163" i="18" s="1"/>
  <c r="Q163" i="18"/>
  <c r="V162" i="18"/>
  <c r="T162" i="18"/>
  <c r="Q162" i="18"/>
  <c r="V161" i="18"/>
  <c r="T161" i="18"/>
  <c r="Q161" i="18"/>
  <c r="T160" i="18"/>
  <c r="V160" i="18" s="1"/>
  <c r="Q160" i="18"/>
  <c r="T159" i="18"/>
  <c r="V159" i="18" s="1"/>
  <c r="Q159" i="18"/>
  <c r="V158" i="18"/>
  <c r="T158" i="18"/>
  <c r="Q158" i="18"/>
  <c r="V157" i="18"/>
  <c r="T157" i="18"/>
  <c r="Q157" i="18"/>
  <c r="T156" i="18"/>
  <c r="V156" i="18" s="1"/>
  <c r="Q156" i="18"/>
  <c r="T155" i="18"/>
  <c r="V155" i="18" s="1"/>
  <c r="Q155" i="18"/>
  <c r="V154" i="18"/>
  <c r="T154" i="18"/>
  <c r="Q154" i="18"/>
  <c r="V153" i="18"/>
  <c r="T153" i="18"/>
  <c r="Q153" i="18"/>
  <c r="T152" i="18"/>
  <c r="V152" i="18" s="1"/>
  <c r="Q152" i="18"/>
  <c r="T151" i="18"/>
  <c r="V151" i="18" s="1"/>
  <c r="Q151" i="18"/>
  <c r="V150" i="18"/>
  <c r="T150" i="18"/>
  <c r="Q150" i="18"/>
  <c r="V149" i="18"/>
  <c r="T149" i="18"/>
  <c r="Q149" i="18"/>
  <c r="T148" i="18"/>
  <c r="V148" i="18" s="1"/>
  <c r="Q148" i="18"/>
  <c r="T147" i="18"/>
  <c r="V147" i="18" s="1"/>
  <c r="Q147" i="18"/>
  <c r="V146" i="18"/>
  <c r="T146" i="18"/>
  <c r="Q146" i="18"/>
  <c r="V145" i="18"/>
  <c r="T145" i="18"/>
  <c r="Q145" i="18"/>
  <c r="T144" i="18"/>
  <c r="V144" i="18" s="1"/>
  <c r="Q144" i="18"/>
  <c r="T143" i="18"/>
  <c r="V143" i="18" s="1"/>
  <c r="Q143" i="18"/>
  <c r="V142" i="18"/>
  <c r="T142" i="18"/>
  <c r="Q142" i="18"/>
  <c r="V141" i="18"/>
  <c r="T141" i="18"/>
  <c r="Q141" i="18"/>
  <c r="T140" i="18"/>
  <c r="V140" i="18" s="1"/>
  <c r="Q140" i="18"/>
  <c r="T139" i="18"/>
  <c r="V139" i="18" s="1"/>
  <c r="Q139" i="18"/>
  <c r="V138" i="18"/>
  <c r="T138" i="18"/>
  <c r="Q138" i="18"/>
  <c r="V137" i="18"/>
  <c r="T137" i="18"/>
  <c r="Q137" i="18"/>
  <c r="T136" i="18"/>
  <c r="V136" i="18" s="1"/>
  <c r="Q136" i="18"/>
  <c r="T135" i="18"/>
  <c r="V135" i="18" s="1"/>
  <c r="Q135" i="18"/>
  <c r="V134" i="18"/>
  <c r="T134" i="18"/>
  <c r="Q134" i="18"/>
  <c r="V133" i="18"/>
  <c r="T133" i="18"/>
  <c r="Q133" i="18"/>
  <c r="T132" i="18"/>
  <c r="V132" i="18" s="1"/>
  <c r="Q132" i="18"/>
  <c r="T131" i="18"/>
  <c r="V131" i="18" s="1"/>
  <c r="Q131" i="18"/>
  <c r="V130" i="18"/>
  <c r="T130" i="18"/>
  <c r="Q130" i="18"/>
  <c r="V129" i="18"/>
  <c r="T129" i="18"/>
  <c r="Q129" i="18"/>
  <c r="T128" i="18"/>
  <c r="V128" i="18" s="1"/>
  <c r="Q128" i="18"/>
  <c r="T127" i="18"/>
  <c r="V127" i="18" s="1"/>
  <c r="Q127" i="18"/>
  <c r="V126" i="18"/>
  <c r="T126" i="18"/>
  <c r="Q126" i="18"/>
  <c r="V125" i="18"/>
  <c r="T125" i="18"/>
  <c r="Q125" i="18"/>
  <c r="T124" i="18"/>
  <c r="V124" i="18" s="1"/>
  <c r="Q124" i="18"/>
  <c r="T123" i="18"/>
  <c r="V123" i="18" s="1"/>
  <c r="Q123" i="18"/>
  <c r="V122" i="18"/>
  <c r="T122" i="18"/>
  <c r="Q122" i="18"/>
  <c r="V121" i="18"/>
  <c r="T121" i="18"/>
  <c r="Q121" i="18"/>
  <c r="T120" i="18"/>
  <c r="V120" i="18" s="1"/>
  <c r="Q120" i="18"/>
  <c r="T119" i="18"/>
  <c r="V119" i="18" s="1"/>
  <c r="Q119" i="18"/>
  <c r="V118" i="18"/>
  <c r="T118" i="18"/>
  <c r="Q118" i="18"/>
  <c r="V117" i="18"/>
  <c r="T117" i="18"/>
  <c r="Q117" i="18"/>
  <c r="T116" i="18"/>
  <c r="V116" i="18" s="1"/>
  <c r="Q116" i="18"/>
  <c r="T115" i="18"/>
  <c r="V115" i="18" s="1"/>
  <c r="Q115" i="18"/>
  <c r="V114" i="18"/>
  <c r="T114" i="18"/>
  <c r="Q114" i="18"/>
  <c r="V113" i="18"/>
  <c r="T113" i="18"/>
  <c r="Q113" i="18"/>
  <c r="T112" i="18"/>
  <c r="V112" i="18" s="1"/>
  <c r="Q112" i="18"/>
  <c r="T111" i="18"/>
  <c r="V111" i="18" s="1"/>
  <c r="Q111" i="18"/>
  <c r="V110" i="18"/>
  <c r="T110" i="18"/>
  <c r="Q110" i="18"/>
  <c r="V109" i="18"/>
  <c r="T109" i="18"/>
  <c r="Q109" i="18"/>
  <c r="T108" i="18"/>
  <c r="V108" i="18" s="1"/>
  <c r="Q108" i="18"/>
  <c r="T107" i="18"/>
  <c r="V107" i="18" s="1"/>
  <c r="Q107" i="18"/>
  <c r="V106" i="18"/>
  <c r="T106" i="18"/>
  <c r="Q106" i="18"/>
  <c r="V105" i="18"/>
  <c r="T105" i="18"/>
  <c r="Q105" i="18"/>
  <c r="T104" i="18"/>
  <c r="V104" i="18" s="1"/>
  <c r="Q104" i="18"/>
  <c r="T103" i="18"/>
  <c r="V103" i="18" s="1"/>
  <c r="Q103" i="18"/>
  <c r="V102" i="18"/>
  <c r="T102" i="18"/>
  <c r="Q102" i="18"/>
  <c r="V101" i="18"/>
  <c r="T101" i="18"/>
  <c r="Q101" i="18"/>
  <c r="T100" i="18"/>
  <c r="V100" i="18" s="1"/>
  <c r="Q100" i="18"/>
  <c r="T99" i="18"/>
  <c r="V99" i="18" s="1"/>
  <c r="Q99" i="18"/>
  <c r="V98" i="18"/>
  <c r="T98" i="18"/>
  <c r="Q98" i="18"/>
  <c r="V97" i="18"/>
  <c r="T97" i="18"/>
  <c r="Q97" i="18"/>
  <c r="T96" i="18"/>
  <c r="V96" i="18" s="1"/>
  <c r="Q96" i="18"/>
  <c r="T95" i="18"/>
  <c r="V95" i="18" s="1"/>
  <c r="Q95" i="18"/>
  <c r="V94" i="18"/>
  <c r="T94" i="18"/>
  <c r="Q94" i="18"/>
  <c r="V93" i="18"/>
  <c r="T93" i="18"/>
  <c r="Q93" i="18"/>
  <c r="T92" i="18"/>
  <c r="V92" i="18" s="1"/>
  <c r="Q92" i="18"/>
  <c r="T91" i="18"/>
  <c r="V91" i="18" s="1"/>
  <c r="Q91" i="18"/>
  <c r="V90" i="18"/>
  <c r="T90" i="18"/>
  <c r="Q90" i="18"/>
  <c r="V89" i="18"/>
  <c r="T89" i="18"/>
  <c r="Q89" i="18"/>
  <c r="T88" i="18"/>
  <c r="V88" i="18" s="1"/>
  <c r="Q88" i="18"/>
  <c r="T87" i="18"/>
  <c r="V87" i="18" s="1"/>
  <c r="Q87" i="18"/>
  <c r="V86" i="18"/>
  <c r="T86" i="18"/>
  <c r="Q86" i="18"/>
  <c r="V85" i="18"/>
  <c r="T85" i="18"/>
  <c r="Q85" i="18"/>
  <c r="T84" i="18"/>
  <c r="V84" i="18" s="1"/>
  <c r="Q84" i="18"/>
  <c r="T83" i="18"/>
  <c r="V83" i="18" s="1"/>
  <c r="Q83" i="18"/>
  <c r="V82" i="18"/>
  <c r="T82" i="18"/>
  <c r="Q82" i="18"/>
  <c r="V81" i="18"/>
  <c r="T81" i="18"/>
  <c r="Q81" i="18"/>
  <c r="T80" i="18"/>
  <c r="V80" i="18" s="1"/>
  <c r="Q80" i="18"/>
  <c r="T79" i="18"/>
  <c r="V79" i="18" s="1"/>
  <c r="Q79" i="18"/>
  <c r="V78" i="18"/>
  <c r="T78" i="18"/>
  <c r="Q78" i="18"/>
  <c r="V77" i="18"/>
  <c r="T77" i="18"/>
  <c r="Q77" i="18"/>
  <c r="T76" i="18"/>
  <c r="V76" i="18" s="1"/>
  <c r="Q76" i="18"/>
  <c r="T75" i="18"/>
  <c r="V75" i="18" s="1"/>
  <c r="Q75" i="18"/>
  <c r="V74" i="18"/>
  <c r="T74" i="18"/>
  <c r="Q74" i="18"/>
  <c r="T73" i="18"/>
  <c r="Q73" i="18"/>
  <c r="T72" i="18"/>
  <c r="Q72" i="18"/>
  <c r="T71" i="18"/>
  <c r="Q71" i="18"/>
  <c r="T70" i="18"/>
  <c r="V70" i="18" s="1"/>
  <c r="Q70" i="18"/>
  <c r="V69" i="18"/>
  <c r="T69" i="18"/>
  <c r="Q69" i="18"/>
  <c r="V68" i="18"/>
  <c r="T68" i="18"/>
  <c r="Q68" i="18"/>
  <c r="T67" i="18"/>
  <c r="V67" i="18" s="1"/>
  <c r="Q67" i="18"/>
  <c r="T66" i="18"/>
  <c r="V66" i="18" s="1"/>
  <c r="Q66" i="18"/>
  <c r="V65" i="18"/>
  <c r="T65" i="18"/>
  <c r="Q65" i="18"/>
  <c r="T64" i="18"/>
  <c r="Q64" i="18"/>
  <c r="T63" i="18"/>
  <c r="Q63" i="18"/>
  <c r="T62" i="18"/>
  <c r="Q62" i="18"/>
  <c r="T61" i="18"/>
  <c r="Q61" i="18"/>
  <c r="T60" i="18"/>
  <c r="Q60" i="18"/>
  <c r="T59" i="18"/>
  <c r="Q59" i="18"/>
  <c r="T58" i="18"/>
  <c r="Q58" i="18"/>
  <c r="T57" i="18"/>
  <c r="Q57" i="18"/>
  <c r="T56" i="18"/>
  <c r="Q56" i="18"/>
  <c r="T55" i="18"/>
  <c r="Q55" i="18"/>
  <c r="T54" i="18"/>
  <c r="Q54" i="18"/>
  <c r="T53" i="18"/>
  <c r="Q53" i="18"/>
  <c r="V52" i="18"/>
  <c r="T52" i="18"/>
  <c r="Q52" i="18"/>
  <c r="T51" i="18"/>
  <c r="V51" i="18" s="1"/>
  <c r="Q51" i="18"/>
  <c r="T50" i="18"/>
  <c r="V50" i="18" s="1"/>
  <c r="Q50" i="18"/>
  <c r="V49" i="18"/>
  <c r="T49" i="18"/>
  <c r="Q49" i="18"/>
  <c r="V48" i="18"/>
  <c r="T48" i="18"/>
  <c r="Q48" i="18"/>
  <c r="T47" i="18"/>
  <c r="V47" i="18" s="1"/>
  <c r="Q47" i="18"/>
  <c r="T46" i="18"/>
  <c r="V46" i="18" s="1"/>
  <c r="Q46" i="18"/>
  <c r="V45" i="18"/>
  <c r="T45" i="18"/>
  <c r="Q45" i="18"/>
  <c r="V44" i="18"/>
  <c r="T44" i="18"/>
  <c r="Q44" i="18"/>
  <c r="T43" i="18"/>
  <c r="V43" i="18" s="1"/>
  <c r="Q43" i="18"/>
  <c r="T42" i="18"/>
  <c r="V42" i="18" s="1"/>
  <c r="Q42" i="18"/>
  <c r="V41" i="18"/>
  <c r="T41" i="18"/>
  <c r="Q41" i="18"/>
  <c r="V40" i="18"/>
  <c r="T40" i="18"/>
  <c r="Q40" i="18"/>
  <c r="T39" i="18"/>
  <c r="V39" i="18" s="1"/>
  <c r="Q39" i="18"/>
  <c r="T38" i="18"/>
  <c r="V38" i="18" s="1"/>
  <c r="Q38" i="18"/>
  <c r="V37" i="18"/>
  <c r="T37" i="18"/>
  <c r="Q37" i="18"/>
  <c r="V36" i="18"/>
  <c r="T36" i="18"/>
  <c r="Q36" i="18"/>
  <c r="T35" i="18"/>
  <c r="V35" i="18" s="1"/>
  <c r="Q35" i="18"/>
  <c r="T34" i="18"/>
  <c r="V34" i="18" s="1"/>
  <c r="Q34" i="18"/>
  <c r="V33" i="18"/>
  <c r="T33" i="18"/>
  <c r="Q33" i="18"/>
  <c r="V32" i="18"/>
  <c r="T32" i="18"/>
  <c r="Q32" i="18"/>
  <c r="T31" i="18"/>
  <c r="V31" i="18" s="1"/>
  <c r="Q31" i="18"/>
  <c r="T30" i="18"/>
  <c r="V30" i="18" s="1"/>
  <c r="Q30" i="18"/>
  <c r="V29" i="18"/>
  <c r="T29" i="18"/>
  <c r="Q29" i="18"/>
  <c r="V28" i="18"/>
  <c r="T28" i="18"/>
  <c r="V27" i="18"/>
  <c r="T27" i="18"/>
  <c r="V26" i="18"/>
  <c r="T26" i="18"/>
  <c r="T25" i="18"/>
  <c r="V25" i="18" s="1"/>
  <c r="T24" i="18"/>
  <c r="V24" i="18" s="1"/>
  <c r="T23" i="18"/>
  <c r="V23" i="18" s="1"/>
  <c r="V22" i="18"/>
  <c r="T22" i="18"/>
  <c r="V21" i="18"/>
  <c r="T21" i="18"/>
  <c r="V20" i="18"/>
  <c r="T20" i="18"/>
  <c r="T19" i="18"/>
  <c r="V19" i="18" s="1"/>
  <c r="T18" i="18"/>
  <c r="V18" i="18" s="1"/>
  <c r="T17" i="18"/>
  <c r="V17" i="18" s="1"/>
  <c r="V16" i="18"/>
  <c r="T16" i="18"/>
  <c r="V15" i="18"/>
  <c r="T15" i="18"/>
  <c r="V14" i="18"/>
  <c r="T14" i="18"/>
  <c r="T13" i="18"/>
  <c r="V13" i="18" s="1"/>
  <c r="Q13" i="18"/>
  <c r="V12" i="18"/>
  <c r="T12" i="18"/>
  <c r="Q12" i="18"/>
  <c r="V11" i="18"/>
  <c r="T11" i="18"/>
  <c r="Q11" i="18"/>
  <c r="T10" i="18"/>
  <c r="V10" i="18" s="1"/>
  <c r="Q10" i="18"/>
  <c r="T9" i="18"/>
  <c r="V9" i="18" s="1"/>
  <c r="Q9" i="18"/>
  <c r="V8" i="18"/>
  <c r="T8" i="18"/>
  <c r="Q8" i="18"/>
  <c r="V7" i="18"/>
  <c r="T7" i="18"/>
  <c r="Q7" i="18"/>
  <c r="T6" i="18"/>
  <c r="V6" i="18" s="1"/>
  <c r="Q6" i="18"/>
  <c r="T5" i="18"/>
  <c r="V5" i="18" s="1"/>
  <c r="Q5" i="18"/>
  <c r="V4" i="18"/>
  <c r="T4" i="18"/>
  <c r="Q4" i="18"/>
  <c r="V3" i="18"/>
  <c r="T3" i="18"/>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<sst xmlns="http://schemas.openxmlformats.org/spreadsheetml/2006/main" count="8707" uniqueCount="391">
  <si>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</si>
  <si>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</si>
  <si>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</si>
  <si>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</si>
  <si>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</si>
  <si>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</si>
  <si>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</si>
  <si>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</si>
  <si>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</si>
  <si>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</si>
  <si>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</si>
  <si>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</si>
  <si>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</si>
  <si>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</si>
  <si>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</si>
  <si>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</si>
  <si>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</si>
  <si>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</si>
  <si>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</si>
  <si>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</si>
  <si>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</si>
  <si>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</si>
  <si>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</si>
  <si>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</si>
  <si>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</si>
  <si>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</si>
  <si>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</si>
  <si>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</si>
  <si>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</si>
  <si>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</si>
  <si>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</si>
  <si>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</si>
  <si>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</si>
  <si>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</si>
  <si>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</si>
  <si>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</si>
  <si>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</si>
  <si>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</si>
  <si>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</si>
  <si>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</si>
  <si>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</si>
  <si>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</si>
  <si>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</si>
  <si>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</si>
  <si>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</si>
  <si>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</si>
  <si>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</si>
  <si>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</si>
  <si>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</si>
  <si>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</si>
  <si>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</si>
  <si>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</si>
  <si>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</si>
  <si>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</si>
  <si>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</si>
  <si>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</si>
  <si>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</si>
  <si>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</si>
  <si>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</si>
  <si>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</si>
  <si>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</si>
  <si>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</si>
  <si>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</si>
  <si>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</si>
  <si>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</si>
  <si>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</si>
  <si>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</si>
  <si>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</si>
  <si>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</si>
  <si>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</si>
  <si>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</si>
  <si>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</si>
  <si>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</si>
  <si>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</si>
  <si>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</si>
  <si>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</si>
  <si>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</si>
  <si>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</si>
  <si>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</si>
  <si>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</si>
  <si>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</si>
  <si>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</si>
  <si>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</si>
  <si>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</si>
  <si>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</si>
  <si>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</si>
  <si>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</si>
  <si>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</si>
  <si>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</si>
  <si>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</si>
  <si>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</si>
  <si>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</si>
  <si>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</si>
  <si>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</si>
  <si>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</si>
  <si>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</si>
  <si>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</si>
  <si>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</si>
  <si>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</si>
  <si>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</si>
  <si>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</si>
  <si>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</si>
  <si>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</si>
  <si>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</si>
  <si>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</si>
  <si>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</si>
  <si>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</si>
  <si>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</si>
  <si>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</si>
  <si>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</si>
  <si>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</si>
  <si>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</si>
  <si>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</si>
  <si>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</si>
  <si>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</si>
  <si>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</si>
  <si>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</si>
  <si>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</si>
  <si>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</si>
  <si>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</si>
  <si>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</si>
  <si>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</si>
  <si>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</si>
  <si>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</si>
  <si>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</si>
  <si>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</si>
  <si>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</si>
  <si>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</si>
  <si>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</si>
  <si>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</si>
  <si>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</si>
  <si>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</si>
  <si>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</si>
  <si>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</si>
  <si>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</si>
  <si>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</si>
  <si>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</si>
  <si>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</si>
  <si>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</si>
  <si>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</si>
  <si>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</si>
  <si>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</si>
  <si>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</si>
  <si>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</si>
  <si>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</si>
  <si>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</si>
  <si>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</si>
  <si>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</si>
  <si>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</si>
  <si>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</si>
  <si>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</si>
  <si>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</si>
  <si>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</si>
  <si>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</si>
  <si>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</si>
  <si>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</si>
  <si>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</si>
  <si>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</si>
  <si>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</si>
  <si>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</si>
  <si>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ﾆｭｰｼﾞｰﾗﾝﾄﾞ</t>
  </si>
  <si>
    <t>マックスバリュ</t>
  </si>
  <si>
    <t>北40条</t>
  </si>
  <si>
    <t>HW</t>
  </si>
  <si>
    <t>GK</t>
  </si>
  <si>
    <t>18.12.2019</t>
  </si>
  <si>
    <t>18.12.2019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</si>
  <si>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</si>
  <si>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</si>
  <si>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</si>
  <si>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</si>
  <si>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</si>
  <si>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</si>
  <si>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</si>
  <si>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</si>
  <si>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</si>
  <si>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</si>
  <si>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</si>
  <si>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</si>
  <si>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</si>
  <si>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</si>
  <si>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</si>
  <si>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</si>
  <si>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17.12.2019</t>
    <phoneticPr fontId="16"/>
  </si>
  <si>
    <t>利府店</t>
  </si>
  <si>
    <t>その他グリーン</t>
  </si>
  <si>
    <t>みやぎ生協</t>
  </si>
  <si>
    <t>その他ゴールド</t>
  </si>
  <si>
    <t>17.12.2019</t>
  </si>
  <si>
    <t>杉の入店</t>
  </si>
  <si>
    <t>その他レッド</t>
  </si>
  <si>
    <t>減農薬栽培</t>
  </si>
  <si>
    <t>D'lish</t>
  </si>
  <si>
    <t>中国</t>
  </si>
  <si>
    <t>ウジエ</t>
  </si>
  <si>
    <t>Del Monte</t>
  </si>
  <si>
    <t>塩釜店</t>
  </si>
  <si>
    <t>OB</t>
  </si>
  <si>
    <t>ザ・ビッグ</t>
  </si>
  <si>
    <t>HE</t>
  </si>
  <si>
    <t>長野</t>
  </si>
  <si>
    <t>ヤマザワ</t>
  </si>
  <si>
    <t>多賀城店</t>
  </si>
  <si>
    <t>GA</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</si>
  <si>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</si>
  <si>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</si>
  <si>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</si>
  <si>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</si>
  <si>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</si>
  <si>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</si>
  <si>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</si>
  <si>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</si>
  <si>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</si>
  <si>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</si>
  <si>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</si>
  <si>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</si>
  <si>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</si>
  <si>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</si>
  <si>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</si>
  <si>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</si>
  <si>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</si>
  <si>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</si>
  <si>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</si>
  <si>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</si>
  <si>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</si>
  <si>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</si>
  <si>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</si>
  <si>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</si>
  <si>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</si>
  <si>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</si>
  <si>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</si>
  <si>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</si>
  <si>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</si>
  <si>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ＪＡ神奈川</t>
  </si>
  <si>
    <t>宮崎</t>
  </si>
  <si>
    <t>ＪＡ石川</t>
  </si>
  <si>
    <t>宮崎</t>
    <rPh sb="0" eb="2">
      <t>ミヤザキ</t>
    </rPh>
    <phoneticPr fontId="16"/>
  </si>
  <si>
    <t>JP</t>
    <phoneticPr fontId="3"/>
  </si>
  <si>
    <t>21.12.2019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</si>
  <si>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</si>
  <si>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</si>
  <si>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</si>
  <si>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</si>
  <si>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</si>
  <si>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</si>
  <si>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</si>
  <si>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</si>
  <si>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</si>
  <si>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</si>
  <si>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</si>
  <si>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</si>
  <si>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</si>
  <si>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</si>
  <si>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</si>
  <si>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</si>
  <si>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</si>
  <si>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</si>
  <si>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</si>
  <si>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</si>
  <si>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</si>
  <si>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</si>
  <si>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</si>
  <si>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</si>
  <si>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</si>
  <si>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</si>
  <si>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</si>
  <si>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20.12.2019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</si>
  <si>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</si>
  <si>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</si>
  <si>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</si>
  <si>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</si>
  <si>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</si>
  <si>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</si>
  <si>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</si>
  <si>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</si>
  <si>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</si>
  <si>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</si>
  <si>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</si>
  <si>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</si>
  <si>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</si>
  <si>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</si>
  <si>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</si>
  <si>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県名</t>
    <phoneticPr fontId="3"/>
  </si>
  <si>
    <t>チェーン名</t>
    <phoneticPr fontId="3"/>
  </si>
  <si>
    <t>品種</t>
    <phoneticPr fontId="3"/>
  </si>
  <si>
    <t>福や</t>
  </si>
  <si>
    <t>鉄砲町店</t>
    <rPh sb="3" eb="4">
      <t>テン</t>
    </rPh>
    <phoneticPr fontId="3"/>
  </si>
  <si>
    <t>21.12.2019</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</si>
  <si>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</si>
  <si>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</si>
  <si>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</si>
  <si>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</si>
  <si>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</si>
  <si>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</si>
  <si>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</si>
  <si>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</si>
  <si>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</si>
  <si>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</si>
  <si>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</si>
  <si>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</si>
  <si>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</si>
  <si>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</si>
  <si>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</si>
  <si>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</si>
  <si>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</si>
  <si>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</si>
  <si>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</si>
  <si>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</si>
  <si>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</si>
  <si>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</si>
  <si>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</si>
  <si>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</si>
  <si>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</si>
  <si>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</si>
  <si>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</si>
  <si>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</si>
  <si>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</si>
  <si>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</si>
  <si>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</si>
  <si>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</si>
  <si>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</si>
  <si>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</si>
  <si>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</si>
  <si>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</si>
  <si>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</si>
  <si>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</si>
  <si>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</si>
  <si>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</si>
  <si>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</si>
  <si>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</si>
  <si>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</si>
  <si>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</si>
  <si>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</si>
  <si>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</si>
  <si>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</si>
  <si>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</si>
  <si>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</si>
  <si>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</si>
  <si>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</si>
  <si>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</si>
  <si>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</si>
  <si>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</si>
  <si>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</si>
  <si>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</si>
  <si>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</si>
  <si>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</si>
  <si>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</si>
  <si>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</si>
  <si>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</si>
  <si>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</si>
  <si>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</si>
  <si>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</si>
  <si>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</si>
  <si>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</si>
  <si>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</si>
  <si>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</si>
  <si>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</si>
  <si>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</si>
  <si>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19.12.2019</t>
    <phoneticPr fontId="3"/>
  </si>
  <si>
    <t>サミット</t>
  </si>
  <si>
    <t>久が原食品館</t>
  </si>
  <si>
    <t>19.12.2019</t>
  </si>
  <si>
    <t>東急ストア</t>
  </si>
  <si>
    <t>蒲田</t>
  </si>
  <si>
    <t>マルエツ</t>
  </si>
  <si>
    <t>大森西</t>
  </si>
  <si>
    <t>大森</t>
  </si>
  <si>
    <t>カドヤ</t>
  </si>
  <si>
    <t>大井町</t>
  </si>
  <si>
    <t>品川シーサイド</t>
  </si>
  <si>
    <t>大崎ニューシティ</t>
  </si>
  <si>
    <t>GA</t>
    <phoneticPr fontId="3"/>
  </si>
  <si>
    <t>２番人気
果実</t>
    <phoneticPr fontId="3"/>
  </si>
  <si>
    <t>15.12.2019</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</si>
  <si>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</si>
  <si>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</si>
  <si>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</si>
  <si>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</si>
  <si>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</si>
  <si>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</si>
  <si>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</si>
  <si>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東武ストア</t>
  </si>
  <si>
    <t>新小岩店</t>
  </si>
  <si>
    <t>コモディイイダ</t>
  </si>
  <si>
    <t>西瑞江店</t>
  </si>
  <si>
    <t>いなげや</t>
  </si>
  <si>
    <t>江戸川春江店</t>
  </si>
  <si>
    <t>鹿骨店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</si>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</sst>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3"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0"/>
      <name val="ＭＳ ゴシック"/>
      <family val="3"/>
      <charset val="128"/>
    </font>
    <font>
      <sz val="11"/>
      <color indexed="8"/>
      <name val="ＭＳ Ｐゴシック"/>
      <family val="3"/>
      <charset val="128"/>
    </font>
    <font>
      <sz val="11"/>
      <color rgb="FFFF0000"/>
      <name val="ＭＳ Ｐゴシック"/>
      <family val="3"/>
      <charset val="128"/>
    </font>
    <font>
      <sz val="11"/>
      <color rgb="FFFF0000"/>
      <name val="ＭＳ Ｐゴシック"/>
      <family val="3"/>
      <charset val="128"/>
      <scheme val="minor"/>
    </font>
    <font>
      <sz val="10"/>
      <color rgb="FFFF0000"/>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94">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7" fillId="0" borderId="22" xfId="2" applyFont="1" applyBorder="1" applyAlignment="1">
      <alignment horizontal="center" vertical="center"/>
    </xf>
    <xf numFmtId="0" fontId="17"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2" applyFont="1" applyBorder="1" applyAlignment="1">
      <alignment horizontal="center" vertical="center"/>
    </xf>
    <xf numFmtId="178" fontId="1" fillId="3" borderId="0" xfId="1" applyNumberFormat="1" applyFill="1"/>
    <xf numFmtId="0" fontId="1" fillId="0" borderId="18" xfId="1" applyBorder="1"/>
    <xf numFmtId="178" fontId="1" fillId="2" borderId="0" xfId="1" applyNumberFormat="1" applyFill="1"/>
    <xf numFmtId="0" fontId="15" fillId="0" borderId="0" xfId="2" applyFont="1">
      <alignment vertical="center"/>
    </xf>
    <xf numFmtId="0" fontId="15" fillId="0" borderId="0" xfId="1" applyFont="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8" fillId="0" borderId="0" xfId="1" applyNumberFormat="1" applyFont="1"/>
    <xf numFmtId="0" fontId="1" fillId="0" borderId="12" xfId="1" applyBorder="1" applyAlignment="1">
      <alignment shrinkToFit="1"/>
    </xf>
    <xf numFmtId="0" fontId="18"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0" fontId="19" fillId="4" borderId="0" xfId="1" applyFont="1" applyFill="1"/>
    <xf numFmtId="14" fontId="19" fillId="4" borderId="0" xfId="1" applyNumberFormat="1" applyFont="1" applyFill="1"/>
    <xf numFmtId="0" fontId="19" fillId="0" borderId="0" xfId="1" applyFont="1"/>
    <xf numFmtId="178" fontId="19" fillId="2" borderId="0" xfId="1" applyNumberFormat="1" applyFont="1" applyFill="1"/>
    <xf numFmtId="0" fontId="19" fillId="2" borderId="0" xfId="1" applyFont="1" applyFill="1"/>
    <xf numFmtId="1" fontId="19" fillId="2" borderId="0" xfId="1" applyNumberFormat="1" applyFont="1" applyFill="1"/>
    <xf numFmtId="0" fontId="20" fillId="0" borderId="0" xfId="1" applyFont="1"/>
    <xf numFmtId="0" fontId="21" fillId="0" borderId="12" xfId="1" applyFont="1" applyBorder="1"/>
    <xf numFmtId="0" fontId="19" fillId="0" borderId="16" xfId="1" applyFont="1" applyBorder="1"/>
    <xf numFmtId="0" fontId="19" fillId="0" borderId="12" xfId="1" applyFont="1" applyBorder="1"/>
    <xf numFmtId="0" fontId="20" fillId="0" borderId="12" xfId="1" applyFont="1" applyBorder="1"/>
    <xf numFmtId="0" fontId="21" fillId="0" borderId="16" xfId="1" applyFont="1" applyBorder="1"/>
    <xf numFmtId="14" fontId="18" fillId="0" borderId="0" xfId="1" applyNumberFormat="1" applyFont="1" applyAlignment="1">
      <alignment horizontal="center"/>
    </xf>
    <xf numFmtId="0" fontId="22"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14" fontId="1" fillId="0" borderId="0" xfId="1" applyNumberFormat="1" applyFont="1"/>
    <xf numFmtId="0" fontId="1" fillId="2" borderId="0" xfId="1" applyFont="1" applyFill="1"/>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topLeftCell="A25" zoomScale="85" zoomScaleNormal="85" workbookViewId="0">
      <selection activeCell="R53" sqref="R53"/>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163</v>
      </c>
      <c r="I2" s="15" t="s">
        <v>159</v>
      </c>
      <c r="J2" s="15" t="s">
        <v>38</v>
      </c>
      <c r="K2" s="7" t="s">
        <v>160</v>
      </c>
      <c r="L2" s="7">
        <v>1</v>
      </c>
      <c r="N2" s="47">
        <v>1</v>
      </c>
      <c r="O2" s="15">
        <v>0.5</v>
      </c>
      <c r="P2" s="15">
        <v>0.5</v>
      </c>
      <c r="Q2" s="51">
        <f t="shared" ref="Q2:Q65" si="0">IF(OR(O2="",P2=""),"",AVERAGE(O2,P2))</f>
        <v>0.5</v>
      </c>
      <c r="R2" s="15">
        <v>12.8</v>
      </c>
      <c r="S2" s="15">
        <v>120</v>
      </c>
      <c r="T2" s="38">
        <f t="shared" ref="T2:T59" si="1">IF(H2="","",IF(OR(H2="GREEN",H2="GK"),IF(S2&gt;=$AX$2,VLOOKUP(S2,$AX$2:$AY$12,2,1),""),IF(S2&gt;=$AZ$2,VLOOKUP(S2,$AZ$2:$BA$12,2,1),"")))</f>
        <v>30</v>
      </c>
      <c r="U2" s="15">
        <v>98</v>
      </c>
      <c r="V2" s="38">
        <f t="shared" ref="V2:V65" si="2">IF(OR(N2="",U2="",T2=""),"",U2/N2*T2)</f>
        <v>2940</v>
      </c>
      <c r="W2" s="15">
        <v>7</v>
      </c>
      <c r="X2" s="15" t="s">
        <v>39</v>
      </c>
      <c r="Y2" s="15" t="s">
        <v>84</v>
      </c>
      <c r="Z2" s="15" t="s">
        <v>90</v>
      </c>
      <c r="AA2" s="15" t="s">
        <v>40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163</v>
      </c>
      <c r="I3" s="7" t="s">
        <v>159</v>
      </c>
      <c r="J3" s="15" t="s">
        <v>38</v>
      </c>
      <c r="K3" s="7" t="s">
        <v>160</v>
      </c>
      <c r="L3" s="7">
        <v>2</v>
      </c>
      <c r="N3" s="7">
        <v>1</v>
      </c>
      <c r="O3" s="34">
        <v>0.5</v>
      </c>
      <c r="P3" s="7">
        <v>0.5</v>
      </c>
      <c r="Q3" s="52">
        <f t="shared" si="0"/>
        <v>0.5</v>
      </c>
      <c r="R3" s="7">
        <v>15.8</v>
      </c>
      <c r="S3" s="7">
        <v>117</v>
      </c>
      <c r="T3" s="16">
        <f t="shared" si="1"/>
        <v>30</v>
      </c>
      <c r="U3" s="15">
        <v>98</v>
      </c>
      <c r="V3" s="16">
        <f t="shared" si="2"/>
        <v>2940</v>
      </c>
      <c r="W3" s="15">
        <v>7</v>
      </c>
      <c r="X3" s="15" t="s">
        <v>39</v>
      </c>
      <c r="Y3" s="54" t="s">
        <v>84</v>
      </c>
      <c r="Z3" s="54" t="s">
        <v>90</v>
      </c>
      <c r="AA3" s="54" t="s">
        <v>40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163</v>
      </c>
      <c r="I4" s="7" t="s">
        <v>159</v>
      </c>
      <c r="J4" s="15" t="s">
        <v>38</v>
      </c>
      <c r="K4" s="7" t="s">
        <v>160</v>
      </c>
      <c r="L4" s="7">
        <v>3</v>
      </c>
      <c r="N4" s="7">
        <v>1</v>
      </c>
      <c r="O4" s="7">
        <v>0.5</v>
      </c>
      <c r="P4" s="7">
        <v>0.5</v>
      </c>
      <c r="Q4" s="52">
        <f t="shared" si="0"/>
        <v>0.5</v>
      </c>
      <c r="R4" s="7">
        <v>12.5</v>
      </c>
      <c r="S4" s="7">
        <v>120</v>
      </c>
      <c r="T4" s="16">
        <f t="shared" si="1"/>
        <v>30</v>
      </c>
      <c r="U4" s="15">
        <v>98</v>
      </c>
      <c r="V4" s="16">
        <f t="shared" si="2"/>
        <v>2940</v>
      </c>
      <c r="W4" s="15">
        <v>7</v>
      </c>
      <c r="X4" s="54" t="s">
        <v>39</v>
      </c>
      <c r="Y4" s="54" t="s">
        <v>84</v>
      </c>
      <c r="Z4" s="54" t="s">
        <v>90</v>
      </c>
      <c r="AA4" s="54" t="s">
        <v>40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54" t="s">
        <v>133</v>
      </c>
      <c r="F5" s="53" t="s">
        <v>150</v>
      </c>
      <c r="G5" s="7" t="s">
        <v>36</v>
      </c>
      <c r="H5" s="54" t="s">
        <v>163</v>
      </c>
      <c r="I5" s="7" t="s">
        <v>159</v>
      </c>
      <c r="J5" s="15" t="s">
        <v>38</v>
      </c>
      <c r="K5" s="7" t="s">
        <v>160</v>
      </c>
      <c r="L5" s="7">
        <v>1</v>
      </c>
      <c r="N5" s="53">
        <v>1</v>
      </c>
      <c r="O5" s="7">
        <v>0.5</v>
      </c>
      <c r="P5" s="7">
        <v>0.5</v>
      </c>
      <c r="Q5" s="52">
        <f t="shared" si="0"/>
        <v>0.5</v>
      </c>
      <c r="R5" s="7">
        <v>15.8</v>
      </c>
      <c r="S5" s="7">
        <v>121</v>
      </c>
      <c r="T5" s="16">
        <f t="shared" si="1"/>
        <v>27</v>
      </c>
      <c r="U5" s="15">
        <v>98</v>
      </c>
      <c r="V5" s="16">
        <f t="shared" si="2"/>
        <v>2646</v>
      </c>
      <c r="W5" s="15">
        <v>12</v>
      </c>
      <c r="X5" s="54" t="s">
        <v>46</v>
      </c>
      <c r="Y5" s="54" t="s">
        <v>84</v>
      </c>
      <c r="Z5" s="54" t="s">
        <v>90</v>
      </c>
      <c r="AA5" s="54" t="s">
        <v>69</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54" t="s">
        <v>133</v>
      </c>
      <c r="F6" s="53" t="s">
        <v>150</v>
      </c>
      <c r="G6" s="7" t="s">
        <v>36</v>
      </c>
      <c r="H6" s="54" t="s">
        <v>163</v>
      </c>
      <c r="I6" s="53" t="s">
        <v>159</v>
      </c>
      <c r="J6" s="54" t="s">
        <v>38</v>
      </c>
      <c r="K6" s="53" t="s">
        <v>160</v>
      </c>
      <c r="L6" s="7">
        <v>2</v>
      </c>
      <c r="N6" s="53">
        <v>1</v>
      </c>
      <c r="O6" s="7">
        <v>0.5</v>
      </c>
      <c r="P6" s="7">
        <v>0.5</v>
      </c>
      <c r="Q6" s="52">
        <f t="shared" si="0"/>
        <v>0.5</v>
      </c>
      <c r="R6" s="7">
        <v>15.4</v>
      </c>
      <c r="S6" s="7">
        <v>122</v>
      </c>
      <c r="T6" s="16">
        <f t="shared" si="1"/>
        <v>27</v>
      </c>
      <c r="U6" s="15">
        <v>98</v>
      </c>
      <c r="V6" s="16">
        <f t="shared" si="2"/>
        <v>2646</v>
      </c>
      <c r="W6" s="15">
        <v>12</v>
      </c>
      <c r="X6" s="54" t="s">
        <v>46</v>
      </c>
      <c r="Y6" s="54" t="s">
        <v>84</v>
      </c>
      <c r="Z6" s="54" t="s">
        <v>90</v>
      </c>
      <c r="AA6" s="54" t="s">
        <v>69</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54" t="s">
        <v>133</v>
      </c>
      <c r="F7" s="53" t="s">
        <v>150</v>
      </c>
      <c r="G7" s="7" t="s">
        <v>36</v>
      </c>
      <c r="H7" s="54" t="s">
        <v>163</v>
      </c>
      <c r="I7" s="53" t="s">
        <v>159</v>
      </c>
      <c r="J7" s="54" t="s">
        <v>38</v>
      </c>
      <c r="K7" s="53" t="s">
        <v>160</v>
      </c>
      <c r="L7" s="7">
        <v>3</v>
      </c>
      <c r="N7" s="53">
        <v>1</v>
      </c>
      <c r="O7" s="7">
        <v>0.5</v>
      </c>
      <c r="P7" s="7">
        <v>0.5</v>
      </c>
      <c r="Q7" s="52">
        <f t="shared" si="0"/>
        <v>0.5</v>
      </c>
      <c r="R7" s="34">
        <v>15</v>
      </c>
      <c r="S7" s="7">
        <v>119</v>
      </c>
      <c r="T7" s="16">
        <f t="shared" si="1"/>
        <v>30</v>
      </c>
      <c r="U7" s="15">
        <v>98</v>
      </c>
      <c r="V7" s="16">
        <f t="shared" si="2"/>
        <v>2940</v>
      </c>
      <c r="W7" s="15">
        <v>12</v>
      </c>
      <c r="X7" s="54" t="s">
        <v>46</v>
      </c>
      <c r="Y7" s="54" t="s">
        <v>84</v>
      </c>
      <c r="Z7" s="54" t="s">
        <v>90</v>
      </c>
      <c r="AA7" s="54" t="s">
        <v>69</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54</v>
      </c>
      <c r="L8" s="7">
        <v>1</v>
      </c>
      <c r="N8" s="53">
        <v>4</v>
      </c>
      <c r="O8" s="7">
        <v>0.5</v>
      </c>
      <c r="P8" s="7">
        <v>0.5</v>
      </c>
      <c r="Q8" s="52">
        <f t="shared" si="0"/>
        <v>0.5</v>
      </c>
      <c r="R8" s="34">
        <v>12.8</v>
      </c>
      <c r="S8" s="7">
        <v>71</v>
      </c>
      <c r="T8" s="16">
        <f t="shared" si="1"/>
        <v>50</v>
      </c>
      <c r="U8" s="15">
        <v>580</v>
      </c>
      <c r="V8" s="16">
        <f t="shared" si="2"/>
        <v>7250</v>
      </c>
      <c r="W8" s="15">
        <v>2</v>
      </c>
      <c r="X8" s="54" t="s">
        <v>46</v>
      </c>
      <c r="Y8" s="54" t="s">
        <v>84</v>
      </c>
      <c r="Z8" s="54" t="s">
        <v>90</v>
      </c>
      <c r="AA8" s="54" t="s">
        <v>69</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53" t="s">
        <v>159</v>
      </c>
      <c r="J9" s="54" t="s">
        <v>38</v>
      </c>
      <c r="K9" s="53" t="s">
        <v>54</v>
      </c>
      <c r="L9" s="7">
        <v>2</v>
      </c>
      <c r="N9" s="7">
        <v>4</v>
      </c>
      <c r="O9" s="7">
        <v>0.5</v>
      </c>
      <c r="P9" s="7">
        <v>0.5</v>
      </c>
      <c r="Q9" s="52">
        <f t="shared" si="0"/>
        <v>0.5</v>
      </c>
      <c r="R9" s="7">
        <v>18.8</v>
      </c>
      <c r="S9" s="7">
        <v>76</v>
      </c>
      <c r="T9" s="16">
        <f t="shared" si="1"/>
        <v>42</v>
      </c>
      <c r="U9" s="15">
        <v>580</v>
      </c>
      <c r="V9" s="16">
        <f t="shared" si="2"/>
        <v>6090</v>
      </c>
      <c r="W9" s="15">
        <v>2</v>
      </c>
      <c r="X9" s="54" t="s">
        <v>46</v>
      </c>
      <c r="Y9" s="54" t="s">
        <v>84</v>
      </c>
      <c r="Z9" s="54" t="s">
        <v>90</v>
      </c>
      <c r="AA9" s="54" t="s">
        <v>69</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53" t="s">
        <v>159</v>
      </c>
      <c r="J10" s="54" t="s">
        <v>38</v>
      </c>
      <c r="K10" s="53" t="s">
        <v>54</v>
      </c>
      <c r="L10" s="7">
        <v>3</v>
      </c>
      <c r="N10" s="53">
        <v>4</v>
      </c>
      <c r="O10" s="7">
        <v>0.5</v>
      </c>
      <c r="P10" s="7">
        <v>0.5</v>
      </c>
      <c r="Q10" s="52">
        <f t="shared" si="0"/>
        <v>0.5</v>
      </c>
      <c r="R10" s="7">
        <v>14.7</v>
      </c>
      <c r="S10" s="7">
        <v>71</v>
      </c>
      <c r="T10" s="16">
        <f t="shared" si="1"/>
        <v>50</v>
      </c>
      <c r="U10" s="15">
        <v>580</v>
      </c>
      <c r="V10" s="16">
        <f t="shared" si="2"/>
        <v>7250</v>
      </c>
      <c r="W10" s="15">
        <v>2</v>
      </c>
      <c r="X10" s="54" t="s">
        <v>46</v>
      </c>
      <c r="Y10" s="54" t="s">
        <v>84</v>
      </c>
      <c r="Z10" s="54" t="s">
        <v>90</v>
      </c>
      <c r="AA10" s="54" t="s">
        <v>69</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142</v>
      </c>
      <c r="F11" s="7" t="s">
        <v>151</v>
      </c>
      <c r="G11" s="7" t="s">
        <v>36</v>
      </c>
      <c r="H11" s="15" t="s">
        <v>163</v>
      </c>
      <c r="I11" s="7" t="s">
        <v>159</v>
      </c>
      <c r="J11" s="15" t="s">
        <v>38</v>
      </c>
      <c r="K11" s="7" t="s">
        <v>160</v>
      </c>
      <c r="L11" s="7">
        <v>1</v>
      </c>
      <c r="N11" s="53">
        <v>1</v>
      </c>
      <c r="O11" s="7">
        <v>0.5</v>
      </c>
      <c r="P11" s="7">
        <v>0.5</v>
      </c>
      <c r="Q11" s="52">
        <f t="shared" si="0"/>
        <v>0.5</v>
      </c>
      <c r="R11" s="7">
        <v>13.6</v>
      </c>
      <c r="S11" s="7">
        <v>119</v>
      </c>
      <c r="T11" s="16">
        <f t="shared" si="1"/>
        <v>30</v>
      </c>
      <c r="U11" s="7">
        <v>138</v>
      </c>
      <c r="V11" s="16">
        <f t="shared" si="2"/>
        <v>4140</v>
      </c>
      <c r="W11" s="7">
        <v>3</v>
      </c>
      <c r="X11" s="54" t="s">
        <v>46</v>
      </c>
      <c r="Y11" s="54" t="s">
        <v>84</v>
      </c>
      <c r="Z11" s="54" t="s">
        <v>90</v>
      </c>
      <c r="AA11" s="54" t="s">
        <v>69</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142</v>
      </c>
      <c r="F12" s="7" t="s">
        <v>151</v>
      </c>
      <c r="G12" s="7" t="s">
        <v>36</v>
      </c>
      <c r="H12" s="54" t="s">
        <v>163</v>
      </c>
      <c r="I12" s="53" t="s">
        <v>159</v>
      </c>
      <c r="J12" s="15" t="s">
        <v>38</v>
      </c>
      <c r="K12" s="7" t="s">
        <v>160</v>
      </c>
      <c r="L12" s="7">
        <v>2</v>
      </c>
      <c r="N12" s="53">
        <v>1</v>
      </c>
      <c r="O12" s="7">
        <v>0.5</v>
      </c>
      <c r="P12" s="7">
        <v>0.5</v>
      </c>
      <c r="Q12" s="52">
        <f t="shared" si="0"/>
        <v>0.5</v>
      </c>
      <c r="R12" s="34">
        <v>13.2</v>
      </c>
      <c r="S12" s="7">
        <v>115</v>
      </c>
      <c r="T12" s="16">
        <f t="shared" si="1"/>
        <v>30</v>
      </c>
      <c r="U12" s="7">
        <v>138</v>
      </c>
      <c r="V12" s="16">
        <f t="shared" si="2"/>
        <v>4140</v>
      </c>
      <c r="W12" s="7">
        <v>3</v>
      </c>
      <c r="X12" s="54" t="s">
        <v>46</v>
      </c>
      <c r="Y12" s="54" t="s">
        <v>84</v>
      </c>
      <c r="Z12" s="54" t="s">
        <v>90</v>
      </c>
      <c r="AA12" s="54" t="s">
        <v>69</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142</v>
      </c>
      <c r="F13" s="7" t="s">
        <v>151</v>
      </c>
      <c r="G13" s="7" t="s">
        <v>36</v>
      </c>
      <c r="H13" s="54" t="s">
        <v>163</v>
      </c>
      <c r="I13" s="53" t="s">
        <v>159</v>
      </c>
      <c r="J13" s="15" t="s">
        <v>38</v>
      </c>
      <c r="K13" s="7" t="s">
        <v>160</v>
      </c>
      <c r="L13" s="7">
        <v>3</v>
      </c>
      <c r="N13" s="53">
        <v>1</v>
      </c>
      <c r="O13" s="7">
        <v>0.55000000000000004</v>
      </c>
      <c r="P13" s="7">
        <v>0.7</v>
      </c>
      <c r="Q13" s="52">
        <f t="shared" si="0"/>
        <v>0.625</v>
      </c>
      <c r="R13" s="7">
        <v>11.1</v>
      </c>
      <c r="S13" s="7">
        <v>119</v>
      </c>
      <c r="T13" s="16">
        <f t="shared" si="1"/>
        <v>30</v>
      </c>
      <c r="U13" s="7">
        <v>138</v>
      </c>
      <c r="V13" s="16">
        <f t="shared" si="2"/>
        <v>4140</v>
      </c>
      <c r="W13" s="7">
        <v>3</v>
      </c>
      <c r="X13" s="54" t="s">
        <v>46</v>
      </c>
      <c r="Y13" s="54" t="s">
        <v>84</v>
      </c>
      <c r="Z13" s="54" t="s">
        <v>90</v>
      </c>
      <c r="AA13" s="54" t="s">
        <v>69</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54</v>
      </c>
      <c r="L14" s="7">
        <v>1</v>
      </c>
      <c r="N14" s="53">
        <v>1</v>
      </c>
      <c r="O14" s="7">
        <v>0.5</v>
      </c>
      <c r="P14" s="7">
        <v>0.5</v>
      </c>
      <c r="Q14" s="52">
        <f t="shared" si="0"/>
        <v>0.5</v>
      </c>
      <c r="R14" s="7">
        <v>18</v>
      </c>
      <c r="S14" s="7">
        <v>116</v>
      </c>
      <c r="T14" s="16">
        <f t="shared" si="1"/>
        <v>33</v>
      </c>
      <c r="U14" s="7">
        <v>198</v>
      </c>
      <c r="V14" s="16">
        <f t="shared" si="2"/>
        <v>6534</v>
      </c>
      <c r="W14" s="7">
        <v>1</v>
      </c>
      <c r="X14" s="54" t="s">
        <v>46</v>
      </c>
      <c r="Y14" s="54" t="s">
        <v>84</v>
      </c>
      <c r="Z14" s="54" t="s">
        <v>90</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54</v>
      </c>
      <c r="L15" s="7">
        <v>2</v>
      </c>
      <c r="N15" s="53">
        <v>1</v>
      </c>
      <c r="O15" s="7">
        <v>0.5</v>
      </c>
      <c r="P15" s="7">
        <v>0.5</v>
      </c>
      <c r="Q15" s="52">
        <f t="shared" si="0"/>
        <v>0.5</v>
      </c>
      <c r="R15" s="7">
        <v>18.8</v>
      </c>
      <c r="S15" s="7">
        <v>112</v>
      </c>
      <c r="T15" s="16">
        <f t="shared" si="1"/>
        <v>33</v>
      </c>
      <c r="U15" s="7">
        <v>198</v>
      </c>
      <c r="V15" s="16">
        <f t="shared" si="2"/>
        <v>6534</v>
      </c>
      <c r="W15" s="7">
        <v>1</v>
      </c>
      <c r="X15" s="54" t="s">
        <v>46</v>
      </c>
      <c r="Y15" s="54" t="s">
        <v>84</v>
      </c>
      <c r="Z15" s="54" t="s">
        <v>90</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54</v>
      </c>
      <c r="L16" s="7">
        <v>3</v>
      </c>
      <c r="N16" s="53">
        <v>1</v>
      </c>
      <c r="O16" s="7">
        <v>0.5</v>
      </c>
      <c r="P16" s="7">
        <v>0.5</v>
      </c>
      <c r="Q16" s="52">
        <f t="shared" si="0"/>
        <v>0.5</v>
      </c>
      <c r="R16" s="7">
        <v>15.8</v>
      </c>
      <c r="S16" s="7">
        <v>110</v>
      </c>
      <c r="T16" s="16">
        <f t="shared" si="1"/>
        <v>33</v>
      </c>
      <c r="U16" s="7">
        <v>198</v>
      </c>
      <c r="V16" s="16">
        <f t="shared" si="2"/>
        <v>6534</v>
      </c>
      <c r="W16" s="7">
        <v>1</v>
      </c>
      <c r="X16" s="54" t="s">
        <v>46</v>
      </c>
      <c r="Y16" s="54" t="s">
        <v>84</v>
      </c>
      <c r="Z16" s="54" t="s">
        <v>90</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143</v>
      </c>
      <c r="F17" s="7" t="s">
        <v>152</v>
      </c>
      <c r="G17" s="7" t="s">
        <v>36</v>
      </c>
      <c r="H17" s="15" t="s">
        <v>163</v>
      </c>
      <c r="I17" s="7" t="s">
        <v>159</v>
      </c>
      <c r="J17" s="15" t="s">
        <v>38</v>
      </c>
      <c r="K17" s="7" t="s">
        <v>160</v>
      </c>
      <c r="L17" s="7">
        <v>1</v>
      </c>
      <c r="N17" s="53">
        <v>1</v>
      </c>
      <c r="O17" s="7">
        <v>0.75</v>
      </c>
      <c r="P17" s="7">
        <v>0.85</v>
      </c>
      <c r="Q17" s="52">
        <f t="shared" si="0"/>
        <v>0.8</v>
      </c>
      <c r="R17" s="7">
        <v>14.3</v>
      </c>
      <c r="S17" s="7">
        <v>118</v>
      </c>
      <c r="T17" s="16">
        <f t="shared" si="1"/>
        <v>30</v>
      </c>
      <c r="U17" s="7">
        <v>98</v>
      </c>
      <c r="V17" s="16">
        <f t="shared" si="2"/>
        <v>2940</v>
      </c>
      <c r="W17" s="7">
        <v>2</v>
      </c>
      <c r="X17" s="54" t="s">
        <v>39</v>
      </c>
      <c r="Y17" s="54" t="s">
        <v>84</v>
      </c>
      <c r="Z17" s="54" t="s">
        <v>40</v>
      </c>
      <c r="AA17" s="54" t="s">
        <v>78</v>
      </c>
      <c r="AB17" s="39" t="s">
        <v>158</v>
      </c>
      <c r="AE17" s="22" t="s">
        <v>85</v>
      </c>
      <c r="AP17" s="43" t="s">
        <v>110</v>
      </c>
      <c r="AR17" s="41" t="s">
        <v>96</v>
      </c>
      <c r="AV17" s="23" t="s">
        <v>86</v>
      </c>
    </row>
    <row r="18" spans="1:48" x14ac:dyDescent="0.15">
      <c r="A18" s="15" t="s">
        <v>156</v>
      </c>
      <c r="B18" s="15" t="s">
        <v>157</v>
      </c>
      <c r="C18" s="15">
        <v>2019</v>
      </c>
      <c r="D18" s="37" t="s">
        <v>165</v>
      </c>
      <c r="E18" s="15" t="s">
        <v>143</v>
      </c>
      <c r="F18" s="7" t="s">
        <v>152</v>
      </c>
      <c r="G18" s="7" t="s">
        <v>36</v>
      </c>
      <c r="H18" s="15" t="s">
        <v>163</v>
      </c>
      <c r="I18" s="7" t="s">
        <v>159</v>
      </c>
      <c r="J18" s="15" t="s">
        <v>38</v>
      </c>
      <c r="K18" s="7" t="s">
        <v>160</v>
      </c>
      <c r="L18" s="7">
        <v>2</v>
      </c>
      <c r="N18" s="53">
        <v>1</v>
      </c>
      <c r="O18" s="7">
        <v>0.75</v>
      </c>
      <c r="P18" s="7">
        <v>0.75</v>
      </c>
      <c r="Q18" s="52">
        <f t="shared" si="0"/>
        <v>0.75</v>
      </c>
      <c r="R18" s="7">
        <v>11.8</v>
      </c>
      <c r="S18" s="7">
        <v>118</v>
      </c>
      <c r="T18" s="16">
        <f t="shared" si="1"/>
        <v>30</v>
      </c>
      <c r="U18" s="7">
        <v>98</v>
      </c>
      <c r="V18" s="16">
        <f t="shared" si="2"/>
        <v>2940</v>
      </c>
      <c r="W18" s="7">
        <v>2</v>
      </c>
      <c r="X18" s="54" t="s">
        <v>39</v>
      </c>
      <c r="Y18" s="54" t="s">
        <v>84</v>
      </c>
      <c r="Z18" s="54" t="s">
        <v>40</v>
      </c>
      <c r="AA18" s="54" t="s">
        <v>78</v>
      </c>
      <c r="AB18" s="39" t="s">
        <v>158</v>
      </c>
      <c r="AE18" s="22" t="s">
        <v>87</v>
      </c>
      <c r="AP18" s="43" t="s">
        <v>111</v>
      </c>
      <c r="AR18" s="41" t="s">
        <v>101</v>
      </c>
      <c r="AV18" s="23" t="s">
        <v>88</v>
      </c>
    </row>
    <row r="19" spans="1:48" x14ac:dyDescent="0.15">
      <c r="A19" s="15" t="s">
        <v>156</v>
      </c>
      <c r="B19" s="15" t="s">
        <v>157</v>
      </c>
      <c r="C19" s="15">
        <v>2019</v>
      </c>
      <c r="D19" s="37" t="s">
        <v>165</v>
      </c>
      <c r="E19" s="15" t="s">
        <v>143</v>
      </c>
      <c r="F19" s="7" t="s">
        <v>152</v>
      </c>
      <c r="G19" s="7" t="s">
        <v>36</v>
      </c>
      <c r="H19" s="15" t="s">
        <v>163</v>
      </c>
      <c r="I19" s="7" t="s">
        <v>159</v>
      </c>
      <c r="J19" s="15" t="s">
        <v>38</v>
      </c>
      <c r="K19" s="7" t="s">
        <v>160</v>
      </c>
      <c r="L19" s="7">
        <v>3</v>
      </c>
      <c r="N19" s="53">
        <v>1</v>
      </c>
      <c r="O19" s="7">
        <v>0.8</v>
      </c>
      <c r="P19" s="7">
        <v>0.85</v>
      </c>
      <c r="Q19" s="52">
        <f t="shared" si="0"/>
        <v>0.82499999999999996</v>
      </c>
      <c r="R19" s="7">
        <v>13.5</v>
      </c>
      <c r="S19" s="7">
        <v>125</v>
      </c>
      <c r="T19" s="16">
        <f t="shared" si="1"/>
        <v>27</v>
      </c>
      <c r="U19" s="7">
        <v>98</v>
      </c>
      <c r="V19" s="16">
        <f t="shared" si="2"/>
        <v>2646</v>
      </c>
      <c r="W19" s="7">
        <v>2</v>
      </c>
      <c r="X19" s="54" t="s">
        <v>39</v>
      </c>
      <c r="Y19" s="54" t="s">
        <v>84</v>
      </c>
      <c r="Z19" s="54" t="s">
        <v>40</v>
      </c>
      <c r="AA19" s="54" t="s">
        <v>78</v>
      </c>
      <c r="AB19" s="39" t="s">
        <v>158</v>
      </c>
      <c r="AE19" s="35" t="s">
        <v>89</v>
      </c>
      <c r="AP19" s="43" t="s">
        <v>112</v>
      </c>
      <c r="AR19" s="30" t="s">
        <v>126</v>
      </c>
      <c r="AV19" s="23" t="s">
        <v>90</v>
      </c>
    </row>
    <row r="20" spans="1:48" x14ac:dyDescent="0.15">
      <c r="A20" s="15" t="s">
        <v>156</v>
      </c>
      <c r="B20" s="15" t="s">
        <v>157</v>
      </c>
      <c r="C20" s="15">
        <v>2019</v>
      </c>
      <c r="D20" s="37" t="s">
        <v>165</v>
      </c>
      <c r="E20" s="15" t="s">
        <v>131</v>
      </c>
      <c r="F20" s="7" t="s">
        <v>144</v>
      </c>
      <c r="G20" s="7" t="s">
        <v>36</v>
      </c>
      <c r="H20" s="15" t="s">
        <v>163</v>
      </c>
      <c r="I20" s="7" t="s">
        <v>159</v>
      </c>
      <c r="J20" s="15" t="s">
        <v>38</v>
      </c>
      <c r="K20" s="7" t="s">
        <v>160</v>
      </c>
      <c r="L20" s="7">
        <v>1</v>
      </c>
      <c r="N20" s="53">
        <v>5</v>
      </c>
      <c r="O20" s="7">
        <v>0.55000000000000004</v>
      </c>
      <c r="P20" s="34">
        <v>0.55000000000000004</v>
      </c>
      <c r="Q20" s="52">
        <f t="shared" si="0"/>
        <v>0.55000000000000004</v>
      </c>
      <c r="R20" s="7">
        <v>13.1</v>
      </c>
      <c r="S20" s="7">
        <v>87</v>
      </c>
      <c r="T20" s="16">
        <f t="shared" si="1"/>
        <v>36</v>
      </c>
      <c r="U20" s="7">
        <v>430</v>
      </c>
      <c r="V20" s="16">
        <f t="shared" si="2"/>
        <v>3096</v>
      </c>
      <c r="W20" s="7">
        <v>2</v>
      </c>
      <c r="X20" s="54" t="s">
        <v>39</v>
      </c>
      <c r="Y20" s="54" t="s">
        <v>84</v>
      </c>
      <c r="Z20" s="54" t="s">
        <v>40</v>
      </c>
      <c r="AA20" s="54" t="s">
        <v>50</v>
      </c>
      <c r="AB20" s="39" t="s">
        <v>158</v>
      </c>
      <c r="AE20" s="22"/>
      <c r="AP20" s="43" t="s">
        <v>113</v>
      </c>
      <c r="AR20" s="41" t="s">
        <v>105</v>
      </c>
      <c r="AV20" s="27" t="s">
        <v>135</v>
      </c>
    </row>
    <row r="21" spans="1:48" x14ac:dyDescent="0.15">
      <c r="A21" s="15" t="s">
        <v>156</v>
      </c>
      <c r="B21" s="15" t="s">
        <v>157</v>
      </c>
      <c r="C21" s="15">
        <v>2019</v>
      </c>
      <c r="D21" s="37" t="s">
        <v>165</v>
      </c>
      <c r="E21" s="15" t="s">
        <v>131</v>
      </c>
      <c r="F21" s="7" t="s">
        <v>144</v>
      </c>
      <c r="G21" s="7" t="s">
        <v>36</v>
      </c>
      <c r="H21" s="54" t="s">
        <v>163</v>
      </c>
      <c r="I21" s="7" t="s">
        <v>159</v>
      </c>
      <c r="J21" s="15" t="s">
        <v>38</v>
      </c>
      <c r="K21" s="53" t="s">
        <v>160</v>
      </c>
      <c r="L21" s="7">
        <v>2</v>
      </c>
      <c r="N21" s="53">
        <v>5</v>
      </c>
      <c r="O21" s="7">
        <v>0.5</v>
      </c>
      <c r="P21" s="7">
        <v>0.5</v>
      </c>
      <c r="Q21" s="52">
        <f t="shared" si="0"/>
        <v>0.5</v>
      </c>
      <c r="R21" s="7">
        <v>13.1</v>
      </c>
      <c r="S21" s="7">
        <v>88</v>
      </c>
      <c r="T21" s="16">
        <f t="shared" si="1"/>
        <v>36</v>
      </c>
      <c r="U21" s="7">
        <v>430</v>
      </c>
      <c r="V21" s="16">
        <f t="shared" si="2"/>
        <v>3096</v>
      </c>
      <c r="W21" s="7">
        <v>2</v>
      </c>
      <c r="X21" s="54" t="s">
        <v>39</v>
      </c>
      <c r="Y21" s="54" t="s">
        <v>84</v>
      </c>
      <c r="Z21" s="54" t="s">
        <v>40</v>
      </c>
      <c r="AA21" s="54" t="s">
        <v>50</v>
      </c>
      <c r="AB21" s="39" t="s">
        <v>158</v>
      </c>
      <c r="AE21" s="22"/>
      <c r="AP21" s="43" t="s">
        <v>114</v>
      </c>
      <c r="AR21" s="41" t="s">
        <v>68</v>
      </c>
      <c r="AV21" s="27" t="s">
        <v>136</v>
      </c>
    </row>
    <row r="22" spans="1:48" x14ac:dyDescent="0.15">
      <c r="A22" s="15" t="s">
        <v>156</v>
      </c>
      <c r="B22" s="15" t="s">
        <v>157</v>
      </c>
      <c r="C22" s="15">
        <v>2019</v>
      </c>
      <c r="D22" s="37" t="s">
        <v>165</v>
      </c>
      <c r="E22" s="15" t="s">
        <v>131</v>
      </c>
      <c r="F22" s="7" t="s">
        <v>144</v>
      </c>
      <c r="G22" s="7" t="s">
        <v>36</v>
      </c>
      <c r="H22" s="54" t="s">
        <v>163</v>
      </c>
      <c r="I22" s="7" t="s">
        <v>159</v>
      </c>
      <c r="J22" s="15" t="s">
        <v>38</v>
      </c>
      <c r="K22" s="53" t="s">
        <v>160</v>
      </c>
      <c r="L22" s="7">
        <v>3</v>
      </c>
      <c r="N22" s="7">
        <v>5</v>
      </c>
      <c r="O22" s="34">
        <v>0.5</v>
      </c>
      <c r="P22" s="7">
        <v>0.5</v>
      </c>
      <c r="Q22" s="52">
        <f t="shared" si="0"/>
        <v>0.5</v>
      </c>
      <c r="R22" s="7">
        <v>12.1</v>
      </c>
      <c r="S22" s="7">
        <v>85</v>
      </c>
      <c r="T22" s="16">
        <f t="shared" si="1"/>
        <v>36</v>
      </c>
      <c r="U22" s="7">
        <v>430</v>
      </c>
      <c r="V22" s="16">
        <f t="shared" si="2"/>
        <v>3096</v>
      </c>
      <c r="W22" s="7">
        <v>2</v>
      </c>
      <c r="X22" s="54" t="s">
        <v>39</v>
      </c>
      <c r="Y22" s="54" t="s">
        <v>84</v>
      </c>
      <c r="Z22" s="54" t="s">
        <v>40</v>
      </c>
      <c r="AA22" s="54" t="s">
        <v>50</v>
      </c>
      <c r="AB22" s="39" t="s">
        <v>158</v>
      </c>
      <c r="AE22" s="35"/>
      <c r="AP22" s="43" t="s">
        <v>115</v>
      </c>
      <c r="AR22" s="41" t="s">
        <v>83</v>
      </c>
      <c r="AV22" s="27"/>
    </row>
    <row r="23" spans="1:48" x14ac:dyDescent="0.15">
      <c r="A23" s="15" t="s">
        <v>156</v>
      </c>
      <c r="B23" s="15" t="s">
        <v>157</v>
      </c>
      <c r="C23" s="15">
        <v>2019</v>
      </c>
      <c r="D23" s="37" t="s">
        <v>165</v>
      </c>
      <c r="E23" s="7" t="s">
        <v>131</v>
      </c>
      <c r="F23" s="7" t="s">
        <v>144</v>
      </c>
      <c r="G23" s="7" t="s">
        <v>36</v>
      </c>
      <c r="H23" s="15" t="s">
        <v>128</v>
      </c>
      <c r="I23" s="7" t="s">
        <v>159</v>
      </c>
      <c r="J23" s="15" t="s">
        <v>58</v>
      </c>
      <c r="K23" s="7" t="s">
        <v>59</v>
      </c>
      <c r="L23" s="7">
        <v>1</v>
      </c>
      <c r="N23" s="7">
        <v>1</v>
      </c>
      <c r="O23" s="34">
        <v>0.5</v>
      </c>
      <c r="P23" s="7">
        <v>0.5</v>
      </c>
      <c r="Q23" s="52">
        <f t="shared" si="0"/>
        <v>0.5</v>
      </c>
      <c r="R23" s="7">
        <v>13.1</v>
      </c>
      <c r="S23" s="7">
        <v>155</v>
      </c>
      <c r="T23" s="16">
        <f t="shared" si="1"/>
        <v>18</v>
      </c>
      <c r="U23" s="7">
        <v>214</v>
      </c>
      <c r="V23" s="16">
        <f t="shared" si="2"/>
        <v>3852</v>
      </c>
      <c r="W23" s="7">
        <v>1</v>
      </c>
      <c r="X23" s="54" t="s">
        <v>39</v>
      </c>
      <c r="Y23" s="54" t="s">
        <v>84</v>
      </c>
      <c r="Z23" s="54" t="s">
        <v>40</v>
      </c>
      <c r="AA23" s="54" t="s">
        <v>50</v>
      </c>
      <c r="AB23" s="39" t="s">
        <v>158</v>
      </c>
      <c r="AE23" s="22"/>
      <c r="AP23" s="43" t="s">
        <v>137</v>
      </c>
      <c r="AR23" s="41" t="s">
        <v>61</v>
      </c>
      <c r="AV23" s="27"/>
    </row>
    <row r="24" spans="1:48" x14ac:dyDescent="0.15">
      <c r="A24" s="15" t="s">
        <v>156</v>
      </c>
      <c r="B24" s="15" t="s">
        <v>157</v>
      </c>
      <c r="C24" s="15">
        <v>2019</v>
      </c>
      <c r="D24" s="37" t="s">
        <v>165</v>
      </c>
      <c r="E24" s="7" t="s">
        <v>131</v>
      </c>
      <c r="F24" s="7" t="s">
        <v>144</v>
      </c>
      <c r="G24" s="7" t="s">
        <v>36</v>
      </c>
      <c r="H24" s="15" t="s">
        <v>128</v>
      </c>
      <c r="I24" s="7" t="s">
        <v>159</v>
      </c>
      <c r="J24" s="15" t="s">
        <v>58</v>
      </c>
      <c r="K24" s="7" t="s">
        <v>59</v>
      </c>
      <c r="L24" s="7">
        <v>2</v>
      </c>
      <c r="N24" s="7">
        <v>1</v>
      </c>
      <c r="O24" s="7">
        <v>0.5</v>
      </c>
      <c r="P24" s="7">
        <v>0.5</v>
      </c>
      <c r="Q24" s="52">
        <f t="shared" si="0"/>
        <v>0.5</v>
      </c>
      <c r="R24" s="7">
        <v>11.1</v>
      </c>
      <c r="S24" s="7">
        <v>154</v>
      </c>
      <c r="T24" s="16">
        <f t="shared" si="1"/>
        <v>18</v>
      </c>
      <c r="U24" s="7">
        <v>214</v>
      </c>
      <c r="V24" s="16">
        <f t="shared" si="2"/>
        <v>3852</v>
      </c>
      <c r="W24" s="7">
        <v>1</v>
      </c>
      <c r="X24" s="54" t="s">
        <v>39</v>
      </c>
      <c r="Y24" s="54" t="s">
        <v>84</v>
      </c>
      <c r="Z24" s="54" t="s">
        <v>40</v>
      </c>
      <c r="AA24" s="54" t="s">
        <v>50</v>
      </c>
      <c r="AB24" s="39" t="s">
        <v>158</v>
      </c>
      <c r="AE24" s="22"/>
      <c r="AP24" s="43" t="s">
        <v>138</v>
      </c>
      <c r="AR24" s="41" t="s">
        <v>91</v>
      </c>
      <c r="AV24" s="27"/>
    </row>
    <row r="25" spans="1:48" x14ac:dyDescent="0.15">
      <c r="A25" s="15" t="s">
        <v>156</v>
      </c>
      <c r="B25" s="15" t="s">
        <v>157</v>
      </c>
      <c r="C25" s="15">
        <v>2019</v>
      </c>
      <c r="D25" s="37" t="s">
        <v>165</v>
      </c>
      <c r="E25" s="7" t="s">
        <v>131</v>
      </c>
      <c r="F25" s="7" t="s">
        <v>144</v>
      </c>
      <c r="G25" s="7" t="s">
        <v>36</v>
      </c>
      <c r="H25" s="15" t="s">
        <v>128</v>
      </c>
      <c r="I25" s="7" t="s">
        <v>159</v>
      </c>
      <c r="J25" s="15" t="s">
        <v>58</v>
      </c>
      <c r="K25" s="7" t="s">
        <v>59</v>
      </c>
      <c r="L25" s="7">
        <v>3</v>
      </c>
      <c r="N25" s="7">
        <v>1</v>
      </c>
      <c r="O25" s="7">
        <v>0.5</v>
      </c>
      <c r="P25" s="7">
        <v>0.5</v>
      </c>
      <c r="Q25" s="52">
        <f t="shared" si="0"/>
        <v>0.5</v>
      </c>
      <c r="R25" s="7">
        <v>11.2</v>
      </c>
      <c r="S25" s="7">
        <v>164</v>
      </c>
      <c r="T25" s="16">
        <f t="shared" si="1"/>
        <v>18</v>
      </c>
      <c r="U25" s="7">
        <v>214</v>
      </c>
      <c r="V25" s="16">
        <f t="shared" si="2"/>
        <v>3852</v>
      </c>
      <c r="W25" s="7">
        <v>1</v>
      </c>
      <c r="X25" s="54" t="s">
        <v>39</v>
      </c>
      <c r="Y25" s="54" t="s">
        <v>84</v>
      </c>
      <c r="Z25" s="54" t="s">
        <v>40</v>
      </c>
      <c r="AA25" s="54" t="s">
        <v>50</v>
      </c>
      <c r="AB25" s="39" t="s">
        <v>158</v>
      </c>
      <c r="AE25" s="35"/>
      <c r="AP25" s="43" t="s">
        <v>116</v>
      </c>
      <c r="AR25" s="42" t="s">
        <v>92</v>
      </c>
      <c r="AV25" s="27"/>
    </row>
    <row r="26" spans="1:48" x14ac:dyDescent="0.15">
      <c r="A26" s="15" t="s">
        <v>156</v>
      </c>
      <c r="B26" s="15" t="s">
        <v>157</v>
      </c>
      <c r="C26" s="15">
        <v>2019</v>
      </c>
      <c r="D26" s="37" t="s">
        <v>165</v>
      </c>
      <c r="E26" s="7" t="s">
        <v>139</v>
      </c>
      <c r="F26" s="7" t="s">
        <v>145</v>
      </c>
      <c r="G26" s="7" t="s">
        <v>36</v>
      </c>
      <c r="H26" s="15" t="s">
        <v>163</v>
      </c>
      <c r="I26" s="7" t="s">
        <v>159</v>
      </c>
      <c r="J26" s="15" t="s">
        <v>38</v>
      </c>
      <c r="K26" s="7" t="s">
        <v>160</v>
      </c>
      <c r="L26" s="7">
        <v>1</v>
      </c>
      <c r="N26" s="53">
        <v>1</v>
      </c>
      <c r="O26" s="7">
        <v>0.55000000000000004</v>
      </c>
      <c r="P26" s="7">
        <v>0.5</v>
      </c>
      <c r="Q26" s="52">
        <f t="shared" si="0"/>
        <v>0.52500000000000002</v>
      </c>
      <c r="R26" s="7">
        <v>12.7</v>
      </c>
      <c r="S26" s="7">
        <v>113</v>
      </c>
      <c r="T26" s="16">
        <f t="shared" si="1"/>
        <v>30</v>
      </c>
      <c r="U26" s="7">
        <v>108</v>
      </c>
      <c r="V26" s="16">
        <f t="shared" si="2"/>
        <v>3240</v>
      </c>
      <c r="W26" s="7">
        <v>2</v>
      </c>
      <c r="X26" s="54" t="s">
        <v>46</v>
      </c>
      <c r="Y26" s="54" t="s">
        <v>84</v>
      </c>
      <c r="Z26" s="54" t="s">
        <v>50</v>
      </c>
      <c r="AA26" s="54" t="s">
        <v>90</v>
      </c>
      <c r="AB26" s="39" t="s">
        <v>158</v>
      </c>
      <c r="AE26" s="35"/>
      <c r="AP26" s="43" t="s">
        <v>117</v>
      </c>
      <c r="AR26" s="23" t="s">
        <v>153</v>
      </c>
      <c r="AV26" s="28"/>
    </row>
    <row r="27" spans="1:48" x14ac:dyDescent="0.15">
      <c r="A27" s="15" t="s">
        <v>156</v>
      </c>
      <c r="B27" s="15" t="s">
        <v>157</v>
      </c>
      <c r="C27" s="15">
        <v>2019</v>
      </c>
      <c r="D27" s="37" t="s">
        <v>165</v>
      </c>
      <c r="E27" s="7" t="s">
        <v>139</v>
      </c>
      <c r="F27" s="7" t="s">
        <v>145</v>
      </c>
      <c r="G27" s="7" t="s">
        <v>36</v>
      </c>
      <c r="H27" s="54" t="s">
        <v>163</v>
      </c>
      <c r="I27" s="53" t="s">
        <v>159</v>
      </c>
      <c r="J27" s="15" t="s">
        <v>38</v>
      </c>
      <c r="K27" s="7" t="s">
        <v>160</v>
      </c>
      <c r="L27" s="7">
        <v>2</v>
      </c>
      <c r="N27" s="53">
        <v>1</v>
      </c>
      <c r="O27" s="7">
        <v>0.5</v>
      </c>
      <c r="P27" s="7">
        <v>0.55000000000000004</v>
      </c>
      <c r="Q27" s="52">
        <f t="shared" si="0"/>
        <v>0.52500000000000002</v>
      </c>
      <c r="R27" s="7">
        <v>12.7</v>
      </c>
      <c r="S27" s="7">
        <v>110</v>
      </c>
      <c r="T27" s="16">
        <f t="shared" si="1"/>
        <v>33</v>
      </c>
      <c r="U27" s="7">
        <v>108</v>
      </c>
      <c r="V27" s="16">
        <f t="shared" si="2"/>
        <v>3564</v>
      </c>
      <c r="W27" s="7">
        <v>2</v>
      </c>
      <c r="X27" s="54" t="s">
        <v>46</v>
      </c>
      <c r="Y27" s="54" t="s">
        <v>84</v>
      </c>
      <c r="Z27" s="54" t="s">
        <v>50</v>
      </c>
      <c r="AA27" s="54" t="s">
        <v>90</v>
      </c>
      <c r="AB27" s="39" t="s">
        <v>158</v>
      </c>
      <c r="AE27" s="28"/>
      <c r="AP27" s="43" t="s">
        <v>118</v>
      </c>
      <c r="AR27" s="23"/>
    </row>
    <row r="28" spans="1:48" x14ac:dyDescent="0.15">
      <c r="A28" s="15" t="s">
        <v>156</v>
      </c>
      <c r="B28" s="15" t="s">
        <v>157</v>
      </c>
      <c r="C28" s="15">
        <v>2019</v>
      </c>
      <c r="D28" s="37" t="s">
        <v>165</v>
      </c>
      <c r="E28" s="7" t="s">
        <v>139</v>
      </c>
      <c r="F28" s="7" t="s">
        <v>145</v>
      </c>
      <c r="G28" s="7" t="s">
        <v>36</v>
      </c>
      <c r="H28" s="54" t="s">
        <v>163</v>
      </c>
      <c r="I28" s="53" t="s">
        <v>159</v>
      </c>
      <c r="J28" s="15" t="s">
        <v>38</v>
      </c>
      <c r="K28" s="7" t="s">
        <v>160</v>
      </c>
      <c r="L28" s="7">
        <v>3</v>
      </c>
      <c r="N28" s="53">
        <v>1</v>
      </c>
      <c r="O28" s="7">
        <v>0.5</v>
      </c>
      <c r="P28" s="7">
        <v>0.5</v>
      </c>
      <c r="Q28" s="52">
        <f t="shared" si="0"/>
        <v>0.5</v>
      </c>
      <c r="R28" s="7">
        <v>13.1</v>
      </c>
      <c r="S28" s="7">
        <v>111</v>
      </c>
      <c r="T28" s="16">
        <f t="shared" si="1"/>
        <v>33</v>
      </c>
      <c r="U28" s="7">
        <v>108</v>
      </c>
      <c r="V28" s="16">
        <f t="shared" si="2"/>
        <v>3564</v>
      </c>
      <c r="W28" s="7">
        <v>2</v>
      </c>
      <c r="X28" s="54" t="s">
        <v>46</v>
      </c>
      <c r="Y28" s="54" t="s">
        <v>84</v>
      </c>
      <c r="Z28" s="54" t="s">
        <v>50</v>
      </c>
      <c r="AA28" s="54" t="s">
        <v>90</v>
      </c>
      <c r="AB28" s="39" t="s">
        <v>158</v>
      </c>
      <c r="AP28" s="27"/>
      <c r="AR28" s="23"/>
    </row>
    <row r="29" spans="1:48" x14ac:dyDescent="0.15">
      <c r="A29" s="15" t="s">
        <v>156</v>
      </c>
      <c r="B29" s="15" t="s">
        <v>157</v>
      </c>
      <c r="C29" s="15">
        <v>2019</v>
      </c>
      <c r="D29" s="37" t="s">
        <v>165</v>
      </c>
      <c r="E29" s="7" t="s">
        <v>139</v>
      </c>
      <c r="F29" s="7" t="s">
        <v>145</v>
      </c>
      <c r="G29" s="7" t="s">
        <v>36</v>
      </c>
      <c r="H29" s="54" t="s">
        <v>164</v>
      </c>
      <c r="I29" s="7" t="s">
        <v>159</v>
      </c>
      <c r="J29" s="15" t="s">
        <v>38</v>
      </c>
      <c r="K29" s="7" t="s">
        <v>54</v>
      </c>
      <c r="L29" s="7">
        <v>1</v>
      </c>
      <c r="N29" s="53">
        <v>1</v>
      </c>
      <c r="O29" s="7">
        <v>0.5</v>
      </c>
      <c r="P29" s="7">
        <v>0.5</v>
      </c>
      <c r="Q29" s="52">
        <f t="shared" si="0"/>
        <v>0.5</v>
      </c>
      <c r="R29" s="7">
        <v>18.100000000000001</v>
      </c>
      <c r="S29" s="7">
        <v>121</v>
      </c>
      <c r="T29" s="16">
        <f t="shared" si="1"/>
        <v>30</v>
      </c>
      <c r="U29" s="7">
        <v>213</v>
      </c>
      <c r="V29" s="16">
        <f t="shared" si="2"/>
        <v>6390</v>
      </c>
      <c r="W29" s="7">
        <v>3</v>
      </c>
      <c r="X29" s="54" t="s">
        <v>46</v>
      </c>
      <c r="Y29" s="54" t="s">
        <v>84</v>
      </c>
      <c r="Z29" s="54" t="s">
        <v>50</v>
      </c>
      <c r="AA29" s="54" t="s">
        <v>90</v>
      </c>
      <c r="AB29" s="39" t="s">
        <v>158</v>
      </c>
      <c r="AP29" s="27"/>
      <c r="AR29" s="27"/>
      <c r="AV29" s="28"/>
    </row>
    <row r="30" spans="1:48" x14ac:dyDescent="0.15">
      <c r="A30" s="15" t="s">
        <v>156</v>
      </c>
      <c r="B30" s="15" t="s">
        <v>157</v>
      </c>
      <c r="C30" s="15">
        <v>2019</v>
      </c>
      <c r="D30" s="37" t="s">
        <v>165</v>
      </c>
      <c r="E30" s="7" t="s">
        <v>139</v>
      </c>
      <c r="F30" s="7" t="s">
        <v>145</v>
      </c>
      <c r="G30" s="7" t="s">
        <v>36</v>
      </c>
      <c r="H30" s="54" t="s">
        <v>164</v>
      </c>
      <c r="I30" s="53" t="s">
        <v>159</v>
      </c>
      <c r="J30" s="15" t="s">
        <v>38</v>
      </c>
      <c r="K30" s="7" t="s">
        <v>54</v>
      </c>
      <c r="L30" s="7">
        <v>2</v>
      </c>
      <c r="N30" s="7">
        <v>1</v>
      </c>
      <c r="O30" s="7">
        <v>0.5</v>
      </c>
      <c r="P30" s="7">
        <v>0.5</v>
      </c>
      <c r="Q30" s="52">
        <f t="shared" si="0"/>
        <v>0.5</v>
      </c>
      <c r="R30" s="7">
        <v>19.3</v>
      </c>
      <c r="S30" s="7">
        <v>126</v>
      </c>
      <c r="T30" s="16">
        <f t="shared" si="1"/>
        <v>30</v>
      </c>
      <c r="U30" s="7">
        <v>213</v>
      </c>
      <c r="V30" s="16">
        <f t="shared" si="2"/>
        <v>6390</v>
      </c>
      <c r="W30" s="7">
        <v>3</v>
      </c>
      <c r="X30" s="54" t="s">
        <v>46</v>
      </c>
      <c r="Y30" s="54" t="s">
        <v>84</v>
      </c>
      <c r="Z30" s="54" t="s">
        <v>50</v>
      </c>
      <c r="AA30" s="54" t="s">
        <v>90</v>
      </c>
      <c r="AB30" s="39" t="s">
        <v>158</v>
      </c>
      <c r="AP30" s="27"/>
      <c r="AR30" s="27"/>
    </row>
    <row r="31" spans="1:48" x14ac:dyDescent="0.15">
      <c r="A31" s="15" t="s">
        <v>156</v>
      </c>
      <c r="B31" s="15" t="s">
        <v>157</v>
      </c>
      <c r="C31" s="15">
        <v>2019</v>
      </c>
      <c r="D31" s="37" t="s">
        <v>165</v>
      </c>
      <c r="E31" s="7" t="s">
        <v>139</v>
      </c>
      <c r="F31" s="7" t="s">
        <v>145</v>
      </c>
      <c r="G31" s="7" t="s">
        <v>36</v>
      </c>
      <c r="H31" s="54" t="s">
        <v>164</v>
      </c>
      <c r="I31" s="53" t="s">
        <v>159</v>
      </c>
      <c r="J31" s="15" t="s">
        <v>38</v>
      </c>
      <c r="K31" s="7" t="s">
        <v>54</v>
      </c>
      <c r="L31" s="7">
        <v>3</v>
      </c>
      <c r="N31" s="7">
        <v>1</v>
      </c>
      <c r="O31" s="7">
        <v>0.5</v>
      </c>
      <c r="P31" s="7">
        <v>0.5</v>
      </c>
      <c r="Q31" s="52">
        <f t="shared" si="0"/>
        <v>0.5</v>
      </c>
      <c r="R31" s="7">
        <v>21</v>
      </c>
      <c r="S31" s="7">
        <v>121</v>
      </c>
      <c r="T31" s="16">
        <f t="shared" si="1"/>
        <v>30</v>
      </c>
      <c r="U31" s="7">
        <v>213</v>
      </c>
      <c r="V31" s="16">
        <f t="shared" si="2"/>
        <v>6390</v>
      </c>
      <c r="W31" s="7">
        <v>3</v>
      </c>
      <c r="X31" s="54" t="s">
        <v>46</v>
      </c>
      <c r="Y31" s="54" t="s">
        <v>84</v>
      </c>
      <c r="Z31" s="54" t="s">
        <v>50</v>
      </c>
      <c r="AA31" s="54" t="s">
        <v>90</v>
      </c>
      <c r="AB31" s="39" t="s">
        <v>158</v>
      </c>
      <c r="AP31" s="27"/>
      <c r="AR31" s="27"/>
    </row>
    <row r="32" spans="1:48" x14ac:dyDescent="0.15">
      <c r="A32" s="15" t="s">
        <v>156</v>
      </c>
      <c r="B32" s="15" t="s">
        <v>157</v>
      </c>
      <c r="C32" s="15">
        <v>2019</v>
      </c>
      <c r="D32" s="37" t="s">
        <v>165</v>
      </c>
      <c r="E32" s="7" t="s">
        <v>161</v>
      </c>
      <c r="F32" s="7" t="s">
        <v>162</v>
      </c>
      <c r="G32" s="7" t="s">
        <v>36</v>
      </c>
      <c r="H32" s="15" t="s">
        <v>163</v>
      </c>
      <c r="I32" s="7" t="s">
        <v>159</v>
      </c>
      <c r="J32" s="15" t="s">
        <v>38</v>
      </c>
      <c r="K32" s="7" t="s">
        <v>160</v>
      </c>
      <c r="L32" s="7">
        <v>1</v>
      </c>
      <c r="N32" s="7">
        <v>1</v>
      </c>
      <c r="O32" s="7">
        <v>0.5</v>
      </c>
      <c r="P32" s="7">
        <v>0.6</v>
      </c>
      <c r="Q32" s="52">
        <f t="shared" si="0"/>
        <v>0.55000000000000004</v>
      </c>
      <c r="R32" s="7">
        <v>11.7</v>
      </c>
      <c r="S32" s="7">
        <v>122</v>
      </c>
      <c r="T32" s="16">
        <f t="shared" si="1"/>
        <v>27</v>
      </c>
      <c r="U32" s="7">
        <v>98</v>
      </c>
      <c r="V32" s="16">
        <f t="shared" si="2"/>
        <v>2646</v>
      </c>
      <c r="W32" s="7">
        <v>3</v>
      </c>
      <c r="X32" s="54" t="s">
        <v>39</v>
      </c>
      <c r="Y32" s="54" t="s">
        <v>84</v>
      </c>
      <c r="Z32" s="54" t="s">
        <v>40</v>
      </c>
      <c r="AA32" s="54" t="s">
        <v>78</v>
      </c>
      <c r="AB32" s="39" t="s">
        <v>158</v>
      </c>
      <c r="AP32" s="28"/>
      <c r="AR32" s="28"/>
    </row>
    <row r="33" spans="1:44" x14ac:dyDescent="0.15">
      <c r="A33" s="15" t="s">
        <v>156</v>
      </c>
      <c r="B33" s="15" t="s">
        <v>157</v>
      </c>
      <c r="C33" s="15">
        <v>2019</v>
      </c>
      <c r="D33" s="37" t="s">
        <v>165</v>
      </c>
      <c r="E33" s="7" t="s">
        <v>161</v>
      </c>
      <c r="F33" s="7" t="s">
        <v>162</v>
      </c>
      <c r="G33" s="7" t="s">
        <v>36</v>
      </c>
      <c r="H33" s="54" t="s">
        <v>163</v>
      </c>
      <c r="I33" s="53" t="s">
        <v>159</v>
      </c>
      <c r="J33" s="54" t="s">
        <v>38</v>
      </c>
      <c r="K33" s="53" t="s">
        <v>160</v>
      </c>
      <c r="L33" s="7">
        <v>2</v>
      </c>
      <c r="N33" s="7">
        <v>1</v>
      </c>
      <c r="O33" s="7">
        <v>0.5</v>
      </c>
      <c r="P33" s="7">
        <v>0.5</v>
      </c>
      <c r="Q33" s="52">
        <f t="shared" si="0"/>
        <v>0.5</v>
      </c>
      <c r="R33" s="7">
        <v>12.2</v>
      </c>
      <c r="S33" s="7">
        <v>122</v>
      </c>
      <c r="T33" s="16">
        <f t="shared" si="1"/>
        <v>27</v>
      </c>
      <c r="U33" s="7">
        <v>98</v>
      </c>
      <c r="V33" s="16">
        <f t="shared" si="2"/>
        <v>2646</v>
      </c>
      <c r="W33" s="7">
        <v>3</v>
      </c>
      <c r="X33" s="54" t="s">
        <v>39</v>
      </c>
      <c r="Y33" s="54" t="s">
        <v>84</v>
      </c>
      <c r="Z33" s="54" t="s">
        <v>40</v>
      </c>
      <c r="AA33" s="54" t="s">
        <v>78</v>
      </c>
      <c r="AB33" s="39" t="s">
        <v>158</v>
      </c>
    </row>
    <row r="34" spans="1:44" x14ac:dyDescent="0.15">
      <c r="A34" s="15" t="s">
        <v>156</v>
      </c>
      <c r="B34" s="15" t="s">
        <v>157</v>
      </c>
      <c r="C34" s="15">
        <v>2019</v>
      </c>
      <c r="D34" s="37" t="s">
        <v>165</v>
      </c>
      <c r="E34" s="7" t="s">
        <v>161</v>
      </c>
      <c r="F34" s="7" t="s">
        <v>162</v>
      </c>
      <c r="G34" s="7" t="s">
        <v>36</v>
      </c>
      <c r="H34" s="54" t="s">
        <v>163</v>
      </c>
      <c r="I34" s="53" t="s">
        <v>159</v>
      </c>
      <c r="J34" s="54" t="s">
        <v>38</v>
      </c>
      <c r="K34" s="53" t="s">
        <v>160</v>
      </c>
      <c r="L34" s="7">
        <v>3</v>
      </c>
      <c r="N34" s="7">
        <v>1</v>
      </c>
      <c r="O34" s="7">
        <v>0.55000000000000004</v>
      </c>
      <c r="P34" s="7">
        <v>0.5</v>
      </c>
      <c r="Q34" s="52">
        <f t="shared" si="0"/>
        <v>0.52500000000000002</v>
      </c>
      <c r="R34" s="7">
        <v>13.6</v>
      </c>
      <c r="S34" s="7">
        <v>131</v>
      </c>
      <c r="T34" s="16">
        <f t="shared" si="1"/>
        <v>25</v>
      </c>
      <c r="U34" s="7">
        <v>98</v>
      </c>
      <c r="V34" s="16">
        <f t="shared" si="2"/>
        <v>2450</v>
      </c>
      <c r="W34" s="7">
        <v>3</v>
      </c>
      <c r="X34" s="54" t="s">
        <v>39</v>
      </c>
      <c r="Y34" s="54" t="s">
        <v>84</v>
      </c>
      <c r="Z34" s="54" t="s">
        <v>40</v>
      </c>
      <c r="AA34" s="54" t="s">
        <v>78</v>
      </c>
      <c r="AB34" s="39" t="s">
        <v>158</v>
      </c>
    </row>
    <row r="35" spans="1:44" x14ac:dyDescent="0.15">
      <c r="A35" s="15" t="s">
        <v>156</v>
      </c>
      <c r="B35" s="15" t="s">
        <v>157</v>
      </c>
      <c r="C35" s="15">
        <v>2019</v>
      </c>
      <c r="D35" s="37" t="s">
        <v>165</v>
      </c>
      <c r="E35" s="7" t="s">
        <v>130</v>
      </c>
      <c r="F35" s="7" t="s">
        <v>146</v>
      </c>
      <c r="G35" s="7" t="s">
        <v>36</v>
      </c>
      <c r="H35" s="15" t="s">
        <v>163</v>
      </c>
      <c r="I35" s="7" t="s">
        <v>159</v>
      </c>
      <c r="J35" s="15" t="s">
        <v>38</v>
      </c>
      <c r="K35" s="7" t="s">
        <v>160</v>
      </c>
      <c r="L35" s="7">
        <v>1</v>
      </c>
      <c r="N35" s="7">
        <v>1</v>
      </c>
      <c r="O35" s="7">
        <v>0.5</v>
      </c>
      <c r="P35" s="7">
        <v>0.5</v>
      </c>
      <c r="Q35" s="52">
        <f t="shared" si="0"/>
        <v>0.5</v>
      </c>
      <c r="R35" s="7">
        <v>12.4</v>
      </c>
      <c r="S35" s="7">
        <v>125</v>
      </c>
      <c r="T35" s="16">
        <f t="shared" si="1"/>
        <v>27</v>
      </c>
      <c r="U35" s="7">
        <v>98</v>
      </c>
      <c r="V35" s="16">
        <f t="shared" si="2"/>
        <v>2646</v>
      </c>
      <c r="W35" s="7">
        <v>5</v>
      </c>
      <c r="X35" s="54" t="s">
        <v>46</v>
      </c>
      <c r="Y35" s="54" t="s">
        <v>84</v>
      </c>
      <c r="Z35" s="54" t="s">
        <v>90</v>
      </c>
      <c r="AA35" s="54" t="s">
        <v>40</v>
      </c>
      <c r="AB35" s="39" t="s">
        <v>158</v>
      </c>
      <c r="AP35" s="28"/>
      <c r="AR35" s="28"/>
    </row>
    <row r="36" spans="1:44" x14ac:dyDescent="0.15">
      <c r="A36" s="15" t="s">
        <v>156</v>
      </c>
      <c r="B36" s="15" t="s">
        <v>157</v>
      </c>
      <c r="C36" s="15">
        <v>2019</v>
      </c>
      <c r="D36" s="37" t="s">
        <v>165</v>
      </c>
      <c r="E36" s="7" t="s">
        <v>130</v>
      </c>
      <c r="F36" s="7" t="s">
        <v>146</v>
      </c>
      <c r="G36" s="7" t="s">
        <v>36</v>
      </c>
      <c r="H36" s="54" t="s">
        <v>163</v>
      </c>
      <c r="I36" s="7" t="s">
        <v>159</v>
      </c>
      <c r="J36" s="15" t="s">
        <v>38</v>
      </c>
      <c r="K36" s="7" t="s">
        <v>160</v>
      </c>
      <c r="L36" s="7">
        <v>2</v>
      </c>
      <c r="N36" s="7">
        <v>1</v>
      </c>
      <c r="O36" s="7">
        <v>0.5</v>
      </c>
      <c r="P36" s="7">
        <v>0.5</v>
      </c>
      <c r="Q36" s="52">
        <f t="shared" si="0"/>
        <v>0.5</v>
      </c>
      <c r="R36" s="7">
        <v>14.2</v>
      </c>
      <c r="S36" s="7">
        <v>123</v>
      </c>
      <c r="T36" s="16">
        <f t="shared" si="1"/>
        <v>27</v>
      </c>
      <c r="U36" s="7">
        <v>98</v>
      </c>
      <c r="V36" s="16">
        <f t="shared" si="2"/>
        <v>2646</v>
      </c>
      <c r="W36" s="7">
        <v>5</v>
      </c>
      <c r="X36" s="54" t="s">
        <v>46</v>
      </c>
      <c r="Y36" s="54" t="s">
        <v>84</v>
      </c>
      <c r="Z36" s="54" t="s">
        <v>90</v>
      </c>
      <c r="AA36" s="54" t="s">
        <v>40</v>
      </c>
      <c r="AB36" s="39" t="s">
        <v>158</v>
      </c>
    </row>
    <row r="37" spans="1:44" x14ac:dyDescent="0.15">
      <c r="A37" s="15" t="s">
        <v>156</v>
      </c>
      <c r="B37" s="15" t="s">
        <v>157</v>
      </c>
      <c r="C37" s="15">
        <v>2019</v>
      </c>
      <c r="D37" s="37" t="s">
        <v>165</v>
      </c>
      <c r="E37" s="7" t="s">
        <v>130</v>
      </c>
      <c r="F37" s="7" t="s">
        <v>146</v>
      </c>
      <c r="G37" s="7" t="s">
        <v>36</v>
      </c>
      <c r="H37" s="54" t="s">
        <v>163</v>
      </c>
      <c r="I37" s="7" t="s">
        <v>159</v>
      </c>
      <c r="J37" s="15" t="s">
        <v>38</v>
      </c>
      <c r="K37" s="7" t="s">
        <v>160</v>
      </c>
      <c r="L37" s="7">
        <v>3</v>
      </c>
      <c r="N37" s="7">
        <v>1</v>
      </c>
      <c r="O37" s="34">
        <v>0.5</v>
      </c>
      <c r="P37" s="34">
        <v>0.5</v>
      </c>
      <c r="Q37" s="52">
        <f t="shared" si="0"/>
        <v>0.5</v>
      </c>
      <c r="R37" s="7">
        <v>12.9</v>
      </c>
      <c r="S37" s="7">
        <v>116</v>
      </c>
      <c r="T37" s="16">
        <f t="shared" si="1"/>
        <v>30</v>
      </c>
      <c r="U37" s="7">
        <v>98</v>
      </c>
      <c r="V37" s="16">
        <f t="shared" si="2"/>
        <v>2940</v>
      </c>
      <c r="W37" s="7">
        <v>5</v>
      </c>
      <c r="X37" s="54" t="s">
        <v>46</v>
      </c>
      <c r="Y37" s="54" t="s">
        <v>84</v>
      </c>
      <c r="Z37" s="54" t="s">
        <v>90</v>
      </c>
      <c r="AA37" s="54" t="s">
        <v>40</v>
      </c>
      <c r="AB37" s="39" t="s">
        <v>158</v>
      </c>
    </row>
    <row r="38" spans="1:44" x14ac:dyDescent="0.15">
      <c r="A38" s="15" t="s">
        <v>156</v>
      </c>
      <c r="B38" s="15" t="s">
        <v>157</v>
      </c>
      <c r="C38" s="15">
        <v>2019</v>
      </c>
      <c r="D38" s="37" t="s">
        <v>165</v>
      </c>
      <c r="E38" s="7" t="s">
        <v>130</v>
      </c>
      <c r="F38" s="7" t="s">
        <v>146</v>
      </c>
      <c r="G38" s="7" t="s">
        <v>36</v>
      </c>
      <c r="H38" s="15" t="s">
        <v>164</v>
      </c>
      <c r="I38" s="7" t="s">
        <v>159</v>
      </c>
      <c r="J38" s="15" t="s">
        <v>38</v>
      </c>
      <c r="K38" s="7" t="s">
        <v>54</v>
      </c>
      <c r="L38" s="7">
        <v>1</v>
      </c>
      <c r="N38" s="53">
        <v>1</v>
      </c>
      <c r="O38" s="34">
        <v>0.5</v>
      </c>
      <c r="P38" s="34">
        <v>0.5</v>
      </c>
      <c r="Q38" s="52">
        <f t="shared" si="0"/>
        <v>0.5</v>
      </c>
      <c r="R38" s="7">
        <v>17.8</v>
      </c>
      <c r="S38" s="7">
        <v>95</v>
      </c>
      <c r="T38" s="16">
        <f t="shared" si="1"/>
        <v>39</v>
      </c>
      <c r="U38" s="7">
        <v>135</v>
      </c>
      <c r="V38" s="16">
        <f t="shared" si="2"/>
        <v>5265</v>
      </c>
      <c r="W38" s="7">
        <v>1</v>
      </c>
      <c r="X38" s="54" t="s">
        <v>46</v>
      </c>
      <c r="Y38" s="54" t="s">
        <v>84</v>
      </c>
      <c r="Z38" s="54" t="s">
        <v>90</v>
      </c>
      <c r="AA38" s="54" t="s">
        <v>40</v>
      </c>
      <c r="AB38" s="39" t="s">
        <v>158</v>
      </c>
    </row>
    <row r="39" spans="1:44" x14ac:dyDescent="0.15">
      <c r="A39" s="15" t="s">
        <v>156</v>
      </c>
      <c r="B39" s="15" t="s">
        <v>157</v>
      </c>
      <c r="C39" s="15">
        <v>2019</v>
      </c>
      <c r="D39" s="37" t="s">
        <v>165</v>
      </c>
      <c r="E39" s="7" t="s">
        <v>130</v>
      </c>
      <c r="F39" s="7" t="s">
        <v>146</v>
      </c>
      <c r="G39" s="7" t="s">
        <v>36</v>
      </c>
      <c r="H39" s="54" t="s">
        <v>164</v>
      </c>
      <c r="I39" s="7" t="s">
        <v>159</v>
      </c>
      <c r="J39" s="15" t="s">
        <v>38</v>
      </c>
      <c r="K39" s="7" t="s">
        <v>54</v>
      </c>
      <c r="L39" s="7">
        <v>2</v>
      </c>
      <c r="N39" s="53">
        <v>1</v>
      </c>
      <c r="O39" s="7">
        <v>0.5</v>
      </c>
      <c r="P39" s="7">
        <v>0.5</v>
      </c>
      <c r="Q39" s="52">
        <f t="shared" si="0"/>
        <v>0.5</v>
      </c>
      <c r="R39" s="34">
        <v>16.100000000000001</v>
      </c>
      <c r="S39" s="7">
        <v>101</v>
      </c>
      <c r="T39" s="16">
        <f t="shared" si="1"/>
        <v>36</v>
      </c>
      <c r="U39" s="7">
        <v>135</v>
      </c>
      <c r="V39" s="16">
        <f t="shared" si="2"/>
        <v>4860</v>
      </c>
      <c r="W39" s="7">
        <v>1</v>
      </c>
      <c r="X39" s="54" t="s">
        <v>46</v>
      </c>
      <c r="Y39" s="54" t="s">
        <v>84</v>
      </c>
      <c r="Z39" s="54" t="s">
        <v>90</v>
      </c>
      <c r="AA39" s="54" t="s">
        <v>40</v>
      </c>
      <c r="AB39" s="39" t="s">
        <v>158</v>
      </c>
    </row>
    <row r="40" spans="1:44" x14ac:dyDescent="0.15">
      <c r="A40" s="15" t="s">
        <v>156</v>
      </c>
      <c r="B40" s="15" t="s">
        <v>157</v>
      </c>
      <c r="C40" s="15">
        <v>2019</v>
      </c>
      <c r="D40" s="37" t="s">
        <v>165</v>
      </c>
      <c r="E40" s="7" t="s">
        <v>130</v>
      </c>
      <c r="F40" s="7" t="s">
        <v>146</v>
      </c>
      <c r="G40" s="7" t="s">
        <v>36</v>
      </c>
      <c r="H40" s="54" t="s">
        <v>164</v>
      </c>
      <c r="I40" s="7" t="s">
        <v>159</v>
      </c>
      <c r="J40" s="15" t="s">
        <v>38</v>
      </c>
      <c r="K40" s="7" t="s">
        <v>54</v>
      </c>
      <c r="L40" s="7">
        <v>3</v>
      </c>
      <c r="N40" s="53">
        <v>1</v>
      </c>
      <c r="O40" s="7">
        <v>0.5</v>
      </c>
      <c r="P40" s="7">
        <v>0.5</v>
      </c>
      <c r="Q40" s="52">
        <f t="shared" si="0"/>
        <v>0.5</v>
      </c>
      <c r="R40" s="7">
        <v>19.100000000000001</v>
      </c>
      <c r="S40" s="7">
        <v>99</v>
      </c>
      <c r="T40" s="16">
        <f t="shared" si="1"/>
        <v>36</v>
      </c>
      <c r="U40" s="7">
        <v>135</v>
      </c>
      <c r="V40" s="16">
        <f t="shared" si="2"/>
        <v>4860</v>
      </c>
      <c r="W40" s="7">
        <v>1</v>
      </c>
      <c r="X40" s="54" t="s">
        <v>46</v>
      </c>
      <c r="Y40" s="54" t="s">
        <v>84</v>
      </c>
      <c r="Z40" s="54" t="s">
        <v>90</v>
      </c>
      <c r="AA40" s="54" t="s">
        <v>40</v>
      </c>
      <c r="AB40" s="39" t="s">
        <v>158</v>
      </c>
    </row>
    <row r="41" spans="1:44" ht="12.75" customHeight="1" x14ac:dyDescent="0.15">
      <c r="A41" s="15" t="s">
        <v>156</v>
      </c>
      <c r="B41" s="15" t="s">
        <v>157</v>
      </c>
      <c r="C41" s="15">
        <v>2019</v>
      </c>
      <c r="D41" s="37" t="s">
        <v>165</v>
      </c>
      <c r="E41" s="7" t="s">
        <v>132</v>
      </c>
      <c r="F41" s="7" t="s">
        <v>147</v>
      </c>
      <c r="G41" s="7" t="s">
        <v>36</v>
      </c>
      <c r="H41" s="15" t="s">
        <v>163</v>
      </c>
      <c r="I41" s="7" t="s">
        <v>159</v>
      </c>
      <c r="J41" s="15" t="s">
        <v>38</v>
      </c>
      <c r="K41" s="7" t="s">
        <v>160</v>
      </c>
      <c r="L41" s="7">
        <v>1</v>
      </c>
      <c r="N41" s="7">
        <v>1</v>
      </c>
      <c r="O41" s="7">
        <v>0.55000000000000004</v>
      </c>
      <c r="P41" s="7">
        <v>0.55000000000000004</v>
      </c>
      <c r="Q41" s="52">
        <f t="shared" si="0"/>
        <v>0.55000000000000004</v>
      </c>
      <c r="R41" s="7">
        <v>12.4</v>
      </c>
      <c r="S41" s="7">
        <v>119</v>
      </c>
      <c r="T41" s="16">
        <f t="shared" si="1"/>
        <v>30</v>
      </c>
      <c r="U41" s="7">
        <v>108</v>
      </c>
      <c r="V41" s="16">
        <f t="shared" si="2"/>
        <v>3240</v>
      </c>
      <c r="W41" s="7">
        <v>3</v>
      </c>
      <c r="X41" s="54" t="s">
        <v>39</v>
      </c>
      <c r="Y41" s="54" t="s">
        <v>84</v>
      </c>
      <c r="Z41" s="54" t="s">
        <v>90</v>
      </c>
      <c r="AA41" s="54" t="s">
        <v>40</v>
      </c>
      <c r="AB41" s="39" t="s">
        <v>158</v>
      </c>
    </row>
    <row r="42" spans="1:44" x14ac:dyDescent="0.15">
      <c r="A42" s="15" t="s">
        <v>156</v>
      </c>
      <c r="B42" s="15" t="s">
        <v>157</v>
      </c>
      <c r="C42" s="15">
        <v>2019</v>
      </c>
      <c r="D42" s="37" t="s">
        <v>165</v>
      </c>
      <c r="E42" s="7" t="s">
        <v>132</v>
      </c>
      <c r="F42" s="7" t="s">
        <v>147</v>
      </c>
      <c r="G42" s="7" t="s">
        <v>36</v>
      </c>
      <c r="H42" s="54" t="s">
        <v>163</v>
      </c>
      <c r="I42" s="7" t="s">
        <v>159</v>
      </c>
      <c r="J42" s="15" t="s">
        <v>38</v>
      </c>
      <c r="K42" s="53" t="s">
        <v>160</v>
      </c>
      <c r="L42" s="7">
        <v>2</v>
      </c>
      <c r="N42" s="7">
        <v>1</v>
      </c>
      <c r="O42" s="7">
        <v>0.55000000000000004</v>
      </c>
      <c r="P42" s="7">
        <v>0.55000000000000004</v>
      </c>
      <c r="Q42" s="52">
        <f t="shared" si="0"/>
        <v>0.55000000000000004</v>
      </c>
      <c r="R42" s="7">
        <v>13.2</v>
      </c>
      <c r="S42" s="7">
        <v>123</v>
      </c>
      <c r="T42" s="16">
        <f t="shared" si="1"/>
        <v>27</v>
      </c>
      <c r="U42" s="7">
        <v>108</v>
      </c>
      <c r="V42" s="16">
        <f t="shared" si="2"/>
        <v>2916</v>
      </c>
      <c r="W42" s="7">
        <v>3</v>
      </c>
      <c r="X42" s="54" t="s">
        <v>39</v>
      </c>
      <c r="Y42" s="54" t="s">
        <v>84</v>
      </c>
      <c r="Z42" s="54" t="s">
        <v>90</v>
      </c>
      <c r="AA42" s="54" t="s">
        <v>40</v>
      </c>
      <c r="AB42" s="39" t="s">
        <v>158</v>
      </c>
    </row>
    <row r="43" spans="1:44" x14ac:dyDescent="0.15">
      <c r="A43" s="15" t="s">
        <v>156</v>
      </c>
      <c r="B43" s="15" t="s">
        <v>157</v>
      </c>
      <c r="C43" s="15">
        <v>2019</v>
      </c>
      <c r="D43" s="37" t="s">
        <v>165</v>
      </c>
      <c r="E43" s="7" t="s">
        <v>132</v>
      </c>
      <c r="F43" s="7" t="s">
        <v>147</v>
      </c>
      <c r="G43" s="7" t="s">
        <v>36</v>
      </c>
      <c r="H43" s="54" t="s">
        <v>163</v>
      </c>
      <c r="I43" s="7" t="s">
        <v>159</v>
      </c>
      <c r="J43" s="15" t="s">
        <v>38</v>
      </c>
      <c r="K43" s="53" t="s">
        <v>160</v>
      </c>
      <c r="L43" s="7">
        <v>3</v>
      </c>
      <c r="N43" s="7">
        <v>1</v>
      </c>
      <c r="O43" s="7">
        <v>0.65</v>
      </c>
      <c r="P43" s="7">
        <v>0.6</v>
      </c>
      <c r="Q43" s="52">
        <f t="shared" si="0"/>
        <v>0.625</v>
      </c>
      <c r="R43" s="7">
        <v>13.2</v>
      </c>
      <c r="S43" s="7">
        <v>118</v>
      </c>
      <c r="T43" s="16">
        <f t="shared" si="1"/>
        <v>30</v>
      </c>
      <c r="U43" s="7">
        <v>108</v>
      </c>
      <c r="V43" s="16">
        <f t="shared" si="2"/>
        <v>3240</v>
      </c>
      <c r="W43" s="7">
        <v>3</v>
      </c>
      <c r="X43" s="54" t="s">
        <v>39</v>
      </c>
      <c r="Y43" s="54" t="s">
        <v>84</v>
      </c>
      <c r="Z43" s="54" t="s">
        <v>90</v>
      </c>
      <c r="AA43" s="54" t="s">
        <v>40</v>
      </c>
      <c r="AB43" s="39" t="s">
        <v>158</v>
      </c>
    </row>
    <row r="44" spans="1:44" x14ac:dyDescent="0.15">
      <c r="A44" s="15" t="s">
        <v>156</v>
      </c>
      <c r="B44" s="15" t="s">
        <v>157</v>
      </c>
      <c r="C44" s="15">
        <v>2019</v>
      </c>
      <c r="D44" s="37" t="s">
        <v>165</v>
      </c>
      <c r="E44" s="7" t="s">
        <v>132</v>
      </c>
      <c r="F44" s="7" t="s">
        <v>147</v>
      </c>
      <c r="G44" s="7" t="s">
        <v>36</v>
      </c>
      <c r="H44" s="15" t="s">
        <v>164</v>
      </c>
      <c r="I44" s="7" t="s">
        <v>159</v>
      </c>
      <c r="J44" s="15" t="s">
        <v>38</v>
      </c>
      <c r="K44" s="7" t="s">
        <v>54</v>
      </c>
      <c r="L44" s="7">
        <v>1</v>
      </c>
      <c r="N44" s="7">
        <v>4</v>
      </c>
      <c r="O44" s="7">
        <v>0.5</v>
      </c>
      <c r="P44" s="7">
        <v>0.5</v>
      </c>
      <c r="Q44" s="52">
        <f t="shared" si="0"/>
        <v>0.5</v>
      </c>
      <c r="R44" s="7">
        <v>15.9</v>
      </c>
      <c r="S44" s="7">
        <v>75</v>
      </c>
      <c r="T44" s="16">
        <f t="shared" si="1"/>
        <v>42</v>
      </c>
      <c r="U44" s="7">
        <v>645</v>
      </c>
      <c r="V44" s="16">
        <f t="shared" si="2"/>
        <v>6772.5</v>
      </c>
      <c r="W44" s="7">
        <v>1</v>
      </c>
      <c r="X44" s="54" t="s">
        <v>39</v>
      </c>
      <c r="Y44" s="54" t="s">
        <v>84</v>
      </c>
      <c r="Z44" s="54" t="s">
        <v>90</v>
      </c>
      <c r="AA44" s="54" t="s">
        <v>40</v>
      </c>
      <c r="AB44" s="39" t="s">
        <v>158</v>
      </c>
    </row>
    <row r="45" spans="1:44" x14ac:dyDescent="0.15">
      <c r="A45" s="15" t="s">
        <v>156</v>
      </c>
      <c r="B45" s="15" t="s">
        <v>157</v>
      </c>
      <c r="C45" s="15">
        <v>2019</v>
      </c>
      <c r="D45" s="37" t="s">
        <v>165</v>
      </c>
      <c r="E45" s="7" t="s">
        <v>132</v>
      </c>
      <c r="F45" s="7" t="s">
        <v>147</v>
      </c>
      <c r="G45" s="7" t="s">
        <v>36</v>
      </c>
      <c r="H45" s="15" t="s">
        <v>164</v>
      </c>
      <c r="I45" s="7" t="s">
        <v>159</v>
      </c>
      <c r="J45" s="15" t="s">
        <v>38</v>
      </c>
      <c r="K45" s="7" t="s">
        <v>54</v>
      </c>
      <c r="L45" s="7">
        <v>2</v>
      </c>
      <c r="N45" s="7">
        <v>4</v>
      </c>
      <c r="O45" s="7">
        <v>0.5</v>
      </c>
      <c r="P45" s="7">
        <v>0.5</v>
      </c>
      <c r="Q45" s="52">
        <f t="shared" si="0"/>
        <v>0.5</v>
      </c>
      <c r="R45" s="7">
        <v>14.3</v>
      </c>
      <c r="S45" s="7">
        <v>76</v>
      </c>
      <c r="T45" s="16">
        <f t="shared" si="1"/>
        <v>42</v>
      </c>
      <c r="U45" s="7">
        <v>645</v>
      </c>
      <c r="V45" s="16">
        <f t="shared" si="2"/>
        <v>6772.5</v>
      </c>
      <c r="W45" s="7">
        <v>1</v>
      </c>
      <c r="X45" s="54" t="s">
        <v>39</v>
      </c>
      <c r="Y45" s="54" t="s">
        <v>84</v>
      </c>
      <c r="Z45" s="54" t="s">
        <v>90</v>
      </c>
      <c r="AA45" s="54" t="s">
        <v>40</v>
      </c>
      <c r="AB45" s="39" t="s">
        <v>158</v>
      </c>
    </row>
    <row r="46" spans="1:44" x14ac:dyDescent="0.15">
      <c r="A46" s="15" t="s">
        <v>156</v>
      </c>
      <c r="B46" s="15" t="s">
        <v>157</v>
      </c>
      <c r="C46" s="15">
        <v>2019</v>
      </c>
      <c r="D46" s="37" t="s">
        <v>165</v>
      </c>
      <c r="E46" s="7" t="s">
        <v>132</v>
      </c>
      <c r="F46" s="7" t="s">
        <v>147</v>
      </c>
      <c r="G46" s="7" t="s">
        <v>36</v>
      </c>
      <c r="H46" s="15" t="s">
        <v>164</v>
      </c>
      <c r="I46" s="7" t="s">
        <v>159</v>
      </c>
      <c r="J46" s="15" t="s">
        <v>38</v>
      </c>
      <c r="K46" s="7" t="s">
        <v>54</v>
      </c>
      <c r="L46" s="7">
        <v>3</v>
      </c>
      <c r="N46" s="7">
        <v>4</v>
      </c>
      <c r="O46" s="7">
        <v>0.5</v>
      </c>
      <c r="P46" s="34">
        <v>0.5</v>
      </c>
      <c r="Q46" s="52">
        <f t="shared" si="0"/>
        <v>0.5</v>
      </c>
      <c r="R46" s="7">
        <v>12.4</v>
      </c>
      <c r="S46" s="7">
        <v>78</v>
      </c>
      <c r="T46" s="16">
        <f t="shared" si="1"/>
        <v>42</v>
      </c>
      <c r="U46" s="7">
        <v>645</v>
      </c>
      <c r="V46" s="16">
        <f t="shared" si="2"/>
        <v>6772.5</v>
      </c>
      <c r="W46" s="7">
        <v>1</v>
      </c>
      <c r="X46" s="54" t="s">
        <v>39</v>
      </c>
      <c r="Y46" s="54" t="s">
        <v>84</v>
      </c>
      <c r="Z46" s="54" t="s">
        <v>90</v>
      </c>
      <c r="AA46" s="54" t="s">
        <v>40</v>
      </c>
      <c r="AB46" s="39" t="s">
        <v>158</v>
      </c>
    </row>
    <row r="47" spans="1:44" x14ac:dyDescent="0.15">
      <c r="A47" s="15" t="s">
        <v>156</v>
      </c>
      <c r="B47" s="15" t="s">
        <v>157</v>
      </c>
      <c r="C47" s="15">
        <v>2019</v>
      </c>
      <c r="D47" s="37" t="s">
        <v>165</v>
      </c>
      <c r="E47" s="7" t="s">
        <v>140</v>
      </c>
      <c r="F47" s="7" t="s">
        <v>148</v>
      </c>
      <c r="G47" s="7" t="s">
        <v>36</v>
      </c>
      <c r="H47" s="15" t="s">
        <v>163</v>
      </c>
      <c r="I47" s="7" t="s">
        <v>159</v>
      </c>
      <c r="J47" s="15" t="s">
        <v>38</v>
      </c>
      <c r="K47" s="7" t="s">
        <v>160</v>
      </c>
      <c r="L47" s="7">
        <v>1</v>
      </c>
      <c r="N47" s="7">
        <v>1</v>
      </c>
      <c r="O47" s="7">
        <v>0.5</v>
      </c>
      <c r="P47" s="7">
        <v>0.5</v>
      </c>
      <c r="Q47" s="52">
        <f t="shared" si="0"/>
        <v>0.5</v>
      </c>
      <c r="R47" s="7">
        <v>12.5</v>
      </c>
      <c r="S47" s="7">
        <v>85</v>
      </c>
      <c r="T47" s="16">
        <f t="shared" si="1"/>
        <v>36</v>
      </c>
      <c r="U47" s="7">
        <v>54</v>
      </c>
      <c r="V47" s="16">
        <f t="shared" si="2"/>
        <v>1944</v>
      </c>
      <c r="W47" s="7">
        <v>4</v>
      </c>
      <c r="X47" s="54" t="s">
        <v>46</v>
      </c>
      <c r="Y47" s="54" t="s">
        <v>84</v>
      </c>
      <c r="Z47" s="54" t="s">
        <v>90</v>
      </c>
      <c r="AA47" s="54" t="s">
        <v>69</v>
      </c>
      <c r="AB47" s="39" t="s">
        <v>158</v>
      </c>
    </row>
    <row r="48" spans="1:44" x14ac:dyDescent="0.15">
      <c r="A48" s="15" t="s">
        <v>156</v>
      </c>
      <c r="B48" s="15" t="s">
        <v>157</v>
      </c>
      <c r="C48" s="15">
        <v>2019</v>
      </c>
      <c r="D48" s="37" t="s">
        <v>165</v>
      </c>
      <c r="E48" s="7" t="s">
        <v>140</v>
      </c>
      <c r="F48" s="7" t="s">
        <v>148</v>
      </c>
      <c r="G48" s="7" t="s">
        <v>36</v>
      </c>
      <c r="H48" s="54" t="s">
        <v>163</v>
      </c>
      <c r="I48" s="7" t="s">
        <v>159</v>
      </c>
      <c r="J48" s="15" t="s">
        <v>38</v>
      </c>
      <c r="K48" s="53" t="s">
        <v>160</v>
      </c>
      <c r="L48" s="7">
        <v>2</v>
      </c>
      <c r="N48" s="7">
        <v>1</v>
      </c>
      <c r="O48" s="7">
        <v>0.5</v>
      </c>
      <c r="P48" s="7">
        <v>0.5</v>
      </c>
      <c r="Q48" s="52">
        <f t="shared" si="0"/>
        <v>0.5</v>
      </c>
      <c r="R48" s="7">
        <v>13.5</v>
      </c>
      <c r="S48" s="7">
        <v>85</v>
      </c>
      <c r="T48" s="16">
        <f t="shared" si="1"/>
        <v>36</v>
      </c>
      <c r="U48" s="7">
        <v>54</v>
      </c>
      <c r="V48" s="16">
        <f t="shared" si="2"/>
        <v>1944</v>
      </c>
      <c r="W48" s="7">
        <v>4</v>
      </c>
      <c r="X48" s="54" t="s">
        <v>46</v>
      </c>
      <c r="Y48" s="54" t="s">
        <v>84</v>
      </c>
      <c r="Z48" s="54" t="s">
        <v>90</v>
      </c>
      <c r="AA48" s="54" t="s">
        <v>69</v>
      </c>
      <c r="AB48" s="39" t="s">
        <v>158</v>
      </c>
    </row>
    <row r="49" spans="1:29" x14ac:dyDescent="0.15">
      <c r="A49" s="15" t="s">
        <v>156</v>
      </c>
      <c r="B49" s="15" t="s">
        <v>157</v>
      </c>
      <c r="C49" s="15">
        <v>2019</v>
      </c>
      <c r="D49" s="37" t="s">
        <v>165</v>
      </c>
      <c r="E49" s="7" t="s">
        <v>140</v>
      </c>
      <c r="F49" s="7" t="s">
        <v>148</v>
      </c>
      <c r="G49" s="7" t="s">
        <v>36</v>
      </c>
      <c r="H49" s="54" t="s">
        <v>163</v>
      </c>
      <c r="I49" s="7" t="s">
        <v>159</v>
      </c>
      <c r="J49" s="15" t="s">
        <v>38</v>
      </c>
      <c r="K49" s="53" t="s">
        <v>160</v>
      </c>
      <c r="L49" s="7">
        <v>3</v>
      </c>
      <c r="N49" s="7">
        <v>1</v>
      </c>
      <c r="O49" s="7">
        <v>0.5</v>
      </c>
      <c r="P49" s="34">
        <v>0.6</v>
      </c>
      <c r="Q49" s="52">
        <f t="shared" si="0"/>
        <v>0.55000000000000004</v>
      </c>
      <c r="R49" s="7">
        <v>13.1</v>
      </c>
      <c r="S49" s="7">
        <v>92</v>
      </c>
      <c r="T49" s="16">
        <f t="shared" si="1"/>
        <v>36</v>
      </c>
      <c r="U49" s="7">
        <v>54</v>
      </c>
      <c r="V49" s="16">
        <f t="shared" si="2"/>
        <v>1944</v>
      </c>
      <c r="W49" s="7">
        <v>4</v>
      </c>
      <c r="X49" s="54" t="s">
        <v>46</v>
      </c>
      <c r="Y49" s="54" t="s">
        <v>84</v>
      </c>
      <c r="Z49" s="54" t="s">
        <v>90</v>
      </c>
      <c r="AA49" s="54" t="s">
        <v>69</v>
      </c>
      <c r="AB49" s="39" t="s">
        <v>158</v>
      </c>
    </row>
    <row r="50" spans="1:29" x14ac:dyDescent="0.15">
      <c r="A50" s="15" t="s">
        <v>156</v>
      </c>
      <c r="B50" s="15" t="s">
        <v>157</v>
      </c>
      <c r="C50" s="15">
        <v>2019</v>
      </c>
      <c r="D50" s="37" t="s">
        <v>165</v>
      </c>
      <c r="E50" s="7" t="s">
        <v>140</v>
      </c>
      <c r="F50" s="7" t="s">
        <v>148</v>
      </c>
      <c r="G50" s="7" t="s">
        <v>36</v>
      </c>
      <c r="H50" s="15" t="s">
        <v>128</v>
      </c>
      <c r="I50" s="7" t="s">
        <v>159</v>
      </c>
      <c r="J50" s="15" t="s">
        <v>58</v>
      </c>
      <c r="K50" s="7" t="s">
        <v>59</v>
      </c>
      <c r="L50" s="7">
        <v>1</v>
      </c>
      <c r="N50" s="7">
        <v>1</v>
      </c>
      <c r="O50" s="7">
        <v>0.5</v>
      </c>
      <c r="P50" s="7">
        <v>0.5</v>
      </c>
      <c r="Q50" s="52">
        <f t="shared" si="0"/>
        <v>0.5</v>
      </c>
      <c r="R50" s="7">
        <v>12.4</v>
      </c>
      <c r="S50" s="7">
        <v>115</v>
      </c>
      <c r="T50" s="16">
        <f t="shared" si="1"/>
        <v>30</v>
      </c>
      <c r="U50" s="7">
        <v>170</v>
      </c>
      <c r="V50" s="16">
        <f t="shared" si="2"/>
        <v>5100</v>
      </c>
      <c r="W50" s="7">
        <v>3</v>
      </c>
      <c r="X50" s="54" t="s">
        <v>46</v>
      </c>
      <c r="Y50" s="54" t="s">
        <v>84</v>
      </c>
      <c r="Z50" s="54" t="s">
        <v>90</v>
      </c>
      <c r="AA50" s="54" t="s">
        <v>69</v>
      </c>
      <c r="AB50" s="39" t="s">
        <v>158</v>
      </c>
    </row>
    <row r="51" spans="1:29" x14ac:dyDescent="0.15">
      <c r="A51" s="15" t="s">
        <v>156</v>
      </c>
      <c r="B51" s="15" t="s">
        <v>157</v>
      </c>
      <c r="C51" s="15">
        <v>2019</v>
      </c>
      <c r="D51" s="37" t="s">
        <v>165</v>
      </c>
      <c r="E51" s="7" t="s">
        <v>140</v>
      </c>
      <c r="F51" s="7" t="s">
        <v>148</v>
      </c>
      <c r="G51" s="7" t="s">
        <v>36</v>
      </c>
      <c r="H51" s="15" t="s">
        <v>128</v>
      </c>
      <c r="I51" s="7" t="s">
        <v>159</v>
      </c>
      <c r="J51" s="15" t="s">
        <v>58</v>
      </c>
      <c r="K51" s="7" t="s">
        <v>59</v>
      </c>
      <c r="L51" s="7">
        <v>2</v>
      </c>
      <c r="N51" s="7">
        <v>1</v>
      </c>
      <c r="O51" s="7">
        <v>0.5</v>
      </c>
      <c r="P51" s="7">
        <v>0.5</v>
      </c>
      <c r="Q51" s="52">
        <f t="shared" si="0"/>
        <v>0.5</v>
      </c>
      <c r="R51" s="7">
        <v>11.3</v>
      </c>
      <c r="S51" s="7">
        <v>126</v>
      </c>
      <c r="T51" s="16">
        <f t="shared" si="1"/>
        <v>27</v>
      </c>
      <c r="U51" s="7">
        <v>170</v>
      </c>
      <c r="V51" s="16">
        <f t="shared" si="2"/>
        <v>4590</v>
      </c>
      <c r="W51" s="7">
        <v>3</v>
      </c>
      <c r="X51" s="54" t="s">
        <v>46</v>
      </c>
      <c r="Y51" s="54" t="s">
        <v>84</v>
      </c>
      <c r="Z51" s="54" t="s">
        <v>90</v>
      </c>
      <c r="AA51" s="54" t="s">
        <v>69</v>
      </c>
      <c r="AB51" s="39" t="s">
        <v>158</v>
      </c>
    </row>
    <row r="52" spans="1:29" x14ac:dyDescent="0.15">
      <c r="A52" s="15" t="s">
        <v>156</v>
      </c>
      <c r="B52" s="15" t="s">
        <v>157</v>
      </c>
      <c r="C52" s="15">
        <v>2019</v>
      </c>
      <c r="D52" s="37" t="s">
        <v>165</v>
      </c>
      <c r="E52" s="7" t="s">
        <v>140</v>
      </c>
      <c r="F52" s="7" t="s">
        <v>148</v>
      </c>
      <c r="G52" s="7" t="s">
        <v>36</v>
      </c>
      <c r="H52" s="15" t="s">
        <v>128</v>
      </c>
      <c r="I52" s="7" t="s">
        <v>159</v>
      </c>
      <c r="J52" s="15" t="s">
        <v>58</v>
      </c>
      <c r="K52" s="7" t="s">
        <v>59</v>
      </c>
      <c r="L52" s="7">
        <v>3</v>
      </c>
      <c r="N52" s="7">
        <v>1</v>
      </c>
      <c r="O52" s="7">
        <v>0.5</v>
      </c>
      <c r="P52" s="7">
        <v>0.5</v>
      </c>
      <c r="Q52" s="52">
        <f t="shared" si="0"/>
        <v>0.5</v>
      </c>
      <c r="R52" s="7">
        <v>11.3</v>
      </c>
      <c r="S52" s="7">
        <v>121</v>
      </c>
      <c r="T52" s="16">
        <f t="shared" si="1"/>
        <v>27</v>
      </c>
      <c r="U52" s="7">
        <v>170</v>
      </c>
      <c r="V52" s="16">
        <f t="shared" si="2"/>
        <v>4590</v>
      </c>
      <c r="W52" s="7">
        <v>3</v>
      </c>
      <c r="X52" s="54" t="s">
        <v>46</v>
      </c>
      <c r="Y52" s="54" t="s">
        <v>84</v>
      </c>
      <c r="Z52" s="54" t="s">
        <v>90</v>
      </c>
      <c r="AA52" s="54" t="s">
        <v>69</v>
      </c>
      <c r="AB52" s="39" t="s">
        <v>158</v>
      </c>
    </row>
    <row r="53" spans="1:29" x14ac:dyDescent="0.15">
      <c r="A53" s="15"/>
      <c r="B53" s="15"/>
      <c r="C53" s="15"/>
      <c r="D53" s="37"/>
      <c r="H53" s="15"/>
      <c r="J53" s="15"/>
      <c r="Q53" s="52" t="str">
        <f t="shared" si="0"/>
        <v/>
      </c>
      <c r="T53" s="16" t="str">
        <f t="shared" si="1"/>
        <v/>
      </c>
      <c r="V53" s="16" t="str">
        <f t="shared" si="2"/>
        <v/>
      </c>
      <c r="X53" s="54"/>
      <c r="Y53" s="54"/>
      <c r="Z53" s="54"/>
      <c r="AA53" s="54"/>
      <c r="AB53" s="39"/>
      <c r="AC53" s="36"/>
    </row>
    <row r="54" spans="1:29" x14ac:dyDescent="0.15">
      <c r="A54" s="15"/>
      <c r="B54" s="15"/>
      <c r="C54" s="15"/>
      <c r="D54" s="37"/>
      <c r="H54" s="15"/>
      <c r="J54" s="15"/>
      <c r="K54" s="53"/>
      <c r="Q54" s="52" t="str">
        <f t="shared" si="0"/>
        <v/>
      </c>
      <c r="T54" s="16" t="str">
        <f t="shared" si="1"/>
        <v/>
      </c>
      <c r="V54" s="16" t="str">
        <f t="shared" si="2"/>
        <v/>
      </c>
      <c r="X54" s="54"/>
      <c r="Y54" s="54"/>
      <c r="Z54" s="54"/>
      <c r="AA54" s="54"/>
      <c r="AB54" s="39"/>
      <c r="AC54" s="36"/>
    </row>
    <row r="55" spans="1:29" x14ac:dyDescent="0.15">
      <c r="A55" s="15"/>
      <c r="B55" s="15"/>
      <c r="C55" s="15"/>
      <c r="D55" s="37"/>
      <c r="H55" s="15"/>
      <c r="J55" s="15"/>
      <c r="K55" s="53"/>
      <c r="Q55" s="52" t="str">
        <f t="shared" si="0"/>
        <v/>
      </c>
      <c r="T55" s="16" t="str">
        <f t="shared" si="1"/>
        <v/>
      </c>
      <c r="V55" s="16" t="str">
        <f t="shared" si="2"/>
        <v/>
      </c>
      <c r="X55" s="54"/>
      <c r="Y55" s="54"/>
      <c r="Z55" s="54"/>
      <c r="AA55" s="54"/>
      <c r="AB55" s="39"/>
      <c r="AC55" s="36"/>
    </row>
    <row r="56" spans="1:29" x14ac:dyDescent="0.15">
      <c r="A56" s="15"/>
      <c r="B56" s="15"/>
      <c r="C56" s="15"/>
      <c r="D56" s="37"/>
      <c r="H56" s="15"/>
      <c r="J56" s="15"/>
      <c r="Q56" s="52" t="str">
        <f t="shared" si="0"/>
        <v/>
      </c>
      <c r="T56" s="16" t="str">
        <f t="shared" si="1"/>
        <v/>
      </c>
      <c r="V56" s="16" t="str">
        <f t="shared" si="2"/>
        <v/>
      </c>
      <c r="X56" s="54"/>
      <c r="Y56" s="54"/>
      <c r="Z56" s="54"/>
      <c r="AA56" s="54"/>
      <c r="AB56" s="39"/>
    </row>
    <row r="57" spans="1:29" x14ac:dyDescent="0.15">
      <c r="A57" s="15"/>
      <c r="B57" s="15"/>
      <c r="C57" s="15"/>
      <c r="D57" s="37"/>
      <c r="H57" s="54"/>
      <c r="J57" s="15"/>
      <c r="Q57" s="52" t="str">
        <f t="shared" si="0"/>
        <v/>
      </c>
      <c r="T57" s="16" t="str">
        <f t="shared" si="1"/>
        <v/>
      </c>
      <c r="V57" s="16" t="str">
        <f t="shared" si="2"/>
        <v/>
      </c>
      <c r="X57" s="54"/>
      <c r="Y57" s="54"/>
      <c r="Z57" s="54"/>
      <c r="AA57" s="54"/>
      <c r="AB57" s="39"/>
    </row>
    <row r="58" spans="1:29" x14ac:dyDescent="0.15">
      <c r="A58" s="15"/>
      <c r="B58" s="15"/>
      <c r="C58" s="15"/>
      <c r="D58" s="37"/>
      <c r="H58" s="54"/>
      <c r="J58" s="15"/>
      <c r="Q58" s="52" t="str">
        <f t="shared" si="0"/>
        <v/>
      </c>
      <c r="T58" s="16" t="str">
        <f t="shared" si="1"/>
        <v/>
      </c>
      <c r="V58" s="16" t="str">
        <f t="shared" si="2"/>
        <v/>
      </c>
      <c r="X58" s="54"/>
      <c r="Y58" s="54"/>
      <c r="Z58" s="54"/>
      <c r="AA58" s="54"/>
      <c r="AB58" s="39"/>
    </row>
    <row r="59" spans="1:29" x14ac:dyDescent="0.15">
      <c r="A59" s="15"/>
      <c r="B59" s="15"/>
      <c r="C59" s="15"/>
      <c r="D59" s="37"/>
      <c r="H59" s="15"/>
      <c r="J59" s="15"/>
      <c r="Q59" s="52" t="str">
        <f t="shared" si="0"/>
        <v/>
      </c>
      <c r="T59" s="16" t="str">
        <f t="shared" si="1"/>
        <v/>
      </c>
      <c r="V59" s="16" t="str">
        <f t="shared" si="2"/>
        <v/>
      </c>
      <c r="X59" s="54"/>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54"/>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54"/>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L65" s="53"/>
      <c r="N65" s="53"/>
      <c r="Q65" s="52" t="str">
        <f t="shared" si="0"/>
        <v/>
      </c>
      <c r="T65" s="16" t="str">
        <f t="shared" si="3"/>
        <v/>
      </c>
      <c r="V65" s="16" t="str">
        <f t="shared" si="2"/>
        <v/>
      </c>
      <c r="X65" s="54"/>
      <c r="Y65" s="54"/>
      <c r="Z65" s="54"/>
      <c r="AA65" s="54"/>
      <c r="AB65" s="39"/>
    </row>
    <row r="66" spans="1:28" x14ac:dyDescent="0.15">
      <c r="A66" s="15"/>
      <c r="B66" s="15"/>
      <c r="C66" s="15"/>
      <c r="D66" s="37"/>
      <c r="H66" s="54"/>
      <c r="I66" s="53"/>
      <c r="J66" s="54"/>
      <c r="K66" s="53"/>
      <c r="L66" s="53"/>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54"/>
      <c r="I67" s="53"/>
      <c r="J67" s="54"/>
      <c r="K67" s="53"/>
      <c r="L67" s="53"/>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DC5AC-4A27-4ABB-9560-227021FF02C7}">
  <dimension ref="A1:BA297"/>
  <sheetViews>
    <sheetView topLeftCell="A27" zoomScale="70" zoomScaleNormal="70" workbookViewId="0">
      <selection activeCell="AD56" sqref="AD56"/>
    </sheetView>
  </sheetViews>
  <sheetFormatPr defaultColWidth="9" defaultRowHeight="13.5" x14ac:dyDescent="0.15"/>
  <cols>
    <col min="1" max="3" width="9" style="53"/>
    <col min="4" max="4" width="11" style="53" customWidth="1"/>
    <col min="5" max="5" width="10.875" style="53" customWidth="1"/>
    <col min="6" max="9" width="9" style="53"/>
    <col min="10" max="10" width="9" style="53" customWidth="1"/>
    <col min="11"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163</v>
      </c>
      <c r="I2" s="53" t="s">
        <v>159</v>
      </c>
      <c r="J2" s="53" t="s">
        <v>38</v>
      </c>
      <c r="K2" s="53" t="s">
        <v>160</v>
      </c>
      <c r="L2" s="53">
        <v>1</v>
      </c>
      <c r="N2" s="53">
        <v>1</v>
      </c>
      <c r="O2" s="53">
        <v>0.65</v>
      </c>
      <c r="P2" s="53">
        <v>0.55000000000000004</v>
      </c>
      <c r="Q2" s="16">
        <f t="shared" ref="Q2:Q13" si="0">IF(OR(O2="",P2=""),"",AVERAGE(O2,P2))</f>
        <v>0.60000000000000009</v>
      </c>
      <c r="R2" s="53">
        <v>10.6</v>
      </c>
      <c r="S2" s="53">
        <v>129</v>
      </c>
      <c r="T2" s="16">
        <f t="shared" ref="T2:T65" si="1">IF(H2="","",IF(OR(H2="GREEN",H2="GK"),IF(S2&gt;=$AX$2,VLOOKUP(S2,$AX$2:$AY$10,2,1),""),IF(S2&gt;=$AZ$2,VLOOKUP(S2,$AZ$2:$BA$10,2,1),"")))</f>
        <v>25</v>
      </c>
      <c r="U2" s="53">
        <v>105</v>
      </c>
      <c r="V2" s="16">
        <f t="shared" ref="V2:V52" si="2">IF(OR(N2="",U2="",T2=""),"",U2/N2*T2)</f>
        <v>2625</v>
      </c>
      <c r="W2" s="53">
        <v>2</v>
      </c>
      <c r="X2" s="53" t="s">
        <v>46</v>
      </c>
      <c r="Y2" s="53" t="s">
        <v>84</v>
      </c>
      <c r="Z2" s="53" t="s">
        <v>90</v>
      </c>
      <c r="AA2" s="53" t="s">
        <v>69</v>
      </c>
      <c r="AB2" s="53" t="s">
        <v>158</v>
      </c>
      <c r="AE2" s="64" t="s">
        <v>35</v>
      </c>
      <c r="AG2" s="65" t="s">
        <v>133</v>
      </c>
      <c r="AH2" s="66" t="s">
        <v>184</v>
      </c>
      <c r="AJ2" s="67" t="s">
        <v>36</v>
      </c>
      <c r="AL2" s="67" t="s">
        <v>185</v>
      </c>
      <c r="AN2" s="67" t="s">
        <v>37</v>
      </c>
      <c r="AP2" s="67" t="s">
        <v>38</v>
      </c>
      <c r="AR2" s="67" t="s">
        <v>160</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163</v>
      </c>
      <c r="I3" s="53" t="s">
        <v>159</v>
      </c>
      <c r="J3" s="53" t="s">
        <v>38</v>
      </c>
      <c r="K3" s="53" t="s">
        <v>160</v>
      </c>
      <c r="L3" s="53">
        <v>2</v>
      </c>
      <c r="N3" s="53">
        <v>1</v>
      </c>
      <c r="O3" s="53">
        <v>0.8</v>
      </c>
      <c r="P3" s="53">
        <v>0.85</v>
      </c>
      <c r="Q3" s="16">
        <f t="shared" si="0"/>
        <v>0.82499999999999996</v>
      </c>
      <c r="R3" s="53">
        <v>13.5</v>
      </c>
      <c r="S3" s="53">
        <v>132</v>
      </c>
      <c r="T3" s="16">
        <f t="shared" si="1"/>
        <v>25</v>
      </c>
      <c r="U3" s="53">
        <v>105</v>
      </c>
      <c r="V3" s="16">
        <f t="shared" si="2"/>
        <v>2625</v>
      </c>
      <c r="W3" s="53">
        <v>2</v>
      </c>
      <c r="X3" s="53" t="s">
        <v>46</v>
      </c>
      <c r="Y3" s="53" t="s">
        <v>84</v>
      </c>
      <c r="Z3" s="53" t="s">
        <v>90</v>
      </c>
      <c r="AA3" s="53" t="s">
        <v>69</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188</v>
      </c>
      <c r="E4" s="53" t="s">
        <v>133</v>
      </c>
      <c r="F4" s="53" t="s">
        <v>184</v>
      </c>
      <c r="G4" s="53" t="s">
        <v>42</v>
      </c>
      <c r="H4" s="53" t="s">
        <v>163</v>
      </c>
      <c r="I4" s="53" t="s">
        <v>159</v>
      </c>
      <c r="J4" s="53" t="s">
        <v>38</v>
      </c>
      <c r="K4" s="53" t="s">
        <v>160</v>
      </c>
      <c r="L4" s="53">
        <v>3</v>
      </c>
      <c r="N4" s="53">
        <v>1</v>
      </c>
      <c r="O4" s="53">
        <v>0.9</v>
      </c>
      <c r="P4" s="53">
        <v>0.7</v>
      </c>
      <c r="Q4" s="16">
        <f t="shared" si="0"/>
        <v>0.8</v>
      </c>
      <c r="R4" s="53">
        <v>12.7</v>
      </c>
      <c r="S4" s="53">
        <v>130</v>
      </c>
      <c r="T4" s="16">
        <f t="shared" si="1"/>
        <v>25</v>
      </c>
      <c r="U4" s="53">
        <v>105</v>
      </c>
      <c r="V4" s="16">
        <f t="shared" si="2"/>
        <v>2625</v>
      </c>
      <c r="W4" s="53">
        <v>2</v>
      </c>
      <c r="X4" s="53" t="s">
        <v>46</v>
      </c>
      <c r="Y4" s="53" t="s">
        <v>84</v>
      </c>
      <c r="Z4" s="53" t="s">
        <v>90</v>
      </c>
      <c r="AA4" s="53" t="s">
        <v>69</v>
      </c>
      <c r="AB4" s="53" t="s">
        <v>158</v>
      </c>
      <c r="AE4" s="22" t="s">
        <v>34</v>
      </c>
      <c r="AG4" s="71" t="s">
        <v>186</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188</v>
      </c>
      <c r="E5" s="53" t="s">
        <v>133</v>
      </c>
      <c r="F5" s="53" t="s">
        <v>184</v>
      </c>
      <c r="G5" s="53" t="s">
        <v>42</v>
      </c>
      <c r="H5" s="53" t="s">
        <v>163</v>
      </c>
      <c r="I5" s="53" t="s">
        <v>159</v>
      </c>
      <c r="J5" s="53" t="s">
        <v>38</v>
      </c>
      <c r="K5" s="53" t="s">
        <v>160</v>
      </c>
      <c r="L5" s="53">
        <v>1</v>
      </c>
      <c r="N5" s="53">
        <v>6</v>
      </c>
      <c r="O5" s="53">
        <v>0.25</v>
      </c>
      <c r="P5" s="53">
        <v>0.35</v>
      </c>
      <c r="Q5" s="72">
        <f t="shared" si="0"/>
        <v>0.3</v>
      </c>
      <c r="R5" s="53">
        <v>14.5</v>
      </c>
      <c r="S5" s="53">
        <v>118</v>
      </c>
      <c r="T5" s="16">
        <f t="shared" si="1"/>
        <v>30</v>
      </c>
      <c r="U5" s="53">
        <v>646</v>
      </c>
      <c r="V5" s="16">
        <f t="shared" si="2"/>
        <v>3230</v>
      </c>
      <c r="W5" s="53">
        <v>1</v>
      </c>
      <c r="X5" s="53" t="s">
        <v>46</v>
      </c>
      <c r="Y5" s="53" t="s">
        <v>84</v>
      </c>
      <c r="Z5" s="53" t="s">
        <v>90</v>
      </c>
      <c r="AA5" s="53" t="s">
        <v>69</v>
      </c>
      <c r="AB5" s="53" t="s">
        <v>158</v>
      </c>
      <c r="AE5" s="22" t="s">
        <v>51</v>
      </c>
      <c r="AG5" s="71" t="s">
        <v>194</v>
      </c>
      <c r="AH5" s="71" t="s">
        <v>184</v>
      </c>
      <c r="AJ5" s="28"/>
      <c r="AL5" s="73" t="s">
        <v>163</v>
      </c>
      <c r="AN5" s="73" t="s">
        <v>159</v>
      </c>
      <c r="AP5" s="23" t="s">
        <v>195</v>
      </c>
      <c r="AR5" s="23" t="s">
        <v>54</v>
      </c>
      <c r="AV5" s="23" t="s">
        <v>55</v>
      </c>
      <c r="AX5" s="24">
        <v>84</v>
      </c>
      <c r="AY5" s="25">
        <v>39</v>
      </c>
      <c r="AZ5" s="25">
        <v>84</v>
      </c>
      <c r="BA5" s="26">
        <v>36</v>
      </c>
    </row>
    <row r="6" spans="1:53" x14ac:dyDescent="0.15">
      <c r="A6" s="53" t="s">
        <v>41</v>
      </c>
      <c r="B6" s="53" t="s">
        <v>157</v>
      </c>
      <c r="C6" s="62">
        <v>2019</v>
      </c>
      <c r="D6" s="63" t="s">
        <v>188</v>
      </c>
      <c r="E6" s="53" t="s">
        <v>133</v>
      </c>
      <c r="F6" s="53" t="s">
        <v>184</v>
      </c>
      <c r="G6" s="53" t="s">
        <v>42</v>
      </c>
      <c r="H6" s="53" t="s">
        <v>163</v>
      </c>
      <c r="I6" s="53" t="s">
        <v>159</v>
      </c>
      <c r="J6" s="53" t="s">
        <v>38</v>
      </c>
      <c r="K6" s="53" t="s">
        <v>160</v>
      </c>
      <c r="L6" s="53">
        <v>2</v>
      </c>
      <c r="N6" s="53">
        <v>6</v>
      </c>
      <c r="O6" s="53">
        <v>0.3</v>
      </c>
      <c r="P6" s="53">
        <v>0.25</v>
      </c>
      <c r="Q6" s="72">
        <f t="shared" si="0"/>
        <v>0.27500000000000002</v>
      </c>
      <c r="R6" s="53">
        <v>15.2</v>
      </c>
      <c r="S6" s="53">
        <v>121</v>
      </c>
      <c r="T6" s="16">
        <f t="shared" si="1"/>
        <v>27</v>
      </c>
      <c r="U6" s="53">
        <v>646</v>
      </c>
      <c r="V6" s="16">
        <f t="shared" si="2"/>
        <v>2907</v>
      </c>
      <c r="W6" s="53">
        <v>1</v>
      </c>
      <c r="X6" s="53" t="s">
        <v>46</v>
      </c>
      <c r="Y6" s="53" t="s">
        <v>84</v>
      </c>
      <c r="Z6" s="53" t="s">
        <v>90</v>
      </c>
      <c r="AA6" s="53" t="s">
        <v>69</v>
      </c>
      <c r="AB6" s="53" t="s">
        <v>158</v>
      </c>
      <c r="AE6" s="22" t="s">
        <v>56</v>
      </c>
      <c r="AG6" s="71" t="s">
        <v>194</v>
      </c>
      <c r="AH6" s="71" t="s">
        <v>196</v>
      </c>
      <c r="AL6" s="73" t="s">
        <v>164</v>
      </c>
      <c r="AN6" s="73" t="s">
        <v>197</v>
      </c>
      <c r="AP6" s="23" t="s">
        <v>53</v>
      </c>
      <c r="AR6" s="23" t="s">
        <v>59</v>
      </c>
      <c r="AV6" s="23" t="s">
        <v>60</v>
      </c>
      <c r="AX6" s="24">
        <v>97</v>
      </c>
      <c r="AY6" s="25">
        <v>36</v>
      </c>
      <c r="AZ6" s="25">
        <v>99</v>
      </c>
      <c r="BA6" s="26">
        <v>33</v>
      </c>
    </row>
    <row r="7" spans="1:53" x14ac:dyDescent="0.15">
      <c r="A7" s="53" t="s">
        <v>41</v>
      </c>
      <c r="B7" s="53" t="s">
        <v>157</v>
      </c>
      <c r="C7" s="62">
        <v>2019</v>
      </c>
      <c r="D7" s="63" t="s">
        <v>188</v>
      </c>
      <c r="E7" s="53" t="s">
        <v>133</v>
      </c>
      <c r="F7" s="53" t="s">
        <v>184</v>
      </c>
      <c r="G7" s="53" t="s">
        <v>42</v>
      </c>
      <c r="H7" s="53" t="s">
        <v>163</v>
      </c>
      <c r="I7" s="53" t="s">
        <v>159</v>
      </c>
      <c r="J7" s="53" t="s">
        <v>38</v>
      </c>
      <c r="K7" s="53" t="s">
        <v>160</v>
      </c>
      <c r="L7" s="53">
        <v>3</v>
      </c>
      <c r="N7" s="53">
        <v>6</v>
      </c>
      <c r="O7" s="53">
        <v>0.45</v>
      </c>
      <c r="P7" s="53">
        <v>0.4</v>
      </c>
      <c r="Q7" s="72">
        <f t="shared" si="0"/>
        <v>0.42500000000000004</v>
      </c>
      <c r="R7" s="53">
        <v>12.6</v>
      </c>
      <c r="S7" s="53">
        <v>120</v>
      </c>
      <c r="T7" s="16">
        <f t="shared" si="1"/>
        <v>30</v>
      </c>
      <c r="U7" s="53">
        <v>646</v>
      </c>
      <c r="V7" s="16">
        <f t="shared" si="2"/>
        <v>3230</v>
      </c>
      <c r="W7" s="53">
        <v>1</v>
      </c>
      <c r="X7" s="53" t="s">
        <v>46</v>
      </c>
      <c r="Y7" s="53" t="s">
        <v>84</v>
      </c>
      <c r="Z7" s="53" t="s">
        <v>90</v>
      </c>
      <c r="AA7" s="53" t="s">
        <v>69</v>
      </c>
      <c r="AB7" s="53" t="s">
        <v>158</v>
      </c>
      <c r="AE7" s="22" t="s">
        <v>61</v>
      </c>
      <c r="AG7" s="71" t="s">
        <v>198</v>
      </c>
      <c r="AH7" s="71" t="s">
        <v>196</v>
      </c>
      <c r="AL7" s="53" t="s">
        <v>199</v>
      </c>
      <c r="AP7" s="23" t="s">
        <v>58</v>
      </c>
      <c r="AR7" s="23" t="s">
        <v>200</v>
      </c>
      <c r="AV7" s="23" t="s">
        <v>64</v>
      </c>
      <c r="AX7" s="24">
        <v>109</v>
      </c>
      <c r="AY7" s="25">
        <v>33</v>
      </c>
      <c r="AZ7" s="25">
        <v>113</v>
      </c>
      <c r="BA7" s="26">
        <v>30</v>
      </c>
    </row>
    <row r="8" spans="1:53" x14ac:dyDescent="0.15">
      <c r="A8" s="53" t="s">
        <v>41</v>
      </c>
      <c r="B8" s="53" t="s">
        <v>157</v>
      </c>
      <c r="C8" s="62">
        <v>2019</v>
      </c>
      <c r="D8" s="63" t="s">
        <v>188</v>
      </c>
      <c r="E8" s="53" t="s">
        <v>133</v>
      </c>
      <c r="F8" s="53" t="s">
        <v>184</v>
      </c>
      <c r="G8" s="53" t="s">
        <v>42</v>
      </c>
      <c r="H8" s="53" t="s">
        <v>164</v>
      </c>
      <c r="I8" s="53" t="s">
        <v>159</v>
      </c>
      <c r="J8" s="53" t="s">
        <v>38</v>
      </c>
      <c r="K8" s="53" t="s">
        <v>54</v>
      </c>
      <c r="L8" s="53">
        <v>1</v>
      </c>
      <c r="N8" s="53">
        <v>4</v>
      </c>
      <c r="O8" s="53">
        <v>0.8</v>
      </c>
      <c r="P8" s="53">
        <v>0.65</v>
      </c>
      <c r="Q8" s="74">
        <f t="shared" si="0"/>
        <v>0.72500000000000009</v>
      </c>
      <c r="R8" s="53">
        <v>13.5</v>
      </c>
      <c r="S8" s="53">
        <v>114</v>
      </c>
      <c r="T8" s="16">
        <f t="shared" si="1"/>
        <v>33</v>
      </c>
      <c r="U8" s="53">
        <v>646</v>
      </c>
      <c r="V8" s="16">
        <f t="shared" si="2"/>
        <v>5329.5</v>
      </c>
      <c r="W8" s="53">
        <v>2</v>
      </c>
      <c r="X8" s="53" t="s">
        <v>46</v>
      </c>
      <c r="Y8" s="53" t="s">
        <v>84</v>
      </c>
      <c r="Z8" s="53" t="s">
        <v>90</v>
      </c>
      <c r="AA8" s="53" t="s">
        <v>69</v>
      </c>
      <c r="AB8" s="53" t="s">
        <v>158</v>
      </c>
      <c r="AE8" s="22" t="s">
        <v>59</v>
      </c>
      <c r="AG8" s="71" t="s">
        <v>201</v>
      </c>
      <c r="AH8" s="71" t="s">
        <v>202</v>
      </c>
      <c r="AL8" s="53" t="s">
        <v>203</v>
      </c>
      <c r="AP8" s="23" t="s">
        <v>62</v>
      </c>
      <c r="AR8" s="23" t="s">
        <v>81</v>
      </c>
      <c r="AV8" s="23" t="s">
        <v>97</v>
      </c>
      <c r="AX8" s="24">
        <v>119</v>
      </c>
      <c r="AY8" s="25">
        <v>30</v>
      </c>
      <c r="AZ8" s="25">
        <v>121</v>
      </c>
      <c r="BA8" s="26">
        <v>27</v>
      </c>
    </row>
    <row r="9" spans="1:53" x14ac:dyDescent="0.15">
      <c r="A9" s="53" t="s">
        <v>41</v>
      </c>
      <c r="B9" s="53" t="s">
        <v>157</v>
      </c>
      <c r="C9" s="62">
        <v>2019</v>
      </c>
      <c r="D9" s="63" t="s">
        <v>188</v>
      </c>
      <c r="E9" s="53" t="s">
        <v>133</v>
      </c>
      <c r="F9" s="53" t="s">
        <v>184</v>
      </c>
      <c r="G9" s="53" t="s">
        <v>42</v>
      </c>
      <c r="H9" s="53" t="s">
        <v>164</v>
      </c>
      <c r="I9" s="53" t="s">
        <v>159</v>
      </c>
      <c r="J9" s="53" t="s">
        <v>38</v>
      </c>
      <c r="K9" s="53" t="s">
        <v>54</v>
      </c>
      <c r="L9" s="53">
        <v>2</v>
      </c>
      <c r="M9" s="75"/>
      <c r="N9" s="53">
        <v>4</v>
      </c>
      <c r="O9" s="53">
        <v>0.65</v>
      </c>
      <c r="P9" s="53">
        <v>0.7</v>
      </c>
      <c r="Q9" s="74">
        <f t="shared" si="0"/>
        <v>0.67500000000000004</v>
      </c>
      <c r="R9" s="53">
        <v>15.4</v>
      </c>
      <c r="S9" s="53">
        <v>112</v>
      </c>
      <c r="T9" s="16">
        <f t="shared" si="1"/>
        <v>33</v>
      </c>
      <c r="U9" s="53">
        <v>646</v>
      </c>
      <c r="V9" s="16">
        <f t="shared" si="2"/>
        <v>5329.5</v>
      </c>
      <c r="W9" s="53">
        <v>2</v>
      </c>
      <c r="X9" s="53" t="s">
        <v>46</v>
      </c>
      <c r="Y9" s="53" t="s">
        <v>84</v>
      </c>
      <c r="Z9" s="53" t="s">
        <v>90</v>
      </c>
      <c r="AA9" s="53" t="s">
        <v>69</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188</v>
      </c>
      <c r="E10" s="53" t="s">
        <v>133</v>
      </c>
      <c r="F10" s="53" t="s">
        <v>184</v>
      </c>
      <c r="G10" s="53" t="s">
        <v>42</v>
      </c>
      <c r="H10" s="53" t="s">
        <v>164</v>
      </c>
      <c r="I10" s="53" t="s">
        <v>159</v>
      </c>
      <c r="J10" s="53" t="s">
        <v>38</v>
      </c>
      <c r="K10" s="53" t="s">
        <v>54</v>
      </c>
      <c r="L10" s="53">
        <v>3</v>
      </c>
      <c r="M10" s="75"/>
      <c r="N10" s="53">
        <v>4</v>
      </c>
      <c r="O10" s="53">
        <v>0.7</v>
      </c>
      <c r="P10" s="53">
        <v>0.6</v>
      </c>
      <c r="Q10" s="74">
        <f t="shared" si="0"/>
        <v>0.64999999999999991</v>
      </c>
      <c r="R10" s="53">
        <v>15</v>
      </c>
      <c r="S10" s="53">
        <v>115</v>
      </c>
      <c r="T10" s="16">
        <f t="shared" si="1"/>
        <v>33</v>
      </c>
      <c r="U10" s="53">
        <v>646</v>
      </c>
      <c r="V10" s="16">
        <f t="shared" si="2"/>
        <v>5329.5</v>
      </c>
      <c r="W10" s="53">
        <v>2</v>
      </c>
      <c r="X10" s="53" t="s">
        <v>46</v>
      </c>
      <c r="Y10" s="53" t="s">
        <v>84</v>
      </c>
      <c r="Z10" s="53" t="s">
        <v>90</v>
      </c>
      <c r="AA10" s="53" t="s">
        <v>69</v>
      </c>
      <c r="AB10" s="53" t="s">
        <v>158</v>
      </c>
      <c r="AE10" s="22" t="s">
        <v>208</v>
      </c>
      <c r="AG10" s="71" t="s">
        <v>201</v>
      </c>
      <c r="AH10" s="71" t="s">
        <v>209</v>
      </c>
      <c r="AP10" s="23" t="s">
        <v>100</v>
      </c>
      <c r="AR10" s="23" t="s">
        <v>210</v>
      </c>
      <c r="AV10" s="23" t="s">
        <v>106</v>
      </c>
      <c r="AX10" s="24">
        <v>138</v>
      </c>
      <c r="AY10" s="25">
        <v>25</v>
      </c>
      <c r="AZ10" s="25">
        <v>138</v>
      </c>
      <c r="BA10" s="26">
        <v>22</v>
      </c>
    </row>
    <row r="11" spans="1:53" x14ac:dyDescent="0.15">
      <c r="A11" s="53" t="s">
        <v>41</v>
      </c>
      <c r="B11" s="53" t="s">
        <v>157</v>
      </c>
      <c r="C11" s="62">
        <v>2019</v>
      </c>
      <c r="D11" s="63" t="s">
        <v>188</v>
      </c>
      <c r="E11" s="53" t="s">
        <v>133</v>
      </c>
      <c r="F11" s="53" t="s">
        <v>184</v>
      </c>
      <c r="G11" s="53" t="s">
        <v>42</v>
      </c>
      <c r="H11" s="53" t="s">
        <v>163</v>
      </c>
      <c r="I11" s="53" t="s">
        <v>159</v>
      </c>
      <c r="J11" s="53" t="s">
        <v>38</v>
      </c>
      <c r="K11" s="53" t="s">
        <v>160</v>
      </c>
      <c r="L11" s="53">
        <v>1</v>
      </c>
      <c r="M11" s="75"/>
      <c r="N11" s="53">
        <v>10</v>
      </c>
      <c r="O11" s="53">
        <v>0.35</v>
      </c>
      <c r="P11" s="53">
        <v>0.35</v>
      </c>
      <c r="Q11" s="72">
        <f t="shared" si="0"/>
        <v>0.35</v>
      </c>
      <c r="R11" s="53">
        <v>13.4</v>
      </c>
      <c r="S11" s="53">
        <v>105</v>
      </c>
      <c r="T11" s="16">
        <f t="shared" si="1"/>
        <v>33</v>
      </c>
      <c r="U11" s="53">
        <v>842</v>
      </c>
      <c r="V11" s="16">
        <f t="shared" si="2"/>
        <v>2778.6</v>
      </c>
      <c r="W11" s="53">
        <v>2</v>
      </c>
      <c r="X11" s="53" t="s">
        <v>46</v>
      </c>
      <c r="Y11" s="53" t="s">
        <v>84</v>
      </c>
      <c r="Z11" s="53" t="s">
        <v>90</v>
      </c>
      <c r="AA11" s="53" t="s">
        <v>69</v>
      </c>
      <c r="AB11" s="53" t="s">
        <v>158</v>
      </c>
      <c r="AE11" s="22" t="s">
        <v>68</v>
      </c>
      <c r="AG11" s="71" t="s">
        <v>211</v>
      </c>
      <c r="AH11" s="71" t="s">
        <v>212</v>
      </c>
      <c r="AP11" s="23" t="s">
        <v>104</v>
      </c>
      <c r="AR11" s="23" t="s">
        <v>213</v>
      </c>
      <c r="AV11" s="23" t="s">
        <v>69</v>
      </c>
      <c r="AX11" s="24">
        <v>151</v>
      </c>
      <c r="AY11" s="25">
        <v>22</v>
      </c>
      <c r="AZ11" s="25">
        <v>152</v>
      </c>
      <c r="BA11" s="26">
        <v>18</v>
      </c>
    </row>
    <row r="12" spans="1:53" x14ac:dyDescent="0.15">
      <c r="A12" s="53" t="s">
        <v>41</v>
      </c>
      <c r="B12" s="53" t="s">
        <v>157</v>
      </c>
      <c r="C12" s="62">
        <v>2019</v>
      </c>
      <c r="D12" s="63" t="s">
        <v>188</v>
      </c>
      <c r="E12" s="53" t="s">
        <v>133</v>
      </c>
      <c r="F12" s="53" t="s">
        <v>184</v>
      </c>
      <c r="G12" s="53" t="s">
        <v>42</v>
      </c>
      <c r="H12" s="53" t="s">
        <v>163</v>
      </c>
      <c r="I12" s="53" t="s">
        <v>159</v>
      </c>
      <c r="J12" s="53" t="s">
        <v>38</v>
      </c>
      <c r="K12" s="53" t="s">
        <v>160</v>
      </c>
      <c r="L12" s="53">
        <v>2</v>
      </c>
      <c r="M12" s="75"/>
      <c r="N12" s="53">
        <v>10</v>
      </c>
      <c r="O12" s="53">
        <v>0.4</v>
      </c>
      <c r="P12" s="53">
        <v>0.45</v>
      </c>
      <c r="Q12" s="72">
        <f t="shared" si="0"/>
        <v>0.42500000000000004</v>
      </c>
      <c r="R12" s="53">
        <v>12.6</v>
      </c>
      <c r="S12" s="53">
        <v>111</v>
      </c>
      <c r="T12" s="16">
        <f t="shared" si="1"/>
        <v>33</v>
      </c>
      <c r="U12" s="53">
        <v>842</v>
      </c>
      <c r="V12" s="16">
        <f t="shared" si="2"/>
        <v>2778.6</v>
      </c>
      <c r="W12" s="53">
        <v>2</v>
      </c>
      <c r="X12" s="53" t="s">
        <v>46</v>
      </c>
      <c r="Y12" s="53" t="s">
        <v>84</v>
      </c>
      <c r="Z12" s="53" t="s">
        <v>90</v>
      </c>
      <c r="AA12" s="53" t="s">
        <v>69</v>
      </c>
      <c r="AB12" s="53" t="s">
        <v>158</v>
      </c>
      <c r="AE12" s="22" t="s">
        <v>214</v>
      </c>
      <c r="AG12" s="22"/>
      <c r="AH12" s="22"/>
      <c r="AP12" s="23" t="s">
        <v>67</v>
      </c>
      <c r="AR12" s="23" t="s">
        <v>215</v>
      </c>
      <c r="AV12" s="23" t="s">
        <v>72</v>
      </c>
      <c r="AX12" s="31">
        <v>180</v>
      </c>
      <c r="AY12" s="32">
        <v>18</v>
      </c>
      <c r="AZ12" s="32">
        <v>181</v>
      </c>
      <c r="BA12" s="33">
        <v>16</v>
      </c>
    </row>
    <row r="13" spans="1:53" x14ac:dyDescent="0.15">
      <c r="A13" s="53" t="s">
        <v>41</v>
      </c>
      <c r="B13" s="53" t="s">
        <v>157</v>
      </c>
      <c r="C13" s="62">
        <v>2019</v>
      </c>
      <c r="D13" s="63" t="s">
        <v>188</v>
      </c>
      <c r="E13" s="53" t="s">
        <v>133</v>
      </c>
      <c r="F13" s="53" t="s">
        <v>184</v>
      </c>
      <c r="G13" s="53" t="s">
        <v>42</v>
      </c>
      <c r="H13" s="53" t="s">
        <v>163</v>
      </c>
      <c r="I13" s="53" t="s">
        <v>159</v>
      </c>
      <c r="J13" s="53" t="s">
        <v>38</v>
      </c>
      <c r="K13" s="53" t="s">
        <v>160</v>
      </c>
      <c r="L13" s="53">
        <v>3</v>
      </c>
      <c r="M13" s="75"/>
      <c r="N13" s="53">
        <v>10</v>
      </c>
      <c r="O13" s="53">
        <v>0.5</v>
      </c>
      <c r="P13" s="53">
        <v>0.5</v>
      </c>
      <c r="Q13" s="72">
        <f t="shared" si="0"/>
        <v>0.5</v>
      </c>
      <c r="R13" s="53">
        <v>13.8</v>
      </c>
      <c r="S13" s="53">
        <v>103</v>
      </c>
      <c r="T13" s="16">
        <f t="shared" si="1"/>
        <v>33</v>
      </c>
      <c r="U13" s="53">
        <v>842</v>
      </c>
      <c r="V13" s="16">
        <f t="shared" si="2"/>
        <v>2778.6</v>
      </c>
      <c r="W13" s="53">
        <v>2</v>
      </c>
      <c r="X13" s="53" t="s">
        <v>46</v>
      </c>
      <c r="Y13" s="53" t="s">
        <v>84</v>
      </c>
      <c r="Z13" s="53" t="s">
        <v>90</v>
      </c>
      <c r="AA13" s="53" t="s">
        <v>69</v>
      </c>
      <c r="AB13" s="53" t="s">
        <v>158</v>
      </c>
      <c r="AE13" s="22" t="s">
        <v>216</v>
      </c>
      <c r="AG13" s="23"/>
      <c r="AH13" s="23"/>
      <c r="AP13" s="23" t="s">
        <v>71</v>
      </c>
      <c r="AR13" s="23" t="s">
        <v>208</v>
      </c>
      <c r="AV13" s="23" t="s">
        <v>75</v>
      </c>
    </row>
    <row r="14" spans="1:53" x14ac:dyDescent="0.15">
      <c r="A14" s="53" t="s">
        <v>41</v>
      </c>
      <c r="B14" s="53" t="s">
        <v>157</v>
      </c>
      <c r="C14" s="62">
        <v>2019</v>
      </c>
      <c r="D14" s="63" t="s">
        <v>188</v>
      </c>
      <c r="E14" s="53" t="s">
        <v>133</v>
      </c>
      <c r="F14" s="53" t="s">
        <v>184</v>
      </c>
      <c r="G14" s="53" t="s">
        <v>42</v>
      </c>
      <c r="H14" s="53" t="s">
        <v>164</v>
      </c>
      <c r="I14" s="53" t="s">
        <v>159</v>
      </c>
      <c r="J14" s="53" t="s">
        <v>38</v>
      </c>
      <c r="K14" s="53" t="s">
        <v>54</v>
      </c>
      <c r="L14" s="53">
        <v>1</v>
      </c>
      <c r="M14" s="75"/>
      <c r="N14" s="53">
        <v>1</v>
      </c>
      <c r="O14" s="53">
        <v>0.65</v>
      </c>
      <c r="P14" s="53">
        <v>0.35</v>
      </c>
      <c r="Q14" s="74">
        <v>0.55000000000000004</v>
      </c>
      <c r="R14" s="53">
        <v>11.2</v>
      </c>
      <c r="S14" s="53">
        <v>122</v>
      </c>
      <c r="T14" s="16">
        <f t="shared" si="1"/>
        <v>30</v>
      </c>
      <c r="U14" s="53">
        <v>149</v>
      </c>
      <c r="V14" s="16">
        <f t="shared" si="2"/>
        <v>4470</v>
      </c>
      <c r="W14" s="53">
        <v>3</v>
      </c>
      <c r="X14" s="53" t="s">
        <v>46</v>
      </c>
      <c r="Y14" s="53" t="s">
        <v>84</v>
      </c>
      <c r="Z14" s="53" t="s">
        <v>90</v>
      </c>
      <c r="AA14" s="53" t="s">
        <v>69</v>
      </c>
      <c r="AB14" s="53" t="s">
        <v>158</v>
      </c>
      <c r="AE14" s="22" t="s">
        <v>96</v>
      </c>
      <c r="AG14" s="23"/>
      <c r="AH14" s="23"/>
      <c r="AP14" s="23" t="s">
        <v>74</v>
      </c>
      <c r="AR14" s="23" t="s">
        <v>217</v>
      </c>
      <c r="AV14" s="23" t="s">
        <v>78</v>
      </c>
    </row>
    <row r="15" spans="1:53" x14ac:dyDescent="0.15">
      <c r="A15" s="53" t="s">
        <v>41</v>
      </c>
      <c r="B15" s="53" t="s">
        <v>157</v>
      </c>
      <c r="C15" s="62">
        <v>2019</v>
      </c>
      <c r="D15" s="63" t="s">
        <v>188</v>
      </c>
      <c r="E15" s="53" t="s">
        <v>133</v>
      </c>
      <c r="F15" s="53" t="s">
        <v>184</v>
      </c>
      <c r="G15" s="53" t="s">
        <v>42</v>
      </c>
      <c r="H15" s="53" t="s">
        <v>164</v>
      </c>
      <c r="I15" s="53" t="s">
        <v>159</v>
      </c>
      <c r="J15" s="53" t="s">
        <v>38</v>
      </c>
      <c r="K15" s="53" t="s">
        <v>54</v>
      </c>
      <c r="L15" s="53">
        <v>2</v>
      </c>
      <c r="M15" s="75"/>
      <c r="N15" s="53">
        <v>1</v>
      </c>
      <c r="O15" s="53">
        <v>0.8</v>
      </c>
      <c r="P15" s="53">
        <v>0.7</v>
      </c>
      <c r="Q15" s="74">
        <v>0.65</v>
      </c>
      <c r="R15" s="53">
        <v>14.4</v>
      </c>
      <c r="S15" s="53">
        <v>123</v>
      </c>
      <c r="T15" s="16">
        <f t="shared" si="1"/>
        <v>30</v>
      </c>
      <c r="U15" s="53">
        <v>149</v>
      </c>
      <c r="V15" s="16">
        <f t="shared" si="2"/>
        <v>4470</v>
      </c>
      <c r="W15" s="53">
        <v>3</v>
      </c>
      <c r="X15" s="53" t="s">
        <v>46</v>
      </c>
      <c r="Y15" s="53" t="s">
        <v>84</v>
      </c>
      <c r="Z15" s="53" t="s">
        <v>90</v>
      </c>
      <c r="AA15" s="53" t="s">
        <v>69</v>
      </c>
      <c r="AB15" s="53" t="s">
        <v>158</v>
      </c>
      <c r="AE15" s="22" t="s">
        <v>218</v>
      </c>
      <c r="AG15" s="23"/>
      <c r="AH15" s="23"/>
      <c r="AP15" s="23" t="s">
        <v>77</v>
      </c>
      <c r="AR15" s="23" t="s">
        <v>80</v>
      </c>
      <c r="AV15" s="23" t="s">
        <v>107</v>
      </c>
    </row>
    <row r="16" spans="1:53" x14ac:dyDescent="0.15">
      <c r="A16" s="53" t="s">
        <v>41</v>
      </c>
      <c r="B16" s="53" t="s">
        <v>157</v>
      </c>
      <c r="C16" s="62">
        <v>2019</v>
      </c>
      <c r="D16" s="63" t="s">
        <v>188</v>
      </c>
      <c r="E16" s="53" t="s">
        <v>133</v>
      </c>
      <c r="F16" s="53" t="s">
        <v>184</v>
      </c>
      <c r="G16" s="53" t="s">
        <v>42</v>
      </c>
      <c r="H16" s="53" t="s">
        <v>164</v>
      </c>
      <c r="I16" s="53" t="s">
        <v>159</v>
      </c>
      <c r="J16" s="53" t="s">
        <v>38</v>
      </c>
      <c r="K16" s="53" t="s">
        <v>54</v>
      </c>
      <c r="L16" s="53">
        <v>3</v>
      </c>
      <c r="M16" s="75"/>
      <c r="N16" s="53">
        <v>1</v>
      </c>
      <c r="O16" s="53">
        <v>0.7</v>
      </c>
      <c r="P16" s="53">
        <v>0.65</v>
      </c>
      <c r="Q16" s="74">
        <v>0.57999999999999996</v>
      </c>
      <c r="R16" s="53">
        <v>14</v>
      </c>
      <c r="S16" s="53">
        <v>122</v>
      </c>
      <c r="T16" s="16">
        <f t="shared" si="1"/>
        <v>30</v>
      </c>
      <c r="U16" s="53">
        <v>149</v>
      </c>
      <c r="V16" s="16">
        <f t="shared" si="2"/>
        <v>4470</v>
      </c>
      <c r="W16" s="53">
        <v>3</v>
      </c>
      <c r="X16" s="53" t="s">
        <v>46</v>
      </c>
      <c r="Y16" s="53" t="s">
        <v>84</v>
      </c>
      <c r="Z16" s="53" t="s">
        <v>90</v>
      </c>
      <c r="AA16" s="53" t="s">
        <v>69</v>
      </c>
      <c r="AB16" s="53" t="s">
        <v>158</v>
      </c>
      <c r="AE16" s="22" t="s">
        <v>219</v>
      </c>
      <c r="AG16" s="28"/>
      <c r="AH16" s="28"/>
      <c r="AP16" s="23" t="s">
        <v>80</v>
      </c>
      <c r="AR16" s="23" t="s">
        <v>63</v>
      </c>
      <c r="AV16" s="23" t="s">
        <v>84</v>
      </c>
    </row>
    <row r="17" spans="1:48" x14ac:dyDescent="0.15">
      <c r="A17" s="53" t="s">
        <v>41</v>
      </c>
      <c r="B17" s="53" t="s">
        <v>157</v>
      </c>
      <c r="C17" s="62">
        <v>2019</v>
      </c>
      <c r="D17" s="63" t="s">
        <v>188</v>
      </c>
      <c r="E17" s="53" t="s">
        <v>186</v>
      </c>
      <c r="F17" s="53" t="s">
        <v>184</v>
      </c>
      <c r="G17" s="53" t="s">
        <v>42</v>
      </c>
      <c r="H17" s="53" t="s">
        <v>187</v>
      </c>
      <c r="I17" s="53" t="s">
        <v>159</v>
      </c>
      <c r="J17" s="53" t="s">
        <v>80</v>
      </c>
      <c r="K17" s="53" t="s">
        <v>45</v>
      </c>
      <c r="L17" s="53">
        <v>1</v>
      </c>
      <c r="M17" s="75"/>
      <c r="N17" s="53">
        <v>1</v>
      </c>
      <c r="O17" s="53">
        <v>0.7</v>
      </c>
      <c r="P17" s="53">
        <v>0.8</v>
      </c>
      <c r="Q17" s="74">
        <v>0.55000000000000004</v>
      </c>
      <c r="R17" s="53">
        <v>10.3</v>
      </c>
      <c r="S17" s="53">
        <v>122</v>
      </c>
      <c r="T17" s="16">
        <f t="shared" si="1"/>
        <v>27</v>
      </c>
      <c r="U17" s="53">
        <v>84</v>
      </c>
      <c r="V17" s="16">
        <f t="shared" si="2"/>
        <v>2268</v>
      </c>
      <c r="W17" s="53">
        <v>1</v>
      </c>
      <c r="X17" s="53" t="s">
        <v>46</v>
      </c>
      <c r="Y17" s="53" t="s">
        <v>69</v>
      </c>
      <c r="Z17" s="53" t="s">
        <v>84</v>
      </c>
      <c r="AA17" s="53" t="s">
        <v>90</v>
      </c>
      <c r="AB17" s="53" t="s">
        <v>158</v>
      </c>
      <c r="AE17" s="22" t="s">
        <v>220</v>
      </c>
      <c r="AP17" s="27" t="s">
        <v>221</v>
      </c>
      <c r="AR17" s="23" t="s">
        <v>96</v>
      </c>
      <c r="AV17" s="23" t="s">
        <v>86</v>
      </c>
    </row>
    <row r="18" spans="1:48" x14ac:dyDescent="0.15">
      <c r="A18" s="53" t="s">
        <v>41</v>
      </c>
      <c r="B18" s="53" t="s">
        <v>157</v>
      </c>
      <c r="C18" s="62">
        <v>2019</v>
      </c>
      <c r="D18" s="63" t="s">
        <v>188</v>
      </c>
      <c r="E18" s="53" t="s">
        <v>186</v>
      </c>
      <c r="F18" s="53" t="s">
        <v>184</v>
      </c>
      <c r="G18" s="53" t="s">
        <v>42</v>
      </c>
      <c r="H18" s="53" t="s">
        <v>187</v>
      </c>
      <c r="I18" s="53" t="s">
        <v>159</v>
      </c>
      <c r="J18" s="53" t="s">
        <v>80</v>
      </c>
      <c r="K18" s="53" t="s">
        <v>45</v>
      </c>
      <c r="L18" s="53">
        <v>2</v>
      </c>
      <c r="M18" s="75"/>
      <c r="N18" s="53">
        <v>1</v>
      </c>
      <c r="O18" s="53">
        <v>0.65</v>
      </c>
      <c r="P18" s="53">
        <v>0.7</v>
      </c>
      <c r="Q18" s="74">
        <v>0.65</v>
      </c>
      <c r="R18" s="53">
        <v>9.8000000000000007</v>
      </c>
      <c r="S18" s="53">
        <v>118</v>
      </c>
      <c r="T18" s="16">
        <f t="shared" si="1"/>
        <v>30</v>
      </c>
      <c r="U18" s="53">
        <v>84</v>
      </c>
      <c r="V18" s="16">
        <f t="shared" si="2"/>
        <v>2520</v>
      </c>
      <c r="W18" s="53">
        <v>1</v>
      </c>
      <c r="X18" s="53" t="s">
        <v>46</v>
      </c>
      <c r="Y18" s="53" t="s">
        <v>69</v>
      </c>
      <c r="Z18" s="53" t="s">
        <v>84</v>
      </c>
      <c r="AA18" s="53" t="s">
        <v>90</v>
      </c>
      <c r="AB18" s="53" t="s">
        <v>158</v>
      </c>
      <c r="AE18" s="22" t="s">
        <v>213</v>
      </c>
      <c r="AP18" s="27" t="s">
        <v>222</v>
      </c>
      <c r="AR18" s="23" t="s">
        <v>101</v>
      </c>
      <c r="AV18" s="23" t="s">
        <v>88</v>
      </c>
    </row>
    <row r="19" spans="1:48" x14ac:dyDescent="0.15">
      <c r="A19" s="53" t="s">
        <v>41</v>
      </c>
      <c r="B19" s="53" t="s">
        <v>157</v>
      </c>
      <c r="C19" s="62">
        <v>2019</v>
      </c>
      <c r="D19" s="63" t="s">
        <v>188</v>
      </c>
      <c r="E19" s="53" t="s">
        <v>186</v>
      </c>
      <c r="F19" s="53" t="s">
        <v>184</v>
      </c>
      <c r="G19" s="53" t="s">
        <v>42</v>
      </c>
      <c r="H19" s="53" t="s">
        <v>187</v>
      </c>
      <c r="I19" s="53" t="s">
        <v>159</v>
      </c>
      <c r="J19" s="53" t="s">
        <v>80</v>
      </c>
      <c r="K19" s="53" t="s">
        <v>45</v>
      </c>
      <c r="L19" s="53">
        <v>3</v>
      </c>
      <c r="M19" s="75"/>
      <c r="N19" s="53">
        <v>1</v>
      </c>
      <c r="O19" s="53">
        <v>0.8</v>
      </c>
      <c r="P19" s="53">
        <v>0.95</v>
      </c>
      <c r="Q19" s="74">
        <v>0.57999999999999996</v>
      </c>
      <c r="R19" s="53">
        <v>11.2</v>
      </c>
      <c r="S19" s="53">
        <v>115</v>
      </c>
      <c r="T19" s="16">
        <f t="shared" si="1"/>
        <v>30</v>
      </c>
      <c r="U19" s="53">
        <v>84</v>
      </c>
      <c r="V19" s="16">
        <f t="shared" si="2"/>
        <v>2520</v>
      </c>
      <c r="W19" s="53">
        <v>1</v>
      </c>
      <c r="X19" s="53" t="s">
        <v>46</v>
      </c>
      <c r="Y19" s="53" t="s">
        <v>69</v>
      </c>
      <c r="Z19" s="53" t="s">
        <v>84</v>
      </c>
      <c r="AA19" s="53" t="s">
        <v>90</v>
      </c>
      <c r="AB19" s="53" t="s">
        <v>158</v>
      </c>
      <c r="AE19" s="35" t="s">
        <v>207</v>
      </c>
      <c r="AP19" s="27" t="s">
        <v>223</v>
      </c>
      <c r="AR19" s="23" t="s">
        <v>224</v>
      </c>
      <c r="AV19" s="23" t="s">
        <v>90</v>
      </c>
    </row>
    <row r="20" spans="1:48" x14ac:dyDescent="0.15">
      <c r="A20" s="53" t="s">
        <v>41</v>
      </c>
      <c r="B20" s="53" t="s">
        <v>157</v>
      </c>
      <c r="C20" s="62">
        <v>2019</v>
      </c>
      <c r="D20" s="63" t="s">
        <v>188</v>
      </c>
      <c r="E20" s="53" t="s">
        <v>186</v>
      </c>
      <c r="F20" s="53" t="s">
        <v>184</v>
      </c>
      <c r="G20" s="53" t="s">
        <v>42</v>
      </c>
      <c r="H20" s="53" t="s">
        <v>163</v>
      </c>
      <c r="I20" s="53" t="s">
        <v>159</v>
      </c>
      <c r="J20" s="53" t="s">
        <v>38</v>
      </c>
      <c r="K20" s="53" t="s">
        <v>160</v>
      </c>
      <c r="L20" s="53">
        <v>1</v>
      </c>
      <c r="M20" s="75"/>
      <c r="N20" s="53">
        <v>1</v>
      </c>
      <c r="O20" s="53">
        <v>1</v>
      </c>
      <c r="P20" s="53">
        <v>1.05</v>
      </c>
      <c r="Q20" s="74">
        <v>0.63</v>
      </c>
      <c r="R20" s="53">
        <v>13.2</v>
      </c>
      <c r="S20" s="53">
        <v>126</v>
      </c>
      <c r="T20" s="16">
        <f t="shared" si="1"/>
        <v>27</v>
      </c>
      <c r="U20" s="53">
        <v>84</v>
      </c>
      <c r="V20" s="16">
        <f t="shared" si="2"/>
        <v>2268</v>
      </c>
      <c r="W20" s="53">
        <v>1</v>
      </c>
      <c r="X20" s="53" t="s">
        <v>46</v>
      </c>
      <c r="Y20" s="53" t="s">
        <v>69</v>
      </c>
      <c r="Z20" s="53" t="s">
        <v>84</v>
      </c>
      <c r="AA20" s="53" t="s">
        <v>90</v>
      </c>
      <c r="AB20" s="53" t="s">
        <v>158</v>
      </c>
      <c r="AP20" s="27" t="s">
        <v>225</v>
      </c>
      <c r="AR20" s="23" t="s">
        <v>105</v>
      </c>
      <c r="AV20" s="27" t="s">
        <v>226</v>
      </c>
    </row>
    <row r="21" spans="1:48" x14ac:dyDescent="0.15">
      <c r="A21" s="53" t="s">
        <v>41</v>
      </c>
      <c r="B21" s="53" t="s">
        <v>157</v>
      </c>
      <c r="C21" s="62">
        <v>2019</v>
      </c>
      <c r="D21" s="63" t="s">
        <v>188</v>
      </c>
      <c r="E21" s="53" t="s">
        <v>186</v>
      </c>
      <c r="F21" s="53" t="s">
        <v>184</v>
      </c>
      <c r="G21" s="53" t="s">
        <v>42</v>
      </c>
      <c r="H21" s="53" t="s">
        <v>163</v>
      </c>
      <c r="I21" s="53" t="s">
        <v>159</v>
      </c>
      <c r="J21" s="53" t="s">
        <v>38</v>
      </c>
      <c r="K21" s="53" t="s">
        <v>160</v>
      </c>
      <c r="L21" s="53">
        <v>2</v>
      </c>
      <c r="M21" s="75"/>
      <c r="N21" s="53">
        <v>1</v>
      </c>
      <c r="O21" s="53">
        <v>0.95</v>
      </c>
      <c r="P21" s="53">
        <v>1</v>
      </c>
      <c r="Q21" s="74">
        <v>0.78</v>
      </c>
      <c r="R21" s="53">
        <v>13.2</v>
      </c>
      <c r="S21" s="53">
        <v>128</v>
      </c>
      <c r="T21" s="16">
        <f t="shared" si="1"/>
        <v>27</v>
      </c>
      <c r="U21" s="53">
        <v>84</v>
      </c>
      <c r="V21" s="16">
        <f t="shared" si="2"/>
        <v>2268</v>
      </c>
      <c r="W21" s="53">
        <v>1</v>
      </c>
      <c r="X21" s="53" t="s">
        <v>46</v>
      </c>
      <c r="Y21" s="53" t="s">
        <v>69</v>
      </c>
      <c r="Z21" s="53" t="s">
        <v>84</v>
      </c>
      <c r="AA21" s="53" t="s">
        <v>90</v>
      </c>
      <c r="AB21" s="53" t="s">
        <v>158</v>
      </c>
      <c r="AP21" s="27" t="s">
        <v>227</v>
      </c>
      <c r="AR21" s="23" t="s">
        <v>68</v>
      </c>
      <c r="AV21" s="28" t="s">
        <v>228</v>
      </c>
    </row>
    <row r="22" spans="1:48" x14ac:dyDescent="0.15">
      <c r="A22" s="53" t="s">
        <v>41</v>
      </c>
      <c r="B22" s="53" t="s">
        <v>157</v>
      </c>
      <c r="C22" s="62">
        <v>2019</v>
      </c>
      <c r="D22" s="63" t="s">
        <v>188</v>
      </c>
      <c r="E22" s="53" t="s">
        <v>186</v>
      </c>
      <c r="F22" s="53" t="s">
        <v>184</v>
      </c>
      <c r="G22" s="53" t="s">
        <v>42</v>
      </c>
      <c r="H22" s="53" t="s">
        <v>163</v>
      </c>
      <c r="I22" s="53" t="s">
        <v>159</v>
      </c>
      <c r="J22" s="53" t="s">
        <v>38</v>
      </c>
      <c r="K22" s="53" t="s">
        <v>160</v>
      </c>
      <c r="L22" s="53">
        <v>3</v>
      </c>
      <c r="M22" s="75"/>
      <c r="N22" s="53">
        <v>1</v>
      </c>
      <c r="O22" s="53">
        <v>0.8</v>
      </c>
      <c r="P22" s="53">
        <v>0.8</v>
      </c>
      <c r="Q22" s="74">
        <v>0.65</v>
      </c>
      <c r="R22" s="53">
        <v>12.5</v>
      </c>
      <c r="S22" s="53">
        <v>127</v>
      </c>
      <c r="T22" s="16">
        <f t="shared" si="1"/>
        <v>27</v>
      </c>
      <c r="U22" s="53">
        <v>84</v>
      </c>
      <c r="V22" s="16">
        <f t="shared" si="2"/>
        <v>2268</v>
      </c>
      <c r="W22" s="53">
        <v>1</v>
      </c>
      <c r="X22" s="53" t="s">
        <v>46</v>
      </c>
      <c r="Y22" s="53" t="s">
        <v>69</v>
      </c>
      <c r="Z22" s="53" t="s">
        <v>84</v>
      </c>
      <c r="AA22" s="53" t="s">
        <v>90</v>
      </c>
      <c r="AB22" s="53" t="s">
        <v>158</v>
      </c>
      <c r="AP22" s="27" t="s">
        <v>229</v>
      </c>
      <c r="AR22" s="23" t="s">
        <v>83</v>
      </c>
    </row>
    <row r="23" spans="1:48" x14ac:dyDescent="0.15">
      <c r="A23" s="53" t="s">
        <v>41</v>
      </c>
      <c r="B23" s="53" t="s">
        <v>157</v>
      </c>
      <c r="C23" s="62">
        <v>2019</v>
      </c>
      <c r="D23" s="63" t="s">
        <v>188</v>
      </c>
      <c r="E23" s="53" t="s">
        <v>186</v>
      </c>
      <c r="F23" s="53" t="s">
        <v>189</v>
      </c>
      <c r="G23" s="53" t="s">
        <v>42</v>
      </c>
      <c r="H23" s="53" t="s">
        <v>163</v>
      </c>
      <c r="I23" s="53" t="s">
        <v>159</v>
      </c>
      <c r="J23" s="53" t="s">
        <v>38</v>
      </c>
      <c r="K23" s="53" t="s">
        <v>160</v>
      </c>
      <c r="L23" s="53">
        <v>1</v>
      </c>
      <c r="M23" s="75"/>
      <c r="N23" s="53">
        <v>5</v>
      </c>
      <c r="O23" s="53">
        <v>0.8</v>
      </c>
      <c r="P23" s="53">
        <v>1</v>
      </c>
      <c r="Q23" s="16">
        <v>0.38</v>
      </c>
      <c r="R23" s="53">
        <v>10.3</v>
      </c>
      <c r="S23" s="53">
        <v>105</v>
      </c>
      <c r="T23" s="16">
        <f t="shared" si="1"/>
        <v>33</v>
      </c>
      <c r="U23" s="53">
        <v>378</v>
      </c>
      <c r="V23" s="16">
        <f t="shared" si="2"/>
        <v>2494.7999999999997</v>
      </c>
      <c r="W23" s="53">
        <v>1</v>
      </c>
      <c r="X23" s="53" t="s">
        <v>39</v>
      </c>
      <c r="Y23" s="53" t="s">
        <v>84</v>
      </c>
      <c r="Z23" s="53" t="s">
        <v>90</v>
      </c>
      <c r="AA23" s="53" t="s">
        <v>69</v>
      </c>
      <c r="AB23" s="53" t="s">
        <v>158</v>
      </c>
      <c r="AP23" s="27" t="s">
        <v>230</v>
      </c>
      <c r="AR23" s="23" t="s">
        <v>61</v>
      </c>
    </row>
    <row r="24" spans="1:48" x14ac:dyDescent="0.15">
      <c r="A24" s="53" t="s">
        <v>41</v>
      </c>
      <c r="B24" s="53" t="s">
        <v>157</v>
      </c>
      <c r="C24" s="62">
        <v>2019</v>
      </c>
      <c r="D24" s="63" t="s">
        <v>188</v>
      </c>
      <c r="E24" s="53" t="s">
        <v>186</v>
      </c>
      <c r="F24" s="53" t="s">
        <v>189</v>
      </c>
      <c r="G24" s="53" t="s">
        <v>42</v>
      </c>
      <c r="H24" s="53" t="s">
        <v>163</v>
      </c>
      <c r="I24" s="53" t="s">
        <v>159</v>
      </c>
      <c r="J24" s="53" t="s">
        <v>38</v>
      </c>
      <c r="K24" s="53" t="s">
        <v>160</v>
      </c>
      <c r="L24" s="53">
        <v>2</v>
      </c>
      <c r="M24" s="75"/>
      <c r="N24" s="53">
        <v>5</v>
      </c>
      <c r="O24" s="53">
        <v>1.2</v>
      </c>
      <c r="P24" s="53">
        <v>1.2</v>
      </c>
      <c r="Q24" s="16">
        <v>0.83</v>
      </c>
      <c r="R24" s="53">
        <v>12.8</v>
      </c>
      <c r="S24" s="53">
        <v>100</v>
      </c>
      <c r="T24" s="16">
        <f t="shared" si="1"/>
        <v>33</v>
      </c>
      <c r="U24" s="53">
        <v>378</v>
      </c>
      <c r="V24" s="16">
        <f t="shared" si="2"/>
        <v>2494.7999999999997</v>
      </c>
      <c r="W24" s="53">
        <v>1</v>
      </c>
      <c r="X24" s="53" t="s">
        <v>39</v>
      </c>
      <c r="Y24" s="53" t="s">
        <v>84</v>
      </c>
      <c r="Z24" s="53" t="s">
        <v>90</v>
      </c>
      <c r="AA24" s="53" t="s">
        <v>69</v>
      </c>
      <c r="AB24" s="53" t="s">
        <v>158</v>
      </c>
      <c r="AP24" s="27" t="s">
        <v>231</v>
      </c>
      <c r="AR24" s="23" t="s">
        <v>91</v>
      </c>
    </row>
    <row r="25" spans="1:48" x14ac:dyDescent="0.15">
      <c r="A25" s="53" t="s">
        <v>41</v>
      </c>
      <c r="B25" s="53" t="s">
        <v>157</v>
      </c>
      <c r="C25" s="62">
        <v>2019</v>
      </c>
      <c r="D25" s="63" t="s">
        <v>188</v>
      </c>
      <c r="E25" s="53" t="s">
        <v>186</v>
      </c>
      <c r="F25" s="53" t="s">
        <v>189</v>
      </c>
      <c r="G25" s="53" t="s">
        <v>42</v>
      </c>
      <c r="H25" s="53" t="s">
        <v>163</v>
      </c>
      <c r="I25" s="53" t="s">
        <v>159</v>
      </c>
      <c r="J25" s="53" t="s">
        <v>38</v>
      </c>
      <c r="K25" s="53" t="s">
        <v>160</v>
      </c>
      <c r="L25" s="53">
        <v>3</v>
      </c>
      <c r="M25" s="75"/>
      <c r="N25" s="53">
        <v>5</v>
      </c>
      <c r="O25" s="53">
        <v>1.3</v>
      </c>
      <c r="P25" s="53">
        <v>1.1000000000000001</v>
      </c>
      <c r="Q25" s="16">
        <v>0.5</v>
      </c>
      <c r="R25" s="53">
        <v>11.7</v>
      </c>
      <c r="S25" s="53">
        <v>103</v>
      </c>
      <c r="T25" s="16">
        <f t="shared" si="1"/>
        <v>33</v>
      </c>
      <c r="U25" s="53">
        <v>378</v>
      </c>
      <c r="V25" s="16">
        <f t="shared" si="2"/>
        <v>2494.7999999999997</v>
      </c>
      <c r="W25" s="53">
        <v>1</v>
      </c>
      <c r="X25" s="53" t="s">
        <v>39</v>
      </c>
      <c r="Y25" s="53" t="s">
        <v>84</v>
      </c>
      <c r="Z25" s="53" t="s">
        <v>90</v>
      </c>
      <c r="AA25" s="53" t="s">
        <v>69</v>
      </c>
      <c r="AB25" s="53" t="s">
        <v>158</v>
      </c>
      <c r="AP25" s="27" t="s">
        <v>232</v>
      </c>
      <c r="AR25" s="27" t="s">
        <v>51</v>
      </c>
    </row>
    <row r="26" spans="1:48" x14ac:dyDescent="0.15">
      <c r="A26" s="53" t="s">
        <v>41</v>
      </c>
      <c r="B26" s="53" t="s">
        <v>157</v>
      </c>
      <c r="C26" s="62">
        <v>2019</v>
      </c>
      <c r="D26" s="63" t="s">
        <v>188</v>
      </c>
      <c r="E26" s="53" t="s">
        <v>186</v>
      </c>
      <c r="F26" s="53" t="s">
        <v>189</v>
      </c>
      <c r="G26" s="53" t="s">
        <v>42</v>
      </c>
      <c r="H26" s="53" t="s">
        <v>163</v>
      </c>
      <c r="I26" s="53" t="s">
        <v>159</v>
      </c>
      <c r="J26" s="53" t="s">
        <v>38</v>
      </c>
      <c r="K26" s="53" t="s">
        <v>160</v>
      </c>
      <c r="L26" s="53">
        <v>1</v>
      </c>
      <c r="M26" s="75"/>
      <c r="N26" s="53">
        <v>1</v>
      </c>
      <c r="O26" s="53">
        <v>0.45</v>
      </c>
      <c r="P26" s="53">
        <v>0.5</v>
      </c>
      <c r="Q26" s="16">
        <v>2.4</v>
      </c>
      <c r="R26" s="53">
        <v>12.6</v>
      </c>
      <c r="S26" s="53">
        <v>124</v>
      </c>
      <c r="T26" s="16">
        <f t="shared" si="1"/>
        <v>27</v>
      </c>
      <c r="U26" s="53">
        <v>84</v>
      </c>
      <c r="V26" s="16">
        <f t="shared" si="2"/>
        <v>2268</v>
      </c>
      <c r="W26" s="53">
        <v>2</v>
      </c>
      <c r="X26" s="53" t="s">
        <v>39</v>
      </c>
      <c r="Y26" s="53" t="s">
        <v>84</v>
      </c>
      <c r="Z26" s="53" t="s">
        <v>90</v>
      </c>
      <c r="AA26" s="53" t="s">
        <v>69</v>
      </c>
      <c r="AB26" s="53" t="s">
        <v>158</v>
      </c>
      <c r="AP26" s="27" t="s">
        <v>233</v>
      </c>
      <c r="AR26" s="53" t="s">
        <v>234</v>
      </c>
    </row>
    <row r="27" spans="1:48" x14ac:dyDescent="0.15">
      <c r="A27" s="53" t="s">
        <v>41</v>
      </c>
      <c r="B27" s="53" t="s">
        <v>157</v>
      </c>
      <c r="C27" s="62">
        <v>2019</v>
      </c>
      <c r="D27" s="63" t="s">
        <v>188</v>
      </c>
      <c r="E27" s="53" t="s">
        <v>186</v>
      </c>
      <c r="F27" s="53" t="s">
        <v>189</v>
      </c>
      <c r="G27" s="53" t="s">
        <v>42</v>
      </c>
      <c r="H27" s="53" t="s">
        <v>163</v>
      </c>
      <c r="I27" s="53" t="s">
        <v>159</v>
      </c>
      <c r="J27" s="53" t="s">
        <v>38</v>
      </c>
      <c r="K27" s="53" t="s">
        <v>160</v>
      </c>
      <c r="L27" s="53">
        <v>2</v>
      </c>
      <c r="M27" s="75"/>
      <c r="N27" s="53">
        <v>1</v>
      </c>
      <c r="O27" s="53">
        <v>0.35</v>
      </c>
      <c r="P27" s="53">
        <v>0.3</v>
      </c>
      <c r="Q27" s="16">
        <v>1.73</v>
      </c>
      <c r="R27" s="53">
        <v>13.2</v>
      </c>
      <c r="S27" s="53">
        <v>126</v>
      </c>
      <c r="T27" s="16">
        <f t="shared" si="1"/>
        <v>27</v>
      </c>
      <c r="U27" s="53">
        <v>84</v>
      </c>
      <c r="V27" s="16">
        <f t="shared" si="2"/>
        <v>2268</v>
      </c>
      <c r="W27" s="53">
        <v>2</v>
      </c>
      <c r="X27" s="53" t="s">
        <v>39</v>
      </c>
      <c r="Y27" s="53" t="s">
        <v>84</v>
      </c>
      <c r="Z27" s="53" t="s">
        <v>90</v>
      </c>
      <c r="AA27" s="53" t="s">
        <v>69</v>
      </c>
      <c r="AB27" s="53" t="s">
        <v>158</v>
      </c>
      <c r="AP27" s="27" t="s">
        <v>235</v>
      </c>
    </row>
    <row r="28" spans="1:48" x14ac:dyDescent="0.15">
      <c r="A28" s="53" t="s">
        <v>41</v>
      </c>
      <c r="B28" s="53" t="s">
        <v>157</v>
      </c>
      <c r="C28" s="62">
        <v>2019</v>
      </c>
      <c r="D28" s="63" t="s">
        <v>188</v>
      </c>
      <c r="E28" s="53" t="s">
        <v>186</v>
      </c>
      <c r="F28" s="53" t="s">
        <v>189</v>
      </c>
      <c r="G28" s="53" t="s">
        <v>42</v>
      </c>
      <c r="H28" s="53" t="s">
        <v>163</v>
      </c>
      <c r="I28" s="53" t="s">
        <v>159</v>
      </c>
      <c r="J28" s="53" t="s">
        <v>38</v>
      </c>
      <c r="K28" s="53" t="s">
        <v>160</v>
      </c>
      <c r="L28" s="53">
        <v>3</v>
      </c>
      <c r="M28" s="75"/>
      <c r="N28" s="53">
        <v>1</v>
      </c>
      <c r="O28" s="53">
        <v>0.6</v>
      </c>
      <c r="P28" s="53">
        <v>0.45</v>
      </c>
      <c r="Q28" s="16">
        <v>1.88</v>
      </c>
      <c r="R28" s="53">
        <v>10.5</v>
      </c>
      <c r="S28" s="53">
        <v>122</v>
      </c>
      <c r="T28" s="16">
        <f t="shared" si="1"/>
        <v>27</v>
      </c>
      <c r="U28" s="53">
        <v>84</v>
      </c>
      <c r="V28" s="16">
        <f t="shared" si="2"/>
        <v>2268</v>
      </c>
      <c r="W28" s="53">
        <v>2</v>
      </c>
      <c r="X28" s="53" t="s">
        <v>39</v>
      </c>
      <c r="Y28" s="53" t="s">
        <v>84</v>
      </c>
      <c r="Z28" s="53" t="s">
        <v>90</v>
      </c>
      <c r="AA28" s="53" t="s">
        <v>69</v>
      </c>
      <c r="AB28" s="53" t="s">
        <v>158</v>
      </c>
    </row>
    <row r="29" spans="1:48" x14ac:dyDescent="0.15">
      <c r="A29" s="53" t="s">
        <v>41</v>
      </c>
      <c r="B29" s="53" t="s">
        <v>157</v>
      </c>
      <c r="C29" s="62">
        <v>2019</v>
      </c>
      <c r="D29" s="63" t="s">
        <v>188</v>
      </c>
      <c r="E29" s="53" t="s">
        <v>186</v>
      </c>
      <c r="F29" s="53" t="s">
        <v>189</v>
      </c>
      <c r="G29" s="53" t="s">
        <v>42</v>
      </c>
      <c r="H29" s="53" t="s">
        <v>187</v>
      </c>
      <c r="I29" s="53" t="s">
        <v>159</v>
      </c>
      <c r="J29" s="53" t="s">
        <v>80</v>
      </c>
      <c r="K29" s="53" t="s">
        <v>45</v>
      </c>
      <c r="L29" s="53">
        <v>1</v>
      </c>
      <c r="N29" s="53">
        <v>1</v>
      </c>
      <c r="O29" s="53">
        <v>0.35</v>
      </c>
      <c r="P29" s="53">
        <v>0.5</v>
      </c>
      <c r="Q29" s="74">
        <f t="shared" ref="Q29:Q92" si="3">IF(OR(O29="",P29=""),"",AVERAGE(O29,P29))</f>
        <v>0.42499999999999999</v>
      </c>
      <c r="R29" s="53">
        <v>12.6</v>
      </c>
      <c r="S29" s="53">
        <v>115</v>
      </c>
      <c r="T29" s="16">
        <f t="shared" si="1"/>
        <v>30</v>
      </c>
      <c r="U29" s="53">
        <v>84</v>
      </c>
      <c r="V29" s="16">
        <f t="shared" si="2"/>
        <v>2520</v>
      </c>
      <c r="W29" s="53">
        <v>2</v>
      </c>
      <c r="X29" s="53" t="s">
        <v>39</v>
      </c>
      <c r="Y29" s="53" t="s">
        <v>84</v>
      </c>
      <c r="Z29" s="53" t="s">
        <v>90</v>
      </c>
      <c r="AA29" s="53" t="s">
        <v>69</v>
      </c>
      <c r="AB29" s="53" t="s">
        <v>158</v>
      </c>
    </row>
    <row r="30" spans="1:48" x14ac:dyDescent="0.15">
      <c r="A30" s="53" t="s">
        <v>41</v>
      </c>
      <c r="B30" s="53" t="s">
        <v>157</v>
      </c>
      <c r="C30" s="62">
        <v>2019</v>
      </c>
      <c r="D30" s="63" t="s">
        <v>188</v>
      </c>
      <c r="E30" s="53" t="s">
        <v>186</v>
      </c>
      <c r="F30" s="53" t="s">
        <v>189</v>
      </c>
      <c r="G30" s="53" t="s">
        <v>42</v>
      </c>
      <c r="H30" s="53" t="s">
        <v>187</v>
      </c>
      <c r="I30" s="53" t="s">
        <v>159</v>
      </c>
      <c r="J30" s="53" t="s">
        <v>80</v>
      </c>
      <c r="K30" s="53" t="s">
        <v>45</v>
      </c>
      <c r="L30" s="53">
        <v>2</v>
      </c>
      <c r="M30" s="75"/>
      <c r="N30" s="53">
        <v>1</v>
      </c>
      <c r="O30" s="53">
        <v>0.4</v>
      </c>
      <c r="P30" s="53">
        <v>0.65</v>
      </c>
      <c r="Q30" s="74">
        <f t="shared" si="3"/>
        <v>0.52500000000000002</v>
      </c>
      <c r="R30" s="53">
        <v>12.4</v>
      </c>
      <c r="S30" s="53">
        <v>120</v>
      </c>
      <c r="T30" s="16">
        <f t="shared" si="1"/>
        <v>30</v>
      </c>
      <c r="U30" s="53">
        <v>84</v>
      </c>
      <c r="V30" s="16">
        <f t="shared" si="2"/>
        <v>2520</v>
      </c>
      <c r="W30" s="53">
        <v>2</v>
      </c>
      <c r="X30" s="53" t="s">
        <v>39</v>
      </c>
      <c r="Y30" s="53" t="s">
        <v>84</v>
      </c>
      <c r="Z30" s="53" t="s">
        <v>90</v>
      </c>
      <c r="AA30" s="53" t="s">
        <v>69</v>
      </c>
      <c r="AB30" s="53" t="s">
        <v>158</v>
      </c>
    </row>
    <row r="31" spans="1:48" x14ac:dyDescent="0.15">
      <c r="A31" s="53" t="s">
        <v>41</v>
      </c>
      <c r="B31" s="53" t="s">
        <v>157</v>
      </c>
      <c r="C31" s="62">
        <v>2019</v>
      </c>
      <c r="D31" s="63" t="s">
        <v>188</v>
      </c>
      <c r="E31" s="53" t="s">
        <v>186</v>
      </c>
      <c r="F31" s="53" t="s">
        <v>189</v>
      </c>
      <c r="G31" s="53" t="s">
        <v>42</v>
      </c>
      <c r="H31" s="53" t="s">
        <v>187</v>
      </c>
      <c r="I31" s="53" t="s">
        <v>159</v>
      </c>
      <c r="J31" s="53" t="s">
        <v>80</v>
      </c>
      <c r="K31" s="53" t="s">
        <v>45</v>
      </c>
      <c r="L31" s="53">
        <v>3</v>
      </c>
      <c r="M31" s="75"/>
      <c r="N31" s="53">
        <v>1</v>
      </c>
      <c r="O31" s="53">
        <v>0.65</v>
      </c>
      <c r="P31" s="53">
        <v>0.75</v>
      </c>
      <c r="Q31" s="74">
        <f t="shared" si="3"/>
        <v>0.7</v>
      </c>
      <c r="R31" s="53">
        <v>11.3</v>
      </c>
      <c r="S31" s="53">
        <v>117</v>
      </c>
      <c r="T31" s="16">
        <f t="shared" si="1"/>
        <v>30</v>
      </c>
      <c r="U31" s="53">
        <v>84</v>
      </c>
      <c r="V31" s="16">
        <f t="shared" si="2"/>
        <v>2520</v>
      </c>
      <c r="W31" s="53">
        <v>2</v>
      </c>
      <c r="X31" s="53" t="s">
        <v>39</v>
      </c>
      <c r="Y31" s="53" t="s">
        <v>84</v>
      </c>
      <c r="Z31" s="53" t="s">
        <v>90</v>
      </c>
      <c r="AA31" s="53" t="s">
        <v>69</v>
      </c>
      <c r="AB31" s="53" t="s">
        <v>158</v>
      </c>
    </row>
    <row r="32" spans="1:48" x14ac:dyDescent="0.15">
      <c r="A32" s="53" t="s">
        <v>41</v>
      </c>
      <c r="B32" s="53" t="s">
        <v>157</v>
      </c>
      <c r="C32" s="62">
        <v>2019</v>
      </c>
      <c r="D32" s="63" t="s">
        <v>188</v>
      </c>
      <c r="E32" s="53" t="s">
        <v>194</v>
      </c>
      <c r="F32" s="53" t="s">
        <v>184</v>
      </c>
      <c r="G32" s="53" t="s">
        <v>42</v>
      </c>
      <c r="H32" s="53" t="s">
        <v>163</v>
      </c>
      <c r="I32" s="53" t="s">
        <v>159</v>
      </c>
      <c r="J32" s="53" t="s">
        <v>38</v>
      </c>
      <c r="K32" s="53" t="s">
        <v>160</v>
      </c>
      <c r="L32" s="53">
        <v>1</v>
      </c>
      <c r="N32" s="53">
        <v>1</v>
      </c>
      <c r="O32" s="53">
        <v>0.6</v>
      </c>
      <c r="P32" s="53">
        <v>0.65</v>
      </c>
      <c r="Q32" s="74">
        <f t="shared" si="3"/>
        <v>0.625</v>
      </c>
      <c r="R32" s="53">
        <v>13.2</v>
      </c>
      <c r="S32" s="53">
        <v>122</v>
      </c>
      <c r="T32" s="16">
        <f t="shared" si="1"/>
        <v>27</v>
      </c>
      <c r="U32" s="53">
        <v>108</v>
      </c>
      <c r="V32" s="16">
        <f t="shared" si="2"/>
        <v>2916</v>
      </c>
      <c r="W32" s="53">
        <v>1</v>
      </c>
      <c r="X32" s="53" t="s">
        <v>46</v>
      </c>
      <c r="Y32" s="53" t="s">
        <v>84</v>
      </c>
      <c r="Z32" s="53" t="s">
        <v>90</v>
      </c>
      <c r="AA32" s="53" t="s">
        <v>69</v>
      </c>
      <c r="AB32" s="53" t="s">
        <v>158</v>
      </c>
    </row>
    <row r="33" spans="1:28" x14ac:dyDescent="0.15">
      <c r="A33" s="53" t="s">
        <v>41</v>
      </c>
      <c r="B33" s="53" t="s">
        <v>157</v>
      </c>
      <c r="C33" s="62">
        <v>2019</v>
      </c>
      <c r="D33" s="63" t="s">
        <v>188</v>
      </c>
      <c r="E33" s="53" t="s">
        <v>194</v>
      </c>
      <c r="F33" s="53" t="s">
        <v>184</v>
      </c>
      <c r="G33" s="53" t="s">
        <v>42</v>
      </c>
      <c r="H33" s="53" t="s">
        <v>163</v>
      </c>
      <c r="I33" s="53" t="s">
        <v>159</v>
      </c>
      <c r="J33" s="53" t="s">
        <v>38</v>
      </c>
      <c r="K33" s="53" t="s">
        <v>160</v>
      </c>
      <c r="L33" s="53">
        <v>2</v>
      </c>
      <c r="M33" s="75"/>
      <c r="N33" s="53">
        <v>1</v>
      </c>
      <c r="O33" s="53">
        <v>0.8</v>
      </c>
      <c r="P33" s="53">
        <v>0.75</v>
      </c>
      <c r="Q33" s="74">
        <f t="shared" si="3"/>
        <v>0.77500000000000002</v>
      </c>
      <c r="R33" s="53">
        <v>12.5</v>
      </c>
      <c r="S33" s="53">
        <v>120</v>
      </c>
      <c r="T33" s="16">
        <f t="shared" si="1"/>
        <v>30</v>
      </c>
      <c r="U33" s="53">
        <v>108</v>
      </c>
      <c r="V33" s="16">
        <f t="shared" si="2"/>
        <v>3240</v>
      </c>
      <c r="W33" s="53">
        <v>1</v>
      </c>
      <c r="X33" s="53" t="s">
        <v>46</v>
      </c>
      <c r="Y33" s="53" t="s">
        <v>84</v>
      </c>
      <c r="Z33" s="53" t="s">
        <v>90</v>
      </c>
      <c r="AA33" s="53" t="s">
        <v>69</v>
      </c>
      <c r="AB33" s="53" t="s">
        <v>158</v>
      </c>
    </row>
    <row r="34" spans="1:28" x14ac:dyDescent="0.15">
      <c r="A34" s="53" t="s">
        <v>41</v>
      </c>
      <c r="B34" s="53" t="s">
        <v>157</v>
      </c>
      <c r="C34" s="62">
        <v>2019</v>
      </c>
      <c r="D34" s="63" t="s">
        <v>188</v>
      </c>
      <c r="E34" s="53" t="s">
        <v>194</v>
      </c>
      <c r="F34" s="53" t="s">
        <v>184</v>
      </c>
      <c r="G34" s="53" t="s">
        <v>42</v>
      </c>
      <c r="H34" s="53" t="s">
        <v>163</v>
      </c>
      <c r="I34" s="53" t="s">
        <v>159</v>
      </c>
      <c r="J34" s="53" t="s">
        <v>38</v>
      </c>
      <c r="K34" s="53" t="s">
        <v>160</v>
      </c>
      <c r="L34" s="53">
        <v>3</v>
      </c>
      <c r="M34" s="75"/>
      <c r="N34" s="53">
        <v>1</v>
      </c>
      <c r="O34" s="53">
        <v>0.9</v>
      </c>
      <c r="P34" s="53">
        <v>1.1000000000000001</v>
      </c>
      <c r="Q34" s="74">
        <f t="shared" si="3"/>
        <v>1</v>
      </c>
      <c r="R34" s="53">
        <v>11.4</v>
      </c>
      <c r="S34" s="53">
        <v>124</v>
      </c>
      <c r="T34" s="16">
        <f t="shared" si="1"/>
        <v>27</v>
      </c>
      <c r="U34" s="53">
        <v>108</v>
      </c>
      <c r="V34" s="16">
        <f t="shared" si="2"/>
        <v>2916</v>
      </c>
      <c r="W34" s="53">
        <v>1</v>
      </c>
      <c r="X34" s="53" t="s">
        <v>46</v>
      </c>
      <c r="Y34" s="53" t="s">
        <v>84</v>
      </c>
      <c r="Z34" s="53" t="s">
        <v>90</v>
      </c>
      <c r="AA34" s="53" t="s">
        <v>69</v>
      </c>
      <c r="AB34" s="53" t="s">
        <v>158</v>
      </c>
    </row>
    <row r="35" spans="1:28" x14ac:dyDescent="0.15">
      <c r="A35" s="53" t="s">
        <v>41</v>
      </c>
      <c r="B35" s="53" t="s">
        <v>157</v>
      </c>
      <c r="C35" s="62">
        <v>2019</v>
      </c>
      <c r="D35" s="63" t="s">
        <v>188</v>
      </c>
      <c r="E35" s="53" t="s">
        <v>194</v>
      </c>
      <c r="F35" s="53" t="s">
        <v>184</v>
      </c>
      <c r="G35" s="53" t="s">
        <v>42</v>
      </c>
      <c r="H35" s="53" t="s">
        <v>163</v>
      </c>
      <c r="I35" s="53" t="s">
        <v>159</v>
      </c>
      <c r="J35" s="53" t="s">
        <v>38</v>
      </c>
      <c r="K35" s="53" t="s">
        <v>160</v>
      </c>
      <c r="L35" s="53">
        <v>1</v>
      </c>
      <c r="N35" s="53">
        <v>8</v>
      </c>
      <c r="O35" s="53">
        <v>1</v>
      </c>
      <c r="P35" s="53">
        <v>1.2</v>
      </c>
      <c r="Q35" s="74">
        <f t="shared" si="3"/>
        <v>1.1000000000000001</v>
      </c>
      <c r="R35" s="53">
        <v>13</v>
      </c>
      <c r="S35" s="53">
        <v>120</v>
      </c>
      <c r="T35" s="16">
        <f t="shared" si="1"/>
        <v>30</v>
      </c>
      <c r="U35" s="53">
        <v>646</v>
      </c>
      <c r="V35" s="16">
        <f t="shared" si="2"/>
        <v>2422.5</v>
      </c>
      <c r="W35" s="53">
        <v>2</v>
      </c>
      <c r="X35" s="53" t="s">
        <v>46</v>
      </c>
      <c r="Y35" s="53" t="s">
        <v>84</v>
      </c>
      <c r="Z35" s="53" t="s">
        <v>90</v>
      </c>
      <c r="AA35" s="53" t="s">
        <v>69</v>
      </c>
      <c r="AB35" s="53" t="s">
        <v>158</v>
      </c>
    </row>
    <row r="36" spans="1:28" x14ac:dyDescent="0.15">
      <c r="A36" s="53" t="s">
        <v>41</v>
      </c>
      <c r="B36" s="53" t="s">
        <v>157</v>
      </c>
      <c r="C36" s="62">
        <v>2019</v>
      </c>
      <c r="D36" s="63" t="s">
        <v>188</v>
      </c>
      <c r="E36" s="53" t="s">
        <v>194</v>
      </c>
      <c r="F36" s="53" t="s">
        <v>184</v>
      </c>
      <c r="G36" s="53" t="s">
        <v>42</v>
      </c>
      <c r="H36" s="53" t="s">
        <v>163</v>
      </c>
      <c r="I36" s="53" t="s">
        <v>159</v>
      </c>
      <c r="J36" s="53" t="s">
        <v>38</v>
      </c>
      <c r="K36" s="53" t="s">
        <v>160</v>
      </c>
      <c r="L36" s="53">
        <v>2</v>
      </c>
      <c r="M36" s="75"/>
      <c r="N36" s="53">
        <v>8</v>
      </c>
      <c r="O36" s="53">
        <v>0.8</v>
      </c>
      <c r="P36" s="53">
        <v>0.95</v>
      </c>
      <c r="Q36" s="74">
        <f t="shared" si="3"/>
        <v>0.875</v>
      </c>
      <c r="R36" s="53">
        <v>12.6</v>
      </c>
      <c r="S36" s="53">
        <v>118</v>
      </c>
      <c r="T36" s="16">
        <f t="shared" si="1"/>
        <v>30</v>
      </c>
      <c r="U36" s="53">
        <v>646</v>
      </c>
      <c r="V36" s="16">
        <f t="shared" si="2"/>
        <v>2422.5</v>
      </c>
      <c r="W36" s="53">
        <v>2</v>
      </c>
      <c r="X36" s="53" t="s">
        <v>46</v>
      </c>
      <c r="Y36" s="53" t="s">
        <v>84</v>
      </c>
      <c r="Z36" s="53" t="s">
        <v>90</v>
      </c>
      <c r="AA36" s="53" t="s">
        <v>69</v>
      </c>
      <c r="AB36" s="53" t="s">
        <v>158</v>
      </c>
    </row>
    <row r="37" spans="1:28" x14ac:dyDescent="0.15">
      <c r="A37" s="53" t="s">
        <v>41</v>
      </c>
      <c r="B37" s="53" t="s">
        <v>157</v>
      </c>
      <c r="C37" s="62">
        <v>2019</v>
      </c>
      <c r="D37" s="63" t="s">
        <v>188</v>
      </c>
      <c r="E37" s="53" t="s">
        <v>194</v>
      </c>
      <c r="F37" s="53" t="s">
        <v>184</v>
      </c>
      <c r="G37" s="53" t="s">
        <v>42</v>
      </c>
      <c r="H37" s="53" t="s">
        <v>163</v>
      </c>
      <c r="I37" s="53" t="s">
        <v>159</v>
      </c>
      <c r="J37" s="53" t="s">
        <v>38</v>
      </c>
      <c r="K37" s="53" t="s">
        <v>160</v>
      </c>
      <c r="L37" s="53">
        <v>3</v>
      </c>
      <c r="M37" s="75"/>
      <c r="N37" s="53">
        <v>8</v>
      </c>
      <c r="O37" s="53">
        <v>0.95</v>
      </c>
      <c r="P37" s="53">
        <v>0.75</v>
      </c>
      <c r="Q37" s="74">
        <f t="shared" si="3"/>
        <v>0.85</v>
      </c>
      <c r="R37" s="53">
        <v>10.199999999999999</v>
      </c>
      <c r="S37" s="53">
        <v>117</v>
      </c>
      <c r="T37" s="16">
        <f t="shared" si="1"/>
        <v>30</v>
      </c>
      <c r="U37" s="53">
        <v>646</v>
      </c>
      <c r="V37" s="16">
        <f t="shared" si="2"/>
        <v>2422.5</v>
      </c>
      <c r="W37" s="53">
        <v>2</v>
      </c>
      <c r="X37" s="53" t="s">
        <v>46</v>
      </c>
      <c r="Y37" s="53" t="s">
        <v>84</v>
      </c>
      <c r="Z37" s="53" t="s">
        <v>90</v>
      </c>
      <c r="AA37" s="53" t="s">
        <v>69</v>
      </c>
      <c r="AB37" s="53" t="s">
        <v>158</v>
      </c>
    </row>
    <row r="38" spans="1:28" x14ac:dyDescent="0.15">
      <c r="A38" s="53" t="s">
        <v>41</v>
      </c>
      <c r="B38" s="53" t="s">
        <v>157</v>
      </c>
      <c r="C38" s="62">
        <v>2019</v>
      </c>
      <c r="D38" s="63" t="s">
        <v>188</v>
      </c>
      <c r="E38" s="53" t="s">
        <v>194</v>
      </c>
      <c r="F38" s="53" t="s">
        <v>196</v>
      </c>
      <c r="G38" s="53" t="s">
        <v>42</v>
      </c>
      <c r="H38" s="53" t="s">
        <v>163</v>
      </c>
      <c r="I38" s="53" t="s">
        <v>159</v>
      </c>
      <c r="J38" s="53" t="s">
        <v>38</v>
      </c>
      <c r="K38" s="53" t="s">
        <v>160</v>
      </c>
      <c r="L38" s="53">
        <v>1</v>
      </c>
      <c r="N38" s="53">
        <v>1</v>
      </c>
      <c r="O38" s="53">
        <v>0.45</v>
      </c>
      <c r="P38" s="53">
        <v>0.5</v>
      </c>
      <c r="Q38" s="74">
        <f t="shared" si="3"/>
        <v>0.47499999999999998</v>
      </c>
      <c r="R38" s="53">
        <v>13.6</v>
      </c>
      <c r="S38" s="53">
        <v>122</v>
      </c>
      <c r="T38" s="16">
        <f t="shared" si="1"/>
        <v>27</v>
      </c>
      <c r="U38" s="53">
        <v>108</v>
      </c>
      <c r="V38" s="16">
        <f t="shared" si="2"/>
        <v>2916</v>
      </c>
      <c r="W38" s="53">
        <v>2</v>
      </c>
      <c r="X38" s="53" t="s">
        <v>39</v>
      </c>
      <c r="Y38" s="53" t="s">
        <v>69</v>
      </c>
      <c r="Z38" s="53" t="s">
        <v>84</v>
      </c>
      <c r="AA38" s="53" t="s">
        <v>90</v>
      </c>
      <c r="AB38" s="53" t="s">
        <v>158</v>
      </c>
    </row>
    <row r="39" spans="1:28" x14ac:dyDescent="0.15">
      <c r="A39" s="53" t="s">
        <v>41</v>
      </c>
      <c r="B39" s="53" t="s">
        <v>157</v>
      </c>
      <c r="C39" s="62">
        <v>2019</v>
      </c>
      <c r="D39" s="63" t="s">
        <v>188</v>
      </c>
      <c r="E39" s="53" t="s">
        <v>194</v>
      </c>
      <c r="F39" s="53" t="s">
        <v>196</v>
      </c>
      <c r="G39" s="53" t="s">
        <v>42</v>
      </c>
      <c r="H39" s="53" t="s">
        <v>163</v>
      </c>
      <c r="I39" s="53" t="s">
        <v>159</v>
      </c>
      <c r="J39" s="53" t="s">
        <v>38</v>
      </c>
      <c r="K39" s="53" t="s">
        <v>160</v>
      </c>
      <c r="L39" s="53">
        <v>2</v>
      </c>
      <c r="M39" s="75"/>
      <c r="N39" s="53">
        <v>1</v>
      </c>
      <c r="O39" s="53">
        <v>0.6</v>
      </c>
      <c r="P39" s="53">
        <v>0.45</v>
      </c>
      <c r="Q39" s="74">
        <f t="shared" si="3"/>
        <v>0.52500000000000002</v>
      </c>
      <c r="R39" s="53">
        <v>14.5</v>
      </c>
      <c r="S39" s="53">
        <v>124</v>
      </c>
      <c r="T39" s="16">
        <f t="shared" si="1"/>
        <v>27</v>
      </c>
      <c r="U39" s="53">
        <v>108</v>
      </c>
      <c r="V39" s="16">
        <f t="shared" si="2"/>
        <v>2916</v>
      </c>
      <c r="W39" s="53">
        <v>2</v>
      </c>
      <c r="X39" s="53" t="s">
        <v>39</v>
      </c>
      <c r="Y39" s="53" t="s">
        <v>69</v>
      </c>
      <c r="Z39" s="53" t="s">
        <v>84</v>
      </c>
      <c r="AA39" s="53" t="s">
        <v>90</v>
      </c>
      <c r="AB39" s="53" t="s">
        <v>158</v>
      </c>
    </row>
    <row r="40" spans="1:28" x14ac:dyDescent="0.15">
      <c r="A40" s="53" t="s">
        <v>41</v>
      </c>
      <c r="B40" s="53" t="s">
        <v>157</v>
      </c>
      <c r="C40" s="62">
        <v>2019</v>
      </c>
      <c r="D40" s="63" t="s">
        <v>188</v>
      </c>
      <c r="E40" s="53" t="s">
        <v>194</v>
      </c>
      <c r="F40" s="53" t="s">
        <v>196</v>
      </c>
      <c r="G40" s="53" t="s">
        <v>42</v>
      </c>
      <c r="H40" s="53" t="s">
        <v>163</v>
      </c>
      <c r="I40" s="53" t="s">
        <v>159</v>
      </c>
      <c r="J40" s="53" t="s">
        <v>38</v>
      </c>
      <c r="K40" s="53" t="s">
        <v>160</v>
      </c>
      <c r="L40" s="53">
        <v>3</v>
      </c>
      <c r="M40" s="75"/>
      <c r="N40" s="53">
        <v>1</v>
      </c>
      <c r="O40" s="53">
        <v>0.5</v>
      </c>
      <c r="P40" s="53">
        <v>0.45</v>
      </c>
      <c r="Q40" s="74">
        <f t="shared" si="3"/>
        <v>0.47499999999999998</v>
      </c>
      <c r="R40" s="53">
        <v>11.5</v>
      </c>
      <c r="S40" s="53">
        <v>128</v>
      </c>
      <c r="T40" s="16">
        <f t="shared" si="1"/>
        <v>27</v>
      </c>
      <c r="U40" s="53">
        <v>108</v>
      </c>
      <c r="V40" s="16">
        <f t="shared" si="2"/>
        <v>2916</v>
      </c>
      <c r="W40" s="53">
        <v>2</v>
      </c>
      <c r="X40" s="53" t="s">
        <v>39</v>
      </c>
      <c r="Y40" s="53" t="s">
        <v>69</v>
      </c>
      <c r="Z40" s="53" t="s">
        <v>84</v>
      </c>
      <c r="AA40" s="53" t="s">
        <v>90</v>
      </c>
      <c r="AB40" s="53" t="s">
        <v>158</v>
      </c>
    </row>
    <row r="41" spans="1:28" x14ac:dyDescent="0.15">
      <c r="A41" s="53" t="s">
        <v>41</v>
      </c>
      <c r="B41" s="53" t="s">
        <v>157</v>
      </c>
      <c r="C41" s="62">
        <v>2019</v>
      </c>
      <c r="D41" s="63" t="s">
        <v>188</v>
      </c>
      <c r="E41" s="53" t="s">
        <v>194</v>
      </c>
      <c r="F41" s="53" t="s">
        <v>196</v>
      </c>
      <c r="G41" s="53" t="s">
        <v>42</v>
      </c>
      <c r="H41" s="53" t="s">
        <v>163</v>
      </c>
      <c r="I41" s="53" t="s">
        <v>159</v>
      </c>
      <c r="J41" s="53" t="s">
        <v>38</v>
      </c>
      <c r="K41" s="53" t="s">
        <v>160</v>
      </c>
      <c r="L41" s="53">
        <v>1</v>
      </c>
      <c r="N41" s="53">
        <v>4</v>
      </c>
      <c r="O41" s="53">
        <v>0.75</v>
      </c>
      <c r="P41" s="53">
        <v>0.5</v>
      </c>
      <c r="Q41" s="74">
        <f t="shared" si="3"/>
        <v>0.625</v>
      </c>
      <c r="R41" s="53">
        <v>15</v>
      </c>
      <c r="S41" s="53">
        <v>118</v>
      </c>
      <c r="T41" s="16">
        <f t="shared" si="1"/>
        <v>30</v>
      </c>
      <c r="U41" s="53">
        <v>429</v>
      </c>
      <c r="V41" s="16">
        <f t="shared" si="2"/>
        <v>3217.5</v>
      </c>
      <c r="W41" s="53">
        <v>1</v>
      </c>
      <c r="X41" s="53" t="s">
        <v>39</v>
      </c>
      <c r="Y41" s="53" t="s">
        <v>69</v>
      </c>
      <c r="Z41" s="53" t="s">
        <v>84</v>
      </c>
      <c r="AA41" s="53" t="s">
        <v>90</v>
      </c>
      <c r="AB41" s="53" t="s">
        <v>158</v>
      </c>
    </row>
    <row r="42" spans="1:28" x14ac:dyDescent="0.15">
      <c r="A42" s="53" t="s">
        <v>41</v>
      </c>
      <c r="B42" s="53" t="s">
        <v>157</v>
      </c>
      <c r="C42" s="62">
        <v>2019</v>
      </c>
      <c r="D42" s="63" t="s">
        <v>188</v>
      </c>
      <c r="E42" s="53" t="s">
        <v>194</v>
      </c>
      <c r="F42" s="53" t="s">
        <v>196</v>
      </c>
      <c r="G42" s="53" t="s">
        <v>42</v>
      </c>
      <c r="H42" s="53" t="s">
        <v>163</v>
      </c>
      <c r="I42" s="53" t="s">
        <v>159</v>
      </c>
      <c r="J42" s="53" t="s">
        <v>38</v>
      </c>
      <c r="K42" s="53" t="s">
        <v>160</v>
      </c>
      <c r="L42" s="53">
        <v>2</v>
      </c>
      <c r="M42" s="75"/>
      <c r="N42" s="53">
        <v>4</v>
      </c>
      <c r="O42" s="53">
        <v>0.6</v>
      </c>
      <c r="P42" s="53">
        <v>0.65</v>
      </c>
      <c r="Q42" s="74">
        <f t="shared" si="3"/>
        <v>0.625</v>
      </c>
      <c r="R42" s="53">
        <v>12.7</v>
      </c>
      <c r="S42" s="53">
        <v>114</v>
      </c>
      <c r="T42" s="16">
        <f t="shared" si="1"/>
        <v>30</v>
      </c>
      <c r="U42" s="53">
        <v>429</v>
      </c>
      <c r="V42" s="16">
        <f t="shared" si="2"/>
        <v>3217.5</v>
      </c>
      <c r="W42" s="53">
        <v>1</v>
      </c>
      <c r="X42" s="53" t="s">
        <v>39</v>
      </c>
      <c r="Y42" s="53" t="s">
        <v>69</v>
      </c>
      <c r="Z42" s="53" t="s">
        <v>84</v>
      </c>
      <c r="AA42" s="53" t="s">
        <v>90</v>
      </c>
      <c r="AB42" s="53" t="s">
        <v>158</v>
      </c>
    </row>
    <row r="43" spans="1:28" x14ac:dyDescent="0.15">
      <c r="A43" s="53" t="s">
        <v>41</v>
      </c>
      <c r="B43" s="53" t="s">
        <v>157</v>
      </c>
      <c r="C43" s="62">
        <v>2019</v>
      </c>
      <c r="D43" s="63" t="s">
        <v>188</v>
      </c>
      <c r="E43" s="53" t="s">
        <v>194</v>
      </c>
      <c r="F43" s="53" t="s">
        <v>196</v>
      </c>
      <c r="G43" s="53" t="s">
        <v>42</v>
      </c>
      <c r="H43" s="53" t="s">
        <v>163</v>
      </c>
      <c r="I43" s="53" t="s">
        <v>159</v>
      </c>
      <c r="J43" s="53" t="s">
        <v>38</v>
      </c>
      <c r="K43" s="53" t="s">
        <v>160</v>
      </c>
      <c r="L43" s="53">
        <v>3</v>
      </c>
      <c r="M43" s="75"/>
      <c r="N43" s="53">
        <v>4</v>
      </c>
      <c r="O43" s="53">
        <v>0.85</v>
      </c>
      <c r="P43" s="53">
        <v>0.7</v>
      </c>
      <c r="Q43" s="74">
        <f t="shared" si="3"/>
        <v>0.77499999999999991</v>
      </c>
      <c r="R43" s="53">
        <v>14.1</v>
      </c>
      <c r="S43" s="53">
        <v>115</v>
      </c>
      <c r="T43" s="16">
        <f t="shared" si="1"/>
        <v>30</v>
      </c>
      <c r="U43" s="53">
        <v>429</v>
      </c>
      <c r="V43" s="16">
        <f t="shared" si="2"/>
        <v>3217.5</v>
      </c>
      <c r="W43" s="53">
        <v>1</v>
      </c>
      <c r="X43" s="53" t="s">
        <v>39</v>
      </c>
      <c r="Y43" s="53" t="s">
        <v>69</v>
      </c>
      <c r="Z43" s="53" t="s">
        <v>84</v>
      </c>
      <c r="AA43" s="53" t="s">
        <v>90</v>
      </c>
      <c r="AB43" s="53" t="s">
        <v>158</v>
      </c>
    </row>
    <row r="44" spans="1:28" x14ac:dyDescent="0.15">
      <c r="A44" s="53" t="s">
        <v>41</v>
      </c>
      <c r="B44" s="53" t="s">
        <v>157</v>
      </c>
      <c r="C44" s="62">
        <v>2019</v>
      </c>
      <c r="D44" s="63" t="s">
        <v>188</v>
      </c>
      <c r="E44" s="53" t="s">
        <v>194</v>
      </c>
      <c r="F44" s="53" t="s">
        <v>196</v>
      </c>
      <c r="G44" s="53" t="s">
        <v>42</v>
      </c>
      <c r="H44" s="53" t="s">
        <v>163</v>
      </c>
      <c r="I44" s="53" t="s">
        <v>159</v>
      </c>
      <c r="J44" s="53" t="s">
        <v>38</v>
      </c>
      <c r="K44" s="53" t="s">
        <v>160</v>
      </c>
      <c r="L44" s="53">
        <v>1</v>
      </c>
      <c r="N44" s="53">
        <v>10</v>
      </c>
      <c r="O44" s="53">
        <v>0.6</v>
      </c>
      <c r="P44" s="53">
        <v>0.55000000000000004</v>
      </c>
      <c r="Q44" s="74">
        <f t="shared" si="3"/>
        <v>0.57499999999999996</v>
      </c>
      <c r="R44" s="53">
        <v>13.2</v>
      </c>
      <c r="S44" s="53">
        <v>100</v>
      </c>
      <c r="T44" s="16">
        <f t="shared" si="1"/>
        <v>33</v>
      </c>
      <c r="U44" s="53">
        <v>734</v>
      </c>
      <c r="V44" s="16">
        <f t="shared" si="2"/>
        <v>2422.2000000000003</v>
      </c>
      <c r="W44" s="53">
        <v>2</v>
      </c>
      <c r="X44" s="53" t="s">
        <v>46</v>
      </c>
      <c r="Y44" s="53" t="s">
        <v>69</v>
      </c>
      <c r="Z44" s="53" t="s">
        <v>84</v>
      </c>
      <c r="AA44" s="53" t="s">
        <v>90</v>
      </c>
      <c r="AB44" s="53" t="s">
        <v>158</v>
      </c>
    </row>
    <row r="45" spans="1:28" x14ac:dyDescent="0.15">
      <c r="A45" s="53" t="s">
        <v>41</v>
      </c>
      <c r="B45" s="53" t="s">
        <v>157</v>
      </c>
      <c r="C45" s="62">
        <v>2019</v>
      </c>
      <c r="D45" s="63" t="s">
        <v>188</v>
      </c>
      <c r="E45" s="53" t="s">
        <v>194</v>
      </c>
      <c r="F45" s="53" t="s">
        <v>196</v>
      </c>
      <c r="G45" s="53" t="s">
        <v>42</v>
      </c>
      <c r="H45" s="53" t="s">
        <v>163</v>
      </c>
      <c r="I45" s="53" t="s">
        <v>159</v>
      </c>
      <c r="J45" s="53" t="s">
        <v>38</v>
      </c>
      <c r="K45" s="53" t="s">
        <v>160</v>
      </c>
      <c r="L45" s="53">
        <v>2</v>
      </c>
      <c r="M45" s="75"/>
      <c r="N45" s="53">
        <v>10</v>
      </c>
      <c r="O45" s="53">
        <v>0.3</v>
      </c>
      <c r="P45" s="53">
        <v>0.4</v>
      </c>
      <c r="Q45" s="74">
        <f t="shared" si="3"/>
        <v>0.35</v>
      </c>
      <c r="R45" s="53">
        <v>12.6</v>
      </c>
      <c r="S45" s="53">
        <v>104</v>
      </c>
      <c r="T45" s="16">
        <f t="shared" si="1"/>
        <v>33</v>
      </c>
      <c r="U45" s="53">
        <v>734</v>
      </c>
      <c r="V45" s="16">
        <f t="shared" si="2"/>
        <v>2422.2000000000003</v>
      </c>
      <c r="W45" s="53">
        <v>2</v>
      </c>
      <c r="X45" s="53" t="s">
        <v>46</v>
      </c>
      <c r="Y45" s="53" t="s">
        <v>69</v>
      </c>
      <c r="Z45" s="53" t="s">
        <v>84</v>
      </c>
      <c r="AA45" s="53" t="s">
        <v>90</v>
      </c>
      <c r="AB45" s="53" t="s">
        <v>158</v>
      </c>
    </row>
    <row r="46" spans="1:28" x14ac:dyDescent="0.15">
      <c r="A46" s="53" t="s">
        <v>41</v>
      </c>
      <c r="B46" s="53" t="s">
        <v>157</v>
      </c>
      <c r="C46" s="62">
        <v>2019</v>
      </c>
      <c r="D46" s="63" t="s">
        <v>188</v>
      </c>
      <c r="E46" s="53" t="s">
        <v>194</v>
      </c>
      <c r="F46" s="53" t="s">
        <v>196</v>
      </c>
      <c r="G46" s="53" t="s">
        <v>42</v>
      </c>
      <c r="H46" s="53" t="s">
        <v>163</v>
      </c>
      <c r="I46" s="53" t="s">
        <v>159</v>
      </c>
      <c r="J46" s="53" t="s">
        <v>38</v>
      </c>
      <c r="K46" s="53" t="s">
        <v>160</v>
      </c>
      <c r="L46" s="53">
        <v>3</v>
      </c>
      <c r="M46" s="75"/>
      <c r="N46" s="53">
        <v>10</v>
      </c>
      <c r="O46" s="53">
        <v>0.45</v>
      </c>
      <c r="P46" s="53">
        <v>0.45</v>
      </c>
      <c r="Q46" s="74">
        <f t="shared" si="3"/>
        <v>0.45</v>
      </c>
      <c r="R46" s="53">
        <v>12.2</v>
      </c>
      <c r="S46" s="53">
        <v>108</v>
      </c>
      <c r="T46" s="16">
        <f t="shared" si="1"/>
        <v>33</v>
      </c>
      <c r="U46" s="53">
        <v>734</v>
      </c>
      <c r="V46" s="16">
        <f t="shared" si="2"/>
        <v>2422.2000000000003</v>
      </c>
      <c r="W46" s="53">
        <v>2</v>
      </c>
      <c r="X46" s="53" t="s">
        <v>46</v>
      </c>
      <c r="Y46" s="53" t="s">
        <v>69</v>
      </c>
      <c r="Z46" s="53" t="s">
        <v>84</v>
      </c>
      <c r="AA46" s="53" t="s">
        <v>90</v>
      </c>
      <c r="AB46" s="53" t="s">
        <v>158</v>
      </c>
    </row>
    <row r="47" spans="1:28" x14ac:dyDescent="0.15">
      <c r="A47" s="53" t="s">
        <v>41</v>
      </c>
      <c r="B47" s="53" t="s">
        <v>157</v>
      </c>
      <c r="C47" s="62">
        <v>2019</v>
      </c>
      <c r="D47" s="63" t="s">
        <v>188</v>
      </c>
      <c r="E47" s="53" t="s">
        <v>198</v>
      </c>
      <c r="F47" s="53" t="s">
        <v>196</v>
      </c>
      <c r="G47" s="53" t="s">
        <v>42</v>
      </c>
      <c r="H47" s="53" t="s">
        <v>163</v>
      </c>
      <c r="I47" s="53" t="s">
        <v>159</v>
      </c>
      <c r="J47" s="53" t="s">
        <v>38</v>
      </c>
      <c r="K47" s="53" t="s">
        <v>160</v>
      </c>
      <c r="L47" s="53">
        <v>1</v>
      </c>
      <c r="N47" s="53">
        <v>1</v>
      </c>
      <c r="O47" s="53">
        <v>1.2</v>
      </c>
      <c r="P47" s="53">
        <v>1</v>
      </c>
      <c r="Q47" s="72">
        <f t="shared" si="3"/>
        <v>1.1000000000000001</v>
      </c>
      <c r="R47" s="53">
        <v>12.3</v>
      </c>
      <c r="S47" s="53">
        <v>115</v>
      </c>
      <c r="T47" s="16">
        <f t="shared" si="1"/>
        <v>30</v>
      </c>
      <c r="U47" s="53">
        <v>105</v>
      </c>
      <c r="V47" s="16">
        <f t="shared" si="2"/>
        <v>3150</v>
      </c>
      <c r="W47" s="53">
        <v>2</v>
      </c>
      <c r="X47" s="53" t="s">
        <v>46</v>
      </c>
      <c r="Y47" s="53" t="s">
        <v>84</v>
      </c>
      <c r="Z47" s="53" t="s">
        <v>90</v>
      </c>
      <c r="AA47" s="53" t="s">
        <v>69</v>
      </c>
      <c r="AB47" s="53" t="s">
        <v>158</v>
      </c>
    </row>
    <row r="48" spans="1:28" x14ac:dyDescent="0.15">
      <c r="A48" s="53" t="s">
        <v>41</v>
      </c>
      <c r="B48" s="53" t="s">
        <v>157</v>
      </c>
      <c r="C48" s="62">
        <v>2019</v>
      </c>
      <c r="D48" s="63" t="s">
        <v>188</v>
      </c>
      <c r="E48" s="53" t="s">
        <v>198</v>
      </c>
      <c r="F48" s="53" t="s">
        <v>196</v>
      </c>
      <c r="G48" s="53" t="s">
        <v>42</v>
      </c>
      <c r="H48" s="53" t="s">
        <v>163</v>
      </c>
      <c r="I48" s="53" t="s">
        <v>159</v>
      </c>
      <c r="J48" s="53" t="s">
        <v>38</v>
      </c>
      <c r="K48" s="53" t="s">
        <v>160</v>
      </c>
      <c r="L48" s="53">
        <v>2</v>
      </c>
      <c r="M48" s="75"/>
      <c r="N48" s="53">
        <v>1</v>
      </c>
      <c r="O48" s="53">
        <v>0.9</v>
      </c>
      <c r="P48" s="53">
        <v>1</v>
      </c>
      <c r="Q48" s="72">
        <f t="shared" si="3"/>
        <v>0.95</v>
      </c>
      <c r="R48" s="53">
        <v>11.5</v>
      </c>
      <c r="S48" s="53">
        <v>117</v>
      </c>
      <c r="T48" s="16">
        <f t="shared" si="1"/>
        <v>30</v>
      </c>
      <c r="U48" s="53">
        <v>105</v>
      </c>
      <c r="V48" s="16">
        <f t="shared" si="2"/>
        <v>3150</v>
      </c>
      <c r="W48" s="53">
        <v>2</v>
      </c>
      <c r="X48" s="53" t="s">
        <v>46</v>
      </c>
      <c r="Y48" s="53" t="s">
        <v>84</v>
      </c>
      <c r="Z48" s="53" t="s">
        <v>90</v>
      </c>
      <c r="AA48" s="53" t="s">
        <v>69</v>
      </c>
      <c r="AB48" s="53" t="s">
        <v>158</v>
      </c>
    </row>
    <row r="49" spans="1:29" x14ac:dyDescent="0.15">
      <c r="A49" s="53" t="s">
        <v>41</v>
      </c>
      <c r="B49" s="53" t="s">
        <v>157</v>
      </c>
      <c r="C49" s="62">
        <v>2019</v>
      </c>
      <c r="D49" s="63" t="s">
        <v>188</v>
      </c>
      <c r="E49" s="53" t="s">
        <v>198</v>
      </c>
      <c r="F49" s="53" t="s">
        <v>196</v>
      </c>
      <c r="G49" s="53" t="s">
        <v>42</v>
      </c>
      <c r="H49" s="53" t="s">
        <v>163</v>
      </c>
      <c r="I49" s="53" t="s">
        <v>159</v>
      </c>
      <c r="J49" s="53" t="s">
        <v>38</v>
      </c>
      <c r="K49" s="53" t="s">
        <v>160</v>
      </c>
      <c r="L49" s="53">
        <v>3</v>
      </c>
      <c r="M49" s="75"/>
      <c r="N49" s="53">
        <v>1</v>
      </c>
      <c r="O49" s="53">
        <v>0.8</v>
      </c>
      <c r="P49" s="53">
        <v>0.8</v>
      </c>
      <c r="Q49" s="72">
        <f t="shared" si="3"/>
        <v>0.8</v>
      </c>
      <c r="R49" s="53">
        <v>10.9</v>
      </c>
      <c r="S49" s="53">
        <v>119</v>
      </c>
      <c r="T49" s="16">
        <f t="shared" si="1"/>
        <v>30</v>
      </c>
      <c r="U49" s="53">
        <v>105</v>
      </c>
      <c r="V49" s="16">
        <f t="shared" si="2"/>
        <v>3150</v>
      </c>
      <c r="W49" s="53">
        <v>2</v>
      </c>
      <c r="X49" s="53" t="s">
        <v>46</v>
      </c>
      <c r="Y49" s="53" t="s">
        <v>84</v>
      </c>
      <c r="Z49" s="53" t="s">
        <v>90</v>
      </c>
      <c r="AA49" s="53" t="s">
        <v>69</v>
      </c>
      <c r="AB49" s="53" t="s">
        <v>158</v>
      </c>
    </row>
    <row r="50" spans="1:29" x14ac:dyDescent="0.15">
      <c r="A50" s="53" t="s">
        <v>41</v>
      </c>
      <c r="B50" s="53" t="s">
        <v>157</v>
      </c>
      <c r="C50" s="62">
        <v>2019</v>
      </c>
      <c r="D50" s="63" t="s">
        <v>188</v>
      </c>
      <c r="E50" s="53" t="s">
        <v>198</v>
      </c>
      <c r="F50" s="53" t="s">
        <v>196</v>
      </c>
      <c r="G50" s="53" t="s">
        <v>42</v>
      </c>
      <c r="H50" s="53" t="s">
        <v>187</v>
      </c>
      <c r="I50" s="53" t="s">
        <v>159</v>
      </c>
      <c r="J50" s="53" t="s">
        <v>80</v>
      </c>
      <c r="K50" s="53" t="s">
        <v>80</v>
      </c>
      <c r="L50" s="53">
        <v>1</v>
      </c>
      <c r="N50" s="53">
        <v>1</v>
      </c>
      <c r="O50" s="53">
        <v>0.85</v>
      </c>
      <c r="P50" s="53">
        <v>0.75</v>
      </c>
      <c r="Q50" s="72">
        <f t="shared" si="3"/>
        <v>0.8</v>
      </c>
      <c r="R50" s="53">
        <v>13</v>
      </c>
      <c r="S50" s="53">
        <v>105</v>
      </c>
      <c r="T50" s="16">
        <f t="shared" si="1"/>
        <v>33</v>
      </c>
      <c r="U50" s="53">
        <v>105</v>
      </c>
      <c r="V50" s="16">
        <f t="shared" si="2"/>
        <v>3465</v>
      </c>
      <c r="W50" s="53">
        <v>6</v>
      </c>
      <c r="X50" s="53" t="s">
        <v>46</v>
      </c>
      <c r="Y50" s="53" t="s">
        <v>84</v>
      </c>
      <c r="Z50" s="53" t="s">
        <v>90</v>
      </c>
      <c r="AA50" s="53" t="s">
        <v>69</v>
      </c>
      <c r="AB50" s="53" t="s">
        <v>158</v>
      </c>
    </row>
    <row r="51" spans="1:29" x14ac:dyDescent="0.15">
      <c r="A51" s="53" t="s">
        <v>41</v>
      </c>
      <c r="B51" s="53" t="s">
        <v>157</v>
      </c>
      <c r="C51" s="62">
        <v>2019</v>
      </c>
      <c r="D51" s="63" t="s">
        <v>188</v>
      </c>
      <c r="E51" s="53" t="s">
        <v>198</v>
      </c>
      <c r="F51" s="53" t="s">
        <v>196</v>
      </c>
      <c r="G51" s="53" t="s">
        <v>42</v>
      </c>
      <c r="H51" s="53" t="s">
        <v>187</v>
      </c>
      <c r="I51" s="53" t="s">
        <v>159</v>
      </c>
      <c r="J51" s="53" t="s">
        <v>80</v>
      </c>
      <c r="K51" s="53" t="s">
        <v>80</v>
      </c>
      <c r="L51" s="53">
        <v>2</v>
      </c>
      <c r="M51" s="75"/>
      <c r="N51" s="53">
        <v>1</v>
      </c>
      <c r="O51" s="53">
        <v>1</v>
      </c>
      <c r="P51" s="53">
        <v>0.9</v>
      </c>
      <c r="Q51" s="72">
        <f t="shared" si="3"/>
        <v>0.95</v>
      </c>
      <c r="R51" s="53">
        <v>12.8</v>
      </c>
      <c r="S51" s="53">
        <v>100</v>
      </c>
      <c r="T51" s="16">
        <f t="shared" si="1"/>
        <v>33</v>
      </c>
      <c r="U51" s="53">
        <v>105</v>
      </c>
      <c r="V51" s="16">
        <f t="shared" si="2"/>
        <v>3465</v>
      </c>
      <c r="W51" s="53">
        <v>6</v>
      </c>
      <c r="X51" s="53" t="s">
        <v>46</v>
      </c>
      <c r="Y51" s="53" t="s">
        <v>84</v>
      </c>
      <c r="Z51" s="53" t="s">
        <v>90</v>
      </c>
      <c r="AA51" s="53" t="s">
        <v>69</v>
      </c>
      <c r="AB51" s="53" t="s">
        <v>158</v>
      </c>
    </row>
    <row r="52" spans="1:29" x14ac:dyDescent="0.15">
      <c r="A52" s="53" t="s">
        <v>41</v>
      </c>
      <c r="B52" s="53" t="s">
        <v>157</v>
      </c>
      <c r="C52" s="62">
        <v>2019</v>
      </c>
      <c r="D52" s="63" t="s">
        <v>188</v>
      </c>
      <c r="E52" s="53" t="s">
        <v>198</v>
      </c>
      <c r="F52" s="53" t="s">
        <v>196</v>
      </c>
      <c r="G52" s="53" t="s">
        <v>42</v>
      </c>
      <c r="H52" s="53" t="s">
        <v>187</v>
      </c>
      <c r="I52" s="53" t="s">
        <v>159</v>
      </c>
      <c r="J52" s="53" t="s">
        <v>80</v>
      </c>
      <c r="K52" s="53" t="s">
        <v>80</v>
      </c>
      <c r="L52" s="53">
        <v>3</v>
      </c>
      <c r="M52" s="75"/>
      <c r="N52" s="53">
        <v>1</v>
      </c>
      <c r="O52" s="53">
        <v>0.95</v>
      </c>
      <c r="P52" s="53">
        <v>0.85</v>
      </c>
      <c r="Q52" s="72">
        <f t="shared" si="3"/>
        <v>0.89999999999999991</v>
      </c>
      <c r="R52" s="53">
        <v>11.7</v>
      </c>
      <c r="S52" s="53">
        <v>103</v>
      </c>
      <c r="T52" s="16">
        <f t="shared" si="1"/>
        <v>33</v>
      </c>
      <c r="U52" s="53">
        <v>105</v>
      </c>
      <c r="V52" s="16">
        <f t="shared" si="2"/>
        <v>3465</v>
      </c>
      <c r="W52" s="53">
        <v>6</v>
      </c>
      <c r="X52" s="53" t="s">
        <v>46</v>
      </c>
      <c r="Y52" s="53" t="s">
        <v>84</v>
      </c>
      <c r="Z52" s="53" t="s">
        <v>90</v>
      </c>
      <c r="AA52" s="53" t="s">
        <v>69</v>
      </c>
      <c r="AB52" s="53" t="s">
        <v>158</v>
      </c>
    </row>
    <row r="53" spans="1:29" x14ac:dyDescent="0.15">
      <c r="A53" s="53" t="s">
        <v>41</v>
      </c>
      <c r="B53" s="53" t="s">
        <v>157</v>
      </c>
      <c r="C53" s="62">
        <v>2019</v>
      </c>
      <c r="D53" s="63" t="s">
        <v>188</v>
      </c>
      <c r="E53" s="53" t="s">
        <v>201</v>
      </c>
      <c r="F53" s="53" t="s">
        <v>202</v>
      </c>
      <c r="G53" s="53" t="s">
        <v>42</v>
      </c>
      <c r="H53" s="53" t="s">
        <v>163</v>
      </c>
      <c r="I53" s="53" t="s">
        <v>159</v>
      </c>
      <c r="J53" s="53" t="s">
        <v>38</v>
      </c>
      <c r="K53" s="53" t="s">
        <v>160</v>
      </c>
      <c r="L53" s="53">
        <v>1</v>
      </c>
      <c r="N53" s="53">
        <v>1</v>
      </c>
      <c r="O53" s="53">
        <v>1.2</v>
      </c>
      <c r="P53" s="53">
        <v>1.3</v>
      </c>
      <c r="Q53" s="74">
        <f t="shared" si="3"/>
        <v>1.25</v>
      </c>
      <c r="R53" s="53">
        <v>14.2</v>
      </c>
      <c r="S53" s="53">
        <v>126</v>
      </c>
      <c r="T53" s="16">
        <f t="shared" si="1"/>
        <v>27</v>
      </c>
      <c r="U53" s="53">
        <v>105</v>
      </c>
      <c r="V53" s="38">
        <v>3146</v>
      </c>
      <c r="W53" s="53">
        <v>2</v>
      </c>
      <c r="X53" s="53" t="s">
        <v>46</v>
      </c>
      <c r="Y53" s="53" t="s">
        <v>69</v>
      </c>
      <c r="Z53" s="53" t="s">
        <v>84</v>
      </c>
      <c r="AA53" s="53" t="s">
        <v>90</v>
      </c>
      <c r="AB53" s="53" t="s">
        <v>158</v>
      </c>
      <c r="AC53" s="75"/>
    </row>
    <row r="54" spans="1:29" x14ac:dyDescent="0.15">
      <c r="A54" s="53" t="s">
        <v>41</v>
      </c>
      <c r="B54" s="53" t="s">
        <v>157</v>
      </c>
      <c r="C54" s="62">
        <v>2019</v>
      </c>
      <c r="D54" s="63" t="s">
        <v>188</v>
      </c>
      <c r="E54" s="53" t="s">
        <v>201</v>
      </c>
      <c r="F54" s="53" t="s">
        <v>202</v>
      </c>
      <c r="G54" s="53" t="s">
        <v>42</v>
      </c>
      <c r="H54" s="53" t="s">
        <v>163</v>
      </c>
      <c r="I54" s="53" t="s">
        <v>159</v>
      </c>
      <c r="J54" s="53" t="s">
        <v>38</v>
      </c>
      <c r="K54" s="53" t="s">
        <v>160</v>
      </c>
      <c r="L54" s="53">
        <v>2</v>
      </c>
      <c r="N54" s="53">
        <v>1</v>
      </c>
      <c r="O54" s="53">
        <v>0.9</v>
      </c>
      <c r="P54" s="53">
        <v>1</v>
      </c>
      <c r="Q54" s="74">
        <f t="shared" si="3"/>
        <v>0.95</v>
      </c>
      <c r="R54" s="53">
        <v>12.1</v>
      </c>
      <c r="S54" s="53">
        <v>129</v>
      </c>
      <c r="T54" s="16">
        <f t="shared" si="1"/>
        <v>25</v>
      </c>
      <c r="U54" s="53">
        <v>105</v>
      </c>
      <c r="V54" s="38">
        <v>3146</v>
      </c>
      <c r="W54" s="53">
        <v>2</v>
      </c>
      <c r="X54" s="53" t="s">
        <v>46</v>
      </c>
      <c r="Y54" s="53" t="s">
        <v>69</v>
      </c>
      <c r="Z54" s="53" t="s">
        <v>84</v>
      </c>
      <c r="AA54" s="53" t="s">
        <v>90</v>
      </c>
      <c r="AB54" s="53" t="s">
        <v>158</v>
      </c>
      <c r="AC54" s="75"/>
    </row>
    <row r="55" spans="1:29" x14ac:dyDescent="0.15">
      <c r="A55" s="53" t="s">
        <v>41</v>
      </c>
      <c r="B55" s="53" t="s">
        <v>157</v>
      </c>
      <c r="C55" s="62">
        <v>2019</v>
      </c>
      <c r="D55" s="63" t="s">
        <v>188</v>
      </c>
      <c r="E55" s="53" t="s">
        <v>201</v>
      </c>
      <c r="F55" s="53" t="s">
        <v>202</v>
      </c>
      <c r="G55" s="53" t="s">
        <v>42</v>
      </c>
      <c r="H55" s="53" t="s">
        <v>163</v>
      </c>
      <c r="I55" s="53" t="s">
        <v>159</v>
      </c>
      <c r="J55" s="53" t="s">
        <v>38</v>
      </c>
      <c r="K55" s="53" t="s">
        <v>160</v>
      </c>
      <c r="L55" s="53">
        <v>3</v>
      </c>
      <c r="N55" s="53">
        <v>1</v>
      </c>
      <c r="O55" s="53">
        <v>0.85</v>
      </c>
      <c r="P55" s="53">
        <v>0.8</v>
      </c>
      <c r="Q55" s="74">
        <f t="shared" si="3"/>
        <v>0.82499999999999996</v>
      </c>
      <c r="R55" s="53">
        <v>11.8</v>
      </c>
      <c r="S55" s="53">
        <v>127</v>
      </c>
      <c r="T55" s="16">
        <f t="shared" si="1"/>
        <v>27</v>
      </c>
      <c r="U55" s="53">
        <v>105</v>
      </c>
      <c r="V55" s="38">
        <v>3146</v>
      </c>
      <c r="W55" s="53">
        <v>2</v>
      </c>
      <c r="X55" s="53" t="s">
        <v>46</v>
      </c>
      <c r="Y55" s="53" t="s">
        <v>69</v>
      </c>
      <c r="Z55" s="53" t="s">
        <v>84</v>
      </c>
      <c r="AA55" s="53" t="s">
        <v>90</v>
      </c>
      <c r="AB55" s="53" t="s">
        <v>158</v>
      </c>
      <c r="AC55" s="75"/>
    </row>
    <row r="56" spans="1:29" x14ac:dyDescent="0.15">
      <c r="A56" s="53" t="s">
        <v>41</v>
      </c>
      <c r="B56" s="53" t="s">
        <v>157</v>
      </c>
      <c r="C56" s="62">
        <v>2019</v>
      </c>
      <c r="D56" s="63" t="s">
        <v>188</v>
      </c>
      <c r="E56" s="53" t="s">
        <v>201</v>
      </c>
      <c r="F56" s="53" t="s">
        <v>202</v>
      </c>
      <c r="G56" s="53" t="s">
        <v>42</v>
      </c>
      <c r="H56" s="53" t="s">
        <v>187</v>
      </c>
      <c r="I56" s="53" t="s">
        <v>159</v>
      </c>
      <c r="J56" s="53" t="s">
        <v>80</v>
      </c>
      <c r="K56" s="53" t="s">
        <v>63</v>
      </c>
      <c r="L56" s="53">
        <v>1</v>
      </c>
      <c r="N56" s="53">
        <v>1</v>
      </c>
      <c r="O56" s="53">
        <v>0.65</v>
      </c>
      <c r="P56" s="53">
        <v>0.7</v>
      </c>
      <c r="Q56" s="74">
        <f t="shared" si="3"/>
        <v>0.67500000000000004</v>
      </c>
      <c r="R56" s="53">
        <v>12.6</v>
      </c>
      <c r="S56" s="53">
        <v>104</v>
      </c>
      <c r="T56" s="16">
        <f t="shared" si="1"/>
        <v>33</v>
      </c>
      <c r="U56" s="53">
        <v>105</v>
      </c>
      <c r="V56" s="38">
        <v>3146</v>
      </c>
      <c r="W56" s="53">
        <v>1</v>
      </c>
      <c r="X56" s="53" t="s">
        <v>46</v>
      </c>
      <c r="Y56" s="53" t="s">
        <v>69</v>
      </c>
      <c r="Z56" s="53" t="s">
        <v>84</v>
      </c>
      <c r="AA56" s="53" t="s">
        <v>90</v>
      </c>
      <c r="AB56" s="53" t="s">
        <v>158</v>
      </c>
      <c r="AC56" s="75"/>
    </row>
    <row r="57" spans="1:29" x14ac:dyDescent="0.15">
      <c r="A57" s="53" t="s">
        <v>41</v>
      </c>
      <c r="B57" s="53" t="s">
        <v>157</v>
      </c>
      <c r="C57" s="62">
        <v>2019</v>
      </c>
      <c r="D57" s="63" t="s">
        <v>188</v>
      </c>
      <c r="E57" s="53" t="s">
        <v>201</v>
      </c>
      <c r="F57" s="53" t="s">
        <v>202</v>
      </c>
      <c r="G57" s="53" t="s">
        <v>42</v>
      </c>
      <c r="H57" s="53" t="s">
        <v>187</v>
      </c>
      <c r="I57" s="53" t="s">
        <v>159</v>
      </c>
      <c r="J57" s="53" t="s">
        <v>80</v>
      </c>
      <c r="K57" s="53" t="s">
        <v>63</v>
      </c>
      <c r="L57" s="53">
        <v>2</v>
      </c>
      <c r="N57" s="53">
        <v>1</v>
      </c>
      <c r="O57" s="53">
        <v>0.5</v>
      </c>
      <c r="P57" s="53">
        <v>0.45</v>
      </c>
      <c r="Q57" s="74">
        <f t="shared" si="3"/>
        <v>0.47499999999999998</v>
      </c>
      <c r="R57" s="53">
        <v>13</v>
      </c>
      <c r="S57" s="53">
        <v>100</v>
      </c>
      <c r="T57" s="16">
        <f t="shared" si="1"/>
        <v>33</v>
      </c>
      <c r="U57" s="53">
        <v>105</v>
      </c>
      <c r="V57" s="38">
        <v>3146</v>
      </c>
      <c r="W57" s="53">
        <v>1</v>
      </c>
      <c r="X57" s="53" t="s">
        <v>46</v>
      </c>
      <c r="Y57" s="53" t="s">
        <v>69</v>
      </c>
      <c r="Z57" s="53" t="s">
        <v>84</v>
      </c>
      <c r="AA57" s="53" t="s">
        <v>90</v>
      </c>
      <c r="AB57" s="53" t="s">
        <v>158</v>
      </c>
      <c r="AC57" s="75"/>
    </row>
    <row r="58" spans="1:29" x14ac:dyDescent="0.15">
      <c r="A58" s="53" t="s">
        <v>41</v>
      </c>
      <c r="B58" s="53" t="s">
        <v>157</v>
      </c>
      <c r="C58" s="62">
        <v>2019</v>
      </c>
      <c r="D58" s="63" t="s">
        <v>188</v>
      </c>
      <c r="E58" s="53" t="s">
        <v>201</v>
      </c>
      <c r="F58" s="53" t="s">
        <v>202</v>
      </c>
      <c r="G58" s="53" t="s">
        <v>42</v>
      </c>
      <c r="H58" s="53" t="s">
        <v>187</v>
      </c>
      <c r="I58" s="53" t="s">
        <v>159</v>
      </c>
      <c r="J58" s="53" t="s">
        <v>80</v>
      </c>
      <c r="K58" s="53" t="s">
        <v>63</v>
      </c>
      <c r="L58" s="53">
        <v>3</v>
      </c>
      <c r="N58" s="53">
        <v>1</v>
      </c>
      <c r="O58" s="53">
        <v>0.65</v>
      </c>
      <c r="P58" s="53">
        <v>0.5</v>
      </c>
      <c r="Q58" s="74">
        <f t="shared" si="3"/>
        <v>0.57499999999999996</v>
      </c>
      <c r="R58" s="53">
        <v>11.8</v>
      </c>
      <c r="S58" s="53">
        <v>108</v>
      </c>
      <c r="T58" s="16">
        <f t="shared" si="1"/>
        <v>33</v>
      </c>
      <c r="U58" s="53">
        <v>105</v>
      </c>
      <c r="V58" s="38">
        <v>3146</v>
      </c>
      <c r="W58" s="53">
        <v>1</v>
      </c>
      <c r="X58" s="53" t="s">
        <v>46</v>
      </c>
      <c r="Y58" s="53" t="s">
        <v>69</v>
      </c>
      <c r="Z58" s="53" t="s">
        <v>84</v>
      </c>
      <c r="AA58" s="53" t="s">
        <v>90</v>
      </c>
      <c r="AB58" s="53" t="s">
        <v>158</v>
      </c>
      <c r="AC58" s="75"/>
    </row>
    <row r="59" spans="1:29" x14ac:dyDescent="0.15">
      <c r="A59" s="53" t="s">
        <v>41</v>
      </c>
      <c r="B59" s="53" t="s">
        <v>157</v>
      </c>
      <c r="C59" s="62">
        <v>2019</v>
      </c>
      <c r="D59" s="63" t="s">
        <v>188</v>
      </c>
      <c r="E59" s="53" t="s">
        <v>201</v>
      </c>
      <c r="F59" s="53" t="s">
        <v>202</v>
      </c>
      <c r="G59" s="53" t="s">
        <v>42</v>
      </c>
      <c r="H59" s="53" t="s">
        <v>163</v>
      </c>
      <c r="I59" s="53" t="s">
        <v>159</v>
      </c>
      <c r="J59" s="53" t="s">
        <v>38</v>
      </c>
      <c r="K59" s="53" t="s">
        <v>160</v>
      </c>
      <c r="L59" s="53">
        <v>1</v>
      </c>
      <c r="N59" s="53">
        <v>6</v>
      </c>
      <c r="O59" s="53">
        <v>0.35</v>
      </c>
      <c r="P59" s="53">
        <v>0.4</v>
      </c>
      <c r="Q59" s="74">
        <f t="shared" si="3"/>
        <v>0.375</v>
      </c>
      <c r="R59" s="53">
        <v>10.5</v>
      </c>
      <c r="S59" s="53">
        <v>106</v>
      </c>
      <c r="T59" s="16">
        <f t="shared" si="1"/>
        <v>33</v>
      </c>
      <c r="U59" s="53">
        <v>429</v>
      </c>
      <c r="V59" s="38">
        <v>3146</v>
      </c>
      <c r="W59" s="53">
        <v>1</v>
      </c>
      <c r="X59" s="53" t="s">
        <v>46</v>
      </c>
      <c r="Y59" s="53" t="s">
        <v>69</v>
      </c>
      <c r="Z59" s="53" t="s">
        <v>84</v>
      </c>
      <c r="AA59" s="53" t="s">
        <v>90</v>
      </c>
      <c r="AB59" s="53" t="s">
        <v>158</v>
      </c>
      <c r="AC59" s="75"/>
    </row>
    <row r="60" spans="1:29" x14ac:dyDescent="0.15">
      <c r="A60" s="53" t="s">
        <v>41</v>
      </c>
      <c r="B60" s="53" t="s">
        <v>157</v>
      </c>
      <c r="C60" s="62">
        <v>2019</v>
      </c>
      <c r="D60" s="63" t="s">
        <v>188</v>
      </c>
      <c r="E60" s="53" t="s">
        <v>201</v>
      </c>
      <c r="F60" s="53" t="s">
        <v>202</v>
      </c>
      <c r="G60" s="53" t="s">
        <v>42</v>
      </c>
      <c r="H60" s="53" t="s">
        <v>163</v>
      </c>
      <c r="I60" s="53" t="s">
        <v>159</v>
      </c>
      <c r="J60" s="53" t="s">
        <v>38</v>
      </c>
      <c r="K60" s="53" t="s">
        <v>160</v>
      </c>
      <c r="L60" s="53">
        <v>2</v>
      </c>
      <c r="N60" s="53">
        <v>6</v>
      </c>
      <c r="O60" s="53">
        <v>0.65</v>
      </c>
      <c r="P60" s="53">
        <v>0.55000000000000004</v>
      </c>
      <c r="Q60" s="74">
        <f t="shared" si="3"/>
        <v>0.60000000000000009</v>
      </c>
      <c r="R60" s="53">
        <v>14.2</v>
      </c>
      <c r="S60" s="53">
        <v>110</v>
      </c>
      <c r="T60" s="16">
        <f t="shared" si="1"/>
        <v>33</v>
      </c>
      <c r="U60" s="53">
        <v>429</v>
      </c>
      <c r="V60" s="38">
        <v>3146</v>
      </c>
      <c r="W60" s="53">
        <v>1</v>
      </c>
      <c r="X60" s="53" t="s">
        <v>46</v>
      </c>
      <c r="Y60" s="53" t="s">
        <v>69</v>
      </c>
      <c r="Z60" s="53" t="s">
        <v>84</v>
      </c>
      <c r="AA60" s="53" t="s">
        <v>90</v>
      </c>
      <c r="AB60" s="53" t="s">
        <v>158</v>
      </c>
      <c r="AC60" s="75"/>
    </row>
    <row r="61" spans="1:29" x14ac:dyDescent="0.15">
      <c r="A61" s="53" t="s">
        <v>41</v>
      </c>
      <c r="B61" s="53" t="s">
        <v>157</v>
      </c>
      <c r="C61" s="62">
        <v>2019</v>
      </c>
      <c r="D61" s="63" t="s">
        <v>188</v>
      </c>
      <c r="E61" s="53" t="s">
        <v>201</v>
      </c>
      <c r="F61" s="53" t="s">
        <v>202</v>
      </c>
      <c r="G61" s="53" t="s">
        <v>42</v>
      </c>
      <c r="H61" s="53" t="s">
        <v>163</v>
      </c>
      <c r="I61" s="53" t="s">
        <v>159</v>
      </c>
      <c r="J61" s="53" t="s">
        <v>38</v>
      </c>
      <c r="K61" s="53" t="s">
        <v>160</v>
      </c>
      <c r="L61" s="53">
        <v>3</v>
      </c>
      <c r="N61" s="53">
        <v>6</v>
      </c>
      <c r="O61" s="53">
        <v>0.4</v>
      </c>
      <c r="P61" s="53">
        <v>0.45</v>
      </c>
      <c r="Q61" s="74">
        <f t="shared" si="3"/>
        <v>0.42500000000000004</v>
      </c>
      <c r="R61" s="53">
        <v>12.6</v>
      </c>
      <c r="S61" s="53">
        <v>111</v>
      </c>
      <c r="T61" s="16">
        <f t="shared" si="1"/>
        <v>33</v>
      </c>
      <c r="U61" s="53">
        <v>429</v>
      </c>
      <c r="V61" s="38">
        <v>3146</v>
      </c>
      <c r="W61" s="53">
        <v>1</v>
      </c>
      <c r="X61" s="53" t="s">
        <v>46</v>
      </c>
      <c r="Y61" s="53" t="s">
        <v>69</v>
      </c>
      <c r="Z61" s="53" t="s">
        <v>84</v>
      </c>
      <c r="AA61" s="53" t="s">
        <v>90</v>
      </c>
      <c r="AB61" s="53" t="s">
        <v>158</v>
      </c>
      <c r="AC61" s="75"/>
    </row>
    <row r="62" spans="1:29" x14ac:dyDescent="0.15">
      <c r="A62" s="53" t="s">
        <v>41</v>
      </c>
      <c r="B62" s="53" t="s">
        <v>157</v>
      </c>
      <c r="C62" s="62">
        <v>2019</v>
      </c>
      <c r="D62" s="63" t="s">
        <v>188</v>
      </c>
      <c r="E62" s="53" t="s">
        <v>201</v>
      </c>
      <c r="F62" s="53" t="s">
        <v>202</v>
      </c>
      <c r="G62" s="53" t="s">
        <v>42</v>
      </c>
      <c r="H62" s="53" t="s">
        <v>203</v>
      </c>
      <c r="I62" s="53" t="s">
        <v>159</v>
      </c>
      <c r="J62" s="53" t="s">
        <v>38</v>
      </c>
      <c r="K62" s="53" t="s">
        <v>236</v>
      </c>
      <c r="L62" s="53">
        <v>1</v>
      </c>
      <c r="N62" s="53">
        <v>1</v>
      </c>
      <c r="O62" s="53">
        <v>0.3</v>
      </c>
      <c r="P62" s="53">
        <v>0.35</v>
      </c>
      <c r="Q62" s="74">
        <f t="shared" si="3"/>
        <v>0.32499999999999996</v>
      </c>
      <c r="R62" s="53">
        <v>12.9</v>
      </c>
      <c r="S62" s="53">
        <v>118</v>
      </c>
      <c r="T62" s="16">
        <f t="shared" si="1"/>
        <v>30</v>
      </c>
      <c r="U62" s="53">
        <v>138</v>
      </c>
      <c r="V62" s="38">
        <v>3146</v>
      </c>
      <c r="W62" s="53">
        <v>1</v>
      </c>
      <c r="X62" s="53" t="s">
        <v>46</v>
      </c>
      <c r="Y62" s="53" t="s">
        <v>69</v>
      </c>
      <c r="Z62" s="53" t="s">
        <v>84</v>
      </c>
      <c r="AA62" s="53" t="s">
        <v>90</v>
      </c>
      <c r="AB62" s="53" t="s">
        <v>158</v>
      </c>
      <c r="AC62" s="75"/>
    </row>
    <row r="63" spans="1:29" x14ac:dyDescent="0.15">
      <c r="A63" s="53" t="s">
        <v>41</v>
      </c>
      <c r="B63" s="53" t="s">
        <v>157</v>
      </c>
      <c r="C63" s="62">
        <v>2019</v>
      </c>
      <c r="D63" s="63" t="s">
        <v>188</v>
      </c>
      <c r="E63" s="53" t="s">
        <v>201</v>
      </c>
      <c r="F63" s="53" t="s">
        <v>202</v>
      </c>
      <c r="G63" s="53" t="s">
        <v>42</v>
      </c>
      <c r="H63" s="53" t="s">
        <v>203</v>
      </c>
      <c r="I63" s="53" t="s">
        <v>159</v>
      </c>
      <c r="J63" s="53" t="s">
        <v>38</v>
      </c>
      <c r="K63" s="53" t="s">
        <v>236</v>
      </c>
      <c r="L63" s="53">
        <v>2</v>
      </c>
      <c r="N63" s="53">
        <v>1</v>
      </c>
      <c r="O63" s="53">
        <v>0.45</v>
      </c>
      <c r="P63" s="53">
        <v>0.5</v>
      </c>
      <c r="Q63" s="74">
        <f t="shared" si="3"/>
        <v>0.47499999999999998</v>
      </c>
      <c r="R63" s="53">
        <v>13.8</v>
      </c>
      <c r="S63" s="53">
        <v>120</v>
      </c>
      <c r="T63" s="16">
        <f t="shared" si="1"/>
        <v>30</v>
      </c>
      <c r="U63" s="53">
        <v>138</v>
      </c>
      <c r="V63" s="38">
        <v>3146</v>
      </c>
      <c r="W63" s="53">
        <v>1</v>
      </c>
      <c r="X63" s="53" t="s">
        <v>46</v>
      </c>
      <c r="Y63" s="53" t="s">
        <v>69</v>
      </c>
      <c r="Z63" s="53" t="s">
        <v>84</v>
      </c>
      <c r="AA63" s="53" t="s">
        <v>90</v>
      </c>
      <c r="AB63" s="53" t="s">
        <v>158</v>
      </c>
      <c r="AC63" s="75"/>
    </row>
    <row r="64" spans="1:29" x14ac:dyDescent="0.15">
      <c r="A64" s="53" t="s">
        <v>41</v>
      </c>
      <c r="B64" s="53" t="s">
        <v>157</v>
      </c>
      <c r="C64" s="62">
        <v>2019</v>
      </c>
      <c r="D64" s="63" t="s">
        <v>188</v>
      </c>
      <c r="E64" s="53" t="s">
        <v>201</v>
      </c>
      <c r="F64" s="53" t="s">
        <v>202</v>
      </c>
      <c r="G64" s="53" t="s">
        <v>42</v>
      </c>
      <c r="H64" s="53" t="s">
        <v>203</v>
      </c>
      <c r="I64" s="53" t="s">
        <v>159</v>
      </c>
      <c r="J64" s="53" t="s">
        <v>38</v>
      </c>
      <c r="K64" s="53" t="s">
        <v>236</v>
      </c>
      <c r="L64" s="53">
        <v>3</v>
      </c>
      <c r="N64" s="53">
        <v>1</v>
      </c>
      <c r="O64" s="53">
        <v>0.5</v>
      </c>
      <c r="P64" s="53">
        <v>0.4</v>
      </c>
      <c r="Q64" s="74">
        <f t="shared" si="3"/>
        <v>0.45</v>
      </c>
      <c r="R64" s="53">
        <v>13.4</v>
      </c>
      <c r="S64" s="53">
        <v>117</v>
      </c>
      <c r="T64" s="16">
        <f t="shared" si="1"/>
        <v>30</v>
      </c>
      <c r="U64" s="53">
        <v>138</v>
      </c>
      <c r="V64" s="38">
        <v>3146</v>
      </c>
      <c r="W64" s="53">
        <v>1</v>
      </c>
      <c r="X64" s="53" t="s">
        <v>46</v>
      </c>
      <c r="Y64" s="53" t="s">
        <v>69</v>
      </c>
      <c r="Z64" s="53" t="s">
        <v>84</v>
      </c>
      <c r="AA64" s="53" t="s">
        <v>90</v>
      </c>
      <c r="AB64" s="53" t="s">
        <v>158</v>
      </c>
      <c r="AC64" s="75"/>
    </row>
    <row r="65" spans="1:34" x14ac:dyDescent="0.15">
      <c r="A65" s="53" t="s">
        <v>41</v>
      </c>
      <c r="B65" s="53" t="s">
        <v>157</v>
      </c>
      <c r="C65" s="62">
        <v>2019</v>
      </c>
      <c r="D65" s="63" t="s">
        <v>188</v>
      </c>
      <c r="E65" s="53" t="s">
        <v>201</v>
      </c>
      <c r="F65" s="53" t="s">
        <v>209</v>
      </c>
      <c r="G65" s="53" t="s">
        <v>42</v>
      </c>
      <c r="H65" s="53" t="s">
        <v>163</v>
      </c>
      <c r="I65" s="53" t="s">
        <v>159</v>
      </c>
      <c r="J65" s="53" t="s">
        <v>38</v>
      </c>
      <c r="K65" s="53" t="s">
        <v>160</v>
      </c>
      <c r="L65" s="53">
        <v>1</v>
      </c>
      <c r="N65" s="53">
        <v>1</v>
      </c>
      <c r="O65" s="53">
        <v>0.5</v>
      </c>
      <c r="P65" s="53">
        <v>0.5</v>
      </c>
      <c r="Q65" s="16">
        <f t="shared" si="3"/>
        <v>0.5</v>
      </c>
      <c r="R65" s="53">
        <v>12.8</v>
      </c>
      <c r="S65" s="53">
        <v>129</v>
      </c>
      <c r="T65" s="16">
        <f t="shared" si="1"/>
        <v>25</v>
      </c>
      <c r="U65" s="53">
        <v>73</v>
      </c>
      <c r="V65" s="38">
        <f t="shared" ref="V65:V70" si="4">IF(OR(N65="",U65="",T65=""),"",U65/N65*T65)</f>
        <v>1825</v>
      </c>
      <c r="W65" s="53">
        <v>1</v>
      </c>
      <c r="X65" s="53" t="s">
        <v>46</v>
      </c>
      <c r="Y65" s="53" t="s">
        <v>69</v>
      </c>
      <c r="Z65" s="53" t="s">
        <v>84</v>
      </c>
      <c r="AA65" s="53" t="s">
        <v>90</v>
      </c>
      <c r="AB65" s="53" t="s">
        <v>158</v>
      </c>
      <c r="AC65" s="75"/>
    </row>
    <row r="66" spans="1:34" x14ac:dyDescent="0.15">
      <c r="A66" s="53" t="s">
        <v>41</v>
      </c>
      <c r="B66" s="53" t="s">
        <v>157</v>
      </c>
      <c r="C66" s="62">
        <v>2019</v>
      </c>
      <c r="D66" s="63" t="s">
        <v>188</v>
      </c>
      <c r="E66" s="53" t="s">
        <v>201</v>
      </c>
      <c r="F66" s="53" t="s">
        <v>209</v>
      </c>
      <c r="G66" s="53" t="s">
        <v>42</v>
      </c>
      <c r="H66" s="53" t="s">
        <v>163</v>
      </c>
      <c r="I66" s="53" t="s">
        <v>159</v>
      </c>
      <c r="J66" s="53" t="s">
        <v>38</v>
      </c>
      <c r="K66" s="53" t="s">
        <v>160</v>
      </c>
      <c r="L66" s="53">
        <v>2</v>
      </c>
      <c r="N66" s="53">
        <v>1</v>
      </c>
      <c r="O66" s="53">
        <v>0.8</v>
      </c>
      <c r="P66" s="53">
        <v>0.95</v>
      </c>
      <c r="Q66" s="16">
        <f t="shared" si="3"/>
        <v>0.875</v>
      </c>
      <c r="R66" s="53">
        <v>12.1</v>
      </c>
      <c r="S66" s="53">
        <v>127</v>
      </c>
      <c r="T66" s="16">
        <f t="shared" ref="T66:T129" si="5">IF(H66="","",IF(OR(H66="GREEN",H66="GK"),IF(S66&gt;=$AX$2,VLOOKUP(S66,$AX$2:$AY$10,2,1),""),IF(S66&gt;=$AZ$2,VLOOKUP(S66,$AZ$2:$BA$10,2,1),"")))</f>
        <v>27</v>
      </c>
      <c r="U66" s="53">
        <v>73</v>
      </c>
      <c r="V66" s="38">
        <f t="shared" si="4"/>
        <v>1971</v>
      </c>
      <c r="W66" s="53">
        <v>1</v>
      </c>
      <c r="X66" s="53" t="s">
        <v>46</v>
      </c>
      <c r="Y66" s="53" t="s">
        <v>69</v>
      </c>
      <c r="Z66" s="53" t="s">
        <v>84</v>
      </c>
      <c r="AA66" s="53" t="s">
        <v>90</v>
      </c>
      <c r="AB66" s="53" t="s">
        <v>158</v>
      </c>
      <c r="AC66" s="75"/>
    </row>
    <row r="67" spans="1:34" x14ac:dyDescent="0.15">
      <c r="A67" s="53" t="s">
        <v>41</v>
      </c>
      <c r="B67" s="53" t="s">
        <v>157</v>
      </c>
      <c r="C67" s="62">
        <v>2019</v>
      </c>
      <c r="D67" s="63" t="s">
        <v>188</v>
      </c>
      <c r="E67" s="53" t="s">
        <v>201</v>
      </c>
      <c r="F67" s="53" t="s">
        <v>209</v>
      </c>
      <c r="G67" s="53" t="s">
        <v>42</v>
      </c>
      <c r="H67" s="53" t="s">
        <v>163</v>
      </c>
      <c r="I67" s="53" t="s">
        <v>159</v>
      </c>
      <c r="J67" s="53" t="s">
        <v>38</v>
      </c>
      <c r="K67" s="53" t="s">
        <v>160</v>
      </c>
      <c r="L67" s="53">
        <v>3</v>
      </c>
      <c r="N67" s="53">
        <v>1</v>
      </c>
      <c r="O67" s="53">
        <v>0.75</v>
      </c>
      <c r="P67" s="53">
        <v>0.7</v>
      </c>
      <c r="Q67" s="16">
        <f t="shared" si="3"/>
        <v>0.72499999999999998</v>
      </c>
      <c r="R67" s="53">
        <v>12.4</v>
      </c>
      <c r="S67" s="53">
        <v>125</v>
      </c>
      <c r="T67" s="16">
        <f t="shared" si="5"/>
        <v>27</v>
      </c>
      <c r="U67" s="53">
        <v>73</v>
      </c>
      <c r="V67" s="38">
        <f t="shared" si="4"/>
        <v>1971</v>
      </c>
      <c r="W67" s="53">
        <v>1</v>
      </c>
      <c r="X67" s="53" t="s">
        <v>46</v>
      </c>
      <c r="Y67" s="53" t="s">
        <v>69</v>
      </c>
      <c r="Z67" s="53" t="s">
        <v>84</v>
      </c>
      <c r="AA67" s="53" t="s">
        <v>90</v>
      </c>
      <c r="AB67" s="53" t="s">
        <v>158</v>
      </c>
      <c r="AC67" s="75"/>
    </row>
    <row r="68" spans="1:34" x14ac:dyDescent="0.15">
      <c r="A68" s="53" t="s">
        <v>41</v>
      </c>
      <c r="B68" s="53" t="s">
        <v>157</v>
      </c>
      <c r="C68" s="62">
        <v>2019</v>
      </c>
      <c r="D68" s="63" t="s">
        <v>188</v>
      </c>
      <c r="E68" s="53" t="s">
        <v>201</v>
      </c>
      <c r="F68" s="53" t="s">
        <v>209</v>
      </c>
      <c r="G68" s="53" t="s">
        <v>42</v>
      </c>
      <c r="H68" s="53" t="s">
        <v>187</v>
      </c>
      <c r="I68" s="53" t="s">
        <v>159</v>
      </c>
      <c r="J68" s="53" t="s">
        <v>80</v>
      </c>
      <c r="K68" s="53" t="s">
        <v>63</v>
      </c>
      <c r="L68" s="53">
        <v>1</v>
      </c>
      <c r="N68" s="53">
        <v>1</v>
      </c>
      <c r="O68" s="53">
        <v>0.65</v>
      </c>
      <c r="P68" s="53">
        <v>0.5</v>
      </c>
      <c r="Q68" s="16">
        <f t="shared" si="3"/>
        <v>0.57499999999999996</v>
      </c>
      <c r="R68" s="53">
        <v>13.5</v>
      </c>
      <c r="S68" s="53">
        <v>102</v>
      </c>
      <c r="T68" s="16">
        <f t="shared" si="5"/>
        <v>33</v>
      </c>
      <c r="U68" s="53">
        <v>73</v>
      </c>
      <c r="V68" s="16">
        <f t="shared" si="4"/>
        <v>2409</v>
      </c>
      <c r="W68" s="53">
        <v>1</v>
      </c>
      <c r="X68" s="53" t="s">
        <v>46</v>
      </c>
      <c r="Y68" s="53" t="s">
        <v>69</v>
      </c>
      <c r="Z68" s="53" t="s">
        <v>84</v>
      </c>
      <c r="AA68" s="53" t="s">
        <v>90</v>
      </c>
      <c r="AB68" s="53" t="s">
        <v>158</v>
      </c>
      <c r="AC68" s="75"/>
      <c r="AD68" s="75"/>
      <c r="AF68" s="75"/>
      <c r="AG68" s="75"/>
      <c r="AH68" s="75"/>
    </row>
    <row r="69" spans="1:34" x14ac:dyDescent="0.15">
      <c r="A69" s="53" t="s">
        <v>41</v>
      </c>
      <c r="B69" s="53" t="s">
        <v>157</v>
      </c>
      <c r="C69" s="62">
        <v>2019</v>
      </c>
      <c r="D69" s="63" t="s">
        <v>188</v>
      </c>
      <c r="E69" s="53" t="s">
        <v>201</v>
      </c>
      <c r="F69" s="53" t="s">
        <v>209</v>
      </c>
      <c r="G69" s="53" t="s">
        <v>42</v>
      </c>
      <c r="H69" s="53" t="s">
        <v>187</v>
      </c>
      <c r="I69" s="53" t="s">
        <v>159</v>
      </c>
      <c r="J69" s="53" t="s">
        <v>80</v>
      </c>
      <c r="K69" s="53" t="s">
        <v>63</v>
      </c>
      <c r="L69" s="53">
        <v>2</v>
      </c>
      <c r="N69" s="53">
        <v>1</v>
      </c>
      <c r="O69" s="53">
        <v>0.4</v>
      </c>
      <c r="P69" s="53">
        <v>0.45</v>
      </c>
      <c r="Q69" s="16">
        <f t="shared" si="3"/>
        <v>0.42500000000000004</v>
      </c>
      <c r="R69" s="53">
        <v>10.1</v>
      </c>
      <c r="S69" s="53">
        <v>100</v>
      </c>
      <c r="T69" s="16">
        <f t="shared" si="5"/>
        <v>33</v>
      </c>
      <c r="U69" s="53">
        <v>73</v>
      </c>
      <c r="V69" s="16">
        <f t="shared" si="4"/>
        <v>2409</v>
      </c>
      <c r="W69" s="53">
        <v>1</v>
      </c>
      <c r="X69" s="53" t="s">
        <v>46</v>
      </c>
      <c r="Y69" s="53" t="s">
        <v>69</v>
      </c>
      <c r="Z69" s="53" t="s">
        <v>84</v>
      </c>
      <c r="AA69" s="53" t="s">
        <v>90</v>
      </c>
      <c r="AB69" s="53" t="s">
        <v>158</v>
      </c>
      <c r="AC69" s="75"/>
      <c r="AD69" s="75"/>
      <c r="AF69" s="75"/>
      <c r="AG69" s="75"/>
      <c r="AH69" s="75"/>
    </row>
    <row r="70" spans="1:34" x14ac:dyDescent="0.15">
      <c r="A70" s="53" t="s">
        <v>41</v>
      </c>
      <c r="B70" s="53" t="s">
        <v>157</v>
      </c>
      <c r="C70" s="62">
        <v>2019</v>
      </c>
      <c r="D70" s="63" t="s">
        <v>188</v>
      </c>
      <c r="E70" s="53" t="s">
        <v>201</v>
      </c>
      <c r="F70" s="53" t="s">
        <v>209</v>
      </c>
      <c r="G70" s="53" t="s">
        <v>42</v>
      </c>
      <c r="H70" s="53" t="s">
        <v>187</v>
      </c>
      <c r="I70" s="53" t="s">
        <v>159</v>
      </c>
      <c r="J70" s="53" t="s">
        <v>80</v>
      </c>
      <c r="K70" s="53" t="s">
        <v>63</v>
      </c>
      <c r="L70" s="53">
        <v>3</v>
      </c>
      <c r="N70" s="53">
        <v>1</v>
      </c>
      <c r="O70" s="53">
        <v>0.35</v>
      </c>
      <c r="P70" s="53">
        <v>0.4</v>
      </c>
      <c r="Q70" s="16">
        <f t="shared" si="3"/>
        <v>0.375</v>
      </c>
      <c r="R70" s="53">
        <v>11.4</v>
      </c>
      <c r="S70" s="53">
        <v>97</v>
      </c>
      <c r="T70" s="16">
        <f t="shared" si="5"/>
        <v>36</v>
      </c>
      <c r="U70" s="53">
        <v>73</v>
      </c>
      <c r="V70" s="16">
        <f t="shared" si="4"/>
        <v>2628</v>
      </c>
      <c r="W70" s="53">
        <v>1</v>
      </c>
      <c r="X70" s="53" t="s">
        <v>46</v>
      </c>
      <c r="Y70" s="53" t="s">
        <v>69</v>
      </c>
      <c r="Z70" s="53" t="s">
        <v>84</v>
      </c>
      <c r="AA70" s="53" t="s">
        <v>90</v>
      </c>
      <c r="AB70" s="53" t="s">
        <v>158</v>
      </c>
      <c r="AC70" s="75"/>
      <c r="AD70" s="75"/>
      <c r="AF70" s="75"/>
      <c r="AG70" s="75"/>
      <c r="AH70" s="75"/>
    </row>
    <row r="71" spans="1:34" x14ac:dyDescent="0.15">
      <c r="A71" s="53" t="s">
        <v>41</v>
      </c>
      <c r="B71" s="53" t="s">
        <v>157</v>
      </c>
      <c r="C71" s="62">
        <v>2019</v>
      </c>
      <c r="D71" s="63" t="s">
        <v>188</v>
      </c>
      <c r="E71" s="53" t="s">
        <v>201</v>
      </c>
      <c r="F71" s="53" t="s">
        <v>209</v>
      </c>
      <c r="G71" s="53" t="s">
        <v>42</v>
      </c>
      <c r="H71" s="53" t="s">
        <v>203</v>
      </c>
      <c r="I71" s="53" t="s">
        <v>159</v>
      </c>
      <c r="J71" s="53" t="s">
        <v>38</v>
      </c>
      <c r="K71" s="53" t="s">
        <v>236</v>
      </c>
      <c r="L71" s="53">
        <v>1</v>
      </c>
      <c r="N71" s="53">
        <v>1</v>
      </c>
      <c r="O71" s="53">
        <v>0.5</v>
      </c>
      <c r="P71" s="53">
        <v>0.35</v>
      </c>
      <c r="Q71" s="74">
        <f t="shared" si="3"/>
        <v>0.42499999999999999</v>
      </c>
      <c r="R71" s="53">
        <v>11.6</v>
      </c>
      <c r="S71" s="53">
        <v>121</v>
      </c>
      <c r="T71" s="16">
        <f t="shared" si="5"/>
        <v>27</v>
      </c>
      <c r="U71" s="53">
        <v>105</v>
      </c>
      <c r="V71" s="38">
        <v>3146</v>
      </c>
      <c r="W71" s="53">
        <v>3</v>
      </c>
      <c r="X71" s="53" t="s">
        <v>46</v>
      </c>
      <c r="Y71" s="53" t="s">
        <v>69</v>
      </c>
      <c r="Z71" s="53" t="s">
        <v>84</v>
      </c>
      <c r="AA71" s="53" t="s">
        <v>90</v>
      </c>
      <c r="AB71" s="53" t="s">
        <v>158</v>
      </c>
      <c r="AC71" s="75"/>
      <c r="AD71" s="75"/>
      <c r="AF71" s="75"/>
      <c r="AG71" s="75"/>
      <c r="AH71" s="75"/>
    </row>
    <row r="72" spans="1:34" x14ac:dyDescent="0.15">
      <c r="A72" s="53" t="s">
        <v>41</v>
      </c>
      <c r="B72" s="53" t="s">
        <v>157</v>
      </c>
      <c r="C72" s="62">
        <v>2019</v>
      </c>
      <c r="D72" s="63" t="s">
        <v>188</v>
      </c>
      <c r="E72" s="53" t="s">
        <v>201</v>
      </c>
      <c r="F72" s="53" t="s">
        <v>209</v>
      </c>
      <c r="G72" s="53" t="s">
        <v>42</v>
      </c>
      <c r="H72" s="53" t="s">
        <v>203</v>
      </c>
      <c r="I72" s="53" t="s">
        <v>159</v>
      </c>
      <c r="J72" s="53" t="s">
        <v>38</v>
      </c>
      <c r="K72" s="53" t="s">
        <v>236</v>
      </c>
      <c r="L72" s="53">
        <v>2</v>
      </c>
      <c r="N72" s="53">
        <v>1</v>
      </c>
      <c r="O72" s="53">
        <v>0.65</v>
      </c>
      <c r="P72" s="53">
        <v>0.5</v>
      </c>
      <c r="Q72" s="74">
        <f t="shared" si="3"/>
        <v>0.57499999999999996</v>
      </c>
      <c r="R72" s="53">
        <v>12.4</v>
      </c>
      <c r="S72" s="53">
        <v>122</v>
      </c>
      <c r="T72" s="16">
        <f t="shared" si="5"/>
        <v>27</v>
      </c>
      <c r="U72" s="53">
        <v>105</v>
      </c>
      <c r="V72" s="38">
        <v>3146</v>
      </c>
      <c r="W72" s="53">
        <v>3</v>
      </c>
      <c r="X72" s="53" t="s">
        <v>46</v>
      </c>
      <c r="Y72" s="53" t="s">
        <v>69</v>
      </c>
      <c r="Z72" s="53" t="s">
        <v>84</v>
      </c>
      <c r="AA72" s="53" t="s">
        <v>90</v>
      </c>
      <c r="AB72" s="53" t="s">
        <v>158</v>
      </c>
      <c r="AC72" s="75"/>
      <c r="AD72" s="75"/>
      <c r="AF72" s="75"/>
      <c r="AG72" s="75"/>
      <c r="AH72" s="75"/>
    </row>
    <row r="73" spans="1:34" x14ac:dyDescent="0.15">
      <c r="A73" s="53" t="s">
        <v>41</v>
      </c>
      <c r="B73" s="53" t="s">
        <v>157</v>
      </c>
      <c r="C73" s="62">
        <v>2019</v>
      </c>
      <c r="D73" s="63" t="s">
        <v>188</v>
      </c>
      <c r="E73" s="53" t="s">
        <v>201</v>
      </c>
      <c r="F73" s="53" t="s">
        <v>209</v>
      </c>
      <c r="G73" s="53" t="s">
        <v>42</v>
      </c>
      <c r="H73" s="53" t="s">
        <v>203</v>
      </c>
      <c r="I73" s="53" t="s">
        <v>159</v>
      </c>
      <c r="J73" s="53" t="s">
        <v>38</v>
      </c>
      <c r="K73" s="53" t="s">
        <v>236</v>
      </c>
      <c r="L73" s="53">
        <v>3</v>
      </c>
      <c r="N73" s="53">
        <v>1</v>
      </c>
      <c r="O73" s="53">
        <v>0.8</v>
      </c>
      <c r="P73" s="53">
        <v>0.7</v>
      </c>
      <c r="Q73" s="74">
        <f t="shared" si="3"/>
        <v>0.75</v>
      </c>
      <c r="R73" s="53">
        <v>14.6</v>
      </c>
      <c r="S73" s="53">
        <v>117</v>
      </c>
      <c r="T73" s="16">
        <f t="shared" si="5"/>
        <v>30</v>
      </c>
      <c r="U73" s="53">
        <v>105</v>
      </c>
      <c r="V73" s="38">
        <v>3146</v>
      </c>
      <c r="W73" s="53">
        <v>3</v>
      </c>
      <c r="X73" s="53" t="s">
        <v>46</v>
      </c>
      <c r="Y73" s="53" t="s">
        <v>69</v>
      </c>
      <c r="Z73" s="53" t="s">
        <v>84</v>
      </c>
      <c r="AA73" s="53" t="s">
        <v>90</v>
      </c>
      <c r="AB73" s="53" t="s">
        <v>158</v>
      </c>
      <c r="AC73" s="75"/>
      <c r="AD73" s="75"/>
      <c r="AF73" s="75"/>
      <c r="AG73" s="75"/>
      <c r="AH73" s="75"/>
    </row>
    <row r="74" spans="1:34" x14ac:dyDescent="0.15">
      <c r="A74" s="53" t="s">
        <v>41</v>
      </c>
      <c r="B74" s="53" t="s">
        <v>157</v>
      </c>
      <c r="C74" s="62">
        <v>2019</v>
      </c>
      <c r="D74" s="63" t="s">
        <v>188</v>
      </c>
      <c r="E74" s="53" t="s">
        <v>205</v>
      </c>
      <c r="F74" s="53" t="s">
        <v>206</v>
      </c>
      <c r="G74" s="53" t="s">
        <v>42</v>
      </c>
      <c r="H74" s="53" t="s">
        <v>163</v>
      </c>
      <c r="I74" s="53" t="s">
        <v>159</v>
      </c>
      <c r="J74" s="53" t="s">
        <v>38</v>
      </c>
      <c r="K74" s="53" t="s">
        <v>160</v>
      </c>
      <c r="L74" s="53">
        <v>1</v>
      </c>
      <c r="N74" s="53">
        <v>1</v>
      </c>
      <c r="O74" s="53">
        <v>0.65</v>
      </c>
      <c r="P74" s="53">
        <v>0.7</v>
      </c>
      <c r="Q74" s="74">
        <f t="shared" si="3"/>
        <v>0.67500000000000004</v>
      </c>
      <c r="R74" s="53">
        <v>10.9</v>
      </c>
      <c r="S74" s="53">
        <v>128</v>
      </c>
      <c r="T74" s="16">
        <f t="shared" si="5"/>
        <v>27</v>
      </c>
      <c r="U74" s="53">
        <v>105</v>
      </c>
      <c r="V74" s="16">
        <f t="shared" ref="V74:V137" si="6">IF(OR(N74="",U74="",T74=""),"",U74/N74*T74)</f>
        <v>2835</v>
      </c>
      <c r="W74" s="53">
        <v>2</v>
      </c>
      <c r="X74" s="53" t="s">
        <v>46</v>
      </c>
      <c r="Y74" s="53" t="s">
        <v>84</v>
      </c>
      <c r="Z74" s="53" t="s">
        <v>90</v>
      </c>
      <c r="AA74" s="53" t="s">
        <v>69</v>
      </c>
      <c r="AB74" s="53" t="s">
        <v>158</v>
      </c>
      <c r="AC74" s="75"/>
      <c r="AD74" s="75"/>
      <c r="AF74" s="75"/>
      <c r="AG74" s="75"/>
      <c r="AH74" s="75"/>
    </row>
    <row r="75" spans="1:34" x14ac:dyDescent="0.15">
      <c r="A75" s="53" t="s">
        <v>41</v>
      </c>
      <c r="B75" s="53" t="s">
        <v>157</v>
      </c>
      <c r="C75" s="62">
        <v>2019</v>
      </c>
      <c r="D75" s="63" t="s">
        <v>188</v>
      </c>
      <c r="E75" s="53" t="s">
        <v>205</v>
      </c>
      <c r="F75" s="53" t="s">
        <v>206</v>
      </c>
      <c r="G75" s="53" t="s">
        <v>42</v>
      </c>
      <c r="H75" s="53" t="s">
        <v>163</v>
      </c>
      <c r="I75" s="53" t="s">
        <v>159</v>
      </c>
      <c r="J75" s="53" t="s">
        <v>38</v>
      </c>
      <c r="K75" s="53" t="s">
        <v>160</v>
      </c>
      <c r="L75" s="53">
        <v>2</v>
      </c>
      <c r="N75" s="53">
        <v>1</v>
      </c>
      <c r="O75" s="53">
        <v>0.5</v>
      </c>
      <c r="P75" s="53">
        <v>0.55000000000000004</v>
      </c>
      <c r="Q75" s="74">
        <f t="shared" si="3"/>
        <v>0.52500000000000002</v>
      </c>
      <c r="R75" s="53">
        <v>11.4</v>
      </c>
      <c r="S75" s="53">
        <v>124</v>
      </c>
      <c r="T75" s="16">
        <f t="shared" si="5"/>
        <v>27</v>
      </c>
      <c r="U75" s="53">
        <v>105</v>
      </c>
      <c r="V75" s="16">
        <f t="shared" si="6"/>
        <v>2835</v>
      </c>
      <c r="W75" s="53">
        <v>2</v>
      </c>
      <c r="X75" s="53" t="s">
        <v>46</v>
      </c>
      <c r="Y75" s="53" t="s">
        <v>84</v>
      </c>
      <c r="Z75" s="53" t="s">
        <v>90</v>
      </c>
      <c r="AA75" s="53" t="s">
        <v>69</v>
      </c>
      <c r="AB75" s="53" t="s">
        <v>158</v>
      </c>
      <c r="AC75" s="75"/>
      <c r="AD75" s="75"/>
      <c r="AF75" s="75"/>
      <c r="AG75" s="75"/>
      <c r="AH75" s="75"/>
    </row>
    <row r="76" spans="1:34" x14ac:dyDescent="0.15">
      <c r="A76" s="53" t="s">
        <v>41</v>
      </c>
      <c r="B76" s="53" t="s">
        <v>157</v>
      </c>
      <c r="C76" s="62">
        <v>2019</v>
      </c>
      <c r="D76" s="63" t="s">
        <v>188</v>
      </c>
      <c r="E76" s="53" t="s">
        <v>205</v>
      </c>
      <c r="F76" s="53" t="s">
        <v>206</v>
      </c>
      <c r="G76" s="53" t="s">
        <v>42</v>
      </c>
      <c r="H76" s="53" t="s">
        <v>163</v>
      </c>
      <c r="I76" s="53" t="s">
        <v>159</v>
      </c>
      <c r="J76" s="53" t="s">
        <v>38</v>
      </c>
      <c r="K76" s="53" t="s">
        <v>160</v>
      </c>
      <c r="L76" s="53">
        <v>3</v>
      </c>
      <c r="N76" s="53">
        <v>1</v>
      </c>
      <c r="O76" s="53">
        <v>0.8</v>
      </c>
      <c r="P76" s="53">
        <v>0.75</v>
      </c>
      <c r="Q76" s="74">
        <f t="shared" si="3"/>
        <v>0.77500000000000002</v>
      </c>
      <c r="R76" s="53">
        <v>10.4</v>
      </c>
      <c r="S76" s="53">
        <v>122</v>
      </c>
      <c r="T76" s="16">
        <f t="shared" si="5"/>
        <v>27</v>
      </c>
      <c r="U76" s="53">
        <v>105</v>
      </c>
      <c r="V76" s="38">
        <f t="shared" si="6"/>
        <v>2835</v>
      </c>
      <c r="W76" s="53">
        <v>2</v>
      </c>
      <c r="X76" s="53" t="s">
        <v>46</v>
      </c>
      <c r="Y76" s="53" t="s">
        <v>84</v>
      </c>
      <c r="Z76" s="53" t="s">
        <v>90</v>
      </c>
      <c r="AA76" s="53" t="s">
        <v>69</v>
      </c>
      <c r="AB76" s="53" t="s">
        <v>158</v>
      </c>
      <c r="AC76" s="75"/>
      <c r="AD76" s="75"/>
      <c r="AF76" s="75"/>
      <c r="AG76" s="75"/>
      <c r="AH76" s="75"/>
    </row>
    <row r="77" spans="1:34" x14ac:dyDescent="0.15">
      <c r="A77" s="53" t="s">
        <v>41</v>
      </c>
      <c r="B77" s="53" t="s">
        <v>157</v>
      </c>
      <c r="C77" s="62">
        <v>2019</v>
      </c>
      <c r="D77" s="63" t="s">
        <v>188</v>
      </c>
      <c r="E77" s="53" t="s">
        <v>205</v>
      </c>
      <c r="F77" s="53" t="s">
        <v>206</v>
      </c>
      <c r="G77" s="53" t="s">
        <v>42</v>
      </c>
      <c r="H77" s="53" t="s">
        <v>163</v>
      </c>
      <c r="I77" s="53" t="s">
        <v>159</v>
      </c>
      <c r="J77" s="53" t="s">
        <v>38</v>
      </c>
      <c r="K77" s="53" t="s">
        <v>160</v>
      </c>
      <c r="L77" s="53">
        <v>1</v>
      </c>
      <c r="N77" s="53">
        <v>4</v>
      </c>
      <c r="O77" s="53">
        <v>0.35</v>
      </c>
      <c r="P77" s="53">
        <v>0.4</v>
      </c>
      <c r="Q77" s="74">
        <f t="shared" si="3"/>
        <v>0.375</v>
      </c>
      <c r="R77" s="53">
        <v>12.8</v>
      </c>
      <c r="S77" s="53">
        <v>120</v>
      </c>
      <c r="T77" s="16">
        <f t="shared" si="5"/>
        <v>30</v>
      </c>
      <c r="U77" s="53">
        <v>419</v>
      </c>
      <c r="V77" s="16">
        <f t="shared" si="6"/>
        <v>3142.5</v>
      </c>
      <c r="W77" s="53">
        <v>2</v>
      </c>
      <c r="X77" s="53" t="s">
        <v>46</v>
      </c>
      <c r="Y77" s="53" t="s">
        <v>84</v>
      </c>
      <c r="Z77" s="53" t="s">
        <v>90</v>
      </c>
      <c r="AA77" s="53" t="s">
        <v>69</v>
      </c>
      <c r="AB77" s="53" t="s">
        <v>158</v>
      </c>
      <c r="AC77" s="75"/>
      <c r="AD77" s="75"/>
      <c r="AF77" s="75"/>
      <c r="AG77" s="75"/>
      <c r="AH77" s="75"/>
    </row>
    <row r="78" spans="1:34" x14ac:dyDescent="0.15">
      <c r="A78" s="53" t="s">
        <v>41</v>
      </c>
      <c r="B78" s="53" t="s">
        <v>157</v>
      </c>
      <c r="C78" s="62">
        <v>2019</v>
      </c>
      <c r="D78" s="63" t="s">
        <v>188</v>
      </c>
      <c r="E78" s="53" t="s">
        <v>205</v>
      </c>
      <c r="F78" s="53" t="s">
        <v>206</v>
      </c>
      <c r="G78" s="53" t="s">
        <v>42</v>
      </c>
      <c r="H78" s="53" t="s">
        <v>163</v>
      </c>
      <c r="I78" s="53" t="s">
        <v>159</v>
      </c>
      <c r="J78" s="53" t="s">
        <v>38</v>
      </c>
      <c r="K78" s="53" t="s">
        <v>160</v>
      </c>
      <c r="L78" s="53">
        <v>2</v>
      </c>
      <c r="N78" s="53">
        <v>4</v>
      </c>
      <c r="O78" s="53">
        <v>0.25</v>
      </c>
      <c r="P78" s="53">
        <v>0.3</v>
      </c>
      <c r="Q78" s="74">
        <f t="shared" si="3"/>
        <v>0.27500000000000002</v>
      </c>
      <c r="R78" s="53">
        <v>13.3</v>
      </c>
      <c r="S78" s="53">
        <v>115</v>
      </c>
      <c r="T78" s="16">
        <f t="shared" si="5"/>
        <v>30</v>
      </c>
      <c r="U78" s="53">
        <v>419</v>
      </c>
      <c r="V78" s="16">
        <f t="shared" si="6"/>
        <v>3142.5</v>
      </c>
      <c r="W78" s="53">
        <v>2</v>
      </c>
      <c r="X78" s="53" t="s">
        <v>46</v>
      </c>
      <c r="Y78" s="53" t="s">
        <v>84</v>
      </c>
      <c r="Z78" s="53" t="s">
        <v>90</v>
      </c>
      <c r="AA78" s="53" t="s">
        <v>69</v>
      </c>
      <c r="AB78" s="53" t="s">
        <v>158</v>
      </c>
      <c r="AC78" s="75"/>
      <c r="AD78" s="75"/>
      <c r="AF78" s="75"/>
      <c r="AG78" s="75"/>
      <c r="AH78" s="75"/>
    </row>
    <row r="79" spans="1:34" x14ac:dyDescent="0.15">
      <c r="A79" s="53" t="s">
        <v>41</v>
      </c>
      <c r="B79" s="53" t="s">
        <v>157</v>
      </c>
      <c r="C79" s="62">
        <v>2019</v>
      </c>
      <c r="D79" s="63" t="s">
        <v>188</v>
      </c>
      <c r="E79" s="53" t="s">
        <v>205</v>
      </c>
      <c r="F79" s="53" t="s">
        <v>206</v>
      </c>
      <c r="G79" s="53" t="s">
        <v>42</v>
      </c>
      <c r="H79" s="53" t="s">
        <v>163</v>
      </c>
      <c r="I79" s="53" t="s">
        <v>159</v>
      </c>
      <c r="J79" s="53" t="s">
        <v>38</v>
      </c>
      <c r="K79" s="53" t="s">
        <v>160</v>
      </c>
      <c r="L79" s="53">
        <v>3</v>
      </c>
      <c r="N79" s="53">
        <v>4</v>
      </c>
      <c r="O79" s="53">
        <v>0.3</v>
      </c>
      <c r="P79" s="53">
        <v>0.35</v>
      </c>
      <c r="Q79" s="74">
        <f t="shared" si="3"/>
        <v>0.32499999999999996</v>
      </c>
      <c r="R79" s="53">
        <v>12.9</v>
      </c>
      <c r="S79" s="53">
        <v>117</v>
      </c>
      <c r="T79" s="16">
        <f t="shared" si="5"/>
        <v>30</v>
      </c>
      <c r="U79" s="53">
        <v>419</v>
      </c>
      <c r="V79" s="38">
        <f t="shared" si="6"/>
        <v>3142.5</v>
      </c>
      <c r="W79" s="53">
        <v>2</v>
      </c>
      <c r="X79" s="53" t="s">
        <v>46</v>
      </c>
      <c r="Y79" s="53" t="s">
        <v>84</v>
      </c>
      <c r="Z79" s="53" t="s">
        <v>90</v>
      </c>
      <c r="AA79" s="53" t="s">
        <v>69</v>
      </c>
      <c r="AB79" s="53" t="s">
        <v>158</v>
      </c>
      <c r="AC79" s="75"/>
      <c r="AD79" s="75"/>
      <c r="AF79" s="75"/>
      <c r="AG79" s="75"/>
      <c r="AH79" s="75"/>
    </row>
    <row r="80" spans="1:34" x14ac:dyDescent="0.15">
      <c r="A80" s="53" t="s">
        <v>41</v>
      </c>
      <c r="B80" s="53" t="s">
        <v>157</v>
      </c>
      <c r="C80" s="62">
        <v>2019</v>
      </c>
      <c r="D80" s="63" t="s">
        <v>188</v>
      </c>
      <c r="E80" s="53" t="s">
        <v>211</v>
      </c>
      <c r="F80" s="53" t="s">
        <v>212</v>
      </c>
      <c r="G80" s="53" t="s">
        <v>42</v>
      </c>
      <c r="H80" s="53" t="s">
        <v>163</v>
      </c>
      <c r="I80" s="53" t="s">
        <v>159</v>
      </c>
      <c r="J80" s="53" t="s">
        <v>38</v>
      </c>
      <c r="K80" s="53" t="s">
        <v>160</v>
      </c>
      <c r="L80" s="53">
        <v>1</v>
      </c>
      <c r="N80" s="53">
        <v>1</v>
      </c>
      <c r="O80" s="53">
        <v>1</v>
      </c>
      <c r="P80" s="76">
        <v>1.1000000000000001</v>
      </c>
      <c r="Q80" s="16">
        <f t="shared" si="3"/>
        <v>1.05</v>
      </c>
      <c r="R80" s="53">
        <v>9.8000000000000007</v>
      </c>
      <c r="S80" s="53">
        <v>131</v>
      </c>
      <c r="T80" s="16">
        <f t="shared" si="5"/>
        <v>25</v>
      </c>
      <c r="U80" s="53">
        <v>105</v>
      </c>
      <c r="V80" s="38">
        <f t="shared" si="6"/>
        <v>2625</v>
      </c>
      <c r="W80" s="53">
        <v>2</v>
      </c>
      <c r="X80" s="53" t="s">
        <v>46</v>
      </c>
      <c r="Y80" s="53" t="s">
        <v>84</v>
      </c>
      <c r="Z80" s="53" t="s">
        <v>69</v>
      </c>
      <c r="AA80" s="53" t="s">
        <v>90</v>
      </c>
      <c r="AB80" s="53" t="s">
        <v>158</v>
      </c>
      <c r="AC80" s="75"/>
      <c r="AD80" s="75"/>
      <c r="AF80" s="75"/>
      <c r="AG80" s="75"/>
      <c r="AH80" s="75"/>
    </row>
    <row r="81" spans="1:34" x14ac:dyDescent="0.15">
      <c r="A81" s="53" t="s">
        <v>41</v>
      </c>
      <c r="B81" s="53" t="s">
        <v>157</v>
      </c>
      <c r="C81" s="62">
        <v>2019</v>
      </c>
      <c r="D81" s="63" t="s">
        <v>188</v>
      </c>
      <c r="E81" s="53" t="s">
        <v>211</v>
      </c>
      <c r="F81" s="53" t="s">
        <v>212</v>
      </c>
      <c r="G81" s="53" t="s">
        <v>42</v>
      </c>
      <c r="H81" s="53" t="s">
        <v>163</v>
      </c>
      <c r="I81" s="53" t="s">
        <v>159</v>
      </c>
      <c r="J81" s="53" t="s">
        <v>38</v>
      </c>
      <c r="K81" s="53" t="s">
        <v>160</v>
      </c>
      <c r="L81" s="53">
        <v>2</v>
      </c>
      <c r="N81" s="53">
        <v>1</v>
      </c>
      <c r="O81" s="53">
        <v>0.9</v>
      </c>
      <c r="P81" s="53">
        <v>0.85</v>
      </c>
      <c r="Q81" s="16">
        <f t="shared" si="3"/>
        <v>0.875</v>
      </c>
      <c r="R81" s="53">
        <v>10.1</v>
      </c>
      <c r="S81" s="53">
        <v>129</v>
      </c>
      <c r="T81" s="16">
        <f t="shared" si="5"/>
        <v>25</v>
      </c>
      <c r="U81" s="53">
        <v>105</v>
      </c>
      <c r="V81" s="38">
        <f t="shared" si="6"/>
        <v>2625</v>
      </c>
      <c r="W81" s="53">
        <v>2</v>
      </c>
      <c r="X81" s="53" t="s">
        <v>46</v>
      </c>
      <c r="Y81" s="53" t="s">
        <v>84</v>
      </c>
      <c r="Z81" s="53" t="s">
        <v>69</v>
      </c>
      <c r="AA81" s="53" t="s">
        <v>90</v>
      </c>
      <c r="AB81" s="53" t="s">
        <v>158</v>
      </c>
      <c r="AC81" s="75"/>
      <c r="AD81" s="75"/>
      <c r="AF81" s="75"/>
      <c r="AG81" s="75"/>
      <c r="AH81" s="75"/>
    </row>
    <row r="82" spans="1:34" x14ac:dyDescent="0.15">
      <c r="A82" s="53" t="s">
        <v>41</v>
      </c>
      <c r="B82" s="53" t="s">
        <v>157</v>
      </c>
      <c r="C82" s="62">
        <v>2019</v>
      </c>
      <c r="D82" s="63" t="s">
        <v>188</v>
      </c>
      <c r="E82" s="53" t="s">
        <v>211</v>
      </c>
      <c r="F82" s="53" t="s">
        <v>212</v>
      </c>
      <c r="G82" s="53" t="s">
        <v>42</v>
      </c>
      <c r="H82" s="53" t="s">
        <v>163</v>
      </c>
      <c r="I82" s="53" t="s">
        <v>159</v>
      </c>
      <c r="J82" s="53" t="s">
        <v>38</v>
      </c>
      <c r="K82" s="53" t="s">
        <v>160</v>
      </c>
      <c r="L82" s="53">
        <v>3</v>
      </c>
      <c r="N82" s="53">
        <v>1</v>
      </c>
      <c r="O82" s="53">
        <v>0.85</v>
      </c>
      <c r="P82" s="53">
        <v>0.9</v>
      </c>
      <c r="Q82" s="16">
        <f t="shared" si="3"/>
        <v>0.875</v>
      </c>
      <c r="R82" s="53">
        <v>11.7</v>
      </c>
      <c r="S82" s="53">
        <v>134</v>
      </c>
      <c r="T82" s="38">
        <f t="shared" si="5"/>
        <v>25</v>
      </c>
      <c r="U82" s="53">
        <v>105</v>
      </c>
      <c r="V82" s="38">
        <f t="shared" si="6"/>
        <v>2625</v>
      </c>
      <c r="W82" s="53">
        <v>2</v>
      </c>
      <c r="X82" s="53" t="s">
        <v>46</v>
      </c>
      <c r="Y82" s="53" t="s">
        <v>84</v>
      </c>
      <c r="Z82" s="53" t="s">
        <v>69</v>
      </c>
      <c r="AA82" s="53" t="s">
        <v>90</v>
      </c>
      <c r="AB82" s="53" t="s">
        <v>158</v>
      </c>
      <c r="AC82" s="75"/>
      <c r="AD82" s="75"/>
      <c r="AF82" s="75"/>
      <c r="AG82" s="75"/>
      <c r="AH82" s="75"/>
    </row>
    <row r="83" spans="1:34" x14ac:dyDescent="0.15">
      <c r="A83" s="53" t="s">
        <v>41</v>
      </c>
      <c r="B83" s="53" t="s">
        <v>157</v>
      </c>
      <c r="C83" s="62">
        <v>2019</v>
      </c>
      <c r="D83" s="63" t="s">
        <v>188</v>
      </c>
      <c r="E83" s="53" t="s">
        <v>211</v>
      </c>
      <c r="F83" s="53" t="s">
        <v>212</v>
      </c>
      <c r="G83" s="53" t="s">
        <v>42</v>
      </c>
      <c r="H83" s="53" t="s">
        <v>163</v>
      </c>
      <c r="I83" s="53" t="s">
        <v>159</v>
      </c>
      <c r="J83" s="53" t="s">
        <v>38</v>
      </c>
      <c r="K83" s="53" t="s">
        <v>160</v>
      </c>
      <c r="L83" s="53">
        <v>1</v>
      </c>
      <c r="N83" s="53">
        <v>4</v>
      </c>
      <c r="O83" s="53">
        <v>0.7</v>
      </c>
      <c r="P83" s="76">
        <v>0.65</v>
      </c>
      <c r="Q83" s="16">
        <f t="shared" si="3"/>
        <v>0.67500000000000004</v>
      </c>
      <c r="R83" s="53">
        <v>13.5</v>
      </c>
      <c r="S83" s="53">
        <v>114</v>
      </c>
      <c r="T83" s="16">
        <f t="shared" si="5"/>
        <v>30</v>
      </c>
      <c r="U83" s="53">
        <v>407</v>
      </c>
      <c r="V83" s="38">
        <f t="shared" si="6"/>
        <v>3052.5</v>
      </c>
      <c r="W83" s="53">
        <v>2</v>
      </c>
      <c r="X83" s="53" t="s">
        <v>46</v>
      </c>
      <c r="Y83" s="53" t="s">
        <v>84</v>
      </c>
      <c r="Z83" s="53" t="s">
        <v>69</v>
      </c>
      <c r="AA83" s="53" t="s">
        <v>90</v>
      </c>
      <c r="AB83" s="53" t="s">
        <v>158</v>
      </c>
    </row>
    <row r="84" spans="1:34" x14ac:dyDescent="0.15">
      <c r="A84" s="53" t="s">
        <v>41</v>
      </c>
      <c r="B84" s="53" t="s">
        <v>157</v>
      </c>
      <c r="C84" s="62">
        <v>2019</v>
      </c>
      <c r="D84" s="63" t="s">
        <v>188</v>
      </c>
      <c r="E84" s="53" t="s">
        <v>211</v>
      </c>
      <c r="F84" s="53" t="s">
        <v>212</v>
      </c>
      <c r="G84" s="53" t="s">
        <v>42</v>
      </c>
      <c r="H84" s="53" t="s">
        <v>163</v>
      </c>
      <c r="I84" s="53" t="s">
        <v>159</v>
      </c>
      <c r="J84" s="53" t="s">
        <v>38</v>
      </c>
      <c r="K84" s="53" t="s">
        <v>160</v>
      </c>
      <c r="L84" s="53">
        <v>2</v>
      </c>
      <c r="N84" s="53">
        <v>4</v>
      </c>
      <c r="O84" s="53">
        <v>0.65</v>
      </c>
      <c r="P84" s="53">
        <v>0.5</v>
      </c>
      <c r="Q84" s="16">
        <f t="shared" si="3"/>
        <v>0.57499999999999996</v>
      </c>
      <c r="R84" s="53">
        <v>12.2</v>
      </c>
      <c r="S84" s="53">
        <v>112</v>
      </c>
      <c r="T84" s="16">
        <f t="shared" si="5"/>
        <v>33</v>
      </c>
      <c r="U84" s="53">
        <v>407</v>
      </c>
      <c r="V84" s="38">
        <f t="shared" si="6"/>
        <v>3357.75</v>
      </c>
      <c r="W84" s="53">
        <v>2</v>
      </c>
      <c r="X84" s="53" t="s">
        <v>46</v>
      </c>
      <c r="Y84" s="53" t="s">
        <v>84</v>
      </c>
      <c r="Z84" s="53" t="s">
        <v>69</v>
      </c>
      <c r="AA84" s="53" t="s">
        <v>90</v>
      </c>
      <c r="AB84" s="53" t="s">
        <v>158</v>
      </c>
    </row>
    <row r="85" spans="1:34" x14ac:dyDescent="0.15">
      <c r="A85" s="53" t="s">
        <v>41</v>
      </c>
      <c r="B85" s="53" t="s">
        <v>157</v>
      </c>
      <c r="C85" s="62">
        <v>2019</v>
      </c>
      <c r="D85" s="63" t="s">
        <v>188</v>
      </c>
      <c r="E85" s="53" t="s">
        <v>211</v>
      </c>
      <c r="F85" s="53" t="s">
        <v>212</v>
      </c>
      <c r="G85" s="53" t="s">
        <v>42</v>
      </c>
      <c r="H85" s="53" t="s">
        <v>163</v>
      </c>
      <c r="I85" s="53" t="s">
        <v>159</v>
      </c>
      <c r="J85" s="53" t="s">
        <v>38</v>
      </c>
      <c r="K85" s="53" t="s">
        <v>160</v>
      </c>
      <c r="L85" s="53">
        <v>3</v>
      </c>
      <c r="N85" s="53">
        <v>4</v>
      </c>
      <c r="O85" s="53">
        <v>0.6</v>
      </c>
      <c r="P85" s="53">
        <v>0.6</v>
      </c>
      <c r="Q85" s="16">
        <f t="shared" si="3"/>
        <v>0.6</v>
      </c>
      <c r="R85" s="53">
        <v>12.4</v>
      </c>
      <c r="S85" s="53">
        <v>118</v>
      </c>
      <c r="T85" s="38">
        <f t="shared" si="5"/>
        <v>30</v>
      </c>
      <c r="U85" s="53">
        <v>407</v>
      </c>
      <c r="V85" s="38">
        <f t="shared" si="6"/>
        <v>3052.5</v>
      </c>
      <c r="W85" s="53">
        <v>2</v>
      </c>
      <c r="X85" s="53" t="s">
        <v>46</v>
      </c>
      <c r="Y85" s="53" t="s">
        <v>84</v>
      </c>
      <c r="Z85" s="53" t="s">
        <v>69</v>
      </c>
      <c r="AA85" s="53" t="s">
        <v>90</v>
      </c>
      <c r="AB85" s="53" t="s">
        <v>158</v>
      </c>
    </row>
    <row r="86" spans="1:34" x14ac:dyDescent="0.15">
      <c r="Q86" s="74" t="str">
        <f t="shared" si="3"/>
        <v/>
      </c>
      <c r="T86" s="16" t="str">
        <f t="shared" si="5"/>
        <v/>
      </c>
      <c r="V86" s="16" t="str">
        <f t="shared" si="6"/>
        <v/>
      </c>
    </row>
    <row r="87" spans="1:34" x14ac:dyDescent="0.15">
      <c r="Q87" s="74" t="str">
        <f t="shared" si="3"/>
        <v/>
      </c>
      <c r="T87" s="16" t="str">
        <f t="shared" si="5"/>
        <v/>
      </c>
      <c r="V87" s="16" t="str">
        <f t="shared" si="6"/>
        <v/>
      </c>
    </row>
    <row r="88" spans="1:34" x14ac:dyDescent="0.15">
      <c r="Q88" s="74" t="str">
        <f t="shared" si="3"/>
        <v/>
      </c>
      <c r="T88" s="16" t="str">
        <f t="shared" si="5"/>
        <v/>
      </c>
      <c r="V88" s="16" t="str">
        <f t="shared" si="6"/>
        <v/>
      </c>
    </row>
    <row r="89" spans="1:34" x14ac:dyDescent="0.15">
      <c r="Q89" s="74" t="str">
        <f t="shared" si="3"/>
        <v/>
      </c>
      <c r="T89" s="16" t="str">
        <f t="shared" si="5"/>
        <v/>
      </c>
      <c r="V89" s="16" t="str">
        <f t="shared" si="6"/>
        <v/>
      </c>
    </row>
    <row r="90" spans="1:34" x14ac:dyDescent="0.15">
      <c r="Q90" s="74" t="str">
        <f t="shared" si="3"/>
        <v/>
      </c>
      <c r="T90" s="16" t="str">
        <f t="shared" si="5"/>
        <v/>
      </c>
      <c r="V90" s="16" t="str">
        <f t="shared" si="6"/>
        <v/>
      </c>
    </row>
    <row r="91" spans="1:34" x14ac:dyDescent="0.15">
      <c r="Q91" s="74" t="str">
        <f t="shared" si="3"/>
        <v/>
      </c>
      <c r="T91" s="16" t="str">
        <f t="shared" si="5"/>
        <v/>
      </c>
      <c r="V91" s="16" t="str">
        <f t="shared" si="6"/>
        <v/>
      </c>
    </row>
    <row r="92" spans="1:34" x14ac:dyDescent="0.15">
      <c r="Q92" s="74" t="str">
        <f t="shared" si="3"/>
        <v/>
      </c>
      <c r="T92" s="16" t="str">
        <f t="shared" si="5"/>
        <v/>
      </c>
      <c r="V92" s="16" t="str">
        <f t="shared" si="6"/>
        <v/>
      </c>
    </row>
    <row r="93" spans="1:34" x14ac:dyDescent="0.15">
      <c r="Q93" s="74" t="str">
        <f t="shared" ref="Q93:Q156" si="7">IF(OR(O93="",P93=""),"",AVERAGE(O93,P93))</f>
        <v/>
      </c>
      <c r="T93" s="16" t="str">
        <f t="shared" si="5"/>
        <v/>
      </c>
      <c r="V93" s="16" t="str">
        <f t="shared" si="6"/>
        <v/>
      </c>
    </row>
    <row r="94" spans="1:34" x14ac:dyDescent="0.15">
      <c r="Q94" s="74" t="str">
        <f t="shared" si="7"/>
        <v/>
      </c>
      <c r="T94" s="16" t="str">
        <f t="shared" si="5"/>
        <v/>
      </c>
      <c r="V94" s="16" t="str">
        <f t="shared" si="6"/>
        <v/>
      </c>
    </row>
    <row r="95" spans="1:34" x14ac:dyDescent="0.15">
      <c r="Q95" s="74" t="str">
        <f t="shared" si="7"/>
        <v/>
      </c>
      <c r="T95" s="16" t="str">
        <f t="shared" si="5"/>
        <v/>
      </c>
      <c r="V95" s="16" t="str">
        <f t="shared" si="6"/>
        <v/>
      </c>
    </row>
    <row r="96" spans="1:34" x14ac:dyDescent="0.15">
      <c r="Q96" s="74" t="str">
        <f t="shared" si="7"/>
        <v/>
      </c>
      <c r="T96" s="16" t="str">
        <f t="shared" si="5"/>
        <v/>
      </c>
      <c r="V96" s="16" t="str">
        <f t="shared" si="6"/>
        <v/>
      </c>
    </row>
    <row r="97" spans="17:22" x14ac:dyDescent="0.15">
      <c r="Q97" s="74" t="str">
        <f t="shared" si="7"/>
        <v/>
      </c>
      <c r="T97" s="16" t="str">
        <f t="shared" si="5"/>
        <v/>
      </c>
      <c r="V97" s="16" t="str">
        <f t="shared" si="6"/>
        <v/>
      </c>
    </row>
    <row r="98" spans="17:22" x14ac:dyDescent="0.15">
      <c r="Q98" s="74" t="str">
        <f t="shared" si="7"/>
        <v/>
      </c>
      <c r="T98" s="16" t="str">
        <f t="shared" si="5"/>
        <v/>
      </c>
      <c r="V98" s="16" t="str">
        <f t="shared" si="6"/>
        <v/>
      </c>
    </row>
    <row r="99" spans="17:22" x14ac:dyDescent="0.15">
      <c r="Q99" s="74" t="str">
        <f t="shared" si="7"/>
        <v/>
      </c>
      <c r="T99" s="16" t="str">
        <f t="shared" si="5"/>
        <v/>
      </c>
      <c r="V99" s="16" t="str">
        <f t="shared" si="6"/>
        <v/>
      </c>
    </row>
    <row r="100" spans="17:22" x14ac:dyDescent="0.15">
      <c r="Q100" s="74" t="str">
        <f t="shared" si="7"/>
        <v/>
      </c>
      <c r="T100" s="16" t="str">
        <f t="shared" si="5"/>
        <v/>
      </c>
      <c r="V100" s="16" t="str">
        <f t="shared" si="6"/>
        <v/>
      </c>
    </row>
    <row r="101" spans="17:22" x14ac:dyDescent="0.15">
      <c r="Q101" s="74" t="str">
        <f t="shared" si="7"/>
        <v/>
      </c>
      <c r="T101" s="16" t="str">
        <f t="shared" si="5"/>
        <v/>
      </c>
      <c r="V101" s="16" t="str">
        <f t="shared" si="6"/>
        <v/>
      </c>
    </row>
    <row r="102" spans="17:22" x14ac:dyDescent="0.15">
      <c r="Q102" s="74" t="str">
        <f t="shared" si="7"/>
        <v/>
      </c>
      <c r="T102" s="16" t="str">
        <f t="shared" si="5"/>
        <v/>
      </c>
      <c r="V102" s="16" t="str">
        <f t="shared" si="6"/>
        <v/>
      </c>
    </row>
    <row r="103" spans="17:22" x14ac:dyDescent="0.15">
      <c r="Q103" s="74" t="str">
        <f t="shared" si="7"/>
        <v/>
      </c>
      <c r="T103" s="16" t="str">
        <f t="shared" si="5"/>
        <v/>
      </c>
      <c r="V103" s="16" t="str">
        <f t="shared" si="6"/>
        <v/>
      </c>
    </row>
    <row r="104" spans="17:22" x14ac:dyDescent="0.15">
      <c r="Q104" s="74" t="str">
        <f t="shared" si="7"/>
        <v/>
      </c>
      <c r="T104" s="16" t="str">
        <f t="shared" si="5"/>
        <v/>
      </c>
      <c r="V104" s="16" t="str">
        <f t="shared" si="6"/>
        <v/>
      </c>
    </row>
    <row r="105" spans="17:22" x14ac:dyDescent="0.15">
      <c r="Q105" s="74" t="str">
        <f t="shared" si="7"/>
        <v/>
      </c>
      <c r="T105" s="16" t="str">
        <f t="shared" si="5"/>
        <v/>
      </c>
      <c r="V105" s="16" t="str">
        <f t="shared" si="6"/>
        <v/>
      </c>
    </row>
    <row r="106" spans="17:22" x14ac:dyDescent="0.15">
      <c r="Q106" s="74" t="str">
        <f t="shared" si="7"/>
        <v/>
      </c>
      <c r="T106" s="16" t="str">
        <f t="shared" si="5"/>
        <v/>
      </c>
      <c r="V106" s="16" t="str">
        <f t="shared" si="6"/>
        <v/>
      </c>
    </row>
    <row r="107" spans="17:22" x14ac:dyDescent="0.15">
      <c r="Q107" s="74" t="str">
        <f t="shared" si="7"/>
        <v/>
      </c>
      <c r="T107" s="16" t="str">
        <f t="shared" si="5"/>
        <v/>
      </c>
      <c r="V107" s="16" t="str">
        <f t="shared" si="6"/>
        <v/>
      </c>
    </row>
    <row r="108" spans="17:22" x14ac:dyDescent="0.15">
      <c r="Q108" s="74" t="str">
        <f t="shared" si="7"/>
        <v/>
      </c>
      <c r="T108" s="16" t="str">
        <f t="shared" si="5"/>
        <v/>
      </c>
      <c r="V108" s="16" t="str">
        <f t="shared" si="6"/>
        <v/>
      </c>
    </row>
    <row r="109" spans="17:22" x14ac:dyDescent="0.15">
      <c r="Q109" s="74" t="str">
        <f t="shared" si="7"/>
        <v/>
      </c>
      <c r="T109" s="16" t="str">
        <f t="shared" si="5"/>
        <v/>
      </c>
      <c r="V109" s="16" t="str">
        <f t="shared" si="6"/>
        <v/>
      </c>
    </row>
    <row r="110" spans="17:22" x14ac:dyDescent="0.15">
      <c r="Q110" s="74" t="str">
        <f t="shared" si="7"/>
        <v/>
      </c>
      <c r="T110" s="16" t="str">
        <f t="shared" si="5"/>
        <v/>
      </c>
      <c r="V110" s="16" t="str">
        <f t="shared" si="6"/>
        <v/>
      </c>
    </row>
    <row r="111" spans="17:22" x14ac:dyDescent="0.15">
      <c r="Q111" s="74" t="str">
        <f t="shared" si="7"/>
        <v/>
      </c>
      <c r="T111" s="16" t="str">
        <f t="shared" si="5"/>
        <v/>
      </c>
      <c r="V111" s="16" t="str">
        <f t="shared" si="6"/>
        <v/>
      </c>
    </row>
    <row r="112" spans="17:22" x14ac:dyDescent="0.15">
      <c r="Q112" s="74" t="str">
        <f t="shared" si="7"/>
        <v/>
      </c>
      <c r="T112" s="16" t="str">
        <f t="shared" si="5"/>
        <v/>
      </c>
      <c r="V112" s="16" t="str">
        <f t="shared" si="6"/>
        <v/>
      </c>
    </row>
    <row r="113" spans="17:22" x14ac:dyDescent="0.15">
      <c r="Q113" s="74" t="str">
        <f t="shared" si="7"/>
        <v/>
      </c>
      <c r="T113" s="16" t="str">
        <f t="shared" si="5"/>
        <v/>
      </c>
      <c r="V113" s="16" t="str">
        <f t="shared" si="6"/>
        <v/>
      </c>
    </row>
    <row r="114" spans="17:22" x14ac:dyDescent="0.15">
      <c r="Q114" s="74" t="str">
        <f t="shared" si="7"/>
        <v/>
      </c>
      <c r="T114" s="16" t="str">
        <f t="shared" si="5"/>
        <v/>
      </c>
      <c r="V114" s="16" t="str">
        <f t="shared" si="6"/>
        <v/>
      </c>
    </row>
    <row r="115" spans="17:22" x14ac:dyDescent="0.15">
      <c r="Q115" s="74" t="str">
        <f t="shared" si="7"/>
        <v/>
      </c>
      <c r="T115" s="16" t="str">
        <f t="shared" si="5"/>
        <v/>
      </c>
      <c r="V115" s="16" t="str">
        <f t="shared" si="6"/>
        <v/>
      </c>
    </row>
    <row r="116" spans="17:22" x14ac:dyDescent="0.15">
      <c r="Q116" s="74" t="str">
        <f t="shared" si="7"/>
        <v/>
      </c>
      <c r="T116" s="16" t="str">
        <f t="shared" si="5"/>
        <v/>
      </c>
      <c r="V116" s="16" t="str">
        <f t="shared" si="6"/>
        <v/>
      </c>
    </row>
    <row r="117" spans="17:22" x14ac:dyDescent="0.15">
      <c r="Q117" s="74" t="str">
        <f t="shared" si="7"/>
        <v/>
      </c>
      <c r="T117" s="16" t="str">
        <f t="shared" si="5"/>
        <v/>
      </c>
      <c r="V117" s="16" t="str">
        <f t="shared" si="6"/>
        <v/>
      </c>
    </row>
    <row r="118" spans="17:22" x14ac:dyDescent="0.15">
      <c r="Q118" s="74" t="str">
        <f t="shared" si="7"/>
        <v/>
      </c>
      <c r="T118" s="16" t="str">
        <f t="shared" si="5"/>
        <v/>
      </c>
      <c r="V118" s="16" t="str">
        <f t="shared" si="6"/>
        <v/>
      </c>
    </row>
    <row r="119" spans="17:22" x14ac:dyDescent="0.15">
      <c r="Q119" s="74" t="str">
        <f t="shared" si="7"/>
        <v/>
      </c>
      <c r="T119" s="16" t="str">
        <f t="shared" si="5"/>
        <v/>
      </c>
      <c r="V119" s="16" t="str">
        <f t="shared" si="6"/>
        <v/>
      </c>
    </row>
    <row r="120" spans="17:22" x14ac:dyDescent="0.15">
      <c r="Q120" s="74" t="str">
        <f t="shared" si="7"/>
        <v/>
      </c>
      <c r="T120" s="16" t="str">
        <f t="shared" si="5"/>
        <v/>
      </c>
      <c r="V120" s="16" t="str">
        <f t="shared" si="6"/>
        <v/>
      </c>
    </row>
    <row r="121" spans="17:22" x14ac:dyDescent="0.15">
      <c r="Q121" s="74" t="str">
        <f t="shared" si="7"/>
        <v/>
      </c>
      <c r="T121" s="16" t="str">
        <f t="shared" si="5"/>
        <v/>
      </c>
      <c r="V121" s="16" t="str">
        <f t="shared" si="6"/>
        <v/>
      </c>
    </row>
    <row r="122" spans="17:22" x14ac:dyDescent="0.15">
      <c r="Q122" s="74" t="str">
        <f t="shared" si="7"/>
        <v/>
      </c>
      <c r="T122" s="16" t="str">
        <f t="shared" si="5"/>
        <v/>
      </c>
      <c r="V122" s="16" t="str">
        <f t="shared" si="6"/>
        <v/>
      </c>
    </row>
    <row r="123" spans="17:22" x14ac:dyDescent="0.15">
      <c r="Q123" s="74" t="str">
        <f t="shared" si="7"/>
        <v/>
      </c>
      <c r="T123" s="16" t="str">
        <f t="shared" si="5"/>
        <v/>
      </c>
      <c r="V123" s="16" t="str">
        <f t="shared" si="6"/>
        <v/>
      </c>
    </row>
    <row r="124" spans="17:22" x14ac:dyDescent="0.15">
      <c r="Q124" s="74" t="str">
        <f t="shared" si="7"/>
        <v/>
      </c>
      <c r="T124" s="16" t="str">
        <f t="shared" si="5"/>
        <v/>
      </c>
      <c r="V124" s="16" t="str">
        <f t="shared" si="6"/>
        <v/>
      </c>
    </row>
    <row r="125" spans="17:22" x14ac:dyDescent="0.15">
      <c r="Q125" s="74" t="str">
        <f t="shared" si="7"/>
        <v/>
      </c>
      <c r="T125" s="16" t="str">
        <f t="shared" si="5"/>
        <v/>
      </c>
      <c r="V125" s="16" t="str">
        <f t="shared" si="6"/>
        <v/>
      </c>
    </row>
    <row r="126" spans="17:22" x14ac:dyDescent="0.15">
      <c r="Q126" s="74" t="str">
        <f t="shared" si="7"/>
        <v/>
      </c>
      <c r="T126" s="16" t="str">
        <f t="shared" si="5"/>
        <v/>
      </c>
      <c r="V126" s="16" t="str">
        <f t="shared" si="6"/>
        <v/>
      </c>
    </row>
    <row r="127" spans="17:22" x14ac:dyDescent="0.15">
      <c r="Q127" s="74" t="str">
        <f t="shared" si="7"/>
        <v/>
      </c>
      <c r="T127" s="16" t="str">
        <f t="shared" si="5"/>
        <v/>
      </c>
      <c r="V127" s="16" t="str">
        <f t="shared" si="6"/>
        <v/>
      </c>
    </row>
    <row r="128" spans="17:22" x14ac:dyDescent="0.15">
      <c r="Q128" s="74" t="str">
        <f t="shared" si="7"/>
        <v/>
      </c>
      <c r="T128" s="16" t="str">
        <f t="shared" si="5"/>
        <v/>
      </c>
      <c r="V128" s="16" t="str">
        <f t="shared" si="6"/>
        <v/>
      </c>
    </row>
    <row r="129" spans="17:22" x14ac:dyDescent="0.15">
      <c r="Q129" s="74" t="str">
        <f t="shared" si="7"/>
        <v/>
      </c>
      <c r="T129" s="16" t="str">
        <f t="shared" si="5"/>
        <v/>
      </c>
      <c r="V129" s="16" t="str">
        <f t="shared" si="6"/>
        <v/>
      </c>
    </row>
    <row r="130" spans="17:22" x14ac:dyDescent="0.15">
      <c r="Q130" s="74" t="str">
        <f t="shared" si="7"/>
        <v/>
      </c>
      <c r="T130" s="16" t="str">
        <f t="shared" ref="T130:T193" si="8">IF(H130="","",IF(OR(H130="GREEN",H130="GK"),IF(S130&gt;=$AX$2,VLOOKUP(S130,$AX$2:$AY$10,2,1),""),IF(S130&gt;=$AZ$2,VLOOKUP(S130,$AZ$2:$BA$10,2,1),"")))</f>
        <v/>
      </c>
      <c r="V130" s="16" t="str">
        <f t="shared" si="6"/>
        <v/>
      </c>
    </row>
    <row r="131" spans="17:22" x14ac:dyDescent="0.15">
      <c r="Q131" s="74" t="str">
        <f t="shared" si="7"/>
        <v/>
      </c>
      <c r="T131" s="16" t="str">
        <f t="shared" si="8"/>
        <v/>
      </c>
      <c r="V131" s="16" t="str">
        <f t="shared" si="6"/>
        <v/>
      </c>
    </row>
    <row r="132" spans="17:22" x14ac:dyDescent="0.15">
      <c r="Q132" s="74" t="str">
        <f t="shared" si="7"/>
        <v/>
      </c>
      <c r="T132" s="16" t="str">
        <f t="shared" si="8"/>
        <v/>
      </c>
      <c r="V132" s="16" t="str">
        <f t="shared" si="6"/>
        <v/>
      </c>
    </row>
    <row r="133" spans="17:22" x14ac:dyDescent="0.15">
      <c r="Q133" s="74" t="str">
        <f t="shared" si="7"/>
        <v/>
      </c>
      <c r="T133" s="16" t="str">
        <f t="shared" si="8"/>
        <v/>
      </c>
      <c r="V133" s="16" t="str">
        <f t="shared" si="6"/>
        <v/>
      </c>
    </row>
    <row r="134" spans="17:22" x14ac:dyDescent="0.15">
      <c r="Q134" s="74" t="str">
        <f t="shared" si="7"/>
        <v/>
      </c>
      <c r="T134" s="16" t="str">
        <f t="shared" si="8"/>
        <v/>
      </c>
      <c r="V134" s="16" t="str">
        <f t="shared" si="6"/>
        <v/>
      </c>
    </row>
    <row r="135" spans="17:22" x14ac:dyDescent="0.15">
      <c r="Q135" s="74" t="str">
        <f t="shared" si="7"/>
        <v/>
      </c>
      <c r="T135" s="16" t="str">
        <f t="shared" si="8"/>
        <v/>
      </c>
      <c r="V135" s="16" t="str">
        <f t="shared" si="6"/>
        <v/>
      </c>
    </row>
    <row r="136" spans="17:22" x14ac:dyDescent="0.15">
      <c r="Q136" s="74" t="str">
        <f t="shared" si="7"/>
        <v/>
      </c>
      <c r="T136" s="16" t="str">
        <f t="shared" si="8"/>
        <v/>
      </c>
      <c r="V136" s="16" t="str">
        <f t="shared" si="6"/>
        <v/>
      </c>
    </row>
    <row r="137" spans="17:22" x14ac:dyDescent="0.15">
      <c r="Q137" s="74" t="str">
        <f t="shared" si="7"/>
        <v/>
      </c>
      <c r="T137" s="16" t="str">
        <f t="shared" si="8"/>
        <v/>
      </c>
      <c r="V137" s="16" t="str">
        <f t="shared" si="6"/>
        <v/>
      </c>
    </row>
    <row r="138" spans="17:22" x14ac:dyDescent="0.15">
      <c r="Q138" s="74" t="str">
        <f t="shared" si="7"/>
        <v/>
      </c>
      <c r="T138" s="16" t="str">
        <f t="shared" si="8"/>
        <v/>
      </c>
      <c r="V138" s="16" t="str">
        <f t="shared" ref="V138:V201" si="9">IF(OR(N138="",U138="",T138=""),"",U138/N138*T138)</f>
        <v/>
      </c>
    </row>
    <row r="139" spans="17:22" x14ac:dyDescent="0.15">
      <c r="Q139" s="74" t="str">
        <f t="shared" si="7"/>
        <v/>
      </c>
      <c r="T139" s="16" t="str">
        <f t="shared" si="8"/>
        <v/>
      </c>
      <c r="V139" s="16" t="str">
        <f t="shared" si="9"/>
        <v/>
      </c>
    </row>
    <row r="140" spans="17:22" x14ac:dyDescent="0.15">
      <c r="Q140" s="74" t="str">
        <f t="shared" si="7"/>
        <v/>
      </c>
      <c r="T140" s="16" t="str">
        <f t="shared" si="8"/>
        <v/>
      </c>
      <c r="V140" s="16" t="str">
        <f t="shared" si="9"/>
        <v/>
      </c>
    </row>
    <row r="141" spans="17:22" x14ac:dyDescent="0.15">
      <c r="Q141" s="74" t="str">
        <f t="shared" si="7"/>
        <v/>
      </c>
      <c r="T141" s="16" t="str">
        <f t="shared" si="8"/>
        <v/>
      </c>
      <c r="V141" s="16" t="str">
        <f t="shared" si="9"/>
        <v/>
      </c>
    </row>
    <row r="142" spans="17:22" x14ac:dyDescent="0.15">
      <c r="Q142" s="74" t="str">
        <f t="shared" si="7"/>
        <v/>
      </c>
      <c r="T142" s="16" t="str">
        <f t="shared" si="8"/>
        <v/>
      </c>
      <c r="V142" s="16" t="str">
        <f t="shared" si="9"/>
        <v/>
      </c>
    </row>
    <row r="143" spans="17:22" x14ac:dyDescent="0.15">
      <c r="Q143" s="74" t="str">
        <f t="shared" si="7"/>
        <v/>
      </c>
      <c r="T143" s="16" t="str">
        <f t="shared" si="8"/>
        <v/>
      </c>
      <c r="V143" s="16" t="str">
        <f t="shared" si="9"/>
        <v/>
      </c>
    </row>
    <row r="144" spans="17:22" x14ac:dyDescent="0.15">
      <c r="Q144" s="74" t="str">
        <f t="shared" si="7"/>
        <v/>
      </c>
      <c r="T144" s="16" t="str">
        <f t="shared" si="8"/>
        <v/>
      </c>
      <c r="V144" s="16" t="str">
        <f t="shared" si="9"/>
        <v/>
      </c>
    </row>
    <row r="145" spans="17:22" x14ac:dyDescent="0.15">
      <c r="Q145" s="74" t="str">
        <f t="shared" si="7"/>
        <v/>
      </c>
      <c r="T145" s="16" t="str">
        <f t="shared" si="8"/>
        <v/>
      </c>
      <c r="V145" s="16" t="str">
        <f t="shared" si="9"/>
        <v/>
      </c>
    </row>
    <row r="146" spans="17:22" x14ac:dyDescent="0.15">
      <c r="Q146" s="74" t="str">
        <f t="shared" si="7"/>
        <v/>
      </c>
      <c r="T146" s="16" t="str">
        <f t="shared" si="8"/>
        <v/>
      </c>
      <c r="V146" s="16" t="str">
        <f t="shared" si="9"/>
        <v/>
      </c>
    </row>
    <row r="147" spans="17:22" x14ac:dyDescent="0.15">
      <c r="Q147" s="74" t="str">
        <f t="shared" si="7"/>
        <v/>
      </c>
      <c r="T147" s="16" t="str">
        <f t="shared" si="8"/>
        <v/>
      </c>
      <c r="V147" s="16" t="str">
        <f t="shared" si="9"/>
        <v/>
      </c>
    </row>
    <row r="148" spans="17:22" x14ac:dyDescent="0.15">
      <c r="Q148" s="74" t="str">
        <f t="shared" si="7"/>
        <v/>
      </c>
      <c r="T148" s="16" t="str">
        <f t="shared" si="8"/>
        <v/>
      </c>
      <c r="V148" s="16" t="str">
        <f t="shared" si="9"/>
        <v/>
      </c>
    </row>
    <row r="149" spans="17:22" x14ac:dyDescent="0.15">
      <c r="Q149" s="74" t="str">
        <f t="shared" si="7"/>
        <v/>
      </c>
      <c r="T149" s="16" t="str">
        <f t="shared" si="8"/>
        <v/>
      </c>
      <c r="V149" s="16" t="str">
        <f t="shared" si="9"/>
        <v/>
      </c>
    </row>
    <row r="150" spans="17:22" x14ac:dyDescent="0.15">
      <c r="Q150" s="74" t="str">
        <f t="shared" si="7"/>
        <v/>
      </c>
      <c r="T150" s="16" t="str">
        <f t="shared" si="8"/>
        <v/>
      </c>
      <c r="V150" s="16" t="str">
        <f t="shared" si="9"/>
        <v/>
      </c>
    </row>
    <row r="151" spans="17:22" x14ac:dyDescent="0.15">
      <c r="Q151" s="74" t="str">
        <f t="shared" si="7"/>
        <v/>
      </c>
      <c r="T151" s="16" t="str">
        <f t="shared" si="8"/>
        <v/>
      </c>
      <c r="V151" s="16" t="str">
        <f t="shared" si="9"/>
        <v/>
      </c>
    </row>
    <row r="152" spans="17:22" x14ac:dyDescent="0.15">
      <c r="Q152" s="74" t="str">
        <f t="shared" si="7"/>
        <v/>
      </c>
      <c r="T152" s="16" t="str">
        <f t="shared" si="8"/>
        <v/>
      </c>
      <c r="V152" s="16" t="str">
        <f t="shared" si="9"/>
        <v/>
      </c>
    </row>
    <row r="153" spans="17:22" x14ac:dyDescent="0.15">
      <c r="Q153" s="74" t="str">
        <f t="shared" si="7"/>
        <v/>
      </c>
      <c r="T153" s="16" t="str">
        <f t="shared" si="8"/>
        <v/>
      </c>
      <c r="V153" s="16" t="str">
        <f t="shared" si="9"/>
        <v/>
      </c>
    </row>
    <row r="154" spans="17:22" x14ac:dyDescent="0.15">
      <c r="Q154" s="74" t="str">
        <f t="shared" si="7"/>
        <v/>
      </c>
      <c r="T154" s="16" t="str">
        <f t="shared" si="8"/>
        <v/>
      </c>
      <c r="V154" s="16" t="str">
        <f t="shared" si="9"/>
        <v/>
      </c>
    </row>
    <row r="155" spans="17:22" x14ac:dyDescent="0.15">
      <c r="Q155" s="74" t="str">
        <f t="shared" si="7"/>
        <v/>
      </c>
      <c r="T155" s="16" t="str">
        <f t="shared" si="8"/>
        <v/>
      </c>
      <c r="V155" s="16" t="str">
        <f t="shared" si="9"/>
        <v/>
      </c>
    </row>
    <row r="156" spans="17:22" x14ac:dyDescent="0.15">
      <c r="Q156" s="74" t="str">
        <f t="shared" si="7"/>
        <v/>
      </c>
      <c r="T156" s="16" t="str">
        <f t="shared" si="8"/>
        <v/>
      </c>
      <c r="V156" s="16" t="str">
        <f t="shared" si="9"/>
        <v/>
      </c>
    </row>
    <row r="157" spans="17:22" x14ac:dyDescent="0.15">
      <c r="Q157" s="74" t="str">
        <f t="shared" ref="Q157:Q220" si="10">IF(OR(O157="",P157=""),"",AVERAGE(O157,P157))</f>
        <v/>
      </c>
      <c r="T157" s="16" t="str">
        <f t="shared" si="8"/>
        <v/>
      </c>
      <c r="V157" s="16" t="str">
        <f t="shared" si="9"/>
        <v/>
      </c>
    </row>
    <row r="158" spans="17:22" x14ac:dyDescent="0.15">
      <c r="Q158" s="74" t="str">
        <f t="shared" si="10"/>
        <v/>
      </c>
      <c r="T158" s="16" t="str">
        <f t="shared" si="8"/>
        <v/>
      </c>
      <c r="V158" s="16" t="str">
        <f t="shared" si="9"/>
        <v/>
      </c>
    </row>
    <row r="159" spans="17:22" x14ac:dyDescent="0.15">
      <c r="Q159" s="74" t="str">
        <f t="shared" si="10"/>
        <v/>
      </c>
      <c r="T159" s="16" t="str">
        <f t="shared" si="8"/>
        <v/>
      </c>
      <c r="V159" s="16" t="str">
        <f t="shared" si="9"/>
        <v/>
      </c>
    </row>
    <row r="160" spans="17:22" x14ac:dyDescent="0.15">
      <c r="Q160" s="74" t="str">
        <f t="shared" si="10"/>
        <v/>
      </c>
      <c r="T160" s="16" t="str">
        <f t="shared" si="8"/>
        <v/>
      </c>
      <c r="V160" s="16" t="str">
        <f t="shared" si="9"/>
        <v/>
      </c>
    </row>
    <row r="161" spans="17:22" x14ac:dyDescent="0.15">
      <c r="Q161" s="74" t="str">
        <f t="shared" si="10"/>
        <v/>
      </c>
      <c r="T161" s="16" t="str">
        <f t="shared" si="8"/>
        <v/>
      </c>
      <c r="V161" s="16" t="str">
        <f t="shared" si="9"/>
        <v/>
      </c>
    </row>
    <row r="162" spans="17:22" x14ac:dyDescent="0.15">
      <c r="Q162" s="74" t="str">
        <f t="shared" si="10"/>
        <v/>
      </c>
      <c r="T162" s="16" t="str">
        <f t="shared" si="8"/>
        <v/>
      </c>
      <c r="V162" s="16" t="str">
        <f t="shared" si="9"/>
        <v/>
      </c>
    </row>
    <row r="163" spans="17:22" x14ac:dyDescent="0.15">
      <c r="Q163" s="74" t="str">
        <f t="shared" si="10"/>
        <v/>
      </c>
      <c r="T163" s="16" t="str">
        <f t="shared" si="8"/>
        <v/>
      </c>
      <c r="V163" s="16" t="str">
        <f t="shared" si="9"/>
        <v/>
      </c>
    </row>
    <row r="164" spans="17:22" x14ac:dyDescent="0.15">
      <c r="Q164" s="74" t="str">
        <f t="shared" si="10"/>
        <v/>
      </c>
      <c r="T164" s="16" t="str">
        <f t="shared" si="8"/>
        <v/>
      </c>
      <c r="V164" s="16" t="str">
        <f t="shared" si="9"/>
        <v/>
      </c>
    </row>
    <row r="165" spans="17:22" x14ac:dyDescent="0.15">
      <c r="Q165" s="74" t="str">
        <f t="shared" si="10"/>
        <v/>
      </c>
      <c r="T165" s="16" t="str">
        <f t="shared" si="8"/>
        <v/>
      </c>
      <c r="V165" s="16" t="str">
        <f t="shared" si="9"/>
        <v/>
      </c>
    </row>
    <row r="166" spans="17:22" x14ac:dyDescent="0.15">
      <c r="Q166" s="74" t="str">
        <f t="shared" si="10"/>
        <v/>
      </c>
      <c r="T166" s="16" t="str">
        <f t="shared" si="8"/>
        <v/>
      </c>
      <c r="V166" s="16" t="str">
        <f t="shared" si="9"/>
        <v/>
      </c>
    </row>
    <row r="167" spans="17:22" x14ac:dyDescent="0.15">
      <c r="Q167" s="74" t="str">
        <f t="shared" si="10"/>
        <v/>
      </c>
      <c r="T167" s="16" t="str">
        <f t="shared" si="8"/>
        <v/>
      </c>
      <c r="V167" s="16" t="str">
        <f t="shared" si="9"/>
        <v/>
      </c>
    </row>
    <row r="168" spans="17:22" x14ac:dyDescent="0.15">
      <c r="Q168" s="74" t="str">
        <f t="shared" si="10"/>
        <v/>
      </c>
      <c r="T168" s="16" t="str">
        <f t="shared" si="8"/>
        <v/>
      </c>
      <c r="V168" s="16" t="str">
        <f t="shared" si="9"/>
        <v/>
      </c>
    </row>
    <row r="169" spans="17:22" x14ac:dyDescent="0.15">
      <c r="Q169" s="74" t="str">
        <f t="shared" si="10"/>
        <v/>
      </c>
      <c r="T169" s="16" t="str">
        <f t="shared" si="8"/>
        <v/>
      </c>
      <c r="V169" s="16" t="str">
        <f t="shared" si="9"/>
        <v/>
      </c>
    </row>
    <row r="170" spans="17:22" x14ac:dyDescent="0.15">
      <c r="Q170" s="74" t="str">
        <f t="shared" si="10"/>
        <v/>
      </c>
      <c r="T170" s="16" t="str">
        <f t="shared" si="8"/>
        <v/>
      </c>
      <c r="V170" s="16" t="str">
        <f t="shared" si="9"/>
        <v/>
      </c>
    </row>
    <row r="171" spans="17:22" x14ac:dyDescent="0.15">
      <c r="Q171" s="74" t="str">
        <f t="shared" si="10"/>
        <v/>
      </c>
      <c r="T171" s="16" t="str">
        <f t="shared" si="8"/>
        <v/>
      </c>
      <c r="V171" s="16" t="str">
        <f t="shared" si="9"/>
        <v/>
      </c>
    </row>
    <row r="172" spans="17:22" x14ac:dyDescent="0.15">
      <c r="Q172" s="74" t="str">
        <f t="shared" si="10"/>
        <v/>
      </c>
      <c r="T172" s="16" t="str">
        <f t="shared" si="8"/>
        <v/>
      </c>
      <c r="V172" s="16" t="str">
        <f t="shared" si="9"/>
        <v/>
      </c>
    </row>
    <row r="173" spans="17:22" x14ac:dyDescent="0.15">
      <c r="Q173" s="74" t="str">
        <f t="shared" si="10"/>
        <v/>
      </c>
      <c r="T173" s="16" t="str">
        <f t="shared" si="8"/>
        <v/>
      </c>
      <c r="V173" s="16" t="str">
        <f t="shared" si="9"/>
        <v/>
      </c>
    </row>
    <row r="174" spans="17:22" x14ac:dyDescent="0.15">
      <c r="Q174" s="74" t="str">
        <f t="shared" si="10"/>
        <v/>
      </c>
      <c r="T174" s="16" t="str">
        <f t="shared" si="8"/>
        <v/>
      </c>
      <c r="V174" s="16" t="str">
        <f t="shared" si="9"/>
        <v/>
      </c>
    </row>
    <row r="175" spans="17:22" x14ac:dyDescent="0.15">
      <c r="Q175" s="74" t="str">
        <f t="shared" si="10"/>
        <v/>
      </c>
      <c r="T175" s="16" t="str">
        <f t="shared" si="8"/>
        <v/>
      </c>
      <c r="V175" s="16" t="str">
        <f t="shared" si="9"/>
        <v/>
      </c>
    </row>
    <row r="176" spans="17:22" x14ac:dyDescent="0.15">
      <c r="Q176" s="74" t="str">
        <f t="shared" si="10"/>
        <v/>
      </c>
      <c r="T176" s="16" t="str">
        <f t="shared" si="8"/>
        <v/>
      </c>
      <c r="V176" s="16" t="str">
        <f t="shared" si="9"/>
        <v/>
      </c>
    </row>
    <row r="177" spans="17:22" x14ac:dyDescent="0.15">
      <c r="Q177" s="74" t="str">
        <f t="shared" si="10"/>
        <v/>
      </c>
      <c r="T177" s="16" t="str">
        <f t="shared" si="8"/>
        <v/>
      </c>
      <c r="V177" s="16" t="str">
        <f t="shared" si="9"/>
        <v/>
      </c>
    </row>
    <row r="178" spans="17:22" x14ac:dyDescent="0.15">
      <c r="Q178" s="74" t="str">
        <f t="shared" si="10"/>
        <v/>
      </c>
      <c r="T178" s="16" t="str">
        <f t="shared" si="8"/>
        <v/>
      </c>
      <c r="V178" s="16" t="str">
        <f t="shared" si="9"/>
        <v/>
      </c>
    </row>
    <row r="179" spans="17:22" x14ac:dyDescent="0.15">
      <c r="Q179" s="74" t="str">
        <f t="shared" si="10"/>
        <v/>
      </c>
      <c r="T179" s="16" t="str">
        <f t="shared" si="8"/>
        <v/>
      </c>
      <c r="V179" s="16" t="str">
        <f t="shared" si="9"/>
        <v/>
      </c>
    </row>
    <row r="180" spans="17:22" x14ac:dyDescent="0.15">
      <c r="Q180" s="74" t="str">
        <f t="shared" si="10"/>
        <v/>
      </c>
      <c r="T180" s="16" t="str">
        <f t="shared" si="8"/>
        <v/>
      </c>
      <c r="V180" s="16" t="str">
        <f t="shared" si="9"/>
        <v/>
      </c>
    </row>
    <row r="181" spans="17:22" x14ac:dyDescent="0.15">
      <c r="Q181" s="74" t="str">
        <f t="shared" si="10"/>
        <v/>
      </c>
      <c r="T181" s="16" t="str">
        <f t="shared" si="8"/>
        <v/>
      </c>
      <c r="V181" s="16" t="str">
        <f t="shared" si="9"/>
        <v/>
      </c>
    </row>
    <row r="182" spans="17:22" x14ac:dyDescent="0.15">
      <c r="Q182" s="74" t="str">
        <f t="shared" si="10"/>
        <v/>
      </c>
      <c r="T182" s="16" t="str">
        <f t="shared" si="8"/>
        <v/>
      </c>
      <c r="V182" s="16" t="str">
        <f t="shared" si="9"/>
        <v/>
      </c>
    </row>
    <row r="183" spans="17:22" x14ac:dyDescent="0.15">
      <c r="Q183" s="74" t="str">
        <f t="shared" si="10"/>
        <v/>
      </c>
      <c r="T183" s="16" t="str">
        <f t="shared" si="8"/>
        <v/>
      </c>
      <c r="V183" s="16" t="str">
        <f t="shared" si="9"/>
        <v/>
      </c>
    </row>
    <row r="184" spans="17:22" x14ac:dyDescent="0.15">
      <c r="Q184" s="74" t="str">
        <f t="shared" si="10"/>
        <v/>
      </c>
      <c r="T184" s="16" t="str">
        <f t="shared" si="8"/>
        <v/>
      </c>
      <c r="V184" s="16" t="str">
        <f t="shared" si="9"/>
        <v/>
      </c>
    </row>
    <row r="185" spans="17:22" x14ac:dyDescent="0.15">
      <c r="Q185" s="74" t="str">
        <f t="shared" si="10"/>
        <v/>
      </c>
      <c r="T185" s="16" t="str">
        <f t="shared" si="8"/>
        <v/>
      </c>
      <c r="V185" s="16" t="str">
        <f t="shared" si="9"/>
        <v/>
      </c>
    </row>
    <row r="186" spans="17:22" x14ac:dyDescent="0.15">
      <c r="Q186" s="74" t="str">
        <f t="shared" si="10"/>
        <v/>
      </c>
      <c r="T186" s="16" t="str">
        <f t="shared" si="8"/>
        <v/>
      </c>
      <c r="V186" s="16" t="str">
        <f t="shared" si="9"/>
        <v/>
      </c>
    </row>
    <row r="187" spans="17:22" x14ac:dyDescent="0.15">
      <c r="Q187" s="74" t="str">
        <f t="shared" si="10"/>
        <v/>
      </c>
      <c r="T187" s="16" t="str">
        <f t="shared" si="8"/>
        <v/>
      </c>
      <c r="V187" s="16" t="str">
        <f t="shared" si="9"/>
        <v/>
      </c>
    </row>
    <row r="188" spans="17:22" x14ac:dyDescent="0.15">
      <c r="Q188" s="74" t="str">
        <f t="shared" si="10"/>
        <v/>
      </c>
      <c r="T188" s="16" t="str">
        <f t="shared" si="8"/>
        <v/>
      </c>
      <c r="V188" s="16" t="str">
        <f t="shared" si="9"/>
        <v/>
      </c>
    </row>
    <row r="189" spans="17:22" x14ac:dyDescent="0.15">
      <c r="Q189" s="74" t="str">
        <f t="shared" si="10"/>
        <v/>
      </c>
      <c r="T189" s="16" t="str">
        <f t="shared" si="8"/>
        <v/>
      </c>
      <c r="V189" s="16" t="str">
        <f t="shared" si="9"/>
        <v/>
      </c>
    </row>
    <row r="190" spans="17:22" x14ac:dyDescent="0.15">
      <c r="Q190" s="74" t="str">
        <f t="shared" si="10"/>
        <v/>
      </c>
      <c r="T190" s="16" t="str">
        <f t="shared" si="8"/>
        <v/>
      </c>
      <c r="V190" s="16" t="str">
        <f t="shared" si="9"/>
        <v/>
      </c>
    </row>
    <row r="191" spans="17:22" x14ac:dyDescent="0.15">
      <c r="Q191" s="74" t="str">
        <f t="shared" si="10"/>
        <v/>
      </c>
      <c r="T191" s="16" t="str">
        <f t="shared" si="8"/>
        <v/>
      </c>
      <c r="V191" s="16" t="str">
        <f t="shared" si="9"/>
        <v/>
      </c>
    </row>
    <row r="192" spans="17:22" x14ac:dyDescent="0.15">
      <c r="Q192" s="74" t="str">
        <f t="shared" si="10"/>
        <v/>
      </c>
      <c r="T192" s="16" t="str">
        <f t="shared" si="8"/>
        <v/>
      </c>
      <c r="V192" s="16" t="str">
        <f t="shared" si="9"/>
        <v/>
      </c>
    </row>
    <row r="193" spans="17:22" x14ac:dyDescent="0.15">
      <c r="Q193" s="74" t="str">
        <f t="shared" si="10"/>
        <v/>
      </c>
      <c r="T193" s="16" t="str">
        <f t="shared" si="8"/>
        <v/>
      </c>
      <c r="V193" s="16" t="str">
        <f t="shared" si="9"/>
        <v/>
      </c>
    </row>
    <row r="194" spans="17:22" x14ac:dyDescent="0.15">
      <c r="Q194" s="74" t="str">
        <f t="shared" si="10"/>
        <v/>
      </c>
      <c r="T194" s="16" t="str">
        <f t="shared" ref="T194:T257" si="11">IF(H194="","",IF(OR(H194="GREEN",H194="GK"),IF(S194&gt;=$AX$2,VLOOKUP(S194,$AX$2:$AY$10,2,1),""),IF(S194&gt;=$AZ$2,VLOOKUP(S194,$AZ$2:$BA$10,2,1),"")))</f>
        <v/>
      </c>
      <c r="V194" s="16" t="str">
        <f t="shared" si="9"/>
        <v/>
      </c>
    </row>
    <row r="195" spans="17:22" x14ac:dyDescent="0.15">
      <c r="Q195" s="74" t="str">
        <f t="shared" si="10"/>
        <v/>
      </c>
      <c r="T195" s="16" t="str">
        <f t="shared" si="11"/>
        <v/>
      </c>
      <c r="V195" s="16" t="str">
        <f t="shared" si="9"/>
        <v/>
      </c>
    </row>
    <row r="196" spans="17:22" x14ac:dyDescent="0.15">
      <c r="Q196" s="74" t="str">
        <f t="shared" si="10"/>
        <v/>
      </c>
      <c r="T196" s="16" t="str">
        <f t="shared" si="11"/>
        <v/>
      </c>
      <c r="V196" s="16" t="str">
        <f t="shared" si="9"/>
        <v/>
      </c>
    </row>
    <row r="197" spans="17:22" x14ac:dyDescent="0.15">
      <c r="Q197" s="74" t="str">
        <f t="shared" si="10"/>
        <v/>
      </c>
      <c r="T197" s="16" t="str">
        <f t="shared" si="11"/>
        <v/>
      </c>
      <c r="V197" s="16" t="str">
        <f t="shared" si="9"/>
        <v/>
      </c>
    </row>
    <row r="198" spans="17:22" x14ac:dyDescent="0.15">
      <c r="Q198" s="74" t="str">
        <f t="shared" si="10"/>
        <v/>
      </c>
      <c r="T198" s="16" t="str">
        <f t="shared" si="11"/>
        <v/>
      </c>
      <c r="V198" s="16" t="str">
        <f t="shared" si="9"/>
        <v/>
      </c>
    </row>
    <row r="199" spans="17:22" x14ac:dyDescent="0.15">
      <c r="Q199" s="74" t="str">
        <f t="shared" si="10"/>
        <v/>
      </c>
      <c r="T199" s="16" t="str">
        <f t="shared" si="11"/>
        <v/>
      </c>
      <c r="V199" s="16" t="str">
        <f t="shared" si="9"/>
        <v/>
      </c>
    </row>
    <row r="200" spans="17:22" x14ac:dyDescent="0.15">
      <c r="Q200" s="74" t="str">
        <f t="shared" si="10"/>
        <v/>
      </c>
      <c r="T200" s="16" t="str">
        <f t="shared" si="11"/>
        <v/>
      </c>
      <c r="V200" s="16" t="str">
        <f t="shared" si="9"/>
        <v/>
      </c>
    </row>
    <row r="201" spans="17:22" x14ac:dyDescent="0.15">
      <c r="Q201" s="74" t="str">
        <f t="shared" si="10"/>
        <v/>
      </c>
      <c r="T201" s="16" t="str">
        <f t="shared" si="11"/>
        <v/>
      </c>
      <c r="V201" s="16" t="str">
        <f t="shared" si="9"/>
        <v/>
      </c>
    </row>
    <row r="202" spans="17:22" x14ac:dyDescent="0.15">
      <c r="Q202" s="74" t="str">
        <f t="shared" si="10"/>
        <v/>
      </c>
      <c r="T202" s="16" t="str">
        <f t="shared" si="11"/>
        <v/>
      </c>
      <c r="V202" s="16" t="str">
        <f t="shared" ref="V202:V265" si="12">IF(OR(N202="",U202="",T202=""),"",U202/N202*T202)</f>
        <v/>
      </c>
    </row>
    <row r="203" spans="17:22" x14ac:dyDescent="0.15">
      <c r="Q203" s="74" t="str">
        <f t="shared" si="10"/>
        <v/>
      </c>
      <c r="T203" s="16" t="str">
        <f t="shared" si="11"/>
        <v/>
      </c>
      <c r="V203" s="16" t="str">
        <f t="shared" si="12"/>
        <v/>
      </c>
    </row>
    <row r="204" spans="17:22" x14ac:dyDescent="0.15">
      <c r="Q204" s="74" t="str">
        <f t="shared" si="10"/>
        <v/>
      </c>
      <c r="T204" s="16" t="str">
        <f t="shared" si="11"/>
        <v/>
      </c>
      <c r="V204" s="16" t="str">
        <f t="shared" si="12"/>
        <v/>
      </c>
    </row>
    <row r="205" spans="17:22" x14ac:dyDescent="0.15">
      <c r="Q205" s="74" t="str">
        <f t="shared" si="10"/>
        <v/>
      </c>
      <c r="T205" s="16" t="str">
        <f t="shared" si="11"/>
        <v/>
      </c>
      <c r="V205" s="16" t="str">
        <f t="shared" si="12"/>
        <v/>
      </c>
    </row>
    <row r="206" spans="17:22" x14ac:dyDescent="0.15">
      <c r="Q206" s="74" t="str">
        <f t="shared" si="10"/>
        <v/>
      </c>
      <c r="T206" s="16" t="str">
        <f t="shared" si="11"/>
        <v/>
      </c>
      <c r="V206" s="16" t="str">
        <f t="shared" si="12"/>
        <v/>
      </c>
    </row>
    <row r="207" spans="17:22" x14ac:dyDescent="0.15">
      <c r="Q207" s="74" t="str">
        <f t="shared" si="10"/>
        <v/>
      </c>
      <c r="T207" s="16" t="str">
        <f t="shared" si="11"/>
        <v/>
      </c>
      <c r="V207" s="16" t="str">
        <f t="shared" si="12"/>
        <v/>
      </c>
    </row>
    <row r="208" spans="17:22" x14ac:dyDescent="0.15">
      <c r="Q208" s="74" t="str">
        <f t="shared" si="10"/>
        <v/>
      </c>
      <c r="T208" s="16" t="str">
        <f t="shared" si="11"/>
        <v/>
      </c>
      <c r="V208" s="16" t="str">
        <f t="shared" si="12"/>
        <v/>
      </c>
    </row>
    <row r="209" spans="17:22" x14ac:dyDescent="0.15">
      <c r="Q209" s="74" t="str">
        <f t="shared" si="10"/>
        <v/>
      </c>
      <c r="T209" s="16" t="str">
        <f t="shared" si="11"/>
        <v/>
      </c>
      <c r="V209" s="16" t="str">
        <f t="shared" si="12"/>
        <v/>
      </c>
    </row>
    <row r="210" spans="17:22" x14ac:dyDescent="0.15">
      <c r="Q210" s="74" t="str">
        <f t="shared" si="10"/>
        <v/>
      </c>
      <c r="T210" s="16" t="str">
        <f t="shared" si="11"/>
        <v/>
      </c>
      <c r="V210" s="16" t="str">
        <f t="shared" si="12"/>
        <v/>
      </c>
    </row>
    <row r="211" spans="17:22" x14ac:dyDescent="0.15">
      <c r="Q211" s="74" t="str">
        <f t="shared" si="10"/>
        <v/>
      </c>
      <c r="T211" s="16" t="str">
        <f t="shared" si="11"/>
        <v/>
      </c>
      <c r="V211" s="16" t="str">
        <f t="shared" si="12"/>
        <v/>
      </c>
    </row>
    <row r="212" spans="17:22" x14ac:dyDescent="0.15">
      <c r="Q212" s="74" t="str">
        <f t="shared" si="10"/>
        <v/>
      </c>
      <c r="T212" s="16" t="str">
        <f t="shared" si="11"/>
        <v/>
      </c>
      <c r="V212" s="16" t="str">
        <f t="shared" si="12"/>
        <v/>
      </c>
    </row>
    <row r="213" spans="17:22" x14ac:dyDescent="0.15">
      <c r="Q213" s="74" t="str">
        <f t="shared" si="10"/>
        <v/>
      </c>
      <c r="T213" s="16" t="str">
        <f t="shared" si="11"/>
        <v/>
      </c>
      <c r="V213" s="16" t="str">
        <f t="shared" si="12"/>
        <v/>
      </c>
    </row>
    <row r="214" spans="17:22" x14ac:dyDescent="0.15">
      <c r="Q214" s="74" t="str">
        <f t="shared" si="10"/>
        <v/>
      </c>
      <c r="T214" s="16" t="str">
        <f t="shared" si="11"/>
        <v/>
      </c>
      <c r="V214" s="16" t="str">
        <f t="shared" si="12"/>
        <v/>
      </c>
    </row>
    <row r="215" spans="17:22" x14ac:dyDescent="0.15">
      <c r="Q215" s="74" t="str">
        <f t="shared" si="10"/>
        <v/>
      </c>
      <c r="T215" s="16" t="str">
        <f t="shared" si="11"/>
        <v/>
      </c>
      <c r="V215" s="16" t="str">
        <f t="shared" si="12"/>
        <v/>
      </c>
    </row>
    <row r="216" spans="17:22" x14ac:dyDescent="0.15">
      <c r="Q216" s="74" t="str">
        <f t="shared" si="10"/>
        <v/>
      </c>
      <c r="T216" s="16" t="str">
        <f t="shared" si="11"/>
        <v/>
      </c>
      <c r="V216" s="16" t="str">
        <f t="shared" si="12"/>
        <v/>
      </c>
    </row>
    <row r="217" spans="17:22" x14ac:dyDescent="0.15">
      <c r="Q217" s="74" t="str">
        <f t="shared" si="10"/>
        <v/>
      </c>
      <c r="T217" s="16" t="str">
        <f t="shared" si="11"/>
        <v/>
      </c>
      <c r="V217" s="16" t="str">
        <f t="shared" si="12"/>
        <v/>
      </c>
    </row>
    <row r="218" spans="17:22" x14ac:dyDescent="0.15">
      <c r="Q218" s="74" t="str">
        <f t="shared" si="10"/>
        <v/>
      </c>
      <c r="T218" s="16" t="str">
        <f t="shared" si="11"/>
        <v/>
      </c>
      <c r="V218" s="16" t="str">
        <f t="shared" si="12"/>
        <v/>
      </c>
    </row>
    <row r="219" spans="17:22" x14ac:dyDescent="0.15">
      <c r="Q219" s="74" t="str">
        <f t="shared" si="10"/>
        <v/>
      </c>
      <c r="T219" s="16" t="str">
        <f t="shared" si="11"/>
        <v/>
      </c>
      <c r="V219" s="16" t="str">
        <f t="shared" si="12"/>
        <v/>
      </c>
    </row>
    <row r="220" spans="17:22" x14ac:dyDescent="0.15">
      <c r="Q220" s="74" t="str">
        <f t="shared" si="10"/>
        <v/>
      </c>
      <c r="T220" s="16" t="str">
        <f t="shared" si="11"/>
        <v/>
      </c>
      <c r="V220" s="16" t="str">
        <f t="shared" si="12"/>
        <v/>
      </c>
    </row>
    <row r="221" spans="17:22" x14ac:dyDescent="0.15">
      <c r="Q221" s="74" t="str">
        <f t="shared" ref="Q221:Q269" si="13">IF(OR(O221="",P221=""),"",AVERAGE(O221,P221))</f>
        <v/>
      </c>
      <c r="T221" s="16" t="str">
        <f t="shared" si="11"/>
        <v/>
      </c>
      <c r="V221" s="16" t="str">
        <f t="shared" si="12"/>
        <v/>
      </c>
    </row>
    <row r="222" spans="17:22" x14ac:dyDescent="0.15">
      <c r="Q222" s="74" t="str">
        <f t="shared" si="13"/>
        <v/>
      </c>
      <c r="T222" s="16" t="str">
        <f t="shared" si="11"/>
        <v/>
      </c>
      <c r="V222" s="16" t="str">
        <f t="shared" si="12"/>
        <v/>
      </c>
    </row>
    <row r="223" spans="17:22" x14ac:dyDescent="0.15">
      <c r="Q223" s="74" t="str">
        <f t="shared" si="13"/>
        <v/>
      </c>
      <c r="T223" s="16" t="str">
        <f t="shared" si="11"/>
        <v/>
      </c>
      <c r="V223" s="16" t="str">
        <f t="shared" si="12"/>
        <v/>
      </c>
    </row>
    <row r="224" spans="17:22" x14ac:dyDescent="0.15">
      <c r="Q224" s="74" t="str">
        <f t="shared" si="13"/>
        <v/>
      </c>
      <c r="T224" s="16" t="str">
        <f t="shared" si="11"/>
        <v/>
      </c>
      <c r="V224" s="16" t="str">
        <f t="shared" si="12"/>
        <v/>
      </c>
    </row>
    <row r="225" spans="17:22" x14ac:dyDescent="0.15">
      <c r="Q225" s="74" t="str">
        <f t="shared" si="13"/>
        <v/>
      </c>
      <c r="T225" s="16" t="str">
        <f t="shared" si="11"/>
        <v/>
      </c>
      <c r="V225" s="16" t="str">
        <f t="shared" si="12"/>
        <v/>
      </c>
    </row>
    <row r="226" spans="17:22" x14ac:dyDescent="0.15">
      <c r="Q226" s="74" t="str">
        <f t="shared" si="13"/>
        <v/>
      </c>
      <c r="T226" s="16" t="str">
        <f t="shared" si="11"/>
        <v/>
      </c>
      <c r="V226" s="16" t="str">
        <f t="shared" si="12"/>
        <v/>
      </c>
    </row>
    <row r="227" spans="17:22" x14ac:dyDescent="0.15">
      <c r="Q227" s="74" t="str">
        <f t="shared" si="13"/>
        <v/>
      </c>
      <c r="T227" s="16" t="str">
        <f t="shared" si="11"/>
        <v/>
      </c>
      <c r="V227" s="16" t="str">
        <f t="shared" si="12"/>
        <v/>
      </c>
    </row>
    <row r="228" spans="17:22" x14ac:dyDescent="0.15">
      <c r="Q228" s="74" t="str">
        <f t="shared" si="13"/>
        <v/>
      </c>
      <c r="T228" s="16" t="str">
        <f t="shared" si="11"/>
        <v/>
      </c>
      <c r="V228" s="16" t="str">
        <f t="shared" si="12"/>
        <v/>
      </c>
    </row>
    <row r="229" spans="17:22" x14ac:dyDescent="0.15">
      <c r="Q229" s="74" t="str">
        <f t="shared" si="13"/>
        <v/>
      </c>
      <c r="T229" s="16" t="str">
        <f t="shared" si="11"/>
        <v/>
      </c>
      <c r="V229" s="16" t="str">
        <f t="shared" si="12"/>
        <v/>
      </c>
    </row>
    <row r="230" spans="17:22" x14ac:dyDescent="0.15">
      <c r="Q230" s="74" t="str">
        <f t="shared" si="13"/>
        <v/>
      </c>
      <c r="T230" s="16" t="str">
        <f t="shared" si="11"/>
        <v/>
      </c>
      <c r="V230" s="16" t="str">
        <f t="shared" si="12"/>
        <v/>
      </c>
    </row>
    <row r="231" spans="17:22" x14ac:dyDescent="0.15">
      <c r="Q231" s="74" t="str">
        <f t="shared" si="13"/>
        <v/>
      </c>
      <c r="T231" s="16" t="str">
        <f t="shared" si="11"/>
        <v/>
      </c>
      <c r="V231" s="16" t="str">
        <f t="shared" si="12"/>
        <v/>
      </c>
    </row>
    <row r="232" spans="17:22" x14ac:dyDescent="0.15">
      <c r="Q232" s="74" t="str">
        <f t="shared" si="13"/>
        <v/>
      </c>
      <c r="T232" s="16" t="str">
        <f t="shared" si="11"/>
        <v/>
      </c>
      <c r="V232" s="16" t="str">
        <f t="shared" si="12"/>
        <v/>
      </c>
    </row>
    <row r="233" spans="17:22" x14ac:dyDescent="0.15">
      <c r="Q233" s="74" t="str">
        <f t="shared" si="13"/>
        <v/>
      </c>
      <c r="T233" s="16" t="str">
        <f t="shared" si="11"/>
        <v/>
      </c>
      <c r="V233" s="16" t="str">
        <f t="shared" si="12"/>
        <v/>
      </c>
    </row>
    <row r="234" spans="17:22" x14ac:dyDescent="0.15">
      <c r="Q234" s="74" t="str">
        <f t="shared" si="13"/>
        <v/>
      </c>
      <c r="T234" s="16" t="str">
        <f t="shared" si="11"/>
        <v/>
      </c>
      <c r="V234" s="16" t="str">
        <f t="shared" si="12"/>
        <v/>
      </c>
    </row>
    <row r="235" spans="17:22" x14ac:dyDescent="0.15">
      <c r="Q235" s="74" t="str">
        <f t="shared" si="13"/>
        <v/>
      </c>
      <c r="T235" s="16" t="str">
        <f t="shared" si="11"/>
        <v/>
      </c>
      <c r="V235" s="16" t="str">
        <f t="shared" si="12"/>
        <v/>
      </c>
    </row>
    <row r="236" spans="17:22" x14ac:dyDescent="0.15">
      <c r="Q236" s="74" t="str">
        <f t="shared" si="13"/>
        <v/>
      </c>
      <c r="T236" s="16" t="str">
        <f t="shared" si="11"/>
        <v/>
      </c>
      <c r="V236" s="16" t="str">
        <f t="shared" si="12"/>
        <v/>
      </c>
    </row>
    <row r="237" spans="17:22" x14ac:dyDescent="0.15">
      <c r="Q237" s="74" t="str">
        <f t="shared" si="13"/>
        <v/>
      </c>
      <c r="T237" s="16" t="str">
        <f t="shared" si="11"/>
        <v/>
      </c>
      <c r="V237" s="16" t="str">
        <f t="shared" si="12"/>
        <v/>
      </c>
    </row>
    <row r="238" spans="17:22" x14ac:dyDescent="0.15">
      <c r="Q238" s="74" t="str">
        <f t="shared" si="13"/>
        <v/>
      </c>
      <c r="T238" s="16" t="str">
        <f t="shared" si="11"/>
        <v/>
      </c>
      <c r="V238" s="16" t="str">
        <f t="shared" si="12"/>
        <v/>
      </c>
    </row>
    <row r="239" spans="17:22" x14ac:dyDescent="0.15">
      <c r="Q239" s="74" t="str">
        <f t="shared" si="13"/>
        <v/>
      </c>
      <c r="T239" s="16" t="str">
        <f t="shared" si="11"/>
        <v/>
      </c>
      <c r="V239" s="16" t="str">
        <f t="shared" si="12"/>
        <v/>
      </c>
    </row>
    <row r="240" spans="17:22" x14ac:dyDescent="0.15">
      <c r="Q240" s="74" t="str">
        <f t="shared" si="13"/>
        <v/>
      </c>
      <c r="T240" s="16" t="str">
        <f t="shared" si="11"/>
        <v/>
      </c>
      <c r="V240" s="16" t="str">
        <f t="shared" si="12"/>
        <v/>
      </c>
    </row>
    <row r="241" spans="17:22" x14ac:dyDescent="0.15">
      <c r="Q241" s="74" t="str">
        <f t="shared" si="13"/>
        <v/>
      </c>
      <c r="T241" s="16" t="str">
        <f t="shared" si="11"/>
        <v/>
      </c>
      <c r="V241" s="16" t="str">
        <f t="shared" si="12"/>
        <v/>
      </c>
    </row>
    <row r="242" spans="17:22" x14ac:dyDescent="0.15">
      <c r="Q242" s="74" t="str">
        <f t="shared" si="13"/>
        <v/>
      </c>
      <c r="T242" s="16" t="str">
        <f t="shared" si="11"/>
        <v/>
      </c>
      <c r="V242" s="16" t="str">
        <f t="shared" si="12"/>
        <v/>
      </c>
    </row>
    <row r="243" spans="17:22" x14ac:dyDescent="0.15">
      <c r="Q243" s="74" t="str">
        <f t="shared" si="13"/>
        <v/>
      </c>
      <c r="T243" s="16" t="str">
        <f t="shared" si="11"/>
        <v/>
      </c>
      <c r="V243" s="16" t="str">
        <f t="shared" si="12"/>
        <v/>
      </c>
    </row>
    <row r="244" spans="17:22" x14ac:dyDescent="0.15">
      <c r="Q244" s="74" t="str">
        <f t="shared" si="13"/>
        <v/>
      </c>
      <c r="T244" s="16" t="str">
        <f t="shared" si="11"/>
        <v/>
      </c>
      <c r="V244" s="16" t="str">
        <f t="shared" si="12"/>
        <v/>
      </c>
    </row>
    <row r="245" spans="17:22" x14ac:dyDescent="0.15">
      <c r="Q245" s="74" t="str">
        <f t="shared" si="13"/>
        <v/>
      </c>
      <c r="T245" s="16" t="str">
        <f t="shared" si="11"/>
        <v/>
      </c>
      <c r="V245" s="16" t="str">
        <f t="shared" si="12"/>
        <v/>
      </c>
    </row>
    <row r="246" spans="17:22" x14ac:dyDescent="0.15">
      <c r="Q246" s="74" t="str">
        <f t="shared" si="13"/>
        <v/>
      </c>
      <c r="T246" s="16" t="str">
        <f t="shared" si="11"/>
        <v/>
      </c>
      <c r="V246" s="16" t="str">
        <f t="shared" si="12"/>
        <v/>
      </c>
    </row>
    <row r="247" spans="17:22" x14ac:dyDescent="0.15">
      <c r="Q247" s="74" t="str">
        <f t="shared" si="13"/>
        <v/>
      </c>
      <c r="T247" s="16" t="str">
        <f t="shared" si="11"/>
        <v/>
      </c>
      <c r="V247" s="16" t="str">
        <f t="shared" si="12"/>
        <v/>
      </c>
    </row>
    <row r="248" spans="17:22" x14ac:dyDescent="0.15">
      <c r="Q248" s="74" t="str">
        <f t="shared" si="13"/>
        <v/>
      </c>
      <c r="T248" s="16" t="str">
        <f t="shared" si="11"/>
        <v/>
      </c>
      <c r="V248" s="16" t="str">
        <f t="shared" si="12"/>
        <v/>
      </c>
    </row>
    <row r="249" spans="17:22" x14ac:dyDescent="0.15">
      <c r="Q249" s="74" t="str">
        <f t="shared" si="13"/>
        <v/>
      </c>
      <c r="T249" s="16" t="str">
        <f t="shared" si="11"/>
        <v/>
      </c>
      <c r="V249" s="16" t="str">
        <f t="shared" si="12"/>
        <v/>
      </c>
    </row>
    <row r="250" spans="17:22" x14ac:dyDescent="0.15">
      <c r="Q250" s="74" t="str">
        <f t="shared" si="13"/>
        <v/>
      </c>
      <c r="T250" s="16" t="str">
        <f t="shared" si="11"/>
        <v/>
      </c>
      <c r="V250" s="16" t="str">
        <f t="shared" si="12"/>
        <v/>
      </c>
    </row>
    <row r="251" spans="17:22" x14ac:dyDescent="0.15">
      <c r="Q251" s="74" t="str">
        <f t="shared" si="13"/>
        <v/>
      </c>
      <c r="T251" s="16" t="str">
        <f t="shared" si="11"/>
        <v/>
      </c>
      <c r="V251" s="16" t="str">
        <f t="shared" si="12"/>
        <v/>
      </c>
    </row>
    <row r="252" spans="17:22" x14ac:dyDescent="0.15">
      <c r="Q252" s="74" t="str">
        <f t="shared" si="13"/>
        <v/>
      </c>
      <c r="T252" s="16" t="str">
        <f t="shared" si="11"/>
        <v/>
      </c>
      <c r="V252" s="16" t="str">
        <f t="shared" si="12"/>
        <v/>
      </c>
    </row>
    <row r="253" spans="17:22" x14ac:dyDescent="0.15">
      <c r="Q253" s="74" t="str">
        <f t="shared" si="13"/>
        <v/>
      </c>
      <c r="T253" s="16" t="str">
        <f t="shared" si="11"/>
        <v/>
      </c>
      <c r="V253" s="16" t="str">
        <f t="shared" si="12"/>
        <v/>
      </c>
    </row>
    <row r="254" spans="17:22" x14ac:dyDescent="0.15">
      <c r="Q254" s="74" t="str">
        <f t="shared" si="13"/>
        <v/>
      </c>
      <c r="T254" s="16" t="str">
        <f t="shared" si="11"/>
        <v/>
      </c>
      <c r="V254" s="16" t="str">
        <f t="shared" si="12"/>
        <v/>
      </c>
    </row>
    <row r="255" spans="17:22" x14ac:dyDescent="0.15">
      <c r="Q255" s="74" t="str">
        <f t="shared" si="13"/>
        <v/>
      </c>
      <c r="T255" s="16" t="str">
        <f t="shared" si="11"/>
        <v/>
      </c>
      <c r="V255" s="16" t="str">
        <f t="shared" si="12"/>
        <v/>
      </c>
    </row>
    <row r="256" spans="17:22" x14ac:dyDescent="0.15">
      <c r="Q256" s="74" t="str">
        <f t="shared" si="13"/>
        <v/>
      </c>
      <c r="T256" s="16" t="str">
        <f t="shared" si="11"/>
        <v/>
      </c>
      <c r="V256" s="16" t="str">
        <f t="shared" si="12"/>
        <v/>
      </c>
    </row>
    <row r="257" spans="17:22" x14ac:dyDescent="0.15">
      <c r="Q257" s="74" t="str">
        <f t="shared" si="13"/>
        <v/>
      </c>
      <c r="T257" s="16" t="str">
        <f t="shared" si="11"/>
        <v/>
      </c>
      <c r="V257" s="16" t="str">
        <f t="shared" si="12"/>
        <v/>
      </c>
    </row>
    <row r="258" spans="17:22" x14ac:dyDescent="0.15">
      <c r="Q258" s="74" t="str">
        <f t="shared" si="13"/>
        <v/>
      </c>
      <c r="T258" s="16" t="str">
        <f t="shared" ref="T258:T297" si="14">IF(H258="","",IF(OR(H258="GREEN",H258="GK"),IF(S258&gt;=$AX$2,VLOOKUP(S258,$AX$2:$AY$10,2,1),""),IF(S258&gt;=$AZ$2,VLOOKUP(S258,$AZ$2:$BA$10,2,1),"")))</f>
        <v/>
      </c>
      <c r="V258" s="16" t="str">
        <f t="shared" si="12"/>
        <v/>
      </c>
    </row>
    <row r="259" spans="17:22" x14ac:dyDescent="0.15">
      <c r="Q259" s="74" t="str">
        <f t="shared" si="13"/>
        <v/>
      </c>
      <c r="T259" s="16" t="str">
        <f t="shared" si="14"/>
        <v/>
      </c>
      <c r="V259" s="16" t="str">
        <f t="shared" si="12"/>
        <v/>
      </c>
    </row>
    <row r="260" spans="17:22" x14ac:dyDescent="0.15">
      <c r="Q260" s="74" t="str">
        <f t="shared" si="13"/>
        <v/>
      </c>
      <c r="T260" s="16" t="str">
        <f t="shared" si="14"/>
        <v/>
      </c>
      <c r="V260" s="16" t="str">
        <f t="shared" si="12"/>
        <v/>
      </c>
    </row>
    <row r="261" spans="17:22" x14ac:dyDescent="0.15">
      <c r="Q261" s="74" t="str">
        <f t="shared" si="13"/>
        <v/>
      </c>
      <c r="T261" s="16" t="str">
        <f t="shared" si="14"/>
        <v/>
      </c>
      <c r="V261" s="16" t="str">
        <f t="shared" si="12"/>
        <v/>
      </c>
    </row>
    <row r="262" spans="17:22" x14ac:dyDescent="0.15">
      <c r="Q262" s="74" t="str">
        <f t="shared" si="13"/>
        <v/>
      </c>
      <c r="T262" s="16" t="str">
        <f t="shared" si="14"/>
        <v/>
      </c>
      <c r="V262" s="16" t="str">
        <f t="shared" si="12"/>
        <v/>
      </c>
    </row>
    <row r="263" spans="17:22" x14ac:dyDescent="0.15">
      <c r="Q263" s="74" t="str">
        <f t="shared" si="13"/>
        <v/>
      </c>
      <c r="T263" s="16" t="str">
        <f t="shared" si="14"/>
        <v/>
      </c>
      <c r="V263" s="16" t="str">
        <f t="shared" si="12"/>
        <v/>
      </c>
    </row>
    <row r="264" spans="17:22" x14ac:dyDescent="0.15">
      <c r="Q264" s="74" t="str">
        <f t="shared" si="13"/>
        <v/>
      </c>
      <c r="T264" s="16" t="str">
        <f t="shared" si="14"/>
        <v/>
      </c>
      <c r="V264" s="16" t="str">
        <f t="shared" si="12"/>
        <v/>
      </c>
    </row>
    <row r="265" spans="17:22" x14ac:dyDescent="0.15">
      <c r="Q265" s="74" t="str">
        <f t="shared" si="13"/>
        <v/>
      </c>
      <c r="T265" s="16" t="str">
        <f t="shared" si="14"/>
        <v/>
      </c>
      <c r="V265" s="16" t="str">
        <f t="shared" si="12"/>
        <v/>
      </c>
    </row>
    <row r="266" spans="17:22" x14ac:dyDescent="0.15">
      <c r="Q266" s="74" t="str">
        <f t="shared" si="13"/>
        <v/>
      </c>
      <c r="T266" s="16" t="str">
        <f t="shared" si="14"/>
        <v/>
      </c>
      <c r="V266" s="16" t="str">
        <f t="shared" ref="V266:V277" si="15">IF(OR(N266="",U266="",T266=""),"",U266/N266*T266)</f>
        <v/>
      </c>
    </row>
    <row r="267" spans="17:22" x14ac:dyDescent="0.15">
      <c r="Q267" s="74" t="str">
        <f t="shared" si="13"/>
        <v/>
      </c>
      <c r="T267" s="16" t="str">
        <f t="shared" si="14"/>
        <v/>
      </c>
      <c r="V267" s="16" t="str">
        <f t="shared" si="15"/>
        <v/>
      </c>
    </row>
    <row r="268" spans="17:22" x14ac:dyDescent="0.15">
      <c r="Q268" s="74" t="str">
        <f t="shared" si="13"/>
        <v/>
      </c>
      <c r="T268" s="16" t="str">
        <f t="shared" si="14"/>
        <v/>
      </c>
      <c r="V268" s="16" t="str">
        <f t="shared" si="15"/>
        <v/>
      </c>
    </row>
    <row r="269" spans="17:22" x14ac:dyDescent="0.15">
      <c r="Q269" s="74" t="str">
        <f t="shared" si="13"/>
        <v/>
      </c>
      <c r="T269" s="16" t="str">
        <f t="shared" si="14"/>
        <v/>
      </c>
      <c r="V269" s="16" t="str">
        <f t="shared" si="15"/>
        <v/>
      </c>
    </row>
    <row r="270" spans="17:22" x14ac:dyDescent="0.15">
      <c r="T270" s="16" t="str">
        <f t="shared" si="14"/>
        <v/>
      </c>
      <c r="V270" s="16" t="str">
        <f t="shared" si="15"/>
        <v/>
      </c>
    </row>
    <row r="271" spans="17:22" x14ac:dyDescent="0.15">
      <c r="T271" s="16" t="str">
        <f t="shared" si="14"/>
        <v/>
      </c>
      <c r="V271" s="16" t="str">
        <f t="shared" si="15"/>
        <v/>
      </c>
    </row>
    <row r="272" spans="17:22" x14ac:dyDescent="0.15">
      <c r="T272" s="16" t="str">
        <f t="shared" si="14"/>
        <v/>
      </c>
      <c r="V272" s="16" t="str">
        <f t="shared" si="15"/>
        <v/>
      </c>
    </row>
    <row r="273" spans="20:22" x14ac:dyDescent="0.15">
      <c r="T273" s="16" t="str">
        <f t="shared" si="14"/>
        <v/>
      </c>
      <c r="V273" s="16" t="str">
        <f t="shared" si="15"/>
        <v/>
      </c>
    </row>
    <row r="274" spans="20:22" x14ac:dyDescent="0.15">
      <c r="T274" s="16" t="str">
        <f t="shared" si="14"/>
        <v/>
      </c>
      <c r="V274" s="16" t="str">
        <f t="shared" si="15"/>
        <v/>
      </c>
    </row>
    <row r="275" spans="20:22" x14ac:dyDescent="0.15">
      <c r="T275" s="16" t="str">
        <f t="shared" si="14"/>
        <v/>
      </c>
      <c r="V275" s="16" t="str">
        <f t="shared" si="15"/>
        <v/>
      </c>
    </row>
    <row r="276" spans="20:22" x14ac:dyDescent="0.15">
      <c r="T276" s="16" t="str">
        <f t="shared" si="14"/>
        <v/>
      </c>
      <c r="V276" s="16" t="str">
        <f t="shared" si="15"/>
        <v/>
      </c>
    </row>
    <row r="277" spans="20:22" x14ac:dyDescent="0.15">
      <c r="T277" s="16" t="str">
        <f t="shared" si="14"/>
        <v/>
      </c>
      <c r="V277" s="16" t="str">
        <f t="shared" si="15"/>
        <v/>
      </c>
    </row>
    <row r="278" spans="20:22" x14ac:dyDescent="0.15">
      <c r="T278" s="16" t="str">
        <f t="shared" si="14"/>
        <v/>
      </c>
    </row>
    <row r="279" spans="20:22" x14ac:dyDescent="0.15">
      <c r="T279" s="16" t="str">
        <f t="shared" si="14"/>
        <v/>
      </c>
    </row>
    <row r="280" spans="20:22" x14ac:dyDescent="0.15">
      <c r="T280" s="16" t="str">
        <f t="shared" si="14"/>
        <v/>
      </c>
    </row>
    <row r="281" spans="20:22" x14ac:dyDescent="0.15">
      <c r="T281" s="16" t="str">
        <f t="shared" si="14"/>
        <v/>
      </c>
    </row>
    <row r="282" spans="20:22" x14ac:dyDescent="0.15">
      <c r="T282" s="16" t="str">
        <f t="shared" si="14"/>
        <v/>
      </c>
    </row>
    <row r="283" spans="20:22" x14ac:dyDescent="0.15">
      <c r="T283" s="16" t="str">
        <f t="shared" si="14"/>
        <v/>
      </c>
    </row>
    <row r="284" spans="20:22" x14ac:dyDescent="0.15">
      <c r="T284" s="16" t="str">
        <f t="shared" si="14"/>
        <v/>
      </c>
    </row>
    <row r="285" spans="20:22" x14ac:dyDescent="0.15">
      <c r="T285" s="16" t="str">
        <f t="shared" si="14"/>
        <v/>
      </c>
    </row>
    <row r="286" spans="20:22" x14ac:dyDescent="0.15">
      <c r="T286" s="16" t="str">
        <f t="shared" si="14"/>
        <v/>
      </c>
    </row>
    <row r="287" spans="20:22" x14ac:dyDescent="0.15">
      <c r="T287" s="16" t="str">
        <f t="shared" si="14"/>
        <v/>
      </c>
    </row>
    <row r="288" spans="20:22" x14ac:dyDescent="0.15">
      <c r="T288" s="16" t="str">
        <f t="shared" si="14"/>
        <v/>
      </c>
    </row>
    <row r="289" spans="20:20" x14ac:dyDescent="0.15">
      <c r="T289" s="16" t="str">
        <f t="shared" si="14"/>
        <v/>
      </c>
    </row>
    <row r="290" spans="20:20" x14ac:dyDescent="0.15">
      <c r="T290" s="16" t="str">
        <f t="shared" si="14"/>
        <v/>
      </c>
    </row>
    <row r="291" spans="20:20" x14ac:dyDescent="0.15">
      <c r="T291" s="16" t="str">
        <f t="shared" si="14"/>
        <v/>
      </c>
    </row>
    <row r="292" spans="20:20" x14ac:dyDescent="0.15">
      <c r="T292" s="16" t="str">
        <f t="shared" si="14"/>
        <v/>
      </c>
    </row>
    <row r="293" spans="20:20" x14ac:dyDescent="0.15">
      <c r="T293" s="16" t="str">
        <f t="shared" si="14"/>
        <v/>
      </c>
    </row>
    <row r="294" spans="20:20" x14ac:dyDescent="0.15">
      <c r="T294" s="16" t="str">
        <f t="shared" si="14"/>
        <v/>
      </c>
    </row>
    <row r="295" spans="20:20" x14ac:dyDescent="0.15">
      <c r="T295" s="16" t="str">
        <f t="shared" si="14"/>
        <v/>
      </c>
    </row>
    <row r="296" spans="20:20" x14ac:dyDescent="0.15">
      <c r="T296" s="16" t="str">
        <f t="shared" si="14"/>
        <v/>
      </c>
    </row>
    <row r="297" spans="20:20" x14ac:dyDescent="0.15">
      <c r="T297" s="16" t="str">
        <f t="shared" si="14"/>
        <v/>
      </c>
    </row>
  </sheetData>
  <autoFilter ref="A1:BA297" xr:uid="{00000000-0009-0000-0000-000001000000}"/>
  <phoneticPr fontId="3"/>
  <dataValidations count="14">
    <dataValidation type="list" allowBlank="1" showInputMessage="1" showErrorMessage="1" sqref="Y2:AA85" xr:uid="{87063581-4FE2-4D22-8BA6-85D80DE822B3}">
      <formula1>$AV$2:$AV$23</formula1>
    </dataValidation>
    <dataValidation type="list" allowBlank="1" showInputMessage="1" showErrorMessage="1" sqref="K2:K61 K74:K85" xr:uid="{E03F8B97-E05C-41B0-9916-9E6711DAA4A5}">
      <formula1>$AR$2:$AR$23</formula1>
    </dataValidation>
    <dataValidation allowBlank="1" showInputMessage="1" showErrorMessage="1" sqref="B2:B85" xr:uid="{456B4CED-B3F3-430D-A63A-DF233BC1A542}"/>
    <dataValidation type="list" allowBlank="1" showInputMessage="1" showErrorMessage="1" sqref="X2:X253" xr:uid="{1EBECF17-DDEA-444B-81A7-A42A5F4476B1}">
      <formula1>$AT$2:$AT$3</formula1>
    </dataValidation>
    <dataValidation type="decimal" allowBlank="1" showInputMessage="1" showErrorMessage="1" error="硬度を正しく入力して下さい。" sqref="O2:P253" xr:uid="{8EC3853F-70C3-4166-8C44-26C5E20B401D}">
      <formula1>0</formula1>
      <formula2>7</formula2>
    </dataValidation>
    <dataValidation type="list" allowBlank="1" showInputMessage="1" showErrorMessage="1" sqref="H2:H253" xr:uid="{881BA5F5-B7BB-4360-8499-B9468FE70064}">
      <formula1>$AL$2:$AL$8</formula1>
    </dataValidation>
    <dataValidation type="list" allowBlank="1" showInputMessage="1" showErrorMessage="1" sqref="G2:G253" xr:uid="{FF1AA1A4-8CCB-4E2B-9717-2E8F3397D5A8}">
      <formula1>$AJ$2:$AJ$4</formula1>
    </dataValidation>
    <dataValidation type="list" allowBlank="1" showInputMessage="1" showErrorMessage="1" sqref="I2:I253" xr:uid="{B8B9F863-5D86-4670-8040-5FD530FAB467}">
      <formula1>$AN$5:$AN$6</formula1>
    </dataValidation>
    <dataValidation type="list" allowBlank="1" showInputMessage="1" showErrorMessage="1" sqref="E1:E65407" xr:uid="{3C5594C3-17D0-406D-9028-15FF2923F38C}">
      <formula1>$AG$2:$AG$11</formula1>
    </dataValidation>
    <dataValidation type="list" allowBlank="1" showInputMessage="1" showErrorMessage="1" sqref="J2:J253" xr:uid="{45D1E09B-47FB-4038-B078-1168A1AD09CF}">
      <formula1>$AP$2:$AP$19</formula1>
    </dataValidation>
    <dataValidation type="list" allowBlank="1" showInputMessage="1" showErrorMessage="1" sqref="F1:F65407" xr:uid="{D706D1EC-600C-4926-8D50-5FDC8352CC37}">
      <formula1>$AH$2:$AH$11</formula1>
    </dataValidation>
    <dataValidation type="list" allowBlank="1" showInputMessage="1" showErrorMessage="1" sqref="A2:A253" xr:uid="{61463A13-EA74-40E0-AAAC-2A466B071272}">
      <formula1>$AE$2:$AE$16</formula1>
    </dataValidation>
    <dataValidation type="list" allowBlank="1" showInputMessage="1" showErrorMessage="1" sqref="Y86:AA253" xr:uid="{FFC84DD6-F8E1-49DA-AB88-4218767E81B8}">
      <formula1>$AV$2:$AV$16</formula1>
    </dataValidation>
    <dataValidation type="list" allowBlank="1" showInputMessage="1" showErrorMessage="1" sqref="K86:K253" xr:uid="{8C80125E-FC3A-4EE6-B1B7-D945D2FF961C}">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6252-1955-4086-BC1D-9EF08253D3E4}">
  <dimension ref="A1:BA82"/>
  <sheetViews>
    <sheetView topLeftCell="A19" zoomScale="85" zoomScaleNormal="85" workbookViewId="0">
      <selection activeCell="G60" sqref="G60:G61"/>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237</v>
      </c>
      <c r="C2" s="53">
        <v>2019</v>
      </c>
      <c r="D2" s="81" t="s">
        <v>238</v>
      </c>
      <c r="E2" s="53" t="s">
        <v>239</v>
      </c>
      <c r="F2" s="53" t="s">
        <v>240</v>
      </c>
      <c r="G2" s="53" t="s">
        <v>42</v>
      </c>
      <c r="H2" s="53" t="s">
        <v>163</v>
      </c>
      <c r="I2" s="53" t="s">
        <v>197</v>
      </c>
      <c r="J2" s="53" t="s">
        <v>38</v>
      </c>
      <c r="K2" s="53" t="s">
        <v>160</v>
      </c>
      <c r="L2" s="53">
        <v>1</v>
      </c>
      <c r="N2" s="53">
        <v>4</v>
      </c>
      <c r="O2" s="53">
        <v>0.5</v>
      </c>
      <c r="P2" s="53">
        <v>0.55000000000000004</v>
      </c>
      <c r="Q2" s="74">
        <f t="shared" ref="Q2:Q55" si="0">IF(OR(O2="",P2=""),"",AVERAGE(O2,P2))</f>
        <v>0.52500000000000002</v>
      </c>
      <c r="R2" s="53">
        <v>16.8</v>
      </c>
      <c r="S2" s="53">
        <v>94</v>
      </c>
      <c r="T2" s="16">
        <f t="shared" ref="T2:T55" si="1">IF(H2="","",IF(OR(H2="GREEN",H2="GK"),IF(S2&gt;=$AX$2,VLOOKUP(S2,$AX$2:$AY$10,2,1),""),IF(S2&gt;=$AZ$2,VLOOKUP(S2,$AZ$2:$BA$10,2,1),"")))</f>
        <v>36</v>
      </c>
      <c r="U2" s="53">
        <v>539</v>
      </c>
      <c r="V2" s="16">
        <f t="shared" ref="V2:V55" si="2">IF(OR(N2="",U2="",T2=""),"",U2/N2*T2)</f>
        <v>4851</v>
      </c>
      <c r="W2" s="53">
        <v>4</v>
      </c>
      <c r="X2" s="53" t="s">
        <v>39</v>
      </c>
      <c r="Y2" s="53" t="s">
        <v>90</v>
      </c>
      <c r="Z2" s="53" t="s">
        <v>84</v>
      </c>
      <c r="AA2" s="53" t="s">
        <v>40</v>
      </c>
      <c r="AB2" s="53" t="s">
        <v>241</v>
      </c>
      <c r="AE2" s="64" t="s">
        <v>35</v>
      </c>
      <c r="AG2" s="23" t="s">
        <v>242</v>
      </c>
      <c r="AH2" s="82" t="s">
        <v>243</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237</v>
      </c>
      <c r="C3" s="53">
        <v>2019</v>
      </c>
      <c r="D3" s="81" t="s">
        <v>238</v>
      </c>
      <c r="E3" s="53" t="s">
        <v>239</v>
      </c>
      <c r="F3" s="53" t="s">
        <v>240</v>
      </c>
      <c r="G3" s="53" t="s">
        <v>42</v>
      </c>
      <c r="H3" s="53" t="s">
        <v>163</v>
      </c>
      <c r="I3" s="53" t="s">
        <v>197</v>
      </c>
      <c r="J3" s="53" t="s">
        <v>38</v>
      </c>
      <c r="K3" s="53" t="s">
        <v>160</v>
      </c>
      <c r="L3" s="53">
        <v>2</v>
      </c>
      <c r="N3" s="53">
        <v>4</v>
      </c>
      <c r="O3" s="53">
        <v>0.55000000000000004</v>
      </c>
      <c r="P3" s="53">
        <v>0.55000000000000004</v>
      </c>
      <c r="Q3" s="74">
        <f t="shared" si="0"/>
        <v>0.55000000000000004</v>
      </c>
      <c r="R3" s="53">
        <v>16.2</v>
      </c>
      <c r="S3" s="53">
        <v>93</v>
      </c>
      <c r="T3" s="16">
        <f t="shared" si="1"/>
        <v>36</v>
      </c>
      <c r="U3" s="53">
        <v>539</v>
      </c>
      <c r="V3" s="16">
        <f t="shared" si="2"/>
        <v>4851</v>
      </c>
      <c r="W3" s="53">
        <v>4</v>
      </c>
      <c r="X3" s="53" t="s">
        <v>39</v>
      </c>
      <c r="Y3" s="53" t="s">
        <v>90</v>
      </c>
      <c r="Z3" s="53" t="s">
        <v>84</v>
      </c>
      <c r="AA3" s="53" t="s">
        <v>40</v>
      </c>
      <c r="AB3" s="53" t="s">
        <v>241</v>
      </c>
      <c r="AE3" s="22" t="s">
        <v>41</v>
      </c>
      <c r="AG3" s="23" t="s">
        <v>244</v>
      </c>
      <c r="AH3" s="82" t="s">
        <v>240</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237</v>
      </c>
      <c r="C4" s="53">
        <v>2019</v>
      </c>
      <c r="D4" s="81" t="s">
        <v>238</v>
      </c>
      <c r="E4" s="53" t="s">
        <v>239</v>
      </c>
      <c r="F4" s="53" t="s">
        <v>240</v>
      </c>
      <c r="G4" s="53" t="s">
        <v>42</v>
      </c>
      <c r="H4" s="53" t="s">
        <v>163</v>
      </c>
      <c r="I4" s="53" t="s">
        <v>197</v>
      </c>
      <c r="J4" s="53" t="s">
        <v>38</v>
      </c>
      <c r="K4" s="53" t="s">
        <v>160</v>
      </c>
      <c r="L4" s="53">
        <v>3</v>
      </c>
      <c r="N4" s="53">
        <v>4</v>
      </c>
      <c r="O4" s="53">
        <v>0.5</v>
      </c>
      <c r="P4" s="53">
        <v>0.5</v>
      </c>
      <c r="Q4" s="74">
        <f t="shared" si="0"/>
        <v>0.5</v>
      </c>
      <c r="R4" s="53">
        <v>13.9</v>
      </c>
      <c r="S4" s="53">
        <v>102</v>
      </c>
      <c r="T4" s="16">
        <f t="shared" si="1"/>
        <v>33</v>
      </c>
      <c r="U4" s="53">
        <v>539</v>
      </c>
      <c r="V4" s="16">
        <f t="shared" si="2"/>
        <v>4446.75</v>
      </c>
      <c r="W4" s="53">
        <v>4</v>
      </c>
      <c r="X4" s="53" t="s">
        <v>39</v>
      </c>
      <c r="Y4" s="53" t="s">
        <v>90</v>
      </c>
      <c r="Z4" s="53" t="s">
        <v>84</v>
      </c>
      <c r="AA4" s="53" t="s">
        <v>40</v>
      </c>
      <c r="AB4" s="53" t="s">
        <v>241</v>
      </c>
      <c r="AE4" s="22" t="s">
        <v>34</v>
      </c>
      <c r="AG4" s="23" t="s">
        <v>245</v>
      </c>
      <c r="AH4" s="82" t="s">
        <v>246</v>
      </c>
      <c r="AJ4" s="27" t="s">
        <v>48</v>
      </c>
      <c r="AL4" s="27" t="s">
        <v>247</v>
      </c>
      <c r="AN4" s="28" t="s">
        <v>49</v>
      </c>
      <c r="AP4" s="23" t="s">
        <v>93</v>
      </c>
      <c r="AR4" s="23" t="s">
        <v>121</v>
      </c>
      <c r="AT4" s="28"/>
      <c r="AV4" s="23" t="s">
        <v>50</v>
      </c>
      <c r="AX4" s="24">
        <v>75</v>
      </c>
      <c r="AY4" s="25">
        <v>42</v>
      </c>
      <c r="AZ4" s="25">
        <v>76</v>
      </c>
      <c r="BA4" s="26">
        <v>39</v>
      </c>
    </row>
    <row r="5" spans="1:53" x14ac:dyDescent="0.15">
      <c r="A5" s="53" t="s">
        <v>56</v>
      </c>
      <c r="B5" s="53" t="s">
        <v>237</v>
      </c>
      <c r="C5" s="53">
        <v>2019</v>
      </c>
      <c r="D5" s="81" t="s">
        <v>238</v>
      </c>
      <c r="E5" s="53" t="s">
        <v>239</v>
      </c>
      <c r="F5" s="53" t="s">
        <v>240</v>
      </c>
      <c r="G5" s="53" t="s">
        <v>42</v>
      </c>
      <c r="H5" s="53" t="s">
        <v>127</v>
      </c>
      <c r="I5" s="53" t="s">
        <v>197</v>
      </c>
      <c r="J5" s="53" t="s">
        <v>80</v>
      </c>
      <c r="K5" s="53" t="s">
        <v>94</v>
      </c>
      <c r="L5" s="53">
        <v>1</v>
      </c>
      <c r="N5" s="53">
        <v>13</v>
      </c>
      <c r="O5" s="53">
        <v>0.5</v>
      </c>
      <c r="P5" s="53">
        <v>0.5</v>
      </c>
      <c r="Q5" s="74">
        <f t="shared" si="0"/>
        <v>0.5</v>
      </c>
      <c r="R5" s="53">
        <v>15.9</v>
      </c>
      <c r="S5" s="53">
        <v>41</v>
      </c>
      <c r="T5" s="16">
        <f t="shared" si="1"/>
        <v>50</v>
      </c>
      <c r="U5" s="53">
        <v>971</v>
      </c>
      <c r="V5" s="16">
        <f t="shared" si="2"/>
        <v>3734.6153846153848</v>
      </c>
      <c r="W5" s="53">
        <v>4</v>
      </c>
      <c r="X5" s="53" t="s">
        <v>39</v>
      </c>
      <c r="Y5" s="53" t="s">
        <v>90</v>
      </c>
      <c r="Z5" s="53" t="s">
        <v>84</v>
      </c>
      <c r="AA5" s="53" t="s">
        <v>40</v>
      </c>
      <c r="AB5" s="53" t="s">
        <v>241</v>
      </c>
      <c r="AE5" s="22" t="s">
        <v>51</v>
      </c>
      <c r="AG5" s="23" t="s">
        <v>248</v>
      </c>
      <c r="AH5" s="82" t="s">
        <v>249</v>
      </c>
      <c r="AJ5" s="28"/>
      <c r="AL5" s="73" t="s">
        <v>66</v>
      </c>
      <c r="AN5" s="73" t="s">
        <v>52</v>
      </c>
      <c r="AP5" s="23" t="s">
        <v>250</v>
      </c>
      <c r="AR5" s="23" t="s">
        <v>54</v>
      </c>
      <c r="AV5" s="23" t="s">
        <v>55</v>
      </c>
      <c r="AX5" s="24">
        <v>84</v>
      </c>
      <c r="AY5" s="25">
        <v>39</v>
      </c>
      <c r="AZ5" s="25">
        <v>84</v>
      </c>
      <c r="BA5" s="26">
        <v>36</v>
      </c>
    </row>
    <row r="6" spans="1:53" x14ac:dyDescent="0.15">
      <c r="A6" s="53" t="s">
        <v>56</v>
      </c>
      <c r="B6" s="53" t="s">
        <v>237</v>
      </c>
      <c r="C6" s="53">
        <v>2019</v>
      </c>
      <c r="D6" s="81" t="s">
        <v>238</v>
      </c>
      <c r="E6" s="53" t="s">
        <v>239</v>
      </c>
      <c r="F6" s="53" t="s">
        <v>240</v>
      </c>
      <c r="G6" s="53" t="s">
        <v>42</v>
      </c>
      <c r="H6" s="53" t="s">
        <v>127</v>
      </c>
      <c r="I6" s="53" t="s">
        <v>197</v>
      </c>
      <c r="J6" s="53" t="s">
        <v>80</v>
      </c>
      <c r="K6" s="53" t="s">
        <v>94</v>
      </c>
      <c r="L6" s="53">
        <v>2</v>
      </c>
      <c r="N6" s="53">
        <v>13</v>
      </c>
      <c r="O6" s="53">
        <v>0.5</v>
      </c>
      <c r="P6" s="53">
        <v>0.5</v>
      </c>
      <c r="Q6" s="74">
        <f t="shared" si="0"/>
        <v>0.5</v>
      </c>
      <c r="R6" s="53">
        <v>14.4</v>
      </c>
      <c r="S6" s="53">
        <v>43</v>
      </c>
      <c r="T6" s="16">
        <f t="shared" si="1"/>
        <v>50</v>
      </c>
      <c r="U6" s="53">
        <v>971</v>
      </c>
      <c r="V6" s="16">
        <f t="shared" si="2"/>
        <v>3734.6153846153848</v>
      </c>
      <c r="W6" s="53">
        <v>4</v>
      </c>
      <c r="X6" s="53" t="s">
        <v>39</v>
      </c>
      <c r="Y6" s="53" t="s">
        <v>90</v>
      </c>
      <c r="Z6" s="53" t="s">
        <v>84</v>
      </c>
      <c r="AA6" s="53" t="s">
        <v>40</v>
      </c>
      <c r="AB6" s="53" t="s">
        <v>241</v>
      </c>
      <c r="AE6" s="22" t="s">
        <v>56</v>
      </c>
      <c r="AG6" s="23" t="s">
        <v>251</v>
      </c>
      <c r="AH6" s="82" t="s">
        <v>249</v>
      </c>
      <c r="AL6" s="73" t="s">
        <v>99</v>
      </c>
      <c r="AN6" s="73" t="s">
        <v>57</v>
      </c>
      <c r="AP6" s="23" t="s">
        <v>53</v>
      </c>
      <c r="AR6" s="23" t="s">
        <v>59</v>
      </c>
      <c r="AV6" s="23" t="s">
        <v>60</v>
      </c>
      <c r="AX6" s="24">
        <v>97</v>
      </c>
      <c r="AY6" s="25">
        <v>36</v>
      </c>
      <c r="AZ6" s="25">
        <v>99</v>
      </c>
      <c r="BA6" s="26">
        <v>33</v>
      </c>
    </row>
    <row r="7" spans="1:53" x14ac:dyDescent="0.15">
      <c r="A7" s="53" t="s">
        <v>56</v>
      </c>
      <c r="B7" s="53" t="s">
        <v>237</v>
      </c>
      <c r="C7" s="53">
        <v>2019</v>
      </c>
      <c r="D7" s="81" t="s">
        <v>238</v>
      </c>
      <c r="E7" s="53" t="s">
        <v>239</v>
      </c>
      <c r="F7" s="53" t="s">
        <v>240</v>
      </c>
      <c r="G7" s="53" t="s">
        <v>42</v>
      </c>
      <c r="H7" s="53" t="s">
        <v>127</v>
      </c>
      <c r="I7" s="53" t="s">
        <v>197</v>
      </c>
      <c r="J7" s="53" t="s">
        <v>80</v>
      </c>
      <c r="K7" s="53" t="s">
        <v>94</v>
      </c>
      <c r="L7" s="53">
        <v>3</v>
      </c>
      <c r="N7" s="53">
        <v>13</v>
      </c>
      <c r="O7" s="53">
        <v>0.5</v>
      </c>
      <c r="P7" s="53">
        <v>0.5</v>
      </c>
      <c r="Q7" s="74">
        <f t="shared" si="0"/>
        <v>0.5</v>
      </c>
      <c r="R7" s="53">
        <v>15</v>
      </c>
      <c r="S7" s="53">
        <v>36</v>
      </c>
      <c r="T7" s="16">
        <f t="shared" si="1"/>
        <v>50</v>
      </c>
      <c r="U7" s="53">
        <v>971</v>
      </c>
      <c r="V7" s="16">
        <f t="shared" si="2"/>
        <v>3734.6153846153848</v>
      </c>
      <c r="W7" s="53">
        <v>4</v>
      </c>
      <c r="X7" s="53" t="s">
        <v>39</v>
      </c>
      <c r="Y7" s="53" t="s">
        <v>90</v>
      </c>
      <c r="Z7" s="53" t="s">
        <v>84</v>
      </c>
      <c r="AA7" s="53" t="s">
        <v>40</v>
      </c>
      <c r="AB7" s="53" t="s">
        <v>241</v>
      </c>
      <c r="AE7" s="22" t="s">
        <v>61</v>
      </c>
      <c r="AG7" s="23" t="s">
        <v>252</v>
      </c>
      <c r="AH7" s="82" t="s">
        <v>253</v>
      </c>
      <c r="AL7" s="83" t="s">
        <v>109</v>
      </c>
      <c r="AP7" s="23" t="s">
        <v>58</v>
      </c>
      <c r="AR7" s="23" t="s">
        <v>122</v>
      </c>
      <c r="AV7" s="23" t="s">
        <v>64</v>
      </c>
      <c r="AX7" s="24">
        <v>109</v>
      </c>
      <c r="AY7" s="25">
        <v>33</v>
      </c>
      <c r="AZ7" s="25">
        <v>113</v>
      </c>
      <c r="BA7" s="26">
        <v>30</v>
      </c>
    </row>
    <row r="8" spans="1:53" x14ac:dyDescent="0.15">
      <c r="A8" s="53" t="s">
        <v>56</v>
      </c>
      <c r="B8" s="53" t="s">
        <v>237</v>
      </c>
      <c r="C8" s="53">
        <v>2019</v>
      </c>
      <c r="D8" s="81" t="s">
        <v>238</v>
      </c>
      <c r="E8" s="53" t="s">
        <v>254</v>
      </c>
      <c r="F8" s="53" t="s">
        <v>240</v>
      </c>
      <c r="G8" s="53" t="s">
        <v>42</v>
      </c>
      <c r="H8" s="53" t="s">
        <v>163</v>
      </c>
      <c r="I8" s="53" t="s">
        <v>159</v>
      </c>
      <c r="J8" s="53" t="s">
        <v>38</v>
      </c>
      <c r="K8" s="53" t="s">
        <v>160</v>
      </c>
      <c r="L8" s="53">
        <v>1</v>
      </c>
      <c r="N8" s="53">
        <v>1</v>
      </c>
      <c r="O8" s="53">
        <v>0.5</v>
      </c>
      <c r="P8" s="53">
        <v>0.5</v>
      </c>
      <c r="Q8" s="74">
        <f t="shared" si="0"/>
        <v>0.5</v>
      </c>
      <c r="R8" s="53">
        <v>15.9</v>
      </c>
      <c r="S8" s="53">
        <v>116</v>
      </c>
      <c r="T8" s="16">
        <f t="shared" si="1"/>
        <v>30</v>
      </c>
      <c r="U8" s="53">
        <v>108</v>
      </c>
      <c r="V8" s="16">
        <f t="shared" si="2"/>
        <v>3240</v>
      </c>
      <c r="W8" s="53">
        <v>4</v>
      </c>
      <c r="X8" s="53" t="s">
        <v>46</v>
      </c>
      <c r="Y8" s="53" t="s">
        <v>90</v>
      </c>
      <c r="Z8" s="53" t="s">
        <v>84</v>
      </c>
      <c r="AA8" s="53" t="s">
        <v>40</v>
      </c>
      <c r="AB8" s="53" t="s">
        <v>241</v>
      </c>
      <c r="AE8" s="22" t="s">
        <v>59</v>
      </c>
      <c r="AG8" s="23" t="s">
        <v>255</v>
      </c>
      <c r="AH8" s="82" t="s">
        <v>253</v>
      </c>
      <c r="AL8" s="83" t="s">
        <v>134</v>
      </c>
      <c r="AP8" s="23" t="s">
        <v>62</v>
      </c>
      <c r="AR8" s="23" t="s">
        <v>81</v>
      </c>
      <c r="AV8" s="23" t="s">
        <v>97</v>
      </c>
      <c r="AX8" s="24">
        <v>119</v>
      </c>
      <c r="AY8" s="25">
        <v>30</v>
      </c>
      <c r="AZ8" s="25">
        <v>121</v>
      </c>
      <c r="BA8" s="26">
        <v>27</v>
      </c>
    </row>
    <row r="9" spans="1:53" x14ac:dyDescent="0.15">
      <c r="A9" s="53" t="s">
        <v>56</v>
      </c>
      <c r="B9" s="53" t="s">
        <v>237</v>
      </c>
      <c r="C9" s="53">
        <v>2019</v>
      </c>
      <c r="D9" s="81" t="s">
        <v>238</v>
      </c>
      <c r="E9" s="53" t="s">
        <v>254</v>
      </c>
      <c r="F9" s="53" t="s">
        <v>240</v>
      </c>
      <c r="G9" s="53" t="s">
        <v>42</v>
      </c>
      <c r="H9" s="53" t="s">
        <v>163</v>
      </c>
      <c r="I9" s="53" t="s">
        <v>159</v>
      </c>
      <c r="J9" s="53" t="s">
        <v>38</v>
      </c>
      <c r="K9" s="53" t="s">
        <v>160</v>
      </c>
      <c r="L9" s="53">
        <v>2</v>
      </c>
      <c r="N9" s="53">
        <v>1</v>
      </c>
      <c r="O9" s="53">
        <v>0.55000000000000004</v>
      </c>
      <c r="P9" s="53">
        <v>0.55000000000000004</v>
      </c>
      <c r="Q9" s="74">
        <f t="shared" si="0"/>
        <v>0.55000000000000004</v>
      </c>
      <c r="R9" s="53">
        <v>16.2</v>
      </c>
      <c r="S9" s="53">
        <v>118</v>
      </c>
      <c r="T9" s="16">
        <f t="shared" si="1"/>
        <v>30</v>
      </c>
      <c r="U9" s="53">
        <v>108</v>
      </c>
      <c r="V9" s="16">
        <f t="shared" si="2"/>
        <v>3240</v>
      </c>
      <c r="W9" s="53">
        <v>4</v>
      </c>
      <c r="X9" s="53" t="s">
        <v>46</v>
      </c>
      <c r="Y9" s="53" t="s">
        <v>90</v>
      </c>
      <c r="Z9" s="53" t="s">
        <v>84</v>
      </c>
      <c r="AA9" s="53" t="s">
        <v>40</v>
      </c>
      <c r="AB9" s="53" t="s">
        <v>241</v>
      </c>
      <c r="AE9" s="22" t="s">
        <v>98</v>
      </c>
      <c r="AG9" s="23" t="s">
        <v>239</v>
      </c>
      <c r="AH9" s="23" t="s">
        <v>240</v>
      </c>
      <c r="AL9" s="73"/>
      <c r="AP9" s="23" t="s">
        <v>95</v>
      </c>
      <c r="AR9" s="23" t="s">
        <v>89</v>
      </c>
      <c r="AV9" s="23" t="s">
        <v>102</v>
      </c>
      <c r="AX9" s="24">
        <v>128</v>
      </c>
      <c r="AY9" s="25">
        <v>27</v>
      </c>
      <c r="AZ9" s="25">
        <v>129</v>
      </c>
      <c r="BA9" s="26">
        <v>25</v>
      </c>
    </row>
    <row r="10" spans="1:53" x14ac:dyDescent="0.15">
      <c r="A10" s="53" t="s">
        <v>56</v>
      </c>
      <c r="B10" s="53" t="s">
        <v>237</v>
      </c>
      <c r="C10" s="53">
        <v>2019</v>
      </c>
      <c r="D10" s="81" t="s">
        <v>238</v>
      </c>
      <c r="E10" s="53" t="s">
        <v>254</v>
      </c>
      <c r="F10" s="53" t="s">
        <v>240</v>
      </c>
      <c r="G10" s="53" t="s">
        <v>42</v>
      </c>
      <c r="H10" s="53" t="s">
        <v>163</v>
      </c>
      <c r="I10" s="53" t="s">
        <v>159</v>
      </c>
      <c r="J10" s="53" t="s">
        <v>38</v>
      </c>
      <c r="K10" s="53" t="s">
        <v>160</v>
      </c>
      <c r="L10" s="53">
        <v>3</v>
      </c>
      <c r="N10" s="53">
        <v>1</v>
      </c>
      <c r="O10" s="53">
        <v>0.5</v>
      </c>
      <c r="P10" s="53">
        <v>0.5</v>
      </c>
      <c r="Q10" s="74">
        <f t="shared" si="0"/>
        <v>0.5</v>
      </c>
      <c r="R10" s="53">
        <v>14.5</v>
      </c>
      <c r="S10" s="53">
        <v>118</v>
      </c>
      <c r="T10" s="16">
        <f t="shared" si="1"/>
        <v>30</v>
      </c>
      <c r="U10" s="53">
        <v>108</v>
      </c>
      <c r="V10" s="16">
        <f t="shared" si="2"/>
        <v>3240</v>
      </c>
      <c r="W10" s="53">
        <v>4</v>
      </c>
      <c r="X10" s="53" t="s">
        <v>46</v>
      </c>
      <c r="Y10" s="53" t="s">
        <v>90</v>
      </c>
      <c r="Z10" s="53" t="s">
        <v>84</v>
      </c>
      <c r="AA10" s="53" t="s">
        <v>40</v>
      </c>
      <c r="AB10" s="53" t="s">
        <v>241</v>
      </c>
      <c r="AE10" s="22" t="s">
        <v>103</v>
      </c>
      <c r="AG10" s="23" t="s">
        <v>252</v>
      </c>
      <c r="AH10" s="82" t="s">
        <v>249</v>
      </c>
      <c r="AL10" s="83"/>
      <c r="AP10" s="23" t="s">
        <v>100</v>
      </c>
      <c r="AR10" s="23" t="s">
        <v>123</v>
      </c>
      <c r="AV10" s="23" t="s">
        <v>106</v>
      </c>
      <c r="AX10" s="24">
        <v>138</v>
      </c>
      <c r="AY10" s="25">
        <v>25</v>
      </c>
      <c r="AZ10" s="25">
        <v>138</v>
      </c>
      <c r="BA10" s="26">
        <v>22</v>
      </c>
    </row>
    <row r="11" spans="1:53" x14ac:dyDescent="0.15">
      <c r="A11" s="53" t="s">
        <v>56</v>
      </c>
      <c r="B11" s="53" t="s">
        <v>237</v>
      </c>
      <c r="C11" s="53">
        <v>2019</v>
      </c>
      <c r="D11" s="81" t="s">
        <v>238</v>
      </c>
      <c r="E11" s="53" t="s">
        <v>254</v>
      </c>
      <c r="F11" s="53" t="s">
        <v>240</v>
      </c>
      <c r="G11" s="53" t="s">
        <v>42</v>
      </c>
      <c r="H11" s="53" t="s">
        <v>164</v>
      </c>
      <c r="I11" s="53" t="s">
        <v>159</v>
      </c>
      <c r="J11" s="53" t="s">
        <v>38</v>
      </c>
      <c r="K11" s="53" t="s">
        <v>87</v>
      </c>
      <c r="L11" s="53">
        <v>1</v>
      </c>
      <c r="N11" s="53">
        <v>1</v>
      </c>
      <c r="O11" s="53">
        <v>0.55000000000000004</v>
      </c>
      <c r="P11" s="53">
        <v>0.55000000000000004</v>
      </c>
      <c r="Q11" s="74">
        <f t="shared" si="0"/>
        <v>0.55000000000000004</v>
      </c>
      <c r="R11" s="53">
        <v>15.8</v>
      </c>
      <c r="S11" s="53">
        <v>137</v>
      </c>
      <c r="T11" s="16">
        <f t="shared" si="1"/>
        <v>27</v>
      </c>
      <c r="U11" s="53">
        <v>171</v>
      </c>
      <c r="V11" s="16">
        <f t="shared" si="2"/>
        <v>4617</v>
      </c>
      <c r="W11" s="53">
        <v>2</v>
      </c>
      <c r="X11" s="53" t="s">
        <v>46</v>
      </c>
      <c r="Y11" s="53" t="s">
        <v>90</v>
      </c>
      <c r="Z11" s="53" t="s">
        <v>84</v>
      </c>
      <c r="AA11" s="53" t="s">
        <v>40</v>
      </c>
      <c r="AB11" s="53" t="s">
        <v>241</v>
      </c>
      <c r="AE11" s="22" t="s">
        <v>65</v>
      </c>
      <c r="AG11" s="23" t="s">
        <v>251</v>
      </c>
      <c r="AH11" s="82" t="s">
        <v>249</v>
      </c>
      <c r="AJ11" s="83"/>
      <c r="AP11" s="23" t="s">
        <v>104</v>
      </c>
      <c r="AR11" s="23" t="s">
        <v>87</v>
      </c>
      <c r="AV11" s="23" t="s">
        <v>69</v>
      </c>
    </row>
    <row r="12" spans="1:53" x14ac:dyDescent="0.15">
      <c r="A12" s="53" t="s">
        <v>56</v>
      </c>
      <c r="B12" s="53" t="s">
        <v>237</v>
      </c>
      <c r="C12" s="53">
        <v>2019</v>
      </c>
      <c r="D12" s="81" t="s">
        <v>238</v>
      </c>
      <c r="E12" s="53" t="s">
        <v>254</v>
      </c>
      <c r="F12" s="53" t="s">
        <v>240</v>
      </c>
      <c r="G12" s="53" t="s">
        <v>42</v>
      </c>
      <c r="H12" s="53" t="s">
        <v>164</v>
      </c>
      <c r="I12" s="53" t="s">
        <v>159</v>
      </c>
      <c r="J12" s="53" t="s">
        <v>38</v>
      </c>
      <c r="K12" s="53" t="s">
        <v>87</v>
      </c>
      <c r="L12" s="53">
        <v>2</v>
      </c>
      <c r="N12" s="53">
        <v>1</v>
      </c>
      <c r="O12" s="53">
        <v>0.5</v>
      </c>
      <c r="P12" s="53">
        <v>0.5</v>
      </c>
      <c r="Q12" s="74">
        <f t="shared" si="0"/>
        <v>0.5</v>
      </c>
      <c r="R12" s="53">
        <v>16.3</v>
      </c>
      <c r="S12" s="53">
        <v>138</v>
      </c>
      <c r="T12" s="16">
        <f t="shared" si="1"/>
        <v>25</v>
      </c>
      <c r="U12" s="53">
        <v>171</v>
      </c>
      <c r="V12" s="16">
        <f t="shared" si="2"/>
        <v>4275</v>
      </c>
      <c r="W12" s="53">
        <v>2</v>
      </c>
      <c r="X12" s="53" t="s">
        <v>46</v>
      </c>
      <c r="Y12" s="53" t="s">
        <v>90</v>
      </c>
      <c r="Z12" s="53" t="s">
        <v>84</v>
      </c>
      <c r="AA12" s="53" t="s">
        <v>40</v>
      </c>
      <c r="AB12" s="53" t="s">
        <v>241</v>
      </c>
      <c r="AE12" s="22" t="s">
        <v>70</v>
      </c>
      <c r="AG12" s="23" t="s">
        <v>244</v>
      </c>
      <c r="AH12" s="82" t="s">
        <v>249</v>
      </c>
      <c r="AJ12" s="83"/>
      <c r="AP12" s="23" t="s">
        <v>67</v>
      </c>
      <c r="AR12" s="23" t="s">
        <v>124</v>
      </c>
      <c r="AV12" s="23" t="s">
        <v>72</v>
      </c>
    </row>
    <row r="13" spans="1:53" x14ac:dyDescent="0.15">
      <c r="A13" s="53" t="s">
        <v>56</v>
      </c>
      <c r="B13" s="53" t="s">
        <v>237</v>
      </c>
      <c r="C13" s="53">
        <v>2019</v>
      </c>
      <c r="D13" s="81" t="s">
        <v>238</v>
      </c>
      <c r="E13" s="53" t="s">
        <v>254</v>
      </c>
      <c r="F13" s="53" t="s">
        <v>240</v>
      </c>
      <c r="G13" s="53" t="s">
        <v>42</v>
      </c>
      <c r="H13" s="53" t="s">
        <v>164</v>
      </c>
      <c r="I13" s="53" t="s">
        <v>159</v>
      </c>
      <c r="J13" s="53" t="s">
        <v>38</v>
      </c>
      <c r="K13" s="53" t="s">
        <v>87</v>
      </c>
      <c r="L13" s="53">
        <v>3</v>
      </c>
      <c r="N13" s="53">
        <v>1</v>
      </c>
      <c r="O13" s="53">
        <v>0.55000000000000004</v>
      </c>
      <c r="P13" s="53">
        <v>0.5</v>
      </c>
      <c r="Q13" s="74">
        <f t="shared" si="0"/>
        <v>0.52500000000000002</v>
      </c>
      <c r="R13" s="53">
        <v>15.2</v>
      </c>
      <c r="S13" s="53">
        <v>140</v>
      </c>
      <c r="T13" s="16">
        <f t="shared" si="1"/>
        <v>25</v>
      </c>
      <c r="U13" s="53">
        <v>171</v>
      </c>
      <c r="V13" s="16">
        <f t="shared" si="2"/>
        <v>4275</v>
      </c>
      <c r="W13" s="53">
        <v>2</v>
      </c>
      <c r="X13" s="53" t="s">
        <v>46</v>
      </c>
      <c r="Y13" s="53" t="s">
        <v>90</v>
      </c>
      <c r="Z13" s="53" t="s">
        <v>84</v>
      </c>
      <c r="AA13" s="53" t="s">
        <v>40</v>
      </c>
      <c r="AB13" s="53" t="s">
        <v>241</v>
      </c>
      <c r="AE13" s="22" t="s">
        <v>73</v>
      </c>
      <c r="AP13" s="23" t="s">
        <v>71</v>
      </c>
      <c r="AR13" s="23" t="s">
        <v>103</v>
      </c>
      <c r="AV13" s="23" t="s">
        <v>75</v>
      </c>
    </row>
    <row r="14" spans="1:53" x14ac:dyDescent="0.15">
      <c r="A14" s="53" t="s">
        <v>56</v>
      </c>
      <c r="B14" s="53" t="s">
        <v>237</v>
      </c>
      <c r="C14" s="53">
        <v>2019</v>
      </c>
      <c r="D14" s="81" t="s">
        <v>238</v>
      </c>
      <c r="E14" s="53" t="s">
        <v>161</v>
      </c>
      <c r="F14" s="53" t="s">
        <v>256</v>
      </c>
      <c r="G14" s="53" t="s">
        <v>42</v>
      </c>
      <c r="H14" s="53" t="s">
        <v>163</v>
      </c>
      <c r="I14" s="53" t="s">
        <v>159</v>
      </c>
      <c r="J14" s="53" t="s">
        <v>38</v>
      </c>
      <c r="K14" s="53" t="s">
        <v>160</v>
      </c>
      <c r="L14" s="53">
        <v>1</v>
      </c>
      <c r="N14" s="53">
        <v>1</v>
      </c>
      <c r="O14" s="53">
        <v>0.7</v>
      </c>
      <c r="P14" s="53">
        <v>0.75</v>
      </c>
      <c r="Q14" s="74">
        <f t="shared" si="0"/>
        <v>0.72499999999999998</v>
      </c>
      <c r="R14" s="53">
        <v>15.4</v>
      </c>
      <c r="S14" s="53">
        <v>105</v>
      </c>
      <c r="T14" s="16">
        <f t="shared" si="1"/>
        <v>33</v>
      </c>
      <c r="U14" s="53">
        <v>106</v>
      </c>
      <c r="V14" s="16">
        <f t="shared" si="2"/>
        <v>3498</v>
      </c>
      <c r="W14" s="53">
        <v>4</v>
      </c>
      <c r="X14" s="53" t="s">
        <v>46</v>
      </c>
      <c r="Y14" s="53" t="s">
        <v>84</v>
      </c>
      <c r="Z14" s="53" t="s">
        <v>40</v>
      </c>
      <c r="AA14" s="53" t="s">
        <v>90</v>
      </c>
      <c r="AB14" s="53" t="s">
        <v>241</v>
      </c>
      <c r="AE14" s="22" t="s">
        <v>76</v>
      </c>
      <c r="AP14" s="23" t="s">
        <v>74</v>
      </c>
      <c r="AR14" s="23" t="s">
        <v>125</v>
      </c>
      <c r="AV14" s="23" t="s">
        <v>78</v>
      </c>
    </row>
    <row r="15" spans="1:53" x14ac:dyDescent="0.15">
      <c r="A15" s="53" t="s">
        <v>56</v>
      </c>
      <c r="B15" s="53" t="s">
        <v>237</v>
      </c>
      <c r="C15" s="53">
        <v>2019</v>
      </c>
      <c r="D15" s="81" t="s">
        <v>238</v>
      </c>
      <c r="E15" s="53" t="s">
        <v>161</v>
      </c>
      <c r="F15" s="53" t="s">
        <v>256</v>
      </c>
      <c r="G15" s="53" t="s">
        <v>42</v>
      </c>
      <c r="H15" s="53" t="s">
        <v>163</v>
      </c>
      <c r="I15" s="53" t="s">
        <v>159</v>
      </c>
      <c r="J15" s="53" t="s">
        <v>38</v>
      </c>
      <c r="K15" s="53" t="s">
        <v>160</v>
      </c>
      <c r="L15" s="53">
        <v>2</v>
      </c>
      <c r="N15" s="53">
        <v>1</v>
      </c>
      <c r="O15" s="53">
        <v>0.5</v>
      </c>
      <c r="P15" s="53">
        <v>0.6</v>
      </c>
      <c r="Q15" s="74">
        <f t="shared" si="0"/>
        <v>0.55000000000000004</v>
      </c>
      <c r="R15" s="53">
        <v>13.3</v>
      </c>
      <c r="S15" s="53">
        <v>106</v>
      </c>
      <c r="T15" s="16">
        <f t="shared" si="1"/>
        <v>33</v>
      </c>
      <c r="U15" s="53">
        <v>106</v>
      </c>
      <c r="V15" s="16">
        <f t="shared" si="2"/>
        <v>3498</v>
      </c>
      <c r="W15" s="53">
        <v>4</v>
      </c>
      <c r="X15" s="53" t="s">
        <v>46</v>
      </c>
      <c r="Y15" s="53" t="s">
        <v>84</v>
      </c>
      <c r="Z15" s="53" t="s">
        <v>40</v>
      </c>
      <c r="AA15" s="53" t="s">
        <v>90</v>
      </c>
      <c r="AB15" s="53" t="s">
        <v>241</v>
      </c>
      <c r="AE15" s="22" t="s">
        <v>79</v>
      </c>
      <c r="AP15" s="23" t="s">
        <v>77</v>
      </c>
      <c r="AR15" s="23" t="s">
        <v>94</v>
      </c>
      <c r="AV15" s="23" t="s">
        <v>107</v>
      </c>
    </row>
    <row r="16" spans="1:53" x14ac:dyDescent="0.15">
      <c r="A16" s="53" t="s">
        <v>56</v>
      </c>
      <c r="B16" s="53" t="s">
        <v>237</v>
      </c>
      <c r="C16" s="53">
        <v>2019</v>
      </c>
      <c r="D16" s="81" t="s">
        <v>238</v>
      </c>
      <c r="E16" s="53" t="s">
        <v>161</v>
      </c>
      <c r="F16" s="53" t="s">
        <v>256</v>
      </c>
      <c r="G16" s="53" t="s">
        <v>42</v>
      </c>
      <c r="H16" s="53" t="s">
        <v>163</v>
      </c>
      <c r="I16" s="53" t="s">
        <v>159</v>
      </c>
      <c r="J16" s="53" t="s">
        <v>38</v>
      </c>
      <c r="K16" s="53" t="s">
        <v>160</v>
      </c>
      <c r="L16" s="53">
        <v>3</v>
      </c>
      <c r="N16" s="53">
        <v>1</v>
      </c>
      <c r="O16" s="53">
        <v>0.55000000000000004</v>
      </c>
      <c r="P16" s="53">
        <v>0.6</v>
      </c>
      <c r="Q16" s="74">
        <f t="shared" si="0"/>
        <v>0.57499999999999996</v>
      </c>
      <c r="R16" s="53">
        <v>11.7</v>
      </c>
      <c r="S16" s="53">
        <v>107</v>
      </c>
      <c r="T16" s="16">
        <f t="shared" si="1"/>
        <v>33</v>
      </c>
      <c r="U16" s="53">
        <v>106</v>
      </c>
      <c r="V16" s="16">
        <f t="shared" si="2"/>
        <v>3498</v>
      </c>
      <c r="W16" s="53">
        <v>4</v>
      </c>
      <c r="X16" s="53" t="s">
        <v>46</v>
      </c>
      <c r="Y16" s="53" t="s">
        <v>84</v>
      </c>
      <c r="Z16" s="53" t="s">
        <v>40</v>
      </c>
      <c r="AA16" s="53" t="s">
        <v>90</v>
      </c>
      <c r="AB16" s="53" t="s">
        <v>241</v>
      </c>
      <c r="AE16" s="22" t="s">
        <v>82</v>
      </c>
      <c r="AP16" s="23" t="s">
        <v>80</v>
      </c>
      <c r="AR16" s="23" t="s">
        <v>63</v>
      </c>
      <c r="AV16" s="23" t="s">
        <v>84</v>
      </c>
    </row>
    <row r="17" spans="1:48" x14ac:dyDescent="0.15">
      <c r="A17" s="53" t="s">
        <v>56</v>
      </c>
      <c r="B17" s="53" t="s">
        <v>237</v>
      </c>
      <c r="C17" s="53">
        <v>2019</v>
      </c>
      <c r="D17" s="81" t="s">
        <v>238</v>
      </c>
      <c r="E17" s="53" t="s">
        <v>257</v>
      </c>
      <c r="F17" s="53" t="s">
        <v>258</v>
      </c>
      <c r="G17" s="53" t="s">
        <v>42</v>
      </c>
      <c r="H17" s="53" t="s">
        <v>163</v>
      </c>
      <c r="I17" s="53" t="s">
        <v>159</v>
      </c>
      <c r="J17" s="53" t="s">
        <v>38</v>
      </c>
      <c r="K17" s="53" t="s">
        <v>160</v>
      </c>
      <c r="L17" s="53">
        <v>1</v>
      </c>
      <c r="N17" s="53">
        <v>8</v>
      </c>
      <c r="O17" s="53">
        <v>0.75</v>
      </c>
      <c r="P17" s="53">
        <v>0.8</v>
      </c>
      <c r="Q17" s="74">
        <f t="shared" si="0"/>
        <v>0.77500000000000002</v>
      </c>
      <c r="R17" s="53">
        <v>16.899999999999999</v>
      </c>
      <c r="S17" s="53">
        <v>95</v>
      </c>
      <c r="T17" s="16">
        <f t="shared" si="1"/>
        <v>36</v>
      </c>
      <c r="U17" s="53">
        <v>538</v>
      </c>
      <c r="V17" s="16">
        <f t="shared" si="2"/>
        <v>2421</v>
      </c>
      <c r="W17" s="53">
        <v>4</v>
      </c>
      <c r="X17" s="53" t="s">
        <v>46</v>
      </c>
      <c r="Y17" s="53" t="s">
        <v>84</v>
      </c>
      <c r="Z17" s="53" t="s">
        <v>40</v>
      </c>
      <c r="AA17" s="53" t="s">
        <v>90</v>
      </c>
      <c r="AB17" s="53" t="s">
        <v>241</v>
      </c>
      <c r="AE17" s="22" t="s">
        <v>85</v>
      </c>
      <c r="AP17" s="27" t="s">
        <v>110</v>
      </c>
      <c r="AR17" s="23" t="s">
        <v>96</v>
      </c>
      <c r="AV17" s="23" t="s">
        <v>86</v>
      </c>
    </row>
    <row r="18" spans="1:48" x14ac:dyDescent="0.15">
      <c r="A18" s="53" t="s">
        <v>56</v>
      </c>
      <c r="B18" s="53" t="s">
        <v>237</v>
      </c>
      <c r="C18" s="53">
        <v>2019</v>
      </c>
      <c r="D18" s="81" t="s">
        <v>238</v>
      </c>
      <c r="E18" s="53" t="s">
        <v>257</v>
      </c>
      <c r="F18" s="53" t="s">
        <v>258</v>
      </c>
      <c r="G18" s="53" t="s">
        <v>42</v>
      </c>
      <c r="H18" s="53" t="s">
        <v>163</v>
      </c>
      <c r="I18" s="53" t="s">
        <v>159</v>
      </c>
      <c r="J18" s="53" t="s">
        <v>38</v>
      </c>
      <c r="K18" s="53" t="s">
        <v>160</v>
      </c>
      <c r="L18" s="53">
        <v>2</v>
      </c>
      <c r="N18" s="53">
        <v>8</v>
      </c>
      <c r="O18" s="53">
        <v>0.5</v>
      </c>
      <c r="P18" s="53">
        <v>0.6</v>
      </c>
      <c r="Q18" s="74">
        <f t="shared" si="0"/>
        <v>0.55000000000000004</v>
      </c>
      <c r="R18" s="53">
        <v>15.2</v>
      </c>
      <c r="S18" s="53">
        <v>101</v>
      </c>
      <c r="T18" s="16">
        <f t="shared" si="1"/>
        <v>33</v>
      </c>
      <c r="U18" s="53">
        <v>538</v>
      </c>
      <c r="V18" s="16">
        <f t="shared" si="2"/>
        <v>2219.25</v>
      </c>
      <c r="W18" s="53">
        <v>4</v>
      </c>
      <c r="X18" s="53" t="s">
        <v>46</v>
      </c>
      <c r="Y18" s="53" t="s">
        <v>84</v>
      </c>
      <c r="Z18" s="53" t="s">
        <v>40</v>
      </c>
      <c r="AA18" s="53" t="s">
        <v>90</v>
      </c>
      <c r="AB18" s="53" t="s">
        <v>241</v>
      </c>
      <c r="AE18" s="22" t="s">
        <v>87</v>
      </c>
      <c r="AP18" s="27" t="s">
        <v>111</v>
      </c>
      <c r="AR18" s="23" t="s">
        <v>101</v>
      </c>
      <c r="AV18" s="23" t="s">
        <v>88</v>
      </c>
    </row>
    <row r="19" spans="1:48" x14ac:dyDescent="0.15">
      <c r="A19" s="53" t="s">
        <v>56</v>
      </c>
      <c r="B19" s="53" t="s">
        <v>237</v>
      </c>
      <c r="C19" s="53">
        <v>2019</v>
      </c>
      <c r="D19" s="81" t="s">
        <v>238</v>
      </c>
      <c r="E19" s="53" t="s">
        <v>257</v>
      </c>
      <c r="F19" s="53" t="s">
        <v>258</v>
      </c>
      <c r="G19" s="53" t="s">
        <v>42</v>
      </c>
      <c r="H19" s="53" t="s">
        <v>163</v>
      </c>
      <c r="I19" s="53" t="s">
        <v>159</v>
      </c>
      <c r="J19" s="53" t="s">
        <v>38</v>
      </c>
      <c r="K19" s="53" t="s">
        <v>160</v>
      </c>
      <c r="L19" s="53">
        <v>3</v>
      </c>
      <c r="N19" s="53">
        <v>8</v>
      </c>
      <c r="O19" s="53">
        <v>0.7</v>
      </c>
      <c r="P19" s="53">
        <v>0.75</v>
      </c>
      <c r="Q19" s="74">
        <f t="shared" si="0"/>
        <v>0.72499999999999998</v>
      </c>
      <c r="R19" s="53">
        <v>16.600000000000001</v>
      </c>
      <c r="S19" s="53">
        <v>100</v>
      </c>
      <c r="T19" s="16">
        <f t="shared" si="1"/>
        <v>33</v>
      </c>
      <c r="U19" s="53">
        <v>538</v>
      </c>
      <c r="V19" s="16">
        <f t="shared" si="2"/>
        <v>2219.25</v>
      </c>
      <c r="W19" s="53">
        <v>4</v>
      </c>
      <c r="X19" s="53" t="s">
        <v>46</v>
      </c>
      <c r="Y19" s="53" t="s">
        <v>84</v>
      </c>
      <c r="Z19" s="53" t="s">
        <v>40</v>
      </c>
      <c r="AA19" s="53" t="s">
        <v>90</v>
      </c>
      <c r="AB19" s="53" t="s">
        <v>241</v>
      </c>
      <c r="AE19" s="35" t="s">
        <v>89</v>
      </c>
      <c r="AP19" s="27" t="s">
        <v>112</v>
      </c>
      <c r="AR19" s="23" t="s">
        <v>126</v>
      </c>
      <c r="AV19" s="23" t="s">
        <v>90</v>
      </c>
    </row>
    <row r="20" spans="1:48" x14ac:dyDescent="0.15">
      <c r="A20" s="53" t="s">
        <v>56</v>
      </c>
      <c r="B20" s="53" t="s">
        <v>237</v>
      </c>
      <c r="C20" s="53">
        <v>2019</v>
      </c>
      <c r="D20" s="81" t="s">
        <v>238</v>
      </c>
      <c r="E20" s="53" t="s">
        <v>257</v>
      </c>
      <c r="F20" s="53" t="s">
        <v>258</v>
      </c>
      <c r="G20" s="53" t="s">
        <v>42</v>
      </c>
      <c r="H20" s="53" t="s">
        <v>164</v>
      </c>
      <c r="I20" s="53" t="s">
        <v>159</v>
      </c>
      <c r="J20" s="53" t="s">
        <v>38</v>
      </c>
      <c r="K20" s="53" t="s">
        <v>87</v>
      </c>
      <c r="L20" s="53">
        <v>1</v>
      </c>
      <c r="N20" s="53">
        <v>1</v>
      </c>
      <c r="O20" s="53">
        <v>0.75</v>
      </c>
      <c r="P20" s="53">
        <v>0.8</v>
      </c>
      <c r="Q20" s="74">
        <f t="shared" si="0"/>
        <v>0.77500000000000002</v>
      </c>
      <c r="R20" s="53">
        <v>15.9</v>
      </c>
      <c r="S20" s="53">
        <v>104</v>
      </c>
      <c r="T20" s="16">
        <f t="shared" si="1"/>
        <v>36</v>
      </c>
      <c r="U20" s="53">
        <v>171</v>
      </c>
      <c r="V20" s="16">
        <f t="shared" si="2"/>
        <v>6156</v>
      </c>
      <c r="W20" s="53">
        <v>4</v>
      </c>
      <c r="X20" s="53" t="s">
        <v>46</v>
      </c>
      <c r="Y20" s="53" t="s">
        <v>84</v>
      </c>
      <c r="Z20" s="53" t="s">
        <v>40</v>
      </c>
      <c r="AA20" s="53" t="s">
        <v>90</v>
      </c>
      <c r="AB20" s="53" t="s">
        <v>241</v>
      </c>
      <c r="AP20" s="27" t="s">
        <v>113</v>
      </c>
      <c r="AR20" s="23" t="s">
        <v>105</v>
      </c>
      <c r="AV20" s="27" t="s">
        <v>135</v>
      </c>
    </row>
    <row r="21" spans="1:48" x14ac:dyDescent="0.15">
      <c r="A21" s="53" t="s">
        <v>56</v>
      </c>
      <c r="B21" s="53" t="s">
        <v>237</v>
      </c>
      <c r="C21" s="53">
        <v>2019</v>
      </c>
      <c r="D21" s="81" t="s">
        <v>238</v>
      </c>
      <c r="E21" s="53" t="s">
        <v>257</v>
      </c>
      <c r="F21" s="53" t="s">
        <v>258</v>
      </c>
      <c r="G21" s="53" t="s">
        <v>42</v>
      </c>
      <c r="H21" s="53" t="s">
        <v>164</v>
      </c>
      <c r="I21" s="53" t="s">
        <v>159</v>
      </c>
      <c r="J21" s="53" t="s">
        <v>38</v>
      </c>
      <c r="K21" s="53" t="s">
        <v>87</v>
      </c>
      <c r="L21" s="53">
        <v>2</v>
      </c>
      <c r="N21" s="53">
        <v>1</v>
      </c>
      <c r="O21" s="53">
        <v>0.75</v>
      </c>
      <c r="P21" s="53">
        <v>0.75</v>
      </c>
      <c r="Q21" s="74">
        <f t="shared" si="0"/>
        <v>0.75</v>
      </c>
      <c r="R21" s="53">
        <v>15.9</v>
      </c>
      <c r="S21" s="53">
        <v>107</v>
      </c>
      <c r="T21" s="16">
        <f t="shared" si="1"/>
        <v>36</v>
      </c>
      <c r="U21" s="53">
        <v>171</v>
      </c>
      <c r="V21" s="16">
        <f t="shared" si="2"/>
        <v>6156</v>
      </c>
      <c r="W21" s="53">
        <v>4</v>
      </c>
      <c r="X21" s="53" t="s">
        <v>46</v>
      </c>
      <c r="Y21" s="53" t="s">
        <v>84</v>
      </c>
      <c r="Z21" s="53" t="s">
        <v>40</v>
      </c>
      <c r="AA21" s="53" t="s">
        <v>90</v>
      </c>
      <c r="AB21" s="53" t="s">
        <v>241</v>
      </c>
      <c r="AP21" s="27" t="s">
        <v>114</v>
      </c>
      <c r="AR21" s="23" t="s">
        <v>68</v>
      </c>
      <c r="AV21" s="28" t="s">
        <v>259</v>
      </c>
    </row>
    <row r="22" spans="1:48" x14ac:dyDescent="0.15">
      <c r="A22" s="53" t="s">
        <v>56</v>
      </c>
      <c r="B22" s="53" t="s">
        <v>237</v>
      </c>
      <c r="C22" s="53">
        <v>2019</v>
      </c>
      <c r="D22" s="81" t="s">
        <v>238</v>
      </c>
      <c r="E22" s="53" t="s">
        <v>257</v>
      </c>
      <c r="F22" s="53" t="s">
        <v>258</v>
      </c>
      <c r="G22" s="53" t="s">
        <v>42</v>
      </c>
      <c r="H22" s="53" t="s">
        <v>164</v>
      </c>
      <c r="I22" s="53" t="s">
        <v>159</v>
      </c>
      <c r="J22" s="53" t="s">
        <v>38</v>
      </c>
      <c r="K22" s="53" t="s">
        <v>87</v>
      </c>
      <c r="L22" s="53">
        <v>3</v>
      </c>
      <c r="N22" s="53">
        <v>1</v>
      </c>
      <c r="O22" s="53">
        <v>0.75</v>
      </c>
      <c r="P22" s="53">
        <v>0.8</v>
      </c>
      <c r="Q22" s="74">
        <f t="shared" si="0"/>
        <v>0.77500000000000002</v>
      </c>
      <c r="R22" s="53">
        <v>15.5</v>
      </c>
      <c r="S22" s="53">
        <v>106</v>
      </c>
      <c r="T22" s="16">
        <f t="shared" si="1"/>
        <v>36</v>
      </c>
      <c r="U22" s="53">
        <v>171</v>
      </c>
      <c r="V22" s="16">
        <f t="shared" si="2"/>
        <v>6156</v>
      </c>
      <c r="W22" s="53">
        <v>4</v>
      </c>
      <c r="X22" s="53" t="s">
        <v>46</v>
      </c>
      <c r="Y22" s="53" t="s">
        <v>84</v>
      </c>
      <c r="Z22" s="53" t="s">
        <v>40</v>
      </c>
      <c r="AA22" s="53" t="s">
        <v>90</v>
      </c>
      <c r="AB22" s="53" t="s">
        <v>241</v>
      </c>
      <c r="AP22" s="27" t="s">
        <v>115</v>
      </c>
      <c r="AR22" s="23" t="s">
        <v>83</v>
      </c>
    </row>
    <row r="23" spans="1:48" x14ac:dyDescent="0.15">
      <c r="A23" s="53" t="s">
        <v>56</v>
      </c>
      <c r="B23" s="53" t="s">
        <v>237</v>
      </c>
      <c r="C23" s="53">
        <v>2019</v>
      </c>
      <c r="D23" s="81" t="s">
        <v>238</v>
      </c>
      <c r="E23" s="53" t="s">
        <v>260</v>
      </c>
      <c r="F23" s="53" t="s">
        <v>256</v>
      </c>
      <c r="G23" s="53" t="s">
        <v>42</v>
      </c>
      <c r="H23" s="53" t="s">
        <v>163</v>
      </c>
      <c r="I23" s="53" t="s">
        <v>159</v>
      </c>
      <c r="J23" s="53" t="s">
        <v>38</v>
      </c>
      <c r="K23" s="53" t="s">
        <v>160</v>
      </c>
      <c r="L23" s="53">
        <v>1</v>
      </c>
      <c r="N23" s="53">
        <v>1</v>
      </c>
      <c r="O23" s="53">
        <v>0.75</v>
      </c>
      <c r="P23" s="53">
        <v>0.75</v>
      </c>
      <c r="Q23" s="16">
        <f t="shared" si="0"/>
        <v>0.75</v>
      </c>
      <c r="R23" s="53">
        <v>14.4</v>
      </c>
      <c r="S23" s="53">
        <v>118</v>
      </c>
      <c r="T23" s="16">
        <f t="shared" si="1"/>
        <v>30</v>
      </c>
      <c r="U23" s="53">
        <v>105</v>
      </c>
      <c r="V23" s="16">
        <f t="shared" si="2"/>
        <v>3150</v>
      </c>
      <c r="W23" s="53">
        <v>2</v>
      </c>
      <c r="X23" s="53" t="s">
        <v>39</v>
      </c>
      <c r="Y23" s="53" t="s">
        <v>90</v>
      </c>
      <c r="Z23" s="53" t="s">
        <v>84</v>
      </c>
      <c r="AA23" s="53" t="s">
        <v>55</v>
      </c>
      <c r="AB23" s="53" t="s">
        <v>241</v>
      </c>
      <c r="AP23" s="27" t="s">
        <v>137</v>
      </c>
      <c r="AR23" s="23" t="s">
        <v>61</v>
      </c>
    </row>
    <row r="24" spans="1:48" x14ac:dyDescent="0.15">
      <c r="A24" s="53" t="s">
        <v>56</v>
      </c>
      <c r="B24" s="53" t="s">
        <v>237</v>
      </c>
      <c r="C24" s="53">
        <v>2019</v>
      </c>
      <c r="D24" s="81" t="s">
        <v>238</v>
      </c>
      <c r="E24" s="53" t="s">
        <v>260</v>
      </c>
      <c r="F24" s="53" t="s">
        <v>256</v>
      </c>
      <c r="G24" s="53" t="s">
        <v>42</v>
      </c>
      <c r="H24" s="53" t="s">
        <v>163</v>
      </c>
      <c r="I24" s="53" t="s">
        <v>159</v>
      </c>
      <c r="J24" s="53" t="s">
        <v>38</v>
      </c>
      <c r="K24" s="53" t="s">
        <v>160</v>
      </c>
      <c r="L24" s="53">
        <v>2</v>
      </c>
      <c r="N24" s="53">
        <v>1</v>
      </c>
      <c r="O24" s="53">
        <v>0.8</v>
      </c>
      <c r="P24" s="53">
        <v>0.75</v>
      </c>
      <c r="Q24" s="16">
        <f t="shared" si="0"/>
        <v>0.77500000000000002</v>
      </c>
      <c r="R24" s="53">
        <v>13.5</v>
      </c>
      <c r="S24" s="53">
        <v>126</v>
      </c>
      <c r="T24" s="16">
        <f t="shared" si="1"/>
        <v>27</v>
      </c>
      <c r="U24" s="53">
        <v>105</v>
      </c>
      <c r="V24" s="16">
        <f t="shared" si="2"/>
        <v>2835</v>
      </c>
      <c r="W24" s="53">
        <v>2</v>
      </c>
      <c r="X24" s="53" t="s">
        <v>39</v>
      </c>
      <c r="Y24" s="53" t="s">
        <v>90</v>
      </c>
      <c r="Z24" s="53" t="s">
        <v>84</v>
      </c>
      <c r="AA24" s="53" t="s">
        <v>55</v>
      </c>
      <c r="AB24" s="53" t="s">
        <v>241</v>
      </c>
      <c r="AP24" s="27" t="s">
        <v>138</v>
      </c>
      <c r="AR24" s="23" t="s">
        <v>91</v>
      </c>
    </row>
    <row r="25" spans="1:48" x14ac:dyDescent="0.15">
      <c r="A25" s="53" t="s">
        <v>56</v>
      </c>
      <c r="B25" s="53" t="s">
        <v>237</v>
      </c>
      <c r="C25" s="53">
        <v>2019</v>
      </c>
      <c r="D25" s="81" t="s">
        <v>238</v>
      </c>
      <c r="E25" s="53" t="s">
        <v>260</v>
      </c>
      <c r="F25" s="53" t="s">
        <v>256</v>
      </c>
      <c r="G25" s="53" t="s">
        <v>42</v>
      </c>
      <c r="H25" s="53" t="s">
        <v>163</v>
      </c>
      <c r="I25" s="53" t="s">
        <v>159</v>
      </c>
      <c r="J25" s="53" t="s">
        <v>38</v>
      </c>
      <c r="K25" s="53" t="s">
        <v>160</v>
      </c>
      <c r="L25" s="53">
        <v>3</v>
      </c>
      <c r="N25" s="53">
        <v>1</v>
      </c>
      <c r="O25" s="53">
        <v>0.75</v>
      </c>
      <c r="P25" s="53">
        <v>0.8</v>
      </c>
      <c r="Q25" s="16">
        <f t="shared" si="0"/>
        <v>0.77500000000000002</v>
      </c>
      <c r="R25" s="53">
        <v>12.6</v>
      </c>
      <c r="S25" s="53">
        <v>118</v>
      </c>
      <c r="T25" s="16">
        <f t="shared" si="1"/>
        <v>30</v>
      </c>
      <c r="U25" s="53">
        <v>105</v>
      </c>
      <c r="V25" s="16">
        <f t="shared" si="2"/>
        <v>3150</v>
      </c>
      <c r="W25" s="53">
        <v>2</v>
      </c>
      <c r="X25" s="53" t="s">
        <v>39</v>
      </c>
      <c r="Y25" s="53" t="s">
        <v>90</v>
      </c>
      <c r="Z25" s="53" t="s">
        <v>84</v>
      </c>
      <c r="AA25" s="53" t="s">
        <v>55</v>
      </c>
      <c r="AB25" s="53" t="s">
        <v>241</v>
      </c>
      <c r="AP25" s="27" t="s">
        <v>116</v>
      </c>
      <c r="AR25" s="27" t="s">
        <v>92</v>
      </c>
    </row>
    <row r="26" spans="1:48" x14ac:dyDescent="0.15">
      <c r="A26" s="53" t="s">
        <v>56</v>
      </c>
      <c r="B26" s="53" t="s">
        <v>237</v>
      </c>
      <c r="C26" s="53">
        <v>2019</v>
      </c>
      <c r="D26" s="81" t="s">
        <v>238</v>
      </c>
      <c r="E26" s="53" t="s">
        <v>260</v>
      </c>
      <c r="F26" s="53" t="s">
        <v>256</v>
      </c>
      <c r="G26" s="53" t="s">
        <v>42</v>
      </c>
      <c r="H26" s="53" t="s">
        <v>128</v>
      </c>
      <c r="I26" s="53" t="s">
        <v>159</v>
      </c>
      <c r="J26" s="53" t="s">
        <v>80</v>
      </c>
      <c r="K26" s="53" t="s">
        <v>63</v>
      </c>
      <c r="L26" s="53">
        <v>1</v>
      </c>
      <c r="N26" s="53">
        <v>8</v>
      </c>
      <c r="O26" s="53">
        <v>0.85</v>
      </c>
      <c r="P26" s="53">
        <v>0.9</v>
      </c>
      <c r="Q26" s="16">
        <f t="shared" si="0"/>
        <v>0.875</v>
      </c>
      <c r="R26" s="53">
        <v>17.2</v>
      </c>
      <c r="S26" s="53">
        <v>84</v>
      </c>
      <c r="T26" s="16">
        <f t="shared" si="1"/>
        <v>36</v>
      </c>
      <c r="U26" s="53">
        <v>429</v>
      </c>
      <c r="V26" s="16">
        <f t="shared" si="2"/>
        <v>1930.5</v>
      </c>
      <c r="W26" s="53">
        <v>2</v>
      </c>
      <c r="X26" s="53" t="s">
        <v>39</v>
      </c>
      <c r="Y26" s="53" t="s">
        <v>90</v>
      </c>
      <c r="Z26" s="53" t="s">
        <v>84</v>
      </c>
      <c r="AA26" s="53" t="s">
        <v>55</v>
      </c>
      <c r="AB26" s="53" t="s">
        <v>241</v>
      </c>
      <c r="AP26" s="27" t="s">
        <v>117</v>
      </c>
      <c r="AR26" s="53" t="s">
        <v>153</v>
      </c>
    </row>
    <row r="27" spans="1:48" x14ac:dyDescent="0.15">
      <c r="A27" s="53" t="s">
        <v>56</v>
      </c>
      <c r="B27" s="53" t="s">
        <v>237</v>
      </c>
      <c r="C27" s="53">
        <v>2019</v>
      </c>
      <c r="D27" s="81" t="s">
        <v>238</v>
      </c>
      <c r="E27" s="53" t="s">
        <v>260</v>
      </c>
      <c r="F27" s="53" t="s">
        <v>256</v>
      </c>
      <c r="G27" s="53" t="s">
        <v>42</v>
      </c>
      <c r="H27" s="53" t="s">
        <v>128</v>
      </c>
      <c r="I27" s="53" t="s">
        <v>159</v>
      </c>
      <c r="J27" s="53" t="s">
        <v>80</v>
      </c>
      <c r="K27" s="53" t="s">
        <v>63</v>
      </c>
      <c r="L27" s="53">
        <v>2</v>
      </c>
      <c r="N27" s="53">
        <v>8</v>
      </c>
      <c r="O27" s="53">
        <v>0.8</v>
      </c>
      <c r="P27" s="53">
        <v>0.8</v>
      </c>
      <c r="Q27" s="16">
        <f t="shared" si="0"/>
        <v>0.8</v>
      </c>
      <c r="R27" s="53">
        <v>16</v>
      </c>
      <c r="S27" s="53">
        <v>78</v>
      </c>
      <c r="T27" s="16">
        <f t="shared" si="1"/>
        <v>39</v>
      </c>
      <c r="U27" s="53">
        <v>429</v>
      </c>
      <c r="V27" s="16">
        <f t="shared" si="2"/>
        <v>2091.375</v>
      </c>
      <c r="W27" s="53">
        <v>2</v>
      </c>
      <c r="X27" s="53" t="s">
        <v>39</v>
      </c>
      <c r="Y27" s="53" t="s">
        <v>90</v>
      </c>
      <c r="Z27" s="53" t="s">
        <v>84</v>
      </c>
      <c r="AA27" s="53" t="s">
        <v>55</v>
      </c>
      <c r="AB27" s="53" t="s">
        <v>241</v>
      </c>
      <c r="AP27" s="27" t="s">
        <v>118</v>
      </c>
    </row>
    <row r="28" spans="1:48" x14ac:dyDescent="0.15">
      <c r="A28" s="53" t="s">
        <v>56</v>
      </c>
      <c r="B28" s="53" t="s">
        <v>237</v>
      </c>
      <c r="C28" s="53">
        <v>2019</v>
      </c>
      <c r="D28" s="81" t="s">
        <v>238</v>
      </c>
      <c r="E28" s="53" t="s">
        <v>260</v>
      </c>
      <c r="F28" s="53" t="s">
        <v>256</v>
      </c>
      <c r="G28" s="53" t="s">
        <v>42</v>
      </c>
      <c r="H28" s="53" t="s">
        <v>128</v>
      </c>
      <c r="I28" s="53" t="s">
        <v>159</v>
      </c>
      <c r="J28" s="53" t="s">
        <v>80</v>
      </c>
      <c r="K28" s="53" t="s">
        <v>63</v>
      </c>
      <c r="L28" s="53">
        <v>3</v>
      </c>
      <c r="N28" s="53">
        <v>8</v>
      </c>
      <c r="O28" s="53">
        <v>0.7</v>
      </c>
      <c r="P28" s="53">
        <v>0.75</v>
      </c>
      <c r="Q28" s="16">
        <f t="shared" si="0"/>
        <v>0.72499999999999998</v>
      </c>
      <c r="R28" s="53">
        <v>15.7</v>
      </c>
      <c r="S28" s="53">
        <v>83</v>
      </c>
      <c r="T28" s="16">
        <f t="shared" si="1"/>
        <v>39</v>
      </c>
      <c r="U28" s="53">
        <v>429</v>
      </c>
      <c r="V28" s="16">
        <f t="shared" si="2"/>
        <v>2091.375</v>
      </c>
      <c r="W28" s="53">
        <v>2</v>
      </c>
      <c r="X28" s="53" t="s">
        <v>39</v>
      </c>
      <c r="Y28" s="53" t="s">
        <v>90</v>
      </c>
      <c r="Z28" s="53" t="s">
        <v>84</v>
      </c>
      <c r="AA28" s="53" t="s">
        <v>55</v>
      </c>
      <c r="AB28" s="53" t="s">
        <v>241</v>
      </c>
    </row>
    <row r="29" spans="1:48" x14ac:dyDescent="0.15">
      <c r="A29" s="53" t="s">
        <v>56</v>
      </c>
      <c r="B29" s="53" t="s">
        <v>237</v>
      </c>
      <c r="C29" s="53">
        <v>2019</v>
      </c>
      <c r="D29" s="81" t="s">
        <v>238</v>
      </c>
      <c r="E29" s="53" t="s">
        <v>161</v>
      </c>
      <c r="F29" s="53" t="s">
        <v>253</v>
      </c>
      <c r="G29" s="53" t="s">
        <v>42</v>
      </c>
      <c r="H29" s="53" t="s">
        <v>163</v>
      </c>
      <c r="I29" s="53" t="s">
        <v>159</v>
      </c>
      <c r="J29" s="53" t="s">
        <v>38</v>
      </c>
      <c r="K29" s="53" t="s">
        <v>160</v>
      </c>
      <c r="L29" s="53">
        <v>1</v>
      </c>
      <c r="N29" s="53">
        <v>1</v>
      </c>
      <c r="O29" s="53">
        <v>0.75</v>
      </c>
      <c r="P29" s="53">
        <v>0.8</v>
      </c>
      <c r="Q29" s="16">
        <f t="shared" si="0"/>
        <v>0.77500000000000002</v>
      </c>
      <c r="R29" s="53">
        <v>17.100000000000001</v>
      </c>
      <c r="S29" s="53">
        <v>111</v>
      </c>
      <c r="T29" s="16">
        <f t="shared" si="1"/>
        <v>33</v>
      </c>
      <c r="U29" s="53">
        <v>106</v>
      </c>
      <c r="V29" s="16">
        <f t="shared" si="2"/>
        <v>3498</v>
      </c>
      <c r="W29" s="53">
        <v>2</v>
      </c>
      <c r="X29" s="53" t="s">
        <v>46</v>
      </c>
      <c r="Y29" s="53" t="s">
        <v>84</v>
      </c>
      <c r="Z29" s="53" t="s">
        <v>90</v>
      </c>
      <c r="AA29" s="53" t="s">
        <v>40</v>
      </c>
      <c r="AB29" s="53" t="s">
        <v>241</v>
      </c>
    </row>
    <row r="30" spans="1:48" x14ac:dyDescent="0.15">
      <c r="A30" s="53" t="s">
        <v>56</v>
      </c>
      <c r="B30" s="53" t="s">
        <v>237</v>
      </c>
      <c r="C30" s="53">
        <v>2019</v>
      </c>
      <c r="D30" s="81" t="s">
        <v>238</v>
      </c>
      <c r="E30" s="53" t="s">
        <v>161</v>
      </c>
      <c r="F30" s="53" t="s">
        <v>253</v>
      </c>
      <c r="G30" s="53" t="s">
        <v>42</v>
      </c>
      <c r="H30" s="53" t="s">
        <v>163</v>
      </c>
      <c r="I30" s="53" t="s">
        <v>159</v>
      </c>
      <c r="J30" s="53" t="s">
        <v>38</v>
      </c>
      <c r="K30" s="53" t="s">
        <v>160</v>
      </c>
      <c r="L30" s="53">
        <v>2</v>
      </c>
      <c r="N30" s="53">
        <v>1</v>
      </c>
      <c r="O30" s="53">
        <v>0.8</v>
      </c>
      <c r="P30" s="53">
        <v>0.85</v>
      </c>
      <c r="Q30" s="16">
        <f t="shared" si="0"/>
        <v>0.82499999999999996</v>
      </c>
      <c r="R30" s="53">
        <v>14.6</v>
      </c>
      <c r="S30" s="53">
        <v>114</v>
      </c>
      <c r="T30" s="16">
        <f t="shared" si="1"/>
        <v>30</v>
      </c>
      <c r="U30" s="53">
        <v>106</v>
      </c>
      <c r="V30" s="16">
        <f t="shared" si="2"/>
        <v>3180</v>
      </c>
      <c r="W30" s="53">
        <v>2</v>
      </c>
      <c r="X30" s="53" t="s">
        <v>46</v>
      </c>
      <c r="Y30" s="53" t="s">
        <v>84</v>
      </c>
      <c r="Z30" s="53" t="s">
        <v>90</v>
      </c>
      <c r="AA30" s="53" t="s">
        <v>40</v>
      </c>
      <c r="AB30" s="53" t="s">
        <v>241</v>
      </c>
    </row>
    <row r="31" spans="1:48" x14ac:dyDescent="0.15">
      <c r="A31" s="53" t="s">
        <v>56</v>
      </c>
      <c r="B31" s="53" t="s">
        <v>237</v>
      </c>
      <c r="C31" s="53">
        <v>2019</v>
      </c>
      <c r="D31" s="81" t="s">
        <v>238</v>
      </c>
      <c r="E31" s="53" t="s">
        <v>161</v>
      </c>
      <c r="F31" s="53" t="s">
        <v>253</v>
      </c>
      <c r="G31" s="53" t="s">
        <v>42</v>
      </c>
      <c r="H31" s="53" t="s">
        <v>163</v>
      </c>
      <c r="I31" s="53" t="s">
        <v>159</v>
      </c>
      <c r="J31" s="53" t="s">
        <v>38</v>
      </c>
      <c r="K31" s="53" t="s">
        <v>160</v>
      </c>
      <c r="L31" s="53">
        <v>3</v>
      </c>
      <c r="N31" s="53">
        <v>1</v>
      </c>
      <c r="O31" s="53">
        <v>0.9</v>
      </c>
      <c r="P31" s="53">
        <v>0.75</v>
      </c>
      <c r="Q31" s="16">
        <f t="shared" si="0"/>
        <v>0.82499999999999996</v>
      </c>
      <c r="R31" s="53">
        <v>12.5</v>
      </c>
      <c r="S31" s="53">
        <v>116</v>
      </c>
      <c r="T31" s="16">
        <f t="shared" si="1"/>
        <v>30</v>
      </c>
      <c r="U31" s="53">
        <v>106</v>
      </c>
      <c r="V31" s="16">
        <f t="shared" si="2"/>
        <v>3180</v>
      </c>
      <c r="W31" s="53">
        <v>2</v>
      </c>
      <c r="X31" s="53" t="s">
        <v>46</v>
      </c>
      <c r="Y31" s="53" t="s">
        <v>84</v>
      </c>
      <c r="Z31" s="53" t="s">
        <v>90</v>
      </c>
      <c r="AA31" s="53" t="s">
        <v>40</v>
      </c>
      <c r="AB31" s="53" t="s">
        <v>241</v>
      </c>
    </row>
    <row r="32" spans="1:48" x14ac:dyDescent="0.15">
      <c r="A32" s="53" t="s">
        <v>56</v>
      </c>
      <c r="B32" s="53" t="s">
        <v>237</v>
      </c>
      <c r="C32" s="53">
        <v>2019</v>
      </c>
      <c r="D32" s="81" t="s">
        <v>238</v>
      </c>
      <c r="E32" s="53" t="s">
        <v>161</v>
      </c>
      <c r="F32" s="53" t="s">
        <v>253</v>
      </c>
      <c r="G32" s="53" t="s">
        <v>42</v>
      </c>
      <c r="H32" s="53" t="s">
        <v>128</v>
      </c>
      <c r="I32" s="53" t="s">
        <v>159</v>
      </c>
      <c r="J32" s="53" t="s">
        <v>80</v>
      </c>
      <c r="K32" s="53" t="s">
        <v>63</v>
      </c>
      <c r="L32" s="53">
        <v>1</v>
      </c>
      <c r="N32" s="53">
        <v>1</v>
      </c>
      <c r="O32" s="53">
        <v>0.5</v>
      </c>
      <c r="P32" s="53">
        <v>0.5</v>
      </c>
      <c r="Q32" s="16">
        <f t="shared" si="0"/>
        <v>0.5</v>
      </c>
      <c r="R32" s="53">
        <v>16.2</v>
      </c>
      <c r="S32" s="53">
        <v>109</v>
      </c>
      <c r="T32" s="16">
        <f t="shared" si="1"/>
        <v>33</v>
      </c>
      <c r="U32" s="53">
        <v>106</v>
      </c>
      <c r="V32" s="16">
        <f t="shared" si="2"/>
        <v>3498</v>
      </c>
      <c r="W32" s="53">
        <v>2</v>
      </c>
      <c r="X32" s="53" t="s">
        <v>46</v>
      </c>
      <c r="Y32" s="53" t="s">
        <v>84</v>
      </c>
      <c r="Z32" s="53" t="s">
        <v>90</v>
      </c>
      <c r="AA32" s="53" t="s">
        <v>40</v>
      </c>
      <c r="AB32" s="53" t="s">
        <v>241</v>
      </c>
    </row>
    <row r="33" spans="1:28" x14ac:dyDescent="0.15">
      <c r="A33" s="53" t="s">
        <v>56</v>
      </c>
      <c r="B33" s="53" t="s">
        <v>237</v>
      </c>
      <c r="C33" s="53">
        <v>2019</v>
      </c>
      <c r="D33" s="81" t="s">
        <v>238</v>
      </c>
      <c r="E33" s="53" t="s">
        <v>161</v>
      </c>
      <c r="F33" s="53" t="s">
        <v>253</v>
      </c>
      <c r="G33" s="53" t="s">
        <v>42</v>
      </c>
      <c r="H33" s="53" t="s">
        <v>128</v>
      </c>
      <c r="I33" s="53" t="s">
        <v>159</v>
      </c>
      <c r="J33" s="53" t="s">
        <v>80</v>
      </c>
      <c r="K33" s="53" t="s">
        <v>63</v>
      </c>
      <c r="L33" s="53">
        <v>2</v>
      </c>
      <c r="N33" s="53">
        <v>1</v>
      </c>
      <c r="O33" s="53">
        <v>0.55000000000000004</v>
      </c>
      <c r="P33" s="53">
        <v>0.55000000000000004</v>
      </c>
      <c r="Q33" s="16">
        <f t="shared" si="0"/>
        <v>0.55000000000000004</v>
      </c>
      <c r="R33" s="53">
        <v>17.399999999999999</v>
      </c>
      <c r="S33" s="53">
        <v>112</v>
      </c>
      <c r="T33" s="16">
        <f t="shared" si="1"/>
        <v>33</v>
      </c>
      <c r="U33" s="53">
        <v>106</v>
      </c>
      <c r="V33" s="16">
        <f t="shared" si="2"/>
        <v>3498</v>
      </c>
      <c r="W33" s="53">
        <v>2</v>
      </c>
      <c r="X33" s="53" t="s">
        <v>46</v>
      </c>
      <c r="Y33" s="53" t="s">
        <v>84</v>
      </c>
      <c r="Z33" s="53" t="s">
        <v>90</v>
      </c>
      <c r="AA33" s="53" t="s">
        <v>40</v>
      </c>
      <c r="AB33" s="53" t="s">
        <v>241</v>
      </c>
    </row>
    <row r="34" spans="1:28" x14ac:dyDescent="0.15">
      <c r="A34" s="53" t="s">
        <v>56</v>
      </c>
      <c r="B34" s="53" t="s">
        <v>237</v>
      </c>
      <c r="C34" s="53">
        <v>2019</v>
      </c>
      <c r="D34" s="81" t="s">
        <v>238</v>
      </c>
      <c r="E34" s="53" t="s">
        <v>161</v>
      </c>
      <c r="F34" s="53" t="s">
        <v>253</v>
      </c>
      <c r="G34" s="53" t="s">
        <v>42</v>
      </c>
      <c r="H34" s="53" t="s">
        <v>128</v>
      </c>
      <c r="I34" s="53" t="s">
        <v>159</v>
      </c>
      <c r="J34" s="53" t="s">
        <v>80</v>
      </c>
      <c r="K34" s="53" t="s">
        <v>63</v>
      </c>
      <c r="L34" s="53">
        <v>3</v>
      </c>
      <c r="N34" s="53">
        <v>1</v>
      </c>
      <c r="O34" s="53">
        <v>0.75</v>
      </c>
      <c r="P34" s="53">
        <v>0.75</v>
      </c>
      <c r="Q34" s="16">
        <f t="shared" si="0"/>
        <v>0.75</v>
      </c>
      <c r="R34" s="53">
        <v>17.3</v>
      </c>
      <c r="S34" s="53">
        <v>111</v>
      </c>
      <c r="T34" s="16">
        <f t="shared" si="1"/>
        <v>33</v>
      </c>
      <c r="U34" s="53">
        <v>106</v>
      </c>
      <c r="V34" s="16">
        <f t="shared" si="2"/>
        <v>3498</v>
      </c>
      <c r="W34" s="53">
        <v>2</v>
      </c>
      <c r="X34" s="53" t="s">
        <v>46</v>
      </c>
      <c r="Y34" s="53" t="s">
        <v>84</v>
      </c>
      <c r="Z34" s="53" t="s">
        <v>90</v>
      </c>
      <c r="AA34" s="53" t="s">
        <v>40</v>
      </c>
      <c r="AB34" s="53" t="s">
        <v>241</v>
      </c>
    </row>
    <row r="35" spans="1:28" x14ac:dyDescent="0.15">
      <c r="A35" s="53" t="s">
        <v>56</v>
      </c>
      <c r="B35" s="53" t="s">
        <v>237</v>
      </c>
      <c r="C35" s="53">
        <v>2019</v>
      </c>
      <c r="D35" s="81" t="s">
        <v>238</v>
      </c>
      <c r="E35" s="53" t="s">
        <v>261</v>
      </c>
      <c r="F35" s="53" t="s">
        <v>253</v>
      </c>
      <c r="G35" s="53" t="s">
        <v>42</v>
      </c>
      <c r="H35" s="53" t="s">
        <v>163</v>
      </c>
      <c r="I35" s="53" t="s">
        <v>159</v>
      </c>
      <c r="J35" s="53" t="s">
        <v>38</v>
      </c>
      <c r="K35" s="53" t="s">
        <v>160</v>
      </c>
      <c r="L35" s="53">
        <v>1</v>
      </c>
      <c r="N35" s="53">
        <v>1</v>
      </c>
      <c r="O35" s="53">
        <v>2</v>
      </c>
      <c r="P35" s="53">
        <v>2.25</v>
      </c>
      <c r="Q35" s="16">
        <f t="shared" si="0"/>
        <v>2.125</v>
      </c>
      <c r="R35" s="53">
        <v>14.9</v>
      </c>
      <c r="S35" s="53">
        <v>129</v>
      </c>
      <c r="T35" s="16">
        <f t="shared" si="1"/>
        <v>25</v>
      </c>
      <c r="U35" s="53">
        <v>138</v>
      </c>
      <c r="V35" s="16">
        <f t="shared" si="2"/>
        <v>3450</v>
      </c>
      <c r="W35" s="53">
        <v>1</v>
      </c>
      <c r="X35" s="53" t="s">
        <v>39</v>
      </c>
      <c r="Y35" s="53" t="s">
        <v>84</v>
      </c>
      <c r="Z35" s="53" t="s">
        <v>90</v>
      </c>
      <c r="AA35" s="53" t="s">
        <v>40</v>
      </c>
      <c r="AB35" s="53" t="s">
        <v>241</v>
      </c>
    </row>
    <row r="36" spans="1:28" x14ac:dyDescent="0.15">
      <c r="A36" s="53" t="s">
        <v>56</v>
      </c>
      <c r="B36" s="53" t="s">
        <v>237</v>
      </c>
      <c r="C36" s="53">
        <v>2019</v>
      </c>
      <c r="D36" s="81" t="s">
        <v>238</v>
      </c>
      <c r="E36" s="53" t="s">
        <v>261</v>
      </c>
      <c r="F36" s="53" t="s">
        <v>253</v>
      </c>
      <c r="G36" s="53" t="s">
        <v>42</v>
      </c>
      <c r="H36" s="53" t="s">
        <v>163</v>
      </c>
      <c r="I36" s="53" t="s">
        <v>159</v>
      </c>
      <c r="J36" s="53" t="s">
        <v>38</v>
      </c>
      <c r="K36" s="53" t="s">
        <v>160</v>
      </c>
      <c r="L36" s="53">
        <v>2</v>
      </c>
      <c r="N36" s="53">
        <v>1</v>
      </c>
      <c r="O36" s="53">
        <v>2.35</v>
      </c>
      <c r="P36" s="53">
        <v>2.25</v>
      </c>
      <c r="Q36" s="16">
        <f t="shared" si="0"/>
        <v>2.2999999999999998</v>
      </c>
      <c r="R36" s="53">
        <v>13.3</v>
      </c>
      <c r="S36" s="53">
        <v>132</v>
      </c>
      <c r="T36" s="16">
        <f t="shared" si="1"/>
        <v>25</v>
      </c>
      <c r="U36" s="53">
        <v>138</v>
      </c>
      <c r="V36" s="16">
        <f t="shared" si="2"/>
        <v>3450</v>
      </c>
      <c r="W36" s="53">
        <v>1</v>
      </c>
      <c r="X36" s="53" t="s">
        <v>39</v>
      </c>
      <c r="Y36" s="53" t="s">
        <v>84</v>
      </c>
      <c r="Z36" s="53" t="s">
        <v>90</v>
      </c>
      <c r="AA36" s="53" t="s">
        <v>40</v>
      </c>
      <c r="AB36" s="53" t="s">
        <v>241</v>
      </c>
    </row>
    <row r="37" spans="1:28" x14ac:dyDescent="0.15">
      <c r="A37" s="53" t="s">
        <v>56</v>
      </c>
      <c r="B37" s="53" t="s">
        <v>237</v>
      </c>
      <c r="C37" s="53">
        <v>2019</v>
      </c>
      <c r="D37" s="81" t="s">
        <v>238</v>
      </c>
      <c r="E37" s="53" t="s">
        <v>261</v>
      </c>
      <c r="F37" s="53" t="s">
        <v>253</v>
      </c>
      <c r="G37" s="53" t="s">
        <v>42</v>
      </c>
      <c r="H37" s="53" t="s">
        <v>163</v>
      </c>
      <c r="I37" s="53" t="s">
        <v>159</v>
      </c>
      <c r="J37" s="53" t="s">
        <v>38</v>
      </c>
      <c r="K37" s="53" t="s">
        <v>160</v>
      </c>
      <c r="L37" s="53">
        <v>3</v>
      </c>
      <c r="N37" s="53">
        <v>1</v>
      </c>
      <c r="O37" s="53">
        <v>2</v>
      </c>
      <c r="P37" s="53">
        <v>2</v>
      </c>
      <c r="Q37" s="16">
        <f t="shared" si="0"/>
        <v>2</v>
      </c>
      <c r="R37" s="53">
        <v>14.1</v>
      </c>
      <c r="S37" s="53">
        <v>132</v>
      </c>
      <c r="T37" s="16">
        <f t="shared" si="1"/>
        <v>25</v>
      </c>
      <c r="U37" s="53">
        <v>138</v>
      </c>
      <c r="V37" s="16">
        <f t="shared" si="2"/>
        <v>3450</v>
      </c>
      <c r="W37" s="53">
        <v>1</v>
      </c>
      <c r="X37" s="53" t="s">
        <v>39</v>
      </c>
      <c r="Y37" s="53" t="s">
        <v>84</v>
      </c>
      <c r="Z37" s="53" t="s">
        <v>90</v>
      </c>
      <c r="AA37" s="53" t="s">
        <v>40</v>
      </c>
      <c r="AB37" s="53" t="s">
        <v>241</v>
      </c>
    </row>
    <row r="38" spans="1:28" x14ac:dyDescent="0.15">
      <c r="A38" s="53" t="s">
        <v>56</v>
      </c>
      <c r="B38" s="53" t="s">
        <v>237</v>
      </c>
      <c r="C38" s="53">
        <v>2019</v>
      </c>
      <c r="D38" s="81" t="s">
        <v>238</v>
      </c>
      <c r="E38" s="53" t="s">
        <v>261</v>
      </c>
      <c r="F38" s="53" t="s">
        <v>253</v>
      </c>
      <c r="G38" s="53" t="s">
        <v>42</v>
      </c>
      <c r="H38" s="53" t="s">
        <v>127</v>
      </c>
      <c r="I38" s="53" t="s">
        <v>159</v>
      </c>
      <c r="J38" s="53" t="s">
        <v>80</v>
      </c>
      <c r="K38" s="53" t="s">
        <v>94</v>
      </c>
      <c r="L38" s="53">
        <v>1</v>
      </c>
      <c r="N38" s="53">
        <v>5</v>
      </c>
      <c r="O38" s="53">
        <v>0.85</v>
      </c>
      <c r="P38" s="53">
        <v>0.95</v>
      </c>
      <c r="Q38" s="16">
        <f t="shared" si="0"/>
        <v>0.89999999999999991</v>
      </c>
      <c r="R38" s="53">
        <v>15.7</v>
      </c>
      <c r="S38" s="53">
        <v>85</v>
      </c>
      <c r="T38" s="16">
        <f t="shared" si="1"/>
        <v>36</v>
      </c>
      <c r="U38" s="53">
        <v>214</v>
      </c>
      <c r="V38" s="16">
        <f t="shared" si="2"/>
        <v>1540.8</v>
      </c>
      <c r="W38" s="53">
        <v>1</v>
      </c>
      <c r="X38" s="53" t="s">
        <v>39</v>
      </c>
      <c r="Y38" s="53" t="s">
        <v>84</v>
      </c>
      <c r="Z38" s="53" t="s">
        <v>90</v>
      </c>
      <c r="AA38" s="53" t="s">
        <v>40</v>
      </c>
      <c r="AB38" s="53" t="s">
        <v>241</v>
      </c>
    </row>
    <row r="39" spans="1:28" x14ac:dyDescent="0.15">
      <c r="A39" s="53" t="s">
        <v>56</v>
      </c>
      <c r="B39" s="53" t="s">
        <v>237</v>
      </c>
      <c r="C39" s="53">
        <v>2019</v>
      </c>
      <c r="D39" s="81" t="s">
        <v>238</v>
      </c>
      <c r="E39" s="53" t="s">
        <v>261</v>
      </c>
      <c r="F39" s="53" t="s">
        <v>253</v>
      </c>
      <c r="G39" s="53" t="s">
        <v>42</v>
      </c>
      <c r="H39" s="53" t="s">
        <v>127</v>
      </c>
      <c r="I39" s="53" t="s">
        <v>159</v>
      </c>
      <c r="J39" s="53" t="s">
        <v>80</v>
      </c>
      <c r="K39" s="53" t="s">
        <v>94</v>
      </c>
      <c r="L39" s="53">
        <v>2</v>
      </c>
      <c r="N39" s="53">
        <v>5</v>
      </c>
      <c r="O39" s="53">
        <v>0.9</v>
      </c>
      <c r="P39" s="53">
        <v>1</v>
      </c>
      <c r="Q39" s="16">
        <f t="shared" si="0"/>
        <v>0.95</v>
      </c>
      <c r="R39" s="53">
        <v>15.3</v>
      </c>
      <c r="S39" s="53">
        <v>97</v>
      </c>
      <c r="T39" s="16">
        <f t="shared" si="1"/>
        <v>36</v>
      </c>
      <c r="U39" s="53">
        <v>214</v>
      </c>
      <c r="V39" s="16">
        <f t="shared" si="2"/>
        <v>1540.8</v>
      </c>
      <c r="W39" s="53">
        <v>1</v>
      </c>
      <c r="X39" s="53" t="s">
        <v>39</v>
      </c>
      <c r="Y39" s="53" t="s">
        <v>84</v>
      </c>
      <c r="Z39" s="53" t="s">
        <v>90</v>
      </c>
      <c r="AA39" s="53" t="s">
        <v>40</v>
      </c>
      <c r="AB39" s="53" t="s">
        <v>241</v>
      </c>
    </row>
    <row r="40" spans="1:28" x14ac:dyDescent="0.15">
      <c r="A40" s="53" t="s">
        <v>56</v>
      </c>
      <c r="B40" s="53" t="s">
        <v>237</v>
      </c>
      <c r="C40" s="53">
        <v>2019</v>
      </c>
      <c r="D40" s="81" t="s">
        <v>238</v>
      </c>
      <c r="E40" s="53" t="s">
        <v>261</v>
      </c>
      <c r="F40" s="53" t="s">
        <v>253</v>
      </c>
      <c r="G40" s="53" t="s">
        <v>42</v>
      </c>
      <c r="H40" s="53" t="s">
        <v>127</v>
      </c>
      <c r="I40" s="53" t="s">
        <v>159</v>
      </c>
      <c r="J40" s="53" t="s">
        <v>80</v>
      </c>
      <c r="K40" s="53" t="s">
        <v>94</v>
      </c>
      <c r="L40" s="53">
        <v>3</v>
      </c>
      <c r="N40" s="53">
        <v>5</v>
      </c>
      <c r="O40" s="53">
        <v>1</v>
      </c>
      <c r="P40" s="53">
        <v>1</v>
      </c>
      <c r="Q40" s="16">
        <f t="shared" si="0"/>
        <v>1</v>
      </c>
      <c r="R40" s="53">
        <v>14.5</v>
      </c>
      <c r="S40" s="53">
        <v>94</v>
      </c>
      <c r="T40" s="16">
        <f t="shared" si="1"/>
        <v>36</v>
      </c>
      <c r="U40" s="53">
        <v>214</v>
      </c>
      <c r="V40" s="16">
        <f t="shared" si="2"/>
        <v>1540.8</v>
      </c>
      <c r="W40" s="53">
        <v>1</v>
      </c>
      <c r="X40" s="53" t="s">
        <v>39</v>
      </c>
      <c r="Y40" s="53" t="s">
        <v>84</v>
      </c>
      <c r="Z40" s="53" t="s">
        <v>90</v>
      </c>
      <c r="AA40" s="53" t="s">
        <v>40</v>
      </c>
      <c r="AB40" s="53" t="s">
        <v>241</v>
      </c>
    </row>
    <row r="41" spans="1:28" x14ac:dyDescent="0.15">
      <c r="A41" s="53" t="s">
        <v>56</v>
      </c>
      <c r="B41" s="53" t="s">
        <v>237</v>
      </c>
      <c r="C41" s="53">
        <v>2019</v>
      </c>
      <c r="D41" s="81" t="s">
        <v>238</v>
      </c>
      <c r="E41" s="53" t="s">
        <v>262</v>
      </c>
      <c r="F41" s="53" t="s">
        <v>243</v>
      </c>
      <c r="G41" s="53" t="s">
        <v>42</v>
      </c>
      <c r="H41" s="53" t="s">
        <v>128</v>
      </c>
      <c r="I41" s="53" t="s">
        <v>159</v>
      </c>
      <c r="J41" s="53" t="s">
        <v>80</v>
      </c>
      <c r="K41" s="53" t="s">
        <v>63</v>
      </c>
      <c r="L41" s="53">
        <v>1</v>
      </c>
      <c r="N41" s="53">
        <v>4</v>
      </c>
      <c r="O41" s="53">
        <v>0.55000000000000004</v>
      </c>
      <c r="P41" s="53">
        <v>0.55000000000000004</v>
      </c>
      <c r="Q41" s="16">
        <f t="shared" si="0"/>
        <v>0.55000000000000004</v>
      </c>
      <c r="R41" s="53">
        <v>16.5</v>
      </c>
      <c r="S41" s="53">
        <v>98</v>
      </c>
      <c r="T41" s="16">
        <f t="shared" si="1"/>
        <v>36</v>
      </c>
      <c r="U41" s="53">
        <v>386</v>
      </c>
      <c r="V41" s="16">
        <f t="shared" si="2"/>
        <v>3474</v>
      </c>
      <c r="W41" s="53">
        <v>1</v>
      </c>
      <c r="X41" s="53" t="s">
        <v>39</v>
      </c>
      <c r="Y41" s="53" t="s">
        <v>84</v>
      </c>
      <c r="Z41" s="53" t="s">
        <v>90</v>
      </c>
      <c r="AA41" s="53" t="s">
        <v>40</v>
      </c>
      <c r="AB41" s="53" t="s">
        <v>241</v>
      </c>
    </row>
    <row r="42" spans="1:28" x14ac:dyDescent="0.15">
      <c r="A42" s="53" t="s">
        <v>56</v>
      </c>
      <c r="B42" s="53" t="s">
        <v>237</v>
      </c>
      <c r="C42" s="53">
        <v>2019</v>
      </c>
      <c r="D42" s="81" t="s">
        <v>238</v>
      </c>
      <c r="E42" s="53" t="s">
        <v>262</v>
      </c>
      <c r="F42" s="53" t="s">
        <v>243</v>
      </c>
      <c r="G42" s="53" t="s">
        <v>42</v>
      </c>
      <c r="H42" s="53" t="s">
        <v>128</v>
      </c>
      <c r="I42" s="53" t="s">
        <v>159</v>
      </c>
      <c r="J42" s="53" t="s">
        <v>80</v>
      </c>
      <c r="K42" s="53" t="s">
        <v>63</v>
      </c>
      <c r="L42" s="53">
        <v>2</v>
      </c>
      <c r="N42" s="53">
        <v>4</v>
      </c>
      <c r="O42" s="53">
        <v>0.5</v>
      </c>
      <c r="P42" s="53">
        <v>0.5</v>
      </c>
      <c r="Q42" s="16">
        <f t="shared" si="0"/>
        <v>0.5</v>
      </c>
      <c r="R42" s="53">
        <v>16.399999999999999</v>
      </c>
      <c r="S42" s="53">
        <v>95</v>
      </c>
      <c r="T42" s="16">
        <f t="shared" si="1"/>
        <v>36</v>
      </c>
      <c r="U42" s="53">
        <v>386</v>
      </c>
      <c r="V42" s="16">
        <f t="shared" si="2"/>
        <v>3474</v>
      </c>
      <c r="W42" s="53">
        <v>1</v>
      </c>
      <c r="X42" s="53" t="s">
        <v>39</v>
      </c>
      <c r="Y42" s="53" t="s">
        <v>84</v>
      </c>
      <c r="Z42" s="53" t="s">
        <v>90</v>
      </c>
      <c r="AA42" s="53" t="s">
        <v>40</v>
      </c>
      <c r="AB42" s="53" t="s">
        <v>241</v>
      </c>
    </row>
    <row r="43" spans="1:28" x14ac:dyDescent="0.15">
      <c r="A43" s="53" t="s">
        <v>56</v>
      </c>
      <c r="B43" s="53" t="s">
        <v>237</v>
      </c>
      <c r="C43" s="53">
        <v>2019</v>
      </c>
      <c r="D43" s="81" t="s">
        <v>238</v>
      </c>
      <c r="E43" s="53" t="s">
        <v>262</v>
      </c>
      <c r="F43" s="53" t="s">
        <v>243</v>
      </c>
      <c r="G43" s="53" t="s">
        <v>42</v>
      </c>
      <c r="H43" s="53" t="s">
        <v>128</v>
      </c>
      <c r="I43" s="53" t="s">
        <v>159</v>
      </c>
      <c r="J43" s="53" t="s">
        <v>80</v>
      </c>
      <c r="K43" s="53" t="s">
        <v>63</v>
      </c>
      <c r="L43" s="53">
        <v>3</v>
      </c>
      <c r="N43" s="53">
        <v>4</v>
      </c>
      <c r="O43" s="53">
        <v>0.55000000000000004</v>
      </c>
      <c r="P43" s="53">
        <v>0.5</v>
      </c>
      <c r="Q43" s="16">
        <f t="shared" si="0"/>
        <v>0.52500000000000002</v>
      </c>
      <c r="R43" s="53">
        <v>16.7</v>
      </c>
      <c r="S43" s="53">
        <v>100</v>
      </c>
      <c r="T43" s="16">
        <f t="shared" si="1"/>
        <v>33</v>
      </c>
      <c r="U43" s="53">
        <v>386</v>
      </c>
      <c r="V43" s="16">
        <f t="shared" si="2"/>
        <v>3184.5</v>
      </c>
      <c r="W43" s="53">
        <v>1</v>
      </c>
      <c r="X43" s="53" t="s">
        <v>39</v>
      </c>
      <c r="Y43" s="53" t="s">
        <v>84</v>
      </c>
      <c r="Z43" s="53" t="s">
        <v>90</v>
      </c>
      <c r="AA43" s="53" t="s">
        <v>40</v>
      </c>
      <c r="AB43" s="53" t="s">
        <v>241</v>
      </c>
    </row>
    <row r="44" spans="1:28" x14ac:dyDescent="0.15">
      <c r="A44" s="53" t="s">
        <v>56</v>
      </c>
      <c r="B44" s="53" t="s">
        <v>237</v>
      </c>
      <c r="C44" s="53">
        <v>2019</v>
      </c>
      <c r="D44" s="81" t="s">
        <v>238</v>
      </c>
      <c r="E44" s="53" t="s">
        <v>254</v>
      </c>
      <c r="F44" s="53" t="s">
        <v>256</v>
      </c>
      <c r="G44" s="53" t="s">
        <v>42</v>
      </c>
      <c r="H44" s="53" t="s">
        <v>163</v>
      </c>
      <c r="I44" s="53" t="s">
        <v>159</v>
      </c>
      <c r="J44" s="53" t="s">
        <v>38</v>
      </c>
      <c r="K44" s="53" t="s">
        <v>160</v>
      </c>
      <c r="L44" s="53">
        <v>1</v>
      </c>
      <c r="N44" s="53">
        <v>7</v>
      </c>
      <c r="O44" s="53">
        <v>0.65</v>
      </c>
      <c r="P44" s="53">
        <v>0.7</v>
      </c>
      <c r="Q44" s="16">
        <f t="shared" si="0"/>
        <v>0.67500000000000004</v>
      </c>
      <c r="R44" s="53">
        <v>15</v>
      </c>
      <c r="S44" s="53">
        <v>102</v>
      </c>
      <c r="T44" s="16">
        <f t="shared" si="1"/>
        <v>33</v>
      </c>
      <c r="U44" s="53">
        <v>430</v>
      </c>
      <c r="V44" s="16">
        <f t="shared" si="2"/>
        <v>2027.1428571428571</v>
      </c>
      <c r="W44" s="53">
        <v>4</v>
      </c>
      <c r="X44" s="53" t="s">
        <v>46</v>
      </c>
      <c r="Y44" s="53" t="s">
        <v>84</v>
      </c>
      <c r="Z44" s="53" t="s">
        <v>90</v>
      </c>
      <c r="AA44" s="53" t="s">
        <v>40</v>
      </c>
      <c r="AB44" s="53" t="s">
        <v>241</v>
      </c>
    </row>
    <row r="45" spans="1:28" x14ac:dyDescent="0.15">
      <c r="A45" s="53" t="s">
        <v>56</v>
      </c>
      <c r="B45" s="53" t="s">
        <v>237</v>
      </c>
      <c r="C45" s="53">
        <v>2019</v>
      </c>
      <c r="D45" s="81" t="s">
        <v>238</v>
      </c>
      <c r="E45" s="53" t="s">
        <v>254</v>
      </c>
      <c r="F45" s="53" t="s">
        <v>256</v>
      </c>
      <c r="G45" s="53" t="s">
        <v>42</v>
      </c>
      <c r="H45" s="53" t="s">
        <v>163</v>
      </c>
      <c r="I45" s="53" t="s">
        <v>159</v>
      </c>
      <c r="J45" s="53" t="s">
        <v>38</v>
      </c>
      <c r="K45" s="53" t="s">
        <v>160</v>
      </c>
      <c r="L45" s="53">
        <v>2</v>
      </c>
      <c r="N45" s="53">
        <v>7</v>
      </c>
      <c r="O45" s="53">
        <v>0.5</v>
      </c>
      <c r="P45" s="53">
        <v>0.5</v>
      </c>
      <c r="Q45" s="16">
        <f t="shared" si="0"/>
        <v>0.5</v>
      </c>
      <c r="R45" s="53">
        <v>14.3</v>
      </c>
      <c r="S45" s="53">
        <v>95</v>
      </c>
      <c r="T45" s="16">
        <f t="shared" si="1"/>
        <v>36</v>
      </c>
      <c r="U45" s="53">
        <v>430</v>
      </c>
      <c r="V45" s="16">
        <f t="shared" si="2"/>
        <v>2211.4285714285716</v>
      </c>
      <c r="W45" s="53">
        <v>4</v>
      </c>
      <c r="X45" s="53" t="s">
        <v>46</v>
      </c>
      <c r="Y45" s="53" t="s">
        <v>84</v>
      </c>
      <c r="Z45" s="53" t="s">
        <v>90</v>
      </c>
      <c r="AA45" s="53" t="s">
        <v>40</v>
      </c>
      <c r="AB45" s="53" t="s">
        <v>241</v>
      </c>
    </row>
    <row r="46" spans="1:28" x14ac:dyDescent="0.15">
      <c r="A46" s="53" t="s">
        <v>56</v>
      </c>
      <c r="B46" s="53" t="s">
        <v>237</v>
      </c>
      <c r="C46" s="53">
        <v>2019</v>
      </c>
      <c r="D46" s="81" t="s">
        <v>238</v>
      </c>
      <c r="E46" s="53" t="s">
        <v>254</v>
      </c>
      <c r="F46" s="53" t="s">
        <v>256</v>
      </c>
      <c r="G46" s="53" t="s">
        <v>42</v>
      </c>
      <c r="H46" s="53" t="s">
        <v>163</v>
      </c>
      <c r="I46" s="53" t="s">
        <v>159</v>
      </c>
      <c r="J46" s="53" t="s">
        <v>38</v>
      </c>
      <c r="K46" s="53" t="s">
        <v>160</v>
      </c>
      <c r="L46" s="53">
        <v>3</v>
      </c>
      <c r="N46" s="53">
        <v>7</v>
      </c>
      <c r="O46" s="53">
        <v>0.8</v>
      </c>
      <c r="P46" s="53">
        <v>0.75</v>
      </c>
      <c r="Q46" s="16">
        <f t="shared" si="0"/>
        <v>0.77500000000000002</v>
      </c>
      <c r="R46" s="53">
        <v>15.8</v>
      </c>
      <c r="S46" s="53">
        <v>101</v>
      </c>
      <c r="T46" s="16">
        <f t="shared" si="1"/>
        <v>33</v>
      </c>
      <c r="U46" s="53">
        <v>430</v>
      </c>
      <c r="V46" s="16">
        <f t="shared" si="2"/>
        <v>2027.1428571428571</v>
      </c>
      <c r="W46" s="53">
        <v>4</v>
      </c>
      <c r="X46" s="53" t="s">
        <v>46</v>
      </c>
      <c r="Y46" s="53" t="s">
        <v>84</v>
      </c>
      <c r="Z46" s="53" t="s">
        <v>90</v>
      </c>
      <c r="AA46" s="53" t="s">
        <v>40</v>
      </c>
      <c r="AB46" s="53" t="s">
        <v>241</v>
      </c>
    </row>
    <row r="47" spans="1:28" x14ac:dyDescent="0.15">
      <c r="A47" s="53" t="s">
        <v>56</v>
      </c>
      <c r="B47" s="53" t="s">
        <v>237</v>
      </c>
      <c r="C47" s="53">
        <v>2019</v>
      </c>
      <c r="D47" s="81" t="s">
        <v>238</v>
      </c>
      <c r="E47" s="53" t="s">
        <v>254</v>
      </c>
      <c r="F47" s="53" t="s">
        <v>256</v>
      </c>
      <c r="G47" s="53" t="s">
        <v>42</v>
      </c>
      <c r="H47" s="53" t="s">
        <v>164</v>
      </c>
      <c r="I47" s="53" t="s">
        <v>159</v>
      </c>
      <c r="J47" s="53" t="s">
        <v>38</v>
      </c>
      <c r="K47" s="53" t="s">
        <v>87</v>
      </c>
      <c r="L47" s="53">
        <v>1</v>
      </c>
      <c r="N47" s="53">
        <v>5</v>
      </c>
      <c r="O47" s="53">
        <v>0.6</v>
      </c>
      <c r="P47" s="53">
        <v>0.6</v>
      </c>
      <c r="Q47" s="16">
        <f t="shared" si="0"/>
        <v>0.6</v>
      </c>
      <c r="R47" s="53">
        <v>14.8</v>
      </c>
      <c r="S47" s="53">
        <v>70</v>
      </c>
      <c r="T47" s="16">
        <f t="shared" si="1"/>
        <v>50</v>
      </c>
      <c r="U47" s="53">
        <v>594</v>
      </c>
      <c r="V47" s="16">
        <f t="shared" si="2"/>
        <v>5940</v>
      </c>
      <c r="W47" s="53">
        <v>2</v>
      </c>
      <c r="X47" s="53" t="s">
        <v>46</v>
      </c>
      <c r="Y47" s="53" t="s">
        <v>84</v>
      </c>
      <c r="Z47" s="53" t="s">
        <v>90</v>
      </c>
      <c r="AA47" s="53" t="s">
        <v>40</v>
      </c>
      <c r="AB47" s="53" t="s">
        <v>241</v>
      </c>
    </row>
    <row r="48" spans="1:28" x14ac:dyDescent="0.15">
      <c r="A48" s="53" t="s">
        <v>56</v>
      </c>
      <c r="B48" s="53" t="s">
        <v>237</v>
      </c>
      <c r="C48" s="53">
        <v>2019</v>
      </c>
      <c r="D48" s="81" t="s">
        <v>238</v>
      </c>
      <c r="E48" s="53" t="s">
        <v>254</v>
      </c>
      <c r="F48" s="53" t="s">
        <v>256</v>
      </c>
      <c r="G48" s="53" t="s">
        <v>42</v>
      </c>
      <c r="H48" s="53" t="s">
        <v>164</v>
      </c>
      <c r="I48" s="53" t="s">
        <v>159</v>
      </c>
      <c r="J48" s="53" t="s">
        <v>38</v>
      </c>
      <c r="K48" s="53" t="s">
        <v>87</v>
      </c>
      <c r="L48" s="53">
        <v>2</v>
      </c>
      <c r="N48" s="53">
        <v>5</v>
      </c>
      <c r="O48" s="53">
        <v>0.65</v>
      </c>
      <c r="P48" s="53">
        <v>0.7</v>
      </c>
      <c r="Q48" s="16">
        <f t="shared" si="0"/>
        <v>0.67500000000000004</v>
      </c>
      <c r="R48" s="53">
        <v>14.7</v>
      </c>
      <c r="S48" s="53">
        <v>70</v>
      </c>
      <c r="T48" s="16">
        <f t="shared" si="1"/>
        <v>50</v>
      </c>
      <c r="U48" s="53">
        <v>594</v>
      </c>
      <c r="V48" s="16">
        <f t="shared" si="2"/>
        <v>5940</v>
      </c>
      <c r="W48" s="53">
        <v>2</v>
      </c>
      <c r="X48" s="53" t="s">
        <v>46</v>
      </c>
      <c r="Y48" s="53" t="s">
        <v>84</v>
      </c>
      <c r="Z48" s="53" t="s">
        <v>90</v>
      </c>
      <c r="AA48" s="53" t="s">
        <v>40</v>
      </c>
      <c r="AB48" s="53" t="s">
        <v>241</v>
      </c>
    </row>
    <row r="49" spans="1:28" x14ac:dyDescent="0.15">
      <c r="A49" s="53" t="s">
        <v>56</v>
      </c>
      <c r="B49" s="53" t="s">
        <v>237</v>
      </c>
      <c r="C49" s="53">
        <v>2019</v>
      </c>
      <c r="D49" s="81" t="s">
        <v>238</v>
      </c>
      <c r="E49" s="53" t="s">
        <v>254</v>
      </c>
      <c r="F49" s="53" t="s">
        <v>256</v>
      </c>
      <c r="G49" s="53" t="s">
        <v>42</v>
      </c>
      <c r="H49" s="53" t="s">
        <v>164</v>
      </c>
      <c r="I49" s="53" t="s">
        <v>159</v>
      </c>
      <c r="J49" s="53" t="s">
        <v>38</v>
      </c>
      <c r="K49" s="53" t="s">
        <v>87</v>
      </c>
      <c r="L49" s="53">
        <v>3</v>
      </c>
      <c r="N49" s="53">
        <v>5</v>
      </c>
      <c r="O49" s="53">
        <v>0.7</v>
      </c>
      <c r="P49" s="53">
        <v>0.7</v>
      </c>
      <c r="Q49" s="16">
        <f t="shared" si="0"/>
        <v>0.7</v>
      </c>
      <c r="R49" s="53">
        <v>14.9</v>
      </c>
      <c r="S49" s="53">
        <v>76</v>
      </c>
      <c r="T49" s="16">
        <f t="shared" si="1"/>
        <v>42</v>
      </c>
      <c r="U49" s="53">
        <v>594</v>
      </c>
      <c r="V49" s="16">
        <f t="shared" si="2"/>
        <v>4989.5999999999995</v>
      </c>
      <c r="W49" s="53">
        <v>2</v>
      </c>
      <c r="X49" s="53" t="s">
        <v>46</v>
      </c>
      <c r="Y49" s="53" t="s">
        <v>84</v>
      </c>
      <c r="Z49" s="53" t="s">
        <v>90</v>
      </c>
      <c r="AA49" s="53" t="s">
        <v>40</v>
      </c>
      <c r="AB49" s="53" t="s">
        <v>241</v>
      </c>
    </row>
    <row r="50" spans="1:28" x14ac:dyDescent="0.15">
      <c r="A50" s="53" t="s">
        <v>56</v>
      </c>
      <c r="B50" s="53" t="s">
        <v>237</v>
      </c>
      <c r="C50" s="53">
        <v>2019</v>
      </c>
      <c r="D50" s="81" t="s">
        <v>238</v>
      </c>
      <c r="E50" s="53" t="s">
        <v>263</v>
      </c>
      <c r="F50" s="53" t="s">
        <v>256</v>
      </c>
      <c r="G50" s="53" t="s">
        <v>42</v>
      </c>
      <c r="H50" s="53" t="s">
        <v>163</v>
      </c>
      <c r="I50" s="53" t="s">
        <v>159</v>
      </c>
      <c r="J50" s="53" t="s">
        <v>38</v>
      </c>
      <c r="K50" s="53" t="s">
        <v>160</v>
      </c>
      <c r="L50" s="53">
        <v>1</v>
      </c>
      <c r="N50" s="53">
        <v>8</v>
      </c>
      <c r="O50" s="53">
        <v>0.8</v>
      </c>
      <c r="P50" s="53">
        <v>0.75</v>
      </c>
      <c r="Q50" s="16">
        <f t="shared" si="0"/>
        <v>0.77500000000000002</v>
      </c>
      <c r="R50" s="53">
        <v>15.3</v>
      </c>
      <c r="S50" s="53">
        <v>94</v>
      </c>
      <c r="T50" s="16">
        <f t="shared" si="1"/>
        <v>36</v>
      </c>
      <c r="U50" s="53">
        <v>538</v>
      </c>
      <c r="V50" s="16">
        <f t="shared" si="2"/>
        <v>2421</v>
      </c>
      <c r="W50" s="53">
        <v>4</v>
      </c>
      <c r="X50" s="53" t="s">
        <v>46</v>
      </c>
      <c r="Y50" s="53" t="s">
        <v>84</v>
      </c>
      <c r="Z50" s="53" t="s">
        <v>40</v>
      </c>
      <c r="AA50" s="53" t="s">
        <v>90</v>
      </c>
      <c r="AB50" s="53" t="s">
        <v>241</v>
      </c>
    </row>
    <row r="51" spans="1:28" x14ac:dyDescent="0.15">
      <c r="A51" s="53" t="s">
        <v>56</v>
      </c>
      <c r="B51" s="53" t="s">
        <v>237</v>
      </c>
      <c r="C51" s="53">
        <v>2019</v>
      </c>
      <c r="D51" s="81" t="s">
        <v>238</v>
      </c>
      <c r="E51" s="53" t="s">
        <v>263</v>
      </c>
      <c r="F51" s="53" t="s">
        <v>256</v>
      </c>
      <c r="G51" s="53" t="s">
        <v>42</v>
      </c>
      <c r="H51" s="53" t="s">
        <v>163</v>
      </c>
      <c r="I51" s="53" t="s">
        <v>159</v>
      </c>
      <c r="J51" s="53" t="s">
        <v>38</v>
      </c>
      <c r="K51" s="53" t="s">
        <v>160</v>
      </c>
      <c r="L51" s="53">
        <v>2</v>
      </c>
      <c r="N51" s="53">
        <v>8</v>
      </c>
      <c r="O51" s="53">
        <v>0.7</v>
      </c>
      <c r="P51" s="53">
        <v>0.7</v>
      </c>
      <c r="Q51" s="16">
        <f t="shared" si="0"/>
        <v>0.7</v>
      </c>
      <c r="R51" s="53">
        <v>14.1</v>
      </c>
      <c r="S51" s="53">
        <v>95</v>
      </c>
      <c r="T51" s="16">
        <f t="shared" si="1"/>
        <v>36</v>
      </c>
      <c r="U51" s="53">
        <v>538</v>
      </c>
      <c r="V51" s="16">
        <f t="shared" si="2"/>
        <v>2421</v>
      </c>
      <c r="W51" s="53">
        <v>4</v>
      </c>
      <c r="X51" s="53" t="s">
        <v>46</v>
      </c>
      <c r="Y51" s="53" t="s">
        <v>84</v>
      </c>
      <c r="Z51" s="53" t="s">
        <v>40</v>
      </c>
      <c r="AA51" s="53" t="s">
        <v>90</v>
      </c>
      <c r="AB51" s="53" t="s">
        <v>241</v>
      </c>
    </row>
    <row r="52" spans="1:28" x14ac:dyDescent="0.15">
      <c r="A52" s="53" t="s">
        <v>56</v>
      </c>
      <c r="B52" s="53" t="s">
        <v>237</v>
      </c>
      <c r="C52" s="53">
        <v>2019</v>
      </c>
      <c r="D52" s="81" t="s">
        <v>238</v>
      </c>
      <c r="E52" s="53" t="s">
        <v>263</v>
      </c>
      <c r="F52" s="53" t="s">
        <v>256</v>
      </c>
      <c r="G52" s="53" t="s">
        <v>42</v>
      </c>
      <c r="H52" s="53" t="s">
        <v>163</v>
      </c>
      <c r="I52" s="53" t="s">
        <v>159</v>
      </c>
      <c r="J52" s="53" t="s">
        <v>38</v>
      </c>
      <c r="K52" s="53" t="s">
        <v>160</v>
      </c>
      <c r="L52" s="53">
        <v>3</v>
      </c>
      <c r="N52" s="53">
        <v>8</v>
      </c>
      <c r="O52" s="53">
        <v>0.5</v>
      </c>
      <c r="P52" s="53">
        <v>0.5</v>
      </c>
      <c r="Q52" s="16">
        <f t="shared" si="0"/>
        <v>0.5</v>
      </c>
      <c r="R52" s="53">
        <v>14.3</v>
      </c>
      <c r="S52" s="53">
        <v>94</v>
      </c>
      <c r="T52" s="16">
        <f t="shared" si="1"/>
        <v>36</v>
      </c>
      <c r="U52" s="53">
        <v>538</v>
      </c>
      <c r="V52" s="16">
        <f t="shared" si="2"/>
        <v>2421</v>
      </c>
      <c r="W52" s="53">
        <v>4</v>
      </c>
      <c r="X52" s="53" t="s">
        <v>46</v>
      </c>
      <c r="Y52" s="53" t="s">
        <v>84</v>
      </c>
      <c r="Z52" s="53" t="s">
        <v>40</v>
      </c>
      <c r="AA52" s="53" t="s">
        <v>90</v>
      </c>
      <c r="AB52" s="53" t="s">
        <v>241</v>
      </c>
    </row>
    <row r="53" spans="1:28" s="36" customFormat="1" x14ac:dyDescent="0.15">
      <c r="A53" s="36" t="s">
        <v>56</v>
      </c>
      <c r="B53" s="36" t="s">
        <v>237</v>
      </c>
      <c r="C53" s="36">
        <v>2019</v>
      </c>
      <c r="D53" s="192" t="s">
        <v>238</v>
      </c>
      <c r="E53" s="36" t="s">
        <v>263</v>
      </c>
      <c r="F53" s="36" t="s">
        <v>256</v>
      </c>
      <c r="G53" s="36" t="s">
        <v>42</v>
      </c>
      <c r="H53" s="36" t="s">
        <v>164</v>
      </c>
      <c r="I53" s="36" t="s">
        <v>159</v>
      </c>
      <c r="J53" s="36" t="s">
        <v>38</v>
      </c>
      <c r="K53" s="36" t="s">
        <v>87</v>
      </c>
      <c r="L53" s="36">
        <v>1</v>
      </c>
      <c r="N53" s="36">
        <v>5</v>
      </c>
      <c r="O53" s="36">
        <v>0.9</v>
      </c>
      <c r="P53" s="36">
        <v>1</v>
      </c>
      <c r="Q53" s="193">
        <f t="shared" si="0"/>
        <v>0.95</v>
      </c>
      <c r="R53" s="36">
        <v>14.4</v>
      </c>
      <c r="S53" s="36">
        <v>83</v>
      </c>
      <c r="T53" s="193">
        <f t="shared" si="1"/>
        <v>42</v>
      </c>
      <c r="U53" s="36">
        <v>646</v>
      </c>
      <c r="V53" s="193">
        <f t="shared" si="2"/>
        <v>5426.4</v>
      </c>
      <c r="W53" s="36">
        <v>4</v>
      </c>
      <c r="X53" s="36" t="s">
        <v>46</v>
      </c>
      <c r="Y53" s="36" t="s">
        <v>84</v>
      </c>
      <c r="Z53" s="36" t="s">
        <v>40</v>
      </c>
      <c r="AA53" s="36" t="s">
        <v>90</v>
      </c>
      <c r="AB53" s="36" t="s">
        <v>241</v>
      </c>
    </row>
    <row r="54" spans="1:28" s="36" customFormat="1" x14ac:dyDescent="0.15">
      <c r="A54" s="36" t="s">
        <v>56</v>
      </c>
      <c r="B54" s="36" t="s">
        <v>237</v>
      </c>
      <c r="C54" s="36">
        <v>2019</v>
      </c>
      <c r="D54" s="192" t="s">
        <v>238</v>
      </c>
      <c r="E54" s="36" t="s">
        <v>263</v>
      </c>
      <c r="F54" s="36" t="s">
        <v>256</v>
      </c>
      <c r="G54" s="36" t="s">
        <v>42</v>
      </c>
      <c r="H54" s="36" t="s">
        <v>164</v>
      </c>
      <c r="I54" s="36" t="s">
        <v>159</v>
      </c>
      <c r="J54" s="36" t="s">
        <v>38</v>
      </c>
      <c r="K54" s="36" t="s">
        <v>87</v>
      </c>
      <c r="L54" s="36">
        <v>2</v>
      </c>
      <c r="N54" s="36">
        <v>5</v>
      </c>
      <c r="O54" s="36">
        <v>1.1000000000000001</v>
      </c>
      <c r="P54" s="36">
        <v>1.1499999999999999</v>
      </c>
      <c r="Q54" s="193">
        <f t="shared" si="0"/>
        <v>1.125</v>
      </c>
      <c r="R54" s="36">
        <v>13.7</v>
      </c>
      <c r="S54" s="36">
        <v>85</v>
      </c>
      <c r="T54" s="193">
        <f t="shared" si="1"/>
        <v>39</v>
      </c>
      <c r="U54" s="36">
        <v>646</v>
      </c>
      <c r="V54" s="193">
        <f t="shared" si="2"/>
        <v>5038.7999999999993</v>
      </c>
      <c r="W54" s="36">
        <v>4</v>
      </c>
      <c r="X54" s="36" t="s">
        <v>46</v>
      </c>
      <c r="Y54" s="36" t="s">
        <v>84</v>
      </c>
      <c r="Z54" s="36" t="s">
        <v>40</v>
      </c>
      <c r="AA54" s="36" t="s">
        <v>90</v>
      </c>
      <c r="AB54" s="36" t="s">
        <v>241</v>
      </c>
    </row>
    <row r="55" spans="1:28" s="36" customFormat="1" x14ac:dyDescent="0.15">
      <c r="A55" s="36" t="s">
        <v>56</v>
      </c>
      <c r="B55" s="36" t="s">
        <v>237</v>
      </c>
      <c r="C55" s="36">
        <v>2019</v>
      </c>
      <c r="D55" s="192" t="s">
        <v>238</v>
      </c>
      <c r="E55" s="36" t="s">
        <v>263</v>
      </c>
      <c r="F55" s="36" t="s">
        <v>256</v>
      </c>
      <c r="G55" s="36" t="s">
        <v>42</v>
      </c>
      <c r="H55" s="36" t="s">
        <v>164</v>
      </c>
      <c r="I55" s="36" t="s">
        <v>159</v>
      </c>
      <c r="J55" s="36" t="s">
        <v>38</v>
      </c>
      <c r="K55" s="36" t="s">
        <v>87</v>
      </c>
      <c r="L55" s="36">
        <v>3</v>
      </c>
      <c r="N55" s="36">
        <v>5</v>
      </c>
      <c r="O55" s="36">
        <v>0.6</v>
      </c>
      <c r="P55" s="36">
        <v>0.8</v>
      </c>
      <c r="Q55" s="193">
        <f t="shared" si="0"/>
        <v>0.7</v>
      </c>
      <c r="R55" s="36">
        <v>17.5</v>
      </c>
      <c r="S55" s="36">
        <v>75</v>
      </c>
      <c r="T55" s="193">
        <f t="shared" si="1"/>
        <v>42</v>
      </c>
      <c r="U55" s="36">
        <v>646</v>
      </c>
      <c r="V55" s="193">
        <f t="shared" si="2"/>
        <v>5426.4</v>
      </c>
      <c r="W55" s="36">
        <v>4</v>
      </c>
      <c r="X55" s="36" t="s">
        <v>46</v>
      </c>
      <c r="Y55" s="36" t="s">
        <v>84</v>
      </c>
      <c r="Z55" s="36" t="s">
        <v>40</v>
      </c>
      <c r="AA55" s="36" t="s">
        <v>90</v>
      </c>
      <c r="AB55" s="36" t="s">
        <v>241</v>
      </c>
    </row>
    <row r="56" spans="1:28" x14ac:dyDescent="0.15">
      <c r="D56" s="81"/>
    </row>
    <row r="57" spans="1:28" x14ac:dyDescent="0.15">
      <c r="D57" s="81"/>
    </row>
    <row r="58" spans="1:28" x14ac:dyDescent="0.15">
      <c r="D58" s="81"/>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0C1AF934-F072-40B0-AC82-D4B9A2228469}">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D88B2D8F-E9FE-45F2-BB29-0AB6E11D33B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9E9028F2-8B6A-402B-994B-A5BC7DBA3047}">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5CC58E74-9B53-47A5-B03C-47B2B561D6C8}">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6414F242-AEA2-4925-B105-C95B401B2A82}">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C2FE3B3C-1D62-4474-9FEC-8BADF8A62D27}"/>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CB3B9070-1AFF-4415-9A09-64F4B604B0C5}">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B63584FD-1A96-416D-967F-B529A520F681}">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1581FD96-FB4D-4001-B689-4AEB28802898}">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4436C487-90D1-46CE-8844-3791E036A65B}">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1281ECCA-5A71-4FFD-9325-2AE9DC36003A}">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A5B3F571-CE47-4EE2-9792-AD3CD96552DD}">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5026C714-CCA4-43AA-AE8E-73B2786E85EC}">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5CF8A29E-3FDF-4459-84A8-8B85EA71CC25}">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234183B8-8EDA-4FD2-A66F-47974D0F0B1A}">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964E99CE-0312-45FD-A7BC-2A4561F1C707}">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5C504204-6E3B-43C5-8CC0-ACB75CD9819B}">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81BBEA3F-5E4C-4271-AFEC-7AD9A75BD2EF}">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DB79-4A9F-4CF0-ABC3-4704F0E4FFE0}">
  <dimension ref="A1:BA91"/>
  <sheetViews>
    <sheetView zoomScale="85" zoomScaleNormal="85" workbookViewId="0">
      <selection activeCell="AC33" sqref="AC33"/>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264</v>
      </c>
      <c r="AY1" s="99" t="s">
        <v>180</v>
      </c>
      <c r="AZ1" s="99" t="s">
        <v>265</v>
      </c>
      <c r="BA1" s="100" t="s">
        <v>182</v>
      </c>
    </row>
    <row r="2" spans="1:53" x14ac:dyDescent="0.15">
      <c r="A2" s="93" t="s">
        <v>51</v>
      </c>
      <c r="B2" s="93" t="s">
        <v>157</v>
      </c>
      <c r="C2" s="93">
        <v>2019</v>
      </c>
      <c r="D2" s="101" t="s">
        <v>266</v>
      </c>
      <c r="E2" s="93" t="s">
        <v>267</v>
      </c>
      <c r="F2" s="93" t="s">
        <v>268</v>
      </c>
      <c r="G2" s="93" t="s">
        <v>42</v>
      </c>
      <c r="H2" s="93" t="s">
        <v>163</v>
      </c>
      <c r="I2" s="93" t="s">
        <v>159</v>
      </c>
      <c r="J2" s="93" t="s">
        <v>38</v>
      </c>
      <c r="K2" s="93" t="s">
        <v>160</v>
      </c>
      <c r="L2" s="93">
        <v>1</v>
      </c>
      <c r="N2" s="93">
        <v>1</v>
      </c>
      <c r="O2" s="93">
        <v>0.5</v>
      </c>
      <c r="P2" s="93">
        <v>0.25</v>
      </c>
      <c r="Q2" s="102">
        <f t="shared" ref="Q2:Q65" si="0">IF(OR(O2="",P2=""),"",AVERAGE(O2,P2))</f>
        <v>0.375</v>
      </c>
      <c r="R2" s="93">
        <v>13.7</v>
      </c>
      <c r="S2" s="93">
        <v>122</v>
      </c>
      <c r="T2" s="103">
        <f t="shared" ref="T2:T65" si="1">IF(H2="","",IF(OR(H2="GREEN",H2="GK"),IF(S2&gt;=$AX$2,VLOOKUP(S2,$AX$2:$AY$12,2,1),""),IF(S2&gt;=$AZ$2,VLOOKUP(S2,$AZ$2:$BA$12,2,1),"")))</f>
        <v>27</v>
      </c>
      <c r="U2" s="93">
        <v>98</v>
      </c>
      <c r="V2" s="104">
        <f t="shared" ref="V2:V65" si="2">IF(OR(N2="",U2="",T2=""),"",U2/N2*T2)</f>
        <v>2646</v>
      </c>
      <c r="W2" s="93">
        <v>4</v>
      </c>
      <c r="X2" s="93" t="s">
        <v>39</v>
      </c>
      <c r="Y2" s="93" t="s">
        <v>84</v>
      </c>
      <c r="Z2" s="93" t="s">
        <v>69</v>
      </c>
      <c r="AA2" s="93" t="s">
        <v>90</v>
      </c>
      <c r="AB2" s="93" t="s">
        <v>158</v>
      </c>
      <c r="AE2" s="105" t="s">
        <v>35</v>
      </c>
      <c r="AG2" s="106" t="s">
        <v>211</v>
      </c>
      <c r="AH2" s="106" t="s">
        <v>269</v>
      </c>
      <c r="AJ2" s="106" t="s">
        <v>36</v>
      </c>
      <c r="AL2" s="106" t="s">
        <v>185</v>
      </c>
      <c r="AN2" s="106" t="s">
        <v>37</v>
      </c>
      <c r="AP2" s="106" t="s">
        <v>38</v>
      </c>
      <c r="AR2" s="106" t="s">
        <v>160</v>
      </c>
      <c r="AT2" s="106" t="s">
        <v>39</v>
      </c>
      <c r="AV2" s="106" t="s">
        <v>40</v>
      </c>
      <c r="AX2" s="107">
        <v>1</v>
      </c>
      <c r="AY2" s="108">
        <v>50</v>
      </c>
      <c r="AZ2" s="108">
        <v>1</v>
      </c>
      <c r="BA2" s="109">
        <v>50</v>
      </c>
    </row>
    <row r="3" spans="1:53" x14ac:dyDescent="0.15">
      <c r="A3" s="93" t="s">
        <v>51</v>
      </c>
      <c r="B3" s="93" t="s">
        <v>157</v>
      </c>
      <c r="C3" s="93">
        <v>2019</v>
      </c>
      <c r="D3" s="101" t="s">
        <v>266</v>
      </c>
      <c r="E3" s="93" t="s">
        <v>267</v>
      </c>
      <c r="F3" s="93" t="s">
        <v>268</v>
      </c>
      <c r="G3" s="93" t="s">
        <v>42</v>
      </c>
      <c r="H3" s="93" t="s">
        <v>163</v>
      </c>
      <c r="I3" s="93" t="s">
        <v>159</v>
      </c>
      <c r="J3" s="93" t="s">
        <v>38</v>
      </c>
      <c r="K3" s="93" t="s">
        <v>160</v>
      </c>
      <c r="L3" s="93">
        <v>2</v>
      </c>
      <c r="N3" s="93">
        <v>1</v>
      </c>
      <c r="O3" s="93">
        <v>0.5</v>
      </c>
      <c r="P3" s="93">
        <v>0.5</v>
      </c>
      <c r="Q3" s="102">
        <f t="shared" si="0"/>
        <v>0.5</v>
      </c>
      <c r="R3" s="93">
        <v>14.4</v>
      </c>
      <c r="S3" s="93">
        <v>126</v>
      </c>
      <c r="T3" s="103">
        <f t="shared" si="1"/>
        <v>27</v>
      </c>
      <c r="U3" s="93">
        <v>98</v>
      </c>
      <c r="V3" s="104">
        <f t="shared" si="2"/>
        <v>2646</v>
      </c>
      <c r="W3" s="93">
        <v>4</v>
      </c>
      <c r="X3" s="93" t="s">
        <v>39</v>
      </c>
      <c r="Y3" s="93" t="s">
        <v>84</v>
      </c>
      <c r="Z3" s="93" t="s">
        <v>69</v>
      </c>
      <c r="AA3" s="93" t="s">
        <v>90</v>
      </c>
      <c r="AB3" s="93" t="s">
        <v>158</v>
      </c>
      <c r="AE3" s="110" t="s">
        <v>41</v>
      </c>
      <c r="AG3" s="106" t="s">
        <v>270</v>
      </c>
      <c r="AH3" s="106" t="s">
        <v>271</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266</v>
      </c>
      <c r="E4" s="93" t="s">
        <v>267</v>
      </c>
      <c r="F4" s="93" t="s">
        <v>268</v>
      </c>
      <c r="G4" s="93" t="s">
        <v>42</v>
      </c>
      <c r="H4" s="93" t="s">
        <v>163</v>
      </c>
      <c r="I4" s="93" t="s">
        <v>159</v>
      </c>
      <c r="J4" s="93" t="s">
        <v>38</v>
      </c>
      <c r="K4" s="93" t="s">
        <v>160</v>
      </c>
      <c r="L4" s="93">
        <v>3</v>
      </c>
      <c r="N4" s="93">
        <v>1</v>
      </c>
      <c r="O4" s="93">
        <v>0.55000000000000004</v>
      </c>
      <c r="P4" s="93">
        <v>0.5</v>
      </c>
      <c r="Q4" s="102">
        <f t="shared" si="0"/>
        <v>0.52500000000000002</v>
      </c>
      <c r="R4" s="93">
        <v>14.5</v>
      </c>
      <c r="S4" s="93">
        <v>122</v>
      </c>
      <c r="T4" s="103">
        <f t="shared" si="1"/>
        <v>27</v>
      </c>
      <c r="U4" s="93">
        <v>98</v>
      </c>
      <c r="V4" s="104">
        <f t="shared" si="2"/>
        <v>2646</v>
      </c>
      <c r="W4" s="93">
        <v>4</v>
      </c>
      <c r="X4" s="93" t="s">
        <v>39</v>
      </c>
      <c r="Y4" s="93" t="s">
        <v>84</v>
      </c>
      <c r="Z4" s="93" t="s">
        <v>69</v>
      </c>
      <c r="AA4" s="93" t="s">
        <v>90</v>
      </c>
      <c r="AB4" s="93" t="s">
        <v>158</v>
      </c>
      <c r="AE4" s="110" t="s">
        <v>34</v>
      </c>
      <c r="AG4" s="106" t="s">
        <v>272</v>
      </c>
      <c r="AH4" s="106" t="s">
        <v>273</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266</v>
      </c>
      <c r="E5" s="93" t="s">
        <v>267</v>
      </c>
      <c r="F5" s="93" t="s">
        <v>268</v>
      </c>
      <c r="G5" s="93" t="s">
        <v>42</v>
      </c>
      <c r="H5" s="93" t="s">
        <v>185</v>
      </c>
      <c r="I5" s="93" t="s">
        <v>159</v>
      </c>
      <c r="J5" s="93" t="s">
        <v>53</v>
      </c>
      <c r="K5" s="93" t="s">
        <v>54</v>
      </c>
      <c r="L5" s="93">
        <v>1</v>
      </c>
      <c r="N5" s="93">
        <v>2</v>
      </c>
      <c r="O5" s="93">
        <v>1.55</v>
      </c>
      <c r="P5" s="93">
        <v>1.75</v>
      </c>
      <c r="Q5" s="102">
        <f t="shared" si="0"/>
        <v>1.65</v>
      </c>
      <c r="R5" s="93">
        <v>12.9</v>
      </c>
      <c r="S5" s="93">
        <v>144</v>
      </c>
      <c r="T5" s="103">
        <f t="shared" si="1"/>
        <v>22</v>
      </c>
      <c r="U5" s="93">
        <v>398</v>
      </c>
      <c r="V5" s="104">
        <f t="shared" si="2"/>
        <v>4378</v>
      </c>
      <c r="W5" s="93">
        <v>4</v>
      </c>
      <c r="X5" s="93" t="s">
        <v>39</v>
      </c>
      <c r="Y5" s="93" t="s">
        <v>84</v>
      </c>
      <c r="Z5" s="93" t="s">
        <v>69</v>
      </c>
      <c r="AA5" s="93" t="s">
        <v>90</v>
      </c>
      <c r="AB5" s="93" t="s">
        <v>158</v>
      </c>
      <c r="AE5" s="110" t="s">
        <v>51</v>
      </c>
      <c r="AG5" s="106" t="s">
        <v>274</v>
      </c>
      <c r="AH5" s="106" t="s">
        <v>268</v>
      </c>
      <c r="AJ5" s="116"/>
      <c r="AL5" s="117" t="s">
        <v>163</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266</v>
      </c>
      <c r="E6" s="93" t="s">
        <v>267</v>
      </c>
      <c r="F6" s="93" t="s">
        <v>268</v>
      </c>
      <c r="G6" s="93" t="s">
        <v>42</v>
      </c>
      <c r="H6" s="93" t="s">
        <v>185</v>
      </c>
      <c r="I6" s="93" t="s">
        <v>159</v>
      </c>
      <c r="J6" s="93" t="s">
        <v>53</v>
      </c>
      <c r="K6" s="93" t="s">
        <v>54</v>
      </c>
      <c r="L6" s="93">
        <v>2</v>
      </c>
      <c r="N6" s="93">
        <v>2</v>
      </c>
      <c r="O6" s="93">
        <v>1.5</v>
      </c>
      <c r="P6" s="93">
        <v>1.4</v>
      </c>
      <c r="Q6" s="102">
        <f t="shared" si="0"/>
        <v>1.45</v>
      </c>
      <c r="R6" s="93">
        <v>13.6</v>
      </c>
      <c r="S6" s="93">
        <v>146</v>
      </c>
      <c r="T6" s="103">
        <f t="shared" si="1"/>
        <v>22</v>
      </c>
      <c r="U6" s="93">
        <v>398</v>
      </c>
      <c r="V6" s="104">
        <f t="shared" si="2"/>
        <v>4378</v>
      </c>
      <c r="W6" s="93">
        <v>4</v>
      </c>
      <c r="X6" s="93" t="s">
        <v>39</v>
      </c>
      <c r="Y6" s="93" t="s">
        <v>84</v>
      </c>
      <c r="Z6" s="93" t="s">
        <v>69</v>
      </c>
      <c r="AA6" s="93" t="s">
        <v>90</v>
      </c>
      <c r="AB6" s="93" t="s">
        <v>158</v>
      </c>
      <c r="AE6" s="110" t="s">
        <v>56</v>
      </c>
      <c r="AG6" s="106" t="s">
        <v>275</v>
      </c>
      <c r="AH6" s="106" t="s">
        <v>276</v>
      </c>
      <c r="AL6" s="117" t="s">
        <v>164</v>
      </c>
      <c r="AN6" s="117" t="s">
        <v>197</v>
      </c>
      <c r="AP6" s="111" t="s">
        <v>53</v>
      </c>
      <c r="AR6" s="111" t="s">
        <v>59</v>
      </c>
      <c r="AV6" s="111" t="s">
        <v>60</v>
      </c>
      <c r="AX6" s="112">
        <v>97</v>
      </c>
      <c r="AY6" s="113">
        <v>36</v>
      </c>
      <c r="AZ6" s="113">
        <v>99</v>
      </c>
      <c r="BA6" s="114">
        <v>33</v>
      </c>
    </row>
    <row r="7" spans="1:53" x14ac:dyDescent="0.15">
      <c r="A7" s="93" t="s">
        <v>51</v>
      </c>
      <c r="B7" s="93" t="s">
        <v>157</v>
      </c>
      <c r="C7" s="93">
        <v>2019</v>
      </c>
      <c r="D7" s="101" t="s">
        <v>266</v>
      </c>
      <c r="E7" s="93" t="s">
        <v>267</v>
      </c>
      <c r="F7" s="93" t="s">
        <v>268</v>
      </c>
      <c r="G7" s="93" t="s">
        <v>42</v>
      </c>
      <c r="H7" s="93" t="s">
        <v>185</v>
      </c>
      <c r="I7" s="93" t="s">
        <v>159</v>
      </c>
      <c r="J7" s="93" t="s">
        <v>53</v>
      </c>
      <c r="K7" s="93" t="s">
        <v>54</v>
      </c>
      <c r="L7" s="93">
        <v>3</v>
      </c>
      <c r="N7" s="93">
        <v>2</v>
      </c>
      <c r="O7" s="93">
        <v>1.45</v>
      </c>
      <c r="P7" s="93">
        <v>1.6</v>
      </c>
      <c r="Q7" s="102">
        <f t="shared" si="0"/>
        <v>1.5249999999999999</v>
      </c>
      <c r="R7" s="93">
        <v>13.3</v>
      </c>
      <c r="S7" s="93">
        <v>150</v>
      </c>
      <c r="T7" s="103">
        <f t="shared" si="1"/>
        <v>22</v>
      </c>
      <c r="U7" s="93">
        <v>398</v>
      </c>
      <c r="V7" s="104">
        <f t="shared" si="2"/>
        <v>4378</v>
      </c>
      <c r="W7" s="93">
        <v>4</v>
      </c>
      <c r="X7" s="93" t="s">
        <v>39</v>
      </c>
      <c r="Y7" s="93" t="s">
        <v>84</v>
      </c>
      <c r="Z7" s="93" t="s">
        <v>69</v>
      </c>
      <c r="AA7" s="93" t="s">
        <v>90</v>
      </c>
      <c r="AB7" s="93" t="s">
        <v>158</v>
      </c>
      <c r="AE7" s="110" t="s">
        <v>61</v>
      </c>
      <c r="AG7" s="106" t="s">
        <v>277</v>
      </c>
      <c r="AH7" s="106" t="s">
        <v>269</v>
      </c>
      <c r="AL7" s="93" t="s">
        <v>199</v>
      </c>
      <c r="AP7" s="111" t="s">
        <v>58</v>
      </c>
      <c r="AR7" s="111" t="s">
        <v>200</v>
      </c>
      <c r="AV7" s="111" t="s">
        <v>64</v>
      </c>
      <c r="AX7" s="112">
        <v>109</v>
      </c>
      <c r="AY7" s="113">
        <v>33</v>
      </c>
      <c r="AZ7" s="113">
        <v>113</v>
      </c>
      <c r="BA7" s="114">
        <v>30</v>
      </c>
    </row>
    <row r="8" spans="1:53" x14ac:dyDescent="0.15">
      <c r="A8" s="93" t="s">
        <v>51</v>
      </c>
      <c r="B8" s="93" t="s">
        <v>157</v>
      </c>
      <c r="C8" s="93">
        <v>2019</v>
      </c>
      <c r="D8" s="101" t="s">
        <v>266</v>
      </c>
      <c r="E8" s="93" t="s">
        <v>270</v>
      </c>
      <c r="F8" s="93" t="s">
        <v>271</v>
      </c>
      <c r="G8" s="93" t="s">
        <v>36</v>
      </c>
      <c r="H8" s="93" t="s">
        <v>163</v>
      </c>
      <c r="I8" s="93" t="s">
        <v>159</v>
      </c>
      <c r="J8" s="93" t="s">
        <v>38</v>
      </c>
      <c r="K8" s="93" t="s">
        <v>160</v>
      </c>
      <c r="L8" s="93">
        <v>1</v>
      </c>
      <c r="N8" s="93">
        <v>1</v>
      </c>
      <c r="O8" s="93">
        <v>0.55000000000000004</v>
      </c>
      <c r="P8" s="93">
        <v>0.6</v>
      </c>
      <c r="Q8" s="102">
        <f t="shared" si="0"/>
        <v>0.57499999999999996</v>
      </c>
      <c r="R8" s="93">
        <v>14.9</v>
      </c>
      <c r="S8" s="93">
        <v>116</v>
      </c>
      <c r="T8" s="103">
        <f t="shared" si="1"/>
        <v>30</v>
      </c>
      <c r="U8" s="93">
        <v>138</v>
      </c>
      <c r="V8" s="104">
        <f t="shared" si="2"/>
        <v>4140</v>
      </c>
      <c r="W8" s="93">
        <v>3</v>
      </c>
      <c r="X8" s="93" t="s">
        <v>39</v>
      </c>
      <c r="Y8" s="93" t="s">
        <v>84</v>
      </c>
      <c r="Z8" s="93" t="s">
        <v>69</v>
      </c>
      <c r="AA8" s="93" t="s">
        <v>90</v>
      </c>
      <c r="AB8" s="93" t="s">
        <v>158</v>
      </c>
      <c r="AE8" s="110" t="s">
        <v>59</v>
      </c>
      <c r="AG8" s="106" t="s">
        <v>278</v>
      </c>
      <c r="AH8" s="106" t="s">
        <v>279</v>
      </c>
      <c r="AL8" s="93" t="s">
        <v>203</v>
      </c>
      <c r="AP8" s="111" t="s">
        <v>62</v>
      </c>
      <c r="AR8" s="111" t="s">
        <v>81</v>
      </c>
      <c r="AV8" s="111" t="s">
        <v>97</v>
      </c>
      <c r="AX8" s="112">
        <v>119</v>
      </c>
      <c r="AY8" s="113">
        <v>30</v>
      </c>
      <c r="AZ8" s="113">
        <v>121</v>
      </c>
      <c r="BA8" s="114">
        <v>27</v>
      </c>
    </row>
    <row r="9" spans="1:53" x14ac:dyDescent="0.15">
      <c r="A9" s="93" t="s">
        <v>51</v>
      </c>
      <c r="B9" s="93" t="s">
        <v>157</v>
      </c>
      <c r="C9" s="93">
        <v>2019</v>
      </c>
      <c r="D9" s="101" t="s">
        <v>266</v>
      </c>
      <c r="E9" s="93" t="s">
        <v>270</v>
      </c>
      <c r="F9" s="93" t="s">
        <v>271</v>
      </c>
      <c r="G9" s="93" t="s">
        <v>36</v>
      </c>
      <c r="H9" s="93" t="s">
        <v>163</v>
      </c>
      <c r="I9" s="93" t="s">
        <v>159</v>
      </c>
      <c r="J9" s="93" t="s">
        <v>38</v>
      </c>
      <c r="K9" s="93" t="s">
        <v>160</v>
      </c>
      <c r="L9" s="93">
        <v>2</v>
      </c>
      <c r="N9" s="93">
        <v>1</v>
      </c>
      <c r="O9" s="93">
        <v>0.6</v>
      </c>
      <c r="P9" s="93">
        <v>0.6</v>
      </c>
      <c r="Q9" s="102">
        <f t="shared" si="0"/>
        <v>0.6</v>
      </c>
      <c r="R9" s="93">
        <v>15.2</v>
      </c>
      <c r="S9" s="93">
        <v>118</v>
      </c>
      <c r="T9" s="103">
        <f t="shared" si="1"/>
        <v>30</v>
      </c>
      <c r="U9" s="93">
        <v>138</v>
      </c>
      <c r="V9" s="104">
        <f t="shared" si="2"/>
        <v>4140</v>
      </c>
      <c r="W9" s="93">
        <v>3</v>
      </c>
      <c r="X9" s="93" t="s">
        <v>39</v>
      </c>
      <c r="Y9" s="93" t="s">
        <v>84</v>
      </c>
      <c r="Z9" s="93" t="s">
        <v>69</v>
      </c>
      <c r="AA9" s="93" t="s">
        <v>90</v>
      </c>
      <c r="AB9" s="93" t="s">
        <v>158</v>
      </c>
      <c r="AE9" s="110" t="s">
        <v>204</v>
      </c>
      <c r="AG9" s="106" t="s">
        <v>280</v>
      </c>
      <c r="AH9" s="106" t="s">
        <v>268</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266</v>
      </c>
      <c r="E10" s="93" t="s">
        <v>270</v>
      </c>
      <c r="F10" s="93" t="s">
        <v>271</v>
      </c>
      <c r="G10" s="93" t="s">
        <v>36</v>
      </c>
      <c r="H10" s="93" t="s">
        <v>163</v>
      </c>
      <c r="I10" s="93" t="s">
        <v>159</v>
      </c>
      <c r="J10" s="93" t="s">
        <v>38</v>
      </c>
      <c r="K10" s="93" t="s">
        <v>160</v>
      </c>
      <c r="L10" s="93">
        <v>3</v>
      </c>
      <c r="N10" s="93">
        <v>1</v>
      </c>
      <c r="O10" s="93">
        <v>0.65</v>
      </c>
      <c r="P10" s="93">
        <v>0.5</v>
      </c>
      <c r="Q10" s="102">
        <f t="shared" si="0"/>
        <v>0.57499999999999996</v>
      </c>
      <c r="R10" s="93">
        <v>15.6</v>
      </c>
      <c r="S10" s="93">
        <v>124</v>
      </c>
      <c r="T10" s="103">
        <f t="shared" si="1"/>
        <v>27</v>
      </c>
      <c r="U10" s="93">
        <v>138</v>
      </c>
      <c r="V10" s="104">
        <f t="shared" si="2"/>
        <v>3726</v>
      </c>
      <c r="W10" s="93">
        <v>3</v>
      </c>
      <c r="X10" s="93" t="s">
        <v>39</v>
      </c>
      <c r="Y10" s="93" t="s">
        <v>84</v>
      </c>
      <c r="Z10" s="93" t="s">
        <v>69</v>
      </c>
      <c r="AA10" s="93" t="s">
        <v>90</v>
      </c>
      <c r="AB10" s="93" t="s">
        <v>158</v>
      </c>
      <c r="AE10" s="110" t="s">
        <v>208</v>
      </c>
      <c r="AG10" s="106" t="s">
        <v>267</v>
      </c>
      <c r="AH10" s="111" t="s">
        <v>268</v>
      </c>
      <c r="AP10" s="111" t="s">
        <v>100</v>
      </c>
      <c r="AR10" s="111" t="s">
        <v>210</v>
      </c>
      <c r="AV10" s="111" t="s">
        <v>106</v>
      </c>
      <c r="AX10" s="112">
        <v>138</v>
      </c>
      <c r="AY10" s="113">
        <v>25</v>
      </c>
      <c r="AZ10" s="113">
        <v>138</v>
      </c>
      <c r="BA10" s="114">
        <v>22</v>
      </c>
    </row>
    <row r="11" spans="1:53" x14ac:dyDescent="0.15">
      <c r="A11" s="93" t="s">
        <v>51</v>
      </c>
      <c r="B11" s="93" t="s">
        <v>157</v>
      </c>
      <c r="C11" s="93">
        <v>2019</v>
      </c>
      <c r="D11" s="101" t="s">
        <v>266</v>
      </c>
      <c r="E11" s="93" t="s">
        <v>270</v>
      </c>
      <c r="F11" s="93" t="s">
        <v>271</v>
      </c>
      <c r="G11" s="93" t="s">
        <v>36</v>
      </c>
      <c r="H11" s="93" t="s">
        <v>187</v>
      </c>
      <c r="I11" s="93" t="s">
        <v>159</v>
      </c>
      <c r="J11" s="93" t="s">
        <v>80</v>
      </c>
      <c r="K11" s="93" t="s">
        <v>45</v>
      </c>
      <c r="L11" s="93">
        <v>1</v>
      </c>
      <c r="N11" s="93">
        <v>1</v>
      </c>
      <c r="O11" s="93">
        <v>0.6</v>
      </c>
      <c r="P11" s="93">
        <v>0.7</v>
      </c>
      <c r="Q11" s="102">
        <f t="shared" si="0"/>
        <v>0.64999999999999991</v>
      </c>
      <c r="R11" s="93">
        <v>13.8</v>
      </c>
      <c r="S11" s="93">
        <v>96</v>
      </c>
      <c r="T11" s="103">
        <f t="shared" si="1"/>
        <v>36</v>
      </c>
      <c r="U11" s="93">
        <v>138</v>
      </c>
      <c r="V11" s="104">
        <f t="shared" si="2"/>
        <v>4968</v>
      </c>
      <c r="W11" s="93">
        <v>3</v>
      </c>
      <c r="X11" s="93" t="s">
        <v>39</v>
      </c>
      <c r="Y11" s="93" t="s">
        <v>84</v>
      </c>
      <c r="Z11" s="93" t="s">
        <v>69</v>
      </c>
      <c r="AA11" s="93" t="s">
        <v>90</v>
      </c>
      <c r="AB11" s="93" t="s">
        <v>158</v>
      </c>
      <c r="AE11" s="110" t="s">
        <v>68</v>
      </c>
      <c r="AG11" s="106" t="s">
        <v>139</v>
      </c>
      <c r="AH11" s="111" t="s">
        <v>281</v>
      </c>
      <c r="AP11" s="111" t="s">
        <v>104</v>
      </c>
      <c r="AR11" s="111" t="s">
        <v>213</v>
      </c>
      <c r="AV11" s="111" t="s">
        <v>69</v>
      </c>
      <c r="AX11" s="112">
        <v>151</v>
      </c>
      <c r="AY11" s="113">
        <v>22</v>
      </c>
      <c r="AZ11" s="113">
        <v>152</v>
      </c>
      <c r="BA11" s="114">
        <v>18</v>
      </c>
    </row>
    <row r="12" spans="1:53" x14ac:dyDescent="0.15">
      <c r="A12" s="93" t="s">
        <v>51</v>
      </c>
      <c r="B12" s="93" t="s">
        <v>157</v>
      </c>
      <c r="C12" s="93">
        <v>2019</v>
      </c>
      <c r="D12" s="101" t="s">
        <v>266</v>
      </c>
      <c r="E12" s="93" t="s">
        <v>270</v>
      </c>
      <c r="F12" s="93" t="s">
        <v>271</v>
      </c>
      <c r="G12" s="93" t="s">
        <v>36</v>
      </c>
      <c r="H12" s="93" t="s">
        <v>187</v>
      </c>
      <c r="I12" s="93" t="s">
        <v>159</v>
      </c>
      <c r="J12" s="93" t="s">
        <v>80</v>
      </c>
      <c r="K12" s="93" t="s">
        <v>45</v>
      </c>
      <c r="L12" s="93">
        <v>2</v>
      </c>
      <c r="N12" s="93">
        <v>1</v>
      </c>
      <c r="O12" s="93">
        <v>0.65</v>
      </c>
      <c r="P12" s="93">
        <v>0.65</v>
      </c>
      <c r="Q12" s="102">
        <f t="shared" si="0"/>
        <v>0.65</v>
      </c>
      <c r="R12" s="93">
        <v>13.5</v>
      </c>
      <c r="S12" s="93">
        <v>96</v>
      </c>
      <c r="T12" s="103">
        <f t="shared" si="1"/>
        <v>36</v>
      </c>
      <c r="U12" s="93">
        <v>138</v>
      </c>
      <c r="V12" s="104">
        <f t="shared" si="2"/>
        <v>4968</v>
      </c>
      <c r="W12" s="93">
        <v>3</v>
      </c>
      <c r="X12" s="93" t="s">
        <v>39</v>
      </c>
      <c r="Y12" s="93" t="s">
        <v>84</v>
      </c>
      <c r="Z12" s="93" t="s">
        <v>69</v>
      </c>
      <c r="AA12" s="93" t="s">
        <v>90</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266</v>
      </c>
      <c r="E13" s="93" t="s">
        <v>270</v>
      </c>
      <c r="F13" s="93" t="s">
        <v>271</v>
      </c>
      <c r="G13" s="93" t="s">
        <v>36</v>
      </c>
      <c r="H13" s="93" t="s">
        <v>187</v>
      </c>
      <c r="I13" s="93" t="s">
        <v>159</v>
      </c>
      <c r="J13" s="93" t="s">
        <v>80</v>
      </c>
      <c r="K13" s="93" t="s">
        <v>45</v>
      </c>
      <c r="L13" s="93">
        <v>3</v>
      </c>
      <c r="N13" s="93">
        <v>1</v>
      </c>
      <c r="O13" s="93">
        <v>0.55000000000000004</v>
      </c>
      <c r="P13" s="93">
        <v>0.6</v>
      </c>
      <c r="Q13" s="102">
        <f t="shared" si="0"/>
        <v>0.57499999999999996</v>
      </c>
      <c r="R13" s="93">
        <v>14.2</v>
      </c>
      <c r="S13" s="93">
        <v>96</v>
      </c>
      <c r="T13" s="103">
        <f t="shared" si="1"/>
        <v>36</v>
      </c>
      <c r="U13" s="93">
        <v>138</v>
      </c>
      <c r="V13" s="104">
        <f t="shared" si="2"/>
        <v>4968</v>
      </c>
      <c r="W13" s="93">
        <v>3</v>
      </c>
      <c r="X13" s="93" t="s">
        <v>39</v>
      </c>
      <c r="Y13" s="93" t="s">
        <v>84</v>
      </c>
      <c r="Z13" s="93" t="s">
        <v>69</v>
      </c>
      <c r="AA13" s="93" t="s">
        <v>90</v>
      </c>
      <c r="AB13" s="93" t="s">
        <v>158</v>
      </c>
      <c r="AE13" s="110" t="s">
        <v>216</v>
      </c>
      <c r="AG13" s="111"/>
      <c r="AH13" s="111"/>
      <c r="AP13" s="111" t="s">
        <v>71</v>
      </c>
      <c r="AR13" s="111" t="s">
        <v>208</v>
      </c>
      <c r="AV13" s="111" t="s">
        <v>75</v>
      </c>
    </row>
    <row r="14" spans="1:53" x14ac:dyDescent="0.15">
      <c r="A14" s="93" t="s">
        <v>51</v>
      </c>
      <c r="B14" s="93" t="s">
        <v>157</v>
      </c>
      <c r="C14" s="93">
        <v>2019</v>
      </c>
      <c r="D14" s="101" t="s">
        <v>266</v>
      </c>
      <c r="E14" s="93" t="s">
        <v>139</v>
      </c>
      <c r="F14" s="93" t="s">
        <v>281</v>
      </c>
      <c r="G14" s="93" t="s">
        <v>42</v>
      </c>
      <c r="H14" s="93" t="s">
        <v>163</v>
      </c>
      <c r="I14" s="93" t="s">
        <v>159</v>
      </c>
      <c r="J14" s="93" t="s">
        <v>38</v>
      </c>
      <c r="K14" s="93" t="s">
        <v>160</v>
      </c>
      <c r="L14" s="93">
        <v>1</v>
      </c>
      <c r="N14" s="93">
        <v>1</v>
      </c>
      <c r="O14" s="93">
        <v>1.05</v>
      </c>
      <c r="P14" s="93">
        <v>0.75</v>
      </c>
      <c r="Q14" s="102">
        <f t="shared" si="0"/>
        <v>0.9</v>
      </c>
      <c r="R14" s="93">
        <v>14.3</v>
      </c>
      <c r="S14" s="93">
        <v>108</v>
      </c>
      <c r="T14" s="103">
        <f t="shared" si="1"/>
        <v>33</v>
      </c>
      <c r="U14" s="93">
        <v>98</v>
      </c>
      <c r="V14" s="104">
        <f t="shared" si="2"/>
        <v>3234</v>
      </c>
      <c r="W14" s="93">
        <v>6</v>
      </c>
      <c r="X14" s="93" t="s">
        <v>46</v>
      </c>
      <c r="Y14" s="93" t="s">
        <v>84</v>
      </c>
      <c r="Z14" s="93" t="s">
        <v>90</v>
      </c>
      <c r="AA14" s="93" t="s">
        <v>69</v>
      </c>
      <c r="AB14" s="93" t="s">
        <v>158</v>
      </c>
      <c r="AE14" s="110" t="s">
        <v>96</v>
      </c>
      <c r="AG14" s="111"/>
      <c r="AH14" s="111"/>
      <c r="AP14" s="111" t="s">
        <v>74</v>
      </c>
      <c r="AR14" s="111" t="s">
        <v>217</v>
      </c>
      <c r="AV14" s="111" t="s">
        <v>78</v>
      </c>
    </row>
    <row r="15" spans="1:53" x14ac:dyDescent="0.15">
      <c r="A15" s="93" t="s">
        <v>51</v>
      </c>
      <c r="B15" s="93" t="s">
        <v>157</v>
      </c>
      <c r="C15" s="93">
        <v>2019</v>
      </c>
      <c r="D15" s="101" t="s">
        <v>266</v>
      </c>
      <c r="E15" s="93" t="s">
        <v>139</v>
      </c>
      <c r="F15" s="93" t="s">
        <v>281</v>
      </c>
      <c r="G15" s="93" t="s">
        <v>42</v>
      </c>
      <c r="H15" s="93" t="s">
        <v>163</v>
      </c>
      <c r="I15" s="93" t="s">
        <v>159</v>
      </c>
      <c r="J15" s="93" t="s">
        <v>38</v>
      </c>
      <c r="K15" s="93" t="s">
        <v>160</v>
      </c>
      <c r="L15" s="93">
        <v>2</v>
      </c>
      <c r="N15" s="93">
        <v>1</v>
      </c>
      <c r="O15" s="93">
        <v>0.85</v>
      </c>
      <c r="P15" s="93">
        <v>0.9</v>
      </c>
      <c r="Q15" s="102">
        <f t="shared" si="0"/>
        <v>0.875</v>
      </c>
      <c r="R15" s="93">
        <v>14.6</v>
      </c>
      <c r="S15" s="93">
        <v>110</v>
      </c>
      <c r="T15" s="103">
        <f t="shared" si="1"/>
        <v>33</v>
      </c>
      <c r="U15" s="93">
        <v>98</v>
      </c>
      <c r="V15" s="104">
        <f t="shared" si="2"/>
        <v>3234</v>
      </c>
      <c r="W15" s="93">
        <v>6</v>
      </c>
      <c r="X15" s="93" t="s">
        <v>46</v>
      </c>
      <c r="Y15" s="93" t="s">
        <v>84</v>
      </c>
      <c r="Z15" s="93" t="s">
        <v>90</v>
      </c>
      <c r="AA15" s="93" t="s">
        <v>69</v>
      </c>
      <c r="AB15" s="93" t="s">
        <v>158</v>
      </c>
      <c r="AE15" s="110" t="s">
        <v>218</v>
      </c>
      <c r="AG15" s="111"/>
      <c r="AH15" s="111"/>
      <c r="AP15" s="111" t="s">
        <v>77</v>
      </c>
      <c r="AR15" s="111" t="s">
        <v>80</v>
      </c>
      <c r="AV15" s="111" t="s">
        <v>107</v>
      </c>
    </row>
    <row r="16" spans="1:53" x14ac:dyDescent="0.15">
      <c r="A16" s="93" t="s">
        <v>51</v>
      </c>
      <c r="B16" s="93" t="s">
        <v>157</v>
      </c>
      <c r="C16" s="93">
        <v>2019</v>
      </c>
      <c r="D16" s="101" t="s">
        <v>266</v>
      </c>
      <c r="E16" s="93" t="s">
        <v>139</v>
      </c>
      <c r="F16" s="93" t="s">
        <v>281</v>
      </c>
      <c r="G16" s="93" t="s">
        <v>42</v>
      </c>
      <c r="H16" s="93" t="s">
        <v>163</v>
      </c>
      <c r="I16" s="93" t="s">
        <v>159</v>
      </c>
      <c r="J16" s="93" t="s">
        <v>38</v>
      </c>
      <c r="K16" s="93" t="s">
        <v>160</v>
      </c>
      <c r="L16" s="93">
        <v>3</v>
      </c>
      <c r="N16" s="93">
        <v>1</v>
      </c>
      <c r="O16" s="93">
        <v>0.9</v>
      </c>
      <c r="P16" s="93">
        <v>0.75</v>
      </c>
      <c r="Q16" s="102">
        <f t="shared" si="0"/>
        <v>0.82499999999999996</v>
      </c>
      <c r="R16" s="93">
        <v>14.9</v>
      </c>
      <c r="S16" s="93">
        <v>110</v>
      </c>
      <c r="T16" s="103">
        <f t="shared" si="1"/>
        <v>33</v>
      </c>
      <c r="U16" s="93">
        <v>98</v>
      </c>
      <c r="V16" s="104">
        <f t="shared" si="2"/>
        <v>3234</v>
      </c>
      <c r="W16" s="93">
        <v>6</v>
      </c>
      <c r="X16" s="93" t="s">
        <v>46</v>
      </c>
      <c r="Y16" s="93" t="s">
        <v>84</v>
      </c>
      <c r="Z16" s="93" t="s">
        <v>90</v>
      </c>
      <c r="AA16" s="93" t="s">
        <v>69</v>
      </c>
      <c r="AB16" s="93" t="s">
        <v>158</v>
      </c>
      <c r="AE16" s="110" t="s">
        <v>219</v>
      </c>
      <c r="AG16" s="116"/>
      <c r="AH16" s="116"/>
      <c r="AP16" s="111" t="s">
        <v>80</v>
      </c>
      <c r="AR16" s="111" t="s">
        <v>63</v>
      </c>
      <c r="AV16" s="111" t="s">
        <v>84</v>
      </c>
    </row>
    <row r="17" spans="1:48" x14ac:dyDescent="0.15">
      <c r="A17" s="93" t="s">
        <v>51</v>
      </c>
      <c r="B17" s="93" t="s">
        <v>157</v>
      </c>
      <c r="C17" s="93">
        <v>2019</v>
      </c>
      <c r="D17" s="101" t="s">
        <v>266</v>
      </c>
      <c r="E17" s="93" t="s">
        <v>139</v>
      </c>
      <c r="F17" s="93" t="s">
        <v>281</v>
      </c>
      <c r="G17" s="93" t="s">
        <v>42</v>
      </c>
      <c r="H17" s="93" t="s">
        <v>164</v>
      </c>
      <c r="I17" s="93" t="s">
        <v>159</v>
      </c>
      <c r="J17" s="93" t="s">
        <v>38</v>
      </c>
      <c r="K17" s="93" t="s">
        <v>54</v>
      </c>
      <c r="L17" s="93">
        <v>1</v>
      </c>
      <c r="N17" s="93">
        <v>1</v>
      </c>
      <c r="O17" s="93">
        <v>0.8</v>
      </c>
      <c r="P17" s="93">
        <v>0.75</v>
      </c>
      <c r="Q17" s="102">
        <f t="shared" si="0"/>
        <v>0.77500000000000002</v>
      </c>
      <c r="R17" s="93">
        <v>15.1</v>
      </c>
      <c r="S17" s="93">
        <v>104</v>
      </c>
      <c r="T17" s="103">
        <f t="shared" si="1"/>
        <v>36</v>
      </c>
      <c r="U17" s="93">
        <v>128</v>
      </c>
      <c r="V17" s="104">
        <f t="shared" si="2"/>
        <v>4608</v>
      </c>
      <c r="W17" s="93">
        <v>6</v>
      </c>
      <c r="X17" s="93" t="s">
        <v>46</v>
      </c>
      <c r="Y17" s="93" t="s">
        <v>84</v>
      </c>
      <c r="Z17" s="93" t="s">
        <v>90</v>
      </c>
      <c r="AA17" s="93" t="s">
        <v>69</v>
      </c>
      <c r="AB17" s="93" t="s">
        <v>158</v>
      </c>
      <c r="AE17" s="110" t="s">
        <v>220</v>
      </c>
      <c r="AP17" s="115" t="s">
        <v>221</v>
      </c>
      <c r="AR17" s="111" t="s">
        <v>96</v>
      </c>
      <c r="AV17" s="111" t="s">
        <v>86</v>
      </c>
    </row>
    <row r="18" spans="1:48" x14ac:dyDescent="0.15">
      <c r="A18" s="93" t="s">
        <v>51</v>
      </c>
      <c r="B18" s="93" t="s">
        <v>157</v>
      </c>
      <c r="C18" s="93">
        <v>2019</v>
      </c>
      <c r="D18" s="101" t="s">
        <v>266</v>
      </c>
      <c r="E18" s="93" t="s">
        <v>139</v>
      </c>
      <c r="F18" s="93" t="s">
        <v>281</v>
      </c>
      <c r="G18" s="93" t="s">
        <v>42</v>
      </c>
      <c r="H18" s="93" t="s">
        <v>164</v>
      </c>
      <c r="I18" s="93" t="s">
        <v>159</v>
      </c>
      <c r="J18" s="93" t="s">
        <v>38</v>
      </c>
      <c r="K18" s="93" t="s">
        <v>54</v>
      </c>
      <c r="L18" s="93">
        <v>2</v>
      </c>
      <c r="N18" s="93">
        <v>1</v>
      </c>
      <c r="O18" s="93">
        <v>0.75</v>
      </c>
      <c r="P18" s="93">
        <v>0.75</v>
      </c>
      <c r="Q18" s="102">
        <f t="shared" si="0"/>
        <v>0.75</v>
      </c>
      <c r="R18" s="93">
        <v>15.3</v>
      </c>
      <c r="S18" s="93">
        <v>106</v>
      </c>
      <c r="T18" s="103">
        <f t="shared" si="1"/>
        <v>36</v>
      </c>
      <c r="U18" s="93">
        <v>128</v>
      </c>
      <c r="V18" s="104">
        <f t="shared" si="2"/>
        <v>4608</v>
      </c>
      <c r="W18" s="93">
        <v>6</v>
      </c>
      <c r="X18" s="93" t="s">
        <v>46</v>
      </c>
      <c r="Y18" s="93" t="s">
        <v>84</v>
      </c>
      <c r="Z18" s="93" t="s">
        <v>90</v>
      </c>
      <c r="AA18" s="93" t="s">
        <v>69</v>
      </c>
      <c r="AB18" s="93" t="s">
        <v>158</v>
      </c>
      <c r="AE18" s="110" t="s">
        <v>213</v>
      </c>
      <c r="AP18" s="115" t="s">
        <v>222</v>
      </c>
      <c r="AR18" s="111" t="s">
        <v>101</v>
      </c>
      <c r="AV18" s="111" t="s">
        <v>88</v>
      </c>
    </row>
    <row r="19" spans="1:48" x14ac:dyDescent="0.15">
      <c r="A19" s="93" t="s">
        <v>51</v>
      </c>
      <c r="B19" s="93" t="s">
        <v>157</v>
      </c>
      <c r="C19" s="93">
        <v>2019</v>
      </c>
      <c r="D19" s="101" t="s">
        <v>266</v>
      </c>
      <c r="E19" s="93" t="s">
        <v>139</v>
      </c>
      <c r="F19" s="93" t="s">
        <v>281</v>
      </c>
      <c r="G19" s="93" t="s">
        <v>42</v>
      </c>
      <c r="H19" s="93" t="s">
        <v>164</v>
      </c>
      <c r="I19" s="93" t="s">
        <v>159</v>
      </c>
      <c r="J19" s="93" t="s">
        <v>38</v>
      </c>
      <c r="K19" s="93" t="s">
        <v>54</v>
      </c>
      <c r="L19" s="93">
        <v>3</v>
      </c>
      <c r="N19" s="93">
        <v>1</v>
      </c>
      <c r="O19" s="93">
        <v>0.8</v>
      </c>
      <c r="P19" s="93">
        <v>0.75</v>
      </c>
      <c r="Q19" s="102">
        <f t="shared" si="0"/>
        <v>0.77500000000000002</v>
      </c>
      <c r="R19" s="93">
        <v>15.5</v>
      </c>
      <c r="S19" s="93">
        <v>110</v>
      </c>
      <c r="T19" s="103">
        <f t="shared" si="1"/>
        <v>33</v>
      </c>
      <c r="U19" s="93">
        <v>128</v>
      </c>
      <c r="V19" s="104">
        <f t="shared" si="2"/>
        <v>4224</v>
      </c>
      <c r="W19" s="93">
        <v>6</v>
      </c>
      <c r="X19" s="93" t="s">
        <v>46</v>
      </c>
      <c r="Y19" s="93" t="s">
        <v>84</v>
      </c>
      <c r="Z19" s="93" t="s">
        <v>90</v>
      </c>
      <c r="AA19" s="93" t="s">
        <v>69</v>
      </c>
      <c r="AB19" s="93" t="s">
        <v>158</v>
      </c>
      <c r="AE19" s="121" t="s">
        <v>207</v>
      </c>
      <c r="AP19" s="115" t="s">
        <v>223</v>
      </c>
      <c r="AR19" s="111" t="s">
        <v>224</v>
      </c>
      <c r="AV19" s="111" t="s">
        <v>90</v>
      </c>
    </row>
    <row r="20" spans="1:48" x14ac:dyDescent="0.15">
      <c r="A20" s="93" t="s">
        <v>51</v>
      </c>
      <c r="B20" s="93" t="s">
        <v>157</v>
      </c>
      <c r="C20" s="93">
        <v>2019</v>
      </c>
      <c r="D20" s="101" t="s">
        <v>266</v>
      </c>
      <c r="E20" s="93" t="s">
        <v>275</v>
      </c>
      <c r="F20" s="93" t="s">
        <v>276</v>
      </c>
      <c r="G20" s="93" t="s">
        <v>36</v>
      </c>
      <c r="H20" s="93" t="s">
        <v>163</v>
      </c>
      <c r="I20" s="93" t="s">
        <v>159</v>
      </c>
      <c r="J20" s="93" t="s">
        <v>38</v>
      </c>
      <c r="K20" s="93" t="s">
        <v>160</v>
      </c>
      <c r="L20" s="93">
        <v>1</v>
      </c>
      <c r="N20" s="93">
        <v>1</v>
      </c>
      <c r="O20" s="93">
        <v>0.65</v>
      </c>
      <c r="P20" s="93">
        <v>0.65</v>
      </c>
      <c r="Q20" s="102">
        <f t="shared" si="0"/>
        <v>0.65</v>
      </c>
      <c r="R20" s="93">
        <v>16.600000000000001</v>
      </c>
      <c r="S20" s="93">
        <v>122</v>
      </c>
      <c r="T20" s="103">
        <f t="shared" si="1"/>
        <v>27</v>
      </c>
      <c r="U20" s="93">
        <v>118</v>
      </c>
      <c r="V20" s="104">
        <f t="shared" si="2"/>
        <v>3186</v>
      </c>
      <c r="W20" s="93">
        <v>4</v>
      </c>
      <c r="X20" s="93" t="s">
        <v>46</v>
      </c>
      <c r="Y20" s="93" t="s">
        <v>84</v>
      </c>
      <c r="Z20" s="93" t="s">
        <v>90</v>
      </c>
      <c r="AA20" s="93" t="s">
        <v>69</v>
      </c>
      <c r="AB20" s="93" t="s">
        <v>158</v>
      </c>
      <c r="AE20" s="121"/>
      <c r="AP20" s="115" t="s">
        <v>225</v>
      </c>
      <c r="AR20" s="111" t="s">
        <v>105</v>
      </c>
      <c r="AV20" s="115" t="s">
        <v>226</v>
      </c>
    </row>
    <row r="21" spans="1:48" x14ac:dyDescent="0.15">
      <c r="A21" s="93" t="s">
        <v>51</v>
      </c>
      <c r="B21" s="93" t="s">
        <v>157</v>
      </c>
      <c r="C21" s="93">
        <v>2019</v>
      </c>
      <c r="D21" s="101" t="s">
        <v>266</v>
      </c>
      <c r="E21" s="93" t="s">
        <v>275</v>
      </c>
      <c r="F21" s="93" t="s">
        <v>276</v>
      </c>
      <c r="G21" s="93" t="s">
        <v>36</v>
      </c>
      <c r="H21" s="93" t="s">
        <v>163</v>
      </c>
      <c r="I21" s="93" t="s">
        <v>159</v>
      </c>
      <c r="J21" s="93" t="s">
        <v>38</v>
      </c>
      <c r="K21" s="93" t="s">
        <v>160</v>
      </c>
      <c r="L21" s="93">
        <v>2</v>
      </c>
      <c r="N21" s="93">
        <v>1</v>
      </c>
      <c r="O21" s="93">
        <v>0.6</v>
      </c>
      <c r="P21" s="93">
        <v>0.6</v>
      </c>
      <c r="Q21" s="102">
        <f t="shared" si="0"/>
        <v>0.6</v>
      </c>
      <c r="R21" s="93">
        <v>16.399999999999999</v>
      </c>
      <c r="S21" s="93">
        <v>116</v>
      </c>
      <c r="T21" s="103">
        <f t="shared" si="1"/>
        <v>30</v>
      </c>
      <c r="U21" s="93">
        <v>118</v>
      </c>
      <c r="V21" s="104">
        <f t="shared" si="2"/>
        <v>3540</v>
      </c>
      <c r="W21" s="93">
        <v>4</v>
      </c>
      <c r="X21" s="93" t="s">
        <v>46</v>
      </c>
      <c r="Y21" s="93" t="s">
        <v>84</v>
      </c>
      <c r="Z21" s="93" t="s">
        <v>90</v>
      </c>
      <c r="AA21" s="93" t="s">
        <v>69</v>
      </c>
      <c r="AB21" s="93" t="s">
        <v>158</v>
      </c>
      <c r="AE21" s="116"/>
      <c r="AP21" s="115" t="s">
        <v>227</v>
      </c>
      <c r="AR21" s="111" t="s">
        <v>68</v>
      </c>
      <c r="AV21" s="115" t="s">
        <v>228</v>
      </c>
    </row>
    <row r="22" spans="1:48" x14ac:dyDescent="0.15">
      <c r="A22" s="93" t="s">
        <v>51</v>
      </c>
      <c r="B22" s="93" t="s">
        <v>157</v>
      </c>
      <c r="C22" s="93">
        <v>2019</v>
      </c>
      <c r="D22" s="101" t="s">
        <v>266</v>
      </c>
      <c r="E22" s="93" t="s">
        <v>275</v>
      </c>
      <c r="F22" s="93" t="s">
        <v>276</v>
      </c>
      <c r="G22" s="93" t="s">
        <v>36</v>
      </c>
      <c r="H22" s="93" t="s">
        <v>163</v>
      </c>
      <c r="I22" s="93" t="s">
        <v>159</v>
      </c>
      <c r="J22" s="93" t="s">
        <v>38</v>
      </c>
      <c r="K22" s="93" t="s">
        <v>160</v>
      </c>
      <c r="L22" s="93">
        <v>3</v>
      </c>
      <c r="N22" s="93">
        <v>1</v>
      </c>
      <c r="O22" s="93">
        <v>0.65</v>
      </c>
      <c r="P22" s="93">
        <v>0.7</v>
      </c>
      <c r="Q22" s="102">
        <f t="shared" si="0"/>
        <v>0.67500000000000004</v>
      </c>
      <c r="R22" s="93">
        <v>15.9</v>
      </c>
      <c r="S22" s="93">
        <v>118</v>
      </c>
      <c r="T22" s="103">
        <f t="shared" si="1"/>
        <v>30</v>
      </c>
      <c r="U22" s="93">
        <v>118</v>
      </c>
      <c r="V22" s="104">
        <f t="shared" si="2"/>
        <v>3540</v>
      </c>
      <c r="W22" s="93">
        <v>4</v>
      </c>
      <c r="X22" s="93" t="s">
        <v>46</v>
      </c>
      <c r="Y22" s="93" t="s">
        <v>84</v>
      </c>
      <c r="Z22" s="93" t="s">
        <v>90</v>
      </c>
      <c r="AA22" s="93" t="s">
        <v>69</v>
      </c>
      <c r="AB22" s="93" t="s">
        <v>158</v>
      </c>
      <c r="AP22" s="115" t="s">
        <v>229</v>
      </c>
      <c r="AR22" s="111" t="s">
        <v>83</v>
      </c>
      <c r="AV22" s="115"/>
    </row>
    <row r="23" spans="1:48" x14ac:dyDescent="0.15">
      <c r="A23" s="93" t="s">
        <v>51</v>
      </c>
      <c r="B23" s="93" t="s">
        <v>157</v>
      </c>
      <c r="C23" s="93">
        <v>2019</v>
      </c>
      <c r="D23" s="101" t="s">
        <v>266</v>
      </c>
      <c r="E23" s="93" t="s">
        <v>275</v>
      </c>
      <c r="F23" s="93" t="s">
        <v>276</v>
      </c>
      <c r="G23" s="93" t="s">
        <v>36</v>
      </c>
      <c r="H23" s="93" t="s">
        <v>203</v>
      </c>
      <c r="I23" s="93" t="s">
        <v>159</v>
      </c>
      <c r="J23" s="93" t="s">
        <v>38</v>
      </c>
      <c r="K23" s="93" t="s">
        <v>213</v>
      </c>
      <c r="L23" s="93">
        <v>1</v>
      </c>
      <c r="N23" s="93">
        <v>2</v>
      </c>
      <c r="O23" s="93">
        <v>0.25</v>
      </c>
      <c r="P23" s="93">
        <v>0.5</v>
      </c>
      <c r="Q23" s="102">
        <f t="shared" si="0"/>
        <v>0.375</v>
      </c>
      <c r="R23" s="93">
        <v>15.8</v>
      </c>
      <c r="S23" s="93">
        <v>126</v>
      </c>
      <c r="T23" s="103">
        <f t="shared" si="1"/>
        <v>27</v>
      </c>
      <c r="U23" s="93">
        <v>398</v>
      </c>
      <c r="V23" s="104">
        <f t="shared" si="2"/>
        <v>5373</v>
      </c>
      <c r="W23" s="93">
        <v>4</v>
      </c>
      <c r="X23" s="93" t="s">
        <v>46</v>
      </c>
      <c r="Y23" s="93" t="s">
        <v>84</v>
      </c>
      <c r="Z23" s="93" t="s">
        <v>90</v>
      </c>
      <c r="AA23" s="93" t="s">
        <v>69</v>
      </c>
      <c r="AB23" s="93" t="s">
        <v>158</v>
      </c>
      <c r="AP23" s="115" t="s">
        <v>230</v>
      </c>
      <c r="AR23" s="111" t="s">
        <v>61</v>
      </c>
    </row>
    <row r="24" spans="1:48" x14ac:dyDescent="0.15">
      <c r="A24" s="93" t="s">
        <v>51</v>
      </c>
      <c r="B24" s="93" t="s">
        <v>157</v>
      </c>
      <c r="C24" s="93">
        <v>2019</v>
      </c>
      <c r="D24" s="101" t="s">
        <v>266</v>
      </c>
      <c r="E24" s="93" t="s">
        <v>275</v>
      </c>
      <c r="F24" s="93" t="s">
        <v>276</v>
      </c>
      <c r="G24" s="93" t="s">
        <v>36</v>
      </c>
      <c r="H24" s="93" t="s">
        <v>203</v>
      </c>
      <c r="I24" s="93" t="s">
        <v>159</v>
      </c>
      <c r="J24" s="93" t="s">
        <v>38</v>
      </c>
      <c r="K24" s="93" t="s">
        <v>213</v>
      </c>
      <c r="L24" s="93">
        <v>2</v>
      </c>
      <c r="N24" s="93">
        <v>2</v>
      </c>
      <c r="O24" s="93">
        <v>0.25</v>
      </c>
      <c r="P24" s="93">
        <v>0.25</v>
      </c>
      <c r="Q24" s="102">
        <f t="shared" si="0"/>
        <v>0.25</v>
      </c>
      <c r="R24" s="93">
        <v>16.7</v>
      </c>
      <c r="S24" s="93">
        <v>122</v>
      </c>
      <c r="T24" s="103">
        <f t="shared" si="1"/>
        <v>27</v>
      </c>
      <c r="U24" s="93">
        <v>398</v>
      </c>
      <c r="V24" s="104">
        <f t="shared" si="2"/>
        <v>5373</v>
      </c>
      <c r="W24" s="93">
        <v>4</v>
      </c>
      <c r="X24" s="93" t="s">
        <v>46</v>
      </c>
      <c r="Y24" s="93" t="s">
        <v>84</v>
      </c>
      <c r="Z24" s="93" t="s">
        <v>90</v>
      </c>
      <c r="AA24" s="93" t="s">
        <v>69</v>
      </c>
      <c r="AB24" s="93" t="s">
        <v>158</v>
      </c>
      <c r="AP24" s="115" t="s">
        <v>231</v>
      </c>
      <c r="AR24" s="111" t="s">
        <v>91</v>
      </c>
    </row>
    <row r="25" spans="1:48" x14ac:dyDescent="0.15">
      <c r="A25" s="93" t="s">
        <v>51</v>
      </c>
      <c r="B25" s="93" t="s">
        <v>157</v>
      </c>
      <c r="C25" s="93">
        <v>2019</v>
      </c>
      <c r="D25" s="101" t="s">
        <v>266</v>
      </c>
      <c r="E25" s="93" t="s">
        <v>275</v>
      </c>
      <c r="F25" s="93" t="s">
        <v>276</v>
      </c>
      <c r="G25" s="93" t="s">
        <v>36</v>
      </c>
      <c r="H25" s="93" t="s">
        <v>203</v>
      </c>
      <c r="I25" s="93" t="s">
        <v>159</v>
      </c>
      <c r="J25" s="93" t="s">
        <v>38</v>
      </c>
      <c r="K25" s="93" t="s">
        <v>213</v>
      </c>
      <c r="L25" s="93">
        <v>3</v>
      </c>
      <c r="N25" s="93">
        <v>2</v>
      </c>
      <c r="O25" s="93">
        <v>0.25</v>
      </c>
      <c r="P25" s="93">
        <v>0.25</v>
      </c>
      <c r="Q25" s="102">
        <f t="shared" si="0"/>
        <v>0.25</v>
      </c>
      <c r="R25" s="93">
        <v>15.2</v>
      </c>
      <c r="S25" s="93">
        <v>120</v>
      </c>
      <c r="T25" s="103">
        <f t="shared" si="1"/>
        <v>30</v>
      </c>
      <c r="U25" s="93">
        <v>398</v>
      </c>
      <c r="V25" s="104">
        <f t="shared" si="2"/>
        <v>5970</v>
      </c>
      <c r="W25" s="93">
        <v>4</v>
      </c>
      <c r="X25" s="93" t="s">
        <v>46</v>
      </c>
      <c r="Y25" s="93" t="s">
        <v>84</v>
      </c>
      <c r="Z25" s="93" t="s">
        <v>90</v>
      </c>
      <c r="AA25" s="93" t="s">
        <v>69</v>
      </c>
      <c r="AB25" s="93" t="s">
        <v>158</v>
      </c>
      <c r="AP25" s="115" t="s">
        <v>232</v>
      </c>
      <c r="AR25" s="115" t="s">
        <v>51</v>
      </c>
    </row>
    <row r="26" spans="1:48" x14ac:dyDescent="0.15">
      <c r="A26" s="93" t="s">
        <v>51</v>
      </c>
      <c r="B26" s="93" t="s">
        <v>157</v>
      </c>
      <c r="C26" s="93">
        <v>2019</v>
      </c>
      <c r="D26" s="101" t="s">
        <v>266</v>
      </c>
      <c r="E26" s="93" t="s">
        <v>211</v>
      </c>
      <c r="F26" s="93" t="s">
        <v>269</v>
      </c>
      <c r="G26" s="93" t="s">
        <v>42</v>
      </c>
      <c r="H26" s="93" t="s">
        <v>163</v>
      </c>
      <c r="I26" s="93" t="s">
        <v>159</v>
      </c>
      <c r="J26" s="93" t="s">
        <v>38</v>
      </c>
      <c r="K26" s="93" t="s">
        <v>160</v>
      </c>
      <c r="L26" s="93">
        <v>1</v>
      </c>
      <c r="N26" s="93">
        <v>1</v>
      </c>
      <c r="O26" s="93">
        <v>0.5</v>
      </c>
      <c r="P26" s="93">
        <v>0.25</v>
      </c>
      <c r="Q26" s="102">
        <f t="shared" si="0"/>
        <v>0.375</v>
      </c>
      <c r="R26" s="93">
        <v>13.4</v>
      </c>
      <c r="S26" s="93">
        <v>122</v>
      </c>
      <c r="T26" s="103">
        <f t="shared" si="1"/>
        <v>27</v>
      </c>
      <c r="U26" s="93">
        <v>97</v>
      </c>
      <c r="V26" s="104">
        <f t="shared" si="2"/>
        <v>2619</v>
      </c>
      <c r="W26" s="93">
        <v>12</v>
      </c>
      <c r="X26" s="93" t="s">
        <v>39</v>
      </c>
      <c r="Y26" s="93" t="s">
        <v>84</v>
      </c>
      <c r="Z26" s="93" t="s">
        <v>69</v>
      </c>
      <c r="AA26" s="93" t="s">
        <v>90</v>
      </c>
      <c r="AB26" s="93" t="s">
        <v>158</v>
      </c>
      <c r="AP26" s="115" t="s">
        <v>233</v>
      </c>
      <c r="AR26" s="93" t="s">
        <v>234</v>
      </c>
    </row>
    <row r="27" spans="1:48" x14ac:dyDescent="0.15">
      <c r="A27" s="93" t="s">
        <v>51</v>
      </c>
      <c r="B27" s="93" t="s">
        <v>157</v>
      </c>
      <c r="C27" s="93">
        <v>2019</v>
      </c>
      <c r="D27" s="101" t="s">
        <v>266</v>
      </c>
      <c r="E27" s="93" t="s">
        <v>211</v>
      </c>
      <c r="F27" s="93" t="s">
        <v>269</v>
      </c>
      <c r="G27" s="93" t="s">
        <v>42</v>
      </c>
      <c r="H27" s="93" t="s">
        <v>163</v>
      </c>
      <c r="I27" s="93" t="s">
        <v>159</v>
      </c>
      <c r="J27" s="93" t="s">
        <v>38</v>
      </c>
      <c r="K27" s="93" t="s">
        <v>160</v>
      </c>
      <c r="L27" s="93">
        <v>2</v>
      </c>
      <c r="N27" s="93">
        <v>1</v>
      </c>
      <c r="O27" s="93">
        <v>0.25</v>
      </c>
      <c r="P27" s="93">
        <v>0.25</v>
      </c>
      <c r="Q27" s="102">
        <f t="shared" si="0"/>
        <v>0.25</v>
      </c>
      <c r="R27" s="93">
        <v>13.1</v>
      </c>
      <c r="S27" s="93">
        <v>120</v>
      </c>
      <c r="T27" s="103">
        <f t="shared" si="1"/>
        <v>30</v>
      </c>
      <c r="U27" s="93">
        <v>97</v>
      </c>
      <c r="V27" s="104">
        <f t="shared" si="2"/>
        <v>2910</v>
      </c>
      <c r="W27" s="93">
        <v>12</v>
      </c>
      <c r="X27" s="93" t="s">
        <v>39</v>
      </c>
      <c r="Y27" s="93" t="s">
        <v>84</v>
      </c>
      <c r="Z27" s="93" t="s">
        <v>69</v>
      </c>
      <c r="AA27" s="93" t="s">
        <v>90</v>
      </c>
      <c r="AB27" s="93" t="s">
        <v>158</v>
      </c>
      <c r="AP27" s="115" t="s">
        <v>235</v>
      </c>
    </row>
    <row r="28" spans="1:48" x14ac:dyDescent="0.15">
      <c r="A28" s="93" t="s">
        <v>51</v>
      </c>
      <c r="B28" s="93" t="s">
        <v>157</v>
      </c>
      <c r="C28" s="93">
        <v>2019</v>
      </c>
      <c r="D28" s="101" t="s">
        <v>266</v>
      </c>
      <c r="E28" s="93" t="s">
        <v>211</v>
      </c>
      <c r="F28" s="93" t="s">
        <v>269</v>
      </c>
      <c r="G28" s="93" t="s">
        <v>42</v>
      </c>
      <c r="H28" s="93" t="s">
        <v>163</v>
      </c>
      <c r="I28" s="93" t="s">
        <v>159</v>
      </c>
      <c r="J28" s="93" t="s">
        <v>38</v>
      </c>
      <c r="K28" s="93" t="s">
        <v>160</v>
      </c>
      <c r="L28" s="93">
        <v>3</v>
      </c>
      <c r="N28" s="93">
        <v>1</v>
      </c>
      <c r="O28" s="93">
        <v>0.5</v>
      </c>
      <c r="P28" s="93">
        <v>0.5</v>
      </c>
      <c r="Q28" s="102">
        <f t="shared" si="0"/>
        <v>0.5</v>
      </c>
      <c r="R28" s="93">
        <v>13.6</v>
      </c>
      <c r="S28" s="93">
        <v>122</v>
      </c>
      <c r="T28" s="103">
        <f t="shared" si="1"/>
        <v>27</v>
      </c>
      <c r="U28" s="93">
        <v>97</v>
      </c>
      <c r="V28" s="104">
        <f t="shared" si="2"/>
        <v>2619</v>
      </c>
      <c r="W28" s="93">
        <v>12</v>
      </c>
      <c r="X28" s="93" t="s">
        <v>39</v>
      </c>
      <c r="Y28" s="93" t="s">
        <v>84</v>
      </c>
      <c r="Z28" s="93" t="s">
        <v>69</v>
      </c>
      <c r="AA28" s="93" t="s">
        <v>90</v>
      </c>
      <c r="AB28" s="93" t="s">
        <v>158</v>
      </c>
    </row>
    <row r="29" spans="1:48" x14ac:dyDescent="0.15">
      <c r="A29" s="93" t="s">
        <v>51</v>
      </c>
      <c r="B29" s="93" t="s">
        <v>157</v>
      </c>
      <c r="C29" s="93">
        <v>2019</v>
      </c>
      <c r="D29" s="101" t="s">
        <v>266</v>
      </c>
      <c r="E29" s="93" t="s">
        <v>277</v>
      </c>
      <c r="F29" s="93" t="s">
        <v>269</v>
      </c>
      <c r="G29" s="93" t="s">
        <v>42</v>
      </c>
      <c r="H29" s="93" t="s">
        <v>163</v>
      </c>
      <c r="I29" s="93" t="s">
        <v>159</v>
      </c>
      <c r="J29" s="93" t="s">
        <v>38</v>
      </c>
      <c r="K29" s="93" t="s">
        <v>160</v>
      </c>
      <c r="L29" s="93">
        <v>1</v>
      </c>
      <c r="N29" s="93">
        <v>4</v>
      </c>
      <c r="O29" s="93">
        <v>0.8</v>
      </c>
      <c r="P29" s="93">
        <v>0.85</v>
      </c>
      <c r="Q29" s="102">
        <f t="shared" si="0"/>
        <v>0.82499999999999996</v>
      </c>
      <c r="R29" s="93">
        <v>12.5</v>
      </c>
      <c r="S29" s="93">
        <v>98</v>
      </c>
      <c r="T29" s="103">
        <f t="shared" si="1"/>
        <v>36</v>
      </c>
      <c r="U29" s="93">
        <v>298</v>
      </c>
      <c r="V29" s="104">
        <f t="shared" si="2"/>
        <v>2682</v>
      </c>
      <c r="W29" s="93">
        <v>5</v>
      </c>
      <c r="X29" s="93" t="s">
        <v>39</v>
      </c>
      <c r="Y29" s="93" t="s">
        <v>84</v>
      </c>
      <c r="Z29" s="93" t="s">
        <v>69</v>
      </c>
      <c r="AA29" s="93" t="s">
        <v>90</v>
      </c>
      <c r="AB29" s="93" t="s">
        <v>158</v>
      </c>
    </row>
    <row r="30" spans="1:48" x14ac:dyDescent="0.15">
      <c r="A30" s="93" t="s">
        <v>51</v>
      </c>
      <c r="B30" s="93" t="s">
        <v>157</v>
      </c>
      <c r="C30" s="93">
        <v>2019</v>
      </c>
      <c r="D30" s="101" t="s">
        <v>266</v>
      </c>
      <c r="E30" s="93" t="s">
        <v>277</v>
      </c>
      <c r="F30" s="93" t="s">
        <v>269</v>
      </c>
      <c r="G30" s="93" t="s">
        <v>42</v>
      </c>
      <c r="H30" s="93" t="s">
        <v>163</v>
      </c>
      <c r="I30" s="93" t="s">
        <v>159</v>
      </c>
      <c r="J30" s="93" t="s">
        <v>38</v>
      </c>
      <c r="K30" s="93" t="s">
        <v>160</v>
      </c>
      <c r="L30" s="93">
        <v>2</v>
      </c>
      <c r="N30" s="93">
        <v>4</v>
      </c>
      <c r="O30" s="93">
        <v>0.75</v>
      </c>
      <c r="P30" s="93">
        <v>0.8</v>
      </c>
      <c r="Q30" s="102">
        <f t="shared" si="0"/>
        <v>0.77500000000000002</v>
      </c>
      <c r="R30" s="93">
        <v>12.9</v>
      </c>
      <c r="S30" s="93">
        <v>102</v>
      </c>
      <c r="T30" s="103">
        <f t="shared" si="1"/>
        <v>33</v>
      </c>
      <c r="U30" s="93">
        <v>298</v>
      </c>
      <c r="V30" s="104">
        <f t="shared" si="2"/>
        <v>2458.5</v>
      </c>
      <c r="W30" s="93">
        <v>5</v>
      </c>
      <c r="X30" s="93" t="s">
        <v>39</v>
      </c>
      <c r="Y30" s="93" t="s">
        <v>84</v>
      </c>
      <c r="Z30" s="93" t="s">
        <v>69</v>
      </c>
      <c r="AA30" s="93" t="s">
        <v>90</v>
      </c>
      <c r="AB30" s="93" t="s">
        <v>158</v>
      </c>
    </row>
    <row r="31" spans="1:48" x14ac:dyDescent="0.15">
      <c r="A31" s="93" t="s">
        <v>51</v>
      </c>
      <c r="B31" s="93" t="s">
        <v>157</v>
      </c>
      <c r="C31" s="93">
        <v>2019</v>
      </c>
      <c r="D31" s="101" t="s">
        <v>266</v>
      </c>
      <c r="E31" s="93" t="s">
        <v>277</v>
      </c>
      <c r="F31" s="93" t="s">
        <v>269</v>
      </c>
      <c r="G31" s="93" t="s">
        <v>42</v>
      </c>
      <c r="H31" s="93" t="s">
        <v>163</v>
      </c>
      <c r="I31" s="93" t="s">
        <v>159</v>
      </c>
      <c r="J31" s="93" t="s">
        <v>38</v>
      </c>
      <c r="K31" s="93" t="s">
        <v>160</v>
      </c>
      <c r="L31" s="93">
        <v>3</v>
      </c>
      <c r="N31" s="93">
        <v>4</v>
      </c>
      <c r="O31" s="93">
        <v>0.7</v>
      </c>
      <c r="P31" s="93">
        <v>0.75</v>
      </c>
      <c r="Q31" s="102">
        <f t="shared" si="0"/>
        <v>0.72499999999999998</v>
      </c>
      <c r="R31" s="93">
        <v>13.1</v>
      </c>
      <c r="S31" s="93">
        <v>106</v>
      </c>
      <c r="T31" s="103">
        <f t="shared" si="1"/>
        <v>33</v>
      </c>
      <c r="U31" s="93">
        <v>298</v>
      </c>
      <c r="V31" s="104">
        <f t="shared" si="2"/>
        <v>2458.5</v>
      </c>
      <c r="W31" s="93">
        <v>5</v>
      </c>
      <c r="X31" s="93" t="s">
        <v>39</v>
      </c>
      <c r="Y31" s="93" t="s">
        <v>84</v>
      </c>
      <c r="Z31" s="93" t="s">
        <v>69</v>
      </c>
      <c r="AA31" s="93" t="s">
        <v>90</v>
      </c>
      <c r="AB31" s="93" t="s">
        <v>158</v>
      </c>
    </row>
    <row r="32" spans="1:48" x14ac:dyDescent="0.15">
      <c r="A32" s="93" t="s">
        <v>51</v>
      </c>
      <c r="B32" s="93" t="s">
        <v>157</v>
      </c>
      <c r="C32" s="93">
        <v>2019</v>
      </c>
      <c r="D32" s="101" t="s">
        <v>266</v>
      </c>
      <c r="E32" s="93" t="s">
        <v>277</v>
      </c>
      <c r="F32" s="93" t="s">
        <v>269</v>
      </c>
      <c r="G32" s="93" t="s">
        <v>42</v>
      </c>
      <c r="H32" s="93" t="s">
        <v>164</v>
      </c>
      <c r="I32" s="93" t="s">
        <v>159</v>
      </c>
      <c r="J32" s="93" t="s">
        <v>38</v>
      </c>
      <c r="K32" s="93" t="s">
        <v>54</v>
      </c>
      <c r="L32" s="93">
        <v>1</v>
      </c>
      <c r="N32" s="93">
        <v>4</v>
      </c>
      <c r="O32" s="93">
        <v>0.75</v>
      </c>
      <c r="P32" s="93">
        <v>0.7</v>
      </c>
      <c r="Q32" s="102">
        <f t="shared" si="0"/>
        <v>0.72499999999999998</v>
      </c>
      <c r="R32" s="93">
        <v>14</v>
      </c>
      <c r="S32" s="93">
        <v>99</v>
      </c>
      <c r="T32" s="103">
        <f t="shared" si="1"/>
        <v>36</v>
      </c>
      <c r="U32" s="93">
        <v>498</v>
      </c>
      <c r="V32" s="104">
        <f t="shared" si="2"/>
        <v>4482</v>
      </c>
      <c r="W32" s="93">
        <v>5</v>
      </c>
      <c r="X32" s="93" t="s">
        <v>39</v>
      </c>
      <c r="Y32" s="93" t="s">
        <v>84</v>
      </c>
      <c r="Z32" s="93" t="s">
        <v>69</v>
      </c>
      <c r="AA32" s="93" t="s">
        <v>90</v>
      </c>
      <c r="AB32" s="93" t="s">
        <v>158</v>
      </c>
    </row>
    <row r="33" spans="1:28" x14ac:dyDescent="0.15">
      <c r="A33" s="93" t="s">
        <v>51</v>
      </c>
      <c r="B33" s="93" t="s">
        <v>157</v>
      </c>
      <c r="C33" s="93">
        <v>2019</v>
      </c>
      <c r="D33" s="101" t="s">
        <v>266</v>
      </c>
      <c r="E33" s="93" t="s">
        <v>277</v>
      </c>
      <c r="F33" s="93" t="s">
        <v>269</v>
      </c>
      <c r="G33" s="93" t="s">
        <v>42</v>
      </c>
      <c r="H33" s="93" t="s">
        <v>164</v>
      </c>
      <c r="I33" s="93" t="s">
        <v>159</v>
      </c>
      <c r="J33" s="93" t="s">
        <v>38</v>
      </c>
      <c r="K33" s="93" t="s">
        <v>54</v>
      </c>
      <c r="L33" s="93">
        <v>2</v>
      </c>
      <c r="N33" s="93">
        <v>4</v>
      </c>
      <c r="O33" s="93">
        <v>0.7</v>
      </c>
      <c r="P33" s="93">
        <v>0.75</v>
      </c>
      <c r="Q33" s="102">
        <f t="shared" si="0"/>
        <v>0.72499999999999998</v>
      </c>
      <c r="R33" s="93">
        <v>13.6</v>
      </c>
      <c r="S33" s="93">
        <v>93</v>
      </c>
      <c r="T33" s="103">
        <f t="shared" si="1"/>
        <v>39</v>
      </c>
      <c r="U33" s="93">
        <v>498</v>
      </c>
      <c r="V33" s="104">
        <f t="shared" si="2"/>
        <v>4855.5</v>
      </c>
      <c r="W33" s="93">
        <v>5</v>
      </c>
      <c r="X33" s="93" t="s">
        <v>39</v>
      </c>
      <c r="Y33" s="93" t="s">
        <v>84</v>
      </c>
      <c r="Z33" s="93" t="s">
        <v>69</v>
      </c>
      <c r="AA33" s="93" t="s">
        <v>90</v>
      </c>
      <c r="AB33" s="93" t="s">
        <v>158</v>
      </c>
    </row>
    <row r="34" spans="1:28" x14ac:dyDescent="0.15">
      <c r="A34" s="93" t="s">
        <v>51</v>
      </c>
      <c r="B34" s="93" t="s">
        <v>157</v>
      </c>
      <c r="C34" s="93">
        <v>2019</v>
      </c>
      <c r="D34" s="101" t="s">
        <v>266</v>
      </c>
      <c r="E34" s="93" t="s">
        <v>277</v>
      </c>
      <c r="F34" s="93" t="s">
        <v>269</v>
      </c>
      <c r="G34" s="93" t="s">
        <v>42</v>
      </c>
      <c r="H34" s="93" t="s">
        <v>164</v>
      </c>
      <c r="I34" s="93" t="s">
        <v>159</v>
      </c>
      <c r="J34" s="93" t="s">
        <v>38</v>
      </c>
      <c r="K34" s="93" t="s">
        <v>54</v>
      </c>
      <c r="L34" s="93">
        <v>3</v>
      </c>
      <c r="N34" s="93">
        <v>4</v>
      </c>
      <c r="O34" s="93">
        <v>0.65</v>
      </c>
      <c r="P34" s="93">
        <v>0.75</v>
      </c>
      <c r="Q34" s="102">
        <f t="shared" si="0"/>
        <v>0.7</v>
      </c>
      <c r="R34" s="93">
        <v>13.2</v>
      </c>
      <c r="S34" s="93">
        <v>79</v>
      </c>
      <c r="T34" s="103">
        <f t="shared" si="1"/>
        <v>42</v>
      </c>
      <c r="U34" s="93">
        <v>498</v>
      </c>
      <c r="V34" s="104">
        <f t="shared" si="2"/>
        <v>5229</v>
      </c>
      <c r="W34" s="93">
        <v>5</v>
      </c>
      <c r="X34" s="93" t="s">
        <v>39</v>
      </c>
      <c r="Y34" s="93" t="s">
        <v>84</v>
      </c>
      <c r="Z34" s="93" t="s">
        <v>69</v>
      </c>
      <c r="AA34" s="93" t="s">
        <v>90</v>
      </c>
      <c r="AB34" s="93" t="s">
        <v>158</v>
      </c>
    </row>
    <row r="35" spans="1:28" x14ac:dyDescent="0.15">
      <c r="A35" s="93" t="s">
        <v>51</v>
      </c>
      <c r="B35" s="93" t="s">
        <v>157</v>
      </c>
      <c r="C35" s="93">
        <v>2019</v>
      </c>
      <c r="D35" s="101" t="s">
        <v>266</v>
      </c>
      <c r="E35" s="93" t="s">
        <v>272</v>
      </c>
      <c r="F35" s="93" t="s">
        <v>273</v>
      </c>
      <c r="G35" s="93" t="s">
        <v>42</v>
      </c>
      <c r="H35" s="93" t="s">
        <v>163</v>
      </c>
      <c r="I35" s="93" t="s">
        <v>159</v>
      </c>
      <c r="J35" s="93" t="s">
        <v>38</v>
      </c>
      <c r="K35" s="93" t="s">
        <v>160</v>
      </c>
      <c r="L35" s="93">
        <v>1</v>
      </c>
      <c r="N35" s="93">
        <v>1</v>
      </c>
      <c r="O35" s="93">
        <v>0.8</v>
      </c>
      <c r="P35" s="93">
        <v>0.65</v>
      </c>
      <c r="Q35" s="102">
        <f t="shared" si="0"/>
        <v>0.72500000000000009</v>
      </c>
      <c r="R35" s="93">
        <v>16.100000000000001</v>
      </c>
      <c r="S35" s="93">
        <v>130</v>
      </c>
      <c r="T35" s="103">
        <f t="shared" si="1"/>
        <v>25</v>
      </c>
      <c r="U35" s="93">
        <v>98</v>
      </c>
      <c r="V35" s="104">
        <f t="shared" si="2"/>
        <v>2450</v>
      </c>
      <c r="W35" s="93">
        <v>1</v>
      </c>
      <c r="X35" s="93" t="s">
        <v>39</v>
      </c>
      <c r="Y35" s="93" t="s">
        <v>90</v>
      </c>
      <c r="Z35" s="93" t="s">
        <v>69</v>
      </c>
      <c r="AA35" s="93" t="s">
        <v>40</v>
      </c>
      <c r="AB35" s="93" t="s">
        <v>158</v>
      </c>
    </row>
    <row r="36" spans="1:28" x14ac:dyDescent="0.15">
      <c r="A36" s="93" t="s">
        <v>51</v>
      </c>
      <c r="B36" s="93" t="s">
        <v>157</v>
      </c>
      <c r="C36" s="93">
        <v>2019</v>
      </c>
      <c r="D36" s="101" t="s">
        <v>266</v>
      </c>
      <c r="E36" s="93" t="s">
        <v>272</v>
      </c>
      <c r="F36" s="93" t="s">
        <v>273</v>
      </c>
      <c r="G36" s="93" t="s">
        <v>42</v>
      </c>
      <c r="H36" s="93" t="s">
        <v>163</v>
      </c>
      <c r="I36" s="93" t="s">
        <v>159</v>
      </c>
      <c r="J36" s="93" t="s">
        <v>38</v>
      </c>
      <c r="K36" s="93" t="s">
        <v>160</v>
      </c>
      <c r="L36" s="93">
        <v>2</v>
      </c>
      <c r="N36" s="93">
        <v>1</v>
      </c>
      <c r="O36" s="93">
        <v>0.7</v>
      </c>
      <c r="P36" s="93">
        <v>0.75</v>
      </c>
      <c r="Q36" s="102">
        <f t="shared" si="0"/>
        <v>0.72499999999999998</v>
      </c>
      <c r="R36" s="93">
        <v>16.8</v>
      </c>
      <c r="S36" s="93">
        <v>134</v>
      </c>
      <c r="T36" s="103">
        <f t="shared" si="1"/>
        <v>25</v>
      </c>
      <c r="U36" s="93">
        <v>98</v>
      </c>
      <c r="V36" s="104">
        <f t="shared" si="2"/>
        <v>2450</v>
      </c>
      <c r="W36" s="93">
        <v>1</v>
      </c>
      <c r="X36" s="93" t="s">
        <v>39</v>
      </c>
      <c r="Y36" s="93" t="s">
        <v>90</v>
      </c>
      <c r="Z36" s="93" t="s">
        <v>69</v>
      </c>
      <c r="AA36" s="93" t="s">
        <v>40</v>
      </c>
      <c r="AB36" s="93" t="s">
        <v>158</v>
      </c>
    </row>
    <row r="37" spans="1:28" x14ac:dyDescent="0.15">
      <c r="A37" s="93" t="s">
        <v>51</v>
      </c>
      <c r="B37" s="93" t="s">
        <v>157</v>
      </c>
      <c r="C37" s="93">
        <v>2019</v>
      </c>
      <c r="D37" s="101" t="s">
        <v>266</v>
      </c>
      <c r="E37" s="93" t="s">
        <v>272</v>
      </c>
      <c r="F37" s="93" t="s">
        <v>273</v>
      </c>
      <c r="G37" s="93" t="s">
        <v>42</v>
      </c>
      <c r="H37" s="93" t="s">
        <v>163</v>
      </c>
      <c r="I37" s="93" t="s">
        <v>159</v>
      </c>
      <c r="J37" s="93" t="s">
        <v>38</v>
      </c>
      <c r="K37" s="93" t="s">
        <v>160</v>
      </c>
      <c r="L37" s="93">
        <v>3</v>
      </c>
      <c r="N37" s="93">
        <v>1</v>
      </c>
      <c r="O37" s="93">
        <v>0.75</v>
      </c>
      <c r="P37" s="93">
        <v>0.75</v>
      </c>
      <c r="Q37" s="102">
        <f t="shared" si="0"/>
        <v>0.75</v>
      </c>
      <c r="R37" s="93">
        <v>15.7</v>
      </c>
      <c r="S37" s="93">
        <v>128</v>
      </c>
      <c r="T37" s="103">
        <f t="shared" si="1"/>
        <v>27</v>
      </c>
      <c r="U37" s="93">
        <v>98</v>
      </c>
      <c r="V37" s="104">
        <f t="shared" si="2"/>
        <v>2646</v>
      </c>
      <c r="W37" s="93">
        <v>1</v>
      </c>
      <c r="X37" s="93" t="s">
        <v>39</v>
      </c>
      <c r="Y37" s="93" t="s">
        <v>90</v>
      </c>
      <c r="Z37" s="93" t="s">
        <v>69</v>
      </c>
      <c r="AA37" s="93" t="s">
        <v>40</v>
      </c>
      <c r="AB37" s="93" t="s">
        <v>158</v>
      </c>
    </row>
    <row r="38" spans="1:28" x14ac:dyDescent="0.15">
      <c r="A38" s="93" t="s">
        <v>51</v>
      </c>
      <c r="B38" s="93" t="s">
        <v>157</v>
      </c>
      <c r="C38" s="93">
        <v>2019</v>
      </c>
      <c r="D38" s="101" t="s">
        <v>266</v>
      </c>
      <c r="E38" s="93" t="s">
        <v>274</v>
      </c>
      <c r="F38" s="93" t="s">
        <v>268</v>
      </c>
      <c r="G38" s="93" t="s">
        <v>36</v>
      </c>
      <c r="H38" s="93" t="s">
        <v>163</v>
      </c>
      <c r="I38" s="93" t="s">
        <v>159</v>
      </c>
      <c r="J38" s="93" t="s">
        <v>38</v>
      </c>
      <c r="K38" s="93" t="s">
        <v>160</v>
      </c>
      <c r="L38" s="93">
        <v>1</v>
      </c>
      <c r="N38" s="93">
        <v>1</v>
      </c>
      <c r="O38" s="93">
        <v>0.95</v>
      </c>
      <c r="P38" s="93">
        <v>1</v>
      </c>
      <c r="Q38" s="102">
        <f t="shared" si="0"/>
        <v>0.97499999999999998</v>
      </c>
      <c r="R38" s="93">
        <v>13.5</v>
      </c>
      <c r="S38" s="93">
        <v>116</v>
      </c>
      <c r="T38" s="103">
        <f t="shared" si="1"/>
        <v>30</v>
      </c>
      <c r="U38" s="93">
        <v>100</v>
      </c>
      <c r="V38" s="104">
        <f t="shared" si="2"/>
        <v>3000</v>
      </c>
      <c r="W38" s="93">
        <v>2</v>
      </c>
      <c r="X38" s="93" t="s">
        <v>46</v>
      </c>
      <c r="Y38" s="93" t="s">
        <v>84</v>
      </c>
      <c r="Z38" s="93" t="s">
        <v>90</v>
      </c>
      <c r="AA38" s="93" t="s">
        <v>69</v>
      </c>
      <c r="AB38" s="93" t="s">
        <v>158</v>
      </c>
    </row>
    <row r="39" spans="1:28" x14ac:dyDescent="0.15">
      <c r="A39" s="93" t="s">
        <v>51</v>
      </c>
      <c r="B39" s="93" t="s">
        <v>157</v>
      </c>
      <c r="C39" s="93">
        <v>2019</v>
      </c>
      <c r="D39" s="101" t="s">
        <v>266</v>
      </c>
      <c r="E39" s="93" t="s">
        <v>274</v>
      </c>
      <c r="F39" s="93" t="s">
        <v>268</v>
      </c>
      <c r="G39" s="93" t="s">
        <v>36</v>
      </c>
      <c r="H39" s="93" t="s">
        <v>163</v>
      </c>
      <c r="I39" s="93" t="s">
        <v>159</v>
      </c>
      <c r="J39" s="93" t="s">
        <v>38</v>
      </c>
      <c r="K39" s="93" t="s">
        <v>160</v>
      </c>
      <c r="L39" s="93">
        <v>2</v>
      </c>
      <c r="N39" s="93">
        <v>1</v>
      </c>
      <c r="O39" s="93">
        <v>1</v>
      </c>
      <c r="P39" s="93">
        <v>0.9</v>
      </c>
      <c r="Q39" s="102">
        <f t="shared" si="0"/>
        <v>0.95</v>
      </c>
      <c r="R39" s="93">
        <v>12.8</v>
      </c>
      <c r="S39" s="93">
        <v>114</v>
      </c>
      <c r="T39" s="103">
        <f t="shared" si="1"/>
        <v>30</v>
      </c>
      <c r="U39" s="93">
        <v>100</v>
      </c>
      <c r="V39" s="104">
        <f t="shared" si="2"/>
        <v>3000</v>
      </c>
      <c r="W39" s="93">
        <v>2</v>
      </c>
      <c r="X39" s="93" t="s">
        <v>46</v>
      </c>
      <c r="Y39" s="93" t="s">
        <v>84</v>
      </c>
      <c r="Z39" s="93" t="s">
        <v>90</v>
      </c>
      <c r="AA39" s="93" t="s">
        <v>69</v>
      </c>
      <c r="AB39" s="93" t="s">
        <v>158</v>
      </c>
    </row>
    <row r="40" spans="1:28" x14ac:dyDescent="0.15">
      <c r="A40" s="93" t="s">
        <v>51</v>
      </c>
      <c r="B40" s="93" t="s">
        <v>157</v>
      </c>
      <c r="C40" s="93">
        <v>2019</v>
      </c>
      <c r="D40" s="101" t="s">
        <v>266</v>
      </c>
      <c r="E40" s="93" t="s">
        <v>274</v>
      </c>
      <c r="F40" s="93" t="s">
        <v>268</v>
      </c>
      <c r="G40" s="93" t="s">
        <v>36</v>
      </c>
      <c r="H40" s="93" t="s">
        <v>163</v>
      </c>
      <c r="I40" s="93" t="s">
        <v>159</v>
      </c>
      <c r="J40" s="93" t="s">
        <v>38</v>
      </c>
      <c r="K40" s="93" t="s">
        <v>160</v>
      </c>
      <c r="L40" s="93">
        <v>3</v>
      </c>
      <c r="N40" s="93">
        <v>1</v>
      </c>
      <c r="O40" s="93">
        <v>0.9</v>
      </c>
      <c r="P40" s="93">
        <v>0.95</v>
      </c>
      <c r="Q40" s="102">
        <f t="shared" si="0"/>
        <v>0.92500000000000004</v>
      </c>
      <c r="R40" s="93">
        <v>12.4</v>
      </c>
      <c r="S40" s="93">
        <v>112</v>
      </c>
      <c r="T40" s="103">
        <f t="shared" si="1"/>
        <v>33</v>
      </c>
      <c r="U40" s="93">
        <v>100</v>
      </c>
      <c r="V40" s="104">
        <f t="shared" si="2"/>
        <v>3300</v>
      </c>
      <c r="W40" s="93">
        <v>2</v>
      </c>
      <c r="X40" s="93" t="s">
        <v>46</v>
      </c>
      <c r="Y40" s="93" t="s">
        <v>84</v>
      </c>
      <c r="Z40" s="93" t="s">
        <v>90</v>
      </c>
      <c r="AA40" s="93" t="s">
        <v>69</v>
      </c>
      <c r="AB40" s="93" t="s">
        <v>158</v>
      </c>
    </row>
    <row r="41" spans="1:28" x14ac:dyDescent="0.15">
      <c r="A41" s="93" t="s">
        <v>51</v>
      </c>
      <c r="B41" s="93" t="s">
        <v>157</v>
      </c>
      <c r="C41" s="93">
        <v>2019</v>
      </c>
      <c r="D41" s="101" t="s">
        <v>266</v>
      </c>
      <c r="E41" s="93" t="s">
        <v>278</v>
      </c>
      <c r="F41" s="93" t="s">
        <v>279</v>
      </c>
      <c r="G41" s="93" t="s">
        <v>36</v>
      </c>
      <c r="H41" s="93" t="s">
        <v>163</v>
      </c>
      <c r="I41" s="93" t="s">
        <v>159</v>
      </c>
      <c r="J41" s="93" t="s">
        <v>38</v>
      </c>
      <c r="K41" s="93" t="s">
        <v>160</v>
      </c>
      <c r="L41" s="93">
        <v>1</v>
      </c>
      <c r="N41" s="93">
        <v>1</v>
      </c>
      <c r="O41" s="93">
        <v>0.7</v>
      </c>
      <c r="P41" s="93">
        <v>0.7</v>
      </c>
      <c r="Q41" s="102">
        <f t="shared" si="0"/>
        <v>0.7</v>
      </c>
      <c r="R41" s="93">
        <v>16.3</v>
      </c>
      <c r="S41" s="93">
        <v>118</v>
      </c>
      <c r="T41" s="103">
        <f t="shared" si="1"/>
        <v>30</v>
      </c>
      <c r="U41" s="93">
        <v>98</v>
      </c>
      <c r="V41" s="104">
        <f t="shared" si="2"/>
        <v>2940</v>
      </c>
      <c r="W41" s="93">
        <v>5</v>
      </c>
      <c r="X41" s="93" t="s">
        <v>39</v>
      </c>
      <c r="Y41" s="93" t="s">
        <v>84</v>
      </c>
      <c r="Z41" s="93" t="s">
        <v>90</v>
      </c>
      <c r="AA41" s="93" t="s">
        <v>69</v>
      </c>
      <c r="AB41" s="93" t="s">
        <v>158</v>
      </c>
    </row>
    <row r="42" spans="1:28" x14ac:dyDescent="0.15">
      <c r="A42" s="93" t="s">
        <v>51</v>
      </c>
      <c r="B42" s="93" t="s">
        <v>157</v>
      </c>
      <c r="C42" s="93">
        <v>2019</v>
      </c>
      <c r="D42" s="101" t="s">
        <v>266</v>
      </c>
      <c r="E42" s="93" t="s">
        <v>278</v>
      </c>
      <c r="F42" s="93" t="s">
        <v>279</v>
      </c>
      <c r="G42" s="93" t="s">
        <v>36</v>
      </c>
      <c r="H42" s="93" t="s">
        <v>163</v>
      </c>
      <c r="I42" s="93" t="s">
        <v>159</v>
      </c>
      <c r="J42" s="93" t="s">
        <v>38</v>
      </c>
      <c r="K42" s="93" t="s">
        <v>160</v>
      </c>
      <c r="L42" s="93">
        <v>2</v>
      </c>
      <c r="N42" s="93">
        <v>1</v>
      </c>
      <c r="O42" s="93">
        <v>0.65</v>
      </c>
      <c r="P42" s="93">
        <v>0.8</v>
      </c>
      <c r="Q42" s="102">
        <f t="shared" si="0"/>
        <v>0.72500000000000009</v>
      </c>
      <c r="R42" s="93">
        <v>16.600000000000001</v>
      </c>
      <c r="S42" s="93">
        <v>122</v>
      </c>
      <c r="T42" s="103">
        <f t="shared" si="1"/>
        <v>27</v>
      </c>
      <c r="U42" s="93">
        <v>98</v>
      </c>
      <c r="V42" s="104">
        <f t="shared" si="2"/>
        <v>2646</v>
      </c>
      <c r="W42" s="93">
        <v>5</v>
      </c>
      <c r="X42" s="93" t="s">
        <v>39</v>
      </c>
      <c r="Y42" s="93" t="s">
        <v>84</v>
      </c>
      <c r="Z42" s="93" t="s">
        <v>90</v>
      </c>
      <c r="AA42" s="93" t="s">
        <v>69</v>
      </c>
      <c r="AB42" s="93" t="s">
        <v>158</v>
      </c>
    </row>
    <row r="43" spans="1:28" x14ac:dyDescent="0.15">
      <c r="A43" s="93" t="s">
        <v>51</v>
      </c>
      <c r="B43" s="93" t="s">
        <v>157</v>
      </c>
      <c r="C43" s="93">
        <v>2019</v>
      </c>
      <c r="D43" s="101" t="s">
        <v>266</v>
      </c>
      <c r="E43" s="93" t="s">
        <v>278</v>
      </c>
      <c r="F43" s="93" t="s">
        <v>279</v>
      </c>
      <c r="G43" s="93" t="s">
        <v>36</v>
      </c>
      <c r="H43" s="93" t="s">
        <v>163</v>
      </c>
      <c r="I43" s="93" t="s">
        <v>159</v>
      </c>
      <c r="J43" s="93" t="s">
        <v>38</v>
      </c>
      <c r="K43" s="93" t="s">
        <v>160</v>
      </c>
      <c r="L43" s="93">
        <v>3</v>
      </c>
      <c r="N43" s="93">
        <v>1</v>
      </c>
      <c r="O43" s="93">
        <v>0.7</v>
      </c>
      <c r="P43" s="93">
        <v>0.75</v>
      </c>
      <c r="Q43" s="102">
        <f t="shared" si="0"/>
        <v>0.72499999999999998</v>
      </c>
      <c r="R43" s="93">
        <v>16.8</v>
      </c>
      <c r="S43" s="93">
        <v>126</v>
      </c>
      <c r="T43" s="103">
        <f t="shared" si="1"/>
        <v>27</v>
      </c>
      <c r="U43" s="93">
        <v>98</v>
      </c>
      <c r="V43" s="104">
        <f t="shared" si="2"/>
        <v>2646</v>
      </c>
      <c r="W43" s="93">
        <v>5</v>
      </c>
      <c r="X43" s="93" t="s">
        <v>39</v>
      </c>
      <c r="Y43" s="93" t="s">
        <v>84</v>
      </c>
      <c r="Z43" s="93" t="s">
        <v>90</v>
      </c>
      <c r="AA43" s="93" t="s">
        <v>69</v>
      </c>
      <c r="AB43" s="93" t="s">
        <v>158</v>
      </c>
    </row>
    <row r="44" spans="1:28" x14ac:dyDescent="0.15">
      <c r="A44" s="93" t="s">
        <v>51</v>
      </c>
      <c r="B44" s="93" t="s">
        <v>157</v>
      </c>
      <c r="C44" s="93">
        <v>2019</v>
      </c>
      <c r="D44" s="101" t="s">
        <v>266</v>
      </c>
      <c r="E44" s="93" t="s">
        <v>278</v>
      </c>
      <c r="F44" s="93" t="s">
        <v>279</v>
      </c>
      <c r="G44" s="93" t="s">
        <v>36</v>
      </c>
      <c r="H44" s="93" t="s">
        <v>187</v>
      </c>
      <c r="I44" s="93" t="s">
        <v>159</v>
      </c>
      <c r="J44" s="93" t="s">
        <v>80</v>
      </c>
      <c r="K44" s="93" t="s">
        <v>45</v>
      </c>
      <c r="L44" s="93">
        <v>1</v>
      </c>
      <c r="N44" s="93">
        <v>1</v>
      </c>
      <c r="O44" s="93">
        <v>1</v>
      </c>
      <c r="P44" s="93">
        <v>1.05</v>
      </c>
      <c r="Q44" s="102">
        <f t="shared" si="0"/>
        <v>1.0249999999999999</v>
      </c>
      <c r="R44" s="93">
        <v>12.7</v>
      </c>
      <c r="S44" s="93">
        <v>108</v>
      </c>
      <c r="T44" s="103">
        <f t="shared" si="1"/>
        <v>33</v>
      </c>
      <c r="U44" s="93">
        <v>98</v>
      </c>
      <c r="V44" s="104">
        <f t="shared" si="2"/>
        <v>3234</v>
      </c>
      <c r="W44" s="93">
        <v>5</v>
      </c>
      <c r="X44" s="93" t="s">
        <v>39</v>
      </c>
      <c r="Y44" s="93" t="s">
        <v>84</v>
      </c>
      <c r="Z44" s="93" t="s">
        <v>90</v>
      </c>
      <c r="AA44" s="93" t="s">
        <v>69</v>
      </c>
      <c r="AB44" s="93" t="s">
        <v>158</v>
      </c>
    </row>
    <row r="45" spans="1:28" x14ac:dyDescent="0.15">
      <c r="A45" s="93" t="s">
        <v>51</v>
      </c>
      <c r="B45" s="93" t="s">
        <v>157</v>
      </c>
      <c r="C45" s="93">
        <v>2019</v>
      </c>
      <c r="D45" s="101" t="s">
        <v>266</v>
      </c>
      <c r="E45" s="93" t="s">
        <v>278</v>
      </c>
      <c r="F45" s="93" t="s">
        <v>279</v>
      </c>
      <c r="G45" s="93" t="s">
        <v>36</v>
      </c>
      <c r="H45" s="93" t="s">
        <v>187</v>
      </c>
      <c r="I45" s="93" t="s">
        <v>159</v>
      </c>
      <c r="J45" s="93" t="s">
        <v>80</v>
      </c>
      <c r="K45" s="93" t="s">
        <v>45</v>
      </c>
      <c r="L45" s="93">
        <v>2</v>
      </c>
      <c r="N45" s="93">
        <v>1</v>
      </c>
      <c r="O45" s="93">
        <v>1.1499999999999999</v>
      </c>
      <c r="P45" s="93">
        <v>1.1000000000000001</v>
      </c>
      <c r="Q45" s="102">
        <f t="shared" si="0"/>
        <v>1.125</v>
      </c>
      <c r="R45" s="93">
        <v>12</v>
      </c>
      <c r="S45" s="93">
        <v>97</v>
      </c>
      <c r="T45" s="103">
        <f t="shared" si="1"/>
        <v>36</v>
      </c>
      <c r="U45" s="93">
        <v>98</v>
      </c>
      <c r="V45" s="104">
        <f t="shared" si="2"/>
        <v>3528</v>
      </c>
      <c r="W45" s="93">
        <v>5</v>
      </c>
      <c r="X45" s="93" t="s">
        <v>39</v>
      </c>
      <c r="Y45" s="93" t="s">
        <v>84</v>
      </c>
      <c r="Z45" s="93" t="s">
        <v>90</v>
      </c>
      <c r="AA45" s="93" t="s">
        <v>69</v>
      </c>
      <c r="AB45" s="93" t="s">
        <v>158</v>
      </c>
    </row>
    <row r="46" spans="1:28" x14ac:dyDescent="0.15">
      <c r="A46" s="93" t="s">
        <v>51</v>
      </c>
      <c r="B46" s="93" t="s">
        <v>157</v>
      </c>
      <c r="C46" s="93">
        <v>2019</v>
      </c>
      <c r="D46" s="101" t="s">
        <v>266</v>
      </c>
      <c r="E46" s="93" t="s">
        <v>278</v>
      </c>
      <c r="F46" s="93" t="s">
        <v>279</v>
      </c>
      <c r="G46" s="93" t="s">
        <v>36</v>
      </c>
      <c r="H46" s="93" t="s">
        <v>187</v>
      </c>
      <c r="I46" s="93" t="s">
        <v>159</v>
      </c>
      <c r="J46" s="93" t="s">
        <v>80</v>
      </c>
      <c r="K46" s="93" t="s">
        <v>45</v>
      </c>
      <c r="L46" s="93">
        <v>3</v>
      </c>
      <c r="N46" s="93">
        <v>1</v>
      </c>
      <c r="O46" s="93">
        <v>1.1000000000000001</v>
      </c>
      <c r="P46" s="93">
        <v>1.2</v>
      </c>
      <c r="Q46" s="102">
        <f t="shared" si="0"/>
        <v>1.1499999999999999</v>
      </c>
      <c r="R46" s="93">
        <v>12.3</v>
      </c>
      <c r="S46" s="93">
        <v>100</v>
      </c>
      <c r="T46" s="103">
        <f t="shared" si="1"/>
        <v>33</v>
      </c>
      <c r="U46" s="93">
        <v>98</v>
      </c>
      <c r="V46" s="104">
        <f t="shared" si="2"/>
        <v>3234</v>
      </c>
      <c r="W46" s="93">
        <v>5</v>
      </c>
      <c r="X46" s="93" t="s">
        <v>39</v>
      </c>
      <c r="Y46" s="93" t="s">
        <v>84</v>
      </c>
      <c r="Z46" s="93" t="s">
        <v>90</v>
      </c>
      <c r="AA46" s="93" t="s">
        <v>69</v>
      </c>
      <c r="AB46" s="93" t="s">
        <v>158</v>
      </c>
    </row>
    <row r="47" spans="1:28" x14ac:dyDescent="0.15">
      <c r="A47" s="93" t="s">
        <v>51</v>
      </c>
      <c r="B47" s="93" t="s">
        <v>157</v>
      </c>
      <c r="C47" s="93">
        <v>2019</v>
      </c>
      <c r="D47" s="101" t="s">
        <v>266</v>
      </c>
      <c r="E47" s="93" t="s">
        <v>278</v>
      </c>
      <c r="F47" s="93" t="s">
        <v>279</v>
      </c>
      <c r="G47" s="93" t="s">
        <v>36</v>
      </c>
      <c r="H47" s="93" t="s">
        <v>164</v>
      </c>
      <c r="I47" s="93" t="s">
        <v>159</v>
      </c>
      <c r="J47" s="93" t="s">
        <v>38</v>
      </c>
      <c r="K47" s="93" t="s">
        <v>54</v>
      </c>
      <c r="L47" s="93">
        <v>1</v>
      </c>
      <c r="N47" s="93">
        <v>4</v>
      </c>
      <c r="O47" s="93">
        <v>0.85</v>
      </c>
      <c r="P47" s="93">
        <v>0.85</v>
      </c>
      <c r="Q47" s="102">
        <f t="shared" si="0"/>
        <v>0.85</v>
      </c>
      <c r="R47" s="93">
        <v>13.7</v>
      </c>
      <c r="S47" s="93">
        <v>88</v>
      </c>
      <c r="T47" s="103">
        <f t="shared" si="1"/>
        <v>39</v>
      </c>
      <c r="U47" s="93">
        <v>598</v>
      </c>
      <c r="V47" s="104">
        <f t="shared" si="2"/>
        <v>5830.5</v>
      </c>
      <c r="W47" s="93">
        <v>5</v>
      </c>
      <c r="X47" s="93" t="s">
        <v>46</v>
      </c>
      <c r="Y47" s="93" t="s">
        <v>84</v>
      </c>
      <c r="Z47" s="93" t="s">
        <v>90</v>
      </c>
      <c r="AA47" s="93" t="s">
        <v>69</v>
      </c>
      <c r="AB47" s="93" t="s">
        <v>158</v>
      </c>
    </row>
    <row r="48" spans="1:28" x14ac:dyDescent="0.15">
      <c r="A48" s="93" t="s">
        <v>51</v>
      </c>
      <c r="B48" s="93" t="s">
        <v>157</v>
      </c>
      <c r="C48" s="93">
        <v>2019</v>
      </c>
      <c r="D48" s="101" t="s">
        <v>266</v>
      </c>
      <c r="E48" s="93" t="s">
        <v>278</v>
      </c>
      <c r="F48" s="93" t="s">
        <v>279</v>
      </c>
      <c r="G48" s="93" t="s">
        <v>36</v>
      </c>
      <c r="H48" s="93" t="s">
        <v>164</v>
      </c>
      <c r="I48" s="93" t="s">
        <v>159</v>
      </c>
      <c r="J48" s="93" t="s">
        <v>38</v>
      </c>
      <c r="K48" s="93" t="s">
        <v>54</v>
      </c>
      <c r="L48" s="93">
        <v>2</v>
      </c>
      <c r="N48" s="93">
        <v>4</v>
      </c>
      <c r="O48" s="93">
        <v>0.8</v>
      </c>
      <c r="P48" s="93">
        <v>0.95</v>
      </c>
      <c r="Q48" s="102">
        <f t="shared" si="0"/>
        <v>0.875</v>
      </c>
      <c r="R48" s="93">
        <v>13.4</v>
      </c>
      <c r="S48" s="93">
        <v>87</v>
      </c>
      <c r="T48" s="103">
        <f t="shared" si="1"/>
        <v>39</v>
      </c>
      <c r="U48" s="93">
        <v>598</v>
      </c>
      <c r="V48" s="104">
        <f t="shared" si="2"/>
        <v>5830.5</v>
      </c>
      <c r="W48" s="93">
        <v>5</v>
      </c>
      <c r="X48" s="93" t="s">
        <v>46</v>
      </c>
      <c r="Y48" s="93" t="s">
        <v>84</v>
      </c>
      <c r="Z48" s="93" t="s">
        <v>90</v>
      </c>
      <c r="AA48" s="93" t="s">
        <v>69</v>
      </c>
      <c r="AB48" s="93" t="s">
        <v>158</v>
      </c>
    </row>
    <row r="49" spans="1:28" x14ac:dyDescent="0.15">
      <c r="A49" s="93" t="s">
        <v>51</v>
      </c>
      <c r="B49" s="93" t="s">
        <v>157</v>
      </c>
      <c r="C49" s="93">
        <v>2019</v>
      </c>
      <c r="D49" s="101" t="s">
        <v>266</v>
      </c>
      <c r="E49" s="93" t="s">
        <v>278</v>
      </c>
      <c r="F49" s="93" t="s">
        <v>279</v>
      </c>
      <c r="G49" s="93" t="s">
        <v>36</v>
      </c>
      <c r="H49" s="93" t="s">
        <v>164</v>
      </c>
      <c r="I49" s="93" t="s">
        <v>159</v>
      </c>
      <c r="J49" s="93" t="s">
        <v>38</v>
      </c>
      <c r="K49" s="93" t="s">
        <v>54</v>
      </c>
      <c r="L49" s="93">
        <v>3</v>
      </c>
      <c r="N49" s="93">
        <v>4</v>
      </c>
      <c r="O49" s="93">
        <v>0.8</v>
      </c>
      <c r="P49" s="93">
        <v>0.85</v>
      </c>
      <c r="Q49" s="102">
        <f t="shared" si="0"/>
        <v>0.82499999999999996</v>
      </c>
      <c r="R49" s="93">
        <v>14.2</v>
      </c>
      <c r="S49" s="93">
        <v>96</v>
      </c>
      <c r="T49" s="103">
        <f t="shared" si="1"/>
        <v>39</v>
      </c>
      <c r="U49" s="93">
        <v>598</v>
      </c>
      <c r="V49" s="104">
        <f t="shared" si="2"/>
        <v>5830.5</v>
      </c>
      <c r="W49" s="93">
        <v>5</v>
      </c>
      <c r="X49" s="93" t="s">
        <v>46</v>
      </c>
      <c r="Y49" s="93" t="s">
        <v>84</v>
      </c>
      <c r="Z49" s="93" t="s">
        <v>90</v>
      </c>
      <c r="AA49" s="93" t="s">
        <v>69</v>
      </c>
      <c r="AB49" s="93" t="s">
        <v>158</v>
      </c>
    </row>
    <row r="50" spans="1:28" x14ac:dyDescent="0.15">
      <c r="A50" s="93" t="s">
        <v>51</v>
      </c>
      <c r="B50" s="93" t="s">
        <v>157</v>
      </c>
      <c r="C50" s="93">
        <v>2019</v>
      </c>
      <c r="D50" s="101" t="s">
        <v>266</v>
      </c>
      <c r="E50" s="93" t="s">
        <v>280</v>
      </c>
      <c r="F50" s="93" t="s">
        <v>268</v>
      </c>
      <c r="G50" s="93" t="s">
        <v>42</v>
      </c>
      <c r="H50" s="93" t="s">
        <v>163</v>
      </c>
      <c r="I50" s="93" t="s">
        <v>159</v>
      </c>
      <c r="J50" s="93" t="s">
        <v>38</v>
      </c>
      <c r="K50" s="93" t="s">
        <v>160</v>
      </c>
      <c r="L50" s="93">
        <v>1</v>
      </c>
      <c r="N50" s="93">
        <v>1</v>
      </c>
      <c r="O50" s="93">
        <v>0.55000000000000004</v>
      </c>
      <c r="P50" s="93">
        <v>0.5</v>
      </c>
      <c r="Q50" s="102">
        <f t="shared" si="0"/>
        <v>0.52500000000000002</v>
      </c>
      <c r="R50" s="93">
        <v>15</v>
      </c>
      <c r="S50" s="93">
        <v>116</v>
      </c>
      <c r="T50" s="103">
        <f t="shared" si="1"/>
        <v>30</v>
      </c>
      <c r="U50" s="93">
        <v>98</v>
      </c>
      <c r="V50" s="104">
        <f t="shared" si="2"/>
        <v>2940</v>
      </c>
      <c r="W50" s="93">
        <v>2</v>
      </c>
      <c r="X50" s="93" t="s">
        <v>39</v>
      </c>
      <c r="Y50" s="93" t="s">
        <v>90</v>
      </c>
      <c r="Z50" s="93" t="s">
        <v>84</v>
      </c>
      <c r="AA50" s="93" t="s">
        <v>69</v>
      </c>
      <c r="AB50" s="93" t="s">
        <v>158</v>
      </c>
    </row>
    <row r="51" spans="1:28" x14ac:dyDescent="0.15">
      <c r="A51" s="93" t="s">
        <v>51</v>
      </c>
      <c r="B51" s="93" t="s">
        <v>157</v>
      </c>
      <c r="C51" s="93">
        <v>2019</v>
      </c>
      <c r="D51" s="101" t="s">
        <v>266</v>
      </c>
      <c r="E51" s="93" t="s">
        <v>280</v>
      </c>
      <c r="F51" s="93" t="s">
        <v>268</v>
      </c>
      <c r="G51" s="93" t="s">
        <v>42</v>
      </c>
      <c r="H51" s="93" t="s">
        <v>163</v>
      </c>
      <c r="I51" s="93" t="s">
        <v>159</v>
      </c>
      <c r="J51" s="93" t="s">
        <v>38</v>
      </c>
      <c r="K51" s="93" t="s">
        <v>160</v>
      </c>
      <c r="L51" s="93">
        <v>2</v>
      </c>
      <c r="N51" s="93">
        <v>1</v>
      </c>
      <c r="O51" s="93">
        <v>0.65</v>
      </c>
      <c r="P51" s="93">
        <v>0.5</v>
      </c>
      <c r="Q51" s="102">
        <f t="shared" si="0"/>
        <v>0.57499999999999996</v>
      </c>
      <c r="R51" s="93">
        <v>14.7</v>
      </c>
      <c r="S51" s="93">
        <v>110</v>
      </c>
      <c r="T51" s="103">
        <f t="shared" si="1"/>
        <v>33</v>
      </c>
      <c r="U51" s="93">
        <v>98</v>
      </c>
      <c r="V51" s="104">
        <f t="shared" si="2"/>
        <v>3234</v>
      </c>
      <c r="W51" s="93">
        <v>2</v>
      </c>
      <c r="X51" s="93" t="s">
        <v>39</v>
      </c>
      <c r="Y51" s="93" t="s">
        <v>90</v>
      </c>
      <c r="Z51" s="93" t="s">
        <v>84</v>
      </c>
      <c r="AA51" s="93" t="s">
        <v>69</v>
      </c>
      <c r="AB51" s="93" t="s">
        <v>158</v>
      </c>
    </row>
    <row r="52" spans="1:28" x14ac:dyDescent="0.15">
      <c r="A52" s="93" t="s">
        <v>51</v>
      </c>
      <c r="B52" s="93" t="s">
        <v>157</v>
      </c>
      <c r="C52" s="93">
        <v>2019</v>
      </c>
      <c r="D52" s="101" t="s">
        <v>266</v>
      </c>
      <c r="E52" s="93" t="s">
        <v>280</v>
      </c>
      <c r="F52" s="93" t="s">
        <v>268</v>
      </c>
      <c r="G52" s="93" t="s">
        <v>42</v>
      </c>
      <c r="H52" s="93" t="s">
        <v>163</v>
      </c>
      <c r="I52" s="93" t="s">
        <v>159</v>
      </c>
      <c r="J52" s="93" t="s">
        <v>38</v>
      </c>
      <c r="K52" s="93" t="s">
        <v>160</v>
      </c>
      <c r="L52" s="93">
        <v>3</v>
      </c>
      <c r="N52" s="93">
        <v>1</v>
      </c>
      <c r="O52" s="93">
        <v>0.7</v>
      </c>
      <c r="P52" s="93">
        <v>0.65</v>
      </c>
      <c r="Q52" s="102">
        <f t="shared" si="0"/>
        <v>0.67500000000000004</v>
      </c>
      <c r="R52" s="93">
        <v>15.3</v>
      </c>
      <c r="S52" s="93">
        <v>116</v>
      </c>
      <c r="T52" s="103">
        <f t="shared" si="1"/>
        <v>30</v>
      </c>
      <c r="U52" s="93">
        <v>98</v>
      </c>
      <c r="V52" s="104">
        <f t="shared" si="2"/>
        <v>2940</v>
      </c>
      <c r="W52" s="93">
        <v>2</v>
      </c>
      <c r="X52" s="93" t="s">
        <v>39</v>
      </c>
      <c r="Y52" s="93" t="s">
        <v>90</v>
      </c>
      <c r="Z52" s="93" t="s">
        <v>84</v>
      </c>
      <c r="AA52" s="93" t="s">
        <v>69</v>
      </c>
      <c r="AB52" s="93" t="s">
        <v>158</v>
      </c>
    </row>
    <row r="53" spans="1:28" x14ac:dyDescent="0.15">
      <c r="A53" s="93" t="s">
        <v>51</v>
      </c>
      <c r="B53" s="93" t="s">
        <v>157</v>
      </c>
      <c r="C53" s="93">
        <v>2019</v>
      </c>
      <c r="D53" s="101" t="s">
        <v>266</v>
      </c>
      <c r="E53" s="93" t="s">
        <v>280</v>
      </c>
      <c r="F53" s="93" t="s">
        <v>268</v>
      </c>
      <c r="G53" s="93" t="s">
        <v>42</v>
      </c>
      <c r="H53" s="93" t="s">
        <v>164</v>
      </c>
      <c r="I53" s="93" t="s">
        <v>159</v>
      </c>
      <c r="J53" s="93" t="s">
        <v>38</v>
      </c>
      <c r="K53" s="93" t="s">
        <v>213</v>
      </c>
      <c r="L53" s="93">
        <v>1</v>
      </c>
      <c r="N53" s="93">
        <v>4</v>
      </c>
      <c r="O53" s="93">
        <v>0.6</v>
      </c>
      <c r="P53" s="93">
        <v>0.6</v>
      </c>
      <c r="Q53" s="102">
        <f t="shared" si="0"/>
        <v>0.6</v>
      </c>
      <c r="R53" s="93">
        <v>13</v>
      </c>
      <c r="S53" s="93">
        <v>87</v>
      </c>
      <c r="T53" s="103">
        <f t="shared" si="1"/>
        <v>39</v>
      </c>
      <c r="U53" s="93">
        <v>598</v>
      </c>
      <c r="V53" s="104">
        <f t="shared" si="2"/>
        <v>5830.5</v>
      </c>
      <c r="W53" s="93">
        <v>2</v>
      </c>
      <c r="X53" s="93" t="s">
        <v>39</v>
      </c>
      <c r="Y53" s="93" t="s">
        <v>90</v>
      </c>
      <c r="Z53" s="93" t="s">
        <v>84</v>
      </c>
      <c r="AA53" s="93" t="s">
        <v>69</v>
      </c>
      <c r="AB53" s="93" t="s">
        <v>158</v>
      </c>
    </row>
    <row r="54" spans="1:28" x14ac:dyDescent="0.15">
      <c r="A54" s="93" t="s">
        <v>51</v>
      </c>
      <c r="B54" s="93" t="s">
        <v>157</v>
      </c>
      <c r="C54" s="93">
        <v>2019</v>
      </c>
      <c r="D54" s="101" t="s">
        <v>266</v>
      </c>
      <c r="E54" s="93" t="s">
        <v>280</v>
      </c>
      <c r="F54" s="93" t="s">
        <v>268</v>
      </c>
      <c r="G54" s="93" t="s">
        <v>42</v>
      </c>
      <c r="H54" s="93" t="s">
        <v>164</v>
      </c>
      <c r="I54" s="93" t="s">
        <v>159</v>
      </c>
      <c r="J54" s="93" t="s">
        <v>38</v>
      </c>
      <c r="K54" s="93" t="s">
        <v>213</v>
      </c>
      <c r="L54" s="93">
        <v>2</v>
      </c>
      <c r="N54" s="93">
        <v>4</v>
      </c>
      <c r="O54" s="93">
        <v>0.65</v>
      </c>
      <c r="P54" s="93">
        <v>0.6</v>
      </c>
      <c r="Q54" s="102">
        <f t="shared" si="0"/>
        <v>0.625</v>
      </c>
      <c r="R54" s="93">
        <v>13.5</v>
      </c>
      <c r="S54" s="93">
        <v>88</v>
      </c>
      <c r="T54" s="103">
        <f t="shared" si="1"/>
        <v>39</v>
      </c>
      <c r="U54" s="93">
        <v>598</v>
      </c>
      <c r="V54" s="104">
        <f t="shared" si="2"/>
        <v>5830.5</v>
      </c>
      <c r="W54" s="93">
        <v>2</v>
      </c>
      <c r="X54" s="93" t="s">
        <v>39</v>
      </c>
      <c r="Y54" s="93" t="s">
        <v>90</v>
      </c>
      <c r="Z54" s="93" t="s">
        <v>84</v>
      </c>
      <c r="AA54" s="93" t="s">
        <v>69</v>
      </c>
      <c r="AB54" s="93" t="s">
        <v>158</v>
      </c>
    </row>
    <row r="55" spans="1:28" x14ac:dyDescent="0.15">
      <c r="A55" s="93" t="s">
        <v>51</v>
      </c>
      <c r="B55" s="93" t="s">
        <v>157</v>
      </c>
      <c r="C55" s="93">
        <v>2019</v>
      </c>
      <c r="D55" s="101" t="s">
        <v>266</v>
      </c>
      <c r="E55" s="93" t="s">
        <v>280</v>
      </c>
      <c r="F55" s="93" t="s">
        <v>268</v>
      </c>
      <c r="G55" s="93" t="s">
        <v>42</v>
      </c>
      <c r="H55" s="93" t="s">
        <v>164</v>
      </c>
      <c r="I55" s="93" t="s">
        <v>159</v>
      </c>
      <c r="J55" s="93" t="s">
        <v>38</v>
      </c>
      <c r="K55" s="93" t="s">
        <v>213</v>
      </c>
      <c r="L55" s="93">
        <v>3</v>
      </c>
      <c r="N55" s="93">
        <v>4</v>
      </c>
      <c r="O55" s="93">
        <v>0.55000000000000004</v>
      </c>
      <c r="P55" s="93">
        <v>0.6</v>
      </c>
      <c r="Q55" s="102">
        <f t="shared" si="0"/>
        <v>0.57499999999999996</v>
      </c>
      <c r="R55" s="93">
        <v>13.8</v>
      </c>
      <c r="S55" s="93">
        <v>96</v>
      </c>
      <c r="T55" s="103">
        <f t="shared" si="1"/>
        <v>39</v>
      </c>
      <c r="U55" s="93">
        <v>598</v>
      </c>
      <c r="V55" s="104">
        <f t="shared" si="2"/>
        <v>5830.5</v>
      </c>
      <c r="W55" s="93">
        <v>2</v>
      </c>
      <c r="X55" s="93" t="s">
        <v>39</v>
      </c>
      <c r="Y55" s="93" t="s">
        <v>90</v>
      </c>
      <c r="Z55" s="93" t="s">
        <v>84</v>
      </c>
      <c r="AA55" s="93" t="s">
        <v>69</v>
      </c>
      <c r="AB55" s="93" t="s">
        <v>158</v>
      </c>
    </row>
    <row r="56" spans="1:28" x14ac:dyDescent="0.15">
      <c r="D56" s="101"/>
      <c r="Q56" s="102" t="str">
        <f t="shared" si="0"/>
        <v/>
      </c>
      <c r="T56" s="103" t="str">
        <f t="shared" si="1"/>
        <v/>
      </c>
      <c r="V56" s="104" t="str">
        <f t="shared" si="2"/>
        <v/>
      </c>
    </row>
    <row r="57" spans="1:28" x14ac:dyDescent="0.15">
      <c r="D57" s="101"/>
      <c r="Q57" s="102" t="str">
        <f t="shared" si="0"/>
        <v/>
      </c>
      <c r="T57" s="103" t="str">
        <f t="shared" si="1"/>
        <v/>
      </c>
      <c r="V57" s="104" t="str">
        <f t="shared" si="2"/>
        <v/>
      </c>
    </row>
    <row r="58" spans="1:28" x14ac:dyDescent="0.15">
      <c r="D58" s="101"/>
      <c r="Q58" s="102" t="str">
        <f t="shared" si="0"/>
        <v/>
      </c>
      <c r="T58" s="103" t="str">
        <f t="shared" si="1"/>
        <v/>
      </c>
      <c r="V58" s="104" t="str">
        <f t="shared" si="2"/>
        <v/>
      </c>
    </row>
    <row r="59" spans="1:28" x14ac:dyDescent="0.15">
      <c r="D59" s="101"/>
      <c r="Q59" s="102" t="str">
        <f t="shared" si="0"/>
        <v/>
      </c>
      <c r="T59" s="103" t="str">
        <f t="shared" si="1"/>
        <v/>
      </c>
      <c r="V59" s="104" t="str">
        <f t="shared" si="2"/>
        <v/>
      </c>
    </row>
    <row r="60" spans="1:28" x14ac:dyDescent="0.15">
      <c r="D60" s="101"/>
      <c r="Q60" s="102" t="str">
        <f t="shared" si="0"/>
        <v/>
      </c>
      <c r="T60" s="103" t="str">
        <f t="shared" si="1"/>
        <v/>
      </c>
      <c r="V60" s="104" t="str">
        <f t="shared" si="2"/>
        <v/>
      </c>
    </row>
    <row r="61" spans="1:28" x14ac:dyDescent="0.15">
      <c r="D61" s="101"/>
      <c r="Q61" s="102" t="str">
        <f t="shared" si="0"/>
        <v/>
      </c>
      <c r="T61" s="103" t="str">
        <f t="shared" si="1"/>
        <v/>
      </c>
      <c r="V61" s="104" t="str">
        <f t="shared" si="2"/>
        <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82FC6A77-D4A9-4541-9420-D1E2F30AF607}">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F5DC736B-3FF2-424C-8BA5-CC685F6F9AA1}">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9FF3EE5E-6290-4B78-8448-20F50134C9A8}">
      <formula1>$AL$4:$AL$12</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EFC3755D-ED0A-4F82-B944-98CE8F3ABC34}">
      <formula1>$AN$5:$AN$6</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4F82221C-A4E8-48A8-8AC6-8ED0AA6079D5}">
      <formula1>$AJ$2:$AJ$4</formula1>
    </dataValidation>
    <dataValidation type="list" allowBlank="1" showInputMessage="1" showErrorMessage="1" sqref="Y2:AA500" xr:uid="{D15F255C-D6B1-4BB0-984B-416E5A564362}">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323D116F-FC97-4B9B-A24A-895F384A354D}">
      <formula1>$AP$2:$AP$27</formula1>
    </dataValidation>
    <dataValidation type="list" allowBlank="1" showInputMessage="1" showErrorMessage="1" sqref="H2:H500" xr:uid="{434C458D-C441-42B1-B382-EA615F8B2C8E}">
      <formula1>$AL$2:$AL$8</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C8C79345-7C45-4E61-AE7F-2B6EE30306D6}">
      <formula1>$AT$2:$AT$3</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6E222ED9-ED3B-4B05-9387-656C054F993D}">
      <formula1>$AH$2:$AH$11</formula1>
    </dataValidation>
    <dataValidation type="list" allowBlank="1" showInputMessage="1" showErrorMessage="1" sqref="K2:K89" xr:uid="{39961B44-3A7C-4D8B-92EA-CB374F1D00A5}">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DD0C8449-0A47-47CA-ADBF-4ABB892080FF}">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62465619-EC8B-4598-A940-1585F25389A5}"/>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2DC8DFD6-D9C6-46D4-A7C8-FC7AC483369C}">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4F095A7D-0849-441D-98A1-88F10FA908D3}">
      <formula1>$AE$2:$AE$19</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5AE8A-16D2-421E-A67F-5E09289DE8F7}">
  <sheetPr>
    <pageSetUpPr fitToPage="1"/>
  </sheetPr>
  <dimension ref="A1:BA112"/>
  <sheetViews>
    <sheetView topLeftCell="A22" zoomScale="80" zoomScaleNormal="80" workbookViewId="0">
      <selection activeCell="H19" sqref="H19"/>
    </sheetView>
  </sheetViews>
  <sheetFormatPr defaultRowHeight="13.5" x14ac:dyDescent="0.15"/>
  <cols>
    <col min="1" max="3" width="9" style="53" customWidth="1"/>
    <col min="4" max="4" width="10.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5" style="53" bestFit="1" customWidth="1"/>
    <col min="20" max="20" width="9" style="16" customWidth="1"/>
    <col min="21" max="21" width="9" style="53"/>
    <col min="22" max="22" width="9" style="16" customWidth="1"/>
    <col min="23" max="28" width="9" style="53"/>
    <col min="29" max="29" width="26.5" style="53" customWidth="1"/>
    <col min="30" max="32" width="9" style="53"/>
    <col min="33" max="33" width="15.75" style="53" bestFit="1" customWidth="1"/>
    <col min="34" max="34" width="15" style="53" bestFit="1" customWidth="1"/>
    <col min="35" max="256" width="9" style="53"/>
    <col min="257" max="259" width="9" style="53" customWidth="1"/>
    <col min="260" max="260" width="10.5" style="53" customWidth="1"/>
    <col min="261" max="261" width="11.25" style="53" bestFit="1" customWidth="1"/>
    <col min="262" max="263" width="9" style="53"/>
    <col min="264" max="273" width="9" style="53" customWidth="1"/>
    <col min="274" max="274" width="9" style="53"/>
    <col min="275" max="275" width="9.5" style="53" bestFit="1" customWidth="1"/>
    <col min="276" max="276" width="9" style="53" customWidth="1"/>
    <col min="277" max="277" width="9" style="53"/>
    <col min="278" max="278" width="9" style="53" customWidth="1"/>
    <col min="279" max="284" width="9" style="53"/>
    <col min="285" max="285" width="26.5" style="53" customWidth="1"/>
    <col min="286" max="288" width="9" style="53"/>
    <col min="289" max="289" width="14.75" style="53" bestFit="1" customWidth="1"/>
    <col min="290" max="512" width="9" style="53"/>
    <col min="513" max="515" width="9" style="53" customWidth="1"/>
    <col min="516" max="516" width="10.5" style="53" customWidth="1"/>
    <col min="517" max="517" width="11.25" style="53" bestFit="1" customWidth="1"/>
    <col min="518" max="519" width="9" style="53"/>
    <col min="520" max="529" width="9" style="53" customWidth="1"/>
    <col min="530" max="530" width="9" style="53"/>
    <col min="531" max="531" width="9.5" style="53" bestFit="1" customWidth="1"/>
    <col min="532" max="532" width="9" style="53" customWidth="1"/>
    <col min="533" max="533" width="9" style="53"/>
    <col min="534" max="534" width="9" style="53" customWidth="1"/>
    <col min="535" max="540" width="9" style="53"/>
    <col min="541" max="541" width="26.5" style="53" customWidth="1"/>
    <col min="542" max="544" width="9" style="53"/>
    <col min="545" max="545" width="14.75" style="53" bestFit="1" customWidth="1"/>
    <col min="546" max="768" width="9" style="53"/>
    <col min="769" max="771" width="9" style="53" customWidth="1"/>
    <col min="772" max="772" width="10.5" style="53" customWidth="1"/>
    <col min="773" max="773" width="11.25" style="53" bestFit="1" customWidth="1"/>
    <col min="774" max="775" width="9" style="53"/>
    <col min="776" max="785" width="9" style="53" customWidth="1"/>
    <col min="786" max="786" width="9" style="53"/>
    <col min="787" max="787" width="9.5" style="53" bestFit="1" customWidth="1"/>
    <col min="788" max="788" width="9" style="53" customWidth="1"/>
    <col min="789" max="789" width="9" style="53"/>
    <col min="790" max="790" width="9" style="53" customWidth="1"/>
    <col min="791" max="796" width="9" style="53"/>
    <col min="797" max="797" width="26.5" style="53" customWidth="1"/>
    <col min="798" max="800" width="9" style="53"/>
    <col min="801" max="801" width="14.75" style="53" bestFit="1" customWidth="1"/>
    <col min="802" max="1024" width="9" style="53"/>
    <col min="1025" max="1027" width="9" style="53" customWidth="1"/>
    <col min="1028" max="1028" width="10.5" style="53" customWidth="1"/>
    <col min="1029" max="1029" width="11.25" style="53" bestFit="1" customWidth="1"/>
    <col min="1030" max="1031" width="9" style="53"/>
    <col min="1032" max="1041" width="9" style="53" customWidth="1"/>
    <col min="1042" max="1042" width="9" style="53"/>
    <col min="1043" max="1043" width="9.5" style="53" bestFit="1" customWidth="1"/>
    <col min="1044" max="1044" width="9" style="53" customWidth="1"/>
    <col min="1045" max="1045" width="9" style="53"/>
    <col min="1046" max="1046" width="9" style="53" customWidth="1"/>
    <col min="1047" max="1052" width="9" style="53"/>
    <col min="1053" max="1053" width="26.5" style="53" customWidth="1"/>
    <col min="1054" max="1056" width="9" style="53"/>
    <col min="1057" max="1057" width="14.75" style="53" bestFit="1" customWidth="1"/>
    <col min="1058" max="1280" width="9" style="53"/>
    <col min="1281" max="1283" width="9" style="53" customWidth="1"/>
    <col min="1284" max="1284" width="10.5" style="53" customWidth="1"/>
    <col min="1285" max="1285" width="11.25" style="53" bestFit="1" customWidth="1"/>
    <col min="1286" max="1287" width="9" style="53"/>
    <col min="1288" max="1297" width="9" style="53" customWidth="1"/>
    <col min="1298" max="1298" width="9" style="53"/>
    <col min="1299" max="1299" width="9.5" style="53" bestFit="1" customWidth="1"/>
    <col min="1300" max="1300" width="9" style="53" customWidth="1"/>
    <col min="1301" max="1301" width="9" style="53"/>
    <col min="1302" max="1302" width="9" style="53" customWidth="1"/>
    <col min="1303" max="1308" width="9" style="53"/>
    <col min="1309" max="1309" width="26.5" style="53" customWidth="1"/>
    <col min="1310" max="1312" width="9" style="53"/>
    <col min="1313" max="1313" width="14.75" style="53" bestFit="1" customWidth="1"/>
    <col min="1314" max="1536" width="9" style="53"/>
    <col min="1537" max="1539" width="9" style="53" customWidth="1"/>
    <col min="1540" max="1540" width="10.5" style="53" customWidth="1"/>
    <col min="1541" max="1541" width="11.25" style="53" bestFit="1" customWidth="1"/>
    <col min="1542" max="1543" width="9" style="53"/>
    <col min="1544" max="1553" width="9" style="53" customWidth="1"/>
    <col min="1554" max="1554" width="9" style="53"/>
    <col min="1555" max="1555" width="9.5" style="53" bestFit="1" customWidth="1"/>
    <col min="1556" max="1556" width="9" style="53" customWidth="1"/>
    <col min="1557" max="1557" width="9" style="53"/>
    <col min="1558" max="1558" width="9" style="53" customWidth="1"/>
    <col min="1559" max="1564" width="9" style="53"/>
    <col min="1565" max="1565" width="26.5" style="53" customWidth="1"/>
    <col min="1566" max="1568" width="9" style="53"/>
    <col min="1569" max="1569" width="14.75" style="53" bestFit="1" customWidth="1"/>
    <col min="1570" max="1792" width="9" style="53"/>
    <col min="1793" max="1795" width="9" style="53" customWidth="1"/>
    <col min="1796" max="1796" width="10.5" style="53" customWidth="1"/>
    <col min="1797" max="1797" width="11.25" style="53" bestFit="1" customWidth="1"/>
    <col min="1798" max="1799" width="9" style="53"/>
    <col min="1800" max="1809" width="9" style="53" customWidth="1"/>
    <col min="1810" max="1810" width="9" style="53"/>
    <col min="1811" max="1811" width="9.5" style="53" bestFit="1" customWidth="1"/>
    <col min="1812" max="1812" width="9" style="53" customWidth="1"/>
    <col min="1813" max="1813" width="9" style="53"/>
    <col min="1814" max="1814" width="9" style="53" customWidth="1"/>
    <col min="1815" max="1820" width="9" style="53"/>
    <col min="1821" max="1821" width="26.5" style="53" customWidth="1"/>
    <col min="1822" max="1824" width="9" style="53"/>
    <col min="1825" max="1825" width="14.75" style="53" bestFit="1" customWidth="1"/>
    <col min="1826" max="2048" width="9" style="53"/>
    <col min="2049" max="2051" width="9" style="53" customWidth="1"/>
    <col min="2052" max="2052" width="10.5" style="53" customWidth="1"/>
    <col min="2053" max="2053" width="11.25" style="53" bestFit="1" customWidth="1"/>
    <col min="2054" max="2055" width="9" style="53"/>
    <col min="2056" max="2065" width="9" style="53" customWidth="1"/>
    <col min="2066" max="2066" width="9" style="53"/>
    <col min="2067" max="2067" width="9.5" style="53" bestFit="1" customWidth="1"/>
    <col min="2068" max="2068" width="9" style="53" customWidth="1"/>
    <col min="2069" max="2069" width="9" style="53"/>
    <col min="2070" max="2070" width="9" style="53" customWidth="1"/>
    <col min="2071" max="2076" width="9" style="53"/>
    <col min="2077" max="2077" width="26.5" style="53" customWidth="1"/>
    <col min="2078" max="2080" width="9" style="53"/>
    <col min="2081" max="2081" width="14.75" style="53" bestFit="1" customWidth="1"/>
    <col min="2082" max="2304" width="9" style="53"/>
    <col min="2305" max="2307" width="9" style="53" customWidth="1"/>
    <col min="2308" max="2308" width="10.5" style="53" customWidth="1"/>
    <col min="2309" max="2309" width="11.25" style="53" bestFit="1" customWidth="1"/>
    <col min="2310" max="2311" width="9" style="53"/>
    <col min="2312" max="2321" width="9" style="53" customWidth="1"/>
    <col min="2322" max="2322" width="9" style="53"/>
    <col min="2323" max="2323" width="9.5" style="53" bestFit="1" customWidth="1"/>
    <col min="2324" max="2324" width="9" style="53" customWidth="1"/>
    <col min="2325" max="2325" width="9" style="53"/>
    <col min="2326" max="2326" width="9" style="53" customWidth="1"/>
    <col min="2327" max="2332" width="9" style="53"/>
    <col min="2333" max="2333" width="26.5" style="53" customWidth="1"/>
    <col min="2334" max="2336" width="9" style="53"/>
    <col min="2337" max="2337" width="14.75" style="53" bestFit="1" customWidth="1"/>
    <col min="2338" max="2560" width="9" style="53"/>
    <col min="2561" max="2563" width="9" style="53" customWidth="1"/>
    <col min="2564" max="2564" width="10.5" style="53" customWidth="1"/>
    <col min="2565" max="2565" width="11.25" style="53" bestFit="1" customWidth="1"/>
    <col min="2566" max="2567" width="9" style="53"/>
    <col min="2568" max="2577" width="9" style="53" customWidth="1"/>
    <col min="2578" max="2578" width="9" style="53"/>
    <col min="2579" max="2579" width="9.5" style="53" bestFit="1" customWidth="1"/>
    <col min="2580" max="2580" width="9" style="53" customWidth="1"/>
    <col min="2581" max="2581" width="9" style="53"/>
    <col min="2582" max="2582" width="9" style="53" customWidth="1"/>
    <col min="2583" max="2588" width="9" style="53"/>
    <col min="2589" max="2589" width="26.5" style="53" customWidth="1"/>
    <col min="2590" max="2592" width="9" style="53"/>
    <col min="2593" max="2593" width="14.75" style="53" bestFit="1" customWidth="1"/>
    <col min="2594" max="2816" width="9" style="53"/>
    <col min="2817" max="2819" width="9" style="53" customWidth="1"/>
    <col min="2820" max="2820" width="10.5" style="53" customWidth="1"/>
    <col min="2821" max="2821" width="11.25" style="53" bestFit="1" customWidth="1"/>
    <col min="2822" max="2823" width="9" style="53"/>
    <col min="2824" max="2833" width="9" style="53" customWidth="1"/>
    <col min="2834" max="2834" width="9" style="53"/>
    <col min="2835" max="2835" width="9.5" style="53" bestFit="1" customWidth="1"/>
    <col min="2836" max="2836" width="9" style="53" customWidth="1"/>
    <col min="2837" max="2837" width="9" style="53"/>
    <col min="2838" max="2838" width="9" style="53" customWidth="1"/>
    <col min="2839" max="2844" width="9" style="53"/>
    <col min="2845" max="2845" width="26.5" style="53" customWidth="1"/>
    <col min="2846" max="2848" width="9" style="53"/>
    <col min="2849" max="2849" width="14.75" style="53" bestFit="1" customWidth="1"/>
    <col min="2850" max="3072" width="9" style="53"/>
    <col min="3073" max="3075" width="9" style="53" customWidth="1"/>
    <col min="3076" max="3076" width="10.5" style="53" customWidth="1"/>
    <col min="3077" max="3077" width="11.25" style="53" bestFit="1" customWidth="1"/>
    <col min="3078" max="3079" width="9" style="53"/>
    <col min="3080" max="3089" width="9" style="53" customWidth="1"/>
    <col min="3090" max="3090" width="9" style="53"/>
    <col min="3091" max="3091" width="9.5" style="53" bestFit="1" customWidth="1"/>
    <col min="3092" max="3092" width="9" style="53" customWidth="1"/>
    <col min="3093" max="3093" width="9" style="53"/>
    <col min="3094" max="3094" width="9" style="53" customWidth="1"/>
    <col min="3095" max="3100" width="9" style="53"/>
    <col min="3101" max="3101" width="26.5" style="53" customWidth="1"/>
    <col min="3102" max="3104" width="9" style="53"/>
    <col min="3105" max="3105" width="14.75" style="53" bestFit="1" customWidth="1"/>
    <col min="3106" max="3328" width="9" style="53"/>
    <col min="3329" max="3331" width="9" style="53" customWidth="1"/>
    <col min="3332" max="3332" width="10.5" style="53" customWidth="1"/>
    <col min="3333" max="3333" width="11.25" style="53" bestFit="1" customWidth="1"/>
    <col min="3334" max="3335" width="9" style="53"/>
    <col min="3336" max="3345" width="9" style="53" customWidth="1"/>
    <col min="3346" max="3346" width="9" style="53"/>
    <col min="3347" max="3347" width="9.5" style="53" bestFit="1" customWidth="1"/>
    <col min="3348" max="3348" width="9" style="53" customWidth="1"/>
    <col min="3349" max="3349" width="9" style="53"/>
    <col min="3350" max="3350" width="9" style="53" customWidth="1"/>
    <col min="3351" max="3356" width="9" style="53"/>
    <col min="3357" max="3357" width="26.5" style="53" customWidth="1"/>
    <col min="3358" max="3360" width="9" style="53"/>
    <col min="3361" max="3361" width="14.75" style="53" bestFit="1" customWidth="1"/>
    <col min="3362" max="3584" width="9" style="53"/>
    <col min="3585" max="3587" width="9" style="53" customWidth="1"/>
    <col min="3588" max="3588" width="10.5" style="53" customWidth="1"/>
    <col min="3589" max="3589" width="11.25" style="53" bestFit="1" customWidth="1"/>
    <col min="3590" max="3591" width="9" style="53"/>
    <col min="3592" max="3601" width="9" style="53" customWidth="1"/>
    <col min="3602" max="3602" width="9" style="53"/>
    <col min="3603" max="3603" width="9.5" style="53" bestFit="1" customWidth="1"/>
    <col min="3604" max="3604" width="9" style="53" customWidth="1"/>
    <col min="3605" max="3605" width="9" style="53"/>
    <col min="3606" max="3606" width="9" style="53" customWidth="1"/>
    <col min="3607" max="3612" width="9" style="53"/>
    <col min="3613" max="3613" width="26.5" style="53" customWidth="1"/>
    <col min="3614" max="3616" width="9" style="53"/>
    <col min="3617" max="3617" width="14.75" style="53" bestFit="1" customWidth="1"/>
    <col min="3618" max="3840" width="9" style="53"/>
    <col min="3841" max="3843" width="9" style="53" customWidth="1"/>
    <col min="3844" max="3844" width="10.5" style="53" customWidth="1"/>
    <col min="3845" max="3845" width="11.25" style="53" bestFit="1" customWidth="1"/>
    <col min="3846" max="3847" width="9" style="53"/>
    <col min="3848" max="3857" width="9" style="53" customWidth="1"/>
    <col min="3858" max="3858" width="9" style="53"/>
    <col min="3859" max="3859" width="9.5" style="53" bestFit="1" customWidth="1"/>
    <col min="3860" max="3860" width="9" style="53" customWidth="1"/>
    <col min="3861" max="3861" width="9" style="53"/>
    <col min="3862" max="3862" width="9" style="53" customWidth="1"/>
    <col min="3863" max="3868" width="9" style="53"/>
    <col min="3869" max="3869" width="26.5" style="53" customWidth="1"/>
    <col min="3870" max="3872" width="9" style="53"/>
    <col min="3873" max="3873" width="14.75" style="53" bestFit="1" customWidth="1"/>
    <col min="3874" max="4096" width="9" style="53"/>
    <col min="4097" max="4099" width="9" style="53" customWidth="1"/>
    <col min="4100" max="4100" width="10.5" style="53" customWidth="1"/>
    <col min="4101" max="4101" width="11.25" style="53" bestFit="1" customWidth="1"/>
    <col min="4102" max="4103" width="9" style="53"/>
    <col min="4104" max="4113" width="9" style="53" customWidth="1"/>
    <col min="4114" max="4114" width="9" style="53"/>
    <col min="4115" max="4115" width="9.5" style="53" bestFit="1" customWidth="1"/>
    <col min="4116" max="4116" width="9" style="53" customWidth="1"/>
    <col min="4117" max="4117" width="9" style="53"/>
    <col min="4118" max="4118" width="9" style="53" customWidth="1"/>
    <col min="4119" max="4124" width="9" style="53"/>
    <col min="4125" max="4125" width="26.5" style="53" customWidth="1"/>
    <col min="4126" max="4128" width="9" style="53"/>
    <col min="4129" max="4129" width="14.75" style="53" bestFit="1" customWidth="1"/>
    <col min="4130" max="4352" width="9" style="53"/>
    <col min="4353" max="4355" width="9" style="53" customWidth="1"/>
    <col min="4356" max="4356" width="10.5" style="53" customWidth="1"/>
    <col min="4357" max="4357" width="11.25" style="53" bestFit="1" customWidth="1"/>
    <col min="4358" max="4359" width="9" style="53"/>
    <col min="4360" max="4369" width="9" style="53" customWidth="1"/>
    <col min="4370" max="4370" width="9" style="53"/>
    <col min="4371" max="4371" width="9.5" style="53" bestFit="1" customWidth="1"/>
    <col min="4372" max="4372" width="9" style="53" customWidth="1"/>
    <col min="4373" max="4373" width="9" style="53"/>
    <col min="4374" max="4374" width="9" style="53" customWidth="1"/>
    <col min="4375" max="4380" width="9" style="53"/>
    <col min="4381" max="4381" width="26.5" style="53" customWidth="1"/>
    <col min="4382" max="4384" width="9" style="53"/>
    <col min="4385" max="4385" width="14.75" style="53" bestFit="1" customWidth="1"/>
    <col min="4386" max="4608" width="9" style="53"/>
    <col min="4609" max="4611" width="9" style="53" customWidth="1"/>
    <col min="4612" max="4612" width="10.5" style="53" customWidth="1"/>
    <col min="4613" max="4613" width="11.25" style="53" bestFit="1" customWidth="1"/>
    <col min="4614" max="4615" width="9" style="53"/>
    <col min="4616" max="4625" width="9" style="53" customWidth="1"/>
    <col min="4626" max="4626" width="9" style="53"/>
    <col min="4627" max="4627" width="9.5" style="53" bestFit="1" customWidth="1"/>
    <col min="4628" max="4628" width="9" style="53" customWidth="1"/>
    <col min="4629" max="4629" width="9" style="53"/>
    <col min="4630" max="4630" width="9" style="53" customWidth="1"/>
    <col min="4631" max="4636" width="9" style="53"/>
    <col min="4637" max="4637" width="26.5" style="53" customWidth="1"/>
    <col min="4638" max="4640" width="9" style="53"/>
    <col min="4641" max="4641" width="14.75" style="53" bestFit="1" customWidth="1"/>
    <col min="4642" max="4864" width="9" style="53"/>
    <col min="4865" max="4867" width="9" style="53" customWidth="1"/>
    <col min="4868" max="4868" width="10.5" style="53" customWidth="1"/>
    <col min="4869" max="4869" width="11.25" style="53" bestFit="1" customWidth="1"/>
    <col min="4870" max="4871" width="9" style="53"/>
    <col min="4872" max="4881" width="9" style="53" customWidth="1"/>
    <col min="4882" max="4882" width="9" style="53"/>
    <col min="4883" max="4883" width="9.5" style="53" bestFit="1" customWidth="1"/>
    <col min="4884" max="4884" width="9" style="53" customWidth="1"/>
    <col min="4885" max="4885" width="9" style="53"/>
    <col min="4886" max="4886" width="9" style="53" customWidth="1"/>
    <col min="4887" max="4892" width="9" style="53"/>
    <col min="4893" max="4893" width="26.5" style="53" customWidth="1"/>
    <col min="4894" max="4896" width="9" style="53"/>
    <col min="4897" max="4897" width="14.75" style="53" bestFit="1" customWidth="1"/>
    <col min="4898" max="5120" width="9" style="53"/>
    <col min="5121" max="5123" width="9" style="53" customWidth="1"/>
    <col min="5124" max="5124" width="10.5" style="53" customWidth="1"/>
    <col min="5125" max="5125" width="11.25" style="53" bestFit="1" customWidth="1"/>
    <col min="5126" max="5127" width="9" style="53"/>
    <col min="5128" max="5137" width="9" style="53" customWidth="1"/>
    <col min="5138" max="5138" width="9" style="53"/>
    <col min="5139" max="5139" width="9.5" style="53" bestFit="1" customWidth="1"/>
    <col min="5140" max="5140" width="9" style="53" customWidth="1"/>
    <col min="5141" max="5141" width="9" style="53"/>
    <col min="5142" max="5142" width="9" style="53" customWidth="1"/>
    <col min="5143" max="5148" width="9" style="53"/>
    <col min="5149" max="5149" width="26.5" style="53" customWidth="1"/>
    <col min="5150" max="5152" width="9" style="53"/>
    <col min="5153" max="5153" width="14.75" style="53" bestFit="1" customWidth="1"/>
    <col min="5154" max="5376" width="9" style="53"/>
    <col min="5377" max="5379" width="9" style="53" customWidth="1"/>
    <col min="5380" max="5380" width="10.5" style="53" customWidth="1"/>
    <col min="5381" max="5381" width="11.25" style="53" bestFit="1" customWidth="1"/>
    <col min="5382" max="5383" width="9" style="53"/>
    <col min="5384" max="5393" width="9" style="53" customWidth="1"/>
    <col min="5394" max="5394" width="9" style="53"/>
    <col min="5395" max="5395" width="9.5" style="53" bestFit="1" customWidth="1"/>
    <col min="5396" max="5396" width="9" style="53" customWidth="1"/>
    <col min="5397" max="5397" width="9" style="53"/>
    <col min="5398" max="5398" width="9" style="53" customWidth="1"/>
    <col min="5399" max="5404" width="9" style="53"/>
    <col min="5405" max="5405" width="26.5" style="53" customWidth="1"/>
    <col min="5406" max="5408" width="9" style="53"/>
    <col min="5409" max="5409" width="14.75" style="53" bestFit="1" customWidth="1"/>
    <col min="5410" max="5632" width="9" style="53"/>
    <col min="5633" max="5635" width="9" style="53" customWidth="1"/>
    <col min="5636" max="5636" width="10.5" style="53" customWidth="1"/>
    <col min="5637" max="5637" width="11.25" style="53" bestFit="1" customWidth="1"/>
    <col min="5638" max="5639" width="9" style="53"/>
    <col min="5640" max="5649" width="9" style="53" customWidth="1"/>
    <col min="5650" max="5650" width="9" style="53"/>
    <col min="5651" max="5651" width="9.5" style="53" bestFit="1" customWidth="1"/>
    <col min="5652" max="5652" width="9" style="53" customWidth="1"/>
    <col min="5653" max="5653" width="9" style="53"/>
    <col min="5654" max="5654" width="9" style="53" customWidth="1"/>
    <col min="5655" max="5660" width="9" style="53"/>
    <col min="5661" max="5661" width="26.5" style="53" customWidth="1"/>
    <col min="5662" max="5664" width="9" style="53"/>
    <col min="5665" max="5665" width="14.75" style="53" bestFit="1" customWidth="1"/>
    <col min="5666" max="5888" width="9" style="53"/>
    <col min="5889" max="5891" width="9" style="53" customWidth="1"/>
    <col min="5892" max="5892" width="10.5" style="53" customWidth="1"/>
    <col min="5893" max="5893" width="11.25" style="53" bestFit="1" customWidth="1"/>
    <col min="5894" max="5895" width="9" style="53"/>
    <col min="5896" max="5905" width="9" style="53" customWidth="1"/>
    <col min="5906" max="5906" width="9" style="53"/>
    <col min="5907" max="5907" width="9.5" style="53" bestFit="1" customWidth="1"/>
    <col min="5908" max="5908" width="9" style="53" customWidth="1"/>
    <col min="5909" max="5909" width="9" style="53"/>
    <col min="5910" max="5910" width="9" style="53" customWidth="1"/>
    <col min="5911" max="5916" width="9" style="53"/>
    <col min="5917" max="5917" width="26.5" style="53" customWidth="1"/>
    <col min="5918" max="5920" width="9" style="53"/>
    <col min="5921" max="5921" width="14.75" style="53" bestFit="1" customWidth="1"/>
    <col min="5922" max="6144" width="9" style="53"/>
    <col min="6145" max="6147" width="9" style="53" customWidth="1"/>
    <col min="6148" max="6148" width="10.5" style="53" customWidth="1"/>
    <col min="6149" max="6149" width="11.25" style="53" bestFit="1" customWidth="1"/>
    <col min="6150" max="6151" width="9" style="53"/>
    <col min="6152" max="6161" width="9" style="53" customWidth="1"/>
    <col min="6162" max="6162" width="9" style="53"/>
    <col min="6163" max="6163" width="9.5" style="53" bestFit="1" customWidth="1"/>
    <col min="6164" max="6164" width="9" style="53" customWidth="1"/>
    <col min="6165" max="6165" width="9" style="53"/>
    <col min="6166" max="6166" width="9" style="53" customWidth="1"/>
    <col min="6167" max="6172" width="9" style="53"/>
    <col min="6173" max="6173" width="26.5" style="53" customWidth="1"/>
    <col min="6174" max="6176" width="9" style="53"/>
    <col min="6177" max="6177" width="14.75" style="53" bestFit="1" customWidth="1"/>
    <col min="6178" max="6400" width="9" style="53"/>
    <col min="6401" max="6403" width="9" style="53" customWidth="1"/>
    <col min="6404" max="6404" width="10.5" style="53" customWidth="1"/>
    <col min="6405" max="6405" width="11.25" style="53" bestFit="1" customWidth="1"/>
    <col min="6406" max="6407" width="9" style="53"/>
    <col min="6408" max="6417" width="9" style="53" customWidth="1"/>
    <col min="6418" max="6418" width="9" style="53"/>
    <col min="6419" max="6419" width="9.5" style="53" bestFit="1" customWidth="1"/>
    <col min="6420" max="6420" width="9" style="53" customWidth="1"/>
    <col min="6421" max="6421" width="9" style="53"/>
    <col min="6422" max="6422" width="9" style="53" customWidth="1"/>
    <col min="6423" max="6428" width="9" style="53"/>
    <col min="6429" max="6429" width="26.5" style="53" customWidth="1"/>
    <col min="6430" max="6432" width="9" style="53"/>
    <col min="6433" max="6433" width="14.75" style="53" bestFit="1" customWidth="1"/>
    <col min="6434" max="6656" width="9" style="53"/>
    <col min="6657" max="6659" width="9" style="53" customWidth="1"/>
    <col min="6660" max="6660" width="10.5" style="53" customWidth="1"/>
    <col min="6661" max="6661" width="11.25" style="53" bestFit="1" customWidth="1"/>
    <col min="6662" max="6663" width="9" style="53"/>
    <col min="6664" max="6673" width="9" style="53" customWidth="1"/>
    <col min="6674" max="6674" width="9" style="53"/>
    <col min="6675" max="6675" width="9.5" style="53" bestFit="1" customWidth="1"/>
    <col min="6676" max="6676" width="9" style="53" customWidth="1"/>
    <col min="6677" max="6677" width="9" style="53"/>
    <col min="6678" max="6678" width="9" style="53" customWidth="1"/>
    <col min="6679" max="6684" width="9" style="53"/>
    <col min="6685" max="6685" width="26.5" style="53" customWidth="1"/>
    <col min="6686" max="6688" width="9" style="53"/>
    <col min="6689" max="6689" width="14.75" style="53" bestFit="1" customWidth="1"/>
    <col min="6690" max="6912" width="9" style="53"/>
    <col min="6913" max="6915" width="9" style="53" customWidth="1"/>
    <col min="6916" max="6916" width="10.5" style="53" customWidth="1"/>
    <col min="6917" max="6917" width="11.25" style="53" bestFit="1" customWidth="1"/>
    <col min="6918" max="6919" width="9" style="53"/>
    <col min="6920" max="6929" width="9" style="53" customWidth="1"/>
    <col min="6930" max="6930" width="9" style="53"/>
    <col min="6931" max="6931" width="9.5" style="53" bestFit="1" customWidth="1"/>
    <col min="6932" max="6932" width="9" style="53" customWidth="1"/>
    <col min="6933" max="6933" width="9" style="53"/>
    <col min="6934" max="6934" width="9" style="53" customWidth="1"/>
    <col min="6935" max="6940" width="9" style="53"/>
    <col min="6941" max="6941" width="26.5" style="53" customWidth="1"/>
    <col min="6942" max="6944" width="9" style="53"/>
    <col min="6945" max="6945" width="14.75" style="53" bestFit="1" customWidth="1"/>
    <col min="6946" max="7168" width="9" style="53"/>
    <col min="7169" max="7171" width="9" style="53" customWidth="1"/>
    <col min="7172" max="7172" width="10.5" style="53" customWidth="1"/>
    <col min="7173" max="7173" width="11.25" style="53" bestFit="1" customWidth="1"/>
    <col min="7174" max="7175" width="9" style="53"/>
    <col min="7176" max="7185" width="9" style="53" customWidth="1"/>
    <col min="7186" max="7186" width="9" style="53"/>
    <col min="7187" max="7187" width="9.5" style="53" bestFit="1" customWidth="1"/>
    <col min="7188" max="7188" width="9" style="53" customWidth="1"/>
    <col min="7189" max="7189" width="9" style="53"/>
    <col min="7190" max="7190" width="9" style="53" customWidth="1"/>
    <col min="7191" max="7196" width="9" style="53"/>
    <col min="7197" max="7197" width="26.5" style="53" customWidth="1"/>
    <col min="7198" max="7200" width="9" style="53"/>
    <col min="7201" max="7201" width="14.75" style="53" bestFit="1" customWidth="1"/>
    <col min="7202" max="7424" width="9" style="53"/>
    <col min="7425" max="7427" width="9" style="53" customWidth="1"/>
    <col min="7428" max="7428" width="10.5" style="53" customWidth="1"/>
    <col min="7429" max="7429" width="11.25" style="53" bestFit="1" customWidth="1"/>
    <col min="7430" max="7431" width="9" style="53"/>
    <col min="7432" max="7441" width="9" style="53" customWidth="1"/>
    <col min="7442" max="7442" width="9" style="53"/>
    <col min="7443" max="7443" width="9.5" style="53" bestFit="1" customWidth="1"/>
    <col min="7444" max="7444" width="9" style="53" customWidth="1"/>
    <col min="7445" max="7445" width="9" style="53"/>
    <col min="7446" max="7446" width="9" style="53" customWidth="1"/>
    <col min="7447" max="7452" width="9" style="53"/>
    <col min="7453" max="7453" width="26.5" style="53" customWidth="1"/>
    <col min="7454" max="7456" width="9" style="53"/>
    <col min="7457" max="7457" width="14.75" style="53" bestFit="1" customWidth="1"/>
    <col min="7458" max="7680" width="9" style="53"/>
    <col min="7681" max="7683" width="9" style="53" customWidth="1"/>
    <col min="7684" max="7684" width="10.5" style="53" customWidth="1"/>
    <col min="7685" max="7685" width="11.25" style="53" bestFit="1" customWidth="1"/>
    <col min="7686" max="7687" width="9" style="53"/>
    <col min="7688" max="7697" width="9" style="53" customWidth="1"/>
    <col min="7698" max="7698" width="9" style="53"/>
    <col min="7699" max="7699" width="9.5" style="53" bestFit="1" customWidth="1"/>
    <col min="7700" max="7700" width="9" style="53" customWidth="1"/>
    <col min="7701" max="7701" width="9" style="53"/>
    <col min="7702" max="7702" width="9" style="53" customWidth="1"/>
    <col min="7703" max="7708" width="9" style="53"/>
    <col min="7709" max="7709" width="26.5" style="53" customWidth="1"/>
    <col min="7710" max="7712" width="9" style="53"/>
    <col min="7713" max="7713" width="14.75" style="53" bestFit="1" customWidth="1"/>
    <col min="7714" max="7936" width="9" style="53"/>
    <col min="7937" max="7939" width="9" style="53" customWidth="1"/>
    <col min="7940" max="7940" width="10.5" style="53" customWidth="1"/>
    <col min="7941" max="7941" width="11.25" style="53" bestFit="1" customWidth="1"/>
    <col min="7942" max="7943" width="9" style="53"/>
    <col min="7944" max="7953" width="9" style="53" customWidth="1"/>
    <col min="7954" max="7954" width="9" style="53"/>
    <col min="7955" max="7955" width="9.5" style="53" bestFit="1" customWidth="1"/>
    <col min="7956" max="7956" width="9" style="53" customWidth="1"/>
    <col min="7957" max="7957" width="9" style="53"/>
    <col min="7958" max="7958" width="9" style="53" customWidth="1"/>
    <col min="7959" max="7964" width="9" style="53"/>
    <col min="7965" max="7965" width="26.5" style="53" customWidth="1"/>
    <col min="7966" max="7968" width="9" style="53"/>
    <col min="7969" max="7969" width="14.75" style="53" bestFit="1" customWidth="1"/>
    <col min="7970" max="8192" width="9" style="53"/>
    <col min="8193" max="8195" width="9" style="53" customWidth="1"/>
    <col min="8196" max="8196" width="10.5" style="53" customWidth="1"/>
    <col min="8197" max="8197" width="11.25" style="53" bestFit="1" customWidth="1"/>
    <col min="8198" max="8199" width="9" style="53"/>
    <col min="8200" max="8209" width="9" style="53" customWidth="1"/>
    <col min="8210" max="8210" width="9" style="53"/>
    <col min="8211" max="8211" width="9.5" style="53" bestFit="1" customWidth="1"/>
    <col min="8212" max="8212" width="9" style="53" customWidth="1"/>
    <col min="8213" max="8213" width="9" style="53"/>
    <col min="8214" max="8214" width="9" style="53" customWidth="1"/>
    <col min="8215" max="8220" width="9" style="53"/>
    <col min="8221" max="8221" width="26.5" style="53" customWidth="1"/>
    <col min="8222" max="8224" width="9" style="53"/>
    <col min="8225" max="8225" width="14.75" style="53" bestFit="1" customWidth="1"/>
    <col min="8226" max="8448" width="9" style="53"/>
    <col min="8449" max="8451" width="9" style="53" customWidth="1"/>
    <col min="8452" max="8452" width="10.5" style="53" customWidth="1"/>
    <col min="8453" max="8453" width="11.25" style="53" bestFit="1" customWidth="1"/>
    <col min="8454" max="8455" width="9" style="53"/>
    <col min="8456" max="8465" width="9" style="53" customWidth="1"/>
    <col min="8466" max="8466" width="9" style="53"/>
    <col min="8467" max="8467" width="9.5" style="53" bestFit="1" customWidth="1"/>
    <col min="8468" max="8468" width="9" style="53" customWidth="1"/>
    <col min="8469" max="8469" width="9" style="53"/>
    <col min="8470" max="8470" width="9" style="53" customWidth="1"/>
    <col min="8471" max="8476" width="9" style="53"/>
    <col min="8477" max="8477" width="26.5" style="53" customWidth="1"/>
    <col min="8478" max="8480" width="9" style="53"/>
    <col min="8481" max="8481" width="14.75" style="53" bestFit="1" customWidth="1"/>
    <col min="8482" max="8704" width="9" style="53"/>
    <col min="8705" max="8707" width="9" style="53" customWidth="1"/>
    <col min="8708" max="8708" width="10.5" style="53" customWidth="1"/>
    <col min="8709" max="8709" width="11.25" style="53" bestFit="1" customWidth="1"/>
    <col min="8710" max="8711" width="9" style="53"/>
    <col min="8712" max="8721" width="9" style="53" customWidth="1"/>
    <col min="8722" max="8722" width="9" style="53"/>
    <col min="8723" max="8723" width="9.5" style="53" bestFit="1" customWidth="1"/>
    <col min="8724" max="8724" width="9" style="53" customWidth="1"/>
    <col min="8725" max="8725" width="9" style="53"/>
    <col min="8726" max="8726" width="9" style="53" customWidth="1"/>
    <col min="8727" max="8732" width="9" style="53"/>
    <col min="8733" max="8733" width="26.5" style="53" customWidth="1"/>
    <col min="8734" max="8736" width="9" style="53"/>
    <col min="8737" max="8737" width="14.75" style="53" bestFit="1" customWidth="1"/>
    <col min="8738" max="8960" width="9" style="53"/>
    <col min="8961" max="8963" width="9" style="53" customWidth="1"/>
    <col min="8964" max="8964" width="10.5" style="53" customWidth="1"/>
    <col min="8965" max="8965" width="11.25" style="53" bestFit="1" customWidth="1"/>
    <col min="8966" max="8967" width="9" style="53"/>
    <col min="8968" max="8977" width="9" style="53" customWidth="1"/>
    <col min="8978" max="8978" width="9" style="53"/>
    <col min="8979" max="8979" width="9.5" style="53" bestFit="1" customWidth="1"/>
    <col min="8980" max="8980" width="9" style="53" customWidth="1"/>
    <col min="8981" max="8981" width="9" style="53"/>
    <col min="8982" max="8982" width="9" style="53" customWidth="1"/>
    <col min="8983" max="8988" width="9" style="53"/>
    <col min="8989" max="8989" width="26.5" style="53" customWidth="1"/>
    <col min="8990" max="8992" width="9" style="53"/>
    <col min="8993" max="8993" width="14.75" style="53" bestFit="1" customWidth="1"/>
    <col min="8994" max="9216" width="9" style="53"/>
    <col min="9217" max="9219" width="9" style="53" customWidth="1"/>
    <col min="9220" max="9220" width="10.5" style="53" customWidth="1"/>
    <col min="9221" max="9221" width="11.25" style="53" bestFit="1" customWidth="1"/>
    <col min="9222" max="9223" width="9" style="53"/>
    <col min="9224" max="9233" width="9" style="53" customWidth="1"/>
    <col min="9234" max="9234" width="9" style="53"/>
    <col min="9235" max="9235" width="9.5" style="53" bestFit="1" customWidth="1"/>
    <col min="9236" max="9236" width="9" style="53" customWidth="1"/>
    <col min="9237" max="9237" width="9" style="53"/>
    <col min="9238" max="9238" width="9" style="53" customWidth="1"/>
    <col min="9239" max="9244" width="9" style="53"/>
    <col min="9245" max="9245" width="26.5" style="53" customWidth="1"/>
    <col min="9246" max="9248" width="9" style="53"/>
    <col min="9249" max="9249" width="14.75" style="53" bestFit="1" customWidth="1"/>
    <col min="9250" max="9472" width="9" style="53"/>
    <col min="9473" max="9475" width="9" style="53" customWidth="1"/>
    <col min="9476" max="9476" width="10.5" style="53" customWidth="1"/>
    <col min="9477" max="9477" width="11.25" style="53" bestFit="1" customWidth="1"/>
    <col min="9478" max="9479" width="9" style="53"/>
    <col min="9480" max="9489" width="9" style="53" customWidth="1"/>
    <col min="9490" max="9490" width="9" style="53"/>
    <col min="9491" max="9491" width="9.5" style="53" bestFit="1" customWidth="1"/>
    <col min="9492" max="9492" width="9" style="53" customWidth="1"/>
    <col min="9493" max="9493" width="9" style="53"/>
    <col min="9494" max="9494" width="9" style="53" customWidth="1"/>
    <col min="9495" max="9500" width="9" style="53"/>
    <col min="9501" max="9501" width="26.5" style="53" customWidth="1"/>
    <col min="9502" max="9504" width="9" style="53"/>
    <col min="9505" max="9505" width="14.75" style="53" bestFit="1" customWidth="1"/>
    <col min="9506" max="9728" width="9" style="53"/>
    <col min="9729" max="9731" width="9" style="53" customWidth="1"/>
    <col min="9732" max="9732" width="10.5" style="53" customWidth="1"/>
    <col min="9733" max="9733" width="11.25" style="53" bestFit="1" customWidth="1"/>
    <col min="9734" max="9735" width="9" style="53"/>
    <col min="9736" max="9745" width="9" style="53" customWidth="1"/>
    <col min="9746" max="9746" width="9" style="53"/>
    <col min="9747" max="9747" width="9.5" style="53" bestFit="1" customWidth="1"/>
    <col min="9748" max="9748" width="9" style="53" customWidth="1"/>
    <col min="9749" max="9749" width="9" style="53"/>
    <col min="9750" max="9750" width="9" style="53" customWidth="1"/>
    <col min="9751" max="9756" width="9" style="53"/>
    <col min="9757" max="9757" width="26.5" style="53" customWidth="1"/>
    <col min="9758" max="9760" width="9" style="53"/>
    <col min="9761" max="9761" width="14.75" style="53" bestFit="1" customWidth="1"/>
    <col min="9762" max="9984" width="9" style="53"/>
    <col min="9985" max="9987" width="9" style="53" customWidth="1"/>
    <col min="9988" max="9988" width="10.5" style="53" customWidth="1"/>
    <col min="9989" max="9989" width="11.25" style="53" bestFit="1" customWidth="1"/>
    <col min="9990" max="9991" width="9" style="53"/>
    <col min="9992" max="10001" width="9" style="53" customWidth="1"/>
    <col min="10002" max="10002" width="9" style="53"/>
    <col min="10003" max="10003" width="9.5" style="53" bestFit="1" customWidth="1"/>
    <col min="10004" max="10004" width="9" style="53" customWidth="1"/>
    <col min="10005" max="10005" width="9" style="53"/>
    <col min="10006" max="10006" width="9" style="53" customWidth="1"/>
    <col min="10007" max="10012" width="9" style="53"/>
    <col min="10013" max="10013" width="26.5" style="53" customWidth="1"/>
    <col min="10014" max="10016" width="9" style="53"/>
    <col min="10017" max="10017" width="14.75" style="53" bestFit="1" customWidth="1"/>
    <col min="10018" max="10240" width="9" style="53"/>
    <col min="10241" max="10243" width="9" style="53" customWidth="1"/>
    <col min="10244" max="10244" width="10.5" style="53" customWidth="1"/>
    <col min="10245" max="10245" width="11.25" style="53" bestFit="1" customWidth="1"/>
    <col min="10246" max="10247" width="9" style="53"/>
    <col min="10248" max="10257" width="9" style="53" customWidth="1"/>
    <col min="10258" max="10258" width="9" style="53"/>
    <col min="10259" max="10259" width="9.5" style="53" bestFit="1" customWidth="1"/>
    <col min="10260" max="10260" width="9" style="53" customWidth="1"/>
    <col min="10261" max="10261" width="9" style="53"/>
    <col min="10262" max="10262" width="9" style="53" customWidth="1"/>
    <col min="10263" max="10268" width="9" style="53"/>
    <col min="10269" max="10269" width="26.5" style="53" customWidth="1"/>
    <col min="10270" max="10272" width="9" style="53"/>
    <col min="10273" max="10273" width="14.75" style="53" bestFit="1" customWidth="1"/>
    <col min="10274" max="10496" width="9" style="53"/>
    <col min="10497" max="10499" width="9" style="53" customWidth="1"/>
    <col min="10500" max="10500" width="10.5" style="53" customWidth="1"/>
    <col min="10501" max="10501" width="11.25" style="53" bestFit="1" customWidth="1"/>
    <col min="10502" max="10503" width="9" style="53"/>
    <col min="10504" max="10513" width="9" style="53" customWidth="1"/>
    <col min="10514" max="10514" width="9" style="53"/>
    <col min="10515" max="10515" width="9.5" style="53" bestFit="1" customWidth="1"/>
    <col min="10516" max="10516" width="9" style="53" customWidth="1"/>
    <col min="10517" max="10517" width="9" style="53"/>
    <col min="10518" max="10518" width="9" style="53" customWidth="1"/>
    <col min="10519" max="10524" width="9" style="53"/>
    <col min="10525" max="10525" width="26.5" style="53" customWidth="1"/>
    <col min="10526" max="10528" width="9" style="53"/>
    <col min="10529" max="10529" width="14.75" style="53" bestFit="1" customWidth="1"/>
    <col min="10530" max="10752" width="9" style="53"/>
    <col min="10753" max="10755" width="9" style="53" customWidth="1"/>
    <col min="10756" max="10756" width="10.5" style="53" customWidth="1"/>
    <col min="10757" max="10757" width="11.25" style="53" bestFit="1" customWidth="1"/>
    <col min="10758" max="10759" width="9" style="53"/>
    <col min="10760" max="10769" width="9" style="53" customWidth="1"/>
    <col min="10770" max="10770" width="9" style="53"/>
    <col min="10771" max="10771" width="9.5" style="53" bestFit="1" customWidth="1"/>
    <col min="10772" max="10772" width="9" style="53" customWidth="1"/>
    <col min="10773" max="10773" width="9" style="53"/>
    <col min="10774" max="10774" width="9" style="53" customWidth="1"/>
    <col min="10775" max="10780" width="9" style="53"/>
    <col min="10781" max="10781" width="26.5" style="53" customWidth="1"/>
    <col min="10782" max="10784" width="9" style="53"/>
    <col min="10785" max="10785" width="14.75" style="53" bestFit="1" customWidth="1"/>
    <col min="10786" max="11008" width="9" style="53"/>
    <col min="11009" max="11011" width="9" style="53" customWidth="1"/>
    <col min="11012" max="11012" width="10.5" style="53" customWidth="1"/>
    <col min="11013" max="11013" width="11.25" style="53" bestFit="1" customWidth="1"/>
    <col min="11014" max="11015" width="9" style="53"/>
    <col min="11016" max="11025" width="9" style="53" customWidth="1"/>
    <col min="11026" max="11026" width="9" style="53"/>
    <col min="11027" max="11027" width="9.5" style="53" bestFit="1" customWidth="1"/>
    <col min="11028" max="11028" width="9" style="53" customWidth="1"/>
    <col min="11029" max="11029" width="9" style="53"/>
    <col min="11030" max="11030" width="9" style="53" customWidth="1"/>
    <col min="11031" max="11036" width="9" style="53"/>
    <col min="11037" max="11037" width="26.5" style="53" customWidth="1"/>
    <col min="11038" max="11040" width="9" style="53"/>
    <col min="11041" max="11041" width="14.75" style="53" bestFit="1" customWidth="1"/>
    <col min="11042" max="11264" width="9" style="53"/>
    <col min="11265" max="11267" width="9" style="53" customWidth="1"/>
    <col min="11268" max="11268" width="10.5" style="53" customWidth="1"/>
    <col min="11269" max="11269" width="11.25" style="53" bestFit="1" customWidth="1"/>
    <col min="11270" max="11271" width="9" style="53"/>
    <col min="11272" max="11281" width="9" style="53" customWidth="1"/>
    <col min="11282" max="11282" width="9" style="53"/>
    <col min="11283" max="11283" width="9.5" style="53" bestFit="1" customWidth="1"/>
    <col min="11284" max="11284" width="9" style="53" customWidth="1"/>
    <col min="11285" max="11285" width="9" style="53"/>
    <col min="11286" max="11286" width="9" style="53" customWidth="1"/>
    <col min="11287" max="11292" width="9" style="53"/>
    <col min="11293" max="11293" width="26.5" style="53" customWidth="1"/>
    <col min="11294" max="11296" width="9" style="53"/>
    <col min="11297" max="11297" width="14.75" style="53" bestFit="1" customWidth="1"/>
    <col min="11298" max="11520" width="9" style="53"/>
    <col min="11521" max="11523" width="9" style="53" customWidth="1"/>
    <col min="11524" max="11524" width="10.5" style="53" customWidth="1"/>
    <col min="11525" max="11525" width="11.25" style="53" bestFit="1" customWidth="1"/>
    <col min="11526" max="11527" width="9" style="53"/>
    <col min="11528" max="11537" width="9" style="53" customWidth="1"/>
    <col min="11538" max="11538" width="9" style="53"/>
    <col min="11539" max="11539" width="9.5" style="53" bestFit="1" customWidth="1"/>
    <col min="11540" max="11540" width="9" style="53" customWidth="1"/>
    <col min="11541" max="11541" width="9" style="53"/>
    <col min="11542" max="11542" width="9" style="53" customWidth="1"/>
    <col min="11543" max="11548" width="9" style="53"/>
    <col min="11549" max="11549" width="26.5" style="53" customWidth="1"/>
    <col min="11550" max="11552" width="9" style="53"/>
    <col min="11553" max="11553" width="14.75" style="53" bestFit="1" customWidth="1"/>
    <col min="11554" max="11776" width="9" style="53"/>
    <col min="11777" max="11779" width="9" style="53" customWidth="1"/>
    <col min="11780" max="11780" width="10.5" style="53" customWidth="1"/>
    <col min="11781" max="11781" width="11.25" style="53" bestFit="1" customWidth="1"/>
    <col min="11782" max="11783" width="9" style="53"/>
    <col min="11784" max="11793" width="9" style="53" customWidth="1"/>
    <col min="11794" max="11794" width="9" style="53"/>
    <col min="11795" max="11795" width="9.5" style="53" bestFit="1" customWidth="1"/>
    <col min="11796" max="11796" width="9" style="53" customWidth="1"/>
    <col min="11797" max="11797" width="9" style="53"/>
    <col min="11798" max="11798" width="9" style="53" customWidth="1"/>
    <col min="11799" max="11804" width="9" style="53"/>
    <col min="11805" max="11805" width="26.5" style="53" customWidth="1"/>
    <col min="11806" max="11808" width="9" style="53"/>
    <col min="11809" max="11809" width="14.75" style="53" bestFit="1" customWidth="1"/>
    <col min="11810" max="12032" width="9" style="53"/>
    <col min="12033" max="12035" width="9" style="53" customWidth="1"/>
    <col min="12036" max="12036" width="10.5" style="53" customWidth="1"/>
    <col min="12037" max="12037" width="11.25" style="53" bestFit="1" customWidth="1"/>
    <col min="12038" max="12039" width="9" style="53"/>
    <col min="12040" max="12049" width="9" style="53" customWidth="1"/>
    <col min="12050" max="12050" width="9" style="53"/>
    <col min="12051" max="12051" width="9.5" style="53" bestFit="1" customWidth="1"/>
    <col min="12052" max="12052" width="9" style="53" customWidth="1"/>
    <col min="12053" max="12053" width="9" style="53"/>
    <col min="12054" max="12054" width="9" style="53" customWidth="1"/>
    <col min="12055" max="12060" width="9" style="53"/>
    <col min="12061" max="12061" width="26.5" style="53" customWidth="1"/>
    <col min="12062" max="12064" width="9" style="53"/>
    <col min="12065" max="12065" width="14.75" style="53" bestFit="1" customWidth="1"/>
    <col min="12066" max="12288" width="9" style="53"/>
    <col min="12289" max="12291" width="9" style="53" customWidth="1"/>
    <col min="12292" max="12292" width="10.5" style="53" customWidth="1"/>
    <col min="12293" max="12293" width="11.25" style="53" bestFit="1" customWidth="1"/>
    <col min="12294" max="12295" width="9" style="53"/>
    <col min="12296" max="12305" width="9" style="53" customWidth="1"/>
    <col min="12306" max="12306" width="9" style="53"/>
    <col min="12307" max="12307" width="9.5" style="53" bestFit="1" customWidth="1"/>
    <col min="12308" max="12308" width="9" style="53" customWidth="1"/>
    <col min="12309" max="12309" width="9" style="53"/>
    <col min="12310" max="12310" width="9" style="53" customWidth="1"/>
    <col min="12311" max="12316" width="9" style="53"/>
    <col min="12317" max="12317" width="26.5" style="53" customWidth="1"/>
    <col min="12318" max="12320" width="9" style="53"/>
    <col min="12321" max="12321" width="14.75" style="53" bestFit="1" customWidth="1"/>
    <col min="12322" max="12544" width="9" style="53"/>
    <col min="12545" max="12547" width="9" style="53" customWidth="1"/>
    <col min="12548" max="12548" width="10.5" style="53" customWidth="1"/>
    <col min="12549" max="12549" width="11.25" style="53" bestFit="1" customWidth="1"/>
    <col min="12550" max="12551" width="9" style="53"/>
    <col min="12552" max="12561" width="9" style="53" customWidth="1"/>
    <col min="12562" max="12562" width="9" style="53"/>
    <col min="12563" max="12563" width="9.5" style="53" bestFit="1" customWidth="1"/>
    <col min="12564" max="12564" width="9" style="53" customWidth="1"/>
    <col min="12565" max="12565" width="9" style="53"/>
    <col min="12566" max="12566" width="9" style="53" customWidth="1"/>
    <col min="12567" max="12572" width="9" style="53"/>
    <col min="12573" max="12573" width="26.5" style="53" customWidth="1"/>
    <col min="12574" max="12576" width="9" style="53"/>
    <col min="12577" max="12577" width="14.75" style="53" bestFit="1" customWidth="1"/>
    <col min="12578" max="12800" width="9" style="53"/>
    <col min="12801" max="12803" width="9" style="53" customWidth="1"/>
    <col min="12804" max="12804" width="10.5" style="53" customWidth="1"/>
    <col min="12805" max="12805" width="11.25" style="53" bestFit="1" customWidth="1"/>
    <col min="12806" max="12807" width="9" style="53"/>
    <col min="12808" max="12817" width="9" style="53" customWidth="1"/>
    <col min="12818" max="12818" width="9" style="53"/>
    <col min="12819" max="12819" width="9.5" style="53" bestFit="1" customWidth="1"/>
    <col min="12820" max="12820" width="9" style="53" customWidth="1"/>
    <col min="12821" max="12821" width="9" style="53"/>
    <col min="12822" max="12822" width="9" style="53" customWidth="1"/>
    <col min="12823" max="12828" width="9" style="53"/>
    <col min="12829" max="12829" width="26.5" style="53" customWidth="1"/>
    <col min="12830" max="12832" width="9" style="53"/>
    <col min="12833" max="12833" width="14.75" style="53" bestFit="1" customWidth="1"/>
    <col min="12834" max="13056" width="9" style="53"/>
    <col min="13057" max="13059" width="9" style="53" customWidth="1"/>
    <col min="13060" max="13060" width="10.5" style="53" customWidth="1"/>
    <col min="13061" max="13061" width="11.25" style="53" bestFit="1" customWidth="1"/>
    <col min="13062" max="13063" width="9" style="53"/>
    <col min="13064" max="13073" width="9" style="53" customWidth="1"/>
    <col min="13074" max="13074" width="9" style="53"/>
    <col min="13075" max="13075" width="9.5" style="53" bestFit="1" customWidth="1"/>
    <col min="13076" max="13076" width="9" style="53" customWidth="1"/>
    <col min="13077" max="13077" width="9" style="53"/>
    <col min="13078" max="13078" width="9" style="53" customWidth="1"/>
    <col min="13079" max="13084" width="9" style="53"/>
    <col min="13085" max="13085" width="26.5" style="53" customWidth="1"/>
    <col min="13086" max="13088" width="9" style="53"/>
    <col min="13089" max="13089" width="14.75" style="53" bestFit="1" customWidth="1"/>
    <col min="13090" max="13312" width="9" style="53"/>
    <col min="13313" max="13315" width="9" style="53" customWidth="1"/>
    <col min="13316" max="13316" width="10.5" style="53" customWidth="1"/>
    <col min="13317" max="13317" width="11.25" style="53" bestFit="1" customWidth="1"/>
    <col min="13318" max="13319" width="9" style="53"/>
    <col min="13320" max="13329" width="9" style="53" customWidth="1"/>
    <col min="13330" max="13330" width="9" style="53"/>
    <col min="13331" max="13331" width="9.5" style="53" bestFit="1" customWidth="1"/>
    <col min="13332" max="13332" width="9" style="53" customWidth="1"/>
    <col min="13333" max="13333" width="9" style="53"/>
    <col min="13334" max="13334" width="9" style="53" customWidth="1"/>
    <col min="13335" max="13340" width="9" style="53"/>
    <col min="13341" max="13341" width="26.5" style="53" customWidth="1"/>
    <col min="13342" max="13344" width="9" style="53"/>
    <col min="13345" max="13345" width="14.75" style="53" bestFit="1" customWidth="1"/>
    <col min="13346" max="13568" width="9" style="53"/>
    <col min="13569" max="13571" width="9" style="53" customWidth="1"/>
    <col min="13572" max="13572" width="10.5" style="53" customWidth="1"/>
    <col min="13573" max="13573" width="11.25" style="53" bestFit="1" customWidth="1"/>
    <col min="13574" max="13575" width="9" style="53"/>
    <col min="13576" max="13585" width="9" style="53" customWidth="1"/>
    <col min="13586" max="13586" width="9" style="53"/>
    <col min="13587" max="13587" width="9.5" style="53" bestFit="1" customWidth="1"/>
    <col min="13588" max="13588" width="9" style="53" customWidth="1"/>
    <col min="13589" max="13589" width="9" style="53"/>
    <col min="13590" max="13590" width="9" style="53" customWidth="1"/>
    <col min="13591" max="13596" width="9" style="53"/>
    <col min="13597" max="13597" width="26.5" style="53" customWidth="1"/>
    <col min="13598" max="13600" width="9" style="53"/>
    <col min="13601" max="13601" width="14.75" style="53" bestFit="1" customWidth="1"/>
    <col min="13602" max="13824" width="9" style="53"/>
    <col min="13825" max="13827" width="9" style="53" customWidth="1"/>
    <col min="13828" max="13828" width="10.5" style="53" customWidth="1"/>
    <col min="13829" max="13829" width="11.25" style="53" bestFit="1" customWidth="1"/>
    <col min="13830" max="13831" width="9" style="53"/>
    <col min="13832" max="13841" width="9" style="53" customWidth="1"/>
    <col min="13842" max="13842" width="9" style="53"/>
    <col min="13843" max="13843" width="9.5" style="53" bestFit="1" customWidth="1"/>
    <col min="13844" max="13844" width="9" style="53" customWidth="1"/>
    <col min="13845" max="13845" width="9" style="53"/>
    <col min="13846" max="13846" width="9" style="53" customWidth="1"/>
    <col min="13847" max="13852" width="9" style="53"/>
    <col min="13853" max="13853" width="26.5" style="53" customWidth="1"/>
    <col min="13854" max="13856" width="9" style="53"/>
    <col min="13857" max="13857" width="14.75" style="53" bestFit="1" customWidth="1"/>
    <col min="13858" max="14080" width="9" style="53"/>
    <col min="14081" max="14083" width="9" style="53" customWidth="1"/>
    <col min="14084" max="14084" width="10.5" style="53" customWidth="1"/>
    <col min="14085" max="14085" width="11.25" style="53" bestFit="1" customWidth="1"/>
    <col min="14086" max="14087" width="9" style="53"/>
    <col min="14088" max="14097" width="9" style="53" customWidth="1"/>
    <col min="14098" max="14098" width="9" style="53"/>
    <col min="14099" max="14099" width="9.5" style="53" bestFit="1" customWidth="1"/>
    <col min="14100" max="14100" width="9" style="53" customWidth="1"/>
    <col min="14101" max="14101" width="9" style="53"/>
    <col min="14102" max="14102" width="9" style="53" customWidth="1"/>
    <col min="14103" max="14108" width="9" style="53"/>
    <col min="14109" max="14109" width="26.5" style="53" customWidth="1"/>
    <col min="14110" max="14112" width="9" style="53"/>
    <col min="14113" max="14113" width="14.75" style="53" bestFit="1" customWidth="1"/>
    <col min="14114" max="14336" width="9" style="53"/>
    <col min="14337" max="14339" width="9" style="53" customWidth="1"/>
    <col min="14340" max="14340" width="10.5" style="53" customWidth="1"/>
    <col min="14341" max="14341" width="11.25" style="53" bestFit="1" customWidth="1"/>
    <col min="14342" max="14343" width="9" style="53"/>
    <col min="14344" max="14353" width="9" style="53" customWidth="1"/>
    <col min="14354" max="14354" width="9" style="53"/>
    <col min="14355" max="14355" width="9.5" style="53" bestFit="1" customWidth="1"/>
    <col min="14356" max="14356" width="9" style="53" customWidth="1"/>
    <col min="14357" max="14357" width="9" style="53"/>
    <col min="14358" max="14358" width="9" style="53" customWidth="1"/>
    <col min="14359" max="14364" width="9" style="53"/>
    <col min="14365" max="14365" width="26.5" style="53" customWidth="1"/>
    <col min="14366" max="14368" width="9" style="53"/>
    <col min="14369" max="14369" width="14.75" style="53" bestFit="1" customWidth="1"/>
    <col min="14370" max="14592" width="9" style="53"/>
    <col min="14593" max="14595" width="9" style="53" customWidth="1"/>
    <col min="14596" max="14596" width="10.5" style="53" customWidth="1"/>
    <col min="14597" max="14597" width="11.25" style="53" bestFit="1" customWidth="1"/>
    <col min="14598" max="14599" width="9" style="53"/>
    <col min="14600" max="14609" width="9" style="53" customWidth="1"/>
    <col min="14610" max="14610" width="9" style="53"/>
    <col min="14611" max="14611" width="9.5" style="53" bestFit="1" customWidth="1"/>
    <col min="14612" max="14612" width="9" style="53" customWidth="1"/>
    <col min="14613" max="14613" width="9" style="53"/>
    <col min="14614" max="14614" width="9" style="53" customWidth="1"/>
    <col min="14615" max="14620" width="9" style="53"/>
    <col min="14621" max="14621" width="26.5" style="53" customWidth="1"/>
    <col min="14622" max="14624" width="9" style="53"/>
    <col min="14625" max="14625" width="14.75" style="53" bestFit="1" customWidth="1"/>
    <col min="14626" max="14848" width="9" style="53"/>
    <col min="14849" max="14851" width="9" style="53" customWidth="1"/>
    <col min="14852" max="14852" width="10.5" style="53" customWidth="1"/>
    <col min="14853" max="14853" width="11.25" style="53" bestFit="1" customWidth="1"/>
    <col min="14854" max="14855" width="9" style="53"/>
    <col min="14856" max="14865" width="9" style="53" customWidth="1"/>
    <col min="14866" max="14866" width="9" style="53"/>
    <col min="14867" max="14867" width="9.5" style="53" bestFit="1" customWidth="1"/>
    <col min="14868" max="14868" width="9" style="53" customWidth="1"/>
    <col min="14869" max="14869" width="9" style="53"/>
    <col min="14870" max="14870" width="9" style="53" customWidth="1"/>
    <col min="14871" max="14876" width="9" style="53"/>
    <col min="14877" max="14877" width="26.5" style="53" customWidth="1"/>
    <col min="14878" max="14880" width="9" style="53"/>
    <col min="14881" max="14881" width="14.75" style="53" bestFit="1" customWidth="1"/>
    <col min="14882" max="15104" width="9" style="53"/>
    <col min="15105" max="15107" width="9" style="53" customWidth="1"/>
    <col min="15108" max="15108" width="10.5" style="53" customWidth="1"/>
    <col min="15109" max="15109" width="11.25" style="53" bestFit="1" customWidth="1"/>
    <col min="15110" max="15111" width="9" style="53"/>
    <col min="15112" max="15121" width="9" style="53" customWidth="1"/>
    <col min="15122" max="15122" width="9" style="53"/>
    <col min="15123" max="15123" width="9.5" style="53" bestFit="1" customWidth="1"/>
    <col min="15124" max="15124" width="9" style="53" customWidth="1"/>
    <col min="15125" max="15125" width="9" style="53"/>
    <col min="15126" max="15126" width="9" style="53" customWidth="1"/>
    <col min="15127" max="15132" width="9" style="53"/>
    <col min="15133" max="15133" width="26.5" style="53" customWidth="1"/>
    <col min="15134" max="15136" width="9" style="53"/>
    <col min="15137" max="15137" width="14.75" style="53" bestFit="1" customWidth="1"/>
    <col min="15138" max="15360" width="9" style="53"/>
    <col min="15361" max="15363" width="9" style="53" customWidth="1"/>
    <col min="15364" max="15364" width="10.5" style="53" customWidth="1"/>
    <col min="15365" max="15365" width="11.25" style="53" bestFit="1" customWidth="1"/>
    <col min="15366" max="15367" width="9" style="53"/>
    <col min="15368" max="15377" width="9" style="53" customWidth="1"/>
    <col min="15378" max="15378" width="9" style="53"/>
    <col min="15379" max="15379" width="9.5" style="53" bestFit="1" customWidth="1"/>
    <col min="15380" max="15380" width="9" style="53" customWidth="1"/>
    <col min="15381" max="15381" width="9" style="53"/>
    <col min="15382" max="15382" width="9" style="53" customWidth="1"/>
    <col min="15383" max="15388" width="9" style="53"/>
    <col min="15389" max="15389" width="26.5" style="53" customWidth="1"/>
    <col min="15390" max="15392" width="9" style="53"/>
    <col min="15393" max="15393" width="14.75" style="53" bestFit="1" customWidth="1"/>
    <col min="15394" max="15616" width="9" style="53"/>
    <col min="15617" max="15619" width="9" style="53" customWidth="1"/>
    <col min="15620" max="15620" width="10.5" style="53" customWidth="1"/>
    <col min="15621" max="15621" width="11.25" style="53" bestFit="1" customWidth="1"/>
    <col min="15622" max="15623" width="9" style="53"/>
    <col min="15624" max="15633" width="9" style="53" customWidth="1"/>
    <col min="15634" max="15634" width="9" style="53"/>
    <col min="15635" max="15635" width="9.5" style="53" bestFit="1" customWidth="1"/>
    <col min="15636" max="15636" width="9" style="53" customWidth="1"/>
    <col min="15637" max="15637" width="9" style="53"/>
    <col min="15638" max="15638" width="9" style="53" customWidth="1"/>
    <col min="15639" max="15644" width="9" style="53"/>
    <col min="15645" max="15645" width="26.5" style="53" customWidth="1"/>
    <col min="15646" max="15648" width="9" style="53"/>
    <col min="15649" max="15649" width="14.75" style="53" bestFit="1" customWidth="1"/>
    <col min="15650" max="15872" width="9" style="53"/>
    <col min="15873" max="15875" width="9" style="53" customWidth="1"/>
    <col min="15876" max="15876" width="10.5" style="53" customWidth="1"/>
    <col min="15877" max="15877" width="11.25" style="53" bestFit="1" customWidth="1"/>
    <col min="15878" max="15879" width="9" style="53"/>
    <col min="15880" max="15889" width="9" style="53" customWidth="1"/>
    <col min="15890" max="15890" width="9" style="53"/>
    <col min="15891" max="15891" width="9.5" style="53" bestFit="1" customWidth="1"/>
    <col min="15892" max="15892" width="9" style="53" customWidth="1"/>
    <col min="15893" max="15893" width="9" style="53"/>
    <col min="15894" max="15894" width="9" style="53" customWidth="1"/>
    <col min="15895" max="15900" width="9" style="53"/>
    <col min="15901" max="15901" width="26.5" style="53" customWidth="1"/>
    <col min="15902" max="15904" width="9" style="53"/>
    <col min="15905" max="15905" width="14.75" style="53" bestFit="1" customWidth="1"/>
    <col min="15906" max="16128" width="9" style="53"/>
    <col min="16129" max="16131" width="9" style="53" customWidth="1"/>
    <col min="16132" max="16132" width="10.5" style="53" customWidth="1"/>
    <col min="16133" max="16133" width="11.25" style="53" bestFit="1" customWidth="1"/>
    <col min="16134" max="16135" width="9" style="53"/>
    <col min="16136" max="16145" width="9" style="53" customWidth="1"/>
    <col min="16146" max="16146" width="9" style="53"/>
    <col min="16147" max="16147" width="9.5" style="53" bestFit="1" customWidth="1"/>
    <col min="16148" max="16148" width="9" style="53" customWidth="1"/>
    <col min="16149" max="16149" width="9" style="53"/>
    <col min="16150" max="16150" width="9" style="53" customWidth="1"/>
    <col min="16151" max="16156" width="9" style="53"/>
    <col min="16157" max="16157" width="26.5" style="53" customWidth="1"/>
    <col min="16158" max="16160" width="9" style="53"/>
    <col min="16161" max="16161" width="14.75" style="53" bestFit="1" customWidth="1"/>
    <col min="16162" max="16384" width="9" style="53"/>
  </cols>
  <sheetData>
    <row r="1" spans="1:53" ht="44.25" customHeight="1" x14ac:dyDescent="0.15">
      <c r="A1" s="123" t="s">
        <v>282</v>
      </c>
      <c r="B1" s="55" t="s">
        <v>1</v>
      </c>
      <c r="C1" s="55" t="s">
        <v>2</v>
      </c>
      <c r="D1" s="56" t="s">
        <v>3</v>
      </c>
      <c r="E1" s="56" t="s">
        <v>283</v>
      </c>
      <c r="F1" s="56" t="s">
        <v>5</v>
      </c>
      <c r="G1" s="56" t="s">
        <v>6</v>
      </c>
      <c r="H1" s="56" t="s">
        <v>284</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237</v>
      </c>
      <c r="C2" s="127">
        <v>2019</v>
      </c>
      <c r="D2" s="128" t="s">
        <v>238</v>
      </c>
      <c r="E2" s="127" t="s">
        <v>285</v>
      </c>
      <c r="F2" s="127" t="s">
        <v>286</v>
      </c>
      <c r="G2" s="127" t="s">
        <v>42</v>
      </c>
      <c r="H2" s="53" t="s">
        <v>163</v>
      </c>
      <c r="I2" s="53" t="s">
        <v>159</v>
      </c>
      <c r="J2" s="127" t="s">
        <v>38</v>
      </c>
      <c r="K2" s="53" t="s">
        <v>160</v>
      </c>
      <c r="L2" s="53">
        <v>1</v>
      </c>
      <c r="M2" s="53"/>
      <c r="N2" s="53">
        <v>1</v>
      </c>
      <c r="O2" s="53">
        <v>1.25</v>
      </c>
      <c r="P2" s="53">
        <v>0.4</v>
      </c>
      <c r="Q2" s="74">
        <f t="shared" ref="Q2:Q65" si="0">IF(OR(O2="",P2=""),"",AVERAGE(O2,P2))</f>
        <v>0.82499999999999996</v>
      </c>
      <c r="R2" s="53">
        <v>10.8</v>
      </c>
      <c r="S2" s="53">
        <v>103.5</v>
      </c>
      <c r="T2" s="16">
        <f t="shared" ref="T2:T65" si="1">IF(H2="","",IF(OR(H2="GREEN",H2="GK"),IF(S2&gt;=$AX$2,VLOOKUP(S2,$AX$2:$AY$15,2,1),""),IF(S2&gt;=$AZ$2,VLOOKUP(S2,$AZ$2:$BA$15,2,1),"")))</f>
        <v>33</v>
      </c>
      <c r="U2" s="53">
        <v>99</v>
      </c>
      <c r="V2" s="129">
        <f t="shared" ref="V2:V65" si="2">IF(OR(N2="",U2="",T2=""),"",U2/N2*T2)</f>
        <v>3267</v>
      </c>
      <c r="W2" s="53">
        <v>2</v>
      </c>
      <c r="X2" s="127" t="s">
        <v>39</v>
      </c>
      <c r="Y2" s="53" t="s">
        <v>84</v>
      </c>
      <c r="Z2" s="53" t="s">
        <v>90</v>
      </c>
      <c r="AA2" s="53" t="s">
        <v>69</v>
      </c>
      <c r="AB2" s="127" t="s">
        <v>241</v>
      </c>
      <c r="AC2" s="34"/>
      <c r="AE2" s="64" t="s">
        <v>35</v>
      </c>
      <c r="AG2" s="49" t="s">
        <v>285</v>
      </c>
      <c r="AH2" s="49" t="s">
        <v>286</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237</v>
      </c>
      <c r="C3" s="127">
        <v>2019</v>
      </c>
      <c r="D3" s="128" t="s">
        <v>287</v>
      </c>
      <c r="E3" s="127" t="s">
        <v>285</v>
      </c>
      <c r="F3" s="127" t="s">
        <v>286</v>
      </c>
      <c r="G3" s="127" t="s">
        <v>42</v>
      </c>
      <c r="H3" s="53" t="s">
        <v>163</v>
      </c>
      <c r="I3" s="53" t="s">
        <v>159</v>
      </c>
      <c r="J3" s="127" t="s">
        <v>38</v>
      </c>
      <c r="K3" s="53" t="s">
        <v>160</v>
      </c>
      <c r="L3" s="53">
        <v>2</v>
      </c>
      <c r="N3" s="53">
        <v>1</v>
      </c>
      <c r="O3" s="53">
        <v>0.3</v>
      </c>
      <c r="P3" s="53">
        <v>0.2</v>
      </c>
      <c r="Q3" s="74">
        <f t="shared" si="0"/>
        <v>0.25</v>
      </c>
      <c r="R3" s="53">
        <v>13.5</v>
      </c>
      <c r="S3" s="53">
        <v>99.5</v>
      </c>
      <c r="T3" s="16">
        <f t="shared" si="1"/>
        <v>33</v>
      </c>
      <c r="U3" s="53">
        <v>99</v>
      </c>
      <c r="V3" s="129">
        <f t="shared" si="2"/>
        <v>3267</v>
      </c>
      <c r="W3" s="53">
        <v>2</v>
      </c>
      <c r="X3" s="127" t="s">
        <v>39</v>
      </c>
      <c r="Y3" s="53" t="s">
        <v>84</v>
      </c>
      <c r="Z3" s="53" t="s">
        <v>90</v>
      </c>
      <c r="AA3" s="53" t="s">
        <v>69</v>
      </c>
      <c r="AB3" s="127" t="s">
        <v>241</v>
      </c>
      <c r="AC3" s="34"/>
      <c r="AE3" s="22" t="s">
        <v>41</v>
      </c>
      <c r="AG3" s="49" t="s">
        <v>288</v>
      </c>
      <c r="AH3" s="49" t="s">
        <v>289</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237</v>
      </c>
      <c r="C4" s="127">
        <v>2019</v>
      </c>
      <c r="D4" s="128" t="s">
        <v>287</v>
      </c>
      <c r="E4" s="127" t="s">
        <v>285</v>
      </c>
      <c r="F4" s="127" t="s">
        <v>286</v>
      </c>
      <c r="G4" s="127" t="s">
        <v>42</v>
      </c>
      <c r="H4" s="53" t="s">
        <v>163</v>
      </c>
      <c r="I4" s="53" t="s">
        <v>159</v>
      </c>
      <c r="J4" s="127" t="s">
        <v>38</v>
      </c>
      <c r="K4" s="53" t="s">
        <v>160</v>
      </c>
      <c r="L4" s="53">
        <v>3</v>
      </c>
      <c r="N4" s="53">
        <v>1</v>
      </c>
      <c r="O4" s="53">
        <v>0.2</v>
      </c>
      <c r="P4" s="53">
        <v>0.2</v>
      </c>
      <c r="Q4" s="74">
        <f t="shared" si="0"/>
        <v>0.2</v>
      </c>
      <c r="R4" s="53">
        <v>11.5</v>
      </c>
      <c r="S4" s="53">
        <v>98</v>
      </c>
      <c r="T4" s="16">
        <f t="shared" si="1"/>
        <v>36</v>
      </c>
      <c r="U4" s="53">
        <v>99</v>
      </c>
      <c r="V4" s="129">
        <f t="shared" si="2"/>
        <v>3564</v>
      </c>
      <c r="W4" s="53">
        <v>2</v>
      </c>
      <c r="X4" s="127" t="s">
        <v>39</v>
      </c>
      <c r="Y4" s="53" t="s">
        <v>84</v>
      </c>
      <c r="Z4" s="53" t="s">
        <v>90</v>
      </c>
      <c r="AA4" s="53" t="s">
        <v>69</v>
      </c>
      <c r="AB4" s="127" t="s">
        <v>241</v>
      </c>
      <c r="AC4" s="34"/>
      <c r="AE4" s="22" t="s">
        <v>34</v>
      </c>
      <c r="AG4" s="49" t="s">
        <v>290</v>
      </c>
      <c r="AH4" s="49" t="s">
        <v>291</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237</v>
      </c>
      <c r="C5" s="127">
        <v>2019</v>
      </c>
      <c r="D5" s="128" t="s">
        <v>287</v>
      </c>
      <c r="E5" s="127" t="s">
        <v>285</v>
      </c>
      <c r="F5" s="127" t="s">
        <v>286</v>
      </c>
      <c r="G5" s="127" t="s">
        <v>42</v>
      </c>
      <c r="H5" s="53" t="s">
        <v>127</v>
      </c>
      <c r="I5" s="53" t="s">
        <v>159</v>
      </c>
      <c r="J5" s="127" t="s">
        <v>80</v>
      </c>
      <c r="K5" s="53" t="s">
        <v>59</v>
      </c>
      <c r="L5" s="53">
        <v>1</v>
      </c>
      <c r="N5" s="53">
        <v>2</v>
      </c>
      <c r="O5" s="53">
        <v>1.05</v>
      </c>
      <c r="P5" s="53">
        <v>1.2</v>
      </c>
      <c r="Q5" s="74">
        <f t="shared" si="0"/>
        <v>1.125</v>
      </c>
      <c r="R5" s="53">
        <v>15.7</v>
      </c>
      <c r="S5" s="53">
        <v>80</v>
      </c>
      <c r="T5" s="16">
        <f t="shared" si="1"/>
        <v>39</v>
      </c>
      <c r="U5" s="53">
        <v>168</v>
      </c>
      <c r="V5" s="129">
        <f t="shared" si="2"/>
        <v>3276</v>
      </c>
      <c r="W5" s="53">
        <v>2</v>
      </c>
      <c r="X5" s="127" t="s">
        <v>39</v>
      </c>
      <c r="Y5" s="53" t="s">
        <v>84</v>
      </c>
      <c r="Z5" s="53" t="s">
        <v>90</v>
      </c>
      <c r="AA5" s="53" t="s">
        <v>69</v>
      </c>
      <c r="AB5" s="127" t="s">
        <v>241</v>
      </c>
      <c r="AC5" s="34"/>
      <c r="AE5" s="22" t="s">
        <v>51</v>
      </c>
      <c r="AG5" s="49" t="s">
        <v>292</v>
      </c>
      <c r="AH5" s="49" t="s">
        <v>293</v>
      </c>
      <c r="AJ5" s="27"/>
      <c r="AL5" s="73" t="s">
        <v>66</v>
      </c>
      <c r="AN5" s="73" t="s">
        <v>52</v>
      </c>
      <c r="AP5" s="23" t="s">
        <v>119</v>
      </c>
      <c r="AR5" s="23" t="s">
        <v>54</v>
      </c>
      <c r="AV5" s="23" t="s">
        <v>55</v>
      </c>
      <c r="AX5" s="24">
        <v>84</v>
      </c>
      <c r="AY5" s="25">
        <v>39</v>
      </c>
      <c r="AZ5" s="25">
        <v>84</v>
      </c>
      <c r="BA5" s="26">
        <v>36</v>
      </c>
    </row>
    <row r="6" spans="1:53" x14ac:dyDescent="0.15">
      <c r="A6" s="127" t="s">
        <v>61</v>
      </c>
      <c r="B6" s="127" t="s">
        <v>237</v>
      </c>
      <c r="C6" s="127">
        <v>2019</v>
      </c>
      <c r="D6" s="128" t="s">
        <v>287</v>
      </c>
      <c r="E6" s="127" t="s">
        <v>285</v>
      </c>
      <c r="F6" s="127" t="s">
        <v>286</v>
      </c>
      <c r="G6" s="127" t="s">
        <v>42</v>
      </c>
      <c r="H6" s="53" t="s">
        <v>127</v>
      </c>
      <c r="I6" s="53" t="s">
        <v>159</v>
      </c>
      <c r="J6" s="127" t="s">
        <v>80</v>
      </c>
      <c r="K6" s="53" t="s">
        <v>59</v>
      </c>
      <c r="L6" s="53">
        <v>2</v>
      </c>
      <c r="N6" s="53">
        <v>2</v>
      </c>
      <c r="O6" s="53">
        <v>1.4</v>
      </c>
      <c r="P6" s="53">
        <v>1.25</v>
      </c>
      <c r="Q6" s="74">
        <f t="shared" si="0"/>
        <v>1.325</v>
      </c>
      <c r="R6" s="53">
        <v>10.7</v>
      </c>
      <c r="S6" s="53">
        <v>79</v>
      </c>
      <c r="T6" s="16">
        <f t="shared" si="1"/>
        <v>39</v>
      </c>
      <c r="U6" s="53">
        <v>168</v>
      </c>
      <c r="V6" s="129">
        <f t="shared" si="2"/>
        <v>3276</v>
      </c>
      <c r="W6" s="53">
        <v>2</v>
      </c>
      <c r="X6" s="127" t="s">
        <v>39</v>
      </c>
      <c r="Y6" s="53" t="s">
        <v>84</v>
      </c>
      <c r="Z6" s="53" t="s">
        <v>90</v>
      </c>
      <c r="AA6" s="53" t="s">
        <v>69</v>
      </c>
      <c r="AB6" s="127" t="s">
        <v>241</v>
      </c>
      <c r="AC6" s="34"/>
      <c r="AE6" s="22" t="s">
        <v>56</v>
      </c>
      <c r="AG6" s="49" t="s">
        <v>294</v>
      </c>
      <c r="AH6" s="49" t="s">
        <v>295</v>
      </c>
      <c r="AJ6" s="27"/>
      <c r="AL6" s="73" t="s">
        <v>99</v>
      </c>
      <c r="AN6" s="73" t="s">
        <v>57</v>
      </c>
      <c r="AP6" s="23" t="s">
        <v>53</v>
      </c>
      <c r="AR6" s="23" t="s">
        <v>59</v>
      </c>
      <c r="AV6" s="23" t="s">
        <v>60</v>
      </c>
      <c r="AX6" s="24">
        <v>97</v>
      </c>
      <c r="AY6" s="25">
        <v>36</v>
      </c>
      <c r="AZ6" s="25">
        <v>99</v>
      </c>
      <c r="BA6" s="26">
        <v>33</v>
      </c>
    </row>
    <row r="7" spans="1:53" x14ac:dyDescent="0.15">
      <c r="A7" s="127" t="s">
        <v>61</v>
      </c>
      <c r="B7" s="127" t="s">
        <v>237</v>
      </c>
      <c r="C7" s="127">
        <v>2019</v>
      </c>
      <c r="D7" s="128" t="s">
        <v>287</v>
      </c>
      <c r="E7" s="127" t="s">
        <v>285</v>
      </c>
      <c r="F7" s="127" t="s">
        <v>286</v>
      </c>
      <c r="G7" s="127" t="s">
        <v>42</v>
      </c>
      <c r="H7" s="53" t="s">
        <v>127</v>
      </c>
      <c r="I7" s="53" t="s">
        <v>159</v>
      </c>
      <c r="J7" s="127" t="s">
        <v>80</v>
      </c>
      <c r="K7" s="53" t="s">
        <v>59</v>
      </c>
      <c r="L7" s="53">
        <v>3</v>
      </c>
      <c r="N7" s="53">
        <v>2</v>
      </c>
      <c r="O7" s="53">
        <v>1.25</v>
      </c>
      <c r="P7" s="53">
        <v>1.25</v>
      </c>
      <c r="Q7" s="74">
        <f t="shared" si="0"/>
        <v>1.25</v>
      </c>
      <c r="R7" s="53">
        <v>10.7</v>
      </c>
      <c r="S7" s="53">
        <v>78</v>
      </c>
      <c r="T7" s="16">
        <f t="shared" si="1"/>
        <v>39</v>
      </c>
      <c r="U7" s="53">
        <v>168</v>
      </c>
      <c r="V7" s="129">
        <f t="shared" si="2"/>
        <v>3276</v>
      </c>
      <c r="W7" s="53">
        <v>2</v>
      </c>
      <c r="X7" s="127" t="s">
        <v>39</v>
      </c>
      <c r="Y7" s="53" t="s">
        <v>84</v>
      </c>
      <c r="Z7" s="53" t="s">
        <v>90</v>
      </c>
      <c r="AA7" s="53" t="s">
        <v>69</v>
      </c>
      <c r="AB7" s="127" t="s">
        <v>241</v>
      </c>
      <c r="AC7" s="34"/>
      <c r="AE7" s="22" t="s">
        <v>61</v>
      </c>
      <c r="AG7" s="49" t="s">
        <v>296</v>
      </c>
      <c r="AH7" s="49" t="s">
        <v>297</v>
      </c>
      <c r="AJ7" s="27"/>
      <c r="AL7" s="34" t="s">
        <v>109</v>
      </c>
      <c r="AN7" s="73"/>
      <c r="AP7" s="23" t="s">
        <v>58</v>
      </c>
      <c r="AR7" s="23" t="s">
        <v>122</v>
      </c>
      <c r="AV7" s="23" t="s">
        <v>64</v>
      </c>
      <c r="AX7" s="24">
        <v>109</v>
      </c>
      <c r="AY7" s="25">
        <v>33</v>
      </c>
      <c r="AZ7" s="25">
        <v>113</v>
      </c>
      <c r="BA7" s="26">
        <v>30</v>
      </c>
    </row>
    <row r="8" spans="1:53" x14ac:dyDescent="0.15">
      <c r="A8" s="127" t="s">
        <v>61</v>
      </c>
      <c r="B8" s="127" t="s">
        <v>237</v>
      </c>
      <c r="C8" s="127">
        <v>2019</v>
      </c>
      <c r="D8" s="128" t="s">
        <v>287</v>
      </c>
      <c r="E8" s="127" t="s">
        <v>288</v>
      </c>
      <c r="F8" s="127" t="s">
        <v>289</v>
      </c>
      <c r="G8" s="127" t="s">
        <v>42</v>
      </c>
      <c r="H8" s="53" t="s">
        <v>163</v>
      </c>
      <c r="I8" s="53" t="s">
        <v>159</v>
      </c>
      <c r="J8" s="127" t="s">
        <v>38</v>
      </c>
      <c r="K8" s="53" t="s">
        <v>160</v>
      </c>
      <c r="L8" s="53">
        <v>1</v>
      </c>
      <c r="N8" s="53">
        <v>1</v>
      </c>
      <c r="O8" s="53">
        <v>0.5</v>
      </c>
      <c r="P8" s="53">
        <v>0.6</v>
      </c>
      <c r="Q8" s="74">
        <f t="shared" si="0"/>
        <v>0.55000000000000004</v>
      </c>
      <c r="R8" s="53">
        <v>15.1</v>
      </c>
      <c r="S8" s="53">
        <v>118</v>
      </c>
      <c r="T8" s="16">
        <f t="shared" si="1"/>
        <v>30</v>
      </c>
      <c r="U8" s="53">
        <v>138</v>
      </c>
      <c r="V8" s="129">
        <f t="shared" si="2"/>
        <v>4140</v>
      </c>
      <c r="W8" s="53">
        <v>2</v>
      </c>
      <c r="X8" s="127" t="s">
        <v>46</v>
      </c>
      <c r="Y8" s="53" t="s">
        <v>84</v>
      </c>
      <c r="Z8" s="53" t="s">
        <v>90</v>
      </c>
      <c r="AA8" s="53" t="s">
        <v>69</v>
      </c>
      <c r="AB8" s="127" t="s">
        <v>241</v>
      </c>
      <c r="AC8" s="34"/>
      <c r="AE8" s="22" t="s">
        <v>59</v>
      </c>
      <c r="AG8" s="49" t="s">
        <v>298</v>
      </c>
      <c r="AH8" s="49" t="s">
        <v>299</v>
      </c>
      <c r="AJ8" s="28"/>
      <c r="AL8" s="34" t="s">
        <v>134</v>
      </c>
      <c r="AN8" s="73"/>
      <c r="AP8" s="23" t="s">
        <v>62</v>
      </c>
      <c r="AR8" s="23" t="s">
        <v>81</v>
      </c>
      <c r="AV8" s="23" t="s">
        <v>97</v>
      </c>
      <c r="AX8" s="24">
        <v>119</v>
      </c>
      <c r="AY8" s="25">
        <v>30</v>
      </c>
      <c r="AZ8" s="25">
        <v>121</v>
      </c>
      <c r="BA8" s="26">
        <v>27</v>
      </c>
    </row>
    <row r="9" spans="1:53" x14ac:dyDescent="0.15">
      <c r="A9" s="127" t="s">
        <v>61</v>
      </c>
      <c r="B9" s="127" t="s">
        <v>237</v>
      </c>
      <c r="C9" s="127">
        <v>2019</v>
      </c>
      <c r="D9" s="128" t="s">
        <v>287</v>
      </c>
      <c r="E9" s="127" t="s">
        <v>288</v>
      </c>
      <c r="F9" s="127" t="s">
        <v>289</v>
      </c>
      <c r="G9" s="127" t="s">
        <v>42</v>
      </c>
      <c r="H9" s="53" t="s">
        <v>163</v>
      </c>
      <c r="I9" s="53" t="s">
        <v>159</v>
      </c>
      <c r="J9" s="127" t="s">
        <v>38</v>
      </c>
      <c r="K9" s="53" t="s">
        <v>160</v>
      </c>
      <c r="L9" s="53">
        <v>2</v>
      </c>
      <c r="N9" s="53">
        <v>1</v>
      </c>
      <c r="O9" s="53">
        <v>0.3</v>
      </c>
      <c r="P9" s="53">
        <v>0.2</v>
      </c>
      <c r="Q9" s="74">
        <f t="shared" si="0"/>
        <v>0.25</v>
      </c>
      <c r="R9" s="34">
        <v>15.3</v>
      </c>
      <c r="S9" s="53">
        <v>118.5</v>
      </c>
      <c r="T9" s="16">
        <f t="shared" si="1"/>
        <v>30</v>
      </c>
      <c r="U9" s="53">
        <v>138</v>
      </c>
      <c r="V9" s="129">
        <f t="shared" si="2"/>
        <v>4140</v>
      </c>
      <c r="W9" s="53">
        <v>2</v>
      </c>
      <c r="X9" s="127" t="s">
        <v>46</v>
      </c>
      <c r="Y9" s="53" t="s">
        <v>84</v>
      </c>
      <c r="Z9" s="53" t="s">
        <v>90</v>
      </c>
      <c r="AA9" s="53" t="s">
        <v>69</v>
      </c>
      <c r="AB9" s="127" t="s">
        <v>241</v>
      </c>
      <c r="AC9" s="34"/>
      <c r="AE9" s="22" t="s">
        <v>98</v>
      </c>
      <c r="AG9" s="49" t="s">
        <v>133</v>
      </c>
      <c r="AH9" s="49" t="s">
        <v>300</v>
      </c>
      <c r="AL9" s="73"/>
      <c r="AN9" s="73"/>
      <c r="AP9" s="23" t="s">
        <v>95</v>
      </c>
      <c r="AR9" s="23" t="s">
        <v>89</v>
      </c>
      <c r="AV9" s="23" t="s">
        <v>102</v>
      </c>
      <c r="AX9" s="24">
        <v>128</v>
      </c>
      <c r="AY9" s="25">
        <v>27</v>
      </c>
      <c r="AZ9" s="25">
        <v>129</v>
      </c>
      <c r="BA9" s="26">
        <v>25</v>
      </c>
    </row>
    <row r="10" spans="1:53" x14ac:dyDescent="0.15">
      <c r="A10" s="127" t="s">
        <v>61</v>
      </c>
      <c r="B10" s="127" t="s">
        <v>237</v>
      </c>
      <c r="C10" s="127">
        <v>2019</v>
      </c>
      <c r="D10" s="128" t="s">
        <v>287</v>
      </c>
      <c r="E10" s="127" t="s">
        <v>288</v>
      </c>
      <c r="F10" s="127" t="s">
        <v>289</v>
      </c>
      <c r="G10" s="127" t="s">
        <v>42</v>
      </c>
      <c r="H10" s="53" t="s">
        <v>163</v>
      </c>
      <c r="I10" s="53" t="s">
        <v>159</v>
      </c>
      <c r="J10" s="127" t="s">
        <v>38</v>
      </c>
      <c r="K10" s="53" t="s">
        <v>160</v>
      </c>
      <c r="L10" s="53">
        <v>3</v>
      </c>
      <c r="N10" s="53">
        <v>1</v>
      </c>
      <c r="O10" s="53">
        <v>0.3</v>
      </c>
      <c r="P10" s="53">
        <v>0.3</v>
      </c>
      <c r="Q10" s="74">
        <f t="shared" si="0"/>
        <v>0.3</v>
      </c>
      <c r="R10" s="53">
        <v>15.2</v>
      </c>
      <c r="S10" s="53">
        <v>125.5</v>
      </c>
      <c r="T10" s="16">
        <f t="shared" si="1"/>
        <v>27</v>
      </c>
      <c r="U10" s="53">
        <v>138</v>
      </c>
      <c r="V10" s="129">
        <f t="shared" si="2"/>
        <v>3726</v>
      </c>
      <c r="W10" s="53">
        <v>2</v>
      </c>
      <c r="X10" s="127" t="s">
        <v>46</v>
      </c>
      <c r="Y10" s="53" t="s">
        <v>84</v>
      </c>
      <c r="Z10" s="53" t="s">
        <v>90</v>
      </c>
      <c r="AA10" s="53" t="s">
        <v>69</v>
      </c>
      <c r="AB10" s="127" t="s">
        <v>241</v>
      </c>
      <c r="AC10" s="34"/>
      <c r="AE10" s="22" t="s">
        <v>103</v>
      </c>
      <c r="AG10" s="49" t="s">
        <v>301</v>
      </c>
      <c r="AH10" s="49" t="s">
        <v>302</v>
      </c>
      <c r="AL10" s="27"/>
      <c r="AP10" s="23" t="s">
        <v>100</v>
      </c>
      <c r="AR10" s="23" t="s">
        <v>123</v>
      </c>
      <c r="AV10" s="23" t="s">
        <v>106</v>
      </c>
      <c r="AX10" s="24">
        <v>138</v>
      </c>
      <c r="AY10" s="25">
        <v>25</v>
      </c>
      <c r="AZ10" s="25">
        <v>138</v>
      </c>
      <c r="BA10" s="26">
        <v>22</v>
      </c>
    </row>
    <row r="11" spans="1:53" x14ac:dyDescent="0.15">
      <c r="A11" s="127" t="s">
        <v>61</v>
      </c>
      <c r="B11" s="127" t="s">
        <v>237</v>
      </c>
      <c r="C11" s="127">
        <v>2019</v>
      </c>
      <c r="D11" s="128" t="s">
        <v>287</v>
      </c>
      <c r="E11" s="127" t="s">
        <v>290</v>
      </c>
      <c r="F11" s="127" t="s">
        <v>291</v>
      </c>
      <c r="G11" s="127" t="s">
        <v>42</v>
      </c>
      <c r="H11" s="53" t="s">
        <v>163</v>
      </c>
      <c r="I11" s="53" t="s">
        <v>159</v>
      </c>
      <c r="J11" s="127" t="s">
        <v>38</v>
      </c>
      <c r="K11" s="53" t="s">
        <v>160</v>
      </c>
      <c r="L11" s="53">
        <v>1</v>
      </c>
      <c r="N11" s="53">
        <v>1</v>
      </c>
      <c r="O11" s="53">
        <v>0.2</v>
      </c>
      <c r="P11" s="53">
        <v>0.2</v>
      </c>
      <c r="Q11" s="74">
        <f t="shared" si="0"/>
        <v>0.2</v>
      </c>
      <c r="R11" s="53">
        <v>12.9</v>
      </c>
      <c r="S11" s="53">
        <v>119</v>
      </c>
      <c r="T11" s="16">
        <f t="shared" si="1"/>
        <v>30</v>
      </c>
      <c r="U11" s="53">
        <v>105</v>
      </c>
      <c r="V11" s="129">
        <f t="shared" si="2"/>
        <v>3150</v>
      </c>
      <c r="W11" s="53">
        <v>4</v>
      </c>
      <c r="X11" s="127" t="s">
        <v>46</v>
      </c>
      <c r="Y11" s="53" t="s">
        <v>84</v>
      </c>
      <c r="Z11" s="53" t="s">
        <v>90</v>
      </c>
      <c r="AA11" s="53" t="s">
        <v>69</v>
      </c>
      <c r="AB11" s="127" t="s">
        <v>241</v>
      </c>
      <c r="AC11" s="34"/>
      <c r="AE11" s="22" t="s">
        <v>65</v>
      </c>
      <c r="AG11" s="49" t="s">
        <v>303</v>
      </c>
      <c r="AH11" s="49" t="s">
        <v>302</v>
      </c>
      <c r="AL11" s="134"/>
      <c r="AP11" s="23" t="s">
        <v>104</v>
      </c>
      <c r="AR11" s="23" t="s">
        <v>87</v>
      </c>
      <c r="AV11" s="135" t="s">
        <v>304</v>
      </c>
      <c r="AX11" s="24">
        <v>151</v>
      </c>
      <c r="AY11" s="25">
        <v>22</v>
      </c>
      <c r="AZ11" s="25">
        <v>152</v>
      </c>
      <c r="BA11" s="26">
        <v>18</v>
      </c>
    </row>
    <row r="12" spans="1:53" x14ac:dyDescent="0.15">
      <c r="A12" s="127" t="s">
        <v>61</v>
      </c>
      <c r="B12" s="127" t="s">
        <v>237</v>
      </c>
      <c r="C12" s="127">
        <v>2019</v>
      </c>
      <c r="D12" s="128" t="s">
        <v>287</v>
      </c>
      <c r="E12" s="127" t="s">
        <v>290</v>
      </c>
      <c r="F12" s="127" t="s">
        <v>291</v>
      </c>
      <c r="G12" s="127" t="s">
        <v>42</v>
      </c>
      <c r="H12" s="53" t="s">
        <v>163</v>
      </c>
      <c r="I12" s="53" t="s">
        <v>159</v>
      </c>
      <c r="J12" s="127" t="s">
        <v>38</v>
      </c>
      <c r="K12" s="53" t="s">
        <v>160</v>
      </c>
      <c r="L12" s="53">
        <v>2</v>
      </c>
      <c r="N12" s="53">
        <v>1</v>
      </c>
      <c r="O12" s="53">
        <v>0.2</v>
      </c>
      <c r="P12" s="53">
        <v>0.2</v>
      </c>
      <c r="Q12" s="74">
        <f t="shared" si="0"/>
        <v>0.2</v>
      </c>
      <c r="R12" s="34">
        <v>11.1</v>
      </c>
      <c r="S12" s="53">
        <v>121.5</v>
      </c>
      <c r="T12" s="16">
        <f t="shared" si="1"/>
        <v>27</v>
      </c>
      <c r="U12" s="53">
        <v>105</v>
      </c>
      <c r="V12" s="129">
        <f t="shared" si="2"/>
        <v>2835</v>
      </c>
      <c r="W12" s="53">
        <v>4</v>
      </c>
      <c r="X12" s="127" t="s">
        <v>46</v>
      </c>
      <c r="Y12" s="53" t="s">
        <v>84</v>
      </c>
      <c r="Z12" s="53" t="s">
        <v>90</v>
      </c>
      <c r="AA12" s="53" t="s">
        <v>69</v>
      </c>
      <c r="AB12" s="127" t="s">
        <v>241</v>
      </c>
      <c r="AC12" s="34"/>
      <c r="AE12" s="22" t="s">
        <v>70</v>
      </c>
      <c r="AG12" s="23"/>
      <c r="AH12" s="22"/>
      <c r="AL12" s="134"/>
      <c r="AP12" s="23" t="s">
        <v>67</v>
      </c>
      <c r="AR12" s="23" t="s">
        <v>124</v>
      </c>
      <c r="AV12" s="135" t="s">
        <v>305</v>
      </c>
      <c r="AX12" s="24">
        <v>180</v>
      </c>
      <c r="AY12" s="25">
        <v>18</v>
      </c>
      <c r="AZ12" s="25">
        <v>181</v>
      </c>
      <c r="BA12" s="26">
        <v>16</v>
      </c>
    </row>
    <row r="13" spans="1:53" x14ac:dyDescent="0.15">
      <c r="A13" s="127" t="s">
        <v>61</v>
      </c>
      <c r="B13" s="127" t="s">
        <v>237</v>
      </c>
      <c r="C13" s="127">
        <v>2019</v>
      </c>
      <c r="D13" s="128" t="s">
        <v>287</v>
      </c>
      <c r="E13" s="127" t="s">
        <v>290</v>
      </c>
      <c r="F13" s="127" t="s">
        <v>291</v>
      </c>
      <c r="G13" s="127" t="s">
        <v>42</v>
      </c>
      <c r="H13" s="53" t="s">
        <v>163</v>
      </c>
      <c r="I13" s="53" t="s">
        <v>159</v>
      </c>
      <c r="J13" s="127" t="s">
        <v>38</v>
      </c>
      <c r="K13" s="53" t="s">
        <v>160</v>
      </c>
      <c r="L13" s="53">
        <v>3</v>
      </c>
      <c r="N13" s="53">
        <v>1</v>
      </c>
      <c r="O13" s="53">
        <v>0.2</v>
      </c>
      <c r="P13" s="53">
        <v>0.2</v>
      </c>
      <c r="Q13" s="74">
        <f t="shared" si="0"/>
        <v>0.2</v>
      </c>
      <c r="R13" s="53">
        <v>15.3</v>
      </c>
      <c r="S13" s="53">
        <v>123</v>
      </c>
      <c r="T13" s="16">
        <f t="shared" si="1"/>
        <v>27</v>
      </c>
      <c r="U13" s="53">
        <v>105</v>
      </c>
      <c r="V13" s="129">
        <f t="shared" si="2"/>
        <v>2835</v>
      </c>
      <c r="W13" s="53">
        <v>4</v>
      </c>
      <c r="X13" s="127" t="s">
        <v>46</v>
      </c>
      <c r="Y13" s="53" t="s">
        <v>84</v>
      </c>
      <c r="Z13" s="53" t="s">
        <v>90</v>
      </c>
      <c r="AA13" s="53" t="s">
        <v>69</v>
      </c>
      <c r="AB13" s="127" t="s">
        <v>241</v>
      </c>
      <c r="AC13" s="34"/>
      <c r="AE13" s="22" t="s">
        <v>73</v>
      </c>
      <c r="AG13" s="23"/>
      <c r="AH13" s="22"/>
      <c r="AL13" s="136"/>
      <c r="AP13" s="23" t="s">
        <v>71</v>
      </c>
      <c r="AR13" s="23" t="s">
        <v>103</v>
      </c>
      <c r="AV13" s="135" t="s">
        <v>306</v>
      </c>
      <c r="AX13" s="24"/>
      <c r="AY13" s="25"/>
      <c r="AZ13" s="25"/>
      <c r="BA13" s="26"/>
    </row>
    <row r="14" spans="1:53" x14ac:dyDescent="0.15">
      <c r="A14" s="127" t="s">
        <v>61</v>
      </c>
      <c r="B14" s="127" t="s">
        <v>237</v>
      </c>
      <c r="C14" s="127">
        <v>2019</v>
      </c>
      <c r="D14" s="128" t="s">
        <v>287</v>
      </c>
      <c r="E14" s="127" t="s">
        <v>290</v>
      </c>
      <c r="F14" s="127" t="s">
        <v>291</v>
      </c>
      <c r="G14" s="127" t="s">
        <v>42</v>
      </c>
      <c r="H14" s="53" t="s">
        <v>127</v>
      </c>
      <c r="I14" s="53" t="s">
        <v>159</v>
      </c>
      <c r="J14" s="127" t="s">
        <v>230</v>
      </c>
      <c r="K14" s="53" t="s">
        <v>59</v>
      </c>
      <c r="L14" s="53">
        <v>1</v>
      </c>
      <c r="N14" s="53">
        <v>1</v>
      </c>
      <c r="O14" s="53">
        <v>1.05</v>
      </c>
      <c r="P14" s="53">
        <v>0.95</v>
      </c>
      <c r="Q14" s="74">
        <f t="shared" si="0"/>
        <v>1</v>
      </c>
      <c r="R14" s="53">
        <v>10.5</v>
      </c>
      <c r="S14" s="53">
        <v>130.5</v>
      </c>
      <c r="T14" s="16">
        <f t="shared" si="1"/>
        <v>25</v>
      </c>
      <c r="U14" s="53">
        <v>105</v>
      </c>
      <c r="V14" s="129">
        <f t="shared" si="2"/>
        <v>2625</v>
      </c>
      <c r="W14" s="53">
        <v>4</v>
      </c>
      <c r="X14" s="127" t="s">
        <v>46</v>
      </c>
      <c r="Y14" s="53" t="s">
        <v>84</v>
      </c>
      <c r="Z14" s="53" t="s">
        <v>90</v>
      </c>
      <c r="AA14" s="53" t="s">
        <v>69</v>
      </c>
      <c r="AB14" s="127" t="s">
        <v>241</v>
      </c>
      <c r="AC14" s="34"/>
      <c r="AE14" s="22" t="s">
        <v>76</v>
      </c>
      <c r="AG14" s="23"/>
      <c r="AH14" s="22"/>
      <c r="AL14" s="34"/>
      <c r="AP14" s="23" t="s">
        <v>74</v>
      </c>
      <c r="AR14" s="23" t="s">
        <v>125</v>
      </c>
      <c r="AV14" s="135" t="s">
        <v>307</v>
      </c>
      <c r="AX14" s="24"/>
      <c r="AY14" s="25"/>
      <c r="AZ14" s="25"/>
      <c r="BA14" s="26"/>
    </row>
    <row r="15" spans="1:53" x14ac:dyDescent="0.15">
      <c r="A15" s="127" t="s">
        <v>61</v>
      </c>
      <c r="B15" s="127" t="s">
        <v>237</v>
      </c>
      <c r="C15" s="127">
        <v>2019</v>
      </c>
      <c r="D15" s="128" t="s">
        <v>287</v>
      </c>
      <c r="E15" s="127" t="s">
        <v>290</v>
      </c>
      <c r="F15" s="127" t="s">
        <v>291</v>
      </c>
      <c r="G15" s="127" t="s">
        <v>42</v>
      </c>
      <c r="H15" s="53" t="s">
        <v>127</v>
      </c>
      <c r="I15" s="53" t="s">
        <v>159</v>
      </c>
      <c r="J15" s="127" t="s">
        <v>230</v>
      </c>
      <c r="K15" s="53" t="s">
        <v>59</v>
      </c>
      <c r="L15" s="53">
        <v>2</v>
      </c>
      <c r="N15" s="53">
        <v>1</v>
      </c>
      <c r="O15" s="53">
        <v>1.25</v>
      </c>
      <c r="P15" s="53">
        <v>1</v>
      </c>
      <c r="Q15" s="74">
        <f t="shared" si="0"/>
        <v>1.125</v>
      </c>
      <c r="R15" s="34">
        <v>13.5</v>
      </c>
      <c r="S15" s="53">
        <v>118.5</v>
      </c>
      <c r="T15" s="16">
        <f t="shared" si="1"/>
        <v>30</v>
      </c>
      <c r="U15" s="53">
        <v>105</v>
      </c>
      <c r="V15" s="129">
        <f t="shared" si="2"/>
        <v>3150</v>
      </c>
      <c r="W15" s="53">
        <v>4</v>
      </c>
      <c r="X15" s="127" t="s">
        <v>46</v>
      </c>
      <c r="Y15" s="53" t="s">
        <v>84</v>
      </c>
      <c r="Z15" s="53" t="s">
        <v>90</v>
      </c>
      <c r="AA15" s="53" t="s">
        <v>69</v>
      </c>
      <c r="AB15" s="127" t="s">
        <v>241</v>
      </c>
      <c r="AC15" s="34"/>
      <c r="AE15" s="22" t="s">
        <v>79</v>
      </c>
      <c r="AG15" s="23"/>
      <c r="AH15" s="23"/>
      <c r="AL15" s="34"/>
      <c r="AP15" s="23" t="s">
        <v>77</v>
      </c>
      <c r="AR15" s="23" t="s">
        <v>94</v>
      </c>
      <c r="AV15" s="135" t="s">
        <v>308</v>
      </c>
      <c r="AX15" s="31"/>
      <c r="AY15" s="32"/>
      <c r="AZ15" s="32"/>
      <c r="BA15" s="33"/>
    </row>
    <row r="16" spans="1:53" x14ac:dyDescent="0.15">
      <c r="A16" s="127" t="s">
        <v>61</v>
      </c>
      <c r="B16" s="127" t="s">
        <v>237</v>
      </c>
      <c r="C16" s="127">
        <v>2019</v>
      </c>
      <c r="D16" s="128" t="s">
        <v>287</v>
      </c>
      <c r="E16" s="127" t="s">
        <v>290</v>
      </c>
      <c r="F16" s="127" t="s">
        <v>291</v>
      </c>
      <c r="G16" s="127" t="s">
        <v>42</v>
      </c>
      <c r="H16" s="53" t="s">
        <v>127</v>
      </c>
      <c r="I16" s="53" t="s">
        <v>159</v>
      </c>
      <c r="J16" s="127" t="s">
        <v>230</v>
      </c>
      <c r="K16" s="53" t="s">
        <v>59</v>
      </c>
      <c r="L16" s="53">
        <v>3</v>
      </c>
      <c r="N16" s="53">
        <v>1</v>
      </c>
      <c r="O16" s="53">
        <v>1.1499999999999999</v>
      </c>
      <c r="P16" s="53">
        <v>1.1000000000000001</v>
      </c>
      <c r="Q16" s="74">
        <f t="shared" si="0"/>
        <v>1.125</v>
      </c>
      <c r="R16" s="53">
        <v>13.3</v>
      </c>
      <c r="S16" s="53">
        <v>121</v>
      </c>
      <c r="T16" s="16">
        <f t="shared" si="1"/>
        <v>27</v>
      </c>
      <c r="U16" s="53">
        <v>105</v>
      </c>
      <c r="V16" s="129">
        <f t="shared" si="2"/>
        <v>2835</v>
      </c>
      <c r="W16" s="53">
        <v>4</v>
      </c>
      <c r="X16" s="127" t="s">
        <v>46</v>
      </c>
      <c r="Y16" s="53" t="s">
        <v>84</v>
      </c>
      <c r="Z16" s="53" t="s">
        <v>90</v>
      </c>
      <c r="AA16" s="53" t="s">
        <v>69</v>
      </c>
      <c r="AB16" s="127" t="s">
        <v>241</v>
      </c>
      <c r="AC16" s="34"/>
      <c r="AE16" s="22" t="s">
        <v>82</v>
      </c>
      <c r="AG16" s="23"/>
      <c r="AH16" s="23"/>
      <c r="AP16" s="23" t="s">
        <v>80</v>
      </c>
      <c r="AR16" s="23" t="s">
        <v>63</v>
      </c>
      <c r="AV16" s="135" t="s">
        <v>309</v>
      </c>
    </row>
    <row r="17" spans="1:48" s="139" customFormat="1" x14ac:dyDescent="0.15">
      <c r="A17" s="137" t="s">
        <v>61</v>
      </c>
      <c r="B17" s="137" t="s">
        <v>237</v>
      </c>
      <c r="C17" s="137">
        <v>2019</v>
      </c>
      <c r="D17" s="138" t="s">
        <v>287</v>
      </c>
      <c r="E17" s="137" t="s">
        <v>290</v>
      </c>
      <c r="F17" s="137" t="s">
        <v>291</v>
      </c>
      <c r="G17" s="137" t="s">
        <v>42</v>
      </c>
      <c r="H17" s="139" t="s">
        <v>371</v>
      </c>
      <c r="I17" s="139" t="s">
        <v>159</v>
      </c>
      <c r="J17" s="137" t="s">
        <v>38</v>
      </c>
      <c r="K17" s="139" t="s">
        <v>87</v>
      </c>
      <c r="L17" s="139">
        <v>1</v>
      </c>
      <c r="N17" s="139">
        <v>4</v>
      </c>
      <c r="O17" s="139">
        <v>1.1000000000000001</v>
      </c>
      <c r="P17" s="139">
        <v>0.9</v>
      </c>
      <c r="Q17" s="140">
        <f t="shared" si="0"/>
        <v>1</v>
      </c>
      <c r="R17" s="139">
        <v>14.6</v>
      </c>
      <c r="S17" s="139">
        <v>91</v>
      </c>
      <c r="T17" s="141">
        <f t="shared" si="1"/>
        <v>36</v>
      </c>
      <c r="U17" s="139">
        <v>537</v>
      </c>
      <c r="V17" s="142">
        <f t="shared" si="2"/>
        <v>4833</v>
      </c>
      <c r="W17" s="139">
        <v>4</v>
      </c>
      <c r="X17" s="137" t="s">
        <v>46</v>
      </c>
      <c r="Y17" s="139" t="s">
        <v>84</v>
      </c>
      <c r="Z17" s="139" t="s">
        <v>90</v>
      </c>
      <c r="AA17" s="139" t="s">
        <v>69</v>
      </c>
      <c r="AB17" s="137" t="s">
        <v>241</v>
      </c>
      <c r="AC17" s="143"/>
      <c r="AE17" s="144" t="s">
        <v>85</v>
      </c>
      <c r="AP17" s="145" t="s">
        <v>110</v>
      </c>
      <c r="AR17" s="146" t="s">
        <v>96</v>
      </c>
      <c r="AV17" s="147" t="s">
        <v>259</v>
      </c>
    </row>
    <row r="18" spans="1:48" s="139" customFormat="1" x14ac:dyDescent="0.15">
      <c r="A18" s="137" t="s">
        <v>61</v>
      </c>
      <c r="B18" s="137" t="s">
        <v>237</v>
      </c>
      <c r="C18" s="137">
        <v>2019</v>
      </c>
      <c r="D18" s="138" t="s">
        <v>287</v>
      </c>
      <c r="E18" s="137" t="s">
        <v>290</v>
      </c>
      <c r="F18" s="137" t="s">
        <v>291</v>
      </c>
      <c r="G18" s="137" t="s">
        <v>42</v>
      </c>
      <c r="H18" s="139" t="s">
        <v>371</v>
      </c>
      <c r="I18" s="139" t="s">
        <v>159</v>
      </c>
      <c r="J18" s="137" t="s">
        <v>38</v>
      </c>
      <c r="K18" s="139" t="s">
        <v>87</v>
      </c>
      <c r="L18" s="139">
        <v>2</v>
      </c>
      <c r="N18" s="139">
        <v>4</v>
      </c>
      <c r="O18" s="139">
        <v>0.5</v>
      </c>
      <c r="P18" s="139">
        <v>0.5</v>
      </c>
      <c r="Q18" s="140">
        <f t="shared" si="0"/>
        <v>0.5</v>
      </c>
      <c r="R18" s="143">
        <v>10.9</v>
      </c>
      <c r="S18" s="139">
        <v>83</v>
      </c>
      <c r="T18" s="141">
        <f t="shared" si="1"/>
        <v>39</v>
      </c>
      <c r="U18" s="139">
        <v>537</v>
      </c>
      <c r="V18" s="142">
        <f t="shared" si="2"/>
        <v>5235.75</v>
      </c>
      <c r="W18" s="139">
        <v>4</v>
      </c>
      <c r="X18" s="137" t="s">
        <v>46</v>
      </c>
      <c r="Y18" s="139" t="s">
        <v>84</v>
      </c>
      <c r="Z18" s="139" t="s">
        <v>90</v>
      </c>
      <c r="AA18" s="139" t="s">
        <v>69</v>
      </c>
      <c r="AB18" s="137" t="s">
        <v>241</v>
      </c>
      <c r="AC18" s="143"/>
      <c r="AE18" s="144" t="s">
        <v>87</v>
      </c>
      <c r="AP18" s="145" t="s">
        <v>111</v>
      </c>
      <c r="AR18" s="146" t="s">
        <v>101</v>
      </c>
      <c r="AV18" s="147" t="s">
        <v>135</v>
      </c>
    </row>
    <row r="19" spans="1:48" s="139" customFormat="1" x14ac:dyDescent="0.15">
      <c r="A19" s="137" t="s">
        <v>61</v>
      </c>
      <c r="B19" s="137" t="s">
        <v>237</v>
      </c>
      <c r="C19" s="137">
        <v>2019</v>
      </c>
      <c r="D19" s="138" t="s">
        <v>287</v>
      </c>
      <c r="E19" s="137" t="s">
        <v>290</v>
      </c>
      <c r="F19" s="137" t="s">
        <v>291</v>
      </c>
      <c r="G19" s="137" t="s">
        <v>42</v>
      </c>
      <c r="H19" s="139" t="s">
        <v>371</v>
      </c>
      <c r="I19" s="139" t="s">
        <v>159</v>
      </c>
      <c r="J19" s="137" t="s">
        <v>38</v>
      </c>
      <c r="K19" s="139" t="s">
        <v>87</v>
      </c>
      <c r="L19" s="139">
        <v>3</v>
      </c>
      <c r="N19" s="139">
        <v>4</v>
      </c>
      <c r="O19" s="143">
        <v>0.5</v>
      </c>
      <c r="P19" s="139">
        <v>0.45</v>
      </c>
      <c r="Q19" s="140">
        <f t="shared" si="0"/>
        <v>0.47499999999999998</v>
      </c>
      <c r="R19" s="139">
        <v>13.6</v>
      </c>
      <c r="S19" s="139">
        <v>87.5</v>
      </c>
      <c r="T19" s="141">
        <f t="shared" si="1"/>
        <v>36</v>
      </c>
      <c r="U19" s="139">
        <v>537</v>
      </c>
      <c r="V19" s="142">
        <f t="shared" si="2"/>
        <v>4833</v>
      </c>
      <c r="W19" s="139">
        <v>4</v>
      </c>
      <c r="X19" s="137" t="s">
        <v>46</v>
      </c>
      <c r="Y19" s="139" t="s">
        <v>84</v>
      </c>
      <c r="Z19" s="139" t="s">
        <v>90</v>
      </c>
      <c r="AA19" s="139" t="s">
        <v>69</v>
      </c>
      <c r="AB19" s="137" t="s">
        <v>241</v>
      </c>
      <c r="AC19" s="143"/>
      <c r="AE19" s="148" t="s">
        <v>89</v>
      </c>
      <c r="AP19" s="145" t="s">
        <v>112</v>
      </c>
      <c r="AR19" s="146" t="s">
        <v>126</v>
      </c>
      <c r="AV19" s="147" t="s">
        <v>310</v>
      </c>
    </row>
    <row r="20" spans="1:48" x14ac:dyDescent="0.15">
      <c r="A20" s="127" t="s">
        <v>61</v>
      </c>
      <c r="B20" s="127" t="s">
        <v>237</v>
      </c>
      <c r="C20" s="127">
        <v>2019</v>
      </c>
      <c r="D20" s="128" t="s">
        <v>287</v>
      </c>
      <c r="E20" s="127" t="s">
        <v>292</v>
      </c>
      <c r="F20" s="127" t="s">
        <v>293</v>
      </c>
      <c r="G20" s="127" t="s">
        <v>42</v>
      </c>
      <c r="H20" s="53" t="s">
        <v>163</v>
      </c>
      <c r="I20" s="53" t="s">
        <v>159</v>
      </c>
      <c r="J20" s="127" t="s">
        <v>38</v>
      </c>
      <c r="K20" s="53" t="s">
        <v>160</v>
      </c>
      <c r="L20" s="53">
        <v>1</v>
      </c>
      <c r="N20" s="53">
        <v>1</v>
      </c>
      <c r="O20" s="53">
        <v>1.25</v>
      </c>
      <c r="P20" s="53">
        <v>1.2</v>
      </c>
      <c r="Q20" s="74">
        <f t="shared" si="0"/>
        <v>1.2250000000000001</v>
      </c>
      <c r="R20" s="53">
        <v>10.3</v>
      </c>
      <c r="S20" s="53">
        <v>120</v>
      </c>
      <c r="T20" s="16">
        <f t="shared" si="1"/>
        <v>30</v>
      </c>
      <c r="U20" s="53">
        <v>95</v>
      </c>
      <c r="V20" s="129">
        <f t="shared" si="2"/>
        <v>2850</v>
      </c>
      <c r="W20" s="53">
        <v>3</v>
      </c>
      <c r="X20" s="127" t="s">
        <v>46</v>
      </c>
      <c r="Y20" s="53" t="s">
        <v>84</v>
      </c>
      <c r="Z20" s="53" t="s">
        <v>69</v>
      </c>
      <c r="AA20" s="53" t="s">
        <v>90</v>
      </c>
      <c r="AB20" s="127" t="s">
        <v>241</v>
      </c>
      <c r="AC20" s="34"/>
      <c r="AE20" s="22"/>
      <c r="AP20" s="27" t="s">
        <v>113</v>
      </c>
      <c r="AR20" s="23" t="s">
        <v>105</v>
      </c>
      <c r="AV20" s="135" t="s">
        <v>311</v>
      </c>
    </row>
    <row r="21" spans="1:48" x14ac:dyDescent="0.15">
      <c r="A21" s="127" t="s">
        <v>61</v>
      </c>
      <c r="B21" s="127" t="s">
        <v>237</v>
      </c>
      <c r="C21" s="127">
        <v>2019</v>
      </c>
      <c r="D21" s="128" t="s">
        <v>287</v>
      </c>
      <c r="E21" s="127" t="s">
        <v>292</v>
      </c>
      <c r="F21" s="127" t="s">
        <v>293</v>
      </c>
      <c r="G21" s="127" t="s">
        <v>42</v>
      </c>
      <c r="H21" s="53" t="s">
        <v>163</v>
      </c>
      <c r="I21" s="53" t="s">
        <v>159</v>
      </c>
      <c r="J21" s="127" t="s">
        <v>38</v>
      </c>
      <c r="K21" s="53" t="s">
        <v>160</v>
      </c>
      <c r="L21" s="53">
        <v>2</v>
      </c>
      <c r="N21" s="53">
        <v>1</v>
      </c>
      <c r="O21" s="53">
        <v>1.75</v>
      </c>
      <c r="P21" s="53">
        <v>1.6</v>
      </c>
      <c r="Q21" s="74">
        <f t="shared" si="0"/>
        <v>1.675</v>
      </c>
      <c r="R21" s="53">
        <v>13.5</v>
      </c>
      <c r="S21" s="53">
        <v>126.5</v>
      </c>
      <c r="T21" s="16">
        <f t="shared" si="1"/>
        <v>27</v>
      </c>
      <c r="U21" s="53">
        <v>95</v>
      </c>
      <c r="V21" s="129">
        <f t="shared" si="2"/>
        <v>2565</v>
      </c>
      <c r="W21" s="53">
        <v>3</v>
      </c>
      <c r="X21" s="127" t="s">
        <v>46</v>
      </c>
      <c r="Y21" s="53" t="s">
        <v>84</v>
      </c>
      <c r="Z21" s="53" t="s">
        <v>69</v>
      </c>
      <c r="AA21" s="53" t="s">
        <v>90</v>
      </c>
      <c r="AB21" s="127" t="s">
        <v>241</v>
      </c>
      <c r="AC21" s="34"/>
      <c r="AE21" s="22"/>
      <c r="AP21" s="27" t="s">
        <v>114</v>
      </c>
      <c r="AR21" s="23" t="s">
        <v>68</v>
      </c>
      <c r="AV21" s="135" t="s">
        <v>312</v>
      </c>
    </row>
    <row r="22" spans="1:48" x14ac:dyDescent="0.15">
      <c r="A22" s="127" t="s">
        <v>61</v>
      </c>
      <c r="B22" s="127" t="s">
        <v>237</v>
      </c>
      <c r="C22" s="127">
        <v>2019</v>
      </c>
      <c r="D22" s="128" t="s">
        <v>287</v>
      </c>
      <c r="E22" s="127" t="s">
        <v>292</v>
      </c>
      <c r="F22" s="127" t="s">
        <v>293</v>
      </c>
      <c r="G22" s="127" t="s">
        <v>42</v>
      </c>
      <c r="H22" s="53" t="s">
        <v>163</v>
      </c>
      <c r="I22" s="53" t="s">
        <v>159</v>
      </c>
      <c r="J22" s="127" t="s">
        <v>38</v>
      </c>
      <c r="K22" s="53" t="s">
        <v>160</v>
      </c>
      <c r="L22" s="53">
        <v>3</v>
      </c>
      <c r="N22" s="53">
        <v>1</v>
      </c>
      <c r="O22" s="53">
        <v>1.4</v>
      </c>
      <c r="P22" s="53">
        <v>1.4</v>
      </c>
      <c r="Q22" s="74">
        <f t="shared" si="0"/>
        <v>1.4</v>
      </c>
      <c r="R22" s="53">
        <v>13.5</v>
      </c>
      <c r="S22" s="53">
        <v>126.5</v>
      </c>
      <c r="T22" s="16">
        <f t="shared" si="1"/>
        <v>27</v>
      </c>
      <c r="U22" s="53">
        <v>95</v>
      </c>
      <c r="V22" s="129">
        <f t="shared" si="2"/>
        <v>2565</v>
      </c>
      <c r="W22" s="53">
        <v>3</v>
      </c>
      <c r="X22" s="127" t="s">
        <v>46</v>
      </c>
      <c r="Y22" s="53" t="s">
        <v>84</v>
      </c>
      <c r="Z22" s="53" t="s">
        <v>69</v>
      </c>
      <c r="AA22" s="53" t="s">
        <v>90</v>
      </c>
      <c r="AB22" s="127" t="s">
        <v>241</v>
      </c>
      <c r="AC22" s="34"/>
      <c r="AE22" s="35"/>
      <c r="AP22" s="27" t="s">
        <v>115</v>
      </c>
      <c r="AR22" s="23" t="s">
        <v>83</v>
      </c>
      <c r="AV22" s="23"/>
    </row>
    <row r="23" spans="1:48" x14ac:dyDescent="0.15">
      <c r="A23" s="127" t="s">
        <v>61</v>
      </c>
      <c r="B23" s="127" t="s">
        <v>237</v>
      </c>
      <c r="C23" s="127">
        <v>2019</v>
      </c>
      <c r="D23" s="128" t="s">
        <v>287</v>
      </c>
      <c r="E23" s="127" t="s">
        <v>292</v>
      </c>
      <c r="F23" s="127" t="s">
        <v>293</v>
      </c>
      <c r="G23" s="127" t="s">
        <v>42</v>
      </c>
      <c r="H23" s="53" t="s">
        <v>163</v>
      </c>
      <c r="I23" s="53" t="s">
        <v>197</v>
      </c>
      <c r="J23" s="127" t="s">
        <v>38</v>
      </c>
      <c r="K23" s="53" t="s">
        <v>160</v>
      </c>
      <c r="L23" s="53">
        <v>1</v>
      </c>
      <c r="N23" s="53">
        <v>5</v>
      </c>
      <c r="O23" s="53">
        <v>1.6</v>
      </c>
      <c r="P23" s="53">
        <v>1.1000000000000001</v>
      </c>
      <c r="Q23" s="74">
        <f t="shared" si="0"/>
        <v>1.35</v>
      </c>
      <c r="R23" s="53">
        <v>13.7</v>
      </c>
      <c r="S23" s="53">
        <v>81</v>
      </c>
      <c r="T23" s="16">
        <f t="shared" si="1"/>
        <v>39</v>
      </c>
      <c r="U23" s="53">
        <v>95</v>
      </c>
      <c r="V23" s="129">
        <f t="shared" si="2"/>
        <v>741</v>
      </c>
      <c r="W23" s="53">
        <v>3</v>
      </c>
      <c r="X23" s="127" t="s">
        <v>46</v>
      </c>
      <c r="Y23" s="53" t="s">
        <v>84</v>
      </c>
      <c r="Z23" s="53" t="s">
        <v>69</v>
      </c>
      <c r="AA23" s="53" t="s">
        <v>90</v>
      </c>
      <c r="AB23" s="127" t="s">
        <v>241</v>
      </c>
      <c r="AC23" s="34"/>
      <c r="AE23" s="22"/>
      <c r="AP23" s="27" t="s">
        <v>137</v>
      </c>
      <c r="AR23" s="23" t="s">
        <v>61</v>
      </c>
    </row>
    <row r="24" spans="1:48" x14ac:dyDescent="0.15">
      <c r="A24" s="127" t="s">
        <v>61</v>
      </c>
      <c r="B24" s="127" t="s">
        <v>237</v>
      </c>
      <c r="C24" s="127">
        <v>2019</v>
      </c>
      <c r="D24" s="128" t="s">
        <v>287</v>
      </c>
      <c r="E24" s="127" t="s">
        <v>292</v>
      </c>
      <c r="F24" s="127" t="s">
        <v>293</v>
      </c>
      <c r="G24" s="127" t="s">
        <v>42</v>
      </c>
      <c r="H24" s="53" t="s">
        <v>163</v>
      </c>
      <c r="I24" s="53" t="s">
        <v>197</v>
      </c>
      <c r="J24" s="127" t="s">
        <v>38</v>
      </c>
      <c r="K24" s="53" t="s">
        <v>160</v>
      </c>
      <c r="L24" s="53">
        <v>2</v>
      </c>
      <c r="N24" s="53">
        <v>5</v>
      </c>
      <c r="O24" s="53">
        <v>1</v>
      </c>
      <c r="P24" s="53">
        <v>1.2</v>
      </c>
      <c r="Q24" s="74">
        <f t="shared" si="0"/>
        <v>1.1000000000000001</v>
      </c>
      <c r="R24" s="53">
        <v>13.4</v>
      </c>
      <c r="S24" s="53">
        <v>76</v>
      </c>
      <c r="T24" s="16">
        <f t="shared" si="1"/>
        <v>39</v>
      </c>
      <c r="U24" s="53">
        <v>95</v>
      </c>
      <c r="V24" s="129">
        <f t="shared" si="2"/>
        <v>741</v>
      </c>
      <c r="W24" s="53">
        <v>3</v>
      </c>
      <c r="X24" s="127" t="s">
        <v>46</v>
      </c>
      <c r="Y24" s="53" t="s">
        <v>84</v>
      </c>
      <c r="Z24" s="53" t="s">
        <v>69</v>
      </c>
      <c r="AA24" s="53" t="s">
        <v>90</v>
      </c>
      <c r="AB24" s="127" t="s">
        <v>241</v>
      </c>
      <c r="AC24" s="34"/>
      <c r="AE24" s="22"/>
      <c r="AP24" s="27" t="s">
        <v>138</v>
      </c>
      <c r="AR24" s="23" t="s">
        <v>91</v>
      </c>
    </row>
    <row r="25" spans="1:48" x14ac:dyDescent="0.15">
      <c r="A25" s="127" t="s">
        <v>61</v>
      </c>
      <c r="B25" s="127" t="s">
        <v>237</v>
      </c>
      <c r="C25" s="127">
        <v>2019</v>
      </c>
      <c r="D25" s="128" t="s">
        <v>287</v>
      </c>
      <c r="E25" s="127" t="s">
        <v>292</v>
      </c>
      <c r="F25" s="127" t="s">
        <v>293</v>
      </c>
      <c r="G25" s="127" t="s">
        <v>42</v>
      </c>
      <c r="H25" s="53" t="s">
        <v>163</v>
      </c>
      <c r="I25" s="53" t="s">
        <v>197</v>
      </c>
      <c r="J25" s="127" t="s">
        <v>38</v>
      </c>
      <c r="K25" s="53" t="s">
        <v>160</v>
      </c>
      <c r="L25" s="53">
        <v>3</v>
      </c>
      <c r="N25" s="53">
        <v>5</v>
      </c>
      <c r="O25" s="34">
        <v>1.1000000000000001</v>
      </c>
      <c r="P25" s="53">
        <v>1.25</v>
      </c>
      <c r="Q25" s="74">
        <f t="shared" si="0"/>
        <v>1.175</v>
      </c>
      <c r="R25" s="53">
        <v>14.9</v>
      </c>
      <c r="S25" s="53">
        <v>78.5</v>
      </c>
      <c r="T25" s="16">
        <f t="shared" si="1"/>
        <v>39</v>
      </c>
      <c r="U25" s="53">
        <v>95</v>
      </c>
      <c r="V25" s="129">
        <f t="shared" si="2"/>
        <v>741</v>
      </c>
      <c r="W25" s="53">
        <v>3</v>
      </c>
      <c r="X25" s="127" t="s">
        <v>46</v>
      </c>
      <c r="Y25" s="53" t="s">
        <v>84</v>
      </c>
      <c r="Z25" s="53" t="s">
        <v>69</v>
      </c>
      <c r="AA25" s="53" t="s">
        <v>90</v>
      </c>
      <c r="AB25" s="127" t="s">
        <v>241</v>
      </c>
      <c r="AC25" s="34"/>
      <c r="AE25" s="35"/>
      <c r="AP25" s="27" t="s">
        <v>116</v>
      </c>
      <c r="AR25" s="27" t="s">
        <v>92</v>
      </c>
    </row>
    <row r="26" spans="1:48" x14ac:dyDescent="0.15">
      <c r="A26" s="127" t="s">
        <v>61</v>
      </c>
      <c r="B26" s="127" t="s">
        <v>237</v>
      </c>
      <c r="C26" s="127">
        <v>2019</v>
      </c>
      <c r="D26" s="128" t="s">
        <v>287</v>
      </c>
      <c r="E26" s="127" t="s">
        <v>294</v>
      </c>
      <c r="F26" s="127" t="s">
        <v>295</v>
      </c>
      <c r="G26" s="127" t="s">
        <v>42</v>
      </c>
      <c r="H26" s="53" t="s">
        <v>163</v>
      </c>
      <c r="I26" s="53" t="s">
        <v>159</v>
      </c>
      <c r="J26" s="127" t="s">
        <v>38</v>
      </c>
      <c r="K26" s="53" t="s">
        <v>160</v>
      </c>
      <c r="L26" s="53">
        <v>1</v>
      </c>
      <c r="N26" s="53">
        <v>1</v>
      </c>
      <c r="O26" s="53">
        <v>1.2</v>
      </c>
      <c r="P26" s="53">
        <v>1.1000000000000001</v>
      </c>
      <c r="Q26" s="74">
        <f t="shared" si="0"/>
        <v>1.1499999999999999</v>
      </c>
      <c r="R26" s="53">
        <v>14.4</v>
      </c>
      <c r="S26" s="53">
        <v>124</v>
      </c>
      <c r="T26" s="16">
        <f t="shared" si="1"/>
        <v>27</v>
      </c>
      <c r="U26" s="53">
        <v>84</v>
      </c>
      <c r="V26" s="129">
        <f t="shared" si="2"/>
        <v>2268</v>
      </c>
      <c r="W26" s="53">
        <v>4</v>
      </c>
      <c r="X26" s="127" t="s">
        <v>39</v>
      </c>
      <c r="Y26" s="53" t="s">
        <v>84</v>
      </c>
      <c r="Z26" s="53" t="s">
        <v>90</v>
      </c>
      <c r="AA26" s="53" t="s">
        <v>69</v>
      </c>
      <c r="AB26" s="127" t="s">
        <v>241</v>
      </c>
      <c r="AC26" s="34"/>
      <c r="AD26" s="34"/>
      <c r="AE26" s="35"/>
      <c r="AP26" s="27" t="s">
        <v>117</v>
      </c>
      <c r="AR26" s="23" t="s">
        <v>153</v>
      </c>
    </row>
    <row r="27" spans="1:48" x14ac:dyDescent="0.15">
      <c r="A27" s="127" t="s">
        <v>61</v>
      </c>
      <c r="B27" s="127" t="s">
        <v>237</v>
      </c>
      <c r="C27" s="127">
        <v>2019</v>
      </c>
      <c r="D27" s="128" t="s">
        <v>287</v>
      </c>
      <c r="E27" s="127" t="s">
        <v>294</v>
      </c>
      <c r="F27" s="127" t="s">
        <v>295</v>
      </c>
      <c r="G27" s="127" t="s">
        <v>42</v>
      </c>
      <c r="H27" s="53" t="s">
        <v>163</v>
      </c>
      <c r="I27" s="53" t="s">
        <v>159</v>
      </c>
      <c r="J27" s="127" t="s">
        <v>38</v>
      </c>
      <c r="K27" s="53" t="s">
        <v>160</v>
      </c>
      <c r="L27" s="53">
        <v>2</v>
      </c>
      <c r="N27" s="53">
        <v>1</v>
      </c>
      <c r="O27" s="53">
        <v>1</v>
      </c>
      <c r="P27" s="53">
        <v>1.25</v>
      </c>
      <c r="Q27" s="74">
        <f t="shared" si="0"/>
        <v>1.125</v>
      </c>
      <c r="R27" s="53">
        <v>13.5</v>
      </c>
      <c r="S27" s="53">
        <v>119</v>
      </c>
      <c r="T27" s="16">
        <f t="shared" si="1"/>
        <v>30</v>
      </c>
      <c r="U27" s="53">
        <v>84</v>
      </c>
      <c r="V27" s="129">
        <f t="shared" si="2"/>
        <v>2520</v>
      </c>
      <c r="W27" s="53">
        <v>4</v>
      </c>
      <c r="X27" s="127" t="s">
        <v>39</v>
      </c>
      <c r="Y27" s="53" t="s">
        <v>84</v>
      </c>
      <c r="Z27" s="53" t="s">
        <v>90</v>
      </c>
      <c r="AA27" s="53" t="s">
        <v>69</v>
      </c>
      <c r="AB27" s="127" t="s">
        <v>241</v>
      </c>
      <c r="AC27" s="34"/>
      <c r="AD27" s="34"/>
      <c r="AE27" s="28"/>
      <c r="AP27" s="27" t="s">
        <v>118</v>
      </c>
      <c r="AR27" s="23"/>
    </row>
    <row r="28" spans="1:48" x14ac:dyDescent="0.15">
      <c r="A28" s="127" t="s">
        <v>61</v>
      </c>
      <c r="B28" s="127" t="s">
        <v>237</v>
      </c>
      <c r="C28" s="127">
        <v>2019</v>
      </c>
      <c r="D28" s="128" t="s">
        <v>287</v>
      </c>
      <c r="E28" s="127" t="s">
        <v>294</v>
      </c>
      <c r="F28" s="127" t="s">
        <v>295</v>
      </c>
      <c r="G28" s="127" t="s">
        <v>42</v>
      </c>
      <c r="H28" s="53" t="s">
        <v>163</v>
      </c>
      <c r="I28" s="53" t="s">
        <v>159</v>
      </c>
      <c r="J28" s="127" t="s">
        <v>38</v>
      </c>
      <c r="K28" s="53" t="s">
        <v>160</v>
      </c>
      <c r="L28" s="53">
        <v>3</v>
      </c>
      <c r="N28" s="53">
        <v>1</v>
      </c>
      <c r="O28" s="53">
        <v>1.5</v>
      </c>
      <c r="P28" s="34">
        <v>1.25</v>
      </c>
      <c r="Q28" s="74">
        <f t="shared" si="0"/>
        <v>1.375</v>
      </c>
      <c r="R28" s="53">
        <v>12.3</v>
      </c>
      <c r="S28" s="53">
        <v>115</v>
      </c>
      <c r="T28" s="16">
        <f t="shared" si="1"/>
        <v>30</v>
      </c>
      <c r="U28" s="53">
        <v>84</v>
      </c>
      <c r="V28" s="129">
        <f t="shared" si="2"/>
        <v>2520</v>
      </c>
      <c r="W28" s="53">
        <v>4</v>
      </c>
      <c r="X28" s="127" t="s">
        <v>39</v>
      </c>
      <c r="Y28" s="53" t="s">
        <v>84</v>
      </c>
      <c r="Z28" s="53" t="s">
        <v>90</v>
      </c>
      <c r="AA28" s="53" t="s">
        <v>69</v>
      </c>
      <c r="AB28" s="127" t="s">
        <v>241</v>
      </c>
      <c r="AC28" s="34"/>
      <c r="AD28" s="34"/>
      <c r="AP28" s="27"/>
      <c r="AR28" s="23"/>
    </row>
    <row r="29" spans="1:48" x14ac:dyDescent="0.15">
      <c r="A29" s="127" t="s">
        <v>61</v>
      </c>
      <c r="B29" s="127" t="s">
        <v>237</v>
      </c>
      <c r="C29" s="127">
        <v>2019</v>
      </c>
      <c r="D29" s="128" t="s">
        <v>287</v>
      </c>
      <c r="E29" s="127" t="s">
        <v>294</v>
      </c>
      <c r="F29" s="127" t="s">
        <v>295</v>
      </c>
      <c r="G29" s="127" t="s">
        <v>42</v>
      </c>
      <c r="H29" s="53" t="s">
        <v>163</v>
      </c>
      <c r="I29" s="53" t="s">
        <v>197</v>
      </c>
      <c r="J29" s="127" t="s">
        <v>38</v>
      </c>
      <c r="K29" s="53" t="s">
        <v>160</v>
      </c>
      <c r="L29" s="53">
        <v>1</v>
      </c>
      <c r="N29" s="53">
        <v>1</v>
      </c>
      <c r="O29" s="53">
        <v>0.25</v>
      </c>
      <c r="P29" s="53">
        <v>0.25</v>
      </c>
      <c r="Q29" s="74">
        <f t="shared" si="0"/>
        <v>0.25</v>
      </c>
      <c r="R29" s="53">
        <v>15.5</v>
      </c>
      <c r="S29" s="53">
        <v>114</v>
      </c>
      <c r="T29" s="16">
        <f t="shared" si="1"/>
        <v>30</v>
      </c>
      <c r="U29" s="53">
        <v>84</v>
      </c>
      <c r="V29" s="129">
        <f t="shared" si="2"/>
        <v>2520</v>
      </c>
      <c r="W29" s="53">
        <v>4</v>
      </c>
      <c r="X29" s="127" t="s">
        <v>39</v>
      </c>
      <c r="Y29" s="53" t="s">
        <v>84</v>
      </c>
      <c r="Z29" s="53" t="s">
        <v>90</v>
      </c>
      <c r="AA29" s="53" t="s">
        <v>69</v>
      </c>
      <c r="AB29" s="127" t="s">
        <v>241</v>
      </c>
      <c r="AC29" s="34"/>
    </row>
    <row r="30" spans="1:48" x14ac:dyDescent="0.15">
      <c r="A30" s="127" t="s">
        <v>61</v>
      </c>
      <c r="B30" s="127" t="s">
        <v>237</v>
      </c>
      <c r="C30" s="127">
        <v>2019</v>
      </c>
      <c r="D30" s="128" t="s">
        <v>287</v>
      </c>
      <c r="E30" s="127" t="s">
        <v>294</v>
      </c>
      <c r="F30" s="127" t="s">
        <v>295</v>
      </c>
      <c r="G30" s="127" t="s">
        <v>42</v>
      </c>
      <c r="H30" s="53" t="s">
        <v>163</v>
      </c>
      <c r="I30" s="53" t="s">
        <v>197</v>
      </c>
      <c r="J30" s="127" t="s">
        <v>38</v>
      </c>
      <c r="K30" s="53" t="s">
        <v>160</v>
      </c>
      <c r="L30" s="53">
        <v>2</v>
      </c>
      <c r="N30" s="53">
        <v>1</v>
      </c>
      <c r="O30" s="53">
        <v>0.2</v>
      </c>
      <c r="P30" s="53">
        <v>0.2</v>
      </c>
      <c r="Q30" s="74">
        <f t="shared" si="0"/>
        <v>0.2</v>
      </c>
      <c r="R30" s="53">
        <v>15.3</v>
      </c>
      <c r="S30" s="53">
        <v>115.5</v>
      </c>
      <c r="T30" s="16">
        <f t="shared" si="1"/>
        <v>30</v>
      </c>
      <c r="U30" s="53">
        <v>84</v>
      </c>
      <c r="V30" s="129">
        <f t="shared" si="2"/>
        <v>2520</v>
      </c>
      <c r="W30" s="53">
        <v>4</v>
      </c>
      <c r="X30" s="127" t="s">
        <v>39</v>
      </c>
      <c r="Y30" s="53" t="s">
        <v>84</v>
      </c>
      <c r="Z30" s="53" t="s">
        <v>90</v>
      </c>
      <c r="AA30" s="53" t="s">
        <v>69</v>
      </c>
      <c r="AB30" s="127" t="s">
        <v>241</v>
      </c>
      <c r="AC30" s="34"/>
    </row>
    <row r="31" spans="1:48" x14ac:dyDescent="0.15">
      <c r="A31" s="127" t="s">
        <v>61</v>
      </c>
      <c r="B31" s="127" t="s">
        <v>237</v>
      </c>
      <c r="C31" s="127">
        <v>2019</v>
      </c>
      <c r="D31" s="128" t="s">
        <v>287</v>
      </c>
      <c r="E31" s="127" t="s">
        <v>294</v>
      </c>
      <c r="F31" s="127" t="s">
        <v>295</v>
      </c>
      <c r="G31" s="127" t="s">
        <v>42</v>
      </c>
      <c r="H31" s="53" t="s">
        <v>163</v>
      </c>
      <c r="I31" s="53" t="s">
        <v>197</v>
      </c>
      <c r="J31" s="127" t="s">
        <v>38</v>
      </c>
      <c r="K31" s="53" t="s">
        <v>160</v>
      </c>
      <c r="L31" s="53">
        <v>3</v>
      </c>
      <c r="N31" s="53">
        <v>1</v>
      </c>
      <c r="O31" s="53">
        <v>1.5</v>
      </c>
      <c r="P31" s="53">
        <v>1.5</v>
      </c>
      <c r="Q31" s="74">
        <f t="shared" si="0"/>
        <v>1.5</v>
      </c>
      <c r="R31" s="53">
        <v>15</v>
      </c>
      <c r="S31" s="53">
        <v>113</v>
      </c>
      <c r="T31" s="16">
        <f t="shared" si="1"/>
        <v>30</v>
      </c>
      <c r="U31" s="53">
        <v>84</v>
      </c>
      <c r="V31" s="129">
        <f t="shared" si="2"/>
        <v>2520</v>
      </c>
      <c r="W31" s="53">
        <v>4</v>
      </c>
      <c r="X31" s="127" t="s">
        <v>39</v>
      </c>
      <c r="Y31" s="53" t="s">
        <v>84</v>
      </c>
      <c r="Z31" s="53" t="s">
        <v>90</v>
      </c>
      <c r="AA31" s="53" t="s">
        <v>69</v>
      </c>
      <c r="AB31" s="127" t="s">
        <v>241</v>
      </c>
      <c r="AC31" s="34"/>
    </row>
    <row r="32" spans="1:48" x14ac:dyDescent="0.15">
      <c r="A32" s="127" t="s">
        <v>61</v>
      </c>
      <c r="B32" s="127" t="s">
        <v>237</v>
      </c>
      <c r="C32" s="127">
        <v>2019</v>
      </c>
      <c r="D32" s="128" t="s">
        <v>287</v>
      </c>
      <c r="E32" s="127" t="s">
        <v>296</v>
      </c>
      <c r="F32" s="127" t="s">
        <v>297</v>
      </c>
      <c r="G32" s="127" t="s">
        <v>42</v>
      </c>
      <c r="H32" s="53" t="s">
        <v>163</v>
      </c>
      <c r="I32" s="53" t="s">
        <v>159</v>
      </c>
      <c r="J32" s="127" t="s">
        <v>38</v>
      </c>
      <c r="K32" s="53" t="s">
        <v>160</v>
      </c>
      <c r="L32" s="53">
        <v>1</v>
      </c>
      <c r="N32" s="53">
        <v>12</v>
      </c>
      <c r="O32" s="53">
        <v>0.75</v>
      </c>
      <c r="P32" s="53">
        <v>0.7</v>
      </c>
      <c r="Q32" s="74">
        <f t="shared" si="0"/>
        <v>0.72499999999999998</v>
      </c>
      <c r="R32" s="53">
        <v>13.5</v>
      </c>
      <c r="S32" s="53">
        <v>87</v>
      </c>
      <c r="T32" s="16">
        <f t="shared" si="1"/>
        <v>36</v>
      </c>
      <c r="U32" s="53">
        <v>537</v>
      </c>
      <c r="V32" s="129">
        <f t="shared" si="2"/>
        <v>1611</v>
      </c>
      <c r="W32" s="53">
        <v>3</v>
      </c>
      <c r="X32" s="127" t="s">
        <v>46</v>
      </c>
      <c r="Y32" s="53" t="s">
        <v>84</v>
      </c>
      <c r="Z32" s="53" t="s">
        <v>90</v>
      </c>
      <c r="AA32" s="53" t="s">
        <v>69</v>
      </c>
      <c r="AB32" s="127" t="s">
        <v>241</v>
      </c>
      <c r="AC32" s="34"/>
    </row>
    <row r="33" spans="1:29" x14ac:dyDescent="0.15">
      <c r="A33" s="127" t="s">
        <v>61</v>
      </c>
      <c r="B33" s="127" t="s">
        <v>237</v>
      </c>
      <c r="C33" s="127">
        <v>2019</v>
      </c>
      <c r="D33" s="128" t="s">
        <v>287</v>
      </c>
      <c r="E33" s="127" t="s">
        <v>296</v>
      </c>
      <c r="F33" s="127" t="s">
        <v>297</v>
      </c>
      <c r="G33" s="127" t="s">
        <v>42</v>
      </c>
      <c r="H33" s="53" t="s">
        <v>163</v>
      </c>
      <c r="I33" s="53" t="s">
        <v>159</v>
      </c>
      <c r="J33" s="127" t="s">
        <v>38</v>
      </c>
      <c r="K33" s="53" t="s">
        <v>160</v>
      </c>
      <c r="L33" s="53">
        <v>2</v>
      </c>
      <c r="N33" s="53">
        <v>12</v>
      </c>
      <c r="O33" s="53">
        <v>0.8</v>
      </c>
      <c r="P33" s="53">
        <v>1</v>
      </c>
      <c r="Q33" s="74">
        <f t="shared" si="0"/>
        <v>0.9</v>
      </c>
      <c r="R33" s="53">
        <v>15.2</v>
      </c>
      <c r="S33" s="53">
        <v>88</v>
      </c>
      <c r="T33" s="16">
        <f t="shared" si="1"/>
        <v>36</v>
      </c>
      <c r="U33" s="53">
        <v>537</v>
      </c>
      <c r="V33" s="129">
        <f t="shared" si="2"/>
        <v>1611</v>
      </c>
      <c r="W33" s="53">
        <v>3</v>
      </c>
      <c r="X33" s="127" t="s">
        <v>46</v>
      </c>
      <c r="Y33" s="53" t="s">
        <v>84</v>
      </c>
      <c r="Z33" s="53" t="s">
        <v>90</v>
      </c>
      <c r="AA33" s="53" t="s">
        <v>69</v>
      </c>
      <c r="AB33" s="127" t="s">
        <v>241</v>
      </c>
      <c r="AC33" s="34"/>
    </row>
    <row r="34" spans="1:29" x14ac:dyDescent="0.15">
      <c r="A34" s="127" t="s">
        <v>61</v>
      </c>
      <c r="B34" s="127" t="s">
        <v>237</v>
      </c>
      <c r="C34" s="127">
        <v>2019</v>
      </c>
      <c r="D34" s="128" t="s">
        <v>287</v>
      </c>
      <c r="E34" s="127" t="s">
        <v>296</v>
      </c>
      <c r="F34" s="127" t="s">
        <v>297</v>
      </c>
      <c r="G34" s="127" t="s">
        <v>42</v>
      </c>
      <c r="H34" s="53" t="s">
        <v>163</v>
      </c>
      <c r="I34" s="53" t="s">
        <v>159</v>
      </c>
      <c r="J34" s="127" t="s">
        <v>38</v>
      </c>
      <c r="K34" s="53" t="s">
        <v>160</v>
      </c>
      <c r="L34" s="53">
        <v>3</v>
      </c>
      <c r="N34" s="53">
        <v>12</v>
      </c>
      <c r="O34" s="53">
        <v>0.7</v>
      </c>
      <c r="P34" s="53">
        <v>1</v>
      </c>
      <c r="Q34" s="74">
        <f t="shared" si="0"/>
        <v>0.85</v>
      </c>
      <c r="R34" s="53">
        <v>15</v>
      </c>
      <c r="S34" s="53">
        <v>86</v>
      </c>
      <c r="T34" s="16">
        <f t="shared" si="1"/>
        <v>36</v>
      </c>
      <c r="U34" s="53">
        <v>537</v>
      </c>
      <c r="V34" s="129">
        <f t="shared" si="2"/>
        <v>1611</v>
      </c>
      <c r="W34" s="53">
        <v>3</v>
      </c>
      <c r="X34" s="127" t="s">
        <v>46</v>
      </c>
      <c r="Y34" s="53" t="s">
        <v>84</v>
      </c>
      <c r="Z34" s="53" t="s">
        <v>90</v>
      </c>
      <c r="AA34" s="53" t="s">
        <v>69</v>
      </c>
      <c r="AB34" s="127" t="s">
        <v>241</v>
      </c>
      <c r="AC34" s="34"/>
    </row>
    <row r="35" spans="1:29" x14ac:dyDescent="0.15">
      <c r="A35" s="127" t="s">
        <v>61</v>
      </c>
      <c r="B35" s="127" t="s">
        <v>237</v>
      </c>
      <c r="C35" s="127">
        <v>2019</v>
      </c>
      <c r="D35" s="128" t="s">
        <v>287</v>
      </c>
      <c r="E35" s="127" t="s">
        <v>298</v>
      </c>
      <c r="F35" s="127" t="s">
        <v>299</v>
      </c>
      <c r="G35" s="127" t="s">
        <v>42</v>
      </c>
      <c r="H35" s="53" t="s">
        <v>163</v>
      </c>
      <c r="I35" s="53" t="s">
        <v>159</v>
      </c>
      <c r="J35" s="127" t="s">
        <v>38</v>
      </c>
      <c r="K35" s="53" t="s">
        <v>160</v>
      </c>
      <c r="L35" s="53">
        <v>1</v>
      </c>
      <c r="N35" s="53">
        <v>1</v>
      </c>
      <c r="O35" s="53">
        <v>1.4</v>
      </c>
      <c r="P35" s="53">
        <v>1.1000000000000001</v>
      </c>
      <c r="Q35" s="74">
        <f t="shared" si="0"/>
        <v>1.25</v>
      </c>
      <c r="R35" s="53">
        <v>14.9</v>
      </c>
      <c r="S35" s="53">
        <v>112.5</v>
      </c>
      <c r="T35" s="16">
        <f t="shared" si="1"/>
        <v>33</v>
      </c>
      <c r="U35" s="53">
        <v>116</v>
      </c>
      <c r="V35" s="129">
        <f t="shared" si="2"/>
        <v>3828</v>
      </c>
      <c r="W35" s="53">
        <v>4</v>
      </c>
      <c r="X35" s="127" t="s">
        <v>39</v>
      </c>
      <c r="Y35" s="53" t="s">
        <v>84</v>
      </c>
      <c r="Z35" s="53" t="s">
        <v>90</v>
      </c>
      <c r="AA35" s="53" t="s">
        <v>69</v>
      </c>
      <c r="AB35" s="127" t="s">
        <v>241</v>
      </c>
      <c r="AC35" s="34"/>
    </row>
    <row r="36" spans="1:29" x14ac:dyDescent="0.15">
      <c r="A36" s="127" t="s">
        <v>61</v>
      </c>
      <c r="B36" s="127" t="s">
        <v>237</v>
      </c>
      <c r="C36" s="127">
        <v>2019</v>
      </c>
      <c r="D36" s="128" t="s">
        <v>287</v>
      </c>
      <c r="E36" s="127" t="s">
        <v>298</v>
      </c>
      <c r="F36" s="127" t="s">
        <v>299</v>
      </c>
      <c r="G36" s="127" t="s">
        <v>42</v>
      </c>
      <c r="H36" s="53" t="s">
        <v>163</v>
      </c>
      <c r="I36" s="53" t="s">
        <v>159</v>
      </c>
      <c r="J36" s="127" t="s">
        <v>38</v>
      </c>
      <c r="K36" s="53" t="s">
        <v>160</v>
      </c>
      <c r="L36" s="53">
        <v>2</v>
      </c>
      <c r="N36" s="53">
        <v>1</v>
      </c>
      <c r="O36" s="53">
        <v>0.75</v>
      </c>
      <c r="P36" s="53">
        <v>1</v>
      </c>
      <c r="Q36" s="74">
        <f t="shared" si="0"/>
        <v>0.875</v>
      </c>
      <c r="R36" s="53">
        <v>13.4</v>
      </c>
      <c r="S36" s="53">
        <v>109</v>
      </c>
      <c r="T36" s="16">
        <f t="shared" si="1"/>
        <v>33</v>
      </c>
      <c r="U36" s="53">
        <v>116</v>
      </c>
      <c r="V36" s="129">
        <f t="shared" si="2"/>
        <v>3828</v>
      </c>
      <c r="W36" s="53">
        <v>4</v>
      </c>
      <c r="X36" s="127" t="s">
        <v>39</v>
      </c>
      <c r="Y36" s="53" t="s">
        <v>84</v>
      </c>
      <c r="Z36" s="53" t="s">
        <v>90</v>
      </c>
      <c r="AA36" s="53" t="s">
        <v>69</v>
      </c>
      <c r="AB36" s="127" t="s">
        <v>241</v>
      </c>
      <c r="AC36" s="34"/>
    </row>
    <row r="37" spans="1:29" x14ac:dyDescent="0.15">
      <c r="A37" s="127" t="s">
        <v>61</v>
      </c>
      <c r="B37" s="127" t="s">
        <v>237</v>
      </c>
      <c r="C37" s="127">
        <v>2019</v>
      </c>
      <c r="D37" s="128" t="s">
        <v>287</v>
      </c>
      <c r="E37" s="127" t="s">
        <v>298</v>
      </c>
      <c r="F37" s="127" t="s">
        <v>299</v>
      </c>
      <c r="G37" s="127" t="s">
        <v>42</v>
      </c>
      <c r="H37" s="53" t="s">
        <v>163</v>
      </c>
      <c r="I37" s="53" t="s">
        <v>159</v>
      </c>
      <c r="J37" s="127" t="s">
        <v>38</v>
      </c>
      <c r="K37" s="53" t="s">
        <v>160</v>
      </c>
      <c r="L37" s="53">
        <v>3</v>
      </c>
      <c r="N37" s="53">
        <v>1</v>
      </c>
      <c r="O37" s="53">
        <v>1.6</v>
      </c>
      <c r="P37" s="53">
        <v>1.2</v>
      </c>
      <c r="Q37" s="74">
        <f t="shared" si="0"/>
        <v>1.4</v>
      </c>
      <c r="R37" s="53">
        <v>12.2</v>
      </c>
      <c r="S37" s="53">
        <v>106.5</v>
      </c>
      <c r="T37" s="16">
        <f t="shared" si="1"/>
        <v>33</v>
      </c>
      <c r="U37" s="53">
        <v>116</v>
      </c>
      <c r="V37" s="129">
        <f t="shared" si="2"/>
        <v>3828</v>
      </c>
      <c r="W37" s="53">
        <v>4</v>
      </c>
      <c r="X37" s="127" t="s">
        <v>39</v>
      </c>
      <c r="Y37" s="53" t="s">
        <v>84</v>
      </c>
      <c r="Z37" s="53" t="s">
        <v>90</v>
      </c>
      <c r="AA37" s="53" t="s">
        <v>69</v>
      </c>
      <c r="AB37" s="127" t="s">
        <v>241</v>
      </c>
      <c r="AC37" s="34"/>
    </row>
    <row r="38" spans="1:29" x14ac:dyDescent="0.15">
      <c r="A38" s="127" t="s">
        <v>61</v>
      </c>
      <c r="B38" s="127" t="s">
        <v>237</v>
      </c>
      <c r="C38" s="127">
        <v>2019</v>
      </c>
      <c r="D38" s="128" t="s">
        <v>287</v>
      </c>
      <c r="E38" s="127" t="s">
        <v>298</v>
      </c>
      <c r="F38" s="127" t="s">
        <v>299</v>
      </c>
      <c r="G38" s="127" t="s">
        <v>42</v>
      </c>
      <c r="H38" s="53" t="s">
        <v>127</v>
      </c>
      <c r="I38" s="53" t="s">
        <v>159</v>
      </c>
      <c r="J38" s="127" t="s">
        <v>80</v>
      </c>
      <c r="K38" s="53" t="s">
        <v>59</v>
      </c>
      <c r="L38" s="53">
        <v>1</v>
      </c>
      <c r="N38" s="53">
        <v>1</v>
      </c>
      <c r="O38" s="53">
        <v>0.75</v>
      </c>
      <c r="P38" s="53">
        <v>0.75</v>
      </c>
      <c r="Q38" s="74">
        <f t="shared" si="0"/>
        <v>0.75</v>
      </c>
      <c r="R38" s="53">
        <v>10.5</v>
      </c>
      <c r="S38" s="53">
        <v>110</v>
      </c>
      <c r="T38" s="16">
        <f t="shared" si="1"/>
        <v>33</v>
      </c>
      <c r="U38" s="53">
        <v>116</v>
      </c>
      <c r="V38" s="129">
        <f t="shared" si="2"/>
        <v>3828</v>
      </c>
      <c r="W38" s="53">
        <v>4</v>
      </c>
      <c r="X38" s="127" t="s">
        <v>39</v>
      </c>
      <c r="Y38" s="53" t="s">
        <v>84</v>
      </c>
      <c r="Z38" s="53" t="s">
        <v>90</v>
      </c>
      <c r="AA38" s="53" t="s">
        <v>69</v>
      </c>
      <c r="AB38" s="127" t="s">
        <v>241</v>
      </c>
      <c r="AC38" s="34"/>
    </row>
    <row r="39" spans="1:29" x14ac:dyDescent="0.15">
      <c r="A39" s="127" t="s">
        <v>61</v>
      </c>
      <c r="B39" s="127" t="s">
        <v>237</v>
      </c>
      <c r="C39" s="127">
        <v>2019</v>
      </c>
      <c r="D39" s="128" t="s">
        <v>287</v>
      </c>
      <c r="E39" s="127" t="s">
        <v>298</v>
      </c>
      <c r="F39" s="127" t="s">
        <v>299</v>
      </c>
      <c r="G39" s="127" t="s">
        <v>42</v>
      </c>
      <c r="H39" s="53" t="s">
        <v>127</v>
      </c>
      <c r="I39" s="53" t="s">
        <v>159</v>
      </c>
      <c r="J39" s="127" t="s">
        <v>80</v>
      </c>
      <c r="K39" s="53" t="s">
        <v>59</v>
      </c>
      <c r="L39" s="53">
        <v>2</v>
      </c>
      <c r="N39" s="53">
        <v>1</v>
      </c>
      <c r="O39" s="53">
        <v>0.4</v>
      </c>
      <c r="P39" s="53">
        <v>0.7</v>
      </c>
      <c r="Q39" s="74">
        <f t="shared" si="0"/>
        <v>0.55000000000000004</v>
      </c>
      <c r="R39" s="53">
        <v>12.2</v>
      </c>
      <c r="S39" s="53">
        <v>104.5</v>
      </c>
      <c r="T39" s="16">
        <f t="shared" si="1"/>
        <v>33</v>
      </c>
      <c r="U39" s="53">
        <v>116</v>
      </c>
      <c r="V39" s="129">
        <f t="shared" si="2"/>
        <v>3828</v>
      </c>
      <c r="W39" s="53">
        <v>4</v>
      </c>
      <c r="X39" s="127" t="s">
        <v>39</v>
      </c>
      <c r="Y39" s="53" t="s">
        <v>84</v>
      </c>
      <c r="Z39" s="53" t="s">
        <v>90</v>
      </c>
      <c r="AA39" s="53" t="s">
        <v>69</v>
      </c>
      <c r="AB39" s="127" t="s">
        <v>241</v>
      </c>
      <c r="AC39" s="34"/>
    </row>
    <row r="40" spans="1:29" x14ac:dyDescent="0.15">
      <c r="A40" s="127" t="s">
        <v>61</v>
      </c>
      <c r="B40" s="127" t="s">
        <v>237</v>
      </c>
      <c r="C40" s="127">
        <v>2019</v>
      </c>
      <c r="D40" s="128" t="s">
        <v>287</v>
      </c>
      <c r="E40" s="127" t="s">
        <v>298</v>
      </c>
      <c r="F40" s="127" t="s">
        <v>299</v>
      </c>
      <c r="G40" s="127" t="s">
        <v>42</v>
      </c>
      <c r="H40" s="53" t="s">
        <v>127</v>
      </c>
      <c r="I40" s="53" t="s">
        <v>159</v>
      </c>
      <c r="J40" s="127" t="s">
        <v>80</v>
      </c>
      <c r="K40" s="53" t="s">
        <v>59</v>
      </c>
      <c r="L40" s="53">
        <v>3</v>
      </c>
      <c r="N40" s="53">
        <v>1</v>
      </c>
      <c r="O40" s="53">
        <v>0.2</v>
      </c>
      <c r="P40" s="53">
        <v>0.2</v>
      </c>
      <c r="Q40" s="74">
        <f t="shared" si="0"/>
        <v>0.2</v>
      </c>
      <c r="R40" s="53">
        <v>11.1</v>
      </c>
      <c r="S40" s="53">
        <v>109.5</v>
      </c>
      <c r="T40" s="16">
        <f t="shared" si="1"/>
        <v>33</v>
      </c>
      <c r="U40" s="53">
        <v>116</v>
      </c>
      <c r="V40" s="129">
        <f t="shared" si="2"/>
        <v>3828</v>
      </c>
      <c r="W40" s="53">
        <v>4</v>
      </c>
      <c r="X40" s="127" t="s">
        <v>39</v>
      </c>
      <c r="Y40" s="53" t="s">
        <v>84</v>
      </c>
      <c r="Z40" s="53" t="s">
        <v>90</v>
      </c>
      <c r="AA40" s="53" t="s">
        <v>69</v>
      </c>
      <c r="AB40" s="127" t="s">
        <v>241</v>
      </c>
      <c r="AC40" s="34"/>
    </row>
    <row r="41" spans="1:29" x14ac:dyDescent="0.15">
      <c r="A41" s="127" t="s">
        <v>61</v>
      </c>
      <c r="B41" s="127" t="s">
        <v>237</v>
      </c>
      <c r="C41" s="127">
        <v>2019</v>
      </c>
      <c r="D41" s="128" t="s">
        <v>287</v>
      </c>
      <c r="E41" s="127" t="s">
        <v>298</v>
      </c>
      <c r="F41" s="127" t="s">
        <v>299</v>
      </c>
      <c r="G41" s="127" t="s">
        <v>42</v>
      </c>
      <c r="H41" s="53" t="s">
        <v>128</v>
      </c>
      <c r="I41" s="53" t="s">
        <v>159</v>
      </c>
      <c r="J41" s="127" t="s">
        <v>80</v>
      </c>
      <c r="K41" s="53" t="s">
        <v>54</v>
      </c>
      <c r="L41" s="53">
        <v>1</v>
      </c>
      <c r="N41" s="53">
        <v>1</v>
      </c>
      <c r="O41" s="53">
        <v>0.75</v>
      </c>
      <c r="P41" s="53">
        <v>0.5</v>
      </c>
      <c r="Q41" s="74">
        <f t="shared" si="0"/>
        <v>0.625</v>
      </c>
      <c r="R41" s="53">
        <v>17</v>
      </c>
      <c r="S41" s="53">
        <v>127</v>
      </c>
      <c r="T41" s="16">
        <f t="shared" si="1"/>
        <v>27</v>
      </c>
      <c r="U41" s="53">
        <v>213</v>
      </c>
      <c r="V41" s="129">
        <f t="shared" si="2"/>
        <v>5751</v>
      </c>
      <c r="W41" s="53">
        <v>4</v>
      </c>
      <c r="X41" s="127" t="s">
        <v>39</v>
      </c>
      <c r="Y41" s="53" t="s">
        <v>84</v>
      </c>
      <c r="Z41" s="53" t="s">
        <v>90</v>
      </c>
      <c r="AA41" s="53" t="s">
        <v>69</v>
      </c>
      <c r="AB41" s="127" t="s">
        <v>241</v>
      </c>
      <c r="AC41" s="34"/>
    </row>
    <row r="42" spans="1:29" x14ac:dyDescent="0.15">
      <c r="A42" s="127" t="s">
        <v>61</v>
      </c>
      <c r="B42" s="127" t="s">
        <v>237</v>
      </c>
      <c r="C42" s="127">
        <v>2019</v>
      </c>
      <c r="D42" s="128" t="s">
        <v>287</v>
      </c>
      <c r="E42" s="127" t="s">
        <v>298</v>
      </c>
      <c r="F42" s="127" t="s">
        <v>299</v>
      </c>
      <c r="G42" s="127" t="s">
        <v>42</v>
      </c>
      <c r="H42" s="53" t="s">
        <v>128</v>
      </c>
      <c r="I42" s="53" t="s">
        <v>159</v>
      </c>
      <c r="J42" s="127" t="s">
        <v>80</v>
      </c>
      <c r="K42" s="53" t="s">
        <v>54</v>
      </c>
      <c r="L42" s="53">
        <v>2</v>
      </c>
      <c r="N42" s="53">
        <v>1</v>
      </c>
      <c r="O42" s="53">
        <v>1</v>
      </c>
      <c r="P42" s="53">
        <v>0.6</v>
      </c>
      <c r="Q42" s="74">
        <f t="shared" si="0"/>
        <v>0.8</v>
      </c>
      <c r="R42" s="53">
        <v>14</v>
      </c>
      <c r="S42" s="53">
        <v>124</v>
      </c>
      <c r="T42" s="16">
        <f t="shared" si="1"/>
        <v>27</v>
      </c>
      <c r="U42" s="53">
        <v>213</v>
      </c>
      <c r="V42" s="129">
        <f t="shared" si="2"/>
        <v>5751</v>
      </c>
      <c r="W42" s="53">
        <v>4</v>
      </c>
      <c r="X42" s="127" t="s">
        <v>39</v>
      </c>
      <c r="Y42" s="53" t="s">
        <v>84</v>
      </c>
      <c r="Z42" s="53" t="s">
        <v>90</v>
      </c>
      <c r="AA42" s="53" t="s">
        <v>69</v>
      </c>
      <c r="AB42" s="127" t="s">
        <v>241</v>
      </c>
      <c r="AC42" s="34"/>
    </row>
    <row r="43" spans="1:29" x14ac:dyDescent="0.15">
      <c r="A43" s="127" t="s">
        <v>61</v>
      </c>
      <c r="B43" s="127" t="s">
        <v>237</v>
      </c>
      <c r="C43" s="127">
        <v>2019</v>
      </c>
      <c r="D43" s="128" t="s">
        <v>287</v>
      </c>
      <c r="E43" s="127" t="s">
        <v>298</v>
      </c>
      <c r="F43" s="127" t="s">
        <v>299</v>
      </c>
      <c r="G43" s="127" t="s">
        <v>42</v>
      </c>
      <c r="H43" s="53" t="s">
        <v>128</v>
      </c>
      <c r="I43" s="53" t="s">
        <v>159</v>
      </c>
      <c r="J43" s="127" t="s">
        <v>80</v>
      </c>
      <c r="K43" s="53" t="s">
        <v>54</v>
      </c>
      <c r="L43" s="53">
        <v>3</v>
      </c>
      <c r="N43" s="53">
        <v>1</v>
      </c>
      <c r="O43" s="53">
        <v>1</v>
      </c>
      <c r="P43" s="53">
        <v>0.75</v>
      </c>
      <c r="Q43" s="74">
        <f t="shared" si="0"/>
        <v>0.875</v>
      </c>
      <c r="R43" s="53">
        <v>13.4</v>
      </c>
      <c r="S43" s="53">
        <v>131.5</v>
      </c>
      <c r="T43" s="16">
        <f t="shared" si="1"/>
        <v>25</v>
      </c>
      <c r="U43" s="53">
        <v>213</v>
      </c>
      <c r="V43" s="129">
        <f t="shared" si="2"/>
        <v>5325</v>
      </c>
      <c r="W43" s="53">
        <v>4</v>
      </c>
      <c r="X43" s="127" t="s">
        <v>39</v>
      </c>
      <c r="Y43" s="53" t="s">
        <v>84</v>
      </c>
      <c r="Z43" s="53" t="s">
        <v>90</v>
      </c>
      <c r="AA43" s="53" t="s">
        <v>69</v>
      </c>
      <c r="AB43" s="127" t="s">
        <v>241</v>
      </c>
      <c r="AC43" s="34"/>
    </row>
    <row r="44" spans="1:29" x14ac:dyDescent="0.15">
      <c r="A44" s="127" t="s">
        <v>61</v>
      </c>
      <c r="B44" s="127" t="s">
        <v>237</v>
      </c>
      <c r="C44" s="127">
        <v>2019</v>
      </c>
      <c r="D44" s="128" t="s">
        <v>287</v>
      </c>
      <c r="E44" s="127" t="s">
        <v>133</v>
      </c>
      <c r="F44" s="127" t="s">
        <v>300</v>
      </c>
      <c r="G44" s="127" t="s">
        <v>42</v>
      </c>
      <c r="H44" s="53" t="s">
        <v>163</v>
      </c>
      <c r="I44" s="53" t="s">
        <v>159</v>
      </c>
      <c r="J44" s="127" t="s">
        <v>38</v>
      </c>
      <c r="K44" s="53" t="s">
        <v>160</v>
      </c>
      <c r="L44" s="53">
        <v>1</v>
      </c>
      <c r="N44" s="53">
        <v>1</v>
      </c>
      <c r="O44" s="53">
        <v>1.25</v>
      </c>
      <c r="P44" s="53">
        <v>1</v>
      </c>
      <c r="Q44" s="74">
        <f t="shared" si="0"/>
        <v>1.125</v>
      </c>
      <c r="R44" s="53">
        <v>15</v>
      </c>
      <c r="S44" s="53">
        <v>116</v>
      </c>
      <c r="T44" s="16">
        <f t="shared" si="1"/>
        <v>30</v>
      </c>
      <c r="U44" s="53">
        <v>105</v>
      </c>
      <c r="V44" s="129">
        <f t="shared" si="2"/>
        <v>3150</v>
      </c>
      <c r="W44" s="53">
        <v>12</v>
      </c>
      <c r="X44" s="127" t="s">
        <v>46</v>
      </c>
      <c r="Y44" s="53" t="s">
        <v>84</v>
      </c>
      <c r="Z44" s="53" t="s">
        <v>69</v>
      </c>
      <c r="AA44" s="53" t="s">
        <v>90</v>
      </c>
      <c r="AB44" s="127" t="s">
        <v>241</v>
      </c>
    </row>
    <row r="45" spans="1:29" x14ac:dyDescent="0.15">
      <c r="A45" s="127" t="s">
        <v>61</v>
      </c>
      <c r="B45" s="127" t="s">
        <v>237</v>
      </c>
      <c r="C45" s="127">
        <v>2019</v>
      </c>
      <c r="D45" s="128" t="s">
        <v>287</v>
      </c>
      <c r="E45" s="127" t="s">
        <v>133</v>
      </c>
      <c r="F45" s="127" t="s">
        <v>300</v>
      </c>
      <c r="G45" s="127" t="s">
        <v>42</v>
      </c>
      <c r="H45" s="53" t="s">
        <v>163</v>
      </c>
      <c r="I45" s="53" t="s">
        <v>159</v>
      </c>
      <c r="J45" s="127" t="s">
        <v>38</v>
      </c>
      <c r="K45" s="53" t="s">
        <v>160</v>
      </c>
      <c r="L45" s="53">
        <v>2</v>
      </c>
      <c r="N45" s="53">
        <v>1</v>
      </c>
      <c r="O45" s="53">
        <v>1.25</v>
      </c>
      <c r="P45" s="53">
        <v>1.5</v>
      </c>
      <c r="Q45" s="74">
        <f t="shared" si="0"/>
        <v>1.375</v>
      </c>
      <c r="R45" s="53">
        <v>15.3</v>
      </c>
      <c r="S45" s="53">
        <v>105.5</v>
      </c>
      <c r="T45" s="16">
        <f t="shared" si="1"/>
        <v>33</v>
      </c>
      <c r="U45" s="53">
        <v>105</v>
      </c>
      <c r="V45" s="129">
        <f t="shared" si="2"/>
        <v>3465</v>
      </c>
      <c r="W45" s="53">
        <v>12</v>
      </c>
      <c r="X45" s="127" t="s">
        <v>46</v>
      </c>
      <c r="Y45" s="53" t="s">
        <v>84</v>
      </c>
      <c r="Z45" s="53" t="s">
        <v>69</v>
      </c>
      <c r="AA45" s="53" t="s">
        <v>90</v>
      </c>
      <c r="AB45" s="127" t="s">
        <v>241</v>
      </c>
    </row>
    <row r="46" spans="1:29" x14ac:dyDescent="0.15">
      <c r="A46" s="127" t="s">
        <v>61</v>
      </c>
      <c r="B46" s="127" t="s">
        <v>237</v>
      </c>
      <c r="C46" s="127">
        <v>2019</v>
      </c>
      <c r="D46" s="128" t="s">
        <v>287</v>
      </c>
      <c r="E46" s="127" t="s">
        <v>133</v>
      </c>
      <c r="F46" s="127" t="s">
        <v>300</v>
      </c>
      <c r="G46" s="127" t="s">
        <v>42</v>
      </c>
      <c r="H46" s="53" t="s">
        <v>163</v>
      </c>
      <c r="I46" s="53" t="s">
        <v>159</v>
      </c>
      <c r="J46" s="127" t="s">
        <v>38</v>
      </c>
      <c r="K46" s="53" t="s">
        <v>160</v>
      </c>
      <c r="L46" s="53">
        <v>3</v>
      </c>
      <c r="N46" s="53">
        <v>1</v>
      </c>
      <c r="O46" s="53">
        <v>1.25</v>
      </c>
      <c r="P46" s="53">
        <v>0.75</v>
      </c>
      <c r="Q46" s="74">
        <f t="shared" si="0"/>
        <v>1</v>
      </c>
      <c r="R46" s="53">
        <v>13.2</v>
      </c>
      <c r="S46" s="53">
        <v>106.5</v>
      </c>
      <c r="T46" s="16">
        <f t="shared" si="1"/>
        <v>33</v>
      </c>
      <c r="U46" s="53">
        <v>105</v>
      </c>
      <c r="V46" s="129">
        <f t="shared" si="2"/>
        <v>3465</v>
      </c>
      <c r="W46" s="53">
        <v>12</v>
      </c>
      <c r="X46" s="127" t="s">
        <v>46</v>
      </c>
      <c r="Y46" s="53" t="s">
        <v>84</v>
      </c>
      <c r="Z46" s="53" t="s">
        <v>69</v>
      </c>
      <c r="AA46" s="53" t="s">
        <v>90</v>
      </c>
      <c r="AB46" s="127" t="s">
        <v>241</v>
      </c>
    </row>
    <row r="47" spans="1:29" x14ac:dyDescent="0.15">
      <c r="A47" s="127" t="s">
        <v>61</v>
      </c>
      <c r="B47" s="127" t="s">
        <v>237</v>
      </c>
      <c r="C47" s="127">
        <v>2019</v>
      </c>
      <c r="D47" s="128" t="s">
        <v>287</v>
      </c>
      <c r="E47" s="127" t="s">
        <v>133</v>
      </c>
      <c r="F47" s="127" t="s">
        <v>300</v>
      </c>
      <c r="G47" s="127" t="s">
        <v>42</v>
      </c>
      <c r="H47" s="53" t="s">
        <v>203</v>
      </c>
      <c r="I47" s="53" t="s">
        <v>159</v>
      </c>
      <c r="J47" s="127" t="s">
        <v>38</v>
      </c>
      <c r="K47" s="53" t="s">
        <v>54</v>
      </c>
      <c r="L47" s="53">
        <v>1</v>
      </c>
      <c r="N47" s="53">
        <v>4</v>
      </c>
      <c r="O47" s="53">
        <v>1</v>
      </c>
      <c r="P47" s="53">
        <v>1.25</v>
      </c>
      <c r="Q47" s="74">
        <f t="shared" si="0"/>
        <v>1.125</v>
      </c>
      <c r="R47" s="53">
        <v>14.5</v>
      </c>
      <c r="S47" s="53">
        <v>91</v>
      </c>
      <c r="T47" s="16">
        <f t="shared" si="1"/>
        <v>36</v>
      </c>
      <c r="U47" s="53">
        <v>645</v>
      </c>
      <c r="V47" s="129">
        <f t="shared" si="2"/>
        <v>5805</v>
      </c>
      <c r="W47" s="53">
        <v>12</v>
      </c>
      <c r="X47" s="127" t="s">
        <v>46</v>
      </c>
      <c r="Y47" s="53" t="s">
        <v>84</v>
      </c>
      <c r="Z47" s="53" t="s">
        <v>69</v>
      </c>
      <c r="AA47" s="53" t="s">
        <v>90</v>
      </c>
      <c r="AB47" s="127" t="s">
        <v>241</v>
      </c>
      <c r="AC47" s="34"/>
    </row>
    <row r="48" spans="1:29" x14ac:dyDescent="0.15">
      <c r="A48" s="127" t="s">
        <v>61</v>
      </c>
      <c r="B48" s="127" t="s">
        <v>237</v>
      </c>
      <c r="C48" s="127">
        <v>2019</v>
      </c>
      <c r="D48" s="128" t="s">
        <v>287</v>
      </c>
      <c r="E48" s="127" t="s">
        <v>133</v>
      </c>
      <c r="F48" s="127" t="s">
        <v>300</v>
      </c>
      <c r="G48" s="127" t="s">
        <v>42</v>
      </c>
      <c r="H48" s="53" t="s">
        <v>203</v>
      </c>
      <c r="I48" s="53" t="s">
        <v>159</v>
      </c>
      <c r="J48" s="127" t="s">
        <v>38</v>
      </c>
      <c r="K48" s="53" t="s">
        <v>54</v>
      </c>
      <c r="L48" s="53">
        <v>2</v>
      </c>
      <c r="N48" s="53">
        <v>4</v>
      </c>
      <c r="O48" s="53">
        <v>1.25</v>
      </c>
      <c r="P48" s="53">
        <v>1.2</v>
      </c>
      <c r="Q48" s="74">
        <f t="shared" si="0"/>
        <v>1.2250000000000001</v>
      </c>
      <c r="R48" s="53">
        <v>15</v>
      </c>
      <c r="S48" s="53">
        <v>95</v>
      </c>
      <c r="T48" s="16">
        <f t="shared" si="1"/>
        <v>36</v>
      </c>
      <c r="U48" s="53">
        <v>645</v>
      </c>
      <c r="V48" s="129">
        <f t="shared" si="2"/>
        <v>5805</v>
      </c>
      <c r="W48" s="53">
        <v>12</v>
      </c>
      <c r="X48" s="127" t="s">
        <v>46</v>
      </c>
      <c r="Y48" s="53" t="s">
        <v>84</v>
      </c>
      <c r="Z48" s="53" t="s">
        <v>69</v>
      </c>
      <c r="AA48" s="53" t="s">
        <v>90</v>
      </c>
      <c r="AB48" s="127" t="s">
        <v>241</v>
      </c>
      <c r="AC48" s="34"/>
    </row>
    <row r="49" spans="1:29" x14ac:dyDescent="0.15">
      <c r="A49" s="127" t="s">
        <v>61</v>
      </c>
      <c r="B49" s="127" t="s">
        <v>237</v>
      </c>
      <c r="C49" s="127">
        <v>2019</v>
      </c>
      <c r="D49" s="128" t="s">
        <v>287</v>
      </c>
      <c r="E49" s="127" t="s">
        <v>133</v>
      </c>
      <c r="F49" s="127" t="s">
        <v>300</v>
      </c>
      <c r="G49" s="127" t="s">
        <v>42</v>
      </c>
      <c r="H49" s="53" t="s">
        <v>203</v>
      </c>
      <c r="I49" s="53" t="s">
        <v>159</v>
      </c>
      <c r="J49" s="127" t="s">
        <v>38</v>
      </c>
      <c r="K49" s="53" t="s">
        <v>54</v>
      </c>
      <c r="L49" s="53">
        <v>3</v>
      </c>
      <c r="N49" s="53">
        <v>4</v>
      </c>
      <c r="O49" s="53">
        <v>1.25</v>
      </c>
      <c r="P49" s="53">
        <v>1.1000000000000001</v>
      </c>
      <c r="Q49" s="74">
        <f t="shared" si="0"/>
        <v>1.175</v>
      </c>
      <c r="R49" s="53">
        <v>14.6</v>
      </c>
      <c r="S49" s="53">
        <v>97</v>
      </c>
      <c r="T49" s="16">
        <f t="shared" si="1"/>
        <v>36</v>
      </c>
      <c r="U49" s="53">
        <v>645</v>
      </c>
      <c r="V49" s="129">
        <f t="shared" si="2"/>
        <v>5805</v>
      </c>
      <c r="W49" s="53">
        <v>12</v>
      </c>
      <c r="X49" s="127" t="s">
        <v>46</v>
      </c>
      <c r="Y49" s="53" t="s">
        <v>84</v>
      </c>
      <c r="Z49" s="53" t="s">
        <v>69</v>
      </c>
      <c r="AA49" s="53" t="s">
        <v>90</v>
      </c>
      <c r="AB49" s="127" t="s">
        <v>241</v>
      </c>
      <c r="AC49" s="34"/>
    </row>
    <row r="50" spans="1:29" x14ac:dyDescent="0.15">
      <c r="A50" s="127" t="s">
        <v>61</v>
      </c>
      <c r="B50" s="127" t="s">
        <v>237</v>
      </c>
      <c r="C50" s="127">
        <v>2019</v>
      </c>
      <c r="D50" s="128" t="s">
        <v>287</v>
      </c>
      <c r="E50" s="127" t="s">
        <v>133</v>
      </c>
      <c r="F50" s="127" t="s">
        <v>300</v>
      </c>
      <c r="G50" s="127" t="s">
        <v>42</v>
      </c>
      <c r="H50" s="53" t="s">
        <v>127</v>
      </c>
      <c r="I50" s="53" t="s">
        <v>159</v>
      </c>
      <c r="J50" s="127" t="s">
        <v>80</v>
      </c>
      <c r="K50" s="53" t="s">
        <v>45</v>
      </c>
      <c r="L50" s="53">
        <v>1</v>
      </c>
      <c r="N50" s="53">
        <v>5</v>
      </c>
      <c r="O50" s="53">
        <v>1.3</v>
      </c>
      <c r="P50" s="53">
        <v>1.4</v>
      </c>
      <c r="Q50" s="74">
        <f t="shared" si="0"/>
        <v>1.35</v>
      </c>
      <c r="R50" s="53">
        <v>15.3</v>
      </c>
      <c r="S50" s="53">
        <v>91</v>
      </c>
      <c r="T50" s="16">
        <f t="shared" si="1"/>
        <v>36</v>
      </c>
      <c r="U50" s="53">
        <v>429</v>
      </c>
      <c r="V50" s="129">
        <f t="shared" si="2"/>
        <v>3088.7999999999997</v>
      </c>
      <c r="W50" s="53">
        <v>12</v>
      </c>
      <c r="X50" s="127" t="s">
        <v>46</v>
      </c>
      <c r="Y50" s="53" t="s">
        <v>84</v>
      </c>
      <c r="Z50" s="53" t="s">
        <v>69</v>
      </c>
      <c r="AA50" s="53" t="s">
        <v>90</v>
      </c>
      <c r="AB50" s="127" t="s">
        <v>241</v>
      </c>
      <c r="AC50" s="34"/>
    </row>
    <row r="51" spans="1:29" x14ac:dyDescent="0.15">
      <c r="A51" s="127" t="s">
        <v>61</v>
      </c>
      <c r="B51" s="127" t="s">
        <v>237</v>
      </c>
      <c r="C51" s="127">
        <v>2019</v>
      </c>
      <c r="D51" s="128" t="s">
        <v>287</v>
      </c>
      <c r="E51" s="127" t="s">
        <v>133</v>
      </c>
      <c r="F51" s="127" t="s">
        <v>300</v>
      </c>
      <c r="G51" s="127" t="s">
        <v>42</v>
      </c>
      <c r="H51" s="53" t="s">
        <v>127</v>
      </c>
      <c r="I51" s="53" t="s">
        <v>159</v>
      </c>
      <c r="J51" s="127" t="s">
        <v>80</v>
      </c>
      <c r="K51" s="53" t="s">
        <v>45</v>
      </c>
      <c r="L51" s="53">
        <v>2</v>
      </c>
      <c r="N51" s="53">
        <v>5</v>
      </c>
      <c r="O51" s="53">
        <v>2</v>
      </c>
      <c r="P51" s="53">
        <v>2</v>
      </c>
      <c r="Q51" s="74">
        <f t="shared" si="0"/>
        <v>2</v>
      </c>
      <c r="R51" s="53">
        <v>15.2</v>
      </c>
      <c r="S51" s="53">
        <v>94</v>
      </c>
      <c r="T51" s="16">
        <f t="shared" si="1"/>
        <v>36</v>
      </c>
      <c r="U51" s="53">
        <v>429</v>
      </c>
      <c r="V51" s="129">
        <f t="shared" si="2"/>
        <v>3088.7999999999997</v>
      </c>
      <c r="W51" s="53">
        <v>12</v>
      </c>
      <c r="X51" s="127" t="s">
        <v>46</v>
      </c>
      <c r="Y51" s="53" t="s">
        <v>84</v>
      </c>
      <c r="Z51" s="53" t="s">
        <v>69</v>
      </c>
      <c r="AA51" s="53" t="s">
        <v>90</v>
      </c>
      <c r="AB51" s="127" t="s">
        <v>241</v>
      </c>
      <c r="AC51" s="34"/>
    </row>
    <row r="52" spans="1:29" x14ac:dyDescent="0.15">
      <c r="A52" s="127" t="s">
        <v>61</v>
      </c>
      <c r="B52" s="127" t="s">
        <v>237</v>
      </c>
      <c r="C52" s="127">
        <v>2019</v>
      </c>
      <c r="D52" s="128" t="s">
        <v>287</v>
      </c>
      <c r="E52" s="127" t="s">
        <v>133</v>
      </c>
      <c r="F52" s="127" t="s">
        <v>300</v>
      </c>
      <c r="G52" s="127" t="s">
        <v>42</v>
      </c>
      <c r="H52" s="53" t="s">
        <v>127</v>
      </c>
      <c r="I52" s="53" t="s">
        <v>159</v>
      </c>
      <c r="J52" s="127" t="s">
        <v>80</v>
      </c>
      <c r="K52" s="53" t="s">
        <v>45</v>
      </c>
      <c r="L52" s="53">
        <v>3</v>
      </c>
      <c r="N52" s="53">
        <v>5</v>
      </c>
      <c r="O52" s="53">
        <v>2</v>
      </c>
      <c r="P52" s="53">
        <v>1.5</v>
      </c>
      <c r="Q52" s="74">
        <f t="shared" si="0"/>
        <v>1.75</v>
      </c>
      <c r="R52" s="53">
        <v>13.6</v>
      </c>
      <c r="S52" s="53">
        <v>86</v>
      </c>
      <c r="T52" s="16">
        <f t="shared" si="1"/>
        <v>36</v>
      </c>
      <c r="U52" s="53">
        <v>429</v>
      </c>
      <c r="V52" s="129">
        <f t="shared" si="2"/>
        <v>3088.7999999999997</v>
      </c>
      <c r="W52" s="53">
        <v>12</v>
      </c>
      <c r="X52" s="127" t="s">
        <v>46</v>
      </c>
      <c r="Y52" s="53" t="s">
        <v>84</v>
      </c>
      <c r="Z52" s="53" t="s">
        <v>69</v>
      </c>
      <c r="AA52" s="53" t="s">
        <v>90</v>
      </c>
      <c r="AB52" s="127" t="s">
        <v>241</v>
      </c>
      <c r="AC52" s="34"/>
    </row>
    <row r="53" spans="1:29" x14ac:dyDescent="0.15">
      <c r="A53" s="127" t="s">
        <v>61</v>
      </c>
      <c r="B53" s="127" t="s">
        <v>237</v>
      </c>
      <c r="C53" s="127">
        <v>2019</v>
      </c>
      <c r="D53" s="128" t="s">
        <v>287</v>
      </c>
      <c r="E53" s="127" t="s">
        <v>301</v>
      </c>
      <c r="F53" s="127" t="s">
        <v>302</v>
      </c>
      <c r="G53" s="127" t="s">
        <v>42</v>
      </c>
      <c r="H53" s="53" t="s">
        <v>163</v>
      </c>
      <c r="I53" s="53" t="s">
        <v>159</v>
      </c>
      <c r="J53" s="127" t="s">
        <v>38</v>
      </c>
      <c r="K53" s="53" t="s">
        <v>160</v>
      </c>
      <c r="L53" s="53">
        <v>1</v>
      </c>
      <c r="N53" s="53">
        <v>1</v>
      </c>
      <c r="O53" s="53">
        <v>1.4</v>
      </c>
      <c r="P53" s="53">
        <v>1.5</v>
      </c>
      <c r="Q53" s="74">
        <f t="shared" si="0"/>
        <v>1.45</v>
      </c>
      <c r="R53" s="53">
        <v>14.5</v>
      </c>
      <c r="S53" s="53">
        <v>119.5</v>
      </c>
      <c r="T53" s="16">
        <f t="shared" si="1"/>
        <v>30</v>
      </c>
      <c r="U53" s="53">
        <v>138</v>
      </c>
      <c r="V53" s="129">
        <f t="shared" si="2"/>
        <v>4140</v>
      </c>
      <c r="W53" s="53">
        <v>6</v>
      </c>
      <c r="X53" s="127" t="s">
        <v>39</v>
      </c>
      <c r="Y53" s="53" t="s">
        <v>84</v>
      </c>
      <c r="Z53" s="53" t="s">
        <v>90</v>
      </c>
      <c r="AA53" s="53" t="s">
        <v>40</v>
      </c>
      <c r="AB53" s="127" t="s">
        <v>241</v>
      </c>
      <c r="AC53" s="34"/>
    </row>
    <row r="54" spans="1:29" x14ac:dyDescent="0.15">
      <c r="A54" s="127" t="s">
        <v>61</v>
      </c>
      <c r="B54" s="127" t="s">
        <v>237</v>
      </c>
      <c r="C54" s="127">
        <v>2019</v>
      </c>
      <c r="D54" s="128" t="s">
        <v>287</v>
      </c>
      <c r="E54" s="127" t="s">
        <v>301</v>
      </c>
      <c r="F54" s="127" t="s">
        <v>302</v>
      </c>
      <c r="G54" s="127" t="s">
        <v>42</v>
      </c>
      <c r="H54" s="53" t="s">
        <v>163</v>
      </c>
      <c r="I54" s="53" t="s">
        <v>159</v>
      </c>
      <c r="J54" s="127" t="s">
        <v>38</v>
      </c>
      <c r="K54" s="53" t="s">
        <v>160</v>
      </c>
      <c r="L54" s="53">
        <v>2</v>
      </c>
      <c r="N54" s="53">
        <v>1</v>
      </c>
      <c r="O54" s="53">
        <v>1.5</v>
      </c>
      <c r="P54" s="53">
        <v>1</v>
      </c>
      <c r="Q54" s="74">
        <f t="shared" si="0"/>
        <v>1.25</v>
      </c>
      <c r="R54" s="53">
        <v>15.1</v>
      </c>
      <c r="S54" s="53">
        <v>117.5</v>
      </c>
      <c r="T54" s="16">
        <f t="shared" si="1"/>
        <v>30</v>
      </c>
      <c r="U54" s="53">
        <v>138</v>
      </c>
      <c r="V54" s="129">
        <f t="shared" si="2"/>
        <v>4140</v>
      </c>
      <c r="W54" s="53">
        <v>6</v>
      </c>
      <c r="X54" s="127" t="s">
        <v>39</v>
      </c>
      <c r="Y54" s="53" t="s">
        <v>84</v>
      </c>
      <c r="Z54" s="53" t="s">
        <v>90</v>
      </c>
      <c r="AA54" s="53" t="s">
        <v>40</v>
      </c>
      <c r="AB54" s="127" t="s">
        <v>241</v>
      </c>
      <c r="AC54" s="34"/>
    </row>
    <row r="55" spans="1:29" x14ac:dyDescent="0.15">
      <c r="A55" s="127" t="s">
        <v>61</v>
      </c>
      <c r="B55" s="127" t="s">
        <v>237</v>
      </c>
      <c r="C55" s="127">
        <v>2019</v>
      </c>
      <c r="D55" s="128" t="s">
        <v>287</v>
      </c>
      <c r="E55" s="127" t="s">
        <v>301</v>
      </c>
      <c r="F55" s="127" t="s">
        <v>302</v>
      </c>
      <c r="G55" s="127" t="s">
        <v>42</v>
      </c>
      <c r="H55" s="53" t="s">
        <v>163</v>
      </c>
      <c r="I55" s="53" t="s">
        <v>159</v>
      </c>
      <c r="J55" s="127" t="s">
        <v>38</v>
      </c>
      <c r="K55" s="53" t="s">
        <v>160</v>
      </c>
      <c r="L55" s="53">
        <v>3</v>
      </c>
      <c r="N55" s="53">
        <v>1</v>
      </c>
      <c r="O55" s="53">
        <v>1.25</v>
      </c>
      <c r="P55" s="53">
        <v>0.8</v>
      </c>
      <c r="Q55" s="74">
        <f t="shared" si="0"/>
        <v>1.0249999999999999</v>
      </c>
      <c r="R55" s="53">
        <v>10.6</v>
      </c>
      <c r="S55" s="53">
        <v>118.5</v>
      </c>
      <c r="T55" s="16">
        <f t="shared" si="1"/>
        <v>30</v>
      </c>
      <c r="U55" s="53">
        <v>138</v>
      </c>
      <c r="V55" s="129">
        <f t="shared" si="2"/>
        <v>4140</v>
      </c>
      <c r="W55" s="53">
        <v>6</v>
      </c>
      <c r="X55" s="127" t="s">
        <v>39</v>
      </c>
      <c r="Y55" s="53" t="s">
        <v>84</v>
      </c>
      <c r="Z55" s="53" t="s">
        <v>90</v>
      </c>
      <c r="AA55" s="53" t="s">
        <v>40</v>
      </c>
      <c r="AB55" s="127" t="s">
        <v>241</v>
      </c>
      <c r="AC55" s="34"/>
    </row>
    <row r="56" spans="1:29" x14ac:dyDescent="0.15">
      <c r="A56" s="127" t="s">
        <v>61</v>
      </c>
      <c r="B56" s="127" t="s">
        <v>237</v>
      </c>
      <c r="C56" s="127">
        <v>2019</v>
      </c>
      <c r="D56" s="128" t="s">
        <v>287</v>
      </c>
      <c r="E56" s="127" t="s">
        <v>301</v>
      </c>
      <c r="F56" s="127" t="s">
        <v>302</v>
      </c>
      <c r="G56" s="127" t="s">
        <v>42</v>
      </c>
      <c r="H56" s="53" t="s">
        <v>163</v>
      </c>
      <c r="I56" s="53" t="s">
        <v>197</v>
      </c>
      <c r="J56" s="127" t="s">
        <v>38</v>
      </c>
      <c r="K56" s="53" t="s">
        <v>160</v>
      </c>
      <c r="L56" s="53">
        <v>1</v>
      </c>
      <c r="N56" s="53">
        <v>5</v>
      </c>
      <c r="O56" s="53">
        <v>1.2</v>
      </c>
      <c r="P56" s="53">
        <v>1</v>
      </c>
      <c r="Q56" s="74">
        <f t="shared" si="0"/>
        <v>1.1000000000000001</v>
      </c>
      <c r="R56" s="53">
        <v>11.5</v>
      </c>
      <c r="S56" s="53">
        <v>76</v>
      </c>
      <c r="T56" s="16">
        <f t="shared" si="1"/>
        <v>39</v>
      </c>
      <c r="U56" s="53">
        <v>429</v>
      </c>
      <c r="V56" s="129">
        <f t="shared" si="2"/>
        <v>3346.2</v>
      </c>
      <c r="W56" s="53">
        <v>6</v>
      </c>
      <c r="X56" s="127" t="s">
        <v>39</v>
      </c>
      <c r="Y56" s="53" t="s">
        <v>84</v>
      </c>
      <c r="Z56" s="53" t="s">
        <v>90</v>
      </c>
      <c r="AA56" s="53" t="s">
        <v>40</v>
      </c>
      <c r="AB56" s="127" t="s">
        <v>241</v>
      </c>
      <c r="AC56" s="34"/>
    </row>
    <row r="57" spans="1:29" x14ac:dyDescent="0.15">
      <c r="A57" s="127" t="s">
        <v>61</v>
      </c>
      <c r="B57" s="127" t="s">
        <v>237</v>
      </c>
      <c r="C57" s="127">
        <v>2019</v>
      </c>
      <c r="D57" s="128" t="s">
        <v>287</v>
      </c>
      <c r="E57" s="127" t="s">
        <v>301</v>
      </c>
      <c r="F57" s="127" t="s">
        <v>302</v>
      </c>
      <c r="G57" s="127" t="s">
        <v>42</v>
      </c>
      <c r="H57" s="53" t="s">
        <v>163</v>
      </c>
      <c r="I57" s="53" t="s">
        <v>197</v>
      </c>
      <c r="J57" s="127" t="s">
        <v>38</v>
      </c>
      <c r="K57" s="53" t="s">
        <v>160</v>
      </c>
      <c r="L57" s="53">
        <v>2</v>
      </c>
      <c r="N57" s="53">
        <v>5</v>
      </c>
      <c r="O57" s="53">
        <v>1</v>
      </c>
      <c r="P57" s="53">
        <v>0.75</v>
      </c>
      <c r="Q57" s="74">
        <f t="shared" si="0"/>
        <v>0.875</v>
      </c>
      <c r="R57" s="53">
        <v>13.4</v>
      </c>
      <c r="S57" s="53">
        <v>81.5</v>
      </c>
      <c r="T57" s="16">
        <f t="shared" si="1"/>
        <v>39</v>
      </c>
      <c r="U57" s="53">
        <v>429</v>
      </c>
      <c r="V57" s="129">
        <f t="shared" si="2"/>
        <v>3346.2</v>
      </c>
      <c r="W57" s="53">
        <v>6</v>
      </c>
      <c r="X57" s="127" t="s">
        <v>39</v>
      </c>
      <c r="Y57" s="53" t="s">
        <v>84</v>
      </c>
      <c r="Z57" s="53" t="s">
        <v>90</v>
      </c>
      <c r="AA57" s="53" t="s">
        <v>40</v>
      </c>
      <c r="AB57" s="127" t="s">
        <v>241</v>
      </c>
      <c r="AC57" s="34"/>
    </row>
    <row r="58" spans="1:29" x14ac:dyDescent="0.15">
      <c r="A58" s="127" t="s">
        <v>61</v>
      </c>
      <c r="B58" s="127" t="s">
        <v>237</v>
      </c>
      <c r="C58" s="127">
        <v>2019</v>
      </c>
      <c r="D58" s="128" t="s">
        <v>287</v>
      </c>
      <c r="E58" s="127" t="s">
        <v>301</v>
      </c>
      <c r="F58" s="127" t="s">
        <v>302</v>
      </c>
      <c r="G58" s="127" t="s">
        <v>42</v>
      </c>
      <c r="H58" s="53" t="s">
        <v>163</v>
      </c>
      <c r="I58" s="53" t="s">
        <v>197</v>
      </c>
      <c r="J58" s="127" t="s">
        <v>38</v>
      </c>
      <c r="K58" s="53" t="s">
        <v>160</v>
      </c>
      <c r="L58" s="53">
        <v>3</v>
      </c>
      <c r="N58" s="53">
        <v>5</v>
      </c>
      <c r="O58" s="53">
        <v>1.2</v>
      </c>
      <c r="P58" s="53">
        <v>0.7</v>
      </c>
      <c r="Q58" s="74">
        <f t="shared" si="0"/>
        <v>0.95</v>
      </c>
      <c r="R58" s="53">
        <v>13.2</v>
      </c>
      <c r="S58" s="53">
        <v>78</v>
      </c>
      <c r="T58" s="16">
        <f t="shared" si="1"/>
        <v>39</v>
      </c>
      <c r="U58" s="53">
        <v>429</v>
      </c>
      <c r="V58" s="129">
        <f t="shared" si="2"/>
        <v>3346.2</v>
      </c>
      <c r="W58" s="53">
        <v>6</v>
      </c>
      <c r="X58" s="127" t="s">
        <v>39</v>
      </c>
      <c r="Y58" s="53" t="s">
        <v>84</v>
      </c>
      <c r="Z58" s="53" t="s">
        <v>90</v>
      </c>
      <c r="AA58" s="53" t="s">
        <v>40</v>
      </c>
      <c r="AB58" s="127" t="s">
        <v>241</v>
      </c>
      <c r="AC58" s="34"/>
    </row>
    <row r="59" spans="1:29" x14ac:dyDescent="0.15">
      <c r="A59" s="127" t="s">
        <v>61</v>
      </c>
      <c r="B59" s="127" t="s">
        <v>237</v>
      </c>
      <c r="C59" s="127">
        <v>2019</v>
      </c>
      <c r="D59" s="128" t="s">
        <v>287</v>
      </c>
      <c r="E59" s="127" t="s">
        <v>301</v>
      </c>
      <c r="F59" s="127" t="s">
        <v>302</v>
      </c>
      <c r="G59" s="127" t="s">
        <v>42</v>
      </c>
      <c r="H59" s="53" t="s">
        <v>127</v>
      </c>
      <c r="I59" s="53" t="s">
        <v>159</v>
      </c>
      <c r="J59" s="127" t="s">
        <v>80</v>
      </c>
      <c r="K59" s="53" t="s">
        <v>63</v>
      </c>
      <c r="L59" s="53">
        <v>1</v>
      </c>
      <c r="N59" s="53">
        <v>5</v>
      </c>
      <c r="O59" s="53">
        <v>0.8</v>
      </c>
      <c r="P59" s="53">
        <v>1</v>
      </c>
      <c r="Q59" s="74">
        <f t="shared" si="0"/>
        <v>0.9</v>
      </c>
      <c r="R59" s="53">
        <v>15.1</v>
      </c>
      <c r="S59" s="53">
        <v>64</v>
      </c>
      <c r="T59" s="16">
        <f t="shared" si="1"/>
        <v>50</v>
      </c>
      <c r="U59" s="53">
        <v>429</v>
      </c>
      <c r="V59" s="129">
        <f t="shared" si="2"/>
        <v>4290</v>
      </c>
      <c r="W59" s="53">
        <v>6</v>
      </c>
      <c r="X59" s="127" t="s">
        <v>39</v>
      </c>
      <c r="Y59" s="53" t="s">
        <v>84</v>
      </c>
      <c r="Z59" s="53" t="s">
        <v>90</v>
      </c>
      <c r="AA59" s="53" t="s">
        <v>40</v>
      </c>
      <c r="AB59" s="127" t="s">
        <v>241</v>
      </c>
    </row>
    <row r="60" spans="1:29" x14ac:dyDescent="0.15">
      <c r="A60" s="127" t="s">
        <v>61</v>
      </c>
      <c r="B60" s="127" t="s">
        <v>237</v>
      </c>
      <c r="C60" s="127">
        <v>2019</v>
      </c>
      <c r="D60" s="128" t="s">
        <v>287</v>
      </c>
      <c r="E60" s="127" t="s">
        <v>301</v>
      </c>
      <c r="F60" s="127" t="s">
        <v>302</v>
      </c>
      <c r="G60" s="127" t="s">
        <v>42</v>
      </c>
      <c r="H60" s="53" t="s">
        <v>127</v>
      </c>
      <c r="I60" s="53" t="s">
        <v>159</v>
      </c>
      <c r="J60" s="127" t="s">
        <v>80</v>
      </c>
      <c r="K60" s="53" t="s">
        <v>63</v>
      </c>
      <c r="L60" s="53">
        <v>2</v>
      </c>
      <c r="N60" s="53">
        <v>5</v>
      </c>
      <c r="O60" s="53">
        <v>0.8</v>
      </c>
      <c r="P60" s="53">
        <v>0.5</v>
      </c>
      <c r="Q60" s="74">
        <f t="shared" si="0"/>
        <v>0.65</v>
      </c>
      <c r="R60" s="53">
        <v>9.4</v>
      </c>
      <c r="S60" s="53">
        <v>71</v>
      </c>
      <c r="T60" s="16">
        <f t="shared" si="1"/>
        <v>42</v>
      </c>
      <c r="U60" s="53">
        <v>429</v>
      </c>
      <c r="V60" s="129">
        <f t="shared" si="2"/>
        <v>3603.6</v>
      </c>
      <c r="W60" s="53">
        <v>6</v>
      </c>
      <c r="X60" s="127" t="s">
        <v>39</v>
      </c>
      <c r="Y60" s="53" t="s">
        <v>84</v>
      </c>
      <c r="Z60" s="53" t="s">
        <v>90</v>
      </c>
      <c r="AA60" s="53" t="s">
        <v>40</v>
      </c>
      <c r="AB60" s="127" t="s">
        <v>241</v>
      </c>
    </row>
    <row r="61" spans="1:29" x14ac:dyDescent="0.15">
      <c r="A61" s="127" t="s">
        <v>61</v>
      </c>
      <c r="B61" s="127" t="s">
        <v>237</v>
      </c>
      <c r="C61" s="127">
        <v>2019</v>
      </c>
      <c r="D61" s="128" t="s">
        <v>287</v>
      </c>
      <c r="E61" s="127" t="s">
        <v>301</v>
      </c>
      <c r="F61" s="127" t="s">
        <v>302</v>
      </c>
      <c r="G61" s="127" t="s">
        <v>42</v>
      </c>
      <c r="H61" s="53" t="s">
        <v>127</v>
      </c>
      <c r="I61" s="53" t="s">
        <v>159</v>
      </c>
      <c r="J61" s="127" t="s">
        <v>80</v>
      </c>
      <c r="K61" s="53" t="s">
        <v>63</v>
      </c>
      <c r="L61" s="53">
        <v>3</v>
      </c>
      <c r="N61" s="53">
        <v>5</v>
      </c>
      <c r="O61" s="53">
        <v>1</v>
      </c>
      <c r="P61" s="53">
        <v>0.9</v>
      </c>
      <c r="Q61" s="74">
        <f t="shared" si="0"/>
        <v>0.95</v>
      </c>
      <c r="R61" s="53">
        <v>14.9</v>
      </c>
      <c r="S61" s="53">
        <v>73</v>
      </c>
      <c r="T61" s="16">
        <f t="shared" si="1"/>
        <v>42</v>
      </c>
      <c r="U61" s="53">
        <v>429</v>
      </c>
      <c r="V61" s="129">
        <f t="shared" si="2"/>
        <v>3603.6</v>
      </c>
      <c r="W61" s="53">
        <v>6</v>
      </c>
      <c r="X61" s="127" t="s">
        <v>39</v>
      </c>
      <c r="Y61" s="53" t="s">
        <v>84</v>
      </c>
      <c r="Z61" s="53" t="s">
        <v>90</v>
      </c>
      <c r="AA61" s="53" t="s">
        <v>40</v>
      </c>
      <c r="AB61" s="127" t="s">
        <v>241</v>
      </c>
    </row>
    <row r="62" spans="1:29" x14ac:dyDescent="0.15">
      <c r="A62" s="127" t="s">
        <v>61</v>
      </c>
      <c r="B62" s="127" t="s">
        <v>237</v>
      </c>
      <c r="C62" s="127">
        <v>2019</v>
      </c>
      <c r="D62" s="128" t="s">
        <v>287</v>
      </c>
      <c r="E62" s="127" t="s">
        <v>303</v>
      </c>
      <c r="F62" s="127" t="s">
        <v>302</v>
      </c>
      <c r="G62" s="127" t="s">
        <v>42</v>
      </c>
      <c r="H62" s="53" t="s">
        <v>163</v>
      </c>
      <c r="I62" s="53" t="s">
        <v>159</v>
      </c>
      <c r="J62" s="127" t="s">
        <v>38</v>
      </c>
      <c r="K62" s="53" t="s">
        <v>160</v>
      </c>
      <c r="L62" s="53">
        <v>1</v>
      </c>
      <c r="N62" s="53">
        <v>1</v>
      </c>
      <c r="O62" s="53">
        <v>1.25</v>
      </c>
      <c r="P62" s="53">
        <v>1</v>
      </c>
      <c r="Q62" s="74">
        <f t="shared" si="0"/>
        <v>1.125</v>
      </c>
      <c r="R62" s="53">
        <v>14.1</v>
      </c>
      <c r="S62" s="53">
        <v>105.5</v>
      </c>
      <c r="T62" s="16">
        <f t="shared" si="1"/>
        <v>33</v>
      </c>
      <c r="U62" s="53">
        <v>105</v>
      </c>
      <c r="V62" s="129">
        <f t="shared" si="2"/>
        <v>3465</v>
      </c>
      <c r="W62" s="53">
        <v>13</v>
      </c>
      <c r="X62" s="127" t="s">
        <v>46</v>
      </c>
      <c r="Y62" s="53" t="s">
        <v>84</v>
      </c>
      <c r="Z62" s="53" t="s">
        <v>90</v>
      </c>
      <c r="AA62" s="53" t="s">
        <v>69</v>
      </c>
      <c r="AB62" s="127" t="s">
        <v>241</v>
      </c>
    </row>
    <row r="63" spans="1:29" x14ac:dyDescent="0.15">
      <c r="A63" s="127" t="s">
        <v>61</v>
      </c>
      <c r="B63" s="127" t="s">
        <v>237</v>
      </c>
      <c r="C63" s="127">
        <v>2019</v>
      </c>
      <c r="D63" s="128" t="s">
        <v>287</v>
      </c>
      <c r="E63" s="127" t="s">
        <v>303</v>
      </c>
      <c r="F63" s="127" t="s">
        <v>302</v>
      </c>
      <c r="G63" s="127" t="s">
        <v>42</v>
      </c>
      <c r="H63" s="53" t="s">
        <v>163</v>
      </c>
      <c r="I63" s="53" t="s">
        <v>159</v>
      </c>
      <c r="J63" s="127" t="s">
        <v>38</v>
      </c>
      <c r="K63" s="53" t="s">
        <v>160</v>
      </c>
      <c r="L63" s="53">
        <v>2</v>
      </c>
      <c r="N63" s="53">
        <v>1</v>
      </c>
      <c r="O63" s="53">
        <v>1.25</v>
      </c>
      <c r="P63" s="53">
        <v>1.2</v>
      </c>
      <c r="Q63" s="74">
        <f t="shared" si="0"/>
        <v>1.2250000000000001</v>
      </c>
      <c r="R63" s="53">
        <v>12.3</v>
      </c>
      <c r="S63" s="53">
        <v>110.5</v>
      </c>
      <c r="T63" s="16">
        <f t="shared" si="1"/>
        <v>33</v>
      </c>
      <c r="U63" s="53">
        <v>105</v>
      </c>
      <c r="V63" s="129">
        <f t="shared" si="2"/>
        <v>3465</v>
      </c>
      <c r="W63" s="53">
        <v>13</v>
      </c>
      <c r="X63" s="127" t="s">
        <v>46</v>
      </c>
      <c r="Y63" s="53" t="s">
        <v>84</v>
      </c>
      <c r="Z63" s="53" t="s">
        <v>90</v>
      </c>
      <c r="AA63" s="53" t="s">
        <v>69</v>
      </c>
      <c r="AB63" s="127" t="s">
        <v>241</v>
      </c>
    </row>
    <row r="64" spans="1:29" x14ac:dyDescent="0.15">
      <c r="A64" s="127" t="s">
        <v>61</v>
      </c>
      <c r="B64" s="127" t="s">
        <v>237</v>
      </c>
      <c r="C64" s="127">
        <v>2019</v>
      </c>
      <c r="D64" s="128" t="s">
        <v>287</v>
      </c>
      <c r="E64" s="127" t="s">
        <v>303</v>
      </c>
      <c r="F64" s="127" t="s">
        <v>302</v>
      </c>
      <c r="G64" s="127" t="s">
        <v>42</v>
      </c>
      <c r="H64" s="53" t="s">
        <v>163</v>
      </c>
      <c r="I64" s="53" t="s">
        <v>159</v>
      </c>
      <c r="J64" s="127" t="s">
        <v>38</v>
      </c>
      <c r="K64" s="53" t="s">
        <v>160</v>
      </c>
      <c r="L64" s="53">
        <v>3</v>
      </c>
      <c r="N64" s="53">
        <v>1</v>
      </c>
      <c r="O64" s="53">
        <v>1.2</v>
      </c>
      <c r="P64" s="53">
        <v>1.25</v>
      </c>
      <c r="Q64" s="74">
        <f t="shared" si="0"/>
        <v>1.2250000000000001</v>
      </c>
      <c r="R64" s="53">
        <v>13.5</v>
      </c>
      <c r="S64" s="53">
        <v>113</v>
      </c>
      <c r="T64" s="16">
        <f t="shared" si="1"/>
        <v>30</v>
      </c>
      <c r="U64" s="53">
        <v>105</v>
      </c>
      <c r="V64" s="129">
        <f t="shared" si="2"/>
        <v>3150</v>
      </c>
      <c r="W64" s="53">
        <v>13</v>
      </c>
      <c r="X64" s="127" t="s">
        <v>46</v>
      </c>
      <c r="Y64" s="53" t="s">
        <v>84</v>
      </c>
      <c r="Z64" s="53" t="s">
        <v>90</v>
      </c>
      <c r="AA64" s="53" t="s">
        <v>69</v>
      </c>
      <c r="AB64" s="127" t="s">
        <v>241</v>
      </c>
    </row>
    <row r="65" spans="1:29" x14ac:dyDescent="0.15">
      <c r="A65" s="127" t="s">
        <v>61</v>
      </c>
      <c r="B65" s="127" t="s">
        <v>237</v>
      </c>
      <c r="C65" s="127">
        <v>2019</v>
      </c>
      <c r="D65" s="128" t="s">
        <v>287</v>
      </c>
      <c r="E65" s="127" t="s">
        <v>303</v>
      </c>
      <c r="F65" s="127" t="s">
        <v>302</v>
      </c>
      <c r="G65" s="127" t="s">
        <v>42</v>
      </c>
      <c r="H65" s="53" t="s">
        <v>127</v>
      </c>
      <c r="I65" s="53" t="s">
        <v>159</v>
      </c>
      <c r="J65" s="127" t="s">
        <v>80</v>
      </c>
      <c r="K65" s="53" t="s">
        <v>94</v>
      </c>
      <c r="L65" s="53">
        <v>1</v>
      </c>
      <c r="N65" s="53">
        <v>1</v>
      </c>
      <c r="O65" s="53">
        <v>1.75</v>
      </c>
      <c r="P65" s="53">
        <v>1.6</v>
      </c>
      <c r="Q65" s="74">
        <f t="shared" si="0"/>
        <v>1.675</v>
      </c>
      <c r="R65" s="53">
        <v>15.2</v>
      </c>
      <c r="S65" s="53">
        <v>126</v>
      </c>
      <c r="T65" s="16">
        <f t="shared" si="1"/>
        <v>27</v>
      </c>
      <c r="U65" s="53">
        <v>105</v>
      </c>
      <c r="V65" s="129">
        <f t="shared" si="2"/>
        <v>2835</v>
      </c>
      <c r="W65" s="53">
        <v>13</v>
      </c>
      <c r="X65" s="127" t="s">
        <v>46</v>
      </c>
      <c r="Y65" s="53" t="s">
        <v>84</v>
      </c>
      <c r="Z65" s="53" t="s">
        <v>90</v>
      </c>
      <c r="AA65" s="53" t="s">
        <v>69</v>
      </c>
      <c r="AB65" s="127" t="s">
        <v>241</v>
      </c>
      <c r="AC65" s="34"/>
    </row>
    <row r="66" spans="1:29" x14ac:dyDescent="0.15">
      <c r="A66" s="127" t="s">
        <v>61</v>
      </c>
      <c r="B66" s="127" t="s">
        <v>237</v>
      </c>
      <c r="C66" s="127">
        <v>2019</v>
      </c>
      <c r="D66" s="128" t="s">
        <v>287</v>
      </c>
      <c r="E66" s="127" t="s">
        <v>303</v>
      </c>
      <c r="F66" s="127" t="s">
        <v>302</v>
      </c>
      <c r="G66" s="127" t="s">
        <v>42</v>
      </c>
      <c r="H66" s="53" t="s">
        <v>127</v>
      </c>
      <c r="I66" s="53" t="s">
        <v>159</v>
      </c>
      <c r="J66" s="127" t="s">
        <v>80</v>
      </c>
      <c r="K66" s="53" t="s">
        <v>94</v>
      </c>
      <c r="L66" s="53">
        <v>2</v>
      </c>
      <c r="N66" s="53">
        <v>1</v>
      </c>
      <c r="O66" s="53">
        <v>1.5</v>
      </c>
      <c r="P66" s="53">
        <v>1.1000000000000001</v>
      </c>
      <c r="Q66" s="74">
        <f t="shared" ref="Q66:Q79" si="3">IF(OR(O66="",P66=""),"",AVERAGE(O66,P66))</f>
        <v>1.3</v>
      </c>
      <c r="R66" s="53">
        <v>10.6</v>
      </c>
      <c r="S66" s="53">
        <v>108</v>
      </c>
      <c r="T66" s="16">
        <f t="shared" ref="T66:T79" si="4">IF(H66="","",IF(OR(H66="GREEN",H66="GK"),IF(S66&gt;=$AX$2,VLOOKUP(S66,$AX$2:$AY$15,2,1),""),IF(S66&gt;=$AZ$2,VLOOKUP(S66,$AZ$2:$BA$15,2,1),"")))</f>
        <v>33</v>
      </c>
      <c r="U66" s="53">
        <v>105</v>
      </c>
      <c r="V66" s="129">
        <f t="shared" ref="V66:V79" si="5">IF(OR(N66="",U66="",T66=""),"",U66/N66*T66)</f>
        <v>3465</v>
      </c>
      <c r="W66" s="53">
        <v>13</v>
      </c>
      <c r="X66" s="127" t="s">
        <v>46</v>
      </c>
      <c r="Y66" s="53" t="s">
        <v>84</v>
      </c>
      <c r="Z66" s="53" t="s">
        <v>90</v>
      </c>
      <c r="AA66" s="53" t="s">
        <v>69</v>
      </c>
      <c r="AB66" s="127" t="s">
        <v>241</v>
      </c>
      <c r="AC66" s="34"/>
    </row>
    <row r="67" spans="1:29" x14ac:dyDescent="0.15">
      <c r="A67" s="127" t="s">
        <v>61</v>
      </c>
      <c r="B67" s="127" t="s">
        <v>237</v>
      </c>
      <c r="C67" s="127">
        <v>2019</v>
      </c>
      <c r="D67" s="128" t="s">
        <v>287</v>
      </c>
      <c r="E67" s="127" t="s">
        <v>303</v>
      </c>
      <c r="F67" s="127" t="s">
        <v>302</v>
      </c>
      <c r="G67" s="127" t="s">
        <v>42</v>
      </c>
      <c r="H67" s="53" t="s">
        <v>127</v>
      </c>
      <c r="I67" s="53" t="s">
        <v>159</v>
      </c>
      <c r="J67" s="127" t="s">
        <v>80</v>
      </c>
      <c r="K67" s="53" t="s">
        <v>94</v>
      </c>
      <c r="L67" s="53">
        <v>3</v>
      </c>
      <c r="N67" s="53">
        <v>1</v>
      </c>
      <c r="O67" s="53">
        <v>0.75</v>
      </c>
      <c r="P67" s="53">
        <v>0.75</v>
      </c>
      <c r="Q67" s="74">
        <f t="shared" si="3"/>
        <v>0.75</v>
      </c>
      <c r="R67" s="34">
        <v>15.4</v>
      </c>
      <c r="S67" s="53">
        <v>113</v>
      </c>
      <c r="T67" s="16">
        <f t="shared" si="4"/>
        <v>30</v>
      </c>
      <c r="U67" s="53">
        <v>105</v>
      </c>
      <c r="V67" s="129">
        <f t="shared" si="5"/>
        <v>3150</v>
      </c>
      <c r="W67" s="53">
        <v>13</v>
      </c>
      <c r="X67" s="127" t="s">
        <v>46</v>
      </c>
      <c r="Y67" s="53" t="s">
        <v>84</v>
      </c>
      <c r="Z67" s="53" t="s">
        <v>90</v>
      </c>
      <c r="AA67" s="53" t="s">
        <v>69</v>
      </c>
      <c r="AB67" s="127" t="s">
        <v>241</v>
      </c>
      <c r="AC67" s="34"/>
    </row>
    <row r="68" spans="1:29" x14ac:dyDescent="0.15">
      <c r="A68" s="127" t="s">
        <v>61</v>
      </c>
      <c r="B68" s="127" t="s">
        <v>237</v>
      </c>
      <c r="C68" s="127">
        <v>2019</v>
      </c>
      <c r="D68" s="128" t="s">
        <v>287</v>
      </c>
      <c r="E68" s="127" t="s">
        <v>303</v>
      </c>
      <c r="F68" s="127" t="s">
        <v>302</v>
      </c>
      <c r="G68" s="127" t="s">
        <v>42</v>
      </c>
      <c r="H68" s="53" t="s">
        <v>128</v>
      </c>
      <c r="I68" s="53" t="s">
        <v>159</v>
      </c>
      <c r="J68" s="127" t="s">
        <v>112</v>
      </c>
      <c r="K68" s="53" t="s">
        <v>105</v>
      </c>
      <c r="L68" s="53">
        <v>1</v>
      </c>
      <c r="N68" s="53">
        <v>1</v>
      </c>
      <c r="O68" s="53">
        <v>0.75</v>
      </c>
      <c r="P68" s="53">
        <v>1</v>
      </c>
      <c r="Q68" s="74">
        <f t="shared" si="3"/>
        <v>0.875</v>
      </c>
      <c r="R68" s="53">
        <v>15.3</v>
      </c>
      <c r="S68" s="53">
        <v>151</v>
      </c>
      <c r="T68" s="16">
        <f t="shared" si="4"/>
        <v>22</v>
      </c>
      <c r="U68" s="53">
        <v>198</v>
      </c>
      <c r="V68" s="129">
        <f t="shared" si="5"/>
        <v>4356</v>
      </c>
      <c r="W68" s="53">
        <v>13</v>
      </c>
      <c r="X68" s="127" t="s">
        <v>46</v>
      </c>
      <c r="Y68" s="53" t="s">
        <v>84</v>
      </c>
      <c r="Z68" s="53" t="s">
        <v>90</v>
      </c>
      <c r="AA68" s="53" t="s">
        <v>69</v>
      </c>
      <c r="AB68" s="127" t="s">
        <v>241</v>
      </c>
      <c r="AC68" s="34"/>
    </row>
    <row r="69" spans="1:29" x14ac:dyDescent="0.15">
      <c r="A69" s="127" t="s">
        <v>61</v>
      </c>
      <c r="B69" s="127" t="s">
        <v>237</v>
      </c>
      <c r="C69" s="127">
        <v>2019</v>
      </c>
      <c r="D69" s="128" t="s">
        <v>287</v>
      </c>
      <c r="E69" s="127" t="s">
        <v>303</v>
      </c>
      <c r="F69" s="127" t="s">
        <v>302</v>
      </c>
      <c r="G69" s="127" t="s">
        <v>42</v>
      </c>
      <c r="H69" s="53" t="s">
        <v>128</v>
      </c>
      <c r="I69" s="53" t="s">
        <v>159</v>
      </c>
      <c r="J69" s="127" t="s">
        <v>112</v>
      </c>
      <c r="K69" s="53" t="s">
        <v>105</v>
      </c>
      <c r="L69" s="53">
        <v>2</v>
      </c>
      <c r="N69" s="53">
        <v>1</v>
      </c>
      <c r="O69" s="53">
        <v>1.6</v>
      </c>
      <c r="P69" s="53">
        <v>1</v>
      </c>
      <c r="Q69" s="74">
        <f t="shared" si="3"/>
        <v>1.3</v>
      </c>
      <c r="R69" s="34">
        <v>14.5</v>
      </c>
      <c r="S69" s="53">
        <v>146</v>
      </c>
      <c r="T69" s="16">
        <f t="shared" si="4"/>
        <v>22</v>
      </c>
      <c r="U69" s="53">
        <v>198</v>
      </c>
      <c r="V69" s="129">
        <f t="shared" si="5"/>
        <v>4356</v>
      </c>
      <c r="W69" s="53">
        <v>13</v>
      </c>
      <c r="X69" s="127" t="s">
        <v>46</v>
      </c>
      <c r="Y69" s="53" t="s">
        <v>84</v>
      </c>
      <c r="Z69" s="53" t="s">
        <v>90</v>
      </c>
      <c r="AA69" s="53" t="s">
        <v>69</v>
      </c>
      <c r="AB69" s="127" t="s">
        <v>241</v>
      </c>
      <c r="AC69" s="34"/>
    </row>
    <row r="70" spans="1:29" x14ac:dyDescent="0.15">
      <c r="A70" s="127" t="s">
        <v>61</v>
      </c>
      <c r="B70" s="127" t="s">
        <v>237</v>
      </c>
      <c r="C70" s="127">
        <v>2019</v>
      </c>
      <c r="D70" s="128" t="s">
        <v>287</v>
      </c>
      <c r="E70" s="127" t="s">
        <v>303</v>
      </c>
      <c r="F70" s="127" t="s">
        <v>302</v>
      </c>
      <c r="G70" s="127" t="s">
        <v>42</v>
      </c>
      <c r="H70" s="53" t="s">
        <v>128</v>
      </c>
      <c r="I70" s="53" t="s">
        <v>159</v>
      </c>
      <c r="J70" s="127" t="s">
        <v>112</v>
      </c>
      <c r="K70" s="53" t="s">
        <v>105</v>
      </c>
      <c r="L70" s="53">
        <v>3</v>
      </c>
      <c r="N70" s="53">
        <v>1</v>
      </c>
      <c r="O70" s="53">
        <v>1</v>
      </c>
      <c r="P70" s="53">
        <v>0.6</v>
      </c>
      <c r="Q70" s="74">
        <f t="shared" si="3"/>
        <v>0.8</v>
      </c>
      <c r="R70" s="34">
        <v>14.9</v>
      </c>
      <c r="S70" s="53">
        <v>147</v>
      </c>
      <c r="T70" s="16">
        <f t="shared" si="4"/>
        <v>22</v>
      </c>
      <c r="U70" s="53">
        <v>198</v>
      </c>
      <c r="V70" s="129">
        <f t="shared" si="5"/>
        <v>4356</v>
      </c>
      <c r="W70" s="53">
        <v>13</v>
      </c>
      <c r="X70" s="127" t="s">
        <v>46</v>
      </c>
      <c r="Y70" s="53" t="s">
        <v>84</v>
      </c>
      <c r="Z70" s="53" t="s">
        <v>90</v>
      </c>
      <c r="AA70" s="53" t="s">
        <v>69</v>
      </c>
      <c r="AB70" s="127" t="s">
        <v>241</v>
      </c>
      <c r="AC70" s="34"/>
    </row>
    <row r="71" spans="1:29" x14ac:dyDescent="0.15">
      <c r="A71" s="127" t="s">
        <v>61</v>
      </c>
      <c r="B71" s="127" t="s">
        <v>237</v>
      </c>
      <c r="C71" s="127">
        <v>2019</v>
      </c>
      <c r="D71" s="128" t="s">
        <v>287</v>
      </c>
      <c r="E71" s="127" t="s">
        <v>303</v>
      </c>
      <c r="F71" s="127" t="s">
        <v>302</v>
      </c>
      <c r="G71" s="127" t="s">
        <v>42</v>
      </c>
      <c r="H71" s="53" t="s">
        <v>127</v>
      </c>
      <c r="I71" s="53" t="s">
        <v>159</v>
      </c>
      <c r="J71" s="127" t="s">
        <v>80</v>
      </c>
      <c r="K71" s="53" t="s">
        <v>45</v>
      </c>
      <c r="L71" s="53">
        <v>1</v>
      </c>
      <c r="N71" s="53">
        <v>5</v>
      </c>
      <c r="O71" s="53">
        <v>1.5</v>
      </c>
      <c r="P71" s="53">
        <v>1</v>
      </c>
      <c r="Q71" s="74">
        <f t="shared" si="3"/>
        <v>1.25</v>
      </c>
      <c r="R71" s="53">
        <v>13.6</v>
      </c>
      <c r="S71" s="53">
        <v>96</v>
      </c>
      <c r="T71" s="16">
        <f t="shared" si="4"/>
        <v>36</v>
      </c>
      <c r="U71" s="53">
        <v>398</v>
      </c>
      <c r="V71" s="129">
        <f t="shared" si="5"/>
        <v>2865.6</v>
      </c>
      <c r="W71" s="53">
        <v>13</v>
      </c>
      <c r="X71" s="127" t="s">
        <v>46</v>
      </c>
      <c r="Y71" s="53" t="s">
        <v>84</v>
      </c>
      <c r="Z71" s="53" t="s">
        <v>90</v>
      </c>
      <c r="AA71" s="53" t="s">
        <v>69</v>
      </c>
      <c r="AB71" s="127" t="s">
        <v>241</v>
      </c>
      <c r="AC71" s="34"/>
    </row>
    <row r="72" spans="1:29" x14ac:dyDescent="0.15">
      <c r="A72" s="127" t="s">
        <v>61</v>
      </c>
      <c r="B72" s="127" t="s">
        <v>237</v>
      </c>
      <c r="C72" s="127">
        <v>2019</v>
      </c>
      <c r="D72" s="128" t="s">
        <v>287</v>
      </c>
      <c r="E72" s="127" t="s">
        <v>303</v>
      </c>
      <c r="F72" s="127" t="s">
        <v>302</v>
      </c>
      <c r="G72" s="127" t="s">
        <v>42</v>
      </c>
      <c r="H72" s="53" t="s">
        <v>127</v>
      </c>
      <c r="I72" s="53" t="s">
        <v>159</v>
      </c>
      <c r="J72" s="127" t="s">
        <v>80</v>
      </c>
      <c r="K72" s="53" t="s">
        <v>45</v>
      </c>
      <c r="L72" s="53">
        <v>2</v>
      </c>
      <c r="N72" s="53">
        <v>5</v>
      </c>
      <c r="O72" s="53">
        <v>1.2</v>
      </c>
      <c r="P72" s="53">
        <v>1.2</v>
      </c>
      <c r="Q72" s="74">
        <f t="shared" si="3"/>
        <v>1.2</v>
      </c>
      <c r="R72" s="53">
        <v>13.6</v>
      </c>
      <c r="S72" s="53">
        <v>91</v>
      </c>
      <c r="T72" s="16">
        <f t="shared" si="4"/>
        <v>36</v>
      </c>
      <c r="U72" s="53">
        <v>398</v>
      </c>
      <c r="V72" s="129">
        <f t="shared" si="5"/>
        <v>2865.6</v>
      </c>
      <c r="W72" s="53">
        <v>13</v>
      </c>
      <c r="X72" s="127" t="s">
        <v>46</v>
      </c>
      <c r="Y72" s="53" t="s">
        <v>84</v>
      </c>
      <c r="Z72" s="53" t="s">
        <v>90</v>
      </c>
      <c r="AA72" s="53" t="s">
        <v>69</v>
      </c>
      <c r="AB72" s="127" t="s">
        <v>241</v>
      </c>
      <c r="AC72" s="34"/>
    </row>
    <row r="73" spans="1:29" x14ac:dyDescent="0.15">
      <c r="A73" s="127" t="s">
        <v>61</v>
      </c>
      <c r="B73" s="127" t="s">
        <v>237</v>
      </c>
      <c r="C73" s="127">
        <v>2019</v>
      </c>
      <c r="D73" s="128" t="s">
        <v>287</v>
      </c>
      <c r="E73" s="127" t="s">
        <v>303</v>
      </c>
      <c r="F73" s="127" t="s">
        <v>302</v>
      </c>
      <c r="G73" s="127" t="s">
        <v>42</v>
      </c>
      <c r="H73" s="53" t="s">
        <v>127</v>
      </c>
      <c r="I73" s="53" t="s">
        <v>159</v>
      </c>
      <c r="J73" s="127" t="s">
        <v>80</v>
      </c>
      <c r="K73" s="53" t="s">
        <v>45</v>
      </c>
      <c r="L73" s="53">
        <v>3</v>
      </c>
      <c r="N73" s="53">
        <v>5</v>
      </c>
      <c r="O73" s="53">
        <v>1.25</v>
      </c>
      <c r="P73" s="53">
        <v>0.75</v>
      </c>
      <c r="Q73" s="74">
        <f t="shared" si="3"/>
        <v>1</v>
      </c>
      <c r="R73" s="53">
        <v>15</v>
      </c>
      <c r="S73" s="53">
        <v>90.5</v>
      </c>
      <c r="T73" s="16">
        <f t="shared" si="4"/>
        <v>36</v>
      </c>
      <c r="U73" s="53">
        <v>398</v>
      </c>
      <c r="V73" s="129">
        <f t="shared" si="5"/>
        <v>2865.6</v>
      </c>
      <c r="W73" s="53">
        <v>13</v>
      </c>
      <c r="X73" s="127" t="s">
        <v>46</v>
      </c>
      <c r="Y73" s="53" t="s">
        <v>84</v>
      </c>
      <c r="Z73" s="53" t="s">
        <v>90</v>
      </c>
      <c r="AA73" s="53" t="s">
        <v>69</v>
      </c>
      <c r="AB73" s="127" t="s">
        <v>241</v>
      </c>
      <c r="AC73" s="34"/>
    </row>
    <row r="74" spans="1:29" x14ac:dyDescent="0.15">
      <c r="A74" s="127" t="s">
        <v>61</v>
      </c>
      <c r="B74" s="127" t="s">
        <v>237</v>
      </c>
      <c r="C74" s="127">
        <v>2019</v>
      </c>
      <c r="D74" s="128" t="s">
        <v>287</v>
      </c>
      <c r="E74" s="127" t="s">
        <v>303</v>
      </c>
      <c r="F74" s="127" t="s">
        <v>302</v>
      </c>
      <c r="G74" s="127" t="s">
        <v>42</v>
      </c>
      <c r="H74" s="53" t="s">
        <v>203</v>
      </c>
      <c r="I74" s="53" t="s">
        <v>159</v>
      </c>
      <c r="J74" s="127" t="s">
        <v>38</v>
      </c>
      <c r="K74" s="53" t="s">
        <v>54</v>
      </c>
      <c r="L74" s="53">
        <v>1</v>
      </c>
      <c r="N74" s="53">
        <v>4</v>
      </c>
      <c r="O74" s="53">
        <v>1.75</v>
      </c>
      <c r="P74" s="53">
        <v>1.1000000000000001</v>
      </c>
      <c r="Q74" s="74">
        <f t="shared" si="3"/>
        <v>1.425</v>
      </c>
      <c r="R74" s="53">
        <v>13.6</v>
      </c>
      <c r="S74" s="53">
        <v>74.5</v>
      </c>
      <c r="T74" s="16">
        <f t="shared" si="4"/>
        <v>42</v>
      </c>
      <c r="U74" s="53">
        <v>498</v>
      </c>
      <c r="V74" s="129">
        <f t="shared" si="5"/>
        <v>5229</v>
      </c>
      <c r="W74" s="53">
        <v>13</v>
      </c>
      <c r="X74" s="127" t="s">
        <v>46</v>
      </c>
      <c r="Y74" s="53" t="s">
        <v>84</v>
      </c>
      <c r="Z74" s="53" t="s">
        <v>90</v>
      </c>
      <c r="AA74" s="53" t="s">
        <v>69</v>
      </c>
      <c r="AB74" s="127" t="s">
        <v>241</v>
      </c>
    </row>
    <row r="75" spans="1:29" x14ac:dyDescent="0.15">
      <c r="A75" s="127" t="s">
        <v>61</v>
      </c>
      <c r="B75" s="127" t="s">
        <v>237</v>
      </c>
      <c r="C75" s="127">
        <v>2019</v>
      </c>
      <c r="D75" s="128" t="s">
        <v>287</v>
      </c>
      <c r="E75" s="127" t="s">
        <v>303</v>
      </c>
      <c r="F75" s="127" t="s">
        <v>302</v>
      </c>
      <c r="G75" s="127" t="s">
        <v>42</v>
      </c>
      <c r="H75" s="53" t="s">
        <v>203</v>
      </c>
      <c r="I75" s="53" t="s">
        <v>159</v>
      </c>
      <c r="J75" s="127" t="s">
        <v>38</v>
      </c>
      <c r="K75" s="53" t="s">
        <v>54</v>
      </c>
      <c r="L75" s="53">
        <v>2</v>
      </c>
      <c r="N75" s="53">
        <v>4</v>
      </c>
      <c r="O75" s="53">
        <v>1</v>
      </c>
      <c r="P75" s="53">
        <v>0.9</v>
      </c>
      <c r="Q75" s="74">
        <f t="shared" si="3"/>
        <v>0.95</v>
      </c>
      <c r="R75" s="53">
        <v>15</v>
      </c>
      <c r="S75" s="53">
        <v>72</v>
      </c>
      <c r="T75" s="16">
        <f t="shared" si="4"/>
        <v>42</v>
      </c>
      <c r="U75" s="53">
        <v>498</v>
      </c>
      <c r="V75" s="129">
        <f t="shared" si="5"/>
        <v>5229</v>
      </c>
      <c r="W75" s="53">
        <v>13</v>
      </c>
      <c r="X75" s="127" t="s">
        <v>46</v>
      </c>
      <c r="Y75" s="53" t="s">
        <v>84</v>
      </c>
      <c r="Z75" s="53" t="s">
        <v>90</v>
      </c>
      <c r="AA75" s="53" t="s">
        <v>69</v>
      </c>
      <c r="AB75" s="127" t="s">
        <v>241</v>
      </c>
    </row>
    <row r="76" spans="1:29" x14ac:dyDescent="0.15">
      <c r="A76" s="127" t="s">
        <v>61</v>
      </c>
      <c r="B76" s="127" t="s">
        <v>237</v>
      </c>
      <c r="C76" s="127">
        <v>2019</v>
      </c>
      <c r="D76" s="128" t="s">
        <v>287</v>
      </c>
      <c r="E76" s="127" t="s">
        <v>303</v>
      </c>
      <c r="F76" s="127" t="s">
        <v>302</v>
      </c>
      <c r="G76" s="127" t="s">
        <v>42</v>
      </c>
      <c r="H76" s="53" t="s">
        <v>203</v>
      </c>
      <c r="I76" s="53" t="s">
        <v>159</v>
      </c>
      <c r="J76" s="127" t="s">
        <v>38</v>
      </c>
      <c r="K76" s="53" t="s">
        <v>54</v>
      </c>
      <c r="L76" s="53">
        <v>3</v>
      </c>
      <c r="N76" s="53">
        <v>4</v>
      </c>
      <c r="O76" s="53">
        <v>1.5</v>
      </c>
      <c r="P76" s="53">
        <v>1.1000000000000001</v>
      </c>
      <c r="Q76" s="74">
        <f t="shared" si="3"/>
        <v>1.3</v>
      </c>
      <c r="R76" s="53">
        <v>16.7</v>
      </c>
      <c r="S76" s="53">
        <v>77.5</v>
      </c>
      <c r="T76" s="16">
        <f t="shared" si="4"/>
        <v>39</v>
      </c>
      <c r="U76" s="53">
        <v>498</v>
      </c>
      <c r="V76" s="129">
        <f t="shared" si="5"/>
        <v>4855.5</v>
      </c>
      <c r="W76" s="53">
        <v>13</v>
      </c>
      <c r="X76" s="127" t="s">
        <v>46</v>
      </c>
      <c r="Y76" s="53" t="s">
        <v>84</v>
      </c>
      <c r="Z76" s="53" t="s">
        <v>90</v>
      </c>
      <c r="AA76" s="53" t="s">
        <v>69</v>
      </c>
      <c r="AB76" s="127" t="s">
        <v>241</v>
      </c>
    </row>
    <row r="77" spans="1:29" x14ac:dyDescent="0.15">
      <c r="A77" s="127" t="s">
        <v>61</v>
      </c>
      <c r="B77" s="127" t="s">
        <v>237</v>
      </c>
      <c r="C77" s="127">
        <v>2019</v>
      </c>
      <c r="D77" s="128" t="s">
        <v>287</v>
      </c>
      <c r="E77" s="127" t="s">
        <v>303</v>
      </c>
      <c r="F77" s="127" t="s">
        <v>302</v>
      </c>
      <c r="G77" s="127" t="s">
        <v>42</v>
      </c>
      <c r="H77" s="53" t="s">
        <v>127</v>
      </c>
      <c r="I77" s="53" t="s">
        <v>159</v>
      </c>
      <c r="J77" s="127" t="s">
        <v>230</v>
      </c>
      <c r="K77" s="53" t="s">
        <v>59</v>
      </c>
      <c r="L77" s="53">
        <v>1</v>
      </c>
      <c r="N77" s="53">
        <v>5</v>
      </c>
      <c r="O77" s="53">
        <v>2</v>
      </c>
      <c r="P77" s="53">
        <v>2</v>
      </c>
      <c r="Q77" s="74">
        <f t="shared" si="3"/>
        <v>2</v>
      </c>
      <c r="R77" s="53">
        <v>10.5</v>
      </c>
      <c r="S77" s="53">
        <v>95.5</v>
      </c>
      <c r="T77" s="16">
        <f t="shared" si="4"/>
        <v>36</v>
      </c>
      <c r="U77" s="53">
        <v>398</v>
      </c>
      <c r="V77" s="129">
        <f t="shared" si="5"/>
        <v>2865.6</v>
      </c>
      <c r="W77" s="53">
        <v>13</v>
      </c>
      <c r="X77" s="127" t="s">
        <v>46</v>
      </c>
      <c r="Y77" s="53" t="s">
        <v>84</v>
      </c>
      <c r="Z77" s="53" t="s">
        <v>90</v>
      </c>
      <c r="AA77" s="53" t="s">
        <v>69</v>
      </c>
      <c r="AB77" s="127" t="s">
        <v>241</v>
      </c>
    </row>
    <row r="78" spans="1:29" x14ac:dyDescent="0.15">
      <c r="A78" s="127" t="s">
        <v>61</v>
      </c>
      <c r="B78" s="127" t="s">
        <v>237</v>
      </c>
      <c r="C78" s="127">
        <v>2019</v>
      </c>
      <c r="D78" s="128" t="s">
        <v>287</v>
      </c>
      <c r="E78" s="127" t="s">
        <v>303</v>
      </c>
      <c r="F78" s="127" t="s">
        <v>302</v>
      </c>
      <c r="G78" s="127" t="s">
        <v>42</v>
      </c>
      <c r="H78" s="53" t="s">
        <v>127</v>
      </c>
      <c r="I78" s="53" t="s">
        <v>159</v>
      </c>
      <c r="J78" s="127" t="s">
        <v>230</v>
      </c>
      <c r="K78" s="53" t="s">
        <v>59</v>
      </c>
      <c r="L78" s="53">
        <v>2</v>
      </c>
      <c r="N78" s="53">
        <v>5</v>
      </c>
      <c r="O78" s="53">
        <v>1.5</v>
      </c>
      <c r="P78" s="53">
        <v>1</v>
      </c>
      <c r="Q78" s="74">
        <f t="shared" si="3"/>
        <v>1.25</v>
      </c>
      <c r="R78" s="53">
        <v>9.6</v>
      </c>
      <c r="S78" s="53">
        <v>68.5</v>
      </c>
      <c r="T78" s="16">
        <f t="shared" si="4"/>
        <v>50</v>
      </c>
      <c r="U78" s="53">
        <v>398</v>
      </c>
      <c r="V78" s="129">
        <f t="shared" si="5"/>
        <v>3979.9999999999995</v>
      </c>
      <c r="W78" s="53">
        <v>13</v>
      </c>
      <c r="X78" s="127" t="s">
        <v>46</v>
      </c>
      <c r="Y78" s="53" t="s">
        <v>84</v>
      </c>
      <c r="Z78" s="53" t="s">
        <v>90</v>
      </c>
      <c r="AA78" s="53" t="s">
        <v>69</v>
      </c>
      <c r="AB78" s="127" t="s">
        <v>241</v>
      </c>
    </row>
    <row r="79" spans="1:29" x14ac:dyDescent="0.15">
      <c r="A79" s="127" t="s">
        <v>61</v>
      </c>
      <c r="B79" s="127" t="s">
        <v>237</v>
      </c>
      <c r="C79" s="127">
        <v>2019</v>
      </c>
      <c r="D79" s="128" t="s">
        <v>287</v>
      </c>
      <c r="E79" s="127" t="s">
        <v>303</v>
      </c>
      <c r="F79" s="127" t="s">
        <v>302</v>
      </c>
      <c r="G79" s="127" t="s">
        <v>42</v>
      </c>
      <c r="H79" s="53" t="s">
        <v>127</v>
      </c>
      <c r="I79" s="53" t="s">
        <v>159</v>
      </c>
      <c r="J79" s="127" t="s">
        <v>230</v>
      </c>
      <c r="K79" s="53" t="s">
        <v>59</v>
      </c>
      <c r="L79" s="53">
        <v>3</v>
      </c>
      <c r="N79" s="53">
        <v>5</v>
      </c>
      <c r="O79" s="53">
        <v>1.1000000000000001</v>
      </c>
      <c r="P79" s="53">
        <v>1</v>
      </c>
      <c r="Q79" s="74">
        <f t="shared" si="3"/>
        <v>1.05</v>
      </c>
      <c r="R79" s="53">
        <v>13.5</v>
      </c>
      <c r="S79" s="53">
        <v>90</v>
      </c>
      <c r="T79" s="16">
        <f t="shared" si="4"/>
        <v>36</v>
      </c>
      <c r="U79" s="53">
        <v>398</v>
      </c>
      <c r="V79" s="129">
        <f t="shared" si="5"/>
        <v>2865.6</v>
      </c>
      <c r="W79" s="53">
        <v>13</v>
      </c>
      <c r="X79" s="127" t="s">
        <v>46</v>
      </c>
      <c r="Y79" s="53" t="s">
        <v>84</v>
      </c>
      <c r="Z79" s="53" t="s">
        <v>90</v>
      </c>
      <c r="AA79" s="53" t="s">
        <v>69</v>
      </c>
      <c r="AB79" s="127" t="s">
        <v>241</v>
      </c>
    </row>
    <row r="80" spans="1:29" x14ac:dyDescent="0.15">
      <c r="A80" s="127"/>
      <c r="B80" s="127"/>
      <c r="C80" s="127"/>
      <c r="D80" s="128"/>
      <c r="G80" s="127"/>
      <c r="J80" s="127"/>
      <c r="Q80" s="74"/>
      <c r="V80" s="129"/>
      <c r="X80" s="127"/>
      <c r="AB80" s="127"/>
    </row>
    <row r="81" spans="1:28" x14ac:dyDescent="0.15">
      <c r="A81" s="127"/>
      <c r="B81" s="127"/>
      <c r="C81" s="127"/>
      <c r="D81" s="128"/>
      <c r="G81" s="127"/>
      <c r="J81" s="127"/>
      <c r="Q81" s="74"/>
      <c r="V81" s="129"/>
      <c r="X81" s="127"/>
      <c r="AB81" s="127"/>
    </row>
    <row r="82" spans="1:28" x14ac:dyDescent="0.15">
      <c r="A82" s="127"/>
      <c r="B82" s="127"/>
      <c r="C82" s="127"/>
      <c r="D82" s="128"/>
      <c r="G82" s="127"/>
      <c r="J82" s="127"/>
      <c r="Q82" s="74"/>
      <c r="V82" s="129"/>
      <c r="X82" s="127"/>
      <c r="AB82" s="127"/>
    </row>
    <row r="83" spans="1:28" x14ac:dyDescent="0.15">
      <c r="A83" s="127"/>
      <c r="B83" s="127"/>
      <c r="C83" s="127"/>
      <c r="D83" s="128"/>
      <c r="G83" s="127"/>
      <c r="J83" s="127"/>
      <c r="Q83" s="74"/>
      <c r="V83" s="129"/>
      <c r="X83" s="127"/>
      <c r="AB83" s="127"/>
    </row>
    <row r="84" spans="1:28" x14ac:dyDescent="0.15">
      <c r="A84" s="127"/>
      <c r="B84" s="127"/>
      <c r="C84" s="127"/>
      <c r="D84" s="128"/>
      <c r="G84" s="127"/>
      <c r="J84" s="127"/>
      <c r="Q84" s="74"/>
      <c r="V84" s="129"/>
      <c r="X84" s="127"/>
      <c r="AB84" s="127"/>
    </row>
    <row r="85" spans="1:28" x14ac:dyDescent="0.15">
      <c r="A85" s="127"/>
      <c r="B85" s="127"/>
      <c r="C85" s="127"/>
      <c r="D85" s="128"/>
      <c r="G85" s="127"/>
      <c r="J85" s="127"/>
      <c r="Q85" s="74"/>
      <c r="V85" s="129"/>
      <c r="X85" s="127"/>
      <c r="AB85" s="127"/>
    </row>
    <row r="86" spans="1:28" x14ac:dyDescent="0.15">
      <c r="A86" s="127"/>
      <c r="B86" s="127"/>
      <c r="C86" s="127"/>
      <c r="D86" s="128"/>
      <c r="G86" s="127"/>
      <c r="J86" s="127"/>
      <c r="Q86" s="74"/>
      <c r="V86" s="129"/>
      <c r="X86" s="127"/>
      <c r="AB86" s="127"/>
    </row>
    <row r="87" spans="1:28" x14ac:dyDescent="0.15">
      <c r="A87" s="127"/>
      <c r="B87" s="127"/>
      <c r="C87" s="127"/>
      <c r="D87" s="128"/>
      <c r="G87" s="127"/>
      <c r="J87" s="127"/>
      <c r="Q87" s="74"/>
      <c r="V87" s="129"/>
      <c r="X87" s="127"/>
      <c r="AB87" s="127"/>
    </row>
    <row r="88" spans="1:28" x14ac:dyDescent="0.15">
      <c r="A88" s="127"/>
      <c r="B88" s="127"/>
      <c r="C88" s="127"/>
      <c r="D88" s="128"/>
      <c r="G88" s="127"/>
      <c r="J88" s="127"/>
      <c r="Q88" s="74"/>
      <c r="V88" s="129"/>
      <c r="X88" s="127"/>
      <c r="AB88" s="127"/>
    </row>
    <row r="89" spans="1:28" x14ac:dyDescent="0.15">
      <c r="A89" s="127"/>
      <c r="B89" s="127"/>
      <c r="C89" s="127"/>
      <c r="D89" s="128"/>
      <c r="G89" s="127"/>
      <c r="J89" s="127"/>
      <c r="Q89" s="74"/>
      <c r="V89" s="129"/>
      <c r="X89" s="127"/>
      <c r="AB89" s="127"/>
    </row>
    <row r="90" spans="1:28" x14ac:dyDescent="0.15">
      <c r="A90" s="127"/>
      <c r="B90" s="127"/>
      <c r="C90" s="127"/>
      <c r="D90" s="128"/>
      <c r="G90" s="127"/>
      <c r="J90" s="127"/>
      <c r="Q90" s="74"/>
      <c r="V90" s="129"/>
      <c r="X90" s="127"/>
      <c r="AB90" s="127"/>
    </row>
    <row r="91" spans="1:28" x14ac:dyDescent="0.15">
      <c r="A91" s="127"/>
      <c r="B91" s="127"/>
      <c r="C91" s="127"/>
      <c r="D91" s="128"/>
      <c r="G91" s="127"/>
      <c r="J91" s="127"/>
      <c r="Q91" s="74"/>
      <c r="V91" s="129"/>
      <c r="X91" s="127"/>
      <c r="AB91" s="127"/>
    </row>
    <row r="92" spans="1:28" x14ac:dyDescent="0.15">
      <c r="A92" s="127"/>
      <c r="B92" s="127"/>
      <c r="C92" s="127"/>
      <c r="D92" s="128"/>
      <c r="G92" s="127"/>
      <c r="J92" s="127"/>
      <c r="Q92" s="74"/>
      <c r="V92" s="129"/>
      <c r="X92" s="127"/>
      <c r="AB92" s="127"/>
    </row>
    <row r="93" spans="1:28" x14ac:dyDescent="0.15">
      <c r="A93" s="127"/>
      <c r="B93" s="127"/>
      <c r="C93" s="127"/>
      <c r="D93" s="128"/>
      <c r="G93" s="127"/>
      <c r="J93" s="127"/>
      <c r="Q93" s="74"/>
      <c r="V93" s="129"/>
      <c r="X93" s="127"/>
      <c r="AB93" s="127"/>
    </row>
    <row r="94" spans="1:28" x14ac:dyDescent="0.15">
      <c r="A94" s="127"/>
      <c r="B94" s="127"/>
      <c r="C94" s="127"/>
      <c r="D94" s="128"/>
      <c r="G94" s="127"/>
      <c r="J94" s="127"/>
      <c r="Q94" s="74"/>
      <c r="V94" s="129"/>
      <c r="X94" s="127"/>
      <c r="AB94" s="127"/>
    </row>
    <row r="96" spans="1:28" x14ac:dyDescent="0.15">
      <c r="A96" s="127"/>
      <c r="B96" s="127"/>
      <c r="C96" s="127"/>
      <c r="D96" s="128"/>
      <c r="G96" s="127"/>
      <c r="J96" s="127"/>
      <c r="Q96" s="74"/>
      <c r="V96" s="129"/>
      <c r="X96" s="127"/>
      <c r="AB96" s="127"/>
    </row>
    <row r="97" spans="1:28" x14ac:dyDescent="0.15">
      <c r="A97" s="127"/>
      <c r="B97" s="127"/>
      <c r="C97" s="127"/>
      <c r="D97" s="128"/>
      <c r="G97" s="127"/>
      <c r="J97" s="127"/>
      <c r="Q97" s="74"/>
      <c r="V97" s="129"/>
      <c r="X97" s="127"/>
      <c r="AB97" s="127"/>
    </row>
    <row r="98" spans="1:28" x14ac:dyDescent="0.15">
      <c r="A98" s="127"/>
      <c r="B98" s="127"/>
      <c r="C98" s="127"/>
      <c r="D98" s="128"/>
      <c r="G98" s="127"/>
      <c r="J98" s="127"/>
      <c r="Q98" s="74"/>
      <c r="V98" s="129"/>
      <c r="X98" s="127"/>
      <c r="AB98" s="127"/>
    </row>
    <row r="99" spans="1:28" x14ac:dyDescent="0.15">
      <c r="A99" s="127"/>
      <c r="B99" s="127"/>
      <c r="C99" s="127"/>
      <c r="D99" s="128"/>
      <c r="G99" s="127"/>
      <c r="J99" s="127"/>
      <c r="Q99" s="74"/>
      <c r="V99" s="129"/>
      <c r="X99" s="127"/>
      <c r="AB99" s="127"/>
    </row>
    <row r="100" spans="1:28" x14ac:dyDescent="0.15">
      <c r="A100" s="127"/>
      <c r="B100" s="127"/>
      <c r="C100" s="127"/>
      <c r="D100" s="128"/>
      <c r="G100" s="127"/>
      <c r="J100" s="127"/>
      <c r="Q100" s="74"/>
      <c r="V100" s="129"/>
      <c r="X100" s="127"/>
      <c r="AB100" s="127"/>
    </row>
    <row r="101" spans="1:28" x14ac:dyDescent="0.15">
      <c r="A101" s="127"/>
      <c r="B101" s="127"/>
      <c r="C101" s="127"/>
      <c r="D101" s="128"/>
      <c r="G101" s="127"/>
      <c r="J101" s="127"/>
      <c r="Q101" s="74"/>
      <c r="V101" s="129"/>
      <c r="X101" s="127"/>
      <c r="AB101" s="127"/>
    </row>
    <row r="102" spans="1:28" x14ac:dyDescent="0.15">
      <c r="A102" s="127"/>
      <c r="B102" s="127"/>
      <c r="C102" s="127"/>
      <c r="D102" s="128"/>
      <c r="G102" s="127"/>
      <c r="J102" s="127"/>
      <c r="Q102" s="74"/>
      <c r="V102" s="129"/>
      <c r="X102" s="127"/>
      <c r="AB102" s="127"/>
    </row>
    <row r="103" spans="1:28" x14ac:dyDescent="0.15">
      <c r="A103" s="127"/>
      <c r="B103" s="127"/>
      <c r="C103" s="127"/>
      <c r="D103" s="128"/>
      <c r="G103" s="127"/>
      <c r="J103" s="127"/>
      <c r="Q103" s="74"/>
      <c r="V103" s="129"/>
      <c r="X103" s="127"/>
      <c r="AB103" s="127"/>
    </row>
    <row r="104" spans="1:28" x14ac:dyDescent="0.15">
      <c r="A104" s="127"/>
      <c r="B104" s="127"/>
      <c r="C104" s="127"/>
      <c r="D104" s="128"/>
      <c r="G104" s="127"/>
      <c r="J104" s="127"/>
      <c r="Q104" s="74"/>
      <c r="V104" s="129"/>
      <c r="X104" s="127"/>
      <c r="AB104" s="127"/>
    </row>
    <row r="105" spans="1:28" x14ac:dyDescent="0.15">
      <c r="A105" s="127"/>
      <c r="B105" s="127"/>
      <c r="C105" s="127"/>
      <c r="D105" s="128"/>
      <c r="G105" s="127"/>
      <c r="J105" s="127"/>
      <c r="Q105" s="74"/>
      <c r="V105" s="129"/>
      <c r="X105" s="127"/>
      <c r="AB105" s="127"/>
    </row>
    <row r="106" spans="1:28" x14ac:dyDescent="0.15">
      <c r="A106" s="127"/>
      <c r="B106" s="127"/>
      <c r="C106" s="127"/>
      <c r="D106" s="128"/>
      <c r="G106" s="127"/>
      <c r="J106" s="127"/>
      <c r="Q106" s="74"/>
      <c r="V106" s="129"/>
      <c r="X106" s="127"/>
      <c r="AB106" s="127"/>
    </row>
    <row r="107" spans="1:28" x14ac:dyDescent="0.15">
      <c r="A107" s="127"/>
      <c r="B107" s="127"/>
      <c r="C107" s="127"/>
      <c r="D107" s="128"/>
      <c r="G107" s="127"/>
      <c r="J107" s="127"/>
      <c r="Q107" s="74"/>
      <c r="V107" s="129"/>
      <c r="X107" s="127"/>
      <c r="AB107" s="127"/>
    </row>
    <row r="108" spans="1:28" x14ac:dyDescent="0.15">
      <c r="A108" s="127"/>
      <c r="B108" s="127"/>
      <c r="C108" s="127"/>
      <c r="D108" s="128"/>
      <c r="G108" s="127"/>
      <c r="J108" s="127"/>
      <c r="Q108" s="74"/>
      <c r="V108" s="129"/>
      <c r="X108" s="127"/>
      <c r="AB108" s="127"/>
    </row>
    <row r="109" spans="1:28" x14ac:dyDescent="0.15">
      <c r="A109" s="127"/>
      <c r="B109" s="127"/>
      <c r="C109" s="127"/>
      <c r="D109" s="128"/>
      <c r="G109" s="127"/>
      <c r="J109" s="127"/>
      <c r="Q109" s="74"/>
      <c r="V109" s="129"/>
      <c r="X109" s="127"/>
      <c r="AB109" s="127"/>
    </row>
    <row r="110" spans="1:28" x14ac:dyDescent="0.15">
      <c r="A110" s="127"/>
      <c r="B110" s="127"/>
      <c r="C110" s="127"/>
      <c r="D110" s="128"/>
      <c r="G110" s="127"/>
      <c r="J110" s="127"/>
      <c r="Q110" s="74"/>
      <c r="V110" s="129"/>
      <c r="X110" s="127"/>
      <c r="AB110" s="127"/>
    </row>
    <row r="111" spans="1:28" x14ac:dyDescent="0.15">
      <c r="A111" s="127"/>
      <c r="B111" s="127"/>
      <c r="C111" s="127"/>
      <c r="D111" s="128"/>
      <c r="G111" s="127"/>
      <c r="J111" s="127"/>
      <c r="Q111" s="74"/>
      <c r="V111" s="129"/>
      <c r="X111" s="127"/>
      <c r="AB111" s="127"/>
    </row>
    <row r="112" spans="1:28" x14ac:dyDescent="0.15">
      <c r="A112" s="127"/>
      <c r="B112" s="127"/>
      <c r="C112" s="127"/>
      <c r="D112" s="128"/>
      <c r="G112" s="127"/>
      <c r="J112" s="127"/>
      <c r="Q112" s="74"/>
      <c r="V112" s="129"/>
      <c r="X112" s="127"/>
      <c r="AB112" s="127"/>
    </row>
  </sheetData>
  <autoFilter ref="A1:BA79" xr:uid="{00000000-0009-0000-0000-000004000000}"/>
  <phoneticPr fontId="3"/>
  <dataValidations count="21">
    <dataValidation type="list" allowBlank="1" showInputMessage="1" showErrorMessage="1" sqref="K2:K120" xr:uid="{16789396-0221-428E-86B6-6B8354D6B433}">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F21D49D8-AC5F-4FDF-9017-78C30A9C8DD2}">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19784B83-E1D5-4DD7-89F8-D03B1EB23D17}">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F9215559-54FE-440A-A50A-7DB3C061FDB0}">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26FCF4BF-5243-424A-8C47-EF2671583186}">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76162864-6E8B-43D2-9C45-F06899328E8D}">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xr:uid="{FD2EFF94-C25F-44E9-B151-F6D7AFCA6EE9}">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xr:uid="{881CED21-F75D-4851-846D-AA22BA1C5F48}"/>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D86B4F23-9CEA-4873-AAE1-B8C9FD27899C}">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xr:uid="{B9052CD5-4378-403E-B5EF-7FA99987883C}">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28479544-D146-4BA0-9E19-5BAA23460F1F}">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0F27C5BD-DF42-4A5E-9DE7-F6402AA22223}">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26D02149-375E-4B08-B865-ACCA6CEBF02C}">
      <formula1>$AV$2:$AV$22</formula1>
    </dataValidation>
    <dataValidation type="list" allowBlank="1" showInputMessage="1" showErrorMessage="1" sqref="K121:K500" xr:uid="{F0BF5359-D249-42F8-A5CF-A43DFC991BBA}">
      <formula1>$AR$2:$AR$25</formula1>
    </dataValidation>
    <dataValidation type="list" allowBlank="1" showInputMessage="1" showErrorMessage="1" sqref="J96:J500 J2:J94" xr:uid="{985B5391-5E81-44BB-BA56-2F065C423E5F}">
      <formula1>$AP$2:$AP$27</formula1>
    </dataValidation>
    <dataValidation type="list" allowBlank="1" showInputMessage="1" showErrorMessage="1" sqref="F96:F500 F2:F94" xr:uid="{CEF8FDA9-CBE5-48C9-8A91-A0BC0F676868}">
      <formula1>$AH$2:$AH$10</formula1>
    </dataValidation>
    <dataValidation type="list" allowBlank="1" showInputMessage="1" showErrorMessage="1" sqref="E96:E500 E2:E94" xr:uid="{E87DFBB6-E672-4268-ABA8-3C183749A673}">
      <formula1>$AG$2:$AG$11</formula1>
    </dataValidation>
    <dataValidation type="list" allowBlank="1" showInputMessage="1" showErrorMessage="1" sqref="A96:A500 A2:A94" xr:uid="{1E53AD73-CA24-418C-9B27-1CB12AC46D3F}">
      <formula1>$AE$2:$AE$19</formula1>
    </dataValidation>
    <dataValidation type="list" allowBlank="1" showInputMessage="1" showErrorMessage="1" sqref="H96:H500 H2:H94" xr:uid="{5344E35A-9C68-42F8-984F-C2F197CC5ADE}">
      <formula1>$AL$2:$AL$8</formula1>
    </dataValidation>
    <dataValidation type="list" allowBlank="1" showInputMessage="1" showErrorMessage="1" sqref="Y96:AA500 Y2:AA94" xr:uid="{154B1FD8-B9A8-4EB2-AF9B-68DE6F3D11EA}">
      <formula1>$AV$2:$AV$21</formula1>
    </dataValidation>
    <dataValidation type="decimal" allowBlank="1" showInputMessage="1" showErrorMessage="1" error="硬度を正しく入力して下さい。" sqref="O96:P500 O7:P7 P15 O32:P34 O5:P5 O50:P94 O18:P19 O23:P25 O28:P28 O44 P35:P39 P41:P46" xr:uid="{1BE4FBB3-A578-4452-839A-DC60BB843FA5}">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8CADD-C801-431C-B5A4-1A461BCFC70A}">
  <dimension ref="A1:BA121"/>
  <sheetViews>
    <sheetView zoomScale="85" zoomScaleNormal="85" workbookViewId="0">
      <selection activeCell="G57" sqref="G57"/>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313</v>
      </c>
      <c r="O1" s="56" t="s">
        <v>14</v>
      </c>
      <c r="P1" s="56" t="s">
        <v>15</v>
      </c>
      <c r="Q1" s="3" t="s">
        <v>16</v>
      </c>
      <c r="R1" s="56" t="s">
        <v>17</v>
      </c>
      <c r="S1" s="56" t="s">
        <v>18</v>
      </c>
      <c r="T1" s="3" t="s">
        <v>19</v>
      </c>
      <c r="U1" s="58" t="s">
        <v>314</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237</v>
      </c>
      <c r="C2" s="62">
        <v>2019</v>
      </c>
      <c r="D2" s="149" t="s">
        <v>166</v>
      </c>
      <c r="E2" s="53" t="s">
        <v>315</v>
      </c>
      <c r="F2" s="53" t="s">
        <v>316</v>
      </c>
      <c r="G2" s="53" t="s">
        <v>36</v>
      </c>
      <c r="H2" s="53" t="s">
        <v>163</v>
      </c>
      <c r="I2" s="53" t="s">
        <v>159</v>
      </c>
      <c r="J2" s="53" t="s">
        <v>38</v>
      </c>
      <c r="K2" s="53" t="s">
        <v>160</v>
      </c>
      <c r="L2" s="53">
        <v>1</v>
      </c>
      <c r="N2" s="53">
        <v>5</v>
      </c>
      <c r="O2" s="53">
        <v>0.44</v>
      </c>
      <c r="P2" s="53">
        <v>0.45</v>
      </c>
      <c r="Q2" s="74">
        <f>IF(OR(O2="",P2=""),"",AVERAGE(O2,P2))</f>
        <v>0.44500000000000001</v>
      </c>
      <c r="R2" s="53">
        <v>14</v>
      </c>
      <c r="S2" s="53">
        <v>84</v>
      </c>
      <c r="T2" s="16">
        <f t="shared" ref="T2:T49" si="0">IF(H2="","",IF(OR(H2="GREEN",H2="GK"),IF(S2&gt;=$AX$2,VLOOKUP(S2,$AX$2:$AY$12,2,1),""),IF(S2&gt;=$AZ$2,VLOOKUP(S2,$AZ$2:$BA$12,2,1),"")))</f>
        <v>36</v>
      </c>
      <c r="U2" s="53">
        <v>321</v>
      </c>
      <c r="V2" s="16">
        <f t="shared" ref="V2:V49" si="1">IF(J2="","",IF(OR(J2="GREEN",J2="GK"),IF(U2&gt;=$AX$2,VLOOKUP(U2,$AX$2:$AY$12,2,1),""),IF(U2&gt;=$AZ$2,VLOOKUP(U2,$AZ$2:$BA$12,2,1),"")))</f>
        <v>25</v>
      </c>
      <c r="W2" s="53">
        <v>2</v>
      </c>
      <c r="X2" s="53" t="s">
        <v>46</v>
      </c>
      <c r="Y2" s="53" t="s">
        <v>84</v>
      </c>
      <c r="Z2" s="53" t="s">
        <v>90</v>
      </c>
      <c r="AA2" s="53" t="s">
        <v>40</v>
      </c>
      <c r="AB2" s="53" t="s">
        <v>317</v>
      </c>
      <c r="AE2" s="64" t="s">
        <v>35</v>
      </c>
      <c r="AG2" s="150" t="s">
        <v>318</v>
      </c>
      <c r="AH2" s="151" t="s">
        <v>319</v>
      </c>
      <c r="AJ2" s="67" t="s">
        <v>36</v>
      </c>
      <c r="AL2" s="67" t="s">
        <v>127</v>
      </c>
      <c r="AN2" s="67" t="s">
        <v>320</v>
      </c>
      <c r="AP2" s="67" t="s">
        <v>38</v>
      </c>
      <c r="AR2" s="67" t="s">
        <v>120</v>
      </c>
      <c r="AT2" s="67" t="s">
        <v>39</v>
      </c>
      <c r="AV2" s="23" t="s">
        <v>55</v>
      </c>
      <c r="AX2" s="68">
        <v>1</v>
      </c>
      <c r="AY2" s="69">
        <v>50</v>
      </c>
      <c r="AZ2" s="69">
        <v>1</v>
      </c>
      <c r="BA2" s="70">
        <v>50</v>
      </c>
    </row>
    <row r="3" spans="1:53" x14ac:dyDescent="0.15">
      <c r="A3" s="53" t="s">
        <v>59</v>
      </c>
      <c r="B3" s="53" t="s">
        <v>237</v>
      </c>
      <c r="C3" s="62">
        <v>2019</v>
      </c>
      <c r="D3" s="149" t="s">
        <v>166</v>
      </c>
      <c r="E3" s="53" t="s">
        <v>315</v>
      </c>
      <c r="F3" s="53" t="s">
        <v>316</v>
      </c>
      <c r="G3" s="53" t="s">
        <v>36</v>
      </c>
      <c r="H3" s="53" t="s">
        <v>163</v>
      </c>
      <c r="I3" s="53" t="s">
        <v>159</v>
      </c>
      <c r="J3" s="53" t="s">
        <v>38</v>
      </c>
      <c r="K3" s="53" t="s">
        <v>160</v>
      </c>
      <c r="L3" s="53">
        <v>2</v>
      </c>
      <c r="N3" s="53">
        <v>5</v>
      </c>
      <c r="O3" s="53">
        <v>0.27</v>
      </c>
      <c r="P3" s="53">
        <v>0.33</v>
      </c>
      <c r="Q3" s="74">
        <f t="shared" ref="Q3:Q49" si="2">IF(OR(O3="",P3=""),"",AVERAGE(O3,P3))</f>
        <v>0.30000000000000004</v>
      </c>
      <c r="R3" s="53">
        <v>12.9</v>
      </c>
      <c r="S3" s="53">
        <v>90</v>
      </c>
      <c r="T3" s="16">
        <f t="shared" si="0"/>
        <v>36</v>
      </c>
      <c r="U3" s="53">
        <v>321</v>
      </c>
      <c r="V3" s="16">
        <f t="shared" si="1"/>
        <v>25</v>
      </c>
      <c r="W3" s="53">
        <v>2</v>
      </c>
      <c r="X3" s="53" t="s">
        <v>46</v>
      </c>
      <c r="Y3" s="53" t="s">
        <v>84</v>
      </c>
      <c r="Z3" s="53" t="s">
        <v>90</v>
      </c>
      <c r="AA3" s="53" t="s">
        <v>40</v>
      </c>
      <c r="AB3" s="53" t="s">
        <v>317</v>
      </c>
      <c r="AE3" s="22" t="s">
        <v>41</v>
      </c>
      <c r="AG3" s="150" t="s">
        <v>321</v>
      </c>
      <c r="AH3" s="151" t="s">
        <v>316</v>
      </c>
      <c r="AJ3" s="23" t="s">
        <v>42</v>
      </c>
      <c r="AL3" s="23" t="s">
        <v>128</v>
      </c>
      <c r="AN3" s="23" t="s">
        <v>43</v>
      </c>
      <c r="AP3" s="23" t="s">
        <v>44</v>
      </c>
      <c r="AR3" s="23" t="s">
        <v>45</v>
      </c>
      <c r="AT3" s="23" t="s">
        <v>46</v>
      </c>
      <c r="AV3" s="23" t="s">
        <v>322</v>
      </c>
      <c r="AX3" s="24">
        <v>72</v>
      </c>
      <c r="AY3" s="25">
        <v>46</v>
      </c>
      <c r="AZ3" s="25">
        <v>71</v>
      </c>
      <c r="BA3" s="26">
        <v>42</v>
      </c>
    </row>
    <row r="4" spans="1:53" x14ac:dyDescent="0.15">
      <c r="A4" s="53" t="s">
        <v>59</v>
      </c>
      <c r="B4" s="53" t="s">
        <v>237</v>
      </c>
      <c r="C4" s="62">
        <v>2019</v>
      </c>
      <c r="D4" s="149" t="s">
        <v>166</v>
      </c>
      <c r="E4" s="53" t="s">
        <v>315</v>
      </c>
      <c r="F4" s="53" t="s">
        <v>316</v>
      </c>
      <c r="G4" s="53" t="s">
        <v>36</v>
      </c>
      <c r="H4" s="53" t="s">
        <v>163</v>
      </c>
      <c r="I4" s="53" t="s">
        <v>323</v>
      </c>
      <c r="J4" s="53" t="s">
        <v>38</v>
      </c>
      <c r="K4" s="53" t="s">
        <v>160</v>
      </c>
      <c r="L4" s="53">
        <v>3</v>
      </c>
      <c r="N4" s="53">
        <v>5</v>
      </c>
      <c r="O4" s="53">
        <v>0.43</v>
      </c>
      <c r="P4" s="53">
        <v>0.42</v>
      </c>
      <c r="Q4" s="74">
        <f t="shared" si="2"/>
        <v>0.42499999999999999</v>
      </c>
      <c r="R4" s="53">
        <v>14.1</v>
      </c>
      <c r="S4" s="53">
        <v>86</v>
      </c>
      <c r="T4" s="16">
        <f t="shared" si="0"/>
        <v>36</v>
      </c>
      <c r="U4" s="53">
        <v>321</v>
      </c>
      <c r="V4" s="16">
        <f t="shared" si="1"/>
        <v>25</v>
      </c>
      <c r="W4" s="53">
        <v>2</v>
      </c>
      <c r="X4" s="53" t="s">
        <v>46</v>
      </c>
      <c r="Y4" s="53" t="s">
        <v>84</v>
      </c>
      <c r="Z4" s="53" t="s">
        <v>90</v>
      </c>
      <c r="AA4" s="53" t="s">
        <v>40</v>
      </c>
      <c r="AB4" s="53" t="s">
        <v>317</v>
      </c>
      <c r="AE4" s="22" t="s">
        <v>34</v>
      </c>
      <c r="AG4" s="150" t="s">
        <v>324</v>
      </c>
      <c r="AH4" s="151" t="s">
        <v>325</v>
      </c>
      <c r="AJ4" s="27" t="s">
        <v>48</v>
      </c>
      <c r="AL4" s="27" t="s">
        <v>129</v>
      </c>
      <c r="AN4" s="28" t="s">
        <v>49</v>
      </c>
      <c r="AP4" s="23" t="s">
        <v>93</v>
      </c>
      <c r="AR4" s="23" t="s">
        <v>326</v>
      </c>
      <c r="AT4" s="28"/>
      <c r="AV4" s="23" t="s">
        <v>327</v>
      </c>
      <c r="AX4" s="24">
        <v>75</v>
      </c>
      <c r="AY4" s="25">
        <v>42</v>
      </c>
      <c r="AZ4" s="25">
        <v>76</v>
      </c>
      <c r="BA4" s="26">
        <v>39</v>
      </c>
    </row>
    <row r="5" spans="1:53" x14ac:dyDescent="0.15">
      <c r="A5" s="53" t="s">
        <v>59</v>
      </c>
      <c r="B5" s="53" t="s">
        <v>237</v>
      </c>
      <c r="C5" s="62">
        <v>2019</v>
      </c>
      <c r="D5" s="149" t="s">
        <v>166</v>
      </c>
      <c r="E5" s="53" t="s">
        <v>318</v>
      </c>
      <c r="F5" s="53" t="s">
        <v>319</v>
      </c>
      <c r="G5" s="53" t="s">
        <v>36</v>
      </c>
      <c r="H5" s="53" t="s">
        <v>163</v>
      </c>
      <c r="I5" s="53" t="s">
        <v>159</v>
      </c>
      <c r="J5" s="53" t="s">
        <v>38</v>
      </c>
      <c r="K5" s="53" t="s">
        <v>160</v>
      </c>
      <c r="L5" s="53">
        <v>1</v>
      </c>
      <c r="N5" s="53">
        <v>4</v>
      </c>
      <c r="O5" s="53">
        <v>0.35</v>
      </c>
      <c r="P5" s="53">
        <v>0.37</v>
      </c>
      <c r="Q5" s="74">
        <f t="shared" si="2"/>
        <v>0.36</v>
      </c>
      <c r="R5" s="53">
        <v>16.600000000000001</v>
      </c>
      <c r="S5" s="53">
        <v>106</v>
      </c>
      <c r="T5" s="16">
        <f t="shared" si="0"/>
        <v>33</v>
      </c>
      <c r="U5" s="53">
        <v>297</v>
      </c>
      <c r="V5" s="16">
        <f t="shared" si="1"/>
        <v>25</v>
      </c>
      <c r="W5" s="53">
        <v>6</v>
      </c>
      <c r="X5" s="53" t="s">
        <v>46</v>
      </c>
      <c r="Y5" s="53" t="s">
        <v>84</v>
      </c>
      <c r="Z5" s="53" t="s">
        <v>40</v>
      </c>
      <c r="AA5" s="53" t="s">
        <v>90</v>
      </c>
      <c r="AB5" s="53" t="s">
        <v>317</v>
      </c>
      <c r="AE5" s="22" t="s">
        <v>51</v>
      </c>
      <c r="AG5" s="150" t="s">
        <v>328</v>
      </c>
      <c r="AH5" s="151" t="s">
        <v>329</v>
      </c>
      <c r="AJ5" s="28"/>
      <c r="AL5" s="73" t="s">
        <v>66</v>
      </c>
      <c r="AN5" s="73" t="s">
        <v>52</v>
      </c>
      <c r="AP5" s="23" t="s">
        <v>250</v>
      </c>
      <c r="AR5" s="23" t="s">
        <v>54</v>
      </c>
      <c r="AV5" s="23" t="s">
        <v>330</v>
      </c>
      <c r="AX5" s="24">
        <v>84</v>
      </c>
      <c r="AY5" s="25">
        <v>39</v>
      </c>
      <c r="AZ5" s="25">
        <v>84</v>
      </c>
      <c r="BA5" s="26">
        <v>36</v>
      </c>
    </row>
    <row r="6" spans="1:53" x14ac:dyDescent="0.15">
      <c r="A6" s="53" t="s">
        <v>59</v>
      </c>
      <c r="B6" s="53" t="s">
        <v>237</v>
      </c>
      <c r="C6" s="62">
        <v>2019</v>
      </c>
      <c r="D6" s="149" t="s">
        <v>166</v>
      </c>
      <c r="E6" s="53" t="s">
        <v>318</v>
      </c>
      <c r="F6" s="53" t="s">
        <v>319</v>
      </c>
      <c r="G6" s="53" t="s">
        <v>36</v>
      </c>
      <c r="H6" s="53" t="s">
        <v>163</v>
      </c>
      <c r="I6" s="53" t="s">
        <v>159</v>
      </c>
      <c r="J6" s="53" t="s">
        <v>38</v>
      </c>
      <c r="K6" s="53" t="s">
        <v>160</v>
      </c>
      <c r="L6" s="53">
        <v>2</v>
      </c>
      <c r="N6" s="53">
        <v>4</v>
      </c>
      <c r="O6" s="53">
        <v>0.37</v>
      </c>
      <c r="P6" s="53">
        <v>0.4</v>
      </c>
      <c r="Q6" s="74">
        <f t="shared" si="2"/>
        <v>0.38500000000000001</v>
      </c>
      <c r="R6" s="53">
        <v>13.4</v>
      </c>
      <c r="S6" s="53">
        <v>104</v>
      </c>
      <c r="T6" s="16">
        <f t="shared" si="0"/>
        <v>33</v>
      </c>
      <c r="U6" s="53">
        <v>297</v>
      </c>
      <c r="V6" s="16">
        <f t="shared" si="1"/>
        <v>25</v>
      </c>
      <c r="W6" s="53">
        <v>6</v>
      </c>
      <c r="X6" s="53" t="s">
        <v>46</v>
      </c>
      <c r="Y6" s="53" t="s">
        <v>84</v>
      </c>
      <c r="Z6" s="53" t="s">
        <v>40</v>
      </c>
      <c r="AA6" s="53" t="s">
        <v>90</v>
      </c>
      <c r="AB6" s="53" t="s">
        <v>317</v>
      </c>
      <c r="AE6" s="22" t="s">
        <v>56</v>
      </c>
      <c r="AG6" s="150" t="s">
        <v>331</v>
      </c>
      <c r="AH6" s="151" t="s">
        <v>332</v>
      </c>
      <c r="AL6" s="73" t="s">
        <v>99</v>
      </c>
      <c r="AN6" s="73" t="s">
        <v>57</v>
      </c>
      <c r="AP6" s="23" t="s">
        <v>53</v>
      </c>
      <c r="AR6" s="23" t="s">
        <v>333</v>
      </c>
      <c r="AV6" s="23" t="s">
        <v>60</v>
      </c>
      <c r="AX6" s="24">
        <v>97</v>
      </c>
      <c r="AY6" s="25">
        <v>36</v>
      </c>
      <c r="AZ6" s="25">
        <v>99</v>
      </c>
      <c r="BA6" s="26">
        <v>33</v>
      </c>
    </row>
    <row r="7" spans="1:53" x14ac:dyDescent="0.15">
      <c r="A7" s="53" t="s">
        <v>59</v>
      </c>
      <c r="B7" s="53" t="s">
        <v>237</v>
      </c>
      <c r="C7" s="62">
        <v>2019</v>
      </c>
      <c r="D7" s="149" t="s">
        <v>166</v>
      </c>
      <c r="E7" s="53" t="s">
        <v>318</v>
      </c>
      <c r="F7" s="53" t="s">
        <v>319</v>
      </c>
      <c r="G7" s="53" t="s">
        <v>36</v>
      </c>
      <c r="H7" s="53" t="s">
        <v>163</v>
      </c>
      <c r="I7" s="53" t="s">
        <v>159</v>
      </c>
      <c r="J7" s="53" t="s">
        <v>38</v>
      </c>
      <c r="K7" s="53" t="s">
        <v>160</v>
      </c>
      <c r="L7" s="53">
        <v>3</v>
      </c>
      <c r="N7" s="53">
        <v>4</v>
      </c>
      <c r="O7" s="53">
        <v>0.41</v>
      </c>
      <c r="P7" s="53">
        <v>0.38</v>
      </c>
      <c r="Q7" s="74">
        <f t="shared" si="2"/>
        <v>0.39500000000000002</v>
      </c>
      <c r="R7" s="53">
        <v>14.5</v>
      </c>
      <c r="S7" s="53">
        <v>106</v>
      </c>
      <c r="T7" s="16">
        <f t="shared" si="0"/>
        <v>33</v>
      </c>
      <c r="U7" s="53">
        <v>297</v>
      </c>
      <c r="V7" s="16">
        <f t="shared" si="1"/>
        <v>25</v>
      </c>
      <c r="W7" s="53">
        <v>6</v>
      </c>
      <c r="X7" s="53" t="s">
        <v>46</v>
      </c>
      <c r="Y7" s="53" t="s">
        <v>84</v>
      </c>
      <c r="Z7" s="53" t="s">
        <v>40</v>
      </c>
      <c r="AA7" s="53" t="s">
        <v>90</v>
      </c>
      <c r="AB7" s="53" t="s">
        <v>317</v>
      </c>
      <c r="AE7" s="22" t="s">
        <v>61</v>
      </c>
      <c r="AG7" s="150" t="s">
        <v>334</v>
      </c>
      <c r="AH7" s="151" t="s">
        <v>335</v>
      </c>
      <c r="AL7" s="34" t="s">
        <v>109</v>
      </c>
      <c r="AP7" s="23" t="s">
        <v>58</v>
      </c>
      <c r="AR7" s="23" t="s">
        <v>336</v>
      </c>
      <c r="AV7" s="23" t="s">
        <v>64</v>
      </c>
      <c r="AX7" s="24">
        <v>109</v>
      </c>
      <c r="AY7" s="25">
        <v>33</v>
      </c>
      <c r="AZ7" s="25">
        <v>113</v>
      </c>
      <c r="BA7" s="26">
        <v>30</v>
      </c>
    </row>
    <row r="8" spans="1:53" x14ac:dyDescent="0.15">
      <c r="A8" s="53" t="s">
        <v>59</v>
      </c>
      <c r="B8" s="53" t="s">
        <v>237</v>
      </c>
      <c r="C8" s="62">
        <v>2019</v>
      </c>
      <c r="D8" s="149" t="s">
        <v>166</v>
      </c>
      <c r="E8" s="53" t="s">
        <v>328</v>
      </c>
      <c r="F8" s="53" t="s">
        <v>329</v>
      </c>
      <c r="G8" s="53" t="s">
        <v>36</v>
      </c>
      <c r="H8" s="53" t="s">
        <v>163</v>
      </c>
      <c r="I8" s="53" t="s">
        <v>159</v>
      </c>
      <c r="J8" s="53" t="s">
        <v>38</v>
      </c>
      <c r="K8" s="53" t="s">
        <v>160</v>
      </c>
      <c r="L8" s="53">
        <v>1</v>
      </c>
      <c r="N8" s="53">
        <v>4</v>
      </c>
      <c r="O8" s="53">
        <v>0.51</v>
      </c>
      <c r="P8" s="53">
        <v>0.49</v>
      </c>
      <c r="Q8" s="74">
        <f t="shared" si="2"/>
        <v>0.5</v>
      </c>
      <c r="R8" s="53">
        <v>12.7</v>
      </c>
      <c r="S8" s="53">
        <v>95</v>
      </c>
      <c r="T8" s="16">
        <f t="shared" si="0"/>
        <v>36</v>
      </c>
      <c r="U8" s="53">
        <v>399</v>
      </c>
      <c r="V8" s="16">
        <f t="shared" si="1"/>
        <v>25</v>
      </c>
      <c r="W8" s="53">
        <v>1</v>
      </c>
      <c r="X8" s="53" t="s">
        <v>39</v>
      </c>
      <c r="Y8" s="53" t="s">
        <v>84</v>
      </c>
      <c r="Z8" s="53" t="s">
        <v>90</v>
      </c>
      <c r="AA8" s="53" t="s">
        <v>69</v>
      </c>
      <c r="AB8" s="53" t="s">
        <v>317</v>
      </c>
      <c r="AE8" s="22" t="s">
        <v>51</v>
      </c>
      <c r="AG8" s="150" t="s">
        <v>328</v>
      </c>
      <c r="AH8" s="151" t="s">
        <v>329</v>
      </c>
      <c r="AJ8" s="28"/>
      <c r="AL8" s="73" t="s">
        <v>66</v>
      </c>
      <c r="AN8" s="73" t="s">
        <v>52</v>
      </c>
      <c r="AP8" s="23" t="s">
        <v>250</v>
      </c>
      <c r="AR8" s="23" t="s">
        <v>54</v>
      </c>
      <c r="AV8" s="23" t="s">
        <v>330</v>
      </c>
      <c r="AX8" s="24">
        <v>84</v>
      </c>
      <c r="AY8" s="25">
        <v>39</v>
      </c>
      <c r="AZ8" s="25">
        <v>84</v>
      </c>
      <c r="BA8" s="26">
        <v>36</v>
      </c>
    </row>
    <row r="9" spans="1:53" x14ac:dyDescent="0.15">
      <c r="A9" s="53" t="s">
        <v>59</v>
      </c>
      <c r="B9" s="53" t="s">
        <v>237</v>
      </c>
      <c r="C9" s="62">
        <v>2019</v>
      </c>
      <c r="D9" s="149" t="s">
        <v>166</v>
      </c>
      <c r="E9" s="53" t="s">
        <v>328</v>
      </c>
      <c r="F9" s="53" t="s">
        <v>329</v>
      </c>
      <c r="G9" s="53" t="s">
        <v>36</v>
      </c>
      <c r="H9" s="53" t="s">
        <v>163</v>
      </c>
      <c r="I9" s="53" t="s">
        <v>159</v>
      </c>
      <c r="J9" s="53" t="s">
        <v>38</v>
      </c>
      <c r="K9" s="53" t="s">
        <v>160</v>
      </c>
      <c r="L9" s="53">
        <v>2</v>
      </c>
      <c r="N9" s="53">
        <v>4</v>
      </c>
      <c r="O9" s="53">
        <v>0.62</v>
      </c>
      <c r="P9" s="53">
        <v>0.6</v>
      </c>
      <c r="Q9" s="74">
        <f t="shared" si="2"/>
        <v>0.61</v>
      </c>
      <c r="R9" s="53">
        <v>14.5</v>
      </c>
      <c r="S9" s="53">
        <v>103</v>
      </c>
      <c r="T9" s="16">
        <f t="shared" si="0"/>
        <v>33</v>
      </c>
      <c r="U9" s="53">
        <v>399</v>
      </c>
      <c r="V9" s="16">
        <f t="shared" si="1"/>
        <v>25</v>
      </c>
      <c r="W9" s="53">
        <v>1</v>
      </c>
      <c r="X9" s="53" t="s">
        <v>39</v>
      </c>
      <c r="Y9" s="53" t="s">
        <v>84</v>
      </c>
      <c r="Z9" s="53" t="s">
        <v>90</v>
      </c>
      <c r="AA9" s="53" t="s">
        <v>69</v>
      </c>
      <c r="AB9" s="53" t="s">
        <v>317</v>
      </c>
      <c r="AE9" s="22" t="s">
        <v>56</v>
      </c>
      <c r="AG9" s="150" t="s">
        <v>331</v>
      </c>
      <c r="AH9" s="151" t="s">
        <v>332</v>
      </c>
      <c r="AL9" s="73" t="s">
        <v>99</v>
      </c>
      <c r="AN9" s="73" t="s">
        <v>57</v>
      </c>
      <c r="AP9" s="23" t="s">
        <v>53</v>
      </c>
      <c r="AR9" s="23" t="s">
        <v>333</v>
      </c>
      <c r="AV9" s="23" t="s">
        <v>60</v>
      </c>
      <c r="AX9" s="24">
        <v>97</v>
      </c>
      <c r="AY9" s="25">
        <v>36</v>
      </c>
      <c r="AZ9" s="25">
        <v>99</v>
      </c>
      <c r="BA9" s="26">
        <v>33</v>
      </c>
    </row>
    <row r="10" spans="1:53" x14ac:dyDescent="0.15">
      <c r="A10" s="53" t="s">
        <v>59</v>
      </c>
      <c r="B10" s="53" t="s">
        <v>237</v>
      </c>
      <c r="C10" s="62">
        <v>2019</v>
      </c>
      <c r="D10" s="149" t="s">
        <v>166</v>
      </c>
      <c r="E10" s="53" t="s">
        <v>328</v>
      </c>
      <c r="F10" s="53" t="s">
        <v>329</v>
      </c>
      <c r="G10" s="53" t="s">
        <v>36</v>
      </c>
      <c r="H10" s="53" t="s">
        <v>163</v>
      </c>
      <c r="I10" s="53" t="s">
        <v>159</v>
      </c>
      <c r="J10" s="53" t="s">
        <v>38</v>
      </c>
      <c r="K10" s="53" t="s">
        <v>160</v>
      </c>
      <c r="L10" s="53">
        <v>3</v>
      </c>
      <c r="N10" s="53">
        <v>4</v>
      </c>
      <c r="O10" s="53">
        <v>0.57999999999999996</v>
      </c>
      <c r="P10" s="53">
        <v>0.52</v>
      </c>
      <c r="Q10" s="74">
        <f t="shared" si="2"/>
        <v>0.55000000000000004</v>
      </c>
      <c r="R10" s="53">
        <v>13.8</v>
      </c>
      <c r="S10" s="53">
        <v>95</v>
      </c>
      <c r="T10" s="16">
        <f t="shared" si="0"/>
        <v>36</v>
      </c>
      <c r="U10" s="53">
        <v>399</v>
      </c>
      <c r="V10" s="16">
        <f t="shared" si="1"/>
        <v>25</v>
      </c>
      <c r="W10" s="53">
        <v>1</v>
      </c>
      <c r="X10" s="53" t="s">
        <v>39</v>
      </c>
      <c r="Y10" s="53" t="s">
        <v>84</v>
      </c>
      <c r="Z10" s="53" t="s">
        <v>90</v>
      </c>
      <c r="AA10" s="53" t="s">
        <v>69</v>
      </c>
      <c r="AB10" s="53" t="s">
        <v>317</v>
      </c>
      <c r="AE10" s="22" t="s">
        <v>61</v>
      </c>
      <c r="AG10" s="150" t="s">
        <v>334</v>
      </c>
      <c r="AH10" s="151" t="s">
        <v>335</v>
      </c>
      <c r="AL10" s="34" t="s">
        <v>109</v>
      </c>
      <c r="AP10" s="23" t="s">
        <v>58</v>
      </c>
      <c r="AR10" s="23" t="s">
        <v>336</v>
      </c>
      <c r="AV10" s="23" t="s">
        <v>64</v>
      </c>
      <c r="AX10" s="24">
        <v>109</v>
      </c>
      <c r="AY10" s="25">
        <v>33</v>
      </c>
      <c r="AZ10" s="25">
        <v>113</v>
      </c>
      <c r="BA10" s="26">
        <v>30</v>
      </c>
    </row>
    <row r="11" spans="1:53" x14ac:dyDescent="0.15">
      <c r="A11" s="53" t="s">
        <v>59</v>
      </c>
      <c r="B11" s="53" t="s">
        <v>237</v>
      </c>
      <c r="C11" s="62">
        <v>2019</v>
      </c>
      <c r="D11" s="149" t="s">
        <v>166</v>
      </c>
      <c r="E11" s="53" t="s">
        <v>328</v>
      </c>
      <c r="F11" s="53" t="s">
        <v>329</v>
      </c>
      <c r="G11" s="53" t="s">
        <v>36</v>
      </c>
      <c r="H11" s="53" t="s">
        <v>128</v>
      </c>
      <c r="I11" s="53" t="s">
        <v>159</v>
      </c>
      <c r="J11" s="53" t="s">
        <v>80</v>
      </c>
      <c r="K11" s="53" t="s">
        <v>63</v>
      </c>
      <c r="L11" s="53">
        <v>1</v>
      </c>
      <c r="N11" s="53">
        <v>5</v>
      </c>
      <c r="O11" s="53">
        <v>0.24</v>
      </c>
      <c r="P11" s="53">
        <v>0.24</v>
      </c>
      <c r="Q11" s="74">
        <f t="shared" si="2"/>
        <v>0.24</v>
      </c>
      <c r="R11" s="53">
        <v>15.6</v>
      </c>
      <c r="S11" s="53">
        <v>87</v>
      </c>
      <c r="T11" s="16">
        <f t="shared" si="0"/>
        <v>36</v>
      </c>
      <c r="U11" s="53">
        <v>399</v>
      </c>
      <c r="V11" s="16">
        <f t="shared" si="1"/>
        <v>25</v>
      </c>
      <c r="W11" s="53">
        <v>1</v>
      </c>
      <c r="X11" s="53" t="s">
        <v>39</v>
      </c>
      <c r="Y11" s="53" t="s">
        <v>84</v>
      </c>
      <c r="Z11" s="53" t="s">
        <v>90</v>
      </c>
      <c r="AA11" s="53" t="s">
        <v>69</v>
      </c>
      <c r="AB11" s="53" t="s">
        <v>317</v>
      </c>
      <c r="AE11" s="22" t="s">
        <v>59</v>
      </c>
      <c r="AG11" s="152" t="s">
        <v>161</v>
      </c>
      <c r="AH11" s="151" t="s">
        <v>337</v>
      </c>
      <c r="AL11" s="34" t="s">
        <v>134</v>
      </c>
      <c r="AP11" s="23" t="s">
        <v>62</v>
      </c>
      <c r="AR11" s="23" t="s">
        <v>81</v>
      </c>
      <c r="AV11" s="23" t="s">
        <v>97</v>
      </c>
      <c r="AX11" s="24">
        <v>119</v>
      </c>
      <c r="AY11" s="25">
        <v>30</v>
      </c>
      <c r="AZ11" s="25">
        <v>121</v>
      </c>
      <c r="BA11" s="26">
        <v>27</v>
      </c>
    </row>
    <row r="12" spans="1:53" x14ac:dyDescent="0.15">
      <c r="A12" s="53" t="s">
        <v>59</v>
      </c>
      <c r="B12" s="53" t="s">
        <v>237</v>
      </c>
      <c r="C12" s="62">
        <v>2019</v>
      </c>
      <c r="D12" s="149" t="s">
        <v>166</v>
      </c>
      <c r="E12" s="53" t="s">
        <v>328</v>
      </c>
      <c r="F12" s="53" t="s">
        <v>329</v>
      </c>
      <c r="G12" s="53" t="s">
        <v>36</v>
      </c>
      <c r="H12" s="53" t="s">
        <v>128</v>
      </c>
      <c r="I12" s="53" t="s">
        <v>159</v>
      </c>
      <c r="J12" s="53" t="s">
        <v>80</v>
      </c>
      <c r="K12" s="53" t="s">
        <v>63</v>
      </c>
      <c r="L12" s="53">
        <v>2</v>
      </c>
      <c r="N12" s="53">
        <v>5</v>
      </c>
      <c r="O12" s="53">
        <v>0.23</v>
      </c>
      <c r="P12" s="53">
        <v>0.22</v>
      </c>
      <c r="Q12" s="74">
        <f t="shared" si="2"/>
        <v>0.22500000000000001</v>
      </c>
      <c r="R12" s="53">
        <v>14.7</v>
      </c>
      <c r="S12" s="53">
        <v>85</v>
      </c>
      <c r="T12" s="16">
        <f t="shared" si="0"/>
        <v>36</v>
      </c>
      <c r="U12" s="53">
        <v>399</v>
      </c>
      <c r="V12" s="16">
        <f t="shared" si="1"/>
        <v>25</v>
      </c>
      <c r="W12" s="53">
        <v>1</v>
      </c>
      <c r="X12" s="53" t="s">
        <v>39</v>
      </c>
      <c r="Y12" s="53" t="s">
        <v>84</v>
      </c>
      <c r="Z12" s="53" t="s">
        <v>90</v>
      </c>
      <c r="AA12" s="53" t="s">
        <v>69</v>
      </c>
      <c r="AB12" s="53" t="s">
        <v>317</v>
      </c>
      <c r="AE12" s="22" t="s">
        <v>98</v>
      </c>
      <c r="AG12" s="152" t="s">
        <v>338</v>
      </c>
      <c r="AH12" s="151" t="s">
        <v>337</v>
      </c>
      <c r="AL12" s="73"/>
      <c r="AP12" s="23" t="s">
        <v>339</v>
      </c>
      <c r="AR12" s="23" t="s">
        <v>89</v>
      </c>
      <c r="AV12" s="23" t="s">
        <v>102</v>
      </c>
      <c r="AX12" s="24">
        <v>128</v>
      </c>
      <c r="AY12" s="25">
        <v>27</v>
      </c>
      <c r="AZ12" s="25">
        <v>129</v>
      </c>
      <c r="BA12" s="26">
        <v>25</v>
      </c>
    </row>
    <row r="13" spans="1:53" x14ac:dyDescent="0.15">
      <c r="A13" s="53" t="s">
        <v>59</v>
      </c>
      <c r="B13" s="53" t="s">
        <v>237</v>
      </c>
      <c r="C13" s="62">
        <v>2019</v>
      </c>
      <c r="D13" s="149" t="s">
        <v>166</v>
      </c>
      <c r="E13" s="53" t="s">
        <v>328</v>
      </c>
      <c r="F13" s="53" t="s">
        <v>329</v>
      </c>
      <c r="G13" s="53" t="s">
        <v>36</v>
      </c>
      <c r="H13" s="53" t="s">
        <v>128</v>
      </c>
      <c r="I13" s="53" t="s">
        <v>159</v>
      </c>
      <c r="J13" s="53" t="s">
        <v>80</v>
      </c>
      <c r="K13" s="53" t="s">
        <v>63</v>
      </c>
      <c r="L13" s="53">
        <v>3</v>
      </c>
      <c r="N13" s="53">
        <v>5</v>
      </c>
      <c r="O13" s="53">
        <v>0.26</v>
      </c>
      <c r="P13" s="53">
        <v>0.25</v>
      </c>
      <c r="Q13" s="74">
        <f t="shared" si="2"/>
        <v>0.255</v>
      </c>
      <c r="R13" s="53">
        <v>14.4</v>
      </c>
      <c r="S13" s="53">
        <v>82</v>
      </c>
      <c r="T13" s="16">
        <f t="shared" si="0"/>
        <v>39</v>
      </c>
      <c r="U13" s="53">
        <v>399</v>
      </c>
      <c r="V13" s="16">
        <f t="shared" si="1"/>
        <v>25</v>
      </c>
      <c r="W13" s="53">
        <v>1</v>
      </c>
      <c r="X13" s="53" t="s">
        <v>39</v>
      </c>
      <c r="Y13" s="53" t="s">
        <v>84</v>
      </c>
      <c r="Z13" s="53" t="s">
        <v>90</v>
      </c>
      <c r="AA13" s="53" t="s">
        <v>69</v>
      </c>
      <c r="AB13" s="53" t="s">
        <v>317</v>
      </c>
      <c r="AE13" s="22" t="s">
        <v>103</v>
      </c>
      <c r="AG13" s="150" t="s">
        <v>340</v>
      </c>
      <c r="AH13" s="151" t="s">
        <v>329</v>
      </c>
      <c r="AL13" s="83"/>
      <c r="AP13" s="23" t="s">
        <v>100</v>
      </c>
      <c r="AR13" s="23" t="s">
        <v>123</v>
      </c>
      <c r="AV13" s="23" t="s">
        <v>106</v>
      </c>
      <c r="AX13" s="24">
        <v>138</v>
      </c>
      <c r="AY13" s="25">
        <v>25</v>
      </c>
      <c r="AZ13" s="25">
        <v>138</v>
      </c>
      <c r="BA13" s="26">
        <v>22</v>
      </c>
    </row>
    <row r="14" spans="1:53" x14ac:dyDescent="0.15">
      <c r="A14" s="53" t="s">
        <v>59</v>
      </c>
      <c r="B14" s="53" t="s">
        <v>237</v>
      </c>
      <c r="C14" s="62">
        <v>2019</v>
      </c>
      <c r="D14" s="149" t="s">
        <v>166</v>
      </c>
      <c r="E14" s="53" t="s">
        <v>340</v>
      </c>
      <c r="F14" s="53" t="s">
        <v>329</v>
      </c>
      <c r="G14" s="53" t="s">
        <v>36</v>
      </c>
      <c r="H14" s="53" t="s">
        <v>163</v>
      </c>
      <c r="I14" s="53" t="s">
        <v>159</v>
      </c>
      <c r="J14" s="53" t="s">
        <v>38</v>
      </c>
      <c r="K14" s="53" t="s">
        <v>160</v>
      </c>
      <c r="L14" s="53">
        <v>1</v>
      </c>
      <c r="N14" s="53">
        <v>4</v>
      </c>
      <c r="O14" s="53">
        <v>0.6</v>
      </c>
      <c r="P14" s="53">
        <v>0.54</v>
      </c>
      <c r="Q14" s="74">
        <f t="shared" si="2"/>
        <v>0.57000000000000006</v>
      </c>
      <c r="R14" s="53">
        <v>13</v>
      </c>
      <c r="S14" s="53">
        <v>99</v>
      </c>
      <c r="T14" s="16">
        <f t="shared" si="0"/>
        <v>33</v>
      </c>
      <c r="U14" s="53">
        <v>429</v>
      </c>
      <c r="V14" s="16">
        <f t="shared" si="1"/>
        <v>25</v>
      </c>
      <c r="W14" s="53">
        <v>1</v>
      </c>
      <c r="X14" s="53" t="s">
        <v>46</v>
      </c>
      <c r="Y14" s="53" t="s">
        <v>84</v>
      </c>
      <c r="Z14" s="53" t="s">
        <v>90</v>
      </c>
      <c r="AA14" s="53" t="s">
        <v>40</v>
      </c>
      <c r="AB14" s="53" t="s">
        <v>317</v>
      </c>
      <c r="AE14" s="22" t="s">
        <v>65</v>
      </c>
      <c r="AG14" s="152" t="s">
        <v>341</v>
      </c>
      <c r="AH14" s="151" t="s">
        <v>342</v>
      </c>
      <c r="AL14" s="83"/>
      <c r="AP14" s="23" t="s">
        <v>343</v>
      </c>
      <c r="AR14" s="23" t="s">
        <v>344</v>
      </c>
      <c r="AV14" s="23" t="s">
        <v>345</v>
      </c>
      <c r="AX14" s="24">
        <v>151</v>
      </c>
      <c r="AY14" s="25">
        <v>22</v>
      </c>
      <c r="AZ14" s="25">
        <v>152</v>
      </c>
      <c r="BA14" s="26">
        <v>18</v>
      </c>
    </row>
    <row r="15" spans="1:53" x14ac:dyDescent="0.15">
      <c r="A15" s="53" t="s">
        <v>59</v>
      </c>
      <c r="B15" s="53" t="s">
        <v>237</v>
      </c>
      <c r="C15" s="62">
        <v>2019</v>
      </c>
      <c r="D15" s="149" t="s">
        <v>166</v>
      </c>
      <c r="E15" s="53" t="s">
        <v>340</v>
      </c>
      <c r="F15" s="53" t="s">
        <v>329</v>
      </c>
      <c r="G15" s="53" t="s">
        <v>36</v>
      </c>
      <c r="H15" s="53" t="s">
        <v>163</v>
      </c>
      <c r="I15" s="53" t="s">
        <v>159</v>
      </c>
      <c r="J15" s="53" t="s">
        <v>38</v>
      </c>
      <c r="K15" s="53" t="s">
        <v>160</v>
      </c>
      <c r="L15" s="53">
        <v>2</v>
      </c>
      <c r="N15" s="53">
        <v>4</v>
      </c>
      <c r="O15" s="53">
        <v>0.44</v>
      </c>
      <c r="P15" s="53">
        <v>0.47</v>
      </c>
      <c r="Q15" s="74">
        <f t="shared" si="2"/>
        <v>0.45499999999999996</v>
      </c>
      <c r="R15" s="53">
        <v>13.3</v>
      </c>
      <c r="S15" s="53">
        <v>100</v>
      </c>
      <c r="T15" s="16">
        <f t="shared" si="0"/>
        <v>33</v>
      </c>
      <c r="U15" s="53">
        <v>429</v>
      </c>
      <c r="V15" s="16">
        <f t="shared" si="1"/>
        <v>25</v>
      </c>
      <c r="W15" s="53">
        <v>1</v>
      </c>
      <c r="X15" s="53" t="s">
        <v>46</v>
      </c>
      <c r="Y15" s="53" t="s">
        <v>84</v>
      </c>
      <c r="Z15" s="53" t="s">
        <v>90</v>
      </c>
      <c r="AA15" s="53" t="s">
        <v>40</v>
      </c>
      <c r="AB15" s="53" t="s">
        <v>317</v>
      </c>
      <c r="AE15" s="22" t="s">
        <v>70</v>
      </c>
      <c r="AG15" s="23"/>
      <c r="AH15" s="153"/>
      <c r="AL15" s="83"/>
      <c r="AP15" s="23" t="s">
        <v>67</v>
      </c>
      <c r="AR15" s="23" t="s">
        <v>124</v>
      </c>
      <c r="AV15" s="23" t="s">
        <v>72</v>
      </c>
      <c r="AX15" s="31">
        <v>180</v>
      </c>
      <c r="AY15" s="32">
        <v>18</v>
      </c>
      <c r="AZ15" s="32">
        <v>181</v>
      </c>
      <c r="BA15" s="33">
        <v>16</v>
      </c>
    </row>
    <row r="16" spans="1:53" x14ac:dyDescent="0.15">
      <c r="A16" s="53" t="s">
        <v>59</v>
      </c>
      <c r="B16" s="53" t="s">
        <v>237</v>
      </c>
      <c r="C16" s="62">
        <v>2019</v>
      </c>
      <c r="D16" s="149" t="s">
        <v>166</v>
      </c>
      <c r="E16" s="53" t="s">
        <v>340</v>
      </c>
      <c r="F16" s="53" t="s">
        <v>329</v>
      </c>
      <c r="G16" s="53" t="s">
        <v>36</v>
      </c>
      <c r="H16" s="53" t="s">
        <v>163</v>
      </c>
      <c r="I16" s="53" t="s">
        <v>159</v>
      </c>
      <c r="J16" s="53" t="s">
        <v>38</v>
      </c>
      <c r="K16" s="53" t="s">
        <v>160</v>
      </c>
      <c r="L16" s="53">
        <v>3</v>
      </c>
      <c r="N16" s="53">
        <v>4</v>
      </c>
      <c r="O16" s="53">
        <v>0.56999999999999995</v>
      </c>
      <c r="P16" s="53">
        <v>0.51</v>
      </c>
      <c r="Q16" s="74">
        <f t="shared" si="2"/>
        <v>0.54</v>
      </c>
      <c r="R16" s="53">
        <v>13.2</v>
      </c>
      <c r="S16" s="53">
        <v>102</v>
      </c>
      <c r="T16" s="16">
        <f t="shared" si="0"/>
        <v>33</v>
      </c>
      <c r="U16" s="53">
        <v>429</v>
      </c>
      <c r="V16" s="16">
        <f t="shared" si="1"/>
        <v>25</v>
      </c>
      <c r="W16" s="53">
        <v>1</v>
      </c>
      <c r="X16" s="53" t="s">
        <v>46</v>
      </c>
      <c r="Y16" s="53" t="s">
        <v>84</v>
      </c>
      <c r="Z16" s="53" t="s">
        <v>90</v>
      </c>
      <c r="AA16" s="53" t="s">
        <v>40</v>
      </c>
      <c r="AB16" s="53" t="s">
        <v>317</v>
      </c>
      <c r="AE16" s="22" t="s">
        <v>73</v>
      </c>
      <c r="AG16" s="23"/>
      <c r="AH16" s="23"/>
      <c r="AP16" s="23" t="s">
        <v>71</v>
      </c>
      <c r="AR16" s="23" t="s">
        <v>103</v>
      </c>
      <c r="AV16" s="23" t="s">
        <v>75</v>
      </c>
    </row>
    <row r="17" spans="1:48" x14ac:dyDescent="0.15">
      <c r="A17" s="53" t="s">
        <v>59</v>
      </c>
      <c r="B17" s="53" t="s">
        <v>237</v>
      </c>
      <c r="C17" s="62">
        <v>2019</v>
      </c>
      <c r="D17" s="149" t="s">
        <v>166</v>
      </c>
      <c r="E17" s="53" t="s">
        <v>340</v>
      </c>
      <c r="F17" s="53" t="s">
        <v>329</v>
      </c>
      <c r="G17" s="53" t="s">
        <v>36</v>
      </c>
      <c r="H17" s="53" t="s">
        <v>164</v>
      </c>
      <c r="I17" s="53" t="s">
        <v>159</v>
      </c>
      <c r="J17" s="53" t="s">
        <v>38</v>
      </c>
      <c r="K17" s="53" t="s">
        <v>333</v>
      </c>
      <c r="L17" s="53">
        <v>1</v>
      </c>
      <c r="N17" s="53">
        <v>2</v>
      </c>
      <c r="O17" s="53">
        <v>0.59</v>
      </c>
      <c r="P17" s="53">
        <v>0.56000000000000005</v>
      </c>
      <c r="Q17" s="74">
        <f t="shared" si="2"/>
        <v>0.57499999999999996</v>
      </c>
      <c r="R17" s="53">
        <v>15.5</v>
      </c>
      <c r="S17" s="53">
        <v>80</v>
      </c>
      <c r="T17" s="16">
        <f t="shared" si="0"/>
        <v>42</v>
      </c>
      <c r="U17" s="53">
        <v>321</v>
      </c>
      <c r="V17" s="16">
        <f t="shared" si="1"/>
        <v>25</v>
      </c>
      <c r="W17" s="53">
        <v>1</v>
      </c>
      <c r="X17" s="53" t="s">
        <v>46</v>
      </c>
      <c r="Y17" s="53" t="s">
        <v>84</v>
      </c>
      <c r="Z17" s="53" t="s">
        <v>90</v>
      </c>
      <c r="AA17" s="53" t="s">
        <v>40</v>
      </c>
      <c r="AB17" s="53" t="s">
        <v>317</v>
      </c>
      <c r="AE17" s="22" t="s">
        <v>76</v>
      </c>
      <c r="AG17" s="23"/>
      <c r="AH17" s="23"/>
      <c r="AP17" s="23" t="s">
        <v>346</v>
      </c>
      <c r="AR17" s="23" t="s">
        <v>125</v>
      </c>
      <c r="AV17" s="23" t="s">
        <v>78</v>
      </c>
    </row>
    <row r="18" spans="1:48" x14ac:dyDescent="0.15">
      <c r="A18" s="53" t="s">
        <v>59</v>
      </c>
      <c r="B18" s="53" t="s">
        <v>237</v>
      </c>
      <c r="C18" s="62">
        <v>2019</v>
      </c>
      <c r="D18" s="149" t="s">
        <v>166</v>
      </c>
      <c r="E18" s="53" t="s">
        <v>340</v>
      </c>
      <c r="F18" s="53" t="s">
        <v>329</v>
      </c>
      <c r="G18" s="53" t="s">
        <v>36</v>
      </c>
      <c r="H18" s="53" t="s">
        <v>164</v>
      </c>
      <c r="I18" s="53" t="s">
        <v>159</v>
      </c>
      <c r="J18" s="53" t="s">
        <v>38</v>
      </c>
      <c r="K18" s="53" t="s">
        <v>333</v>
      </c>
      <c r="L18" s="53">
        <v>2</v>
      </c>
      <c r="N18" s="53">
        <v>2</v>
      </c>
      <c r="O18" s="53">
        <v>0.45</v>
      </c>
      <c r="P18" s="53">
        <v>0.4</v>
      </c>
      <c r="Q18" s="74">
        <f t="shared" si="2"/>
        <v>0.42500000000000004</v>
      </c>
      <c r="R18" s="53">
        <v>17</v>
      </c>
      <c r="S18" s="53">
        <v>72</v>
      </c>
      <c r="T18" s="16">
        <f t="shared" si="0"/>
        <v>46</v>
      </c>
      <c r="U18" s="53">
        <v>321</v>
      </c>
      <c r="V18" s="16">
        <f t="shared" si="1"/>
        <v>25</v>
      </c>
      <c r="W18" s="53">
        <v>1</v>
      </c>
      <c r="X18" s="53" t="s">
        <v>46</v>
      </c>
      <c r="Y18" s="53" t="s">
        <v>84</v>
      </c>
      <c r="Z18" s="53" t="s">
        <v>90</v>
      </c>
      <c r="AA18" s="53" t="s">
        <v>40</v>
      </c>
      <c r="AB18" s="53" t="s">
        <v>317</v>
      </c>
      <c r="AE18" s="22" t="s">
        <v>79</v>
      </c>
      <c r="AG18" s="23"/>
      <c r="AH18" s="23"/>
      <c r="AP18" s="23" t="s">
        <v>347</v>
      </c>
      <c r="AR18" s="23" t="s">
        <v>94</v>
      </c>
      <c r="AV18" s="23" t="s">
        <v>107</v>
      </c>
    </row>
    <row r="19" spans="1:48" x14ac:dyDescent="0.15">
      <c r="A19" s="53" t="s">
        <v>59</v>
      </c>
      <c r="B19" s="53" t="s">
        <v>237</v>
      </c>
      <c r="C19" s="62">
        <v>2019</v>
      </c>
      <c r="D19" s="149" t="s">
        <v>166</v>
      </c>
      <c r="E19" s="53" t="s">
        <v>340</v>
      </c>
      <c r="F19" s="53" t="s">
        <v>329</v>
      </c>
      <c r="G19" s="53" t="s">
        <v>36</v>
      </c>
      <c r="H19" s="53" t="s">
        <v>164</v>
      </c>
      <c r="I19" s="53" t="s">
        <v>159</v>
      </c>
      <c r="J19" s="53" t="s">
        <v>38</v>
      </c>
      <c r="K19" s="53" t="s">
        <v>333</v>
      </c>
      <c r="L19" s="53">
        <v>3</v>
      </c>
      <c r="N19" s="53">
        <v>2</v>
      </c>
      <c r="O19" s="53">
        <v>0.48</v>
      </c>
      <c r="P19" s="53">
        <v>0.55000000000000004</v>
      </c>
      <c r="Q19" s="74">
        <f t="shared" si="2"/>
        <v>0.51500000000000001</v>
      </c>
      <c r="R19" s="53">
        <v>15.3</v>
      </c>
      <c r="S19" s="53">
        <v>73</v>
      </c>
      <c r="T19" s="16">
        <f t="shared" si="0"/>
        <v>46</v>
      </c>
      <c r="U19" s="53">
        <v>321</v>
      </c>
      <c r="V19" s="16">
        <f t="shared" si="1"/>
        <v>25</v>
      </c>
      <c r="W19" s="53">
        <v>1</v>
      </c>
      <c r="X19" s="53" t="s">
        <v>46</v>
      </c>
      <c r="Y19" s="53" t="s">
        <v>84</v>
      </c>
      <c r="Z19" s="53" t="s">
        <v>90</v>
      </c>
      <c r="AA19" s="53" t="s">
        <v>40</v>
      </c>
      <c r="AB19" s="53" t="s">
        <v>317</v>
      </c>
      <c r="AE19" s="22" t="s">
        <v>82</v>
      </c>
      <c r="AG19" s="28"/>
      <c r="AH19" s="28"/>
      <c r="AP19" s="23" t="s">
        <v>80</v>
      </c>
      <c r="AR19" s="23" t="s">
        <v>63</v>
      </c>
      <c r="AV19" s="23" t="s">
        <v>84</v>
      </c>
    </row>
    <row r="20" spans="1:48" x14ac:dyDescent="0.15">
      <c r="A20" s="53" t="s">
        <v>59</v>
      </c>
      <c r="B20" s="53" t="s">
        <v>237</v>
      </c>
      <c r="C20" s="62">
        <v>2019</v>
      </c>
      <c r="D20" s="149" t="s">
        <v>166</v>
      </c>
      <c r="E20" s="53" t="s">
        <v>338</v>
      </c>
      <c r="F20" s="53" t="s">
        <v>337</v>
      </c>
      <c r="G20" s="53" t="s">
        <v>36</v>
      </c>
      <c r="H20" s="53" t="s">
        <v>163</v>
      </c>
      <c r="I20" s="53" t="s">
        <v>159</v>
      </c>
      <c r="J20" s="53" t="s">
        <v>38</v>
      </c>
      <c r="K20" s="53" t="s">
        <v>160</v>
      </c>
      <c r="L20" s="53">
        <v>1</v>
      </c>
      <c r="N20" s="53">
        <v>4</v>
      </c>
      <c r="O20" s="53">
        <v>0.3</v>
      </c>
      <c r="P20" s="53">
        <v>0.31</v>
      </c>
      <c r="Q20" s="74">
        <f t="shared" si="2"/>
        <v>0.30499999999999999</v>
      </c>
      <c r="R20" s="53">
        <v>14.8</v>
      </c>
      <c r="S20" s="53">
        <v>104</v>
      </c>
      <c r="T20" s="16">
        <f t="shared" si="0"/>
        <v>33</v>
      </c>
      <c r="U20" s="53">
        <v>276</v>
      </c>
      <c r="V20" s="16">
        <f t="shared" si="1"/>
        <v>25</v>
      </c>
      <c r="W20" s="53">
        <v>1</v>
      </c>
      <c r="X20" s="53" t="s">
        <v>39</v>
      </c>
      <c r="Y20" s="53" t="s">
        <v>84</v>
      </c>
      <c r="Z20" s="53" t="s">
        <v>90</v>
      </c>
      <c r="AA20" s="53" t="s">
        <v>40</v>
      </c>
      <c r="AB20" s="53" t="s">
        <v>317</v>
      </c>
      <c r="AE20" s="22" t="s">
        <v>85</v>
      </c>
      <c r="AP20" s="27" t="s">
        <v>110</v>
      </c>
      <c r="AR20" s="23" t="s">
        <v>96</v>
      </c>
      <c r="AV20" s="23" t="s">
        <v>86</v>
      </c>
    </row>
    <row r="21" spans="1:48" x14ac:dyDescent="0.15">
      <c r="A21" s="53" t="s">
        <v>59</v>
      </c>
      <c r="B21" s="53" t="s">
        <v>237</v>
      </c>
      <c r="C21" s="62">
        <v>2019</v>
      </c>
      <c r="D21" s="149" t="s">
        <v>166</v>
      </c>
      <c r="E21" s="53" t="s">
        <v>338</v>
      </c>
      <c r="F21" s="53" t="s">
        <v>337</v>
      </c>
      <c r="G21" s="53" t="s">
        <v>36</v>
      </c>
      <c r="H21" s="53" t="s">
        <v>163</v>
      </c>
      <c r="I21" s="53" t="s">
        <v>159</v>
      </c>
      <c r="J21" s="53" t="s">
        <v>38</v>
      </c>
      <c r="K21" s="53" t="s">
        <v>160</v>
      </c>
      <c r="L21" s="53">
        <v>2</v>
      </c>
      <c r="N21" s="53">
        <v>4</v>
      </c>
      <c r="O21" s="53">
        <v>0.26</v>
      </c>
      <c r="P21" s="53">
        <v>0.28999999999999998</v>
      </c>
      <c r="Q21" s="74">
        <f t="shared" si="2"/>
        <v>0.27500000000000002</v>
      </c>
      <c r="R21" s="53">
        <v>15.9</v>
      </c>
      <c r="S21" s="53">
        <v>102</v>
      </c>
      <c r="T21" s="16">
        <f t="shared" si="0"/>
        <v>33</v>
      </c>
      <c r="U21" s="53">
        <v>276</v>
      </c>
      <c r="V21" s="16">
        <f t="shared" si="1"/>
        <v>25</v>
      </c>
      <c r="W21" s="53">
        <v>1</v>
      </c>
      <c r="X21" s="53" t="s">
        <v>39</v>
      </c>
      <c r="Y21" s="53" t="s">
        <v>84</v>
      </c>
      <c r="Z21" s="53" t="s">
        <v>90</v>
      </c>
      <c r="AA21" s="53" t="s">
        <v>40</v>
      </c>
      <c r="AB21" s="53" t="s">
        <v>317</v>
      </c>
      <c r="AE21" s="22" t="s">
        <v>87</v>
      </c>
      <c r="AP21" s="27" t="s">
        <v>348</v>
      </c>
      <c r="AR21" s="23" t="s">
        <v>101</v>
      </c>
      <c r="AV21" s="23" t="s">
        <v>88</v>
      </c>
    </row>
    <row r="22" spans="1:48" x14ac:dyDescent="0.15">
      <c r="A22" s="53" t="s">
        <v>59</v>
      </c>
      <c r="B22" s="53" t="s">
        <v>237</v>
      </c>
      <c r="C22" s="62">
        <v>2019</v>
      </c>
      <c r="D22" s="149" t="s">
        <v>166</v>
      </c>
      <c r="E22" s="53" t="s">
        <v>338</v>
      </c>
      <c r="F22" s="53" t="s">
        <v>337</v>
      </c>
      <c r="G22" s="53" t="s">
        <v>36</v>
      </c>
      <c r="H22" s="53" t="s">
        <v>163</v>
      </c>
      <c r="I22" s="53" t="s">
        <v>159</v>
      </c>
      <c r="J22" s="53" t="s">
        <v>38</v>
      </c>
      <c r="K22" s="53" t="s">
        <v>160</v>
      </c>
      <c r="L22" s="53">
        <v>3</v>
      </c>
      <c r="N22" s="53">
        <v>4</v>
      </c>
      <c r="O22" s="53">
        <v>0.28000000000000003</v>
      </c>
      <c r="P22" s="53">
        <v>0.32</v>
      </c>
      <c r="Q22" s="74">
        <f t="shared" si="2"/>
        <v>0.30000000000000004</v>
      </c>
      <c r="R22" s="53">
        <v>15.2</v>
      </c>
      <c r="S22" s="53">
        <v>105</v>
      </c>
      <c r="T22" s="16">
        <f t="shared" si="0"/>
        <v>33</v>
      </c>
      <c r="U22" s="53">
        <v>276</v>
      </c>
      <c r="V22" s="16">
        <f t="shared" si="1"/>
        <v>25</v>
      </c>
      <c r="W22" s="53">
        <v>1</v>
      </c>
      <c r="X22" s="53" t="s">
        <v>39</v>
      </c>
      <c r="Y22" s="53" t="s">
        <v>84</v>
      </c>
      <c r="Z22" s="53" t="s">
        <v>90</v>
      </c>
      <c r="AA22" s="53" t="s">
        <v>40</v>
      </c>
      <c r="AB22" s="53" t="s">
        <v>317</v>
      </c>
      <c r="AE22" s="35" t="s">
        <v>89</v>
      </c>
      <c r="AP22" s="27" t="s">
        <v>112</v>
      </c>
      <c r="AR22" s="23" t="s">
        <v>126</v>
      </c>
      <c r="AV22" s="23" t="s">
        <v>349</v>
      </c>
    </row>
    <row r="23" spans="1:48" x14ac:dyDescent="0.15">
      <c r="A23" s="53" t="s">
        <v>59</v>
      </c>
      <c r="B23" s="53" t="s">
        <v>237</v>
      </c>
      <c r="C23" s="62">
        <v>2019</v>
      </c>
      <c r="D23" s="149" t="s">
        <v>166</v>
      </c>
      <c r="E23" s="53" t="s">
        <v>161</v>
      </c>
      <c r="F23" s="53" t="s">
        <v>337</v>
      </c>
      <c r="G23" s="53" t="s">
        <v>36</v>
      </c>
      <c r="H23" s="53" t="s">
        <v>163</v>
      </c>
      <c r="I23" s="53" t="s">
        <v>159</v>
      </c>
      <c r="J23" s="53" t="s">
        <v>38</v>
      </c>
      <c r="K23" s="53" t="s">
        <v>160</v>
      </c>
      <c r="L23" s="53">
        <v>1</v>
      </c>
      <c r="N23" s="53">
        <v>1</v>
      </c>
      <c r="O23" s="53">
        <v>0.57999999999999996</v>
      </c>
      <c r="P23" s="53">
        <v>0.5</v>
      </c>
      <c r="Q23" s="74">
        <f t="shared" si="2"/>
        <v>0.54</v>
      </c>
      <c r="R23" s="53">
        <v>15.9</v>
      </c>
      <c r="S23" s="53">
        <v>105</v>
      </c>
      <c r="T23" s="16">
        <f t="shared" si="0"/>
        <v>33</v>
      </c>
      <c r="U23" s="53">
        <v>128</v>
      </c>
      <c r="V23" s="16">
        <f t="shared" si="1"/>
        <v>27</v>
      </c>
      <c r="W23" s="53">
        <v>4</v>
      </c>
      <c r="X23" s="53" t="s">
        <v>46</v>
      </c>
      <c r="Y23" s="53" t="s">
        <v>84</v>
      </c>
      <c r="Z23" s="53" t="s">
        <v>90</v>
      </c>
      <c r="AA23" s="53" t="s">
        <v>69</v>
      </c>
      <c r="AB23" s="53" t="s">
        <v>317</v>
      </c>
      <c r="AE23" s="35"/>
      <c r="AP23" s="27" t="s">
        <v>113</v>
      </c>
      <c r="AR23" s="23" t="s">
        <v>105</v>
      </c>
      <c r="AV23" s="27" t="s">
        <v>135</v>
      </c>
    </row>
    <row r="24" spans="1:48" x14ac:dyDescent="0.15">
      <c r="A24" s="53" t="s">
        <v>59</v>
      </c>
      <c r="B24" s="53" t="s">
        <v>237</v>
      </c>
      <c r="C24" s="62">
        <v>2019</v>
      </c>
      <c r="D24" s="149" t="s">
        <v>166</v>
      </c>
      <c r="E24" s="53" t="s">
        <v>161</v>
      </c>
      <c r="F24" s="53" t="s">
        <v>337</v>
      </c>
      <c r="G24" s="53" t="s">
        <v>36</v>
      </c>
      <c r="H24" s="53" t="s">
        <v>163</v>
      </c>
      <c r="I24" s="53" t="s">
        <v>159</v>
      </c>
      <c r="J24" s="53" t="s">
        <v>38</v>
      </c>
      <c r="K24" s="53" t="s">
        <v>160</v>
      </c>
      <c r="L24" s="53">
        <v>2</v>
      </c>
      <c r="N24" s="53">
        <v>1</v>
      </c>
      <c r="O24" s="53">
        <v>0.27</v>
      </c>
      <c r="P24" s="53">
        <v>0.25</v>
      </c>
      <c r="Q24" s="74">
        <f t="shared" si="2"/>
        <v>0.26</v>
      </c>
      <c r="R24" s="53">
        <v>14.3</v>
      </c>
      <c r="S24" s="53">
        <v>106</v>
      </c>
      <c r="T24" s="16">
        <f t="shared" si="0"/>
        <v>33</v>
      </c>
      <c r="U24" s="53">
        <v>128</v>
      </c>
      <c r="V24" s="16">
        <f t="shared" si="1"/>
        <v>27</v>
      </c>
      <c r="W24" s="53">
        <v>4</v>
      </c>
      <c r="X24" s="53" t="s">
        <v>46</v>
      </c>
      <c r="Y24" s="53" t="s">
        <v>84</v>
      </c>
      <c r="Z24" s="53" t="s">
        <v>90</v>
      </c>
      <c r="AA24" s="53" t="s">
        <v>69</v>
      </c>
      <c r="AB24" s="53" t="s">
        <v>317</v>
      </c>
      <c r="AE24" s="28"/>
      <c r="AP24" s="27" t="s">
        <v>350</v>
      </c>
      <c r="AR24" s="23" t="s">
        <v>68</v>
      </c>
      <c r="AV24" s="27" t="s">
        <v>136</v>
      </c>
    </row>
    <row r="25" spans="1:48" x14ac:dyDescent="0.15">
      <c r="A25" s="53" t="s">
        <v>59</v>
      </c>
      <c r="B25" s="53" t="s">
        <v>237</v>
      </c>
      <c r="C25" s="62">
        <v>2019</v>
      </c>
      <c r="D25" s="149" t="s">
        <v>166</v>
      </c>
      <c r="E25" s="53" t="s">
        <v>161</v>
      </c>
      <c r="F25" s="53" t="s">
        <v>337</v>
      </c>
      <c r="G25" s="53" t="s">
        <v>36</v>
      </c>
      <c r="H25" s="53" t="s">
        <v>163</v>
      </c>
      <c r="I25" s="53" t="s">
        <v>159</v>
      </c>
      <c r="J25" s="53" t="s">
        <v>38</v>
      </c>
      <c r="K25" s="53" t="s">
        <v>160</v>
      </c>
      <c r="L25" s="53">
        <v>3</v>
      </c>
      <c r="N25" s="53">
        <v>1</v>
      </c>
      <c r="O25" s="53">
        <v>0.49</v>
      </c>
      <c r="P25" s="53">
        <v>0.5</v>
      </c>
      <c r="Q25" s="74">
        <f t="shared" si="2"/>
        <v>0.495</v>
      </c>
      <c r="R25" s="53">
        <v>14.2</v>
      </c>
      <c r="S25" s="53">
        <v>110</v>
      </c>
      <c r="T25" s="16">
        <f t="shared" si="0"/>
        <v>33</v>
      </c>
      <c r="U25" s="53">
        <v>128</v>
      </c>
      <c r="V25" s="16">
        <f t="shared" si="1"/>
        <v>27</v>
      </c>
      <c r="W25" s="53">
        <v>4</v>
      </c>
      <c r="X25" s="53" t="s">
        <v>46</v>
      </c>
      <c r="Y25" s="53" t="s">
        <v>84</v>
      </c>
      <c r="Z25" s="53" t="s">
        <v>90</v>
      </c>
      <c r="AA25" s="53" t="s">
        <v>69</v>
      </c>
      <c r="AB25" s="53" t="s">
        <v>317</v>
      </c>
      <c r="AP25" s="27" t="s">
        <v>351</v>
      </c>
      <c r="AR25" s="23" t="s">
        <v>83</v>
      </c>
      <c r="AV25" s="27" t="s">
        <v>352</v>
      </c>
    </row>
    <row r="26" spans="1:48" x14ac:dyDescent="0.15">
      <c r="A26" s="53" t="s">
        <v>59</v>
      </c>
      <c r="B26" s="53" t="s">
        <v>237</v>
      </c>
      <c r="C26" s="62">
        <v>2019</v>
      </c>
      <c r="D26" s="149" t="s">
        <v>166</v>
      </c>
      <c r="E26" s="53" t="s">
        <v>161</v>
      </c>
      <c r="F26" s="53" t="s">
        <v>337</v>
      </c>
      <c r="G26" s="53" t="s">
        <v>36</v>
      </c>
      <c r="H26" s="53" t="s">
        <v>163</v>
      </c>
      <c r="I26" s="53" t="s">
        <v>197</v>
      </c>
      <c r="J26" s="53" t="s">
        <v>38</v>
      </c>
      <c r="K26" s="53" t="s">
        <v>160</v>
      </c>
      <c r="L26" s="53">
        <v>1</v>
      </c>
      <c r="N26" s="53">
        <v>5</v>
      </c>
      <c r="O26" s="53">
        <v>0.34</v>
      </c>
      <c r="P26" s="53">
        <v>0.4</v>
      </c>
      <c r="Q26" s="74">
        <f t="shared" si="2"/>
        <v>0.37</v>
      </c>
      <c r="R26" s="53">
        <v>13.6</v>
      </c>
      <c r="S26" s="53">
        <v>75</v>
      </c>
      <c r="T26" s="16">
        <f t="shared" si="0"/>
        <v>42</v>
      </c>
      <c r="U26" s="53">
        <v>398</v>
      </c>
      <c r="V26" s="16">
        <f t="shared" si="1"/>
        <v>25</v>
      </c>
      <c r="W26" s="53">
        <v>1</v>
      </c>
      <c r="X26" s="53" t="s">
        <v>46</v>
      </c>
      <c r="Y26" s="53" t="s">
        <v>84</v>
      </c>
      <c r="Z26" s="53" t="s">
        <v>90</v>
      </c>
      <c r="AA26" s="53" t="s">
        <v>69</v>
      </c>
      <c r="AB26" s="53" t="s">
        <v>317</v>
      </c>
      <c r="AP26" s="27" t="s">
        <v>137</v>
      </c>
      <c r="AR26" s="23" t="s">
        <v>61</v>
      </c>
      <c r="AV26" s="27" t="s">
        <v>353</v>
      </c>
    </row>
    <row r="27" spans="1:48" x14ac:dyDescent="0.15">
      <c r="A27" s="53" t="s">
        <v>59</v>
      </c>
      <c r="B27" s="53" t="s">
        <v>237</v>
      </c>
      <c r="C27" s="62">
        <v>2019</v>
      </c>
      <c r="D27" s="149" t="s">
        <v>166</v>
      </c>
      <c r="E27" s="53" t="s">
        <v>161</v>
      </c>
      <c r="F27" s="53" t="s">
        <v>337</v>
      </c>
      <c r="G27" s="53" t="s">
        <v>36</v>
      </c>
      <c r="H27" s="53" t="s">
        <v>163</v>
      </c>
      <c r="I27" s="53" t="s">
        <v>197</v>
      </c>
      <c r="J27" s="53" t="s">
        <v>38</v>
      </c>
      <c r="K27" s="53" t="s">
        <v>160</v>
      </c>
      <c r="L27" s="53">
        <v>2</v>
      </c>
      <c r="N27" s="53">
        <v>5</v>
      </c>
      <c r="O27" s="53">
        <v>0.38</v>
      </c>
      <c r="P27" s="53">
        <v>0.36</v>
      </c>
      <c r="Q27" s="74">
        <f t="shared" si="2"/>
        <v>0.37</v>
      </c>
      <c r="R27" s="53">
        <v>15.3</v>
      </c>
      <c r="S27" s="53">
        <v>77</v>
      </c>
      <c r="T27" s="16">
        <f t="shared" si="0"/>
        <v>39</v>
      </c>
      <c r="U27" s="53">
        <v>398</v>
      </c>
      <c r="V27" s="16">
        <f t="shared" si="1"/>
        <v>25</v>
      </c>
      <c r="W27" s="53">
        <v>1</v>
      </c>
      <c r="X27" s="53" t="s">
        <v>46</v>
      </c>
      <c r="Y27" s="53" t="s">
        <v>84</v>
      </c>
      <c r="Z27" s="53" t="s">
        <v>90</v>
      </c>
      <c r="AA27" s="53" t="s">
        <v>69</v>
      </c>
      <c r="AB27" s="53" t="s">
        <v>317</v>
      </c>
      <c r="AP27" s="27" t="s">
        <v>138</v>
      </c>
      <c r="AR27" s="23" t="s">
        <v>91</v>
      </c>
      <c r="AV27" s="27" t="s">
        <v>354</v>
      </c>
    </row>
    <row r="28" spans="1:48" x14ac:dyDescent="0.15">
      <c r="A28" s="53" t="s">
        <v>59</v>
      </c>
      <c r="B28" s="53" t="s">
        <v>237</v>
      </c>
      <c r="C28" s="62">
        <v>2019</v>
      </c>
      <c r="D28" s="149" t="s">
        <v>166</v>
      </c>
      <c r="E28" s="53" t="s">
        <v>161</v>
      </c>
      <c r="F28" s="53" t="s">
        <v>337</v>
      </c>
      <c r="G28" s="53" t="s">
        <v>36</v>
      </c>
      <c r="H28" s="53" t="s">
        <v>163</v>
      </c>
      <c r="I28" s="53" t="s">
        <v>197</v>
      </c>
      <c r="J28" s="53" t="s">
        <v>38</v>
      </c>
      <c r="K28" s="53" t="s">
        <v>160</v>
      </c>
      <c r="L28" s="53">
        <v>3</v>
      </c>
      <c r="N28" s="53">
        <v>5</v>
      </c>
      <c r="O28" s="53">
        <v>0.39</v>
      </c>
      <c r="P28" s="53">
        <v>0.36</v>
      </c>
      <c r="Q28" s="74">
        <f t="shared" si="2"/>
        <v>0.375</v>
      </c>
      <c r="R28" s="53">
        <v>13.9</v>
      </c>
      <c r="S28" s="53">
        <v>76</v>
      </c>
      <c r="T28" s="16">
        <f t="shared" si="0"/>
        <v>39</v>
      </c>
      <c r="U28" s="53">
        <v>398</v>
      </c>
      <c r="V28" s="16">
        <f t="shared" si="1"/>
        <v>25</v>
      </c>
      <c r="W28" s="53">
        <v>1</v>
      </c>
      <c r="X28" s="53" t="s">
        <v>46</v>
      </c>
      <c r="Y28" s="53" t="s">
        <v>84</v>
      </c>
      <c r="Z28" s="53" t="s">
        <v>90</v>
      </c>
      <c r="AA28" s="53" t="s">
        <v>69</v>
      </c>
      <c r="AB28" s="53" t="s">
        <v>317</v>
      </c>
      <c r="AP28" s="27" t="s">
        <v>116</v>
      </c>
      <c r="AR28" s="27" t="s">
        <v>92</v>
      </c>
      <c r="AV28" s="27" t="s">
        <v>355</v>
      </c>
    </row>
    <row r="29" spans="1:48" x14ac:dyDescent="0.15">
      <c r="A29" s="53" t="s">
        <v>59</v>
      </c>
      <c r="B29" s="53" t="s">
        <v>237</v>
      </c>
      <c r="C29" s="62">
        <v>2019</v>
      </c>
      <c r="D29" s="149" t="s">
        <v>166</v>
      </c>
      <c r="E29" s="53" t="s">
        <v>334</v>
      </c>
      <c r="F29" s="53" t="s">
        <v>335</v>
      </c>
      <c r="G29" s="53" t="s">
        <v>36</v>
      </c>
      <c r="H29" s="53" t="s">
        <v>163</v>
      </c>
      <c r="I29" s="53" t="s">
        <v>159</v>
      </c>
      <c r="J29" s="53" t="s">
        <v>38</v>
      </c>
      <c r="K29" s="53" t="s">
        <v>160</v>
      </c>
      <c r="L29" s="53">
        <v>1</v>
      </c>
      <c r="N29" s="53">
        <v>3</v>
      </c>
      <c r="O29" s="53">
        <v>0.22</v>
      </c>
      <c r="P29" s="53">
        <v>0.25</v>
      </c>
      <c r="Q29" s="74">
        <f t="shared" si="2"/>
        <v>0.23499999999999999</v>
      </c>
      <c r="R29" s="53">
        <v>13.5</v>
      </c>
      <c r="S29" s="53">
        <v>130</v>
      </c>
      <c r="T29" s="16">
        <f t="shared" si="0"/>
        <v>25</v>
      </c>
      <c r="U29" s="53">
        <v>299</v>
      </c>
      <c r="V29" s="16">
        <f t="shared" si="1"/>
        <v>25</v>
      </c>
      <c r="W29" s="53">
        <v>5</v>
      </c>
      <c r="X29" s="53" t="s">
        <v>39</v>
      </c>
      <c r="Y29" s="53" t="s">
        <v>90</v>
      </c>
      <c r="Z29" s="53" t="s">
        <v>69</v>
      </c>
      <c r="AA29" s="53" t="s">
        <v>84</v>
      </c>
      <c r="AB29" s="53" t="s">
        <v>317</v>
      </c>
      <c r="AP29" s="27" t="s">
        <v>117</v>
      </c>
      <c r="AR29" s="27" t="s">
        <v>356</v>
      </c>
      <c r="AV29" s="27"/>
    </row>
    <row r="30" spans="1:48" x14ac:dyDescent="0.15">
      <c r="A30" s="53" t="s">
        <v>59</v>
      </c>
      <c r="B30" s="53" t="s">
        <v>237</v>
      </c>
      <c r="C30" s="62">
        <v>2019</v>
      </c>
      <c r="D30" s="149" t="s">
        <v>166</v>
      </c>
      <c r="E30" s="53" t="s">
        <v>334</v>
      </c>
      <c r="F30" s="53" t="s">
        <v>335</v>
      </c>
      <c r="G30" s="53" t="s">
        <v>36</v>
      </c>
      <c r="H30" s="53" t="s">
        <v>163</v>
      </c>
      <c r="I30" s="53" t="s">
        <v>159</v>
      </c>
      <c r="J30" s="53" t="s">
        <v>38</v>
      </c>
      <c r="K30" s="53" t="s">
        <v>160</v>
      </c>
      <c r="L30" s="53">
        <v>2</v>
      </c>
      <c r="N30" s="53">
        <v>3</v>
      </c>
      <c r="O30" s="53">
        <v>0.24</v>
      </c>
      <c r="P30" s="53">
        <v>0.25</v>
      </c>
      <c r="Q30" s="74">
        <f t="shared" si="2"/>
        <v>0.245</v>
      </c>
      <c r="R30" s="53">
        <v>14.1</v>
      </c>
      <c r="S30" s="53">
        <v>136</v>
      </c>
      <c r="T30" s="16">
        <f t="shared" si="0"/>
        <v>25</v>
      </c>
      <c r="U30" s="53">
        <v>299</v>
      </c>
      <c r="V30" s="16">
        <f t="shared" si="1"/>
        <v>25</v>
      </c>
      <c r="W30" s="53">
        <v>5</v>
      </c>
      <c r="X30" s="53" t="s">
        <v>39</v>
      </c>
      <c r="Y30" s="53" t="s">
        <v>90</v>
      </c>
      <c r="Z30" s="53" t="s">
        <v>69</v>
      </c>
      <c r="AA30" s="53" t="s">
        <v>84</v>
      </c>
      <c r="AB30" s="53" t="s">
        <v>317</v>
      </c>
      <c r="AP30" s="27" t="s">
        <v>118</v>
      </c>
      <c r="AR30" s="28" t="s">
        <v>153</v>
      </c>
      <c r="AV30" s="27"/>
    </row>
    <row r="31" spans="1:48" x14ac:dyDescent="0.15">
      <c r="A31" s="53" t="s">
        <v>59</v>
      </c>
      <c r="B31" s="53" t="s">
        <v>237</v>
      </c>
      <c r="C31" s="62">
        <v>2019</v>
      </c>
      <c r="D31" s="149" t="s">
        <v>166</v>
      </c>
      <c r="E31" s="53" t="s">
        <v>334</v>
      </c>
      <c r="F31" s="53" t="s">
        <v>335</v>
      </c>
      <c r="G31" s="53" t="s">
        <v>36</v>
      </c>
      <c r="H31" s="53" t="s">
        <v>163</v>
      </c>
      <c r="I31" s="53" t="s">
        <v>159</v>
      </c>
      <c r="J31" s="53" t="s">
        <v>38</v>
      </c>
      <c r="K31" s="53" t="s">
        <v>160</v>
      </c>
      <c r="L31" s="53">
        <v>3</v>
      </c>
      <c r="N31" s="53">
        <v>3</v>
      </c>
      <c r="O31" s="53">
        <v>0.23</v>
      </c>
      <c r="P31" s="53">
        <v>0.23</v>
      </c>
      <c r="Q31" s="74">
        <f t="shared" si="2"/>
        <v>0.23</v>
      </c>
      <c r="R31" s="53">
        <v>14.5</v>
      </c>
      <c r="S31" s="53">
        <v>135</v>
      </c>
      <c r="T31" s="16">
        <f t="shared" si="0"/>
        <v>25</v>
      </c>
      <c r="U31" s="53">
        <v>299</v>
      </c>
      <c r="V31" s="16">
        <f t="shared" si="1"/>
        <v>25</v>
      </c>
      <c r="W31" s="53">
        <v>5</v>
      </c>
      <c r="X31" s="53" t="s">
        <v>39</v>
      </c>
      <c r="Y31" s="53" t="s">
        <v>90</v>
      </c>
      <c r="Z31" s="53" t="s">
        <v>69</v>
      </c>
      <c r="AA31" s="53" t="s">
        <v>84</v>
      </c>
      <c r="AB31" s="53" t="s">
        <v>317</v>
      </c>
      <c r="AV31" s="27"/>
    </row>
    <row r="32" spans="1:48" x14ac:dyDescent="0.15">
      <c r="A32" s="53" t="s">
        <v>59</v>
      </c>
      <c r="B32" s="53" t="s">
        <v>237</v>
      </c>
      <c r="C32" s="62">
        <v>2019</v>
      </c>
      <c r="D32" s="149" t="s">
        <v>166</v>
      </c>
      <c r="E32" s="53" t="s">
        <v>334</v>
      </c>
      <c r="F32" s="53" t="s">
        <v>335</v>
      </c>
      <c r="G32" s="53" t="s">
        <v>36</v>
      </c>
      <c r="H32" s="53" t="s">
        <v>164</v>
      </c>
      <c r="I32" s="53" t="s">
        <v>159</v>
      </c>
      <c r="J32" s="53" t="s">
        <v>38</v>
      </c>
      <c r="K32" s="53" t="s">
        <v>333</v>
      </c>
      <c r="L32" s="53">
        <v>1</v>
      </c>
      <c r="N32" s="53">
        <v>4</v>
      </c>
      <c r="O32" s="53">
        <v>0.57999999999999996</v>
      </c>
      <c r="P32" s="53">
        <v>0.65</v>
      </c>
      <c r="Q32" s="74">
        <f t="shared" si="2"/>
        <v>0.61499999999999999</v>
      </c>
      <c r="R32" s="53">
        <v>12.7</v>
      </c>
      <c r="S32" s="53">
        <v>85</v>
      </c>
      <c r="T32" s="16">
        <f t="shared" si="0"/>
        <v>39</v>
      </c>
      <c r="U32" s="53">
        <v>599</v>
      </c>
      <c r="V32" s="16">
        <f t="shared" si="1"/>
        <v>25</v>
      </c>
      <c r="W32" s="53">
        <v>1</v>
      </c>
      <c r="X32" s="53" t="s">
        <v>39</v>
      </c>
      <c r="Y32" s="53" t="s">
        <v>90</v>
      </c>
      <c r="Z32" s="53" t="s">
        <v>69</v>
      </c>
      <c r="AA32" s="53" t="s">
        <v>84</v>
      </c>
      <c r="AB32" s="53" t="s">
        <v>317</v>
      </c>
      <c r="AP32" s="27" t="s">
        <v>117</v>
      </c>
      <c r="AR32" s="27" t="s">
        <v>356</v>
      </c>
      <c r="AV32" s="27"/>
    </row>
    <row r="33" spans="1:48" x14ac:dyDescent="0.15">
      <c r="A33" s="53" t="s">
        <v>59</v>
      </c>
      <c r="B33" s="53" t="s">
        <v>237</v>
      </c>
      <c r="C33" s="62">
        <v>2019</v>
      </c>
      <c r="D33" s="149" t="s">
        <v>166</v>
      </c>
      <c r="E33" s="53" t="s">
        <v>334</v>
      </c>
      <c r="F33" s="53" t="s">
        <v>335</v>
      </c>
      <c r="G33" s="53" t="s">
        <v>36</v>
      </c>
      <c r="H33" s="53" t="s">
        <v>164</v>
      </c>
      <c r="I33" s="53" t="s">
        <v>159</v>
      </c>
      <c r="J33" s="53" t="s">
        <v>38</v>
      </c>
      <c r="K33" s="53" t="s">
        <v>333</v>
      </c>
      <c r="L33" s="53">
        <v>2</v>
      </c>
      <c r="N33" s="53">
        <v>4</v>
      </c>
      <c r="O33" s="53">
        <v>0.54</v>
      </c>
      <c r="P33" s="53">
        <v>0.47</v>
      </c>
      <c r="Q33" s="74">
        <f t="shared" si="2"/>
        <v>0.505</v>
      </c>
      <c r="R33" s="53">
        <v>14.4</v>
      </c>
      <c r="S33" s="53">
        <v>87</v>
      </c>
      <c r="T33" s="16">
        <f t="shared" si="0"/>
        <v>39</v>
      </c>
      <c r="U33" s="53">
        <v>599</v>
      </c>
      <c r="V33" s="16">
        <f t="shared" si="1"/>
        <v>25</v>
      </c>
      <c r="W33" s="53">
        <v>1</v>
      </c>
      <c r="X33" s="53" t="s">
        <v>39</v>
      </c>
      <c r="Y33" s="53" t="s">
        <v>90</v>
      </c>
      <c r="Z33" s="53" t="s">
        <v>69</v>
      </c>
      <c r="AA33" s="53" t="s">
        <v>84</v>
      </c>
      <c r="AB33" s="53" t="s">
        <v>317</v>
      </c>
      <c r="AP33" s="27" t="s">
        <v>118</v>
      </c>
      <c r="AR33" s="28" t="s">
        <v>153</v>
      </c>
      <c r="AV33" s="27"/>
    </row>
    <row r="34" spans="1:48" x14ac:dyDescent="0.15">
      <c r="A34" s="53" t="s">
        <v>59</v>
      </c>
      <c r="B34" s="53" t="s">
        <v>237</v>
      </c>
      <c r="C34" s="62">
        <v>2019</v>
      </c>
      <c r="D34" s="149" t="s">
        <v>166</v>
      </c>
      <c r="E34" s="53" t="s">
        <v>334</v>
      </c>
      <c r="F34" s="53" t="s">
        <v>335</v>
      </c>
      <c r="G34" s="53" t="s">
        <v>36</v>
      </c>
      <c r="H34" s="53" t="s">
        <v>164</v>
      </c>
      <c r="I34" s="53" t="s">
        <v>159</v>
      </c>
      <c r="J34" s="53" t="s">
        <v>38</v>
      </c>
      <c r="K34" s="53" t="s">
        <v>333</v>
      </c>
      <c r="L34" s="53">
        <v>3</v>
      </c>
      <c r="N34" s="53">
        <v>4</v>
      </c>
      <c r="O34" s="53">
        <v>0.55000000000000004</v>
      </c>
      <c r="P34" s="53">
        <v>0.51</v>
      </c>
      <c r="Q34" s="74">
        <f t="shared" si="2"/>
        <v>0.53</v>
      </c>
      <c r="R34" s="53">
        <v>12.9</v>
      </c>
      <c r="S34" s="53">
        <v>104</v>
      </c>
      <c r="T34" s="16">
        <f t="shared" si="0"/>
        <v>36</v>
      </c>
      <c r="U34" s="53">
        <v>599</v>
      </c>
      <c r="V34" s="16">
        <f t="shared" si="1"/>
        <v>25</v>
      </c>
      <c r="W34" s="53">
        <v>1</v>
      </c>
      <c r="X34" s="53" t="s">
        <v>39</v>
      </c>
      <c r="Y34" s="53" t="s">
        <v>90</v>
      </c>
      <c r="Z34" s="53" t="s">
        <v>69</v>
      </c>
      <c r="AA34" s="53" t="s">
        <v>84</v>
      </c>
      <c r="AB34" s="53" t="s">
        <v>317</v>
      </c>
      <c r="AV34" s="27"/>
    </row>
    <row r="35" spans="1:48" x14ac:dyDescent="0.15">
      <c r="A35" s="53" t="s">
        <v>59</v>
      </c>
      <c r="B35" s="53" t="s">
        <v>237</v>
      </c>
      <c r="C35" s="62">
        <v>2019</v>
      </c>
      <c r="D35" s="149" t="s">
        <v>166</v>
      </c>
      <c r="E35" s="53" t="s">
        <v>334</v>
      </c>
      <c r="F35" s="53" t="s">
        <v>335</v>
      </c>
      <c r="G35" s="53" t="s">
        <v>36</v>
      </c>
      <c r="H35" s="53" t="s">
        <v>128</v>
      </c>
      <c r="I35" s="53" t="s">
        <v>159</v>
      </c>
      <c r="J35" s="53" t="s">
        <v>343</v>
      </c>
      <c r="K35" s="53" t="s">
        <v>326</v>
      </c>
      <c r="L35" s="53">
        <v>1</v>
      </c>
      <c r="N35" s="53">
        <v>4</v>
      </c>
      <c r="O35" s="53">
        <v>0.45</v>
      </c>
      <c r="P35" s="53">
        <v>0.49</v>
      </c>
      <c r="Q35" s="74">
        <f t="shared" si="2"/>
        <v>0.47</v>
      </c>
      <c r="R35" s="53">
        <v>11.5</v>
      </c>
      <c r="S35" s="53">
        <v>120</v>
      </c>
      <c r="T35" s="16">
        <f t="shared" si="0"/>
        <v>30</v>
      </c>
      <c r="U35" s="53">
        <v>480</v>
      </c>
      <c r="V35" s="16">
        <f t="shared" si="1"/>
        <v>25</v>
      </c>
      <c r="W35" s="53">
        <v>1</v>
      </c>
      <c r="X35" s="53" t="s">
        <v>39</v>
      </c>
      <c r="Y35" s="53" t="s">
        <v>90</v>
      </c>
      <c r="Z35" s="53" t="s">
        <v>69</v>
      </c>
      <c r="AA35" s="53" t="s">
        <v>84</v>
      </c>
      <c r="AB35" s="53" t="s">
        <v>317</v>
      </c>
      <c r="AV35" s="27"/>
    </row>
    <row r="36" spans="1:48" x14ac:dyDescent="0.15">
      <c r="A36" s="53" t="s">
        <v>59</v>
      </c>
      <c r="B36" s="53" t="s">
        <v>237</v>
      </c>
      <c r="C36" s="62">
        <v>2019</v>
      </c>
      <c r="D36" s="149" t="s">
        <v>166</v>
      </c>
      <c r="E36" s="53" t="s">
        <v>334</v>
      </c>
      <c r="F36" s="53" t="s">
        <v>335</v>
      </c>
      <c r="G36" s="53" t="s">
        <v>36</v>
      </c>
      <c r="H36" s="53" t="s">
        <v>128</v>
      </c>
      <c r="I36" s="53" t="s">
        <v>159</v>
      </c>
      <c r="J36" s="53" t="s">
        <v>343</v>
      </c>
      <c r="K36" s="53" t="s">
        <v>326</v>
      </c>
      <c r="L36" s="53">
        <v>2</v>
      </c>
      <c r="N36" s="53">
        <v>4</v>
      </c>
      <c r="O36" s="53">
        <v>0.36</v>
      </c>
      <c r="P36" s="53">
        <v>0.4</v>
      </c>
      <c r="Q36" s="74">
        <f t="shared" si="2"/>
        <v>0.38</v>
      </c>
      <c r="R36" s="53">
        <v>10.3</v>
      </c>
      <c r="S36" s="53">
        <v>113</v>
      </c>
      <c r="T36" s="16">
        <f t="shared" si="0"/>
        <v>30</v>
      </c>
      <c r="U36" s="53">
        <v>480</v>
      </c>
      <c r="V36" s="16">
        <f t="shared" si="1"/>
        <v>25</v>
      </c>
      <c r="W36" s="53">
        <v>1</v>
      </c>
      <c r="X36" s="53" t="s">
        <v>39</v>
      </c>
      <c r="Y36" s="53" t="s">
        <v>90</v>
      </c>
      <c r="Z36" s="53" t="s">
        <v>69</v>
      </c>
      <c r="AA36" s="53" t="s">
        <v>84</v>
      </c>
      <c r="AB36" s="53" t="s">
        <v>317</v>
      </c>
      <c r="AV36" s="27"/>
    </row>
    <row r="37" spans="1:48" x14ac:dyDescent="0.15">
      <c r="A37" s="53" t="s">
        <v>59</v>
      </c>
      <c r="B37" s="53" t="s">
        <v>237</v>
      </c>
      <c r="C37" s="62">
        <v>2019</v>
      </c>
      <c r="D37" s="149" t="s">
        <v>166</v>
      </c>
      <c r="E37" s="53" t="s">
        <v>334</v>
      </c>
      <c r="F37" s="53" t="s">
        <v>335</v>
      </c>
      <c r="G37" s="53" t="s">
        <v>36</v>
      </c>
      <c r="H37" s="53" t="s">
        <v>128</v>
      </c>
      <c r="I37" s="53" t="s">
        <v>159</v>
      </c>
      <c r="J37" s="53" t="s">
        <v>343</v>
      </c>
      <c r="K37" s="53" t="s">
        <v>326</v>
      </c>
      <c r="L37" s="53">
        <v>3</v>
      </c>
      <c r="N37" s="53">
        <v>4</v>
      </c>
      <c r="O37" s="53">
        <v>0.42</v>
      </c>
      <c r="P37" s="53">
        <v>0.46</v>
      </c>
      <c r="Q37" s="74">
        <f t="shared" si="2"/>
        <v>0.44</v>
      </c>
      <c r="R37" s="53">
        <v>11.1</v>
      </c>
      <c r="S37" s="53">
        <v>121</v>
      </c>
      <c r="T37" s="16">
        <f t="shared" si="0"/>
        <v>27</v>
      </c>
      <c r="U37" s="53">
        <v>480</v>
      </c>
      <c r="V37" s="16">
        <f t="shared" si="1"/>
        <v>25</v>
      </c>
      <c r="W37" s="53">
        <v>1</v>
      </c>
      <c r="X37" s="53" t="s">
        <v>39</v>
      </c>
      <c r="Y37" s="53" t="s">
        <v>90</v>
      </c>
      <c r="Z37" s="53" t="s">
        <v>69</v>
      </c>
      <c r="AA37" s="53" t="s">
        <v>84</v>
      </c>
      <c r="AB37" s="53" t="s">
        <v>317</v>
      </c>
      <c r="AV37" s="27"/>
    </row>
    <row r="38" spans="1:48" x14ac:dyDescent="0.15">
      <c r="A38" s="53" t="s">
        <v>59</v>
      </c>
      <c r="B38" s="53" t="s">
        <v>237</v>
      </c>
      <c r="C38" s="62">
        <v>2019</v>
      </c>
      <c r="D38" s="149" t="s">
        <v>166</v>
      </c>
      <c r="E38" s="53" t="s">
        <v>324</v>
      </c>
      <c r="F38" s="53" t="s">
        <v>325</v>
      </c>
      <c r="G38" s="53" t="s">
        <v>36</v>
      </c>
      <c r="H38" s="53" t="s">
        <v>203</v>
      </c>
      <c r="I38" s="53" t="s">
        <v>159</v>
      </c>
      <c r="J38" s="53" t="s">
        <v>38</v>
      </c>
      <c r="K38" s="53" t="s">
        <v>160</v>
      </c>
      <c r="L38" s="53">
        <v>1</v>
      </c>
      <c r="N38" s="53">
        <v>4</v>
      </c>
      <c r="O38" s="53">
        <v>0.28000000000000003</v>
      </c>
      <c r="P38" s="53">
        <v>0.27</v>
      </c>
      <c r="Q38" s="74">
        <f t="shared" si="2"/>
        <v>0.27500000000000002</v>
      </c>
      <c r="R38" s="53">
        <v>14.5</v>
      </c>
      <c r="S38" s="53">
        <v>92</v>
      </c>
      <c r="T38" s="16">
        <f t="shared" si="0"/>
        <v>36</v>
      </c>
      <c r="U38" s="53">
        <v>450</v>
      </c>
      <c r="V38" s="16">
        <f t="shared" si="1"/>
        <v>25</v>
      </c>
      <c r="W38" s="53">
        <v>1</v>
      </c>
      <c r="X38" s="53" t="s">
        <v>39</v>
      </c>
      <c r="Y38" s="53" t="s">
        <v>90</v>
      </c>
      <c r="Z38" s="53" t="s">
        <v>84</v>
      </c>
      <c r="AA38" s="53" t="s">
        <v>69</v>
      </c>
      <c r="AB38" s="53" t="s">
        <v>317</v>
      </c>
      <c r="AV38" s="27"/>
    </row>
    <row r="39" spans="1:48" x14ac:dyDescent="0.15">
      <c r="A39" s="53" t="s">
        <v>59</v>
      </c>
      <c r="B39" s="53" t="s">
        <v>237</v>
      </c>
      <c r="C39" s="62">
        <v>2019</v>
      </c>
      <c r="D39" s="149" t="s">
        <v>166</v>
      </c>
      <c r="E39" s="53" t="s">
        <v>324</v>
      </c>
      <c r="F39" s="53" t="s">
        <v>325</v>
      </c>
      <c r="G39" s="53" t="s">
        <v>36</v>
      </c>
      <c r="H39" s="53" t="s">
        <v>203</v>
      </c>
      <c r="I39" s="53" t="s">
        <v>159</v>
      </c>
      <c r="J39" s="53" t="s">
        <v>38</v>
      </c>
      <c r="K39" s="53" t="s">
        <v>160</v>
      </c>
      <c r="L39" s="53">
        <v>2</v>
      </c>
      <c r="N39" s="53">
        <v>4</v>
      </c>
      <c r="O39" s="53">
        <v>0.27</v>
      </c>
      <c r="P39" s="53">
        <v>0.27</v>
      </c>
      <c r="Q39" s="74">
        <f t="shared" si="2"/>
        <v>0.27</v>
      </c>
      <c r="R39" s="53">
        <v>15.5</v>
      </c>
      <c r="S39" s="53">
        <v>95</v>
      </c>
      <c r="T39" s="16">
        <f t="shared" si="0"/>
        <v>36</v>
      </c>
      <c r="U39" s="53">
        <v>450</v>
      </c>
      <c r="V39" s="16">
        <f t="shared" si="1"/>
        <v>25</v>
      </c>
      <c r="W39" s="53">
        <v>1</v>
      </c>
      <c r="X39" s="53" t="s">
        <v>39</v>
      </c>
      <c r="Y39" s="53" t="s">
        <v>90</v>
      </c>
      <c r="Z39" s="53" t="s">
        <v>84</v>
      </c>
      <c r="AA39" s="53" t="s">
        <v>69</v>
      </c>
      <c r="AB39" s="53" t="s">
        <v>317</v>
      </c>
      <c r="AV39" s="27"/>
    </row>
    <row r="40" spans="1:48" x14ac:dyDescent="0.15">
      <c r="A40" s="53" t="s">
        <v>59</v>
      </c>
      <c r="B40" s="53" t="s">
        <v>237</v>
      </c>
      <c r="C40" s="62">
        <v>2019</v>
      </c>
      <c r="D40" s="149" t="s">
        <v>166</v>
      </c>
      <c r="E40" s="53" t="s">
        <v>324</v>
      </c>
      <c r="F40" s="53" t="s">
        <v>325</v>
      </c>
      <c r="G40" s="53" t="s">
        <v>36</v>
      </c>
      <c r="H40" s="53" t="s">
        <v>203</v>
      </c>
      <c r="I40" s="53" t="s">
        <v>159</v>
      </c>
      <c r="J40" s="53" t="s">
        <v>38</v>
      </c>
      <c r="K40" s="53" t="s">
        <v>160</v>
      </c>
      <c r="L40" s="53">
        <v>3</v>
      </c>
      <c r="N40" s="53">
        <v>4</v>
      </c>
      <c r="O40" s="53">
        <v>0.3</v>
      </c>
      <c r="P40" s="53">
        <v>0.31</v>
      </c>
      <c r="Q40" s="74">
        <f t="shared" si="2"/>
        <v>0.30499999999999999</v>
      </c>
      <c r="R40" s="53">
        <v>13.7</v>
      </c>
      <c r="S40" s="53">
        <v>95</v>
      </c>
      <c r="T40" s="16">
        <f t="shared" si="0"/>
        <v>36</v>
      </c>
      <c r="U40" s="53">
        <v>450</v>
      </c>
      <c r="V40" s="16">
        <f t="shared" si="1"/>
        <v>25</v>
      </c>
      <c r="W40" s="53">
        <v>1</v>
      </c>
      <c r="X40" s="53" t="s">
        <v>39</v>
      </c>
      <c r="Y40" s="53" t="s">
        <v>90</v>
      </c>
      <c r="Z40" s="53" t="s">
        <v>84</v>
      </c>
      <c r="AA40" s="53" t="s">
        <v>69</v>
      </c>
      <c r="AB40" s="53" t="s">
        <v>317</v>
      </c>
      <c r="AV40" s="27"/>
    </row>
    <row r="41" spans="1:48" x14ac:dyDescent="0.15">
      <c r="A41" s="53" t="s">
        <v>59</v>
      </c>
      <c r="B41" s="53" t="s">
        <v>237</v>
      </c>
      <c r="C41" s="62">
        <v>2019</v>
      </c>
      <c r="D41" s="149" t="s">
        <v>166</v>
      </c>
      <c r="E41" s="53" t="s">
        <v>324</v>
      </c>
      <c r="F41" s="53" t="s">
        <v>325</v>
      </c>
      <c r="G41" s="53" t="s">
        <v>36</v>
      </c>
      <c r="H41" s="53" t="s">
        <v>163</v>
      </c>
      <c r="I41" s="53" t="s">
        <v>159</v>
      </c>
      <c r="J41" s="53" t="s">
        <v>38</v>
      </c>
      <c r="K41" s="53" t="s">
        <v>160</v>
      </c>
      <c r="L41" s="53">
        <v>1</v>
      </c>
      <c r="N41" s="53">
        <v>4</v>
      </c>
      <c r="O41" s="53">
        <v>0.37</v>
      </c>
      <c r="P41" s="53">
        <v>0.35</v>
      </c>
      <c r="Q41" s="74">
        <f t="shared" si="2"/>
        <v>0.36</v>
      </c>
      <c r="R41" s="53">
        <v>15.4</v>
      </c>
      <c r="S41" s="53">
        <v>85</v>
      </c>
      <c r="T41" s="16">
        <f t="shared" si="0"/>
        <v>36</v>
      </c>
      <c r="U41" s="53">
        <v>350</v>
      </c>
      <c r="V41" s="16">
        <f t="shared" si="1"/>
        <v>25</v>
      </c>
      <c r="W41" s="53">
        <v>1</v>
      </c>
      <c r="X41" s="53" t="s">
        <v>39</v>
      </c>
      <c r="Y41" s="53" t="s">
        <v>90</v>
      </c>
      <c r="Z41" s="53" t="s">
        <v>84</v>
      </c>
      <c r="AA41" s="53" t="s">
        <v>69</v>
      </c>
      <c r="AB41" s="53" t="s">
        <v>317</v>
      </c>
      <c r="AV41" s="27"/>
    </row>
    <row r="42" spans="1:48" x14ac:dyDescent="0.15">
      <c r="A42" s="53" t="s">
        <v>59</v>
      </c>
      <c r="B42" s="53" t="s">
        <v>237</v>
      </c>
      <c r="C42" s="62">
        <v>2019</v>
      </c>
      <c r="D42" s="149" t="s">
        <v>166</v>
      </c>
      <c r="E42" s="53" t="s">
        <v>324</v>
      </c>
      <c r="F42" s="53" t="s">
        <v>325</v>
      </c>
      <c r="G42" s="53" t="s">
        <v>36</v>
      </c>
      <c r="H42" s="53" t="s">
        <v>163</v>
      </c>
      <c r="I42" s="53" t="s">
        <v>159</v>
      </c>
      <c r="J42" s="53" t="s">
        <v>38</v>
      </c>
      <c r="K42" s="53" t="s">
        <v>160</v>
      </c>
      <c r="L42" s="53">
        <v>2</v>
      </c>
      <c r="N42" s="53">
        <v>4</v>
      </c>
      <c r="O42" s="53">
        <v>0.41</v>
      </c>
      <c r="P42" s="53">
        <v>0.37</v>
      </c>
      <c r="Q42" s="74">
        <f t="shared" si="2"/>
        <v>0.39</v>
      </c>
      <c r="R42" s="53">
        <v>15.6</v>
      </c>
      <c r="S42" s="53">
        <v>80</v>
      </c>
      <c r="T42" s="16">
        <f t="shared" si="0"/>
        <v>39</v>
      </c>
      <c r="U42" s="53">
        <v>350</v>
      </c>
      <c r="V42" s="16">
        <f t="shared" si="1"/>
        <v>25</v>
      </c>
      <c r="W42" s="53">
        <v>1</v>
      </c>
      <c r="X42" s="53" t="s">
        <v>39</v>
      </c>
      <c r="Y42" s="53" t="s">
        <v>90</v>
      </c>
      <c r="Z42" s="53" t="s">
        <v>84</v>
      </c>
      <c r="AA42" s="53" t="s">
        <v>69</v>
      </c>
      <c r="AB42" s="53" t="s">
        <v>317</v>
      </c>
      <c r="AV42" s="27"/>
    </row>
    <row r="43" spans="1:48" x14ac:dyDescent="0.15">
      <c r="A43" s="53" t="s">
        <v>59</v>
      </c>
      <c r="B43" s="53" t="s">
        <v>237</v>
      </c>
      <c r="C43" s="62">
        <v>2019</v>
      </c>
      <c r="D43" s="149" t="s">
        <v>166</v>
      </c>
      <c r="E43" s="53" t="s">
        <v>324</v>
      </c>
      <c r="F43" s="53" t="s">
        <v>325</v>
      </c>
      <c r="G43" s="53" t="s">
        <v>36</v>
      </c>
      <c r="H43" s="53" t="s">
        <v>163</v>
      </c>
      <c r="I43" s="53" t="s">
        <v>159</v>
      </c>
      <c r="J43" s="53" t="s">
        <v>38</v>
      </c>
      <c r="K43" s="53" t="s">
        <v>160</v>
      </c>
      <c r="L43" s="53">
        <v>3</v>
      </c>
      <c r="N43" s="53">
        <v>4</v>
      </c>
      <c r="O43" s="53">
        <v>0.39</v>
      </c>
      <c r="P43" s="53">
        <v>0.38</v>
      </c>
      <c r="Q43" s="74">
        <f t="shared" si="2"/>
        <v>0.38500000000000001</v>
      </c>
      <c r="R43" s="53">
        <v>15.1</v>
      </c>
      <c r="S43" s="53">
        <v>79</v>
      </c>
      <c r="T43" s="16">
        <f t="shared" si="0"/>
        <v>39</v>
      </c>
      <c r="U43" s="53">
        <v>350</v>
      </c>
      <c r="V43" s="16">
        <f t="shared" si="1"/>
        <v>25</v>
      </c>
      <c r="W43" s="53">
        <v>1</v>
      </c>
      <c r="X43" s="53" t="s">
        <v>39</v>
      </c>
      <c r="Y43" s="53" t="s">
        <v>90</v>
      </c>
      <c r="Z43" s="53" t="s">
        <v>84</v>
      </c>
      <c r="AA43" s="53" t="s">
        <v>69</v>
      </c>
      <c r="AB43" s="53" t="s">
        <v>317</v>
      </c>
      <c r="AV43" s="27"/>
    </row>
    <row r="44" spans="1:48" x14ac:dyDescent="0.15">
      <c r="A44" s="53" t="s">
        <v>59</v>
      </c>
      <c r="B44" s="53" t="s">
        <v>237</v>
      </c>
      <c r="C44" s="62">
        <v>2019</v>
      </c>
      <c r="D44" s="149" t="s">
        <v>166</v>
      </c>
      <c r="E44" s="53" t="s">
        <v>341</v>
      </c>
      <c r="F44" s="53" t="s">
        <v>342</v>
      </c>
      <c r="G44" s="53" t="s">
        <v>36</v>
      </c>
      <c r="H44" s="53" t="s">
        <v>163</v>
      </c>
      <c r="I44" s="53" t="s">
        <v>159</v>
      </c>
      <c r="J44" s="53" t="s">
        <v>38</v>
      </c>
      <c r="K44" s="53" t="s">
        <v>160</v>
      </c>
      <c r="L44" s="53">
        <v>1</v>
      </c>
      <c r="N44" s="53">
        <v>4</v>
      </c>
      <c r="O44" s="53">
        <v>0.62</v>
      </c>
      <c r="P44" s="53">
        <v>0.73</v>
      </c>
      <c r="Q44" s="74">
        <f t="shared" si="2"/>
        <v>0.67500000000000004</v>
      </c>
      <c r="R44" s="53">
        <v>13.5</v>
      </c>
      <c r="S44" s="53">
        <v>150</v>
      </c>
      <c r="T44" s="16">
        <f t="shared" si="0"/>
        <v>25</v>
      </c>
      <c r="U44" s="53">
        <v>298</v>
      </c>
      <c r="V44" s="16">
        <f t="shared" si="1"/>
        <v>25</v>
      </c>
      <c r="W44" s="53">
        <v>1</v>
      </c>
      <c r="X44" s="53" t="s">
        <v>39</v>
      </c>
      <c r="Y44" s="53" t="s">
        <v>84</v>
      </c>
      <c r="Z44" s="53" t="s">
        <v>40</v>
      </c>
      <c r="AA44" s="53" t="s">
        <v>90</v>
      </c>
      <c r="AB44" s="53" t="s">
        <v>317</v>
      </c>
      <c r="AV44" s="27"/>
    </row>
    <row r="45" spans="1:48" x14ac:dyDescent="0.15">
      <c r="A45" s="53" t="s">
        <v>59</v>
      </c>
      <c r="B45" s="53" t="s">
        <v>237</v>
      </c>
      <c r="C45" s="62">
        <v>2019</v>
      </c>
      <c r="D45" s="149" t="s">
        <v>166</v>
      </c>
      <c r="E45" s="53" t="s">
        <v>341</v>
      </c>
      <c r="F45" s="53" t="s">
        <v>342</v>
      </c>
      <c r="G45" s="53" t="s">
        <v>36</v>
      </c>
      <c r="H45" s="53" t="s">
        <v>163</v>
      </c>
      <c r="I45" s="53" t="s">
        <v>159</v>
      </c>
      <c r="J45" s="53" t="s">
        <v>38</v>
      </c>
      <c r="K45" s="53" t="s">
        <v>160</v>
      </c>
      <c r="L45" s="53">
        <v>2</v>
      </c>
      <c r="N45" s="53">
        <v>4</v>
      </c>
      <c r="O45" s="53">
        <v>0.47</v>
      </c>
      <c r="P45" s="53">
        <v>0.47</v>
      </c>
      <c r="Q45" s="74">
        <f t="shared" si="2"/>
        <v>0.47</v>
      </c>
      <c r="R45" s="53">
        <v>14.5</v>
      </c>
      <c r="S45" s="53">
        <v>148</v>
      </c>
      <c r="T45" s="16">
        <f t="shared" si="0"/>
        <v>25</v>
      </c>
      <c r="U45" s="53">
        <v>298</v>
      </c>
      <c r="V45" s="16">
        <f t="shared" si="1"/>
        <v>25</v>
      </c>
      <c r="W45" s="53">
        <v>1</v>
      </c>
      <c r="X45" s="53" t="s">
        <v>39</v>
      </c>
      <c r="Y45" s="53" t="s">
        <v>84</v>
      </c>
      <c r="Z45" s="53" t="s">
        <v>40</v>
      </c>
      <c r="AA45" s="53" t="s">
        <v>90</v>
      </c>
      <c r="AB45" s="53" t="s">
        <v>317</v>
      </c>
      <c r="AV45" s="27"/>
    </row>
    <row r="46" spans="1:48" x14ac:dyDescent="0.15">
      <c r="A46" s="53" t="s">
        <v>59</v>
      </c>
      <c r="B46" s="53" t="s">
        <v>237</v>
      </c>
      <c r="C46" s="62">
        <v>2019</v>
      </c>
      <c r="D46" s="149" t="s">
        <v>166</v>
      </c>
      <c r="E46" s="53" t="s">
        <v>341</v>
      </c>
      <c r="F46" s="53" t="s">
        <v>342</v>
      </c>
      <c r="G46" s="53" t="s">
        <v>36</v>
      </c>
      <c r="H46" s="53" t="s">
        <v>163</v>
      </c>
      <c r="I46" s="53" t="s">
        <v>159</v>
      </c>
      <c r="J46" s="53" t="s">
        <v>38</v>
      </c>
      <c r="K46" s="53" t="s">
        <v>160</v>
      </c>
      <c r="L46" s="53">
        <v>3</v>
      </c>
      <c r="N46" s="53">
        <v>4</v>
      </c>
      <c r="O46" s="53">
        <v>0.61</v>
      </c>
      <c r="P46" s="53">
        <v>0.67</v>
      </c>
      <c r="Q46" s="74">
        <f t="shared" si="2"/>
        <v>0.64</v>
      </c>
      <c r="R46" s="53">
        <v>13.6</v>
      </c>
      <c r="S46" s="53">
        <v>135</v>
      </c>
      <c r="T46" s="16">
        <f t="shared" si="0"/>
        <v>25</v>
      </c>
      <c r="U46" s="53">
        <v>298</v>
      </c>
      <c r="V46" s="16">
        <f t="shared" si="1"/>
        <v>25</v>
      </c>
      <c r="W46" s="53">
        <v>1</v>
      </c>
      <c r="X46" s="53" t="s">
        <v>39</v>
      </c>
      <c r="Y46" s="53" t="s">
        <v>84</v>
      </c>
      <c r="Z46" s="53" t="s">
        <v>40</v>
      </c>
      <c r="AA46" s="53" t="s">
        <v>90</v>
      </c>
      <c r="AB46" s="53" t="s">
        <v>317</v>
      </c>
      <c r="AV46" s="27"/>
    </row>
    <row r="47" spans="1:48" x14ac:dyDescent="0.15">
      <c r="A47" s="53" t="s">
        <v>59</v>
      </c>
      <c r="B47" s="53" t="s">
        <v>237</v>
      </c>
      <c r="C47" s="62">
        <v>2019</v>
      </c>
      <c r="D47" s="149" t="s">
        <v>166</v>
      </c>
      <c r="E47" s="53" t="s">
        <v>331</v>
      </c>
      <c r="F47" s="53" t="s">
        <v>332</v>
      </c>
      <c r="G47" s="53" t="s">
        <v>36</v>
      </c>
      <c r="H47" s="53" t="s">
        <v>163</v>
      </c>
      <c r="I47" s="53" t="s">
        <v>159</v>
      </c>
      <c r="J47" s="53" t="s">
        <v>38</v>
      </c>
      <c r="K47" s="53" t="s">
        <v>160</v>
      </c>
      <c r="L47" s="53">
        <v>1</v>
      </c>
      <c r="N47" s="53">
        <v>5</v>
      </c>
      <c r="O47" s="53">
        <v>0.53</v>
      </c>
      <c r="P47" s="53">
        <v>0.45</v>
      </c>
      <c r="Q47" s="74">
        <f t="shared" si="2"/>
        <v>0.49</v>
      </c>
      <c r="R47" s="53">
        <v>12.2</v>
      </c>
      <c r="S47" s="53">
        <v>91</v>
      </c>
      <c r="T47" s="16">
        <f t="shared" si="0"/>
        <v>36</v>
      </c>
      <c r="U47" s="53">
        <v>429</v>
      </c>
      <c r="V47" s="16">
        <f t="shared" si="1"/>
        <v>25</v>
      </c>
      <c r="W47" s="53">
        <v>1</v>
      </c>
      <c r="X47" s="53" t="s">
        <v>39</v>
      </c>
      <c r="Y47" s="53" t="s">
        <v>84</v>
      </c>
      <c r="Z47" s="53" t="s">
        <v>90</v>
      </c>
      <c r="AA47" s="53" t="s">
        <v>69</v>
      </c>
      <c r="AB47" s="53" t="s">
        <v>317</v>
      </c>
      <c r="AV47" s="27"/>
    </row>
    <row r="48" spans="1:48" x14ac:dyDescent="0.15">
      <c r="A48" s="53" t="s">
        <v>59</v>
      </c>
      <c r="B48" s="53" t="s">
        <v>237</v>
      </c>
      <c r="C48" s="62">
        <v>2019</v>
      </c>
      <c r="D48" s="149" t="s">
        <v>166</v>
      </c>
      <c r="E48" s="53" t="s">
        <v>331</v>
      </c>
      <c r="F48" s="53" t="s">
        <v>332</v>
      </c>
      <c r="G48" s="53" t="s">
        <v>36</v>
      </c>
      <c r="H48" s="53" t="s">
        <v>163</v>
      </c>
      <c r="I48" s="53" t="s">
        <v>159</v>
      </c>
      <c r="J48" s="53" t="s">
        <v>38</v>
      </c>
      <c r="K48" s="53" t="s">
        <v>160</v>
      </c>
      <c r="L48" s="53">
        <v>2</v>
      </c>
      <c r="N48" s="53">
        <v>5</v>
      </c>
      <c r="O48" s="53">
        <v>0.26</v>
      </c>
      <c r="P48" s="53">
        <v>0.24</v>
      </c>
      <c r="Q48" s="74">
        <f t="shared" si="2"/>
        <v>0.25</v>
      </c>
      <c r="R48" s="53">
        <v>12.9</v>
      </c>
      <c r="S48" s="53">
        <v>84</v>
      </c>
      <c r="T48" s="16">
        <f t="shared" si="0"/>
        <v>36</v>
      </c>
      <c r="U48" s="53">
        <v>429</v>
      </c>
      <c r="V48" s="16">
        <f t="shared" si="1"/>
        <v>25</v>
      </c>
      <c r="W48" s="53">
        <v>1</v>
      </c>
      <c r="X48" s="53" t="s">
        <v>39</v>
      </c>
      <c r="Y48" s="53" t="s">
        <v>84</v>
      </c>
      <c r="Z48" s="53" t="s">
        <v>90</v>
      </c>
      <c r="AA48" s="53" t="s">
        <v>69</v>
      </c>
      <c r="AB48" s="53" t="s">
        <v>317</v>
      </c>
      <c r="AV48" s="27"/>
    </row>
    <row r="49" spans="1:48" x14ac:dyDescent="0.15">
      <c r="A49" s="53" t="s">
        <v>59</v>
      </c>
      <c r="B49" s="53" t="s">
        <v>237</v>
      </c>
      <c r="C49" s="62">
        <v>2019</v>
      </c>
      <c r="D49" s="149" t="s">
        <v>166</v>
      </c>
      <c r="E49" s="53" t="s">
        <v>331</v>
      </c>
      <c r="F49" s="53" t="s">
        <v>332</v>
      </c>
      <c r="G49" s="53" t="s">
        <v>36</v>
      </c>
      <c r="H49" s="53" t="s">
        <v>163</v>
      </c>
      <c r="I49" s="53" t="s">
        <v>159</v>
      </c>
      <c r="J49" s="53" t="s">
        <v>38</v>
      </c>
      <c r="K49" s="53" t="s">
        <v>160</v>
      </c>
      <c r="L49" s="53">
        <v>3</v>
      </c>
      <c r="N49" s="53">
        <v>5</v>
      </c>
      <c r="O49" s="53">
        <v>0.43</v>
      </c>
      <c r="P49" s="53">
        <v>0.38</v>
      </c>
      <c r="Q49" s="74">
        <f t="shared" si="2"/>
        <v>0.40500000000000003</v>
      </c>
      <c r="R49" s="53">
        <v>13.7</v>
      </c>
      <c r="S49" s="53">
        <v>84</v>
      </c>
      <c r="T49" s="16">
        <f t="shared" si="0"/>
        <v>36</v>
      </c>
      <c r="U49" s="53">
        <v>429</v>
      </c>
      <c r="V49" s="16">
        <f t="shared" si="1"/>
        <v>25</v>
      </c>
      <c r="W49" s="53">
        <v>1</v>
      </c>
      <c r="X49" s="53" t="s">
        <v>39</v>
      </c>
      <c r="Y49" s="53" t="s">
        <v>84</v>
      </c>
      <c r="Z49" s="53" t="s">
        <v>90</v>
      </c>
      <c r="AA49" s="53" t="s">
        <v>69</v>
      </c>
      <c r="AB49" s="53" t="s">
        <v>317</v>
      </c>
      <c r="AV49" s="27"/>
    </row>
    <row r="50" spans="1:48" x14ac:dyDescent="0.15">
      <c r="C50" s="62"/>
      <c r="D50" s="149"/>
      <c r="Q50" s="74"/>
    </row>
    <row r="51" spans="1:48" x14ac:dyDescent="0.15">
      <c r="C51" s="62"/>
      <c r="D51" s="149"/>
      <c r="Q51" s="74"/>
    </row>
    <row r="52" spans="1:48" x14ac:dyDescent="0.15">
      <c r="C52" s="62"/>
      <c r="Q52" s="74"/>
    </row>
    <row r="53" spans="1:48" x14ac:dyDescent="0.15">
      <c r="C53" s="62"/>
      <c r="Q53" s="74"/>
    </row>
    <row r="54" spans="1:48" x14ac:dyDescent="0.15">
      <c r="C54" s="62"/>
      <c r="Q54" s="74"/>
    </row>
    <row r="55" spans="1:48" x14ac:dyDescent="0.15">
      <c r="C55" s="62"/>
      <c r="Q55" s="74"/>
    </row>
    <row r="56" spans="1:48" x14ac:dyDescent="0.15">
      <c r="C56" s="62"/>
      <c r="Q56" s="74"/>
    </row>
    <row r="57" spans="1:48" x14ac:dyDescent="0.15">
      <c r="C57" s="62"/>
      <c r="Q57" s="74"/>
    </row>
    <row r="58" spans="1:48" x14ac:dyDescent="0.15">
      <c r="C58" s="62"/>
      <c r="Q58" s="74"/>
    </row>
    <row r="59" spans="1:48" x14ac:dyDescent="0.15">
      <c r="C59" s="62"/>
      <c r="Q59" s="74"/>
    </row>
    <row r="60" spans="1:48" x14ac:dyDescent="0.15">
      <c r="C60" s="62"/>
      <c r="Q60" s="74"/>
    </row>
    <row r="61" spans="1:48" x14ac:dyDescent="0.15">
      <c r="C61" s="62"/>
      <c r="Q61" s="74"/>
    </row>
    <row r="62" spans="1:48" x14ac:dyDescent="0.15">
      <c r="C62" s="62"/>
      <c r="Q62" s="74"/>
    </row>
    <row r="63" spans="1:48" x14ac:dyDescent="0.15">
      <c r="C63" s="62"/>
      <c r="Q63" s="74"/>
    </row>
    <row r="64" spans="1:48" x14ac:dyDescent="0.15">
      <c r="C64" s="62"/>
      <c r="Q64" s="74"/>
    </row>
    <row r="65" spans="3:22" x14ac:dyDescent="0.15">
      <c r="C65" s="62"/>
      <c r="Q65" s="74"/>
    </row>
    <row r="66" spans="3:22" x14ac:dyDescent="0.15">
      <c r="C66" s="62"/>
      <c r="Q66" s="74"/>
    </row>
    <row r="67" spans="3:22" x14ac:dyDescent="0.15">
      <c r="C67" s="62"/>
      <c r="Q67" s="74"/>
    </row>
    <row r="68" spans="3:22" x14ac:dyDescent="0.15">
      <c r="C68" s="62"/>
    </row>
    <row r="69" spans="3:22" x14ac:dyDescent="0.15">
      <c r="C69" s="62"/>
    </row>
    <row r="70" spans="3:22" x14ac:dyDescent="0.15">
      <c r="Q70" s="16" t="str">
        <f t="shared" ref="Q70:Q121" si="3">IF(OR(O70="",P70=""),"",AVERAGE(O70,P70))</f>
        <v/>
      </c>
      <c r="T70" s="16" t="str">
        <f t="shared" ref="T70:T121" si="4">IF(H70="","",IF(OR(H70="GREEN",H70="GK"),IF(S70&gt;=$AX$2,VLOOKUP(S70,$AX$2:$AY$12,2,1),""),IF(S70&gt;=$AZ$2,VLOOKUP(S70,$AZ$2:$BA$12,2,1),"")))</f>
        <v/>
      </c>
      <c r="V70" s="16" t="str">
        <f t="shared" ref="V70:V121" si="5">IF(J70="","",IF(OR(J70="GREEN",J70="GK"),IF(U70&gt;=$AX$2,VLOOKUP(U70,$AX$2:$AY$12,2,1),""),IF(U70&gt;=$AZ$2,VLOOKUP(U70,$AZ$2:$BA$12,2,1),"")))</f>
        <v/>
      </c>
    </row>
    <row r="71" spans="3:22" x14ac:dyDescent="0.15">
      <c r="Q71" s="16" t="str">
        <f t="shared" si="3"/>
        <v/>
      </c>
      <c r="T71" s="16" t="str">
        <f t="shared" si="4"/>
        <v/>
      </c>
      <c r="V71" s="16" t="str">
        <f t="shared" si="5"/>
        <v/>
      </c>
    </row>
    <row r="72" spans="3:22" x14ac:dyDescent="0.15">
      <c r="Q72" s="16" t="str">
        <f t="shared" si="3"/>
        <v/>
      </c>
      <c r="T72" s="16" t="str">
        <f t="shared" si="4"/>
        <v/>
      </c>
      <c r="V72" s="16" t="str">
        <f t="shared" si="5"/>
        <v/>
      </c>
    </row>
    <row r="73" spans="3:22" x14ac:dyDescent="0.15">
      <c r="Q73" s="16" t="str">
        <f t="shared" si="3"/>
        <v/>
      </c>
      <c r="T73" s="16" t="str">
        <f t="shared" si="4"/>
        <v/>
      </c>
      <c r="V73" s="16" t="str">
        <f t="shared" si="5"/>
        <v/>
      </c>
    </row>
    <row r="74" spans="3:22" x14ac:dyDescent="0.15">
      <c r="Q74" s="16" t="str">
        <f t="shared" si="3"/>
        <v/>
      </c>
      <c r="T74" s="16" t="str">
        <f t="shared" si="4"/>
        <v/>
      </c>
      <c r="V74" s="16" t="str">
        <f t="shared" si="5"/>
        <v/>
      </c>
    </row>
    <row r="75" spans="3:22" x14ac:dyDescent="0.15">
      <c r="Q75" s="16" t="str">
        <f t="shared" si="3"/>
        <v/>
      </c>
      <c r="T75" s="16" t="str">
        <f t="shared" si="4"/>
        <v/>
      </c>
      <c r="V75" s="16" t="str">
        <f t="shared" si="5"/>
        <v/>
      </c>
    </row>
    <row r="76" spans="3:22" x14ac:dyDescent="0.15">
      <c r="Q76" s="16" t="str">
        <f t="shared" si="3"/>
        <v/>
      </c>
      <c r="T76" s="16" t="str">
        <f t="shared" si="4"/>
        <v/>
      </c>
      <c r="V76" s="16" t="str">
        <f t="shared" si="5"/>
        <v/>
      </c>
    </row>
    <row r="77" spans="3:22" x14ac:dyDescent="0.15">
      <c r="Q77" s="16" t="str">
        <f t="shared" si="3"/>
        <v/>
      </c>
      <c r="T77" s="16" t="str">
        <f t="shared" si="4"/>
        <v/>
      </c>
      <c r="V77" s="16" t="str">
        <f t="shared" si="5"/>
        <v/>
      </c>
    </row>
    <row r="78" spans="3:22" x14ac:dyDescent="0.15">
      <c r="Q78" s="16" t="str">
        <f t="shared" si="3"/>
        <v/>
      </c>
      <c r="T78" s="16" t="str">
        <f t="shared" si="4"/>
        <v/>
      </c>
      <c r="V78" s="16" t="str">
        <f t="shared" si="5"/>
        <v/>
      </c>
    </row>
    <row r="79" spans="3:22" x14ac:dyDescent="0.15">
      <c r="Q79" s="16" t="str">
        <f t="shared" si="3"/>
        <v/>
      </c>
      <c r="T79" s="16" t="str">
        <f t="shared" si="4"/>
        <v/>
      </c>
      <c r="V79" s="16" t="str">
        <f t="shared" si="5"/>
        <v/>
      </c>
    </row>
    <row r="80" spans="3:22" x14ac:dyDescent="0.15">
      <c r="Q80" s="16" t="str">
        <f t="shared" si="3"/>
        <v/>
      </c>
      <c r="T80" s="16" t="str">
        <f t="shared" si="4"/>
        <v/>
      </c>
      <c r="V80" s="16" t="str">
        <f t="shared" si="5"/>
        <v/>
      </c>
    </row>
    <row r="81" spans="17:22" x14ac:dyDescent="0.15">
      <c r="Q81" s="16" t="str">
        <f t="shared" si="3"/>
        <v/>
      </c>
      <c r="T81" s="16" t="str">
        <f t="shared" si="4"/>
        <v/>
      </c>
      <c r="V81" s="16" t="str">
        <f t="shared" si="5"/>
        <v/>
      </c>
    </row>
    <row r="82" spans="17:22" x14ac:dyDescent="0.15">
      <c r="Q82" s="16" t="str">
        <f t="shared" si="3"/>
        <v/>
      </c>
      <c r="T82" s="16" t="str">
        <f t="shared" si="4"/>
        <v/>
      </c>
      <c r="V82" s="16" t="str">
        <f t="shared" si="5"/>
        <v/>
      </c>
    </row>
    <row r="83" spans="17:22" x14ac:dyDescent="0.15">
      <c r="Q83" s="16" t="str">
        <f t="shared" si="3"/>
        <v/>
      </c>
      <c r="T83" s="16" t="str">
        <f t="shared" si="4"/>
        <v/>
      </c>
      <c r="V83" s="16" t="str">
        <f t="shared" si="5"/>
        <v/>
      </c>
    </row>
    <row r="84" spans="17:22" x14ac:dyDescent="0.15">
      <c r="Q84" s="16" t="str">
        <f t="shared" si="3"/>
        <v/>
      </c>
      <c r="T84" s="16" t="str">
        <f t="shared" si="4"/>
        <v/>
      </c>
      <c r="V84" s="16" t="str">
        <f t="shared" si="5"/>
        <v/>
      </c>
    </row>
    <row r="85" spans="17:22" x14ac:dyDescent="0.15">
      <c r="Q85" s="16" t="str">
        <f t="shared" si="3"/>
        <v/>
      </c>
      <c r="T85" s="16" t="str">
        <f t="shared" si="4"/>
        <v/>
      </c>
      <c r="V85" s="16" t="str">
        <f t="shared" si="5"/>
        <v/>
      </c>
    </row>
    <row r="86" spans="17:22" x14ac:dyDescent="0.15">
      <c r="Q86" s="16" t="str">
        <f t="shared" si="3"/>
        <v/>
      </c>
      <c r="T86" s="16" t="str">
        <f t="shared" si="4"/>
        <v/>
      </c>
      <c r="V86" s="16" t="str">
        <f t="shared" si="5"/>
        <v/>
      </c>
    </row>
    <row r="87" spans="17:22" x14ac:dyDescent="0.15">
      <c r="Q87" s="16" t="str">
        <f t="shared" si="3"/>
        <v/>
      </c>
      <c r="T87" s="16" t="str">
        <f t="shared" si="4"/>
        <v/>
      </c>
      <c r="V87" s="16" t="str">
        <f t="shared" si="5"/>
        <v/>
      </c>
    </row>
    <row r="88" spans="17:22" x14ac:dyDescent="0.15">
      <c r="Q88" s="16" t="str">
        <f t="shared" si="3"/>
        <v/>
      </c>
      <c r="T88" s="16" t="str">
        <f t="shared" si="4"/>
        <v/>
      </c>
      <c r="V88" s="16" t="str">
        <f t="shared" si="5"/>
        <v/>
      </c>
    </row>
    <row r="89" spans="17:22" x14ac:dyDescent="0.15">
      <c r="Q89" s="16" t="str">
        <f t="shared" si="3"/>
        <v/>
      </c>
      <c r="T89" s="16" t="str">
        <f t="shared" si="4"/>
        <v/>
      </c>
      <c r="V89" s="16" t="str">
        <f t="shared" si="5"/>
        <v/>
      </c>
    </row>
    <row r="90" spans="17:22" x14ac:dyDescent="0.15">
      <c r="Q90" s="16" t="str">
        <f t="shared" si="3"/>
        <v/>
      </c>
      <c r="T90" s="16" t="str">
        <f t="shared" si="4"/>
        <v/>
      </c>
      <c r="V90" s="16" t="str">
        <f t="shared" si="5"/>
        <v/>
      </c>
    </row>
    <row r="91" spans="17:22" x14ac:dyDescent="0.15">
      <c r="Q91" s="16" t="str">
        <f t="shared" si="3"/>
        <v/>
      </c>
      <c r="T91" s="16" t="str">
        <f t="shared" si="4"/>
        <v/>
      </c>
      <c r="V91" s="16" t="str">
        <f t="shared" si="5"/>
        <v/>
      </c>
    </row>
    <row r="92" spans="17:22" x14ac:dyDescent="0.15">
      <c r="Q92" s="16" t="str">
        <f t="shared" si="3"/>
        <v/>
      </c>
      <c r="T92" s="16" t="str">
        <f t="shared" si="4"/>
        <v/>
      </c>
      <c r="V92" s="16" t="str">
        <f t="shared" si="5"/>
        <v/>
      </c>
    </row>
    <row r="93" spans="17:22" x14ac:dyDescent="0.15">
      <c r="Q93" s="16" t="str">
        <f t="shared" si="3"/>
        <v/>
      </c>
      <c r="T93" s="16" t="str">
        <f t="shared" si="4"/>
        <v/>
      </c>
      <c r="V93" s="16" t="str">
        <f t="shared" si="5"/>
        <v/>
      </c>
    </row>
    <row r="94" spans="17:22" x14ac:dyDescent="0.15">
      <c r="Q94" s="16" t="str">
        <f t="shared" si="3"/>
        <v/>
      </c>
      <c r="T94" s="16" t="str">
        <f t="shared" si="4"/>
        <v/>
      </c>
      <c r="V94" s="16" t="str">
        <f t="shared" si="5"/>
        <v/>
      </c>
    </row>
    <row r="95" spans="17:22" x14ac:dyDescent="0.15">
      <c r="Q95" s="16" t="str">
        <f t="shared" si="3"/>
        <v/>
      </c>
      <c r="T95" s="16" t="str">
        <f t="shared" si="4"/>
        <v/>
      </c>
      <c r="V95" s="16" t="str">
        <f t="shared" si="5"/>
        <v/>
      </c>
    </row>
    <row r="96" spans="17: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sheetData>
  <autoFilter ref="A1:BA121" xr:uid="{00000000-0009-0000-0000-000000000000}"/>
  <phoneticPr fontId="3"/>
  <dataValidations count="19">
    <dataValidation type="list" allowBlank="1" showInputMessage="1" showErrorMessage="1" sqref="K2:K403" xr:uid="{E9B94782-058E-4077-BC82-1F02F6300F20}">
      <formula1>$AR$2:$AR$27</formula1>
    </dataValidation>
    <dataValidation type="list" allowBlank="1" showInputMessage="1" showErrorMessage="1" sqref="E2:E461" xr:uid="{731A476A-D7D0-47CD-851B-3D5C344398A6}">
      <formula1>$AG$2:$AG$11</formula1>
    </dataValidation>
    <dataValidation type="list" allowBlank="1" showInputMessage="1" showErrorMessage="1" sqref="H2:H461" xr:uid="{56052E65-4166-41ED-B72E-440F2B95C22F}">
      <formula1>$AL$2:$AL$8</formula1>
    </dataValidation>
    <dataValidation type="decimal" allowBlank="1" showInputMessage="1" showErrorMessage="1" error="硬度を正しく入力して下さい。" sqref="O2:P461" xr:uid="{361262C6-F760-40AB-AF44-390E45386F9A}">
      <formula1>0</formula1>
      <formula2>7</formula2>
    </dataValidation>
    <dataValidation type="list" allowBlank="1" showInputMessage="1" showErrorMessage="1" sqref="F2:F1415" xr:uid="{73873380-8DE3-4F06-A8E5-795700491A6C}">
      <formula1>$AH$2:$AH$11</formula1>
    </dataValidation>
    <dataValidation type="list" allowBlank="1" showInputMessage="1" showErrorMessage="1" sqref="Y2:AA552" xr:uid="{E1ED11A8-15B1-4AA5-B704-9C208C70B94D}">
      <formula1>$AV$2:$AV$38</formula1>
    </dataValidation>
    <dataValidation type="list" allowBlank="1" showInputMessage="1" showErrorMessage="1" sqref="J2:J49" xr:uid="{4BBA835A-EFED-4578-8CAB-2A09C3EDD227}">
      <formula1>$AP$2:$AP$38</formula1>
    </dataValidation>
    <dataValidation type="list" allowBlank="1" showInputMessage="1" showErrorMessage="1" sqref="WVS983003:WVS983068 K65499:K65564 JG65499:JG65564 TC65499:TC65564 ACY65499:ACY65564 AMU65499:AMU65564 AWQ65499:AWQ65564 BGM65499:BGM65564 BQI65499:BQI65564 CAE65499:CAE65564 CKA65499:CKA65564 CTW65499:CTW65564 DDS65499:DDS65564 DNO65499:DNO65564 DXK65499:DXK65564 EHG65499:EHG65564 ERC65499:ERC65564 FAY65499:FAY65564 FKU65499:FKU65564 FUQ65499:FUQ65564 GEM65499:GEM65564 GOI65499:GOI65564 GYE65499:GYE65564 HIA65499:HIA65564 HRW65499:HRW65564 IBS65499:IBS65564 ILO65499:ILO65564 IVK65499:IVK65564 JFG65499:JFG65564 JPC65499:JPC65564 JYY65499:JYY65564 KIU65499:KIU65564 KSQ65499:KSQ65564 LCM65499:LCM65564 LMI65499:LMI65564 LWE65499:LWE65564 MGA65499:MGA65564 MPW65499:MPW65564 MZS65499:MZS65564 NJO65499:NJO65564 NTK65499:NTK65564 ODG65499:ODG65564 ONC65499:ONC65564 OWY65499:OWY65564 PGU65499:PGU65564 PQQ65499:PQQ65564 QAM65499:QAM65564 QKI65499:QKI65564 QUE65499:QUE65564 REA65499:REA65564 RNW65499:RNW65564 RXS65499:RXS65564 SHO65499:SHO65564 SRK65499:SRK65564 TBG65499:TBG65564 TLC65499:TLC65564 TUY65499:TUY65564 UEU65499:UEU65564 UOQ65499:UOQ65564 UYM65499:UYM65564 VII65499:VII65564 VSE65499:VSE65564 WCA65499:WCA65564 WLW65499:WLW65564 WVS65499:WVS65564 K131035:K131100 JG131035:JG131100 TC131035:TC131100 ACY131035:ACY131100 AMU131035:AMU131100 AWQ131035:AWQ131100 BGM131035:BGM131100 BQI131035:BQI131100 CAE131035:CAE131100 CKA131035:CKA131100 CTW131035:CTW131100 DDS131035:DDS131100 DNO131035:DNO131100 DXK131035:DXK131100 EHG131035:EHG131100 ERC131035:ERC131100 FAY131035:FAY131100 FKU131035:FKU131100 FUQ131035:FUQ131100 GEM131035:GEM131100 GOI131035:GOI131100 GYE131035:GYE131100 HIA131035:HIA131100 HRW131035:HRW131100 IBS131035:IBS131100 ILO131035:ILO131100 IVK131035:IVK131100 JFG131035:JFG131100 JPC131035:JPC131100 JYY131035:JYY131100 KIU131035:KIU131100 KSQ131035:KSQ131100 LCM131035:LCM131100 LMI131035:LMI131100 LWE131035:LWE131100 MGA131035:MGA131100 MPW131035:MPW131100 MZS131035:MZS131100 NJO131035:NJO131100 NTK131035:NTK131100 ODG131035:ODG131100 ONC131035:ONC131100 OWY131035:OWY131100 PGU131035:PGU131100 PQQ131035:PQQ131100 QAM131035:QAM131100 QKI131035:QKI131100 QUE131035:QUE131100 REA131035:REA131100 RNW131035:RNW131100 RXS131035:RXS131100 SHO131035:SHO131100 SRK131035:SRK131100 TBG131035:TBG131100 TLC131035:TLC131100 TUY131035:TUY131100 UEU131035:UEU131100 UOQ131035:UOQ131100 UYM131035:UYM131100 VII131035:VII131100 VSE131035:VSE131100 WCA131035:WCA131100 WLW131035:WLW131100 WVS131035:WVS131100 K196571:K196636 JG196571:JG196636 TC196571:TC196636 ACY196571:ACY196636 AMU196571:AMU196636 AWQ196571:AWQ196636 BGM196571:BGM196636 BQI196571:BQI196636 CAE196571:CAE196636 CKA196571:CKA196636 CTW196571:CTW196636 DDS196571:DDS196636 DNO196571:DNO196636 DXK196571:DXK196636 EHG196571:EHG196636 ERC196571:ERC196636 FAY196571:FAY196636 FKU196571:FKU196636 FUQ196571:FUQ196636 GEM196571:GEM196636 GOI196571:GOI196636 GYE196571:GYE196636 HIA196571:HIA196636 HRW196571:HRW196636 IBS196571:IBS196636 ILO196571:ILO196636 IVK196571:IVK196636 JFG196571:JFG196636 JPC196571:JPC196636 JYY196571:JYY196636 KIU196571:KIU196636 KSQ196571:KSQ196636 LCM196571:LCM196636 LMI196571:LMI196636 LWE196571:LWE196636 MGA196571:MGA196636 MPW196571:MPW196636 MZS196571:MZS196636 NJO196571:NJO196636 NTK196571:NTK196636 ODG196571:ODG196636 ONC196571:ONC196636 OWY196571:OWY196636 PGU196571:PGU196636 PQQ196571:PQQ196636 QAM196571:QAM196636 QKI196571:QKI196636 QUE196571:QUE196636 REA196571:REA196636 RNW196571:RNW196636 RXS196571:RXS196636 SHO196571:SHO196636 SRK196571:SRK196636 TBG196571:TBG196636 TLC196571:TLC196636 TUY196571:TUY196636 UEU196571:UEU196636 UOQ196571:UOQ196636 UYM196571:UYM196636 VII196571:VII196636 VSE196571:VSE196636 WCA196571:WCA196636 WLW196571:WLW196636 WVS196571:WVS196636 K262107:K262172 JG262107:JG262172 TC262107:TC262172 ACY262107:ACY262172 AMU262107:AMU262172 AWQ262107:AWQ262172 BGM262107:BGM262172 BQI262107:BQI262172 CAE262107:CAE262172 CKA262107:CKA262172 CTW262107:CTW262172 DDS262107:DDS262172 DNO262107:DNO262172 DXK262107:DXK262172 EHG262107:EHG262172 ERC262107:ERC262172 FAY262107:FAY262172 FKU262107:FKU262172 FUQ262107:FUQ262172 GEM262107:GEM262172 GOI262107:GOI262172 GYE262107:GYE262172 HIA262107:HIA262172 HRW262107:HRW262172 IBS262107:IBS262172 ILO262107:ILO262172 IVK262107:IVK262172 JFG262107:JFG262172 JPC262107:JPC262172 JYY262107:JYY262172 KIU262107:KIU262172 KSQ262107:KSQ262172 LCM262107:LCM262172 LMI262107:LMI262172 LWE262107:LWE262172 MGA262107:MGA262172 MPW262107:MPW262172 MZS262107:MZS262172 NJO262107:NJO262172 NTK262107:NTK262172 ODG262107:ODG262172 ONC262107:ONC262172 OWY262107:OWY262172 PGU262107:PGU262172 PQQ262107:PQQ262172 QAM262107:QAM262172 QKI262107:QKI262172 QUE262107:QUE262172 REA262107:REA262172 RNW262107:RNW262172 RXS262107:RXS262172 SHO262107:SHO262172 SRK262107:SRK262172 TBG262107:TBG262172 TLC262107:TLC262172 TUY262107:TUY262172 UEU262107:UEU262172 UOQ262107:UOQ262172 UYM262107:UYM262172 VII262107:VII262172 VSE262107:VSE262172 WCA262107:WCA262172 WLW262107:WLW262172 WVS262107:WVS262172 K327643:K327708 JG327643:JG327708 TC327643:TC327708 ACY327643:ACY327708 AMU327643:AMU327708 AWQ327643:AWQ327708 BGM327643:BGM327708 BQI327643:BQI327708 CAE327643:CAE327708 CKA327643:CKA327708 CTW327643:CTW327708 DDS327643:DDS327708 DNO327643:DNO327708 DXK327643:DXK327708 EHG327643:EHG327708 ERC327643:ERC327708 FAY327643:FAY327708 FKU327643:FKU327708 FUQ327643:FUQ327708 GEM327643:GEM327708 GOI327643:GOI327708 GYE327643:GYE327708 HIA327643:HIA327708 HRW327643:HRW327708 IBS327643:IBS327708 ILO327643:ILO327708 IVK327643:IVK327708 JFG327643:JFG327708 JPC327643:JPC327708 JYY327643:JYY327708 KIU327643:KIU327708 KSQ327643:KSQ327708 LCM327643:LCM327708 LMI327643:LMI327708 LWE327643:LWE327708 MGA327643:MGA327708 MPW327643:MPW327708 MZS327643:MZS327708 NJO327643:NJO327708 NTK327643:NTK327708 ODG327643:ODG327708 ONC327643:ONC327708 OWY327643:OWY327708 PGU327643:PGU327708 PQQ327643:PQQ327708 QAM327643:QAM327708 QKI327643:QKI327708 QUE327643:QUE327708 REA327643:REA327708 RNW327643:RNW327708 RXS327643:RXS327708 SHO327643:SHO327708 SRK327643:SRK327708 TBG327643:TBG327708 TLC327643:TLC327708 TUY327643:TUY327708 UEU327643:UEU327708 UOQ327643:UOQ327708 UYM327643:UYM327708 VII327643:VII327708 VSE327643:VSE327708 WCA327643:WCA327708 WLW327643:WLW327708 WVS327643:WVS327708 K393179:K393244 JG393179:JG393244 TC393179:TC393244 ACY393179:ACY393244 AMU393179:AMU393244 AWQ393179:AWQ393244 BGM393179:BGM393244 BQI393179:BQI393244 CAE393179:CAE393244 CKA393179:CKA393244 CTW393179:CTW393244 DDS393179:DDS393244 DNO393179:DNO393244 DXK393179:DXK393244 EHG393179:EHG393244 ERC393179:ERC393244 FAY393179:FAY393244 FKU393179:FKU393244 FUQ393179:FUQ393244 GEM393179:GEM393244 GOI393179:GOI393244 GYE393179:GYE393244 HIA393179:HIA393244 HRW393179:HRW393244 IBS393179:IBS393244 ILO393179:ILO393244 IVK393179:IVK393244 JFG393179:JFG393244 JPC393179:JPC393244 JYY393179:JYY393244 KIU393179:KIU393244 KSQ393179:KSQ393244 LCM393179:LCM393244 LMI393179:LMI393244 LWE393179:LWE393244 MGA393179:MGA393244 MPW393179:MPW393244 MZS393179:MZS393244 NJO393179:NJO393244 NTK393179:NTK393244 ODG393179:ODG393244 ONC393179:ONC393244 OWY393179:OWY393244 PGU393179:PGU393244 PQQ393179:PQQ393244 QAM393179:QAM393244 QKI393179:QKI393244 QUE393179:QUE393244 REA393179:REA393244 RNW393179:RNW393244 RXS393179:RXS393244 SHO393179:SHO393244 SRK393179:SRK393244 TBG393179:TBG393244 TLC393179:TLC393244 TUY393179:TUY393244 UEU393179:UEU393244 UOQ393179:UOQ393244 UYM393179:UYM393244 VII393179:VII393244 VSE393179:VSE393244 WCA393179:WCA393244 WLW393179:WLW393244 WVS393179:WVS393244 K458715:K458780 JG458715:JG458780 TC458715:TC458780 ACY458715:ACY458780 AMU458715:AMU458780 AWQ458715:AWQ458780 BGM458715:BGM458780 BQI458715:BQI458780 CAE458715:CAE458780 CKA458715:CKA458780 CTW458715:CTW458780 DDS458715:DDS458780 DNO458715:DNO458780 DXK458715:DXK458780 EHG458715:EHG458780 ERC458715:ERC458780 FAY458715:FAY458780 FKU458715:FKU458780 FUQ458715:FUQ458780 GEM458715:GEM458780 GOI458715:GOI458780 GYE458715:GYE458780 HIA458715:HIA458780 HRW458715:HRW458780 IBS458715:IBS458780 ILO458715:ILO458780 IVK458715:IVK458780 JFG458715:JFG458780 JPC458715:JPC458780 JYY458715:JYY458780 KIU458715:KIU458780 KSQ458715:KSQ458780 LCM458715:LCM458780 LMI458715:LMI458780 LWE458715:LWE458780 MGA458715:MGA458780 MPW458715:MPW458780 MZS458715:MZS458780 NJO458715:NJO458780 NTK458715:NTK458780 ODG458715:ODG458780 ONC458715:ONC458780 OWY458715:OWY458780 PGU458715:PGU458780 PQQ458715:PQQ458780 QAM458715:QAM458780 QKI458715:QKI458780 QUE458715:QUE458780 REA458715:REA458780 RNW458715:RNW458780 RXS458715:RXS458780 SHO458715:SHO458780 SRK458715:SRK458780 TBG458715:TBG458780 TLC458715:TLC458780 TUY458715:TUY458780 UEU458715:UEU458780 UOQ458715:UOQ458780 UYM458715:UYM458780 VII458715:VII458780 VSE458715:VSE458780 WCA458715:WCA458780 WLW458715:WLW458780 WVS458715:WVS458780 K524251:K524316 JG524251:JG524316 TC524251:TC524316 ACY524251:ACY524316 AMU524251:AMU524316 AWQ524251:AWQ524316 BGM524251:BGM524316 BQI524251:BQI524316 CAE524251:CAE524316 CKA524251:CKA524316 CTW524251:CTW524316 DDS524251:DDS524316 DNO524251:DNO524316 DXK524251:DXK524316 EHG524251:EHG524316 ERC524251:ERC524316 FAY524251:FAY524316 FKU524251:FKU524316 FUQ524251:FUQ524316 GEM524251:GEM524316 GOI524251:GOI524316 GYE524251:GYE524316 HIA524251:HIA524316 HRW524251:HRW524316 IBS524251:IBS524316 ILO524251:ILO524316 IVK524251:IVK524316 JFG524251:JFG524316 JPC524251:JPC524316 JYY524251:JYY524316 KIU524251:KIU524316 KSQ524251:KSQ524316 LCM524251:LCM524316 LMI524251:LMI524316 LWE524251:LWE524316 MGA524251:MGA524316 MPW524251:MPW524316 MZS524251:MZS524316 NJO524251:NJO524316 NTK524251:NTK524316 ODG524251:ODG524316 ONC524251:ONC524316 OWY524251:OWY524316 PGU524251:PGU524316 PQQ524251:PQQ524316 QAM524251:QAM524316 QKI524251:QKI524316 QUE524251:QUE524316 REA524251:REA524316 RNW524251:RNW524316 RXS524251:RXS524316 SHO524251:SHO524316 SRK524251:SRK524316 TBG524251:TBG524316 TLC524251:TLC524316 TUY524251:TUY524316 UEU524251:UEU524316 UOQ524251:UOQ524316 UYM524251:UYM524316 VII524251:VII524316 VSE524251:VSE524316 WCA524251:WCA524316 WLW524251:WLW524316 WVS524251:WVS524316 K589787:K589852 JG589787:JG589852 TC589787:TC589852 ACY589787:ACY589852 AMU589787:AMU589852 AWQ589787:AWQ589852 BGM589787:BGM589852 BQI589787:BQI589852 CAE589787:CAE589852 CKA589787:CKA589852 CTW589787:CTW589852 DDS589787:DDS589852 DNO589787:DNO589852 DXK589787:DXK589852 EHG589787:EHG589852 ERC589787:ERC589852 FAY589787:FAY589852 FKU589787:FKU589852 FUQ589787:FUQ589852 GEM589787:GEM589852 GOI589787:GOI589852 GYE589787:GYE589852 HIA589787:HIA589852 HRW589787:HRW589852 IBS589787:IBS589852 ILO589787:ILO589852 IVK589787:IVK589852 JFG589787:JFG589852 JPC589787:JPC589852 JYY589787:JYY589852 KIU589787:KIU589852 KSQ589787:KSQ589852 LCM589787:LCM589852 LMI589787:LMI589852 LWE589787:LWE589852 MGA589787:MGA589852 MPW589787:MPW589852 MZS589787:MZS589852 NJO589787:NJO589852 NTK589787:NTK589852 ODG589787:ODG589852 ONC589787:ONC589852 OWY589787:OWY589852 PGU589787:PGU589852 PQQ589787:PQQ589852 QAM589787:QAM589852 QKI589787:QKI589852 QUE589787:QUE589852 REA589787:REA589852 RNW589787:RNW589852 RXS589787:RXS589852 SHO589787:SHO589852 SRK589787:SRK589852 TBG589787:TBG589852 TLC589787:TLC589852 TUY589787:TUY589852 UEU589787:UEU589852 UOQ589787:UOQ589852 UYM589787:UYM589852 VII589787:VII589852 VSE589787:VSE589852 WCA589787:WCA589852 WLW589787:WLW589852 WVS589787:WVS589852 K655323:K655388 JG655323:JG655388 TC655323:TC655388 ACY655323:ACY655388 AMU655323:AMU655388 AWQ655323:AWQ655388 BGM655323:BGM655388 BQI655323:BQI655388 CAE655323:CAE655388 CKA655323:CKA655388 CTW655323:CTW655388 DDS655323:DDS655388 DNO655323:DNO655388 DXK655323:DXK655388 EHG655323:EHG655388 ERC655323:ERC655388 FAY655323:FAY655388 FKU655323:FKU655388 FUQ655323:FUQ655388 GEM655323:GEM655388 GOI655323:GOI655388 GYE655323:GYE655388 HIA655323:HIA655388 HRW655323:HRW655388 IBS655323:IBS655388 ILO655323:ILO655388 IVK655323:IVK655388 JFG655323:JFG655388 JPC655323:JPC655388 JYY655323:JYY655388 KIU655323:KIU655388 KSQ655323:KSQ655388 LCM655323:LCM655388 LMI655323:LMI655388 LWE655323:LWE655388 MGA655323:MGA655388 MPW655323:MPW655388 MZS655323:MZS655388 NJO655323:NJO655388 NTK655323:NTK655388 ODG655323:ODG655388 ONC655323:ONC655388 OWY655323:OWY655388 PGU655323:PGU655388 PQQ655323:PQQ655388 QAM655323:QAM655388 QKI655323:QKI655388 QUE655323:QUE655388 REA655323:REA655388 RNW655323:RNW655388 RXS655323:RXS655388 SHO655323:SHO655388 SRK655323:SRK655388 TBG655323:TBG655388 TLC655323:TLC655388 TUY655323:TUY655388 UEU655323:UEU655388 UOQ655323:UOQ655388 UYM655323:UYM655388 VII655323:VII655388 VSE655323:VSE655388 WCA655323:WCA655388 WLW655323:WLW655388 WVS655323:WVS655388 K720859:K720924 JG720859:JG720924 TC720859:TC720924 ACY720859:ACY720924 AMU720859:AMU720924 AWQ720859:AWQ720924 BGM720859:BGM720924 BQI720859:BQI720924 CAE720859:CAE720924 CKA720859:CKA720924 CTW720859:CTW720924 DDS720859:DDS720924 DNO720859:DNO720924 DXK720859:DXK720924 EHG720859:EHG720924 ERC720859:ERC720924 FAY720859:FAY720924 FKU720859:FKU720924 FUQ720859:FUQ720924 GEM720859:GEM720924 GOI720859:GOI720924 GYE720859:GYE720924 HIA720859:HIA720924 HRW720859:HRW720924 IBS720859:IBS720924 ILO720859:ILO720924 IVK720859:IVK720924 JFG720859:JFG720924 JPC720859:JPC720924 JYY720859:JYY720924 KIU720859:KIU720924 KSQ720859:KSQ720924 LCM720859:LCM720924 LMI720859:LMI720924 LWE720859:LWE720924 MGA720859:MGA720924 MPW720859:MPW720924 MZS720859:MZS720924 NJO720859:NJO720924 NTK720859:NTK720924 ODG720859:ODG720924 ONC720859:ONC720924 OWY720859:OWY720924 PGU720859:PGU720924 PQQ720859:PQQ720924 QAM720859:QAM720924 QKI720859:QKI720924 QUE720859:QUE720924 REA720859:REA720924 RNW720859:RNW720924 RXS720859:RXS720924 SHO720859:SHO720924 SRK720859:SRK720924 TBG720859:TBG720924 TLC720859:TLC720924 TUY720859:TUY720924 UEU720859:UEU720924 UOQ720859:UOQ720924 UYM720859:UYM720924 VII720859:VII720924 VSE720859:VSE720924 WCA720859:WCA720924 WLW720859:WLW720924 WVS720859:WVS720924 K786395:K786460 JG786395:JG786460 TC786395:TC786460 ACY786395:ACY786460 AMU786395:AMU786460 AWQ786395:AWQ786460 BGM786395:BGM786460 BQI786395:BQI786460 CAE786395:CAE786460 CKA786395:CKA786460 CTW786395:CTW786460 DDS786395:DDS786460 DNO786395:DNO786460 DXK786395:DXK786460 EHG786395:EHG786460 ERC786395:ERC786460 FAY786395:FAY786460 FKU786395:FKU786460 FUQ786395:FUQ786460 GEM786395:GEM786460 GOI786395:GOI786460 GYE786395:GYE786460 HIA786395:HIA786460 HRW786395:HRW786460 IBS786395:IBS786460 ILO786395:ILO786460 IVK786395:IVK786460 JFG786395:JFG786460 JPC786395:JPC786460 JYY786395:JYY786460 KIU786395:KIU786460 KSQ786395:KSQ786460 LCM786395:LCM786460 LMI786395:LMI786460 LWE786395:LWE786460 MGA786395:MGA786460 MPW786395:MPW786460 MZS786395:MZS786460 NJO786395:NJO786460 NTK786395:NTK786460 ODG786395:ODG786460 ONC786395:ONC786460 OWY786395:OWY786460 PGU786395:PGU786460 PQQ786395:PQQ786460 QAM786395:QAM786460 QKI786395:QKI786460 QUE786395:QUE786460 REA786395:REA786460 RNW786395:RNW786460 RXS786395:RXS786460 SHO786395:SHO786460 SRK786395:SRK786460 TBG786395:TBG786460 TLC786395:TLC786460 TUY786395:TUY786460 UEU786395:UEU786460 UOQ786395:UOQ786460 UYM786395:UYM786460 VII786395:VII786460 VSE786395:VSE786460 WCA786395:WCA786460 WLW786395:WLW786460 WVS786395:WVS786460 K851931:K851996 JG851931:JG851996 TC851931:TC851996 ACY851931:ACY851996 AMU851931:AMU851996 AWQ851931:AWQ851996 BGM851931:BGM851996 BQI851931:BQI851996 CAE851931:CAE851996 CKA851931:CKA851996 CTW851931:CTW851996 DDS851931:DDS851996 DNO851931:DNO851996 DXK851931:DXK851996 EHG851931:EHG851996 ERC851931:ERC851996 FAY851931:FAY851996 FKU851931:FKU851996 FUQ851931:FUQ851996 GEM851931:GEM851996 GOI851931:GOI851996 GYE851931:GYE851996 HIA851931:HIA851996 HRW851931:HRW851996 IBS851931:IBS851996 ILO851931:ILO851996 IVK851931:IVK851996 JFG851931:JFG851996 JPC851931:JPC851996 JYY851931:JYY851996 KIU851931:KIU851996 KSQ851931:KSQ851996 LCM851931:LCM851996 LMI851931:LMI851996 LWE851931:LWE851996 MGA851931:MGA851996 MPW851931:MPW851996 MZS851931:MZS851996 NJO851931:NJO851996 NTK851931:NTK851996 ODG851931:ODG851996 ONC851931:ONC851996 OWY851931:OWY851996 PGU851931:PGU851996 PQQ851931:PQQ851996 QAM851931:QAM851996 QKI851931:QKI851996 QUE851931:QUE851996 REA851931:REA851996 RNW851931:RNW851996 RXS851931:RXS851996 SHO851931:SHO851996 SRK851931:SRK851996 TBG851931:TBG851996 TLC851931:TLC851996 TUY851931:TUY851996 UEU851931:UEU851996 UOQ851931:UOQ851996 UYM851931:UYM851996 VII851931:VII851996 VSE851931:VSE851996 WCA851931:WCA851996 WLW851931:WLW851996 WVS851931:WVS851996 K917467:K917532 JG917467:JG917532 TC917467:TC917532 ACY917467:ACY917532 AMU917467:AMU917532 AWQ917467:AWQ917532 BGM917467:BGM917532 BQI917467:BQI917532 CAE917467:CAE917532 CKA917467:CKA917532 CTW917467:CTW917532 DDS917467:DDS917532 DNO917467:DNO917532 DXK917467:DXK917532 EHG917467:EHG917532 ERC917467:ERC917532 FAY917467:FAY917532 FKU917467:FKU917532 FUQ917467:FUQ917532 GEM917467:GEM917532 GOI917467:GOI917532 GYE917467:GYE917532 HIA917467:HIA917532 HRW917467:HRW917532 IBS917467:IBS917532 ILO917467:ILO917532 IVK917467:IVK917532 JFG917467:JFG917532 JPC917467:JPC917532 JYY917467:JYY917532 KIU917467:KIU917532 KSQ917467:KSQ917532 LCM917467:LCM917532 LMI917467:LMI917532 LWE917467:LWE917532 MGA917467:MGA917532 MPW917467:MPW917532 MZS917467:MZS917532 NJO917467:NJO917532 NTK917467:NTK917532 ODG917467:ODG917532 ONC917467:ONC917532 OWY917467:OWY917532 PGU917467:PGU917532 PQQ917467:PQQ917532 QAM917467:QAM917532 QKI917467:QKI917532 QUE917467:QUE917532 REA917467:REA917532 RNW917467:RNW917532 RXS917467:RXS917532 SHO917467:SHO917532 SRK917467:SRK917532 TBG917467:TBG917532 TLC917467:TLC917532 TUY917467:TUY917532 UEU917467:UEU917532 UOQ917467:UOQ917532 UYM917467:UYM917532 VII917467:VII917532 VSE917467:VSE917532 WCA917467:WCA917532 WLW917467:WLW917532 WVS917467:WVS917532 K983003:K983068 JG983003:JG983068 TC983003:TC983068 ACY983003:ACY983068 AMU983003:AMU983068 AWQ983003:AWQ983068 BGM983003:BGM983068 BQI983003:BQI983068 CAE983003:CAE983068 CKA983003:CKA983068 CTW983003:CTW983068 DDS983003:DDS983068 DNO983003:DNO983068 DXK983003:DXK983068 EHG983003:EHG983068 ERC983003:ERC983068 FAY983003:FAY983068 FKU983003:FKU983068 FUQ983003:FUQ983068 GEM983003:GEM983068 GOI983003:GOI983068 GYE983003:GYE983068 HIA983003:HIA983068 HRW983003:HRW983068 IBS983003:IBS983068 ILO983003:ILO983068 IVK983003:IVK983068 JFG983003:JFG983068 JPC983003:JPC983068 JYY983003:JYY983068 KIU983003:KIU983068 KSQ983003:KSQ983068 LCM983003:LCM983068 LMI983003:LMI983068 LWE983003:LWE983068 MGA983003:MGA983068 MPW983003:MPW983068 MZS983003:MZS983068 NJO983003:NJO983068 NTK983003:NTK983068 ODG983003:ODG983068 ONC983003:ONC983068 OWY983003:OWY983068 PGU983003:PGU983068 PQQ983003:PQQ983068 QAM983003:QAM983068 QKI983003:QKI983068 QUE983003:QUE983068 REA983003:REA983068 RNW983003:RNW983068 RXS983003:RXS983068 SHO983003:SHO983068 SRK983003:SRK983068 TBG983003:TBG983068 TLC983003:TLC983068 TUY983003:TUY983068 UEU983003:UEU983068 UOQ983003:UOQ983068 UYM983003:UYM983068 VII983003:VII983068 VSE983003:VSE983068 WCA983003:WCA983068 WLW983003:WLW983068 K404:K461 WVS2:WVS49 JG2:JG49 TC2:TC49 ACY2:ACY49 AMU2:AMU49 AWQ2:AWQ49 BGM2:BGM49 BQI2:BQI49 CAE2:CAE49 CKA2:CKA49 CTW2:CTW49 DDS2:DDS49 DNO2:DNO49 DXK2:DXK49 EHG2:EHG49 ERC2:ERC49 FAY2:FAY49 FKU2:FKU49 FUQ2:FUQ49 GEM2:GEM49 GOI2:GOI49 GYE2:GYE49 HIA2:HIA49 HRW2:HRW49 IBS2:IBS49 ILO2:ILO49 IVK2:IVK49 JFG2:JFG49 JPC2:JPC49 JYY2:JYY49 KIU2:KIU49 KSQ2:KSQ49 LCM2:LCM49 LMI2:LMI49 LWE2:LWE49 MGA2:MGA49 MPW2:MPW49 MZS2:MZS49 NJO2:NJO49 NTK2:NTK49 ODG2:ODG49 ONC2:ONC49 OWY2:OWY49 PGU2:PGU49 PQQ2:PQQ49 QAM2:QAM49 QKI2:QKI49 QUE2:QUE49 REA2:REA49 RNW2:RNW49 RXS2:RXS49 SHO2:SHO49 SRK2:SRK49 TBG2:TBG49 TLC2:TLC49 TUY2:TUY49 UEU2:UEU49 UOQ2:UOQ49 UYM2:UYM49 VII2:VII49 VSE2:VSE49 WCA2:WCA49 WLW2:WLW49" xr:uid="{4CD30F6E-0277-478C-95AB-C0A646EA00DF}">
      <formula1>$AR$2:$AR$25</formula1>
    </dataValidation>
    <dataValidation type="list" allowBlank="1" showInputMessage="1" showErrorMessage="1" sqref="WVR983003:WVR983068 J65499:J65564 JF65499:JF65564 TB65499:TB65564 ACX65499:ACX65564 AMT65499:AMT65564 AWP65499:AWP65564 BGL65499:BGL65564 BQH65499:BQH65564 CAD65499:CAD65564 CJZ65499:CJZ65564 CTV65499:CTV65564 DDR65499:DDR65564 DNN65499:DNN65564 DXJ65499:DXJ65564 EHF65499:EHF65564 ERB65499:ERB65564 FAX65499:FAX65564 FKT65499:FKT65564 FUP65499:FUP65564 GEL65499:GEL65564 GOH65499:GOH65564 GYD65499:GYD65564 HHZ65499:HHZ65564 HRV65499:HRV65564 IBR65499:IBR65564 ILN65499:ILN65564 IVJ65499:IVJ65564 JFF65499:JFF65564 JPB65499:JPB65564 JYX65499:JYX65564 KIT65499:KIT65564 KSP65499:KSP65564 LCL65499:LCL65564 LMH65499:LMH65564 LWD65499:LWD65564 MFZ65499:MFZ65564 MPV65499:MPV65564 MZR65499:MZR65564 NJN65499:NJN65564 NTJ65499:NTJ65564 ODF65499:ODF65564 ONB65499:ONB65564 OWX65499:OWX65564 PGT65499:PGT65564 PQP65499:PQP65564 QAL65499:QAL65564 QKH65499:QKH65564 QUD65499:QUD65564 RDZ65499:RDZ65564 RNV65499:RNV65564 RXR65499:RXR65564 SHN65499:SHN65564 SRJ65499:SRJ65564 TBF65499:TBF65564 TLB65499:TLB65564 TUX65499:TUX65564 UET65499:UET65564 UOP65499:UOP65564 UYL65499:UYL65564 VIH65499:VIH65564 VSD65499:VSD65564 WBZ65499:WBZ65564 WLV65499:WLV65564 WVR65499:WVR65564 J131035:J131100 JF131035:JF131100 TB131035:TB131100 ACX131035:ACX131100 AMT131035:AMT131100 AWP131035:AWP131100 BGL131035:BGL131100 BQH131035:BQH131100 CAD131035:CAD131100 CJZ131035:CJZ131100 CTV131035:CTV131100 DDR131035:DDR131100 DNN131035:DNN131100 DXJ131035:DXJ131100 EHF131035:EHF131100 ERB131035:ERB131100 FAX131035:FAX131100 FKT131035:FKT131100 FUP131035:FUP131100 GEL131035:GEL131100 GOH131035:GOH131100 GYD131035:GYD131100 HHZ131035:HHZ131100 HRV131035:HRV131100 IBR131035:IBR131100 ILN131035:ILN131100 IVJ131035:IVJ131100 JFF131035:JFF131100 JPB131035:JPB131100 JYX131035:JYX131100 KIT131035:KIT131100 KSP131035:KSP131100 LCL131035:LCL131100 LMH131035:LMH131100 LWD131035:LWD131100 MFZ131035:MFZ131100 MPV131035:MPV131100 MZR131035:MZR131100 NJN131035:NJN131100 NTJ131035:NTJ131100 ODF131035:ODF131100 ONB131035:ONB131100 OWX131035:OWX131100 PGT131035:PGT131100 PQP131035:PQP131100 QAL131035:QAL131100 QKH131035:QKH131100 QUD131035:QUD131100 RDZ131035:RDZ131100 RNV131035:RNV131100 RXR131035:RXR131100 SHN131035:SHN131100 SRJ131035:SRJ131100 TBF131035:TBF131100 TLB131035:TLB131100 TUX131035:TUX131100 UET131035:UET131100 UOP131035:UOP131100 UYL131035:UYL131100 VIH131035:VIH131100 VSD131035:VSD131100 WBZ131035:WBZ131100 WLV131035:WLV131100 WVR131035:WVR131100 J196571:J196636 JF196571:JF196636 TB196571:TB196636 ACX196571:ACX196636 AMT196571:AMT196636 AWP196571:AWP196636 BGL196571:BGL196636 BQH196571:BQH196636 CAD196571:CAD196636 CJZ196571:CJZ196636 CTV196571:CTV196636 DDR196571:DDR196636 DNN196571:DNN196636 DXJ196571:DXJ196636 EHF196571:EHF196636 ERB196571:ERB196636 FAX196571:FAX196636 FKT196571:FKT196636 FUP196571:FUP196636 GEL196571:GEL196636 GOH196571:GOH196636 GYD196571:GYD196636 HHZ196571:HHZ196636 HRV196571:HRV196636 IBR196571:IBR196636 ILN196571:ILN196636 IVJ196571:IVJ196636 JFF196571:JFF196636 JPB196571:JPB196636 JYX196571:JYX196636 KIT196571:KIT196636 KSP196571:KSP196636 LCL196571:LCL196636 LMH196571:LMH196636 LWD196571:LWD196636 MFZ196571:MFZ196636 MPV196571:MPV196636 MZR196571:MZR196636 NJN196571:NJN196636 NTJ196571:NTJ196636 ODF196571:ODF196636 ONB196571:ONB196636 OWX196571:OWX196636 PGT196571:PGT196636 PQP196571:PQP196636 QAL196571:QAL196636 QKH196571:QKH196636 QUD196571:QUD196636 RDZ196571:RDZ196636 RNV196571:RNV196636 RXR196571:RXR196636 SHN196571:SHN196636 SRJ196571:SRJ196636 TBF196571:TBF196636 TLB196571:TLB196636 TUX196571:TUX196636 UET196571:UET196636 UOP196571:UOP196636 UYL196571:UYL196636 VIH196571:VIH196636 VSD196571:VSD196636 WBZ196571:WBZ196636 WLV196571:WLV196636 WVR196571:WVR196636 J262107:J262172 JF262107:JF262172 TB262107:TB262172 ACX262107:ACX262172 AMT262107:AMT262172 AWP262107:AWP262172 BGL262107:BGL262172 BQH262107:BQH262172 CAD262107:CAD262172 CJZ262107:CJZ262172 CTV262107:CTV262172 DDR262107:DDR262172 DNN262107:DNN262172 DXJ262107:DXJ262172 EHF262107:EHF262172 ERB262107:ERB262172 FAX262107:FAX262172 FKT262107:FKT262172 FUP262107:FUP262172 GEL262107:GEL262172 GOH262107:GOH262172 GYD262107:GYD262172 HHZ262107:HHZ262172 HRV262107:HRV262172 IBR262107:IBR262172 ILN262107:ILN262172 IVJ262107:IVJ262172 JFF262107:JFF262172 JPB262107:JPB262172 JYX262107:JYX262172 KIT262107:KIT262172 KSP262107:KSP262172 LCL262107:LCL262172 LMH262107:LMH262172 LWD262107:LWD262172 MFZ262107:MFZ262172 MPV262107:MPV262172 MZR262107:MZR262172 NJN262107:NJN262172 NTJ262107:NTJ262172 ODF262107:ODF262172 ONB262107:ONB262172 OWX262107:OWX262172 PGT262107:PGT262172 PQP262107:PQP262172 QAL262107:QAL262172 QKH262107:QKH262172 QUD262107:QUD262172 RDZ262107:RDZ262172 RNV262107:RNV262172 RXR262107:RXR262172 SHN262107:SHN262172 SRJ262107:SRJ262172 TBF262107:TBF262172 TLB262107:TLB262172 TUX262107:TUX262172 UET262107:UET262172 UOP262107:UOP262172 UYL262107:UYL262172 VIH262107:VIH262172 VSD262107:VSD262172 WBZ262107:WBZ262172 WLV262107:WLV262172 WVR262107:WVR262172 J327643:J327708 JF327643:JF327708 TB327643:TB327708 ACX327643:ACX327708 AMT327643:AMT327708 AWP327643:AWP327708 BGL327643:BGL327708 BQH327643:BQH327708 CAD327643:CAD327708 CJZ327643:CJZ327708 CTV327643:CTV327708 DDR327643:DDR327708 DNN327643:DNN327708 DXJ327643:DXJ327708 EHF327643:EHF327708 ERB327643:ERB327708 FAX327643:FAX327708 FKT327643:FKT327708 FUP327643:FUP327708 GEL327643:GEL327708 GOH327643:GOH327708 GYD327643:GYD327708 HHZ327643:HHZ327708 HRV327643:HRV327708 IBR327643:IBR327708 ILN327643:ILN327708 IVJ327643:IVJ327708 JFF327643:JFF327708 JPB327643:JPB327708 JYX327643:JYX327708 KIT327643:KIT327708 KSP327643:KSP327708 LCL327643:LCL327708 LMH327643:LMH327708 LWD327643:LWD327708 MFZ327643:MFZ327708 MPV327643:MPV327708 MZR327643:MZR327708 NJN327643:NJN327708 NTJ327643:NTJ327708 ODF327643:ODF327708 ONB327643:ONB327708 OWX327643:OWX327708 PGT327643:PGT327708 PQP327643:PQP327708 QAL327643:QAL327708 QKH327643:QKH327708 QUD327643:QUD327708 RDZ327643:RDZ327708 RNV327643:RNV327708 RXR327643:RXR327708 SHN327643:SHN327708 SRJ327643:SRJ327708 TBF327643:TBF327708 TLB327643:TLB327708 TUX327643:TUX327708 UET327643:UET327708 UOP327643:UOP327708 UYL327643:UYL327708 VIH327643:VIH327708 VSD327643:VSD327708 WBZ327643:WBZ327708 WLV327643:WLV327708 WVR327643:WVR327708 J393179:J393244 JF393179:JF393244 TB393179:TB393244 ACX393179:ACX393244 AMT393179:AMT393244 AWP393179:AWP393244 BGL393179:BGL393244 BQH393179:BQH393244 CAD393179:CAD393244 CJZ393179:CJZ393244 CTV393179:CTV393244 DDR393179:DDR393244 DNN393179:DNN393244 DXJ393179:DXJ393244 EHF393179:EHF393244 ERB393179:ERB393244 FAX393179:FAX393244 FKT393179:FKT393244 FUP393179:FUP393244 GEL393179:GEL393244 GOH393179:GOH393244 GYD393179:GYD393244 HHZ393179:HHZ393244 HRV393179:HRV393244 IBR393179:IBR393244 ILN393179:ILN393244 IVJ393179:IVJ393244 JFF393179:JFF393244 JPB393179:JPB393244 JYX393179:JYX393244 KIT393179:KIT393244 KSP393179:KSP393244 LCL393179:LCL393244 LMH393179:LMH393244 LWD393179:LWD393244 MFZ393179:MFZ393244 MPV393179:MPV393244 MZR393179:MZR393244 NJN393179:NJN393244 NTJ393179:NTJ393244 ODF393179:ODF393244 ONB393179:ONB393244 OWX393179:OWX393244 PGT393179:PGT393244 PQP393179:PQP393244 QAL393179:QAL393244 QKH393179:QKH393244 QUD393179:QUD393244 RDZ393179:RDZ393244 RNV393179:RNV393244 RXR393179:RXR393244 SHN393179:SHN393244 SRJ393179:SRJ393244 TBF393179:TBF393244 TLB393179:TLB393244 TUX393179:TUX393244 UET393179:UET393244 UOP393179:UOP393244 UYL393179:UYL393244 VIH393179:VIH393244 VSD393179:VSD393244 WBZ393179:WBZ393244 WLV393179:WLV393244 WVR393179:WVR393244 J458715:J458780 JF458715:JF458780 TB458715:TB458780 ACX458715:ACX458780 AMT458715:AMT458780 AWP458715:AWP458780 BGL458715:BGL458780 BQH458715:BQH458780 CAD458715:CAD458780 CJZ458715:CJZ458780 CTV458715:CTV458780 DDR458715:DDR458780 DNN458715:DNN458780 DXJ458715:DXJ458780 EHF458715:EHF458780 ERB458715:ERB458780 FAX458715:FAX458780 FKT458715:FKT458780 FUP458715:FUP458780 GEL458715:GEL458780 GOH458715:GOH458780 GYD458715:GYD458780 HHZ458715:HHZ458780 HRV458715:HRV458780 IBR458715:IBR458780 ILN458715:ILN458780 IVJ458715:IVJ458780 JFF458715:JFF458780 JPB458715:JPB458780 JYX458715:JYX458780 KIT458715:KIT458780 KSP458715:KSP458780 LCL458715:LCL458780 LMH458715:LMH458780 LWD458715:LWD458780 MFZ458715:MFZ458780 MPV458715:MPV458780 MZR458715:MZR458780 NJN458715:NJN458780 NTJ458715:NTJ458780 ODF458715:ODF458780 ONB458715:ONB458780 OWX458715:OWX458780 PGT458715:PGT458780 PQP458715:PQP458780 QAL458715:QAL458780 QKH458715:QKH458780 QUD458715:QUD458780 RDZ458715:RDZ458780 RNV458715:RNV458780 RXR458715:RXR458780 SHN458715:SHN458780 SRJ458715:SRJ458780 TBF458715:TBF458780 TLB458715:TLB458780 TUX458715:TUX458780 UET458715:UET458780 UOP458715:UOP458780 UYL458715:UYL458780 VIH458715:VIH458780 VSD458715:VSD458780 WBZ458715:WBZ458780 WLV458715:WLV458780 WVR458715:WVR458780 J524251:J524316 JF524251:JF524316 TB524251:TB524316 ACX524251:ACX524316 AMT524251:AMT524316 AWP524251:AWP524316 BGL524251:BGL524316 BQH524251:BQH524316 CAD524251:CAD524316 CJZ524251:CJZ524316 CTV524251:CTV524316 DDR524251:DDR524316 DNN524251:DNN524316 DXJ524251:DXJ524316 EHF524251:EHF524316 ERB524251:ERB524316 FAX524251:FAX524316 FKT524251:FKT524316 FUP524251:FUP524316 GEL524251:GEL524316 GOH524251:GOH524316 GYD524251:GYD524316 HHZ524251:HHZ524316 HRV524251:HRV524316 IBR524251:IBR524316 ILN524251:ILN524316 IVJ524251:IVJ524316 JFF524251:JFF524316 JPB524251:JPB524316 JYX524251:JYX524316 KIT524251:KIT524316 KSP524251:KSP524316 LCL524251:LCL524316 LMH524251:LMH524316 LWD524251:LWD524316 MFZ524251:MFZ524316 MPV524251:MPV524316 MZR524251:MZR524316 NJN524251:NJN524316 NTJ524251:NTJ524316 ODF524251:ODF524316 ONB524251:ONB524316 OWX524251:OWX524316 PGT524251:PGT524316 PQP524251:PQP524316 QAL524251:QAL524316 QKH524251:QKH524316 QUD524251:QUD524316 RDZ524251:RDZ524316 RNV524251:RNV524316 RXR524251:RXR524316 SHN524251:SHN524316 SRJ524251:SRJ524316 TBF524251:TBF524316 TLB524251:TLB524316 TUX524251:TUX524316 UET524251:UET524316 UOP524251:UOP524316 UYL524251:UYL524316 VIH524251:VIH524316 VSD524251:VSD524316 WBZ524251:WBZ524316 WLV524251:WLV524316 WVR524251:WVR524316 J589787:J589852 JF589787:JF589852 TB589787:TB589852 ACX589787:ACX589852 AMT589787:AMT589852 AWP589787:AWP589852 BGL589787:BGL589852 BQH589787:BQH589852 CAD589787:CAD589852 CJZ589787:CJZ589852 CTV589787:CTV589852 DDR589787:DDR589852 DNN589787:DNN589852 DXJ589787:DXJ589852 EHF589787:EHF589852 ERB589787:ERB589852 FAX589787:FAX589852 FKT589787:FKT589852 FUP589787:FUP589852 GEL589787:GEL589852 GOH589787:GOH589852 GYD589787:GYD589852 HHZ589787:HHZ589852 HRV589787:HRV589852 IBR589787:IBR589852 ILN589787:ILN589852 IVJ589787:IVJ589852 JFF589787:JFF589852 JPB589787:JPB589852 JYX589787:JYX589852 KIT589787:KIT589852 KSP589787:KSP589852 LCL589787:LCL589852 LMH589787:LMH589852 LWD589787:LWD589852 MFZ589787:MFZ589852 MPV589787:MPV589852 MZR589787:MZR589852 NJN589787:NJN589852 NTJ589787:NTJ589852 ODF589787:ODF589852 ONB589787:ONB589852 OWX589787:OWX589852 PGT589787:PGT589852 PQP589787:PQP589852 QAL589787:QAL589852 QKH589787:QKH589852 QUD589787:QUD589852 RDZ589787:RDZ589852 RNV589787:RNV589852 RXR589787:RXR589852 SHN589787:SHN589852 SRJ589787:SRJ589852 TBF589787:TBF589852 TLB589787:TLB589852 TUX589787:TUX589852 UET589787:UET589852 UOP589787:UOP589852 UYL589787:UYL589852 VIH589787:VIH589852 VSD589787:VSD589852 WBZ589787:WBZ589852 WLV589787:WLV589852 WVR589787:WVR589852 J655323:J655388 JF655323:JF655388 TB655323:TB655388 ACX655323:ACX655388 AMT655323:AMT655388 AWP655323:AWP655388 BGL655323:BGL655388 BQH655323:BQH655388 CAD655323:CAD655388 CJZ655323:CJZ655388 CTV655323:CTV655388 DDR655323:DDR655388 DNN655323:DNN655388 DXJ655323:DXJ655388 EHF655323:EHF655388 ERB655323:ERB655388 FAX655323:FAX655388 FKT655323:FKT655388 FUP655323:FUP655388 GEL655323:GEL655388 GOH655323:GOH655388 GYD655323:GYD655388 HHZ655323:HHZ655388 HRV655323:HRV655388 IBR655323:IBR655388 ILN655323:ILN655388 IVJ655323:IVJ655388 JFF655323:JFF655388 JPB655323:JPB655388 JYX655323:JYX655388 KIT655323:KIT655388 KSP655323:KSP655388 LCL655323:LCL655388 LMH655323:LMH655388 LWD655323:LWD655388 MFZ655323:MFZ655388 MPV655323:MPV655388 MZR655323:MZR655388 NJN655323:NJN655388 NTJ655323:NTJ655388 ODF655323:ODF655388 ONB655323:ONB655388 OWX655323:OWX655388 PGT655323:PGT655388 PQP655323:PQP655388 QAL655323:QAL655388 QKH655323:QKH655388 QUD655323:QUD655388 RDZ655323:RDZ655388 RNV655323:RNV655388 RXR655323:RXR655388 SHN655323:SHN655388 SRJ655323:SRJ655388 TBF655323:TBF655388 TLB655323:TLB655388 TUX655323:TUX655388 UET655323:UET655388 UOP655323:UOP655388 UYL655323:UYL655388 VIH655323:VIH655388 VSD655323:VSD655388 WBZ655323:WBZ655388 WLV655323:WLV655388 WVR655323:WVR655388 J720859:J720924 JF720859:JF720924 TB720859:TB720924 ACX720859:ACX720924 AMT720859:AMT720924 AWP720859:AWP720924 BGL720859:BGL720924 BQH720859:BQH720924 CAD720859:CAD720924 CJZ720859:CJZ720924 CTV720859:CTV720924 DDR720859:DDR720924 DNN720859:DNN720924 DXJ720859:DXJ720924 EHF720859:EHF720924 ERB720859:ERB720924 FAX720859:FAX720924 FKT720859:FKT720924 FUP720859:FUP720924 GEL720859:GEL720924 GOH720859:GOH720924 GYD720859:GYD720924 HHZ720859:HHZ720924 HRV720859:HRV720924 IBR720859:IBR720924 ILN720859:ILN720924 IVJ720859:IVJ720924 JFF720859:JFF720924 JPB720859:JPB720924 JYX720859:JYX720924 KIT720859:KIT720924 KSP720859:KSP720924 LCL720859:LCL720924 LMH720859:LMH720924 LWD720859:LWD720924 MFZ720859:MFZ720924 MPV720859:MPV720924 MZR720859:MZR720924 NJN720859:NJN720924 NTJ720859:NTJ720924 ODF720859:ODF720924 ONB720859:ONB720924 OWX720859:OWX720924 PGT720859:PGT720924 PQP720859:PQP720924 QAL720859:QAL720924 QKH720859:QKH720924 QUD720859:QUD720924 RDZ720859:RDZ720924 RNV720859:RNV720924 RXR720859:RXR720924 SHN720859:SHN720924 SRJ720859:SRJ720924 TBF720859:TBF720924 TLB720859:TLB720924 TUX720859:TUX720924 UET720859:UET720924 UOP720859:UOP720924 UYL720859:UYL720924 VIH720859:VIH720924 VSD720859:VSD720924 WBZ720859:WBZ720924 WLV720859:WLV720924 WVR720859:WVR720924 J786395:J786460 JF786395:JF786460 TB786395:TB786460 ACX786395:ACX786460 AMT786395:AMT786460 AWP786395:AWP786460 BGL786395:BGL786460 BQH786395:BQH786460 CAD786395:CAD786460 CJZ786395:CJZ786460 CTV786395:CTV786460 DDR786395:DDR786460 DNN786395:DNN786460 DXJ786395:DXJ786460 EHF786395:EHF786460 ERB786395:ERB786460 FAX786395:FAX786460 FKT786395:FKT786460 FUP786395:FUP786460 GEL786395:GEL786460 GOH786395:GOH786460 GYD786395:GYD786460 HHZ786395:HHZ786460 HRV786395:HRV786460 IBR786395:IBR786460 ILN786395:ILN786460 IVJ786395:IVJ786460 JFF786395:JFF786460 JPB786395:JPB786460 JYX786395:JYX786460 KIT786395:KIT786460 KSP786395:KSP786460 LCL786395:LCL786460 LMH786395:LMH786460 LWD786395:LWD786460 MFZ786395:MFZ786460 MPV786395:MPV786460 MZR786395:MZR786460 NJN786395:NJN786460 NTJ786395:NTJ786460 ODF786395:ODF786460 ONB786395:ONB786460 OWX786395:OWX786460 PGT786395:PGT786460 PQP786395:PQP786460 QAL786395:QAL786460 QKH786395:QKH786460 QUD786395:QUD786460 RDZ786395:RDZ786460 RNV786395:RNV786460 RXR786395:RXR786460 SHN786395:SHN786460 SRJ786395:SRJ786460 TBF786395:TBF786460 TLB786395:TLB786460 TUX786395:TUX786460 UET786395:UET786460 UOP786395:UOP786460 UYL786395:UYL786460 VIH786395:VIH786460 VSD786395:VSD786460 WBZ786395:WBZ786460 WLV786395:WLV786460 WVR786395:WVR786460 J851931:J851996 JF851931:JF851996 TB851931:TB851996 ACX851931:ACX851996 AMT851931:AMT851996 AWP851931:AWP851996 BGL851931:BGL851996 BQH851931:BQH851996 CAD851931:CAD851996 CJZ851931:CJZ851996 CTV851931:CTV851996 DDR851931:DDR851996 DNN851931:DNN851996 DXJ851931:DXJ851996 EHF851931:EHF851996 ERB851931:ERB851996 FAX851931:FAX851996 FKT851931:FKT851996 FUP851931:FUP851996 GEL851931:GEL851996 GOH851931:GOH851996 GYD851931:GYD851996 HHZ851931:HHZ851996 HRV851931:HRV851996 IBR851931:IBR851996 ILN851931:ILN851996 IVJ851931:IVJ851996 JFF851931:JFF851996 JPB851931:JPB851996 JYX851931:JYX851996 KIT851931:KIT851996 KSP851931:KSP851996 LCL851931:LCL851996 LMH851931:LMH851996 LWD851931:LWD851996 MFZ851931:MFZ851996 MPV851931:MPV851996 MZR851931:MZR851996 NJN851931:NJN851996 NTJ851931:NTJ851996 ODF851931:ODF851996 ONB851931:ONB851996 OWX851931:OWX851996 PGT851931:PGT851996 PQP851931:PQP851996 QAL851931:QAL851996 QKH851931:QKH851996 QUD851931:QUD851996 RDZ851931:RDZ851996 RNV851931:RNV851996 RXR851931:RXR851996 SHN851931:SHN851996 SRJ851931:SRJ851996 TBF851931:TBF851996 TLB851931:TLB851996 TUX851931:TUX851996 UET851931:UET851996 UOP851931:UOP851996 UYL851931:UYL851996 VIH851931:VIH851996 VSD851931:VSD851996 WBZ851931:WBZ851996 WLV851931:WLV851996 WVR851931:WVR851996 J917467:J917532 JF917467:JF917532 TB917467:TB917532 ACX917467:ACX917532 AMT917467:AMT917532 AWP917467:AWP917532 BGL917467:BGL917532 BQH917467:BQH917532 CAD917467:CAD917532 CJZ917467:CJZ917532 CTV917467:CTV917532 DDR917467:DDR917532 DNN917467:DNN917532 DXJ917467:DXJ917532 EHF917467:EHF917532 ERB917467:ERB917532 FAX917467:FAX917532 FKT917467:FKT917532 FUP917467:FUP917532 GEL917467:GEL917532 GOH917467:GOH917532 GYD917467:GYD917532 HHZ917467:HHZ917532 HRV917467:HRV917532 IBR917467:IBR917532 ILN917467:ILN917532 IVJ917467:IVJ917532 JFF917467:JFF917532 JPB917467:JPB917532 JYX917467:JYX917532 KIT917467:KIT917532 KSP917467:KSP917532 LCL917467:LCL917532 LMH917467:LMH917532 LWD917467:LWD917532 MFZ917467:MFZ917532 MPV917467:MPV917532 MZR917467:MZR917532 NJN917467:NJN917532 NTJ917467:NTJ917532 ODF917467:ODF917532 ONB917467:ONB917532 OWX917467:OWX917532 PGT917467:PGT917532 PQP917467:PQP917532 QAL917467:QAL917532 QKH917467:QKH917532 QUD917467:QUD917532 RDZ917467:RDZ917532 RNV917467:RNV917532 RXR917467:RXR917532 SHN917467:SHN917532 SRJ917467:SRJ917532 TBF917467:TBF917532 TLB917467:TLB917532 TUX917467:TUX917532 UET917467:UET917532 UOP917467:UOP917532 UYL917467:UYL917532 VIH917467:VIH917532 VSD917467:VSD917532 WBZ917467:WBZ917532 WLV917467:WLV917532 WVR917467:WVR917532 J983003:J983068 JF983003:JF983068 TB983003:TB983068 ACX983003:ACX983068 AMT983003:AMT983068 AWP983003:AWP983068 BGL983003:BGL983068 BQH983003:BQH983068 CAD983003:CAD983068 CJZ983003:CJZ983068 CTV983003:CTV983068 DDR983003:DDR983068 DNN983003:DNN983068 DXJ983003:DXJ983068 EHF983003:EHF983068 ERB983003:ERB983068 FAX983003:FAX983068 FKT983003:FKT983068 FUP983003:FUP983068 GEL983003:GEL983068 GOH983003:GOH983068 GYD983003:GYD983068 HHZ983003:HHZ983068 HRV983003:HRV983068 IBR983003:IBR983068 ILN983003:ILN983068 IVJ983003:IVJ983068 JFF983003:JFF983068 JPB983003:JPB983068 JYX983003:JYX983068 KIT983003:KIT983068 KSP983003:KSP983068 LCL983003:LCL983068 LMH983003:LMH983068 LWD983003:LWD983068 MFZ983003:MFZ983068 MPV983003:MPV983068 MZR983003:MZR983068 NJN983003:NJN983068 NTJ983003:NTJ983068 ODF983003:ODF983068 ONB983003:ONB983068 OWX983003:OWX983068 PGT983003:PGT983068 PQP983003:PQP983068 QAL983003:QAL983068 QKH983003:QKH983068 QUD983003:QUD983068 RDZ983003:RDZ983068 RNV983003:RNV983068 RXR983003:RXR983068 SHN983003:SHN983068 SRJ983003:SRJ983068 TBF983003:TBF983068 TLB983003:TLB983068 TUX983003:TUX983068 UET983003:UET983068 UOP983003:UOP983068 UYL983003:UYL983068 VIH983003:VIH983068 VSD983003:VSD983068 WBZ983003:WBZ983068 WLV983003:WLV983068 J50:J461 WVR2:WVR49 JF2:JF49 TB2:TB49 ACX2:ACX49 AMT2:AMT49 AWP2:AWP49 BGL2:BGL49 BQH2:BQH49 CAD2:CAD49 CJZ2:CJZ49 CTV2:CTV49 DDR2:DDR49 DNN2:DNN49 DXJ2:DXJ49 EHF2:EHF49 ERB2:ERB49 FAX2:FAX49 FKT2:FKT49 FUP2:FUP49 GEL2:GEL49 GOH2:GOH49 GYD2:GYD49 HHZ2:HHZ49 HRV2:HRV49 IBR2:IBR49 ILN2:ILN49 IVJ2:IVJ49 JFF2:JFF49 JPB2:JPB49 JYX2:JYX49 KIT2:KIT49 KSP2:KSP49 LCL2:LCL49 LMH2:LMH49 LWD2:LWD49 MFZ2:MFZ49 MPV2:MPV49 MZR2:MZR49 NJN2:NJN49 NTJ2:NTJ49 ODF2:ODF49 ONB2:ONB49 OWX2:OWX49 PGT2:PGT49 PQP2:PQP49 QAL2:QAL49 QKH2:QKH49 QUD2:QUD49 RDZ2:RDZ49 RNV2:RNV49 RXR2:RXR49 SHN2:SHN49 SRJ2:SRJ49 TBF2:TBF49 TLB2:TLB49 TUX2:TUX49 UET2:UET49 UOP2:UOP49 UYL2:UYL49 VIH2:VIH49 VSD2:VSD49 WBZ2:WBZ49 WLV2:WLV49" xr:uid="{E3AE4C61-49E2-4824-9B6D-4B381F83FD76}">
      <formula1>$AP$2:$AP$27</formula1>
    </dataValidation>
    <dataValidation type="list" allowBlank="1" showInputMessage="1" showErrorMessage="1" sqref="WVP983003:WVP983068 H65499:H65564 JD65499:JD65564 SZ65499:SZ65564 ACV65499:ACV65564 AMR65499:AMR65564 AWN65499:AWN65564 BGJ65499:BGJ65564 BQF65499:BQF65564 CAB65499:CAB65564 CJX65499:CJX65564 CTT65499:CTT65564 DDP65499:DDP65564 DNL65499:DNL65564 DXH65499:DXH65564 EHD65499:EHD65564 EQZ65499:EQZ65564 FAV65499:FAV65564 FKR65499:FKR65564 FUN65499:FUN65564 GEJ65499:GEJ65564 GOF65499:GOF65564 GYB65499:GYB65564 HHX65499:HHX65564 HRT65499:HRT65564 IBP65499:IBP65564 ILL65499:ILL65564 IVH65499:IVH65564 JFD65499:JFD65564 JOZ65499:JOZ65564 JYV65499:JYV65564 KIR65499:KIR65564 KSN65499:KSN65564 LCJ65499:LCJ65564 LMF65499:LMF65564 LWB65499:LWB65564 MFX65499:MFX65564 MPT65499:MPT65564 MZP65499:MZP65564 NJL65499:NJL65564 NTH65499:NTH65564 ODD65499:ODD65564 OMZ65499:OMZ65564 OWV65499:OWV65564 PGR65499:PGR65564 PQN65499:PQN65564 QAJ65499:QAJ65564 QKF65499:QKF65564 QUB65499:QUB65564 RDX65499:RDX65564 RNT65499:RNT65564 RXP65499:RXP65564 SHL65499:SHL65564 SRH65499:SRH65564 TBD65499:TBD65564 TKZ65499:TKZ65564 TUV65499:TUV65564 UER65499:UER65564 UON65499:UON65564 UYJ65499:UYJ65564 VIF65499:VIF65564 VSB65499:VSB65564 WBX65499:WBX65564 WLT65499:WLT65564 WVP65499:WVP65564 H131035:H131100 JD131035:JD131100 SZ131035:SZ131100 ACV131035:ACV131100 AMR131035:AMR131100 AWN131035:AWN131100 BGJ131035:BGJ131100 BQF131035:BQF131100 CAB131035:CAB131100 CJX131035:CJX131100 CTT131035:CTT131100 DDP131035:DDP131100 DNL131035:DNL131100 DXH131035:DXH131100 EHD131035:EHD131100 EQZ131035:EQZ131100 FAV131035:FAV131100 FKR131035:FKR131100 FUN131035:FUN131100 GEJ131035:GEJ131100 GOF131035:GOF131100 GYB131035:GYB131100 HHX131035:HHX131100 HRT131035:HRT131100 IBP131035:IBP131100 ILL131035:ILL131100 IVH131035:IVH131100 JFD131035:JFD131100 JOZ131035:JOZ131100 JYV131035:JYV131100 KIR131035:KIR131100 KSN131035:KSN131100 LCJ131035:LCJ131100 LMF131035:LMF131100 LWB131035:LWB131100 MFX131035:MFX131100 MPT131035:MPT131100 MZP131035:MZP131100 NJL131035:NJL131100 NTH131035:NTH131100 ODD131035:ODD131100 OMZ131035:OMZ131100 OWV131035:OWV131100 PGR131035:PGR131100 PQN131035:PQN131100 QAJ131035:QAJ131100 QKF131035:QKF131100 QUB131035:QUB131100 RDX131035:RDX131100 RNT131035:RNT131100 RXP131035:RXP131100 SHL131035:SHL131100 SRH131035:SRH131100 TBD131035:TBD131100 TKZ131035:TKZ131100 TUV131035:TUV131100 UER131035:UER131100 UON131035:UON131100 UYJ131035:UYJ131100 VIF131035:VIF131100 VSB131035:VSB131100 WBX131035:WBX131100 WLT131035:WLT131100 WVP131035:WVP131100 H196571:H196636 JD196571:JD196636 SZ196571:SZ196636 ACV196571:ACV196636 AMR196571:AMR196636 AWN196571:AWN196636 BGJ196571:BGJ196636 BQF196571:BQF196636 CAB196571:CAB196636 CJX196571:CJX196636 CTT196571:CTT196636 DDP196571:DDP196636 DNL196571:DNL196636 DXH196571:DXH196636 EHD196571:EHD196636 EQZ196571:EQZ196636 FAV196571:FAV196636 FKR196571:FKR196636 FUN196571:FUN196636 GEJ196571:GEJ196636 GOF196571:GOF196636 GYB196571:GYB196636 HHX196571:HHX196636 HRT196571:HRT196636 IBP196571:IBP196636 ILL196571:ILL196636 IVH196571:IVH196636 JFD196571:JFD196636 JOZ196571:JOZ196636 JYV196571:JYV196636 KIR196571:KIR196636 KSN196571:KSN196636 LCJ196571:LCJ196636 LMF196571:LMF196636 LWB196571:LWB196636 MFX196571:MFX196636 MPT196571:MPT196636 MZP196571:MZP196636 NJL196571:NJL196636 NTH196571:NTH196636 ODD196571:ODD196636 OMZ196571:OMZ196636 OWV196571:OWV196636 PGR196571:PGR196636 PQN196571:PQN196636 QAJ196571:QAJ196636 QKF196571:QKF196636 QUB196571:QUB196636 RDX196571:RDX196636 RNT196571:RNT196636 RXP196571:RXP196636 SHL196571:SHL196636 SRH196571:SRH196636 TBD196571:TBD196636 TKZ196571:TKZ196636 TUV196571:TUV196636 UER196571:UER196636 UON196571:UON196636 UYJ196571:UYJ196636 VIF196571:VIF196636 VSB196571:VSB196636 WBX196571:WBX196636 WLT196571:WLT196636 WVP196571:WVP196636 H262107:H262172 JD262107:JD262172 SZ262107:SZ262172 ACV262107:ACV262172 AMR262107:AMR262172 AWN262107:AWN262172 BGJ262107:BGJ262172 BQF262107:BQF262172 CAB262107:CAB262172 CJX262107:CJX262172 CTT262107:CTT262172 DDP262107:DDP262172 DNL262107:DNL262172 DXH262107:DXH262172 EHD262107:EHD262172 EQZ262107:EQZ262172 FAV262107:FAV262172 FKR262107:FKR262172 FUN262107:FUN262172 GEJ262107:GEJ262172 GOF262107:GOF262172 GYB262107:GYB262172 HHX262107:HHX262172 HRT262107:HRT262172 IBP262107:IBP262172 ILL262107:ILL262172 IVH262107:IVH262172 JFD262107:JFD262172 JOZ262107:JOZ262172 JYV262107:JYV262172 KIR262107:KIR262172 KSN262107:KSN262172 LCJ262107:LCJ262172 LMF262107:LMF262172 LWB262107:LWB262172 MFX262107:MFX262172 MPT262107:MPT262172 MZP262107:MZP262172 NJL262107:NJL262172 NTH262107:NTH262172 ODD262107:ODD262172 OMZ262107:OMZ262172 OWV262107:OWV262172 PGR262107:PGR262172 PQN262107:PQN262172 QAJ262107:QAJ262172 QKF262107:QKF262172 QUB262107:QUB262172 RDX262107:RDX262172 RNT262107:RNT262172 RXP262107:RXP262172 SHL262107:SHL262172 SRH262107:SRH262172 TBD262107:TBD262172 TKZ262107:TKZ262172 TUV262107:TUV262172 UER262107:UER262172 UON262107:UON262172 UYJ262107:UYJ262172 VIF262107:VIF262172 VSB262107:VSB262172 WBX262107:WBX262172 WLT262107:WLT262172 WVP262107:WVP262172 H327643:H327708 JD327643:JD327708 SZ327643:SZ327708 ACV327643:ACV327708 AMR327643:AMR327708 AWN327643:AWN327708 BGJ327643:BGJ327708 BQF327643:BQF327708 CAB327643:CAB327708 CJX327643:CJX327708 CTT327643:CTT327708 DDP327643:DDP327708 DNL327643:DNL327708 DXH327643:DXH327708 EHD327643:EHD327708 EQZ327643:EQZ327708 FAV327643:FAV327708 FKR327643:FKR327708 FUN327643:FUN327708 GEJ327643:GEJ327708 GOF327643:GOF327708 GYB327643:GYB327708 HHX327643:HHX327708 HRT327643:HRT327708 IBP327643:IBP327708 ILL327643:ILL327708 IVH327643:IVH327708 JFD327643:JFD327708 JOZ327643:JOZ327708 JYV327643:JYV327708 KIR327643:KIR327708 KSN327643:KSN327708 LCJ327643:LCJ327708 LMF327643:LMF327708 LWB327643:LWB327708 MFX327643:MFX327708 MPT327643:MPT327708 MZP327643:MZP327708 NJL327643:NJL327708 NTH327643:NTH327708 ODD327643:ODD327708 OMZ327643:OMZ327708 OWV327643:OWV327708 PGR327643:PGR327708 PQN327643:PQN327708 QAJ327643:QAJ327708 QKF327643:QKF327708 QUB327643:QUB327708 RDX327643:RDX327708 RNT327643:RNT327708 RXP327643:RXP327708 SHL327643:SHL327708 SRH327643:SRH327708 TBD327643:TBD327708 TKZ327643:TKZ327708 TUV327643:TUV327708 UER327643:UER327708 UON327643:UON327708 UYJ327643:UYJ327708 VIF327643:VIF327708 VSB327643:VSB327708 WBX327643:WBX327708 WLT327643:WLT327708 WVP327643:WVP327708 H393179:H393244 JD393179:JD393244 SZ393179:SZ393244 ACV393179:ACV393244 AMR393179:AMR393244 AWN393179:AWN393244 BGJ393179:BGJ393244 BQF393179:BQF393244 CAB393179:CAB393244 CJX393179:CJX393244 CTT393179:CTT393244 DDP393179:DDP393244 DNL393179:DNL393244 DXH393179:DXH393244 EHD393179:EHD393244 EQZ393179:EQZ393244 FAV393179:FAV393244 FKR393179:FKR393244 FUN393179:FUN393244 GEJ393179:GEJ393244 GOF393179:GOF393244 GYB393179:GYB393244 HHX393179:HHX393244 HRT393179:HRT393244 IBP393179:IBP393244 ILL393179:ILL393244 IVH393179:IVH393244 JFD393179:JFD393244 JOZ393179:JOZ393244 JYV393179:JYV393244 KIR393179:KIR393244 KSN393179:KSN393244 LCJ393179:LCJ393244 LMF393179:LMF393244 LWB393179:LWB393244 MFX393179:MFX393244 MPT393179:MPT393244 MZP393179:MZP393244 NJL393179:NJL393244 NTH393179:NTH393244 ODD393179:ODD393244 OMZ393179:OMZ393244 OWV393179:OWV393244 PGR393179:PGR393244 PQN393179:PQN393244 QAJ393179:QAJ393244 QKF393179:QKF393244 QUB393179:QUB393244 RDX393179:RDX393244 RNT393179:RNT393244 RXP393179:RXP393244 SHL393179:SHL393244 SRH393179:SRH393244 TBD393179:TBD393244 TKZ393179:TKZ393244 TUV393179:TUV393244 UER393179:UER393244 UON393179:UON393244 UYJ393179:UYJ393244 VIF393179:VIF393244 VSB393179:VSB393244 WBX393179:WBX393244 WLT393179:WLT393244 WVP393179:WVP393244 H458715:H458780 JD458715:JD458780 SZ458715:SZ458780 ACV458715:ACV458780 AMR458715:AMR458780 AWN458715:AWN458780 BGJ458715:BGJ458780 BQF458715:BQF458780 CAB458715:CAB458780 CJX458715:CJX458780 CTT458715:CTT458780 DDP458715:DDP458780 DNL458715:DNL458780 DXH458715:DXH458780 EHD458715:EHD458780 EQZ458715:EQZ458780 FAV458715:FAV458780 FKR458715:FKR458780 FUN458715:FUN458780 GEJ458715:GEJ458780 GOF458715:GOF458780 GYB458715:GYB458780 HHX458715:HHX458780 HRT458715:HRT458780 IBP458715:IBP458780 ILL458715:ILL458780 IVH458715:IVH458780 JFD458715:JFD458780 JOZ458715:JOZ458780 JYV458715:JYV458780 KIR458715:KIR458780 KSN458715:KSN458780 LCJ458715:LCJ458780 LMF458715:LMF458780 LWB458715:LWB458780 MFX458715:MFX458780 MPT458715:MPT458780 MZP458715:MZP458780 NJL458715:NJL458780 NTH458715:NTH458780 ODD458715:ODD458780 OMZ458715:OMZ458780 OWV458715:OWV458780 PGR458715:PGR458780 PQN458715:PQN458780 QAJ458715:QAJ458780 QKF458715:QKF458780 QUB458715:QUB458780 RDX458715:RDX458780 RNT458715:RNT458780 RXP458715:RXP458780 SHL458715:SHL458780 SRH458715:SRH458780 TBD458715:TBD458780 TKZ458715:TKZ458780 TUV458715:TUV458780 UER458715:UER458780 UON458715:UON458780 UYJ458715:UYJ458780 VIF458715:VIF458780 VSB458715:VSB458780 WBX458715:WBX458780 WLT458715:WLT458780 WVP458715:WVP458780 H524251:H524316 JD524251:JD524316 SZ524251:SZ524316 ACV524251:ACV524316 AMR524251:AMR524316 AWN524251:AWN524316 BGJ524251:BGJ524316 BQF524251:BQF524316 CAB524251:CAB524316 CJX524251:CJX524316 CTT524251:CTT524316 DDP524251:DDP524316 DNL524251:DNL524316 DXH524251:DXH524316 EHD524251:EHD524316 EQZ524251:EQZ524316 FAV524251:FAV524316 FKR524251:FKR524316 FUN524251:FUN524316 GEJ524251:GEJ524316 GOF524251:GOF524316 GYB524251:GYB524316 HHX524251:HHX524316 HRT524251:HRT524316 IBP524251:IBP524316 ILL524251:ILL524316 IVH524251:IVH524316 JFD524251:JFD524316 JOZ524251:JOZ524316 JYV524251:JYV524316 KIR524251:KIR524316 KSN524251:KSN524316 LCJ524251:LCJ524316 LMF524251:LMF524316 LWB524251:LWB524316 MFX524251:MFX524316 MPT524251:MPT524316 MZP524251:MZP524316 NJL524251:NJL524316 NTH524251:NTH524316 ODD524251:ODD524316 OMZ524251:OMZ524316 OWV524251:OWV524316 PGR524251:PGR524316 PQN524251:PQN524316 QAJ524251:QAJ524316 QKF524251:QKF524316 QUB524251:QUB524316 RDX524251:RDX524316 RNT524251:RNT524316 RXP524251:RXP524316 SHL524251:SHL524316 SRH524251:SRH524316 TBD524251:TBD524316 TKZ524251:TKZ524316 TUV524251:TUV524316 UER524251:UER524316 UON524251:UON524316 UYJ524251:UYJ524316 VIF524251:VIF524316 VSB524251:VSB524316 WBX524251:WBX524316 WLT524251:WLT524316 WVP524251:WVP524316 H589787:H589852 JD589787:JD589852 SZ589787:SZ589852 ACV589787:ACV589852 AMR589787:AMR589852 AWN589787:AWN589852 BGJ589787:BGJ589852 BQF589787:BQF589852 CAB589787:CAB589852 CJX589787:CJX589852 CTT589787:CTT589852 DDP589787:DDP589852 DNL589787:DNL589852 DXH589787:DXH589852 EHD589787:EHD589852 EQZ589787:EQZ589852 FAV589787:FAV589852 FKR589787:FKR589852 FUN589787:FUN589852 GEJ589787:GEJ589852 GOF589787:GOF589852 GYB589787:GYB589852 HHX589787:HHX589852 HRT589787:HRT589852 IBP589787:IBP589852 ILL589787:ILL589852 IVH589787:IVH589852 JFD589787:JFD589852 JOZ589787:JOZ589852 JYV589787:JYV589852 KIR589787:KIR589852 KSN589787:KSN589852 LCJ589787:LCJ589852 LMF589787:LMF589852 LWB589787:LWB589852 MFX589787:MFX589852 MPT589787:MPT589852 MZP589787:MZP589852 NJL589787:NJL589852 NTH589787:NTH589852 ODD589787:ODD589852 OMZ589787:OMZ589852 OWV589787:OWV589852 PGR589787:PGR589852 PQN589787:PQN589852 QAJ589787:QAJ589852 QKF589787:QKF589852 QUB589787:QUB589852 RDX589787:RDX589852 RNT589787:RNT589852 RXP589787:RXP589852 SHL589787:SHL589852 SRH589787:SRH589852 TBD589787:TBD589852 TKZ589787:TKZ589852 TUV589787:TUV589852 UER589787:UER589852 UON589787:UON589852 UYJ589787:UYJ589852 VIF589787:VIF589852 VSB589787:VSB589852 WBX589787:WBX589852 WLT589787:WLT589852 WVP589787:WVP589852 H655323:H655388 JD655323:JD655388 SZ655323:SZ655388 ACV655323:ACV655388 AMR655323:AMR655388 AWN655323:AWN655388 BGJ655323:BGJ655388 BQF655323:BQF655388 CAB655323:CAB655388 CJX655323:CJX655388 CTT655323:CTT655388 DDP655323:DDP655388 DNL655323:DNL655388 DXH655323:DXH655388 EHD655323:EHD655388 EQZ655323:EQZ655388 FAV655323:FAV655388 FKR655323:FKR655388 FUN655323:FUN655388 GEJ655323:GEJ655388 GOF655323:GOF655388 GYB655323:GYB655388 HHX655323:HHX655388 HRT655323:HRT655388 IBP655323:IBP655388 ILL655323:ILL655388 IVH655323:IVH655388 JFD655323:JFD655388 JOZ655323:JOZ655388 JYV655323:JYV655388 KIR655323:KIR655388 KSN655323:KSN655388 LCJ655323:LCJ655388 LMF655323:LMF655388 LWB655323:LWB655388 MFX655323:MFX655388 MPT655323:MPT655388 MZP655323:MZP655388 NJL655323:NJL655388 NTH655323:NTH655388 ODD655323:ODD655388 OMZ655323:OMZ655388 OWV655323:OWV655388 PGR655323:PGR655388 PQN655323:PQN655388 QAJ655323:QAJ655388 QKF655323:QKF655388 QUB655323:QUB655388 RDX655323:RDX655388 RNT655323:RNT655388 RXP655323:RXP655388 SHL655323:SHL655388 SRH655323:SRH655388 TBD655323:TBD655388 TKZ655323:TKZ655388 TUV655323:TUV655388 UER655323:UER655388 UON655323:UON655388 UYJ655323:UYJ655388 VIF655323:VIF655388 VSB655323:VSB655388 WBX655323:WBX655388 WLT655323:WLT655388 WVP655323:WVP655388 H720859:H720924 JD720859:JD720924 SZ720859:SZ720924 ACV720859:ACV720924 AMR720859:AMR720924 AWN720859:AWN720924 BGJ720859:BGJ720924 BQF720859:BQF720924 CAB720859:CAB720924 CJX720859:CJX720924 CTT720859:CTT720924 DDP720859:DDP720924 DNL720859:DNL720924 DXH720859:DXH720924 EHD720859:EHD720924 EQZ720859:EQZ720924 FAV720859:FAV720924 FKR720859:FKR720924 FUN720859:FUN720924 GEJ720859:GEJ720924 GOF720859:GOF720924 GYB720859:GYB720924 HHX720859:HHX720924 HRT720859:HRT720924 IBP720859:IBP720924 ILL720859:ILL720924 IVH720859:IVH720924 JFD720859:JFD720924 JOZ720859:JOZ720924 JYV720859:JYV720924 KIR720859:KIR720924 KSN720859:KSN720924 LCJ720859:LCJ720924 LMF720859:LMF720924 LWB720859:LWB720924 MFX720859:MFX720924 MPT720859:MPT720924 MZP720859:MZP720924 NJL720859:NJL720924 NTH720859:NTH720924 ODD720859:ODD720924 OMZ720859:OMZ720924 OWV720859:OWV720924 PGR720859:PGR720924 PQN720859:PQN720924 QAJ720859:QAJ720924 QKF720859:QKF720924 QUB720859:QUB720924 RDX720859:RDX720924 RNT720859:RNT720924 RXP720859:RXP720924 SHL720859:SHL720924 SRH720859:SRH720924 TBD720859:TBD720924 TKZ720859:TKZ720924 TUV720859:TUV720924 UER720859:UER720924 UON720859:UON720924 UYJ720859:UYJ720924 VIF720859:VIF720924 VSB720859:VSB720924 WBX720859:WBX720924 WLT720859:WLT720924 WVP720859:WVP720924 H786395:H786460 JD786395:JD786460 SZ786395:SZ786460 ACV786395:ACV786460 AMR786395:AMR786460 AWN786395:AWN786460 BGJ786395:BGJ786460 BQF786395:BQF786460 CAB786395:CAB786460 CJX786395:CJX786460 CTT786395:CTT786460 DDP786395:DDP786460 DNL786395:DNL786460 DXH786395:DXH786460 EHD786395:EHD786460 EQZ786395:EQZ786460 FAV786395:FAV786460 FKR786395:FKR786460 FUN786395:FUN786460 GEJ786395:GEJ786460 GOF786395:GOF786460 GYB786395:GYB786460 HHX786395:HHX786460 HRT786395:HRT786460 IBP786395:IBP786460 ILL786395:ILL786460 IVH786395:IVH786460 JFD786395:JFD786460 JOZ786395:JOZ786460 JYV786395:JYV786460 KIR786395:KIR786460 KSN786395:KSN786460 LCJ786395:LCJ786460 LMF786395:LMF786460 LWB786395:LWB786460 MFX786395:MFX786460 MPT786395:MPT786460 MZP786395:MZP786460 NJL786395:NJL786460 NTH786395:NTH786460 ODD786395:ODD786460 OMZ786395:OMZ786460 OWV786395:OWV786460 PGR786395:PGR786460 PQN786395:PQN786460 QAJ786395:QAJ786460 QKF786395:QKF786460 QUB786395:QUB786460 RDX786395:RDX786460 RNT786395:RNT786460 RXP786395:RXP786460 SHL786395:SHL786460 SRH786395:SRH786460 TBD786395:TBD786460 TKZ786395:TKZ786460 TUV786395:TUV786460 UER786395:UER786460 UON786395:UON786460 UYJ786395:UYJ786460 VIF786395:VIF786460 VSB786395:VSB786460 WBX786395:WBX786460 WLT786395:WLT786460 WVP786395:WVP786460 H851931:H851996 JD851931:JD851996 SZ851931:SZ851996 ACV851931:ACV851996 AMR851931:AMR851996 AWN851931:AWN851996 BGJ851931:BGJ851996 BQF851931:BQF851996 CAB851931:CAB851996 CJX851931:CJX851996 CTT851931:CTT851996 DDP851931:DDP851996 DNL851931:DNL851996 DXH851931:DXH851996 EHD851931:EHD851996 EQZ851931:EQZ851996 FAV851931:FAV851996 FKR851931:FKR851996 FUN851931:FUN851996 GEJ851931:GEJ851996 GOF851931:GOF851996 GYB851931:GYB851996 HHX851931:HHX851996 HRT851931:HRT851996 IBP851931:IBP851996 ILL851931:ILL851996 IVH851931:IVH851996 JFD851931:JFD851996 JOZ851931:JOZ851996 JYV851931:JYV851996 KIR851931:KIR851996 KSN851931:KSN851996 LCJ851931:LCJ851996 LMF851931:LMF851996 LWB851931:LWB851996 MFX851931:MFX851996 MPT851931:MPT851996 MZP851931:MZP851996 NJL851931:NJL851996 NTH851931:NTH851996 ODD851931:ODD851996 OMZ851931:OMZ851996 OWV851931:OWV851996 PGR851931:PGR851996 PQN851931:PQN851996 QAJ851931:QAJ851996 QKF851931:QKF851996 QUB851931:QUB851996 RDX851931:RDX851996 RNT851931:RNT851996 RXP851931:RXP851996 SHL851931:SHL851996 SRH851931:SRH851996 TBD851931:TBD851996 TKZ851931:TKZ851996 TUV851931:TUV851996 UER851931:UER851996 UON851931:UON851996 UYJ851931:UYJ851996 VIF851931:VIF851996 VSB851931:VSB851996 WBX851931:WBX851996 WLT851931:WLT851996 WVP851931:WVP851996 H917467:H917532 JD917467:JD917532 SZ917467:SZ917532 ACV917467:ACV917532 AMR917467:AMR917532 AWN917467:AWN917532 BGJ917467:BGJ917532 BQF917467:BQF917532 CAB917467:CAB917532 CJX917467:CJX917532 CTT917467:CTT917532 DDP917467:DDP917532 DNL917467:DNL917532 DXH917467:DXH917532 EHD917467:EHD917532 EQZ917467:EQZ917532 FAV917467:FAV917532 FKR917467:FKR917532 FUN917467:FUN917532 GEJ917467:GEJ917532 GOF917467:GOF917532 GYB917467:GYB917532 HHX917467:HHX917532 HRT917467:HRT917532 IBP917467:IBP917532 ILL917467:ILL917532 IVH917467:IVH917532 JFD917467:JFD917532 JOZ917467:JOZ917532 JYV917467:JYV917532 KIR917467:KIR917532 KSN917467:KSN917532 LCJ917467:LCJ917532 LMF917467:LMF917532 LWB917467:LWB917532 MFX917467:MFX917532 MPT917467:MPT917532 MZP917467:MZP917532 NJL917467:NJL917532 NTH917467:NTH917532 ODD917467:ODD917532 OMZ917467:OMZ917532 OWV917467:OWV917532 PGR917467:PGR917532 PQN917467:PQN917532 QAJ917467:QAJ917532 QKF917467:QKF917532 QUB917467:QUB917532 RDX917467:RDX917532 RNT917467:RNT917532 RXP917467:RXP917532 SHL917467:SHL917532 SRH917467:SRH917532 TBD917467:TBD917532 TKZ917467:TKZ917532 TUV917467:TUV917532 UER917467:UER917532 UON917467:UON917532 UYJ917467:UYJ917532 VIF917467:VIF917532 VSB917467:VSB917532 WBX917467:WBX917532 WLT917467:WLT917532 WVP917467:WVP917532 H983003:H983068 JD983003:JD983068 SZ983003:SZ983068 ACV983003:ACV983068 AMR983003:AMR983068 AWN983003:AWN983068 BGJ983003:BGJ983068 BQF983003:BQF983068 CAB983003:CAB983068 CJX983003:CJX983068 CTT983003:CTT983068 DDP983003:DDP983068 DNL983003:DNL983068 DXH983003:DXH983068 EHD983003:EHD983068 EQZ983003:EQZ983068 FAV983003:FAV983068 FKR983003:FKR983068 FUN983003:FUN983068 GEJ983003:GEJ983068 GOF983003:GOF983068 GYB983003:GYB983068 HHX983003:HHX983068 HRT983003:HRT983068 IBP983003:IBP983068 ILL983003:ILL983068 IVH983003:IVH983068 JFD983003:JFD983068 JOZ983003:JOZ983068 JYV983003:JYV983068 KIR983003:KIR983068 KSN983003:KSN983068 LCJ983003:LCJ983068 LMF983003:LMF983068 LWB983003:LWB983068 MFX983003:MFX983068 MPT983003:MPT983068 MZP983003:MZP983068 NJL983003:NJL983068 NTH983003:NTH983068 ODD983003:ODD983068 OMZ983003:OMZ983068 OWV983003:OWV983068 PGR983003:PGR983068 PQN983003:PQN983068 QAJ983003:QAJ983068 QKF983003:QKF983068 QUB983003:QUB983068 RDX983003:RDX983068 RNT983003:RNT983068 RXP983003:RXP983068 SHL983003:SHL983068 SRH983003:SRH983068 TBD983003:TBD983068 TKZ983003:TKZ983068 TUV983003:TUV983068 UER983003:UER983068 UON983003:UON983068 UYJ983003:UYJ983068 VIF983003:VIF983068 VSB983003:VSB983068 WBX983003:WBX983068 WLT983003:WLT983068 WLT2:WLT49 WVP2:WVP49 JD2:JD49 SZ2:SZ49 ACV2:ACV49 AMR2:AMR49 AWN2:AWN49 BGJ2:BGJ49 BQF2:BQF49 CAB2:CAB49 CJX2:CJX49 CTT2:CTT49 DDP2:DDP49 DNL2:DNL49 DXH2:DXH49 EHD2:EHD49 EQZ2:EQZ49 FAV2:FAV49 FKR2:FKR49 FUN2:FUN49 GEJ2:GEJ49 GOF2:GOF49 GYB2:GYB49 HHX2:HHX49 HRT2:HRT49 IBP2:IBP49 ILL2:ILL49 IVH2:IVH49 JFD2:JFD49 JOZ2:JOZ49 JYV2:JYV49 KIR2:KIR49 KSN2:KSN49 LCJ2:LCJ49 LMF2:LMF49 LWB2:LWB49 MFX2:MFX49 MPT2:MPT49 MZP2:MZP49 NJL2:NJL49 NTH2:NTH49 ODD2:ODD49 OMZ2:OMZ49 OWV2:OWV49 PGR2:PGR49 PQN2:PQN49 QAJ2:QAJ49 QKF2:QKF49 QUB2:QUB49 RDX2:RDX49 RNT2:RNT49 RXP2:RXP49 SHL2:SHL49 SRH2:SRH49 TBD2:TBD49 TKZ2:TKZ49 TUV2:TUV49 UER2:UER49 UON2:UON49 UYJ2:UYJ49 VIF2:VIF49 VSB2:VSB49 WBX2:WBX49" xr:uid="{61299587-6D2D-4681-B1A9-521976F22ACC}">
      <formula1>$AL$4:$AL$12</formula1>
    </dataValidation>
    <dataValidation type="list" allowBlank="1" showInputMessage="1" showErrorMessage="1" sqref="A64324:A64389 IW64324:IW64389 SS64324:SS64389 ACO64324:ACO64389 AMK64324:AMK64389 AWG64324:AWG64389 BGC64324:BGC64389 BPY64324:BPY64389 BZU64324:BZU64389 CJQ64324:CJQ64389 CTM64324:CTM64389 DDI64324:DDI64389 DNE64324:DNE64389 DXA64324:DXA64389 EGW64324:EGW64389 EQS64324:EQS64389 FAO64324:FAO64389 FKK64324:FKK64389 FUG64324:FUG64389 GEC64324:GEC64389 GNY64324:GNY64389 GXU64324:GXU64389 HHQ64324:HHQ64389 HRM64324:HRM64389 IBI64324:IBI64389 ILE64324:ILE64389 IVA64324:IVA64389 JEW64324:JEW64389 JOS64324:JOS64389 JYO64324:JYO64389 KIK64324:KIK64389 KSG64324:KSG64389 LCC64324:LCC64389 LLY64324:LLY64389 LVU64324:LVU64389 MFQ64324:MFQ64389 MPM64324:MPM64389 MZI64324:MZI64389 NJE64324:NJE64389 NTA64324:NTA64389 OCW64324:OCW64389 OMS64324:OMS64389 OWO64324:OWO64389 PGK64324:PGK64389 PQG64324:PQG64389 QAC64324:QAC64389 QJY64324:QJY64389 QTU64324:QTU64389 RDQ64324:RDQ64389 RNM64324:RNM64389 RXI64324:RXI64389 SHE64324:SHE64389 SRA64324:SRA64389 TAW64324:TAW64389 TKS64324:TKS64389 TUO64324:TUO64389 UEK64324:UEK64389 UOG64324:UOG64389 UYC64324:UYC64389 VHY64324:VHY64389 VRU64324:VRU64389 WBQ64324:WBQ64389 WLM64324:WLM64389 WVI64324:WVI64389 A129860:A129925 IW129860:IW129925 SS129860:SS129925 ACO129860:ACO129925 AMK129860:AMK129925 AWG129860:AWG129925 BGC129860:BGC129925 BPY129860:BPY129925 BZU129860:BZU129925 CJQ129860:CJQ129925 CTM129860:CTM129925 DDI129860:DDI129925 DNE129860:DNE129925 DXA129860:DXA129925 EGW129860:EGW129925 EQS129860:EQS129925 FAO129860:FAO129925 FKK129860:FKK129925 FUG129860:FUG129925 GEC129860:GEC129925 GNY129860:GNY129925 GXU129860:GXU129925 HHQ129860:HHQ129925 HRM129860:HRM129925 IBI129860:IBI129925 ILE129860:ILE129925 IVA129860:IVA129925 JEW129860:JEW129925 JOS129860:JOS129925 JYO129860:JYO129925 KIK129860:KIK129925 KSG129860:KSG129925 LCC129860:LCC129925 LLY129860:LLY129925 LVU129860:LVU129925 MFQ129860:MFQ129925 MPM129860:MPM129925 MZI129860:MZI129925 NJE129860:NJE129925 NTA129860:NTA129925 OCW129860:OCW129925 OMS129860:OMS129925 OWO129860:OWO129925 PGK129860:PGK129925 PQG129860:PQG129925 QAC129860:QAC129925 QJY129860:QJY129925 QTU129860:QTU129925 RDQ129860:RDQ129925 RNM129860:RNM129925 RXI129860:RXI129925 SHE129860:SHE129925 SRA129860:SRA129925 TAW129860:TAW129925 TKS129860:TKS129925 TUO129860:TUO129925 UEK129860:UEK129925 UOG129860:UOG129925 UYC129860:UYC129925 VHY129860:VHY129925 VRU129860:VRU129925 WBQ129860:WBQ129925 WLM129860:WLM129925 WVI129860:WVI129925 A195396:A195461 IW195396:IW195461 SS195396:SS195461 ACO195396:ACO195461 AMK195396:AMK195461 AWG195396:AWG195461 BGC195396:BGC195461 BPY195396:BPY195461 BZU195396:BZU195461 CJQ195396:CJQ195461 CTM195396:CTM195461 DDI195396:DDI195461 DNE195396:DNE195461 DXA195396:DXA195461 EGW195396:EGW195461 EQS195396:EQS195461 FAO195396:FAO195461 FKK195396:FKK195461 FUG195396:FUG195461 GEC195396:GEC195461 GNY195396:GNY195461 GXU195396:GXU195461 HHQ195396:HHQ195461 HRM195396:HRM195461 IBI195396:IBI195461 ILE195396:ILE195461 IVA195396:IVA195461 JEW195396:JEW195461 JOS195396:JOS195461 JYO195396:JYO195461 KIK195396:KIK195461 KSG195396:KSG195461 LCC195396:LCC195461 LLY195396:LLY195461 LVU195396:LVU195461 MFQ195396:MFQ195461 MPM195396:MPM195461 MZI195396:MZI195461 NJE195396:NJE195461 NTA195396:NTA195461 OCW195396:OCW195461 OMS195396:OMS195461 OWO195396:OWO195461 PGK195396:PGK195461 PQG195396:PQG195461 QAC195396:QAC195461 QJY195396:QJY195461 QTU195396:QTU195461 RDQ195396:RDQ195461 RNM195396:RNM195461 RXI195396:RXI195461 SHE195396:SHE195461 SRA195396:SRA195461 TAW195396:TAW195461 TKS195396:TKS195461 TUO195396:TUO195461 UEK195396:UEK195461 UOG195396:UOG195461 UYC195396:UYC195461 VHY195396:VHY195461 VRU195396:VRU195461 WBQ195396:WBQ195461 WLM195396:WLM195461 WVI195396:WVI195461 A260932:A260997 IW260932:IW260997 SS260932:SS260997 ACO260932:ACO260997 AMK260932:AMK260997 AWG260932:AWG260997 BGC260932:BGC260997 BPY260932:BPY260997 BZU260932:BZU260997 CJQ260932:CJQ260997 CTM260932:CTM260997 DDI260932:DDI260997 DNE260932:DNE260997 DXA260932:DXA260997 EGW260932:EGW260997 EQS260932:EQS260997 FAO260932:FAO260997 FKK260932:FKK260997 FUG260932:FUG260997 GEC260932:GEC260997 GNY260932:GNY260997 GXU260932:GXU260997 HHQ260932:HHQ260997 HRM260932:HRM260997 IBI260932:IBI260997 ILE260932:ILE260997 IVA260932:IVA260997 JEW260932:JEW260997 JOS260932:JOS260997 JYO260932:JYO260997 KIK260932:KIK260997 KSG260932:KSG260997 LCC260932:LCC260997 LLY260932:LLY260997 LVU260932:LVU260997 MFQ260932:MFQ260997 MPM260932:MPM260997 MZI260932:MZI260997 NJE260932:NJE260997 NTA260932:NTA260997 OCW260932:OCW260997 OMS260932:OMS260997 OWO260932:OWO260997 PGK260932:PGK260997 PQG260932:PQG260997 QAC260932:QAC260997 QJY260932:QJY260997 QTU260932:QTU260997 RDQ260932:RDQ260997 RNM260932:RNM260997 RXI260932:RXI260997 SHE260932:SHE260997 SRA260932:SRA260997 TAW260932:TAW260997 TKS260932:TKS260997 TUO260932:TUO260997 UEK260932:UEK260997 UOG260932:UOG260997 UYC260932:UYC260997 VHY260932:VHY260997 VRU260932:VRU260997 WBQ260932:WBQ260997 WLM260932:WLM260997 WVI260932:WVI260997 A326468:A326533 IW326468:IW326533 SS326468:SS326533 ACO326468:ACO326533 AMK326468:AMK326533 AWG326468:AWG326533 BGC326468:BGC326533 BPY326468:BPY326533 BZU326468:BZU326533 CJQ326468:CJQ326533 CTM326468:CTM326533 DDI326468:DDI326533 DNE326468:DNE326533 DXA326468:DXA326533 EGW326468:EGW326533 EQS326468:EQS326533 FAO326468:FAO326533 FKK326468:FKK326533 FUG326468:FUG326533 GEC326468:GEC326533 GNY326468:GNY326533 GXU326468:GXU326533 HHQ326468:HHQ326533 HRM326468:HRM326533 IBI326468:IBI326533 ILE326468:ILE326533 IVA326468:IVA326533 JEW326468:JEW326533 JOS326468:JOS326533 JYO326468:JYO326533 KIK326468:KIK326533 KSG326468:KSG326533 LCC326468:LCC326533 LLY326468:LLY326533 LVU326468:LVU326533 MFQ326468:MFQ326533 MPM326468:MPM326533 MZI326468:MZI326533 NJE326468:NJE326533 NTA326468:NTA326533 OCW326468:OCW326533 OMS326468:OMS326533 OWO326468:OWO326533 PGK326468:PGK326533 PQG326468:PQG326533 QAC326468:QAC326533 QJY326468:QJY326533 QTU326468:QTU326533 RDQ326468:RDQ326533 RNM326468:RNM326533 RXI326468:RXI326533 SHE326468:SHE326533 SRA326468:SRA326533 TAW326468:TAW326533 TKS326468:TKS326533 TUO326468:TUO326533 UEK326468:UEK326533 UOG326468:UOG326533 UYC326468:UYC326533 VHY326468:VHY326533 VRU326468:VRU326533 WBQ326468:WBQ326533 WLM326468:WLM326533 WVI326468:WVI326533 A392004:A392069 IW392004:IW392069 SS392004:SS392069 ACO392004:ACO392069 AMK392004:AMK392069 AWG392004:AWG392069 BGC392004:BGC392069 BPY392004:BPY392069 BZU392004:BZU392069 CJQ392004:CJQ392069 CTM392004:CTM392069 DDI392004:DDI392069 DNE392004:DNE392069 DXA392004:DXA392069 EGW392004:EGW392069 EQS392004:EQS392069 FAO392004:FAO392069 FKK392004:FKK392069 FUG392004:FUG392069 GEC392004:GEC392069 GNY392004:GNY392069 GXU392004:GXU392069 HHQ392004:HHQ392069 HRM392004:HRM392069 IBI392004:IBI392069 ILE392004:ILE392069 IVA392004:IVA392069 JEW392004:JEW392069 JOS392004:JOS392069 JYO392004:JYO392069 KIK392004:KIK392069 KSG392004:KSG392069 LCC392004:LCC392069 LLY392004:LLY392069 LVU392004:LVU392069 MFQ392004:MFQ392069 MPM392004:MPM392069 MZI392004:MZI392069 NJE392004:NJE392069 NTA392004:NTA392069 OCW392004:OCW392069 OMS392004:OMS392069 OWO392004:OWO392069 PGK392004:PGK392069 PQG392004:PQG392069 QAC392004:QAC392069 QJY392004:QJY392069 QTU392004:QTU392069 RDQ392004:RDQ392069 RNM392004:RNM392069 RXI392004:RXI392069 SHE392004:SHE392069 SRA392004:SRA392069 TAW392004:TAW392069 TKS392004:TKS392069 TUO392004:TUO392069 UEK392004:UEK392069 UOG392004:UOG392069 UYC392004:UYC392069 VHY392004:VHY392069 VRU392004:VRU392069 WBQ392004:WBQ392069 WLM392004:WLM392069 WVI392004:WVI392069 A457540:A457605 IW457540:IW457605 SS457540:SS457605 ACO457540:ACO457605 AMK457540:AMK457605 AWG457540:AWG457605 BGC457540:BGC457605 BPY457540:BPY457605 BZU457540:BZU457605 CJQ457540:CJQ457605 CTM457540:CTM457605 DDI457540:DDI457605 DNE457540:DNE457605 DXA457540:DXA457605 EGW457540:EGW457605 EQS457540:EQS457605 FAO457540:FAO457605 FKK457540:FKK457605 FUG457540:FUG457605 GEC457540:GEC457605 GNY457540:GNY457605 GXU457540:GXU457605 HHQ457540:HHQ457605 HRM457540:HRM457605 IBI457540:IBI457605 ILE457540:ILE457605 IVA457540:IVA457605 JEW457540:JEW457605 JOS457540:JOS457605 JYO457540:JYO457605 KIK457540:KIK457605 KSG457540:KSG457605 LCC457540:LCC457605 LLY457540:LLY457605 LVU457540:LVU457605 MFQ457540:MFQ457605 MPM457540:MPM457605 MZI457540:MZI457605 NJE457540:NJE457605 NTA457540:NTA457605 OCW457540:OCW457605 OMS457540:OMS457605 OWO457540:OWO457605 PGK457540:PGK457605 PQG457540:PQG457605 QAC457540:QAC457605 QJY457540:QJY457605 QTU457540:QTU457605 RDQ457540:RDQ457605 RNM457540:RNM457605 RXI457540:RXI457605 SHE457540:SHE457605 SRA457540:SRA457605 TAW457540:TAW457605 TKS457540:TKS457605 TUO457540:TUO457605 UEK457540:UEK457605 UOG457540:UOG457605 UYC457540:UYC457605 VHY457540:VHY457605 VRU457540:VRU457605 WBQ457540:WBQ457605 WLM457540:WLM457605 WVI457540:WVI457605 A523076:A523141 IW523076:IW523141 SS523076:SS523141 ACO523076:ACO523141 AMK523076:AMK523141 AWG523076:AWG523141 BGC523076:BGC523141 BPY523076:BPY523141 BZU523076:BZU523141 CJQ523076:CJQ523141 CTM523076:CTM523141 DDI523076:DDI523141 DNE523076:DNE523141 DXA523076:DXA523141 EGW523076:EGW523141 EQS523076:EQS523141 FAO523076:FAO523141 FKK523076:FKK523141 FUG523076:FUG523141 GEC523076:GEC523141 GNY523076:GNY523141 GXU523076:GXU523141 HHQ523076:HHQ523141 HRM523076:HRM523141 IBI523076:IBI523141 ILE523076:ILE523141 IVA523076:IVA523141 JEW523076:JEW523141 JOS523076:JOS523141 JYO523076:JYO523141 KIK523076:KIK523141 KSG523076:KSG523141 LCC523076:LCC523141 LLY523076:LLY523141 LVU523076:LVU523141 MFQ523076:MFQ523141 MPM523076:MPM523141 MZI523076:MZI523141 NJE523076:NJE523141 NTA523076:NTA523141 OCW523076:OCW523141 OMS523076:OMS523141 OWO523076:OWO523141 PGK523076:PGK523141 PQG523076:PQG523141 QAC523076:QAC523141 QJY523076:QJY523141 QTU523076:QTU523141 RDQ523076:RDQ523141 RNM523076:RNM523141 RXI523076:RXI523141 SHE523076:SHE523141 SRA523076:SRA523141 TAW523076:TAW523141 TKS523076:TKS523141 TUO523076:TUO523141 UEK523076:UEK523141 UOG523076:UOG523141 UYC523076:UYC523141 VHY523076:VHY523141 VRU523076:VRU523141 WBQ523076:WBQ523141 WLM523076:WLM523141 WVI523076:WVI523141 A588612:A588677 IW588612:IW588677 SS588612:SS588677 ACO588612:ACO588677 AMK588612:AMK588677 AWG588612:AWG588677 BGC588612:BGC588677 BPY588612:BPY588677 BZU588612:BZU588677 CJQ588612:CJQ588677 CTM588612:CTM588677 DDI588612:DDI588677 DNE588612:DNE588677 DXA588612:DXA588677 EGW588612:EGW588677 EQS588612:EQS588677 FAO588612:FAO588677 FKK588612:FKK588677 FUG588612:FUG588677 GEC588612:GEC588677 GNY588612:GNY588677 GXU588612:GXU588677 HHQ588612:HHQ588677 HRM588612:HRM588677 IBI588612:IBI588677 ILE588612:ILE588677 IVA588612:IVA588677 JEW588612:JEW588677 JOS588612:JOS588677 JYO588612:JYO588677 KIK588612:KIK588677 KSG588612:KSG588677 LCC588612:LCC588677 LLY588612:LLY588677 LVU588612:LVU588677 MFQ588612:MFQ588677 MPM588612:MPM588677 MZI588612:MZI588677 NJE588612:NJE588677 NTA588612:NTA588677 OCW588612:OCW588677 OMS588612:OMS588677 OWO588612:OWO588677 PGK588612:PGK588677 PQG588612:PQG588677 QAC588612:QAC588677 QJY588612:QJY588677 QTU588612:QTU588677 RDQ588612:RDQ588677 RNM588612:RNM588677 RXI588612:RXI588677 SHE588612:SHE588677 SRA588612:SRA588677 TAW588612:TAW588677 TKS588612:TKS588677 TUO588612:TUO588677 UEK588612:UEK588677 UOG588612:UOG588677 UYC588612:UYC588677 VHY588612:VHY588677 VRU588612:VRU588677 WBQ588612:WBQ588677 WLM588612:WLM588677 WVI588612:WVI588677 A654148:A654213 IW654148:IW654213 SS654148:SS654213 ACO654148:ACO654213 AMK654148:AMK654213 AWG654148:AWG654213 BGC654148:BGC654213 BPY654148:BPY654213 BZU654148:BZU654213 CJQ654148:CJQ654213 CTM654148:CTM654213 DDI654148:DDI654213 DNE654148:DNE654213 DXA654148:DXA654213 EGW654148:EGW654213 EQS654148:EQS654213 FAO654148:FAO654213 FKK654148:FKK654213 FUG654148:FUG654213 GEC654148:GEC654213 GNY654148:GNY654213 GXU654148:GXU654213 HHQ654148:HHQ654213 HRM654148:HRM654213 IBI654148:IBI654213 ILE654148:ILE654213 IVA654148:IVA654213 JEW654148:JEW654213 JOS654148:JOS654213 JYO654148:JYO654213 KIK654148:KIK654213 KSG654148:KSG654213 LCC654148:LCC654213 LLY654148:LLY654213 LVU654148:LVU654213 MFQ654148:MFQ654213 MPM654148:MPM654213 MZI654148:MZI654213 NJE654148:NJE654213 NTA654148:NTA654213 OCW654148:OCW654213 OMS654148:OMS654213 OWO654148:OWO654213 PGK654148:PGK654213 PQG654148:PQG654213 QAC654148:QAC654213 QJY654148:QJY654213 QTU654148:QTU654213 RDQ654148:RDQ654213 RNM654148:RNM654213 RXI654148:RXI654213 SHE654148:SHE654213 SRA654148:SRA654213 TAW654148:TAW654213 TKS654148:TKS654213 TUO654148:TUO654213 UEK654148:UEK654213 UOG654148:UOG654213 UYC654148:UYC654213 VHY654148:VHY654213 VRU654148:VRU654213 WBQ654148:WBQ654213 WLM654148:WLM654213 WVI654148:WVI654213 A719684:A719749 IW719684:IW719749 SS719684:SS719749 ACO719684:ACO719749 AMK719684:AMK719749 AWG719684:AWG719749 BGC719684:BGC719749 BPY719684:BPY719749 BZU719684:BZU719749 CJQ719684:CJQ719749 CTM719684:CTM719749 DDI719684:DDI719749 DNE719684:DNE719749 DXA719684:DXA719749 EGW719684:EGW719749 EQS719684:EQS719749 FAO719684:FAO719749 FKK719684:FKK719749 FUG719684:FUG719749 GEC719684:GEC719749 GNY719684:GNY719749 GXU719684:GXU719749 HHQ719684:HHQ719749 HRM719684:HRM719749 IBI719684:IBI719749 ILE719684:ILE719749 IVA719684:IVA719749 JEW719684:JEW719749 JOS719684:JOS719749 JYO719684:JYO719749 KIK719684:KIK719749 KSG719684:KSG719749 LCC719684:LCC719749 LLY719684:LLY719749 LVU719684:LVU719749 MFQ719684:MFQ719749 MPM719684:MPM719749 MZI719684:MZI719749 NJE719684:NJE719749 NTA719684:NTA719749 OCW719684:OCW719749 OMS719684:OMS719749 OWO719684:OWO719749 PGK719684:PGK719749 PQG719684:PQG719749 QAC719684:QAC719749 QJY719684:QJY719749 QTU719684:QTU719749 RDQ719684:RDQ719749 RNM719684:RNM719749 RXI719684:RXI719749 SHE719684:SHE719749 SRA719684:SRA719749 TAW719684:TAW719749 TKS719684:TKS719749 TUO719684:TUO719749 UEK719684:UEK719749 UOG719684:UOG719749 UYC719684:UYC719749 VHY719684:VHY719749 VRU719684:VRU719749 WBQ719684:WBQ719749 WLM719684:WLM719749 WVI719684:WVI719749 A785220:A785285 IW785220:IW785285 SS785220:SS785285 ACO785220:ACO785285 AMK785220:AMK785285 AWG785220:AWG785285 BGC785220:BGC785285 BPY785220:BPY785285 BZU785220:BZU785285 CJQ785220:CJQ785285 CTM785220:CTM785285 DDI785220:DDI785285 DNE785220:DNE785285 DXA785220:DXA785285 EGW785220:EGW785285 EQS785220:EQS785285 FAO785220:FAO785285 FKK785220:FKK785285 FUG785220:FUG785285 GEC785220:GEC785285 GNY785220:GNY785285 GXU785220:GXU785285 HHQ785220:HHQ785285 HRM785220:HRM785285 IBI785220:IBI785285 ILE785220:ILE785285 IVA785220:IVA785285 JEW785220:JEW785285 JOS785220:JOS785285 JYO785220:JYO785285 KIK785220:KIK785285 KSG785220:KSG785285 LCC785220:LCC785285 LLY785220:LLY785285 LVU785220:LVU785285 MFQ785220:MFQ785285 MPM785220:MPM785285 MZI785220:MZI785285 NJE785220:NJE785285 NTA785220:NTA785285 OCW785220:OCW785285 OMS785220:OMS785285 OWO785220:OWO785285 PGK785220:PGK785285 PQG785220:PQG785285 QAC785220:QAC785285 QJY785220:QJY785285 QTU785220:QTU785285 RDQ785220:RDQ785285 RNM785220:RNM785285 RXI785220:RXI785285 SHE785220:SHE785285 SRA785220:SRA785285 TAW785220:TAW785285 TKS785220:TKS785285 TUO785220:TUO785285 UEK785220:UEK785285 UOG785220:UOG785285 UYC785220:UYC785285 VHY785220:VHY785285 VRU785220:VRU785285 WBQ785220:WBQ785285 WLM785220:WLM785285 WVI785220:WVI785285 A850756:A850821 IW850756:IW850821 SS850756:SS850821 ACO850756:ACO850821 AMK850756:AMK850821 AWG850756:AWG850821 BGC850756:BGC850821 BPY850756:BPY850821 BZU850756:BZU850821 CJQ850756:CJQ850821 CTM850756:CTM850821 DDI850756:DDI850821 DNE850756:DNE850821 DXA850756:DXA850821 EGW850756:EGW850821 EQS850756:EQS850821 FAO850756:FAO850821 FKK850756:FKK850821 FUG850756:FUG850821 GEC850756:GEC850821 GNY850756:GNY850821 GXU850756:GXU850821 HHQ850756:HHQ850821 HRM850756:HRM850821 IBI850756:IBI850821 ILE850756:ILE850821 IVA850756:IVA850821 JEW850756:JEW850821 JOS850756:JOS850821 JYO850756:JYO850821 KIK850756:KIK850821 KSG850756:KSG850821 LCC850756:LCC850821 LLY850756:LLY850821 LVU850756:LVU850821 MFQ850756:MFQ850821 MPM850756:MPM850821 MZI850756:MZI850821 NJE850756:NJE850821 NTA850756:NTA850821 OCW850756:OCW850821 OMS850756:OMS850821 OWO850756:OWO850821 PGK850756:PGK850821 PQG850756:PQG850821 QAC850756:QAC850821 QJY850756:QJY850821 QTU850756:QTU850821 RDQ850756:RDQ850821 RNM850756:RNM850821 RXI850756:RXI850821 SHE850756:SHE850821 SRA850756:SRA850821 TAW850756:TAW850821 TKS850756:TKS850821 TUO850756:TUO850821 UEK850756:UEK850821 UOG850756:UOG850821 UYC850756:UYC850821 VHY850756:VHY850821 VRU850756:VRU850821 WBQ850756:WBQ850821 WLM850756:WLM850821 WVI850756:WVI850821 A916292:A916357 IW916292:IW916357 SS916292:SS916357 ACO916292:ACO916357 AMK916292:AMK916357 AWG916292:AWG916357 BGC916292:BGC916357 BPY916292:BPY916357 BZU916292:BZU916357 CJQ916292:CJQ916357 CTM916292:CTM916357 DDI916292:DDI916357 DNE916292:DNE916357 DXA916292:DXA916357 EGW916292:EGW916357 EQS916292:EQS916357 FAO916292:FAO916357 FKK916292:FKK916357 FUG916292:FUG916357 GEC916292:GEC916357 GNY916292:GNY916357 GXU916292:GXU916357 HHQ916292:HHQ916357 HRM916292:HRM916357 IBI916292:IBI916357 ILE916292:ILE916357 IVA916292:IVA916357 JEW916292:JEW916357 JOS916292:JOS916357 JYO916292:JYO916357 KIK916292:KIK916357 KSG916292:KSG916357 LCC916292:LCC916357 LLY916292:LLY916357 LVU916292:LVU916357 MFQ916292:MFQ916357 MPM916292:MPM916357 MZI916292:MZI916357 NJE916292:NJE916357 NTA916292:NTA916357 OCW916292:OCW916357 OMS916292:OMS916357 OWO916292:OWO916357 PGK916292:PGK916357 PQG916292:PQG916357 QAC916292:QAC916357 QJY916292:QJY916357 QTU916292:QTU916357 RDQ916292:RDQ916357 RNM916292:RNM916357 RXI916292:RXI916357 SHE916292:SHE916357 SRA916292:SRA916357 TAW916292:TAW916357 TKS916292:TKS916357 TUO916292:TUO916357 UEK916292:UEK916357 UOG916292:UOG916357 UYC916292:UYC916357 VHY916292:VHY916357 VRU916292:VRU916357 WBQ916292:WBQ916357 WLM916292:WLM916357 WVI916292:WVI916357 A981828:A981893 IW981828:IW981893 SS981828:SS981893 ACO981828:ACO981893 AMK981828:AMK981893 AWG981828:AWG981893 BGC981828:BGC981893 BPY981828:BPY981893 BZU981828:BZU981893 CJQ981828:CJQ981893 CTM981828:CTM981893 DDI981828:DDI981893 DNE981828:DNE981893 DXA981828:DXA981893 EGW981828:EGW981893 EQS981828:EQS981893 FAO981828:FAO981893 FKK981828:FKK981893 FUG981828:FUG981893 GEC981828:GEC981893 GNY981828:GNY981893 GXU981828:GXU981893 HHQ981828:HHQ981893 HRM981828:HRM981893 IBI981828:IBI981893 ILE981828:ILE981893 IVA981828:IVA981893 JEW981828:JEW981893 JOS981828:JOS981893 JYO981828:JYO981893 KIK981828:KIK981893 KSG981828:KSG981893 LCC981828:LCC981893 LLY981828:LLY981893 LVU981828:LVU981893 MFQ981828:MFQ981893 MPM981828:MPM981893 MZI981828:MZI981893 NJE981828:NJE981893 NTA981828:NTA981893 OCW981828:OCW981893 OMS981828:OMS981893 OWO981828:OWO981893 PGK981828:PGK981893 PQG981828:PQG981893 QAC981828:QAC981893 QJY981828:QJY981893 QTU981828:QTU981893 RDQ981828:RDQ981893 RNM981828:RNM981893 RXI981828:RXI981893 SHE981828:SHE981893 SRA981828:SRA981893 TAW981828:TAW981893 TKS981828:TKS981893 TUO981828:TUO981893 UEK981828:UEK981893 UOG981828:UOG981893 UYC981828:UYC981893 VHY981828:VHY981893 VRU981828:VRU981893 WBQ981828:WBQ981893 WLM981828:WLM981893 WVI981828:WVI981893 A1047364:A1047429 IW1047364:IW1047429 SS1047364:SS1047429 ACO1047364:ACO1047429 AMK1047364:AMK1047429 AWG1047364:AWG1047429 BGC1047364:BGC1047429 BPY1047364:BPY1047429 BZU1047364:BZU1047429 CJQ1047364:CJQ1047429 CTM1047364:CTM1047429 DDI1047364:DDI1047429 DNE1047364:DNE1047429 DXA1047364:DXA1047429 EGW1047364:EGW1047429 EQS1047364:EQS1047429 FAO1047364:FAO1047429 FKK1047364:FKK1047429 FUG1047364:FUG1047429 GEC1047364:GEC1047429 GNY1047364:GNY1047429 GXU1047364:GXU1047429 HHQ1047364:HHQ1047429 HRM1047364:HRM1047429 IBI1047364:IBI1047429 ILE1047364:ILE1047429 IVA1047364:IVA1047429 JEW1047364:JEW1047429 JOS1047364:JOS1047429 JYO1047364:JYO1047429 KIK1047364:KIK1047429 KSG1047364:KSG1047429 LCC1047364:LCC1047429 LLY1047364:LLY1047429 LVU1047364:LVU1047429 MFQ1047364:MFQ1047429 MPM1047364:MPM1047429 MZI1047364:MZI1047429 NJE1047364:NJE1047429 NTA1047364:NTA1047429 OCW1047364:OCW1047429 OMS1047364:OMS1047429 OWO1047364:OWO1047429 PGK1047364:PGK1047429 PQG1047364:PQG1047429 QAC1047364:QAC1047429 QJY1047364:QJY1047429 QTU1047364:QTU1047429 RDQ1047364:RDQ1047429 RNM1047364:RNM1047429 RXI1047364:RXI1047429 SHE1047364:SHE1047429 SRA1047364:SRA1047429 TAW1047364:TAW1047429 TKS1047364:TKS1047429 TUO1047364:TUO1047429 UEK1047364:UEK1047429 UOG1047364:UOG1047429 UYC1047364:UYC1047429 VHY1047364:VHY1047429 VRU1047364:VRU1047429 WBQ1047364:WBQ1047429 WLM1047364:WLM1047429 WVI1047364:WVI1047429 WVI983003:WVI983074 A65499:A65570 IW65499:IW65570 SS65499:SS65570 ACO65499:ACO65570 AMK65499:AMK65570 AWG65499:AWG65570 BGC65499:BGC65570 BPY65499:BPY65570 BZU65499:BZU65570 CJQ65499:CJQ65570 CTM65499:CTM65570 DDI65499:DDI65570 DNE65499:DNE65570 DXA65499:DXA65570 EGW65499:EGW65570 EQS65499:EQS65570 FAO65499:FAO65570 FKK65499:FKK65570 FUG65499:FUG65570 GEC65499:GEC65570 GNY65499:GNY65570 GXU65499:GXU65570 HHQ65499:HHQ65570 HRM65499:HRM65570 IBI65499:IBI65570 ILE65499:ILE65570 IVA65499:IVA65570 JEW65499:JEW65570 JOS65499:JOS65570 JYO65499:JYO65570 KIK65499:KIK65570 KSG65499:KSG65570 LCC65499:LCC65570 LLY65499:LLY65570 LVU65499:LVU65570 MFQ65499:MFQ65570 MPM65499:MPM65570 MZI65499:MZI65570 NJE65499:NJE65570 NTA65499:NTA65570 OCW65499:OCW65570 OMS65499:OMS65570 OWO65499:OWO65570 PGK65499:PGK65570 PQG65499:PQG65570 QAC65499:QAC65570 QJY65499:QJY65570 QTU65499:QTU65570 RDQ65499:RDQ65570 RNM65499:RNM65570 RXI65499:RXI65570 SHE65499:SHE65570 SRA65499:SRA65570 TAW65499:TAW65570 TKS65499:TKS65570 TUO65499:TUO65570 UEK65499:UEK65570 UOG65499:UOG65570 UYC65499:UYC65570 VHY65499:VHY65570 VRU65499:VRU65570 WBQ65499:WBQ65570 WLM65499:WLM65570 WVI65499:WVI65570 A131035:A131106 IW131035:IW131106 SS131035:SS131106 ACO131035:ACO131106 AMK131035:AMK131106 AWG131035:AWG131106 BGC131035:BGC131106 BPY131035:BPY131106 BZU131035:BZU131106 CJQ131035:CJQ131106 CTM131035:CTM131106 DDI131035:DDI131106 DNE131035:DNE131106 DXA131035:DXA131106 EGW131035:EGW131106 EQS131035:EQS131106 FAO131035:FAO131106 FKK131035:FKK131106 FUG131035:FUG131106 GEC131035:GEC131106 GNY131035:GNY131106 GXU131035:GXU131106 HHQ131035:HHQ131106 HRM131035:HRM131106 IBI131035:IBI131106 ILE131035:ILE131106 IVA131035:IVA131106 JEW131035:JEW131106 JOS131035:JOS131106 JYO131035:JYO131106 KIK131035:KIK131106 KSG131035:KSG131106 LCC131035:LCC131106 LLY131035:LLY131106 LVU131035:LVU131106 MFQ131035:MFQ131106 MPM131035:MPM131106 MZI131035:MZI131106 NJE131035:NJE131106 NTA131035:NTA131106 OCW131035:OCW131106 OMS131035:OMS131106 OWO131035:OWO131106 PGK131035:PGK131106 PQG131035:PQG131106 QAC131035:QAC131106 QJY131035:QJY131106 QTU131035:QTU131106 RDQ131035:RDQ131106 RNM131035:RNM131106 RXI131035:RXI131106 SHE131035:SHE131106 SRA131035:SRA131106 TAW131035:TAW131106 TKS131035:TKS131106 TUO131035:TUO131106 UEK131035:UEK131106 UOG131035:UOG131106 UYC131035:UYC131106 VHY131035:VHY131106 VRU131035:VRU131106 WBQ131035:WBQ131106 WLM131035:WLM131106 WVI131035:WVI131106 A196571:A196642 IW196571:IW196642 SS196571:SS196642 ACO196571:ACO196642 AMK196571:AMK196642 AWG196571:AWG196642 BGC196571:BGC196642 BPY196571:BPY196642 BZU196571:BZU196642 CJQ196571:CJQ196642 CTM196571:CTM196642 DDI196571:DDI196642 DNE196571:DNE196642 DXA196571:DXA196642 EGW196571:EGW196642 EQS196571:EQS196642 FAO196571:FAO196642 FKK196571:FKK196642 FUG196571:FUG196642 GEC196571:GEC196642 GNY196571:GNY196642 GXU196571:GXU196642 HHQ196571:HHQ196642 HRM196571:HRM196642 IBI196571:IBI196642 ILE196571:ILE196642 IVA196571:IVA196642 JEW196571:JEW196642 JOS196571:JOS196642 JYO196571:JYO196642 KIK196571:KIK196642 KSG196571:KSG196642 LCC196571:LCC196642 LLY196571:LLY196642 LVU196571:LVU196642 MFQ196571:MFQ196642 MPM196571:MPM196642 MZI196571:MZI196642 NJE196571:NJE196642 NTA196571:NTA196642 OCW196571:OCW196642 OMS196571:OMS196642 OWO196571:OWO196642 PGK196571:PGK196642 PQG196571:PQG196642 QAC196571:QAC196642 QJY196571:QJY196642 QTU196571:QTU196642 RDQ196571:RDQ196642 RNM196571:RNM196642 RXI196571:RXI196642 SHE196571:SHE196642 SRA196571:SRA196642 TAW196571:TAW196642 TKS196571:TKS196642 TUO196571:TUO196642 UEK196571:UEK196642 UOG196571:UOG196642 UYC196571:UYC196642 VHY196571:VHY196642 VRU196571:VRU196642 WBQ196571:WBQ196642 WLM196571:WLM196642 WVI196571:WVI196642 A262107:A262178 IW262107:IW262178 SS262107:SS262178 ACO262107:ACO262178 AMK262107:AMK262178 AWG262107:AWG262178 BGC262107:BGC262178 BPY262107:BPY262178 BZU262107:BZU262178 CJQ262107:CJQ262178 CTM262107:CTM262178 DDI262107:DDI262178 DNE262107:DNE262178 DXA262107:DXA262178 EGW262107:EGW262178 EQS262107:EQS262178 FAO262107:FAO262178 FKK262107:FKK262178 FUG262107:FUG262178 GEC262107:GEC262178 GNY262107:GNY262178 GXU262107:GXU262178 HHQ262107:HHQ262178 HRM262107:HRM262178 IBI262107:IBI262178 ILE262107:ILE262178 IVA262107:IVA262178 JEW262107:JEW262178 JOS262107:JOS262178 JYO262107:JYO262178 KIK262107:KIK262178 KSG262107:KSG262178 LCC262107:LCC262178 LLY262107:LLY262178 LVU262107:LVU262178 MFQ262107:MFQ262178 MPM262107:MPM262178 MZI262107:MZI262178 NJE262107:NJE262178 NTA262107:NTA262178 OCW262107:OCW262178 OMS262107:OMS262178 OWO262107:OWO262178 PGK262107:PGK262178 PQG262107:PQG262178 QAC262107:QAC262178 QJY262107:QJY262178 QTU262107:QTU262178 RDQ262107:RDQ262178 RNM262107:RNM262178 RXI262107:RXI262178 SHE262107:SHE262178 SRA262107:SRA262178 TAW262107:TAW262178 TKS262107:TKS262178 TUO262107:TUO262178 UEK262107:UEK262178 UOG262107:UOG262178 UYC262107:UYC262178 VHY262107:VHY262178 VRU262107:VRU262178 WBQ262107:WBQ262178 WLM262107:WLM262178 WVI262107:WVI262178 A327643:A327714 IW327643:IW327714 SS327643:SS327714 ACO327643:ACO327714 AMK327643:AMK327714 AWG327643:AWG327714 BGC327643:BGC327714 BPY327643:BPY327714 BZU327643:BZU327714 CJQ327643:CJQ327714 CTM327643:CTM327714 DDI327643:DDI327714 DNE327643:DNE327714 DXA327643:DXA327714 EGW327643:EGW327714 EQS327643:EQS327714 FAO327643:FAO327714 FKK327643:FKK327714 FUG327643:FUG327714 GEC327643:GEC327714 GNY327643:GNY327714 GXU327643:GXU327714 HHQ327643:HHQ327714 HRM327643:HRM327714 IBI327643:IBI327714 ILE327643:ILE327714 IVA327643:IVA327714 JEW327643:JEW327714 JOS327643:JOS327714 JYO327643:JYO327714 KIK327643:KIK327714 KSG327643:KSG327714 LCC327643:LCC327714 LLY327643:LLY327714 LVU327643:LVU327714 MFQ327643:MFQ327714 MPM327643:MPM327714 MZI327643:MZI327714 NJE327643:NJE327714 NTA327643:NTA327714 OCW327643:OCW327714 OMS327643:OMS327714 OWO327643:OWO327714 PGK327643:PGK327714 PQG327643:PQG327714 QAC327643:QAC327714 QJY327643:QJY327714 QTU327643:QTU327714 RDQ327643:RDQ327714 RNM327643:RNM327714 RXI327643:RXI327714 SHE327643:SHE327714 SRA327643:SRA327714 TAW327643:TAW327714 TKS327643:TKS327714 TUO327643:TUO327714 UEK327643:UEK327714 UOG327643:UOG327714 UYC327643:UYC327714 VHY327643:VHY327714 VRU327643:VRU327714 WBQ327643:WBQ327714 WLM327643:WLM327714 WVI327643:WVI327714 A393179:A393250 IW393179:IW393250 SS393179:SS393250 ACO393179:ACO393250 AMK393179:AMK393250 AWG393179:AWG393250 BGC393179:BGC393250 BPY393179:BPY393250 BZU393179:BZU393250 CJQ393179:CJQ393250 CTM393179:CTM393250 DDI393179:DDI393250 DNE393179:DNE393250 DXA393179:DXA393250 EGW393179:EGW393250 EQS393179:EQS393250 FAO393179:FAO393250 FKK393179:FKK393250 FUG393179:FUG393250 GEC393179:GEC393250 GNY393179:GNY393250 GXU393179:GXU393250 HHQ393179:HHQ393250 HRM393179:HRM393250 IBI393179:IBI393250 ILE393179:ILE393250 IVA393179:IVA393250 JEW393179:JEW393250 JOS393179:JOS393250 JYO393179:JYO393250 KIK393179:KIK393250 KSG393179:KSG393250 LCC393179:LCC393250 LLY393179:LLY393250 LVU393179:LVU393250 MFQ393179:MFQ393250 MPM393179:MPM393250 MZI393179:MZI393250 NJE393179:NJE393250 NTA393179:NTA393250 OCW393179:OCW393250 OMS393179:OMS393250 OWO393179:OWO393250 PGK393179:PGK393250 PQG393179:PQG393250 QAC393179:QAC393250 QJY393179:QJY393250 QTU393179:QTU393250 RDQ393179:RDQ393250 RNM393179:RNM393250 RXI393179:RXI393250 SHE393179:SHE393250 SRA393179:SRA393250 TAW393179:TAW393250 TKS393179:TKS393250 TUO393179:TUO393250 UEK393179:UEK393250 UOG393179:UOG393250 UYC393179:UYC393250 VHY393179:VHY393250 VRU393179:VRU393250 WBQ393179:WBQ393250 WLM393179:WLM393250 WVI393179:WVI393250 A458715:A458786 IW458715:IW458786 SS458715:SS458786 ACO458715:ACO458786 AMK458715:AMK458786 AWG458715:AWG458786 BGC458715:BGC458786 BPY458715:BPY458786 BZU458715:BZU458786 CJQ458715:CJQ458786 CTM458715:CTM458786 DDI458715:DDI458786 DNE458715:DNE458786 DXA458715:DXA458786 EGW458715:EGW458786 EQS458715:EQS458786 FAO458715:FAO458786 FKK458715:FKK458786 FUG458715:FUG458786 GEC458715:GEC458786 GNY458715:GNY458786 GXU458715:GXU458786 HHQ458715:HHQ458786 HRM458715:HRM458786 IBI458715:IBI458786 ILE458715:ILE458786 IVA458715:IVA458786 JEW458715:JEW458786 JOS458715:JOS458786 JYO458715:JYO458786 KIK458715:KIK458786 KSG458715:KSG458786 LCC458715:LCC458786 LLY458715:LLY458786 LVU458715:LVU458786 MFQ458715:MFQ458786 MPM458715:MPM458786 MZI458715:MZI458786 NJE458715:NJE458786 NTA458715:NTA458786 OCW458715:OCW458786 OMS458715:OMS458786 OWO458715:OWO458786 PGK458715:PGK458786 PQG458715:PQG458786 QAC458715:QAC458786 QJY458715:QJY458786 QTU458715:QTU458786 RDQ458715:RDQ458786 RNM458715:RNM458786 RXI458715:RXI458786 SHE458715:SHE458786 SRA458715:SRA458786 TAW458715:TAW458786 TKS458715:TKS458786 TUO458715:TUO458786 UEK458715:UEK458786 UOG458715:UOG458786 UYC458715:UYC458786 VHY458715:VHY458786 VRU458715:VRU458786 WBQ458715:WBQ458786 WLM458715:WLM458786 WVI458715:WVI458786 A524251:A524322 IW524251:IW524322 SS524251:SS524322 ACO524251:ACO524322 AMK524251:AMK524322 AWG524251:AWG524322 BGC524251:BGC524322 BPY524251:BPY524322 BZU524251:BZU524322 CJQ524251:CJQ524322 CTM524251:CTM524322 DDI524251:DDI524322 DNE524251:DNE524322 DXA524251:DXA524322 EGW524251:EGW524322 EQS524251:EQS524322 FAO524251:FAO524322 FKK524251:FKK524322 FUG524251:FUG524322 GEC524251:GEC524322 GNY524251:GNY524322 GXU524251:GXU524322 HHQ524251:HHQ524322 HRM524251:HRM524322 IBI524251:IBI524322 ILE524251:ILE524322 IVA524251:IVA524322 JEW524251:JEW524322 JOS524251:JOS524322 JYO524251:JYO524322 KIK524251:KIK524322 KSG524251:KSG524322 LCC524251:LCC524322 LLY524251:LLY524322 LVU524251:LVU524322 MFQ524251:MFQ524322 MPM524251:MPM524322 MZI524251:MZI524322 NJE524251:NJE524322 NTA524251:NTA524322 OCW524251:OCW524322 OMS524251:OMS524322 OWO524251:OWO524322 PGK524251:PGK524322 PQG524251:PQG524322 QAC524251:QAC524322 QJY524251:QJY524322 QTU524251:QTU524322 RDQ524251:RDQ524322 RNM524251:RNM524322 RXI524251:RXI524322 SHE524251:SHE524322 SRA524251:SRA524322 TAW524251:TAW524322 TKS524251:TKS524322 TUO524251:TUO524322 UEK524251:UEK524322 UOG524251:UOG524322 UYC524251:UYC524322 VHY524251:VHY524322 VRU524251:VRU524322 WBQ524251:WBQ524322 WLM524251:WLM524322 WVI524251:WVI524322 A589787:A589858 IW589787:IW589858 SS589787:SS589858 ACO589787:ACO589858 AMK589787:AMK589858 AWG589787:AWG589858 BGC589787:BGC589858 BPY589787:BPY589858 BZU589787:BZU589858 CJQ589787:CJQ589858 CTM589787:CTM589858 DDI589787:DDI589858 DNE589787:DNE589858 DXA589787:DXA589858 EGW589787:EGW589858 EQS589787:EQS589858 FAO589787:FAO589858 FKK589787:FKK589858 FUG589787:FUG589858 GEC589787:GEC589858 GNY589787:GNY589858 GXU589787:GXU589858 HHQ589787:HHQ589858 HRM589787:HRM589858 IBI589787:IBI589858 ILE589787:ILE589858 IVA589787:IVA589858 JEW589787:JEW589858 JOS589787:JOS589858 JYO589787:JYO589858 KIK589787:KIK589858 KSG589787:KSG589858 LCC589787:LCC589858 LLY589787:LLY589858 LVU589787:LVU589858 MFQ589787:MFQ589858 MPM589787:MPM589858 MZI589787:MZI589858 NJE589787:NJE589858 NTA589787:NTA589858 OCW589787:OCW589858 OMS589787:OMS589858 OWO589787:OWO589858 PGK589787:PGK589858 PQG589787:PQG589858 QAC589787:QAC589858 QJY589787:QJY589858 QTU589787:QTU589858 RDQ589787:RDQ589858 RNM589787:RNM589858 RXI589787:RXI589858 SHE589787:SHE589858 SRA589787:SRA589858 TAW589787:TAW589858 TKS589787:TKS589858 TUO589787:TUO589858 UEK589787:UEK589858 UOG589787:UOG589858 UYC589787:UYC589858 VHY589787:VHY589858 VRU589787:VRU589858 WBQ589787:WBQ589858 WLM589787:WLM589858 WVI589787:WVI589858 A655323:A655394 IW655323:IW655394 SS655323:SS655394 ACO655323:ACO655394 AMK655323:AMK655394 AWG655323:AWG655394 BGC655323:BGC655394 BPY655323:BPY655394 BZU655323:BZU655394 CJQ655323:CJQ655394 CTM655323:CTM655394 DDI655323:DDI655394 DNE655323:DNE655394 DXA655323:DXA655394 EGW655323:EGW655394 EQS655323:EQS655394 FAO655323:FAO655394 FKK655323:FKK655394 FUG655323:FUG655394 GEC655323:GEC655394 GNY655323:GNY655394 GXU655323:GXU655394 HHQ655323:HHQ655394 HRM655323:HRM655394 IBI655323:IBI655394 ILE655323:ILE655394 IVA655323:IVA655394 JEW655323:JEW655394 JOS655323:JOS655394 JYO655323:JYO655394 KIK655323:KIK655394 KSG655323:KSG655394 LCC655323:LCC655394 LLY655323:LLY655394 LVU655323:LVU655394 MFQ655323:MFQ655394 MPM655323:MPM655394 MZI655323:MZI655394 NJE655323:NJE655394 NTA655323:NTA655394 OCW655323:OCW655394 OMS655323:OMS655394 OWO655323:OWO655394 PGK655323:PGK655394 PQG655323:PQG655394 QAC655323:QAC655394 QJY655323:QJY655394 QTU655323:QTU655394 RDQ655323:RDQ655394 RNM655323:RNM655394 RXI655323:RXI655394 SHE655323:SHE655394 SRA655323:SRA655394 TAW655323:TAW655394 TKS655323:TKS655394 TUO655323:TUO655394 UEK655323:UEK655394 UOG655323:UOG655394 UYC655323:UYC655394 VHY655323:VHY655394 VRU655323:VRU655394 WBQ655323:WBQ655394 WLM655323:WLM655394 WVI655323:WVI655394 A720859:A720930 IW720859:IW720930 SS720859:SS720930 ACO720859:ACO720930 AMK720859:AMK720930 AWG720859:AWG720930 BGC720859:BGC720930 BPY720859:BPY720930 BZU720859:BZU720930 CJQ720859:CJQ720930 CTM720859:CTM720930 DDI720859:DDI720930 DNE720859:DNE720930 DXA720859:DXA720930 EGW720859:EGW720930 EQS720859:EQS720930 FAO720859:FAO720930 FKK720859:FKK720930 FUG720859:FUG720930 GEC720859:GEC720930 GNY720859:GNY720930 GXU720859:GXU720930 HHQ720859:HHQ720930 HRM720859:HRM720930 IBI720859:IBI720930 ILE720859:ILE720930 IVA720859:IVA720930 JEW720859:JEW720930 JOS720859:JOS720930 JYO720859:JYO720930 KIK720859:KIK720930 KSG720859:KSG720930 LCC720859:LCC720930 LLY720859:LLY720930 LVU720859:LVU720930 MFQ720859:MFQ720930 MPM720859:MPM720930 MZI720859:MZI720930 NJE720859:NJE720930 NTA720859:NTA720930 OCW720859:OCW720930 OMS720859:OMS720930 OWO720859:OWO720930 PGK720859:PGK720930 PQG720859:PQG720930 QAC720859:QAC720930 QJY720859:QJY720930 QTU720859:QTU720930 RDQ720859:RDQ720930 RNM720859:RNM720930 RXI720859:RXI720930 SHE720859:SHE720930 SRA720859:SRA720930 TAW720859:TAW720930 TKS720859:TKS720930 TUO720859:TUO720930 UEK720859:UEK720930 UOG720859:UOG720930 UYC720859:UYC720930 VHY720859:VHY720930 VRU720859:VRU720930 WBQ720859:WBQ720930 WLM720859:WLM720930 WVI720859:WVI720930 A786395:A786466 IW786395:IW786466 SS786395:SS786466 ACO786395:ACO786466 AMK786395:AMK786466 AWG786395:AWG786466 BGC786395:BGC786466 BPY786395:BPY786466 BZU786395:BZU786466 CJQ786395:CJQ786466 CTM786395:CTM786466 DDI786395:DDI786466 DNE786395:DNE786466 DXA786395:DXA786466 EGW786395:EGW786466 EQS786395:EQS786466 FAO786395:FAO786466 FKK786395:FKK786466 FUG786395:FUG786466 GEC786395:GEC786466 GNY786395:GNY786466 GXU786395:GXU786466 HHQ786395:HHQ786466 HRM786395:HRM786466 IBI786395:IBI786466 ILE786395:ILE786466 IVA786395:IVA786466 JEW786395:JEW786466 JOS786395:JOS786466 JYO786395:JYO786466 KIK786395:KIK786466 KSG786395:KSG786466 LCC786395:LCC786466 LLY786395:LLY786466 LVU786395:LVU786466 MFQ786395:MFQ786466 MPM786395:MPM786466 MZI786395:MZI786466 NJE786395:NJE786466 NTA786395:NTA786466 OCW786395:OCW786466 OMS786395:OMS786466 OWO786395:OWO786466 PGK786395:PGK786466 PQG786395:PQG786466 QAC786395:QAC786466 QJY786395:QJY786466 QTU786395:QTU786466 RDQ786395:RDQ786466 RNM786395:RNM786466 RXI786395:RXI786466 SHE786395:SHE786466 SRA786395:SRA786466 TAW786395:TAW786466 TKS786395:TKS786466 TUO786395:TUO786466 UEK786395:UEK786466 UOG786395:UOG786466 UYC786395:UYC786466 VHY786395:VHY786466 VRU786395:VRU786466 WBQ786395:WBQ786466 WLM786395:WLM786466 WVI786395:WVI786466 A851931:A852002 IW851931:IW852002 SS851931:SS852002 ACO851931:ACO852002 AMK851931:AMK852002 AWG851931:AWG852002 BGC851931:BGC852002 BPY851931:BPY852002 BZU851931:BZU852002 CJQ851931:CJQ852002 CTM851931:CTM852002 DDI851931:DDI852002 DNE851931:DNE852002 DXA851931:DXA852002 EGW851931:EGW852002 EQS851931:EQS852002 FAO851931:FAO852002 FKK851931:FKK852002 FUG851931:FUG852002 GEC851931:GEC852002 GNY851931:GNY852002 GXU851931:GXU852002 HHQ851931:HHQ852002 HRM851931:HRM852002 IBI851931:IBI852002 ILE851931:ILE852002 IVA851931:IVA852002 JEW851931:JEW852002 JOS851931:JOS852002 JYO851931:JYO852002 KIK851931:KIK852002 KSG851931:KSG852002 LCC851931:LCC852002 LLY851931:LLY852002 LVU851931:LVU852002 MFQ851931:MFQ852002 MPM851931:MPM852002 MZI851931:MZI852002 NJE851931:NJE852002 NTA851931:NTA852002 OCW851931:OCW852002 OMS851931:OMS852002 OWO851931:OWO852002 PGK851931:PGK852002 PQG851931:PQG852002 QAC851931:QAC852002 QJY851931:QJY852002 QTU851931:QTU852002 RDQ851931:RDQ852002 RNM851931:RNM852002 RXI851931:RXI852002 SHE851931:SHE852002 SRA851931:SRA852002 TAW851931:TAW852002 TKS851931:TKS852002 TUO851931:TUO852002 UEK851931:UEK852002 UOG851931:UOG852002 UYC851931:UYC852002 VHY851931:VHY852002 VRU851931:VRU852002 WBQ851931:WBQ852002 WLM851931:WLM852002 WVI851931:WVI852002 A917467:A917538 IW917467:IW917538 SS917467:SS917538 ACO917467:ACO917538 AMK917467:AMK917538 AWG917467:AWG917538 BGC917467:BGC917538 BPY917467:BPY917538 BZU917467:BZU917538 CJQ917467:CJQ917538 CTM917467:CTM917538 DDI917467:DDI917538 DNE917467:DNE917538 DXA917467:DXA917538 EGW917467:EGW917538 EQS917467:EQS917538 FAO917467:FAO917538 FKK917467:FKK917538 FUG917467:FUG917538 GEC917467:GEC917538 GNY917467:GNY917538 GXU917467:GXU917538 HHQ917467:HHQ917538 HRM917467:HRM917538 IBI917467:IBI917538 ILE917467:ILE917538 IVA917467:IVA917538 JEW917467:JEW917538 JOS917467:JOS917538 JYO917467:JYO917538 KIK917467:KIK917538 KSG917467:KSG917538 LCC917467:LCC917538 LLY917467:LLY917538 LVU917467:LVU917538 MFQ917467:MFQ917538 MPM917467:MPM917538 MZI917467:MZI917538 NJE917467:NJE917538 NTA917467:NTA917538 OCW917467:OCW917538 OMS917467:OMS917538 OWO917467:OWO917538 PGK917467:PGK917538 PQG917467:PQG917538 QAC917467:QAC917538 QJY917467:QJY917538 QTU917467:QTU917538 RDQ917467:RDQ917538 RNM917467:RNM917538 RXI917467:RXI917538 SHE917467:SHE917538 SRA917467:SRA917538 TAW917467:TAW917538 TKS917467:TKS917538 TUO917467:TUO917538 UEK917467:UEK917538 UOG917467:UOG917538 UYC917467:UYC917538 VHY917467:VHY917538 VRU917467:VRU917538 WBQ917467:WBQ917538 WLM917467:WLM917538 WVI917467:WVI917538 A983003:A983074 IW983003:IW983074 SS983003:SS983074 ACO983003:ACO983074 AMK983003:AMK983074 AWG983003:AWG983074 BGC983003:BGC983074 BPY983003:BPY983074 BZU983003:BZU983074 CJQ983003:CJQ983074 CTM983003:CTM983074 DDI983003:DDI983074 DNE983003:DNE983074 DXA983003:DXA983074 EGW983003:EGW983074 EQS983003:EQS983074 FAO983003:FAO983074 FKK983003:FKK983074 FUG983003:FUG983074 GEC983003:GEC983074 GNY983003:GNY983074 GXU983003:GXU983074 HHQ983003:HHQ983074 HRM983003:HRM983074 IBI983003:IBI983074 ILE983003:ILE983074 IVA983003:IVA983074 JEW983003:JEW983074 JOS983003:JOS983074 JYO983003:JYO983074 KIK983003:KIK983074 KSG983003:KSG983074 LCC983003:LCC983074 LLY983003:LLY983074 LVU983003:LVU983074 MFQ983003:MFQ983074 MPM983003:MPM983074 MZI983003:MZI983074 NJE983003:NJE983074 NTA983003:NTA983074 OCW983003:OCW983074 OMS983003:OMS983074 OWO983003:OWO983074 PGK983003:PGK983074 PQG983003:PQG983074 QAC983003:QAC983074 QJY983003:QJY983074 QTU983003:QTU983074 RDQ983003:RDQ983074 RNM983003:RNM983074 RXI983003:RXI983074 SHE983003:SHE983074 SRA983003:SRA983074 TAW983003:TAW983074 TKS983003:TKS983074 TUO983003:TUO983074 UEK983003:UEK983074 UOG983003:UOG983074 UYC983003:UYC983074 VHY983003:VHY983074 VRU983003:VRU983074 WBQ983003:WBQ983074 WLM983003:WLM983074 SS2:SS49 A2:A461 IW2:IW49 WVI2:WVI49 WLM2:WLM49 WBQ2:WBQ49 VRU2:VRU49 VHY2:VHY49 UYC2:UYC49 UOG2:UOG49 UEK2:UEK49 TUO2:TUO49 TKS2:TKS49 TAW2:TAW49 SRA2:SRA49 SHE2:SHE49 RXI2:RXI49 RNM2:RNM49 RDQ2:RDQ49 QTU2:QTU49 QJY2:QJY49 QAC2:QAC49 PQG2:PQG49 PGK2:PGK49 OWO2:OWO49 OMS2:OMS49 OCW2:OCW49 NTA2:NTA49 NJE2:NJE49 MZI2:MZI49 MPM2:MPM49 MFQ2:MFQ49 LVU2:LVU49 LLY2:LLY49 LCC2:LCC49 KSG2:KSG49 KIK2:KIK49 JYO2:JYO49 JOS2:JOS49 JEW2:JEW49 IVA2:IVA49 ILE2:ILE49 IBI2:IBI49 HRM2:HRM49 HHQ2:HHQ49 GXU2:GXU49 GNY2:GNY49 GEC2:GEC49 FUG2:FUG49 FKK2:FKK49 FAO2:FAO49 EQS2:EQS49 EGW2:EGW49 DXA2:DXA49 DNE2:DNE49 DDI2:DDI49 CTM2:CTM49 CJQ2:CJQ49 BZU2:BZU49 BPY2:BPY49 BGC2:BGC49 AWG2:AWG49 AMK2:AMK49 ACO2:ACO49" xr:uid="{CE5AA16C-895E-411B-BB43-AE272F363D6E}">
      <formula1>$AE$2:$AE$19</formula1>
    </dataValidation>
    <dataValidation type="list" allowBlank="1" showInputMessage="1" showErrorMessage="1" sqref="X64324:X64389 JT64324:JT64389 TP64324:TP64389 ADL64324:ADL64389 ANH64324:ANH64389 AXD64324:AXD64389 BGZ64324:BGZ64389 BQV64324:BQV64389 CAR64324:CAR64389 CKN64324:CKN64389 CUJ64324:CUJ64389 DEF64324:DEF64389 DOB64324:DOB64389 DXX64324:DXX64389 EHT64324:EHT64389 ERP64324:ERP64389 FBL64324:FBL64389 FLH64324:FLH64389 FVD64324:FVD64389 GEZ64324:GEZ64389 GOV64324:GOV64389 GYR64324:GYR64389 HIN64324:HIN64389 HSJ64324:HSJ64389 ICF64324:ICF64389 IMB64324:IMB64389 IVX64324:IVX64389 JFT64324:JFT64389 JPP64324:JPP64389 JZL64324:JZL64389 KJH64324:KJH64389 KTD64324:KTD64389 LCZ64324:LCZ64389 LMV64324:LMV64389 LWR64324:LWR64389 MGN64324:MGN64389 MQJ64324:MQJ64389 NAF64324:NAF64389 NKB64324:NKB64389 NTX64324:NTX64389 ODT64324:ODT64389 ONP64324:ONP64389 OXL64324:OXL64389 PHH64324:PHH64389 PRD64324:PRD64389 QAZ64324:QAZ64389 QKV64324:QKV64389 QUR64324:QUR64389 REN64324:REN64389 ROJ64324:ROJ64389 RYF64324:RYF64389 SIB64324:SIB64389 SRX64324:SRX64389 TBT64324:TBT64389 TLP64324:TLP64389 TVL64324:TVL64389 UFH64324:UFH64389 UPD64324:UPD64389 UYZ64324:UYZ64389 VIV64324:VIV64389 VSR64324:VSR64389 WCN64324:WCN64389 WMJ64324:WMJ64389 WWF64324:WWF64389 X129860:X129925 JT129860:JT129925 TP129860:TP129925 ADL129860:ADL129925 ANH129860:ANH129925 AXD129860:AXD129925 BGZ129860:BGZ129925 BQV129860:BQV129925 CAR129860:CAR129925 CKN129860:CKN129925 CUJ129860:CUJ129925 DEF129860:DEF129925 DOB129860:DOB129925 DXX129860:DXX129925 EHT129860:EHT129925 ERP129860:ERP129925 FBL129860:FBL129925 FLH129860:FLH129925 FVD129860:FVD129925 GEZ129860:GEZ129925 GOV129860:GOV129925 GYR129860:GYR129925 HIN129860:HIN129925 HSJ129860:HSJ129925 ICF129860:ICF129925 IMB129860:IMB129925 IVX129860:IVX129925 JFT129860:JFT129925 JPP129860:JPP129925 JZL129860:JZL129925 KJH129860:KJH129925 KTD129860:KTD129925 LCZ129860:LCZ129925 LMV129860:LMV129925 LWR129860:LWR129925 MGN129860:MGN129925 MQJ129860:MQJ129925 NAF129860:NAF129925 NKB129860:NKB129925 NTX129860:NTX129925 ODT129860:ODT129925 ONP129860:ONP129925 OXL129860:OXL129925 PHH129860:PHH129925 PRD129860:PRD129925 QAZ129860:QAZ129925 QKV129860:QKV129925 QUR129860:QUR129925 REN129860:REN129925 ROJ129860:ROJ129925 RYF129860:RYF129925 SIB129860:SIB129925 SRX129860:SRX129925 TBT129860:TBT129925 TLP129860:TLP129925 TVL129860:TVL129925 UFH129860:UFH129925 UPD129860:UPD129925 UYZ129860:UYZ129925 VIV129860:VIV129925 VSR129860:VSR129925 WCN129860:WCN129925 WMJ129860:WMJ129925 WWF129860:WWF129925 X195396:X195461 JT195396:JT195461 TP195396:TP195461 ADL195396:ADL195461 ANH195396:ANH195461 AXD195396:AXD195461 BGZ195396:BGZ195461 BQV195396:BQV195461 CAR195396:CAR195461 CKN195396:CKN195461 CUJ195396:CUJ195461 DEF195396:DEF195461 DOB195396:DOB195461 DXX195396:DXX195461 EHT195396:EHT195461 ERP195396:ERP195461 FBL195396:FBL195461 FLH195396:FLH195461 FVD195396:FVD195461 GEZ195396:GEZ195461 GOV195396:GOV195461 GYR195396:GYR195461 HIN195396:HIN195461 HSJ195396:HSJ195461 ICF195396:ICF195461 IMB195396:IMB195461 IVX195396:IVX195461 JFT195396:JFT195461 JPP195396:JPP195461 JZL195396:JZL195461 KJH195396:KJH195461 KTD195396:KTD195461 LCZ195396:LCZ195461 LMV195396:LMV195461 LWR195396:LWR195461 MGN195396:MGN195461 MQJ195396:MQJ195461 NAF195396:NAF195461 NKB195396:NKB195461 NTX195396:NTX195461 ODT195396:ODT195461 ONP195396:ONP195461 OXL195396:OXL195461 PHH195396:PHH195461 PRD195396:PRD195461 QAZ195396:QAZ195461 QKV195396:QKV195461 QUR195396:QUR195461 REN195396:REN195461 ROJ195396:ROJ195461 RYF195396:RYF195461 SIB195396:SIB195461 SRX195396:SRX195461 TBT195396:TBT195461 TLP195396:TLP195461 TVL195396:TVL195461 UFH195396:UFH195461 UPD195396:UPD195461 UYZ195396:UYZ195461 VIV195396:VIV195461 VSR195396:VSR195461 WCN195396:WCN195461 WMJ195396:WMJ195461 WWF195396:WWF195461 X260932:X260997 JT260932:JT260997 TP260932:TP260997 ADL260932:ADL260997 ANH260932:ANH260997 AXD260932:AXD260997 BGZ260932:BGZ260997 BQV260932:BQV260997 CAR260932:CAR260997 CKN260932:CKN260997 CUJ260932:CUJ260997 DEF260932:DEF260997 DOB260932:DOB260997 DXX260932:DXX260997 EHT260932:EHT260997 ERP260932:ERP260997 FBL260932:FBL260997 FLH260932:FLH260997 FVD260932:FVD260997 GEZ260932:GEZ260997 GOV260932:GOV260997 GYR260932:GYR260997 HIN260932:HIN260997 HSJ260932:HSJ260997 ICF260932:ICF260997 IMB260932:IMB260997 IVX260932:IVX260997 JFT260932:JFT260997 JPP260932:JPP260997 JZL260932:JZL260997 KJH260932:KJH260997 KTD260932:KTD260997 LCZ260932:LCZ260997 LMV260932:LMV260997 LWR260932:LWR260997 MGN260932:MGN260997 MQJ260932:MQJ260997 NAF260932:NAF260997 NKB260932:NKB260997 NTX260932:NTX260997 ODT260932:ODT260997 ONP260932:ONP260997 OXL260932:OXL260997 PHH260932:PHH260997 PRD260932:PRD260997 QAZ260932:QAZ260997 QKV260932:QKV260997 QUR260932:QUR260997 REN260932:REN260997 ROJ260932:ROJ260997 RYF260932:RYF260997 SIB260932:SIB260997 SRX260932:SRX260997 TBT260932:TBT260997 TLP260932:TLP260997 TVL260932:TVL260997 UFH260932:UFH260997 UPD260932:UPD260997 UYZ260932:UYZ260997 VIV260932:VIV260997 VSR260932:VSR260997 WCN260932:WCN260997 WMJ260932:WMJ260997 WWF260932:WWF260997 X326468:X326533 JT326468:JT326533 TP326468:TP326533 ADL326468:ADL326533 ANH326468:ANH326533 AXD326468:AXD326533 BGZ326468:BGZ326533 BQV326468:BQV326533 CAR326468:CAR326533 CKN326468:CKN326533 CUJ326468:CUJ326533 DEF326468:DEF326533 DOB326468:DOB326533 DXX326468:DXX326533 EHT326468:EHT326533 ERP326468:ERP326533 FBL326468:FBL326533 FLH326468:FLH326533 FVD326468:FVD326533 GEZ326468:GEZ326533 GOV326468:GOV326533 GYR326468:GYR326533 HIN326468:HIN326533 HSJ326468:HSJ326533 ICF326468:ICF326533 IMB326468:IMB326533 IVX326468:IVX326533 JFT326468:JFT326533 JPP326468:JPP326533 JZL326468:JZL326533 KJH326468:KJH326533 KTD326468:KTD326533 LCZ326468:LCZ326533 LMV326468:LMV326533 LWR326468:LWR326533 MGN326468:MGN326533 MQJ326468:MQJ326533 NAF326468:NAF326533 NKB326468:NKB326533 NTX326468:NTX326533 ODT326468:ODT326533 ONP326468:ONP326533 OXL326468:OXL326533 PHH326468:PHH326533 PRD326468:PRD326533 QAZ326468:QAZ326533 QKV326468:QKV326533 QUR326468:QUR326533 REN326468:REN326533 ROJ326468:ROJ326533 RYF326468:RYF326533 SIB326468:SIB326533 SRX326468:SRX326533 TBT326468:TBT326533 TLP326468:TLP326533 TVL326468:TVL326533 UFH326468:UFH326533 UPD326468:UPD326533 UYZ326468:UYZ326533 VIV326468:VIV326533 VSR326468:VSR326533 WCN326468:WCN326533 WMJ326468:WMJ326533 WWF326468:WWF326533 X392004:X392069 JT392004:JT392069 TP392004:TP392069 ADL392004:ADL392069 ANH392004:ANH392069 AXD392004:AXD392069 BGZ392004:BGZ392069 BQV392004:BQV392069 CAR392004:CAR392069 CKN392004:CKN392069 CUJ392004:CUJ392069 DEF392004:DEF392069 DOB392004:DOB392069 DXX392004:DXX392069 EHT392004:EHT392069 ERP392004:ERP392069 FBL392004:FBL392069 FLH392004:FLH392069 FVD392004:FVD392069 GEZ392004:GEZ392069 GOV392004:GOV392069 GYR392004:GYR392069 HIN392004:HIN392069 HSJ392004:HSJ392069 ICF392004:ICF392069 IMB392004:IMB392069 IVX392004:IVX392069 JFT392004:JFT392069 JPP392004:JPP392069 JZL392004:JZL392069 KJH392004:KJH392069 KTD392004:KTD392069 LCZ392004:LCZ392069 LMV392004:LMV392069 LWR392004:LWR392069 MGN392004:MGN392069 MQJ392004:MQJ392069 NAF392004:NAF392069 NKB392004:NKB392069 NTX392004:NTX392069 ODT392004:ODT392069 ONP392004:ONP392069 OXL392004:OXL392069 PHH392004:PHH392069 PRD392004:PRD392069 QAZ392004:QAZ392069 QKV392004:QKV392069 QUR392004:QUR392069 REN392004:REN392069 ROJ392004:ROJ392069 RYF392004:RYF392069 SIB392004:SIB392069 SRX392004:SRX392069 TBT392004:TBT392069 TLP392004:TLP392069 TVL392004:TVL392069 UFH392004:UFH392069 UPD392004:UPD392069 UYZ392004:UYZ392069 VIV392004:VIV392069 VSR392004:VSR392069 WCN392004:WCN392069 WMJ392004:WMJ392069 WWF392004:WWF392069 X457540:X457605 JT457540:JT457605 TP457540:TP457605 ADL457540:ADL457605 ANH457540:ANH457605 AXD457540:AXD457605 BGZ457540:BGZ457605 BQV457540:BQV457605 CAR457540:CAR457605 CKN457540:CKN457605 CUJ457540:CUJ457605 DEF457540:DEF457605 DOB457540:DOB457605 DXX457540:DXX457605 EHT457540:EHT457605 ERP457540:ERP457605 FBL457540:FBL457605 FLH457540:FLH457605 FVD457540:FVD457605 GEZ457540:GEZ457605 GOV457540:GOV457605 GYR457540:GYR457605 HIN457540:HIN457605 HSJ457540:HSJ457605 ICF457540:ICF457605 IMB457540:IMB457605 IVX457540:IVX457605 JFT457540:JFT457605 JPP457540:JPP457605 JZL457540:JZL457605 KJH457540:KJH457605 KTD457540:KTD457605 LCZ457540:LCZ457605 LMV457540:LMV457605 LWR457540:LWR457605 MGN457540:MGN457605 MQJ457540:MQJ457605 NAF457540:NAF457605 NKB457540:NKB457605 NTX457540:NTX457605 ODT457540:ODT457605 ONP457540:ONP457605 OXL457540:OXL457605 PHH457540:PHH457605 PRD457540:PRD457605 QAZ457540:QAZ457605 QKV457540:QKV457605 QUR457540:QUR457605 REN457540:REN457605 ROJ457540:ROJ457605 RYF457540:RYF457605 SIB457540:SIB457605 SRX457540:SRX457605 TBT457540:TBT457605 TLP457540:TLP457605 TVL457540:TVL457605 UFH457540:UFH457605 UPD457540:UPD457605 UYZ457540:UYZ457605 VIV457540:VIV457605 VSR457540:VSR457605 WCN457540:WCN457605 WMJ457540:WMJ457605 WWF457540:WWF457605 X523076:X523141 JT523076:JT523141 TP523076:TP523141 ADL523076:ADL523141 ANH523076:ANH523141 AXD523076:AXD523141 BGZ523076:BGZ523141 BQV523076:BQV523141 CAR523076:CAR523141 CKN523076:CKN523141 CUJ523076:CUJ523141 DEF523076:DEF523141 DOB523076:DOB523141 DXX523076:DXX523141 EHT523076:EHT523141 ERP523076:ERP523141 FBL523076:FBL523141 FLH523076:FLH523141 FVD523076:FVD523141 GEZ523076:GEZ523141 GOV523076:GOV523141 GYR523076:GYR523141 HIN523076:HIN523141 HSJ523076:HSJ523141 ICF523076:ICF523141 IMB523076:IMB523141 IVX523076:IVX523141 JFT523076:JFT523141 JPP523076:JPP523141 JZL523076:JZL523141 KJH523076:KJH523141 KTD523076:KTD523141 LCZ523076:LCZ523141 LMV523076:LMV523141 LWR523076:LWR523141 MGN523076:MGN523141 MQJ523076:MQJ523141 NAF523076:NAF523141 NKB523076:NKB523141 NTX523076:NTX523141 ODT523076:ODT523141 ONP523076:ONP523141 OXL523076:OXL523141 PHH523076:PHH523141 PRD523076:PRD523141 QAZ523076:QAZ523141 QKV523076:QKV523141 QUR523076:QUR523141 REN523076:REN523141 ROJ523076:ROJ523141 RYF523076:RYF523141 SIB523076:SIB523141 SRX523076:SRX523141 TBT523076:TBT523141 TLP523076:TLP523141 TVL523076:TVL523141 UFH523076:UFH523141 UPD523076:UPD523141 UYZ523076:UYZ523141 VIV523076:VIV523141 VSR523076:VSR523141 WCN523076:WCN523141 WMJ523076:WMJ523141 WWF523076:WWF523141 X588612:X588677 JT588612:JT588677 TP588612:TP588677 ADL588612:ADL588677 ANH588612:ANH588677 AXD588612:AXD588677 BGZ588612:BGZ588677 BQV588612:BQV588677 CAR588612:CAR588677 CKN588612:CKN588677 CUJ588612:CUJ588677 DEF588612:DEF588677 DOB588612:DOB588677 DXX588612:DXX588677 EHT588612:EHT588677 ERP588612:ERP588677 FBL588612:FBL588677 FLH588612:FLH588677 FVD588612:FVD588677 GEZ588612:GEZ588677 GOV588612:GOV588677 GYR588612:GYR588677 HIN588612:HIN588677 HSJ588612:HSJ588677 ICF588612:ICF588677 IMB588612:IMB588677 IVX588612:IVX588677 JFT588612:JFT588677 JPP588612:JPP588677 JZL588612:JZL588677 KJH588612:KJH588677 KTD588612:KTD588677 LCZ588612:LCZ588677 LMV588612:LMV588677 LWR588612:LWR588677 MGN588612:MGN588677 MQJ588612:MQJ588677 NAF588612:NAF588677 NKB588612:NKB588677 NTX588612:NTX588677 ODT588612:ODT588677 ONP588612:ONP588677 OXL588612:OXL588677 PHH588612:PHH588677 PRD588612:PRD588677 QAZ588612:QAZ588677 QKV588612:QKV588677 QUR588612:QUR588677 REN588612:REN588677 ROJ588612:ROJ588677 RYF588612:RYF588677 SIB588612:SIB588677 SRX588612:SRX588677 TBT588612:TBT588677 TLP588612:TLP588677 TVL588612:TVL588677 UFH588612:UFH588677 UPD588612:UPD588677 UYZ588612:UYZ588677 VIV588612:VIV588677 VSR588612:VSR588677 WCN588612:WCN588677 WMJ588612:WMJ588677 WWF588612:WWF588677 X654148:X654213 JT654148:JT654213 TP654148:TP654213 ADL654148:ADL654213 ANH654148:ANH654213 AXD654148:AXD654213 BGZ654148:BGZ654213 BQV654148:BQV654213 CAR654148:CAR654213 CKN654148:CKN654213 CUJ654148:CUJ654213 DEF654148:DEF654213 DOB654148:DOB654213 DXX654148:DXX654213 EHT654148:EHT654213 ERP654148:ERP654213 FBL654148:FBL654213 FLH654148:FLH654213 FVD654148:FVD654213 GEZ654148:GEZ654213 GOV654148:GOV654213 GYR654148:GYR654213 HIN654148:HIN654213 HSJ654148:HSJ654213 ICF654148:ICF654213 IMB654148:IMB654213 IVX654148:IVX654213 JFT654148:JFT654213 JPP654148:JPP654213 JZL654148:JZL654213 KJH654148:KJH654213 KTD654148:KTD654213 LCZ654148:LCZ654213 LMV654148:LMV654213 LWR654148:LWR654213 MGN654148:MGN654213 MQJ654148:MQJ654213 NAF654148:NAF654213 NKB654148:NKB654213 NTX654148:NTX654213 ODT654148:ODT654213 ONP654148:ONP654213 OXL654148:OXL654213 PHH654148:PHH654213 PRD654148:PRD654213 QAZ654148:QAZ654213 QKV654148:QKV654213 QUR654148:QUR654213 REN654148:REN654213 ROJ654148:ROJ654213 RYF654148:RYF654213 SIB654148:SIB654213 SRX654148:SRX654213 TBT654148:TBT654213 TLP654148:TLP654213 TVL654148:TVL654213 UFH654148:UFH654213 UPD654148:UPD654213 UYZ654148:UYZ654213 VIV654148:VIV654213 VSR654148:VSR654213 WCN654148:WCN654213 WMJ654148:WMJ654213 WWF654148:WWF654213 X719684:X719749 JT719684:JT719749 TP719684:TP719749 ADL719684:ADL719749 ANH719684:ANH719749 AXD719684:AXD719749 BGZ719684:BGZ719749 BQV719684:BQV719749 CAR719684:CAR719749 CKN719684:CKN719749 CUJ719684:CUJ719749 DEF719684:DEF719749 DOB719684:DOB719749 DXX719684:DXX719749 EHT719684:EHT719749 ERP719684:ERP719749 FBL719684:FBL719749 FLH719684:FLH719749 FVD719684:FVD719749 GEZ719684:GEZ719749 GOV719684:GOV719749 GYR719684:GYR719749 HIN719684:HIN719749 HSJ719684:HSJ719749 ICF719684:ICF719749 IMB719684:IMB719749 IVX719684:IVX719749 JFT719684:JFT719749 JPP719684:JPP719749 JZL719684:JZL719749 KJH719684:KJH719749 KTD719684:KTD719749 LCZ719684:LCZ719749 LMV719684:LMV719749 LWR719684:LWR719749 MGN719684:MGN719749 MQJ719684:MQJ719749 NAF719684:NAF719749 NKB719684:NKB719749 NTX719684:NTX719749 ODT719684:ODT719749 ONP719684:ONP719749 OXL719684:OXL719749 PHH719684:PHH719749 PRD719684:PRD719749 QAZ719684:QAZ719749 QKV719684:QKV719749 QUR719684:QUR719749 REN719684:REN719749 ROJ719684:ROJ719749 RYF719684:RYF719749 SIB719684:SIB719749 SRX719684:SRX719749 TBT719684:TBT719749 TLP719684:TLP719749 TVL719684:TVL719749 UFH719684:UFH719749 UPD719684:UPD719749 UYZ719684:UYZ719749 VIV719684:VIV719749 VSR719684:VSR719749 WCN719684:WCN719749 WMJ719684:WMJ719749 WWF719684:WWF719749 X785220:X785285 JT785220:JT785285 TP785220:TP785285 ADL785220:ADL785285 ANH785220:ANH785285 AXD785220:AXD785285 BGZ785220:BGZ785285 BQV785220:BQV785285 CAR785220:CAR785285 CKN785220:CKN785285 CUJ785220:CUJ785285 DEF785220:DEF785285 DOB785220:DOB785285 DXX785220:DXX785285 EHT785220:EHT785285 ERP785220:ERP785285 FBL785220:FBL785285 FLH785220:FLH785285 FVD785220:FVD785285 GEZ785220:GEZ785285 GOV785220:GOV785285 GYR785220:GYR785285 HIN785220:HIN785285 HSJ785220:HSJ785285 ICF785220:ICF785285 IMB785220:IMB785285 IVX785220:IVX785285 JFT785220:JFT785285 JPP785220:JPP785285 JZL785220:JZL785285 KJH785220:KJH785285 KTD785220:KTD785285 LCZ785220:LCZ785285 LMV785220:LMV785285 LWR785220:LWR785285 MGN785220:MGN785285 MQJ785220:MQJ785285 NAF785220:NAF785285 NKB785220:NKB785285 NTX785220:NTX785285 ODT785220:ODT785285 ONP785220:ONP785285 OXL785220:OXL785285 PHH785220:PHH785285 PRD785220:PRD785285 QAZ785220:QAZ785285 QKV785220:QKV785285 QUR785220:QUR785285 REN785220:REN785285 ROJ785220:ROJ785285 RYF785220:RYF785285 SIB785220:SIB785285 SRX785220:SRX785285 TBT785220:TBT785285 TLP785220:TLP785285 TVL785220:TVL785285 UFH785220:UFH785285 UPD785220:UPD785285 UYZ785220:UYZ785285 VIV785220:VIV785285 VSR785220:VSR785285 WCN785220:WCN785285 WMJ785220:WMJ785285 WWF785220:WWF785285 X850756:X850821 JT850756:JT850821 TP850756:TP850821 ADL850756:ADL850821 ANH850756:ANH850821 AXD850756:AXD850821 BGZ850756:BGZ850821 BQV850756:BQV850821 CAR850756:CAR850821 CKN850756:CKN850821 CUJ850756:CUJ850821 DEF850756:DEF850821 DOB850756:DOB850821 DXX850756:DXX850821 EHT850756:EHT850821 ERP850756:ERP850821 FBL850756:FBL850821 FLH850756:FLH850821 FVD850756:FVD850821 GEZ850756:GEZ850821 GOV850756:GOV850821 GYR850756:GYR850821 HIN850756:HIN850821 HSJ850756:HSJ850821 ICF850756:ICF850821 IMB850756:IMB850821 IVX850756:IVX850821 JFT850756:JFT850821 JPP850756:JPP850821 JZL850756:JZL850821 KJH850756:KJH850821 KTD850756:KTD850821 LCZ850756:LCZ850821 LMV850756:LMV850821 LWR850756:LWR850821 MGN850756:MGN850821 MQJ850756:MQJ850821 NAF850756:NAF850821 NKB850756:NKB850821 NTX850756:NTX850821 ODT850756:ODT850821 ONP850756:ONP850821 OXL850756:OXL850821 PHH850756:PHH850821 PRD850756:PRD850821 QAZ850756:QAZ850821 QKV850756:QKV850821 QUR850756:QUR850821 REN850756:REN850821 ROJ850756:ROJ850821 RYF850756:RYF850821 SIB850756:SIB850821 SRX850756:SRX850821 TBT850756:TBT850821 TLP850756:TLP850821 TVL850756:TVL850821 UFH850756:UFH850821 UPD850756:UPD850821 UYZ850756:UYZ850821 VIV850756:VIV850821 VSR850756:VSR850821 WCN850756:WCN850821 WMJ850756:WMJ850821 WWF850756:WWF850821 X916292:X916357 JT916292:JT916357 TP916292:TP916357 ADL916292:ADL916357 ANH916292:ANH916357 AXD916292:AXD916357 BGZ916292:BGZ916357 BQV916292:BQV916357 CAR916292:CAR916357 CKN916292:CKN916357 CUJ916292:CUJ916357 DEF916292:DEF916357 DOB916292:DOB916357 DXX916292:DXX916357 EHT916292:EHT916357 ERP916292:ERP916357 FBL916292:FBL916357 FLH916292:FLH916357 FVD916292:FVD916357 GEZ916292:GEZ916357 GOV916292:GOV916357 GYR916292:GYR916357 HIN916292:HIN916357 HSJ916292:HSJ916357 ICF916292:ICF916357 IMB916292:IMB916357 IVX916292:IVX916357 JFT916292:JFT916357 JPP916292:JPP916357 JZL916292:JZL916357 KJH916292:KJH916357 KTD916292:KTD916357 LCZ916292:LCZ916357 LMV916292:LMV916357 LWR916292:LWR916357 MGN916292:MGN916357 MQJ916292:MQJ916357 NAF916292:NAF916357 NKB916292:NKB916357 NTX916292:NTX916357 ODT916292:ODT916357 ONP916292:ONP916357 OXL916292:OXL916357 PHH916292:PHH916357 PRD916292:PRD916357 QAZ916292:QAZ916357 QKV916292:QKV916357 QUR916292:QUR916357 REN916292:REN916357 ROJ916292:ROJ916357 RYF916292:RYF916357 SIB916292:SIB916357 SRX916292:SRX916357 TBT916292:TBT916357 TLP916292:TLP916357 TVL916292:TVL916357 UFH916292:UFH916357 UPD916292:UPD916357 UYZ916292:UYZ916357 VIV916292:VIV916357 VSR916292:VSR916357 WCN916292:WCN916357 WMJ916292:WMJ916357 WWF916292:WWF916357 X981828:X981893 JT981828:JT981893 TP981828:TP981893 ADL981828:ADL981893 ANH981828:ANH981893 AXD981828:AXD981893 BGZ981828:BGZ981893 BQV981828:BQV981893 CAR981828:CAR981893 CKN981828:CKN981893 CUJ981828:CUJ981893 DEF981828:DEF981893 DOB981828:DOB981893 DXX981828:DXX981893 EHT981828:EHT981893 ERP981828:ERP981893 FBL981828:FBL981893 FLH981828:FLH981893 FVD981828:FVD981893 GEZ981828:GEZ981893 GOV981828:GOV981893 GYR981828:GYR981893 HIN981828:HIN981893 HSJ981828:HSJ981893 ICF981828:ICF981893 IMB981828:IMB981893 IVX981828:IVX981893 JFT981828:JFT981893 JPP981828:JPP981893 JZL981828:JZL981893 KJH981828:KJH981893 KTD981828:KTD981893 LCZ981828:LCZ981893 LMV981828:LMV981893 LWR981828:LWR981893 MGN981828:MGN981893 MQJ981828:MQJ981893 NAF981828:NAF981893 NKB981828:NKB981893 NTX981828:NTX981893 ODT981828:ODT981893 ONP981828:ONP981893 OXL981828:OXL981893 PHH981828:PHH981893 PRD981828:PRD981893 QAZ981828:QAZ981893 QKV981828:QKV981893 QUR981828:QUR981893 REN981828:REN981893 ROJ981828:ROJ981893 RYF981828:RYF981893 SIB981828:SIB981893 SRX981828:SRX981893 TBT981828:TBT981893 TLP981828:TLP981893 TVL981828:TVL981893 UFH981828:UFH981893 UPD981828:UPD981893 UYZ981828:UYZ981893 VIV981828:VIV981893 VSR981828:VSR981893 WCN981828:WCN981893 WMJ981828:WMJ981893 WWF981828:WWF981893 X1047364:X1047429 JT1047364:JT1047429 TP1047364:TP1047429 ADL1047364:ADL1047429 ANH1047364:ANH1047429 AXD1047364:AXD1047429 BGZ1047364:BGZ1047429 BQV1047364:BQV1047429 CAR1047364:CAR1047429 CKN1047364:CKN1047429 CUJ1047364:CUJ1047429 DEF1047364:DEF1047429 DOB1047364:DOB1047429 DXX1047364:DXX1047429 EHT1047364:EHT1047429 ERP1047364:ERP1047429 FBL1047364:FBL1047429 FLH1047364:FLH1047429 FVD1047364:FVD1047429 GEZ1047364:GEZ1047429 GOV1047364:GOV1047429 GYR1047364:GYR1047429 HIN1047364:HIN1047429 HSJ1047364:HSJ1047429 ICF1047364:ICF1047429 IMB1047364:IMB1047429 IVX1047364:IVX1047429 JFT1047364:JFT1047429 JPP1047364:JPP1047429 JZL1047364:JZL1047429 KJH1047364:KJH1047429 KTD1047364:KTD1047429 LCZ1047364:LCZ1047429 LMV1047364:LMV1047429 LWR1047364:LWR1047429 MGN1047364:MGN1047429 MQJ1047364:MQJ1047429 NAF1047364:NAF1047429 NKB1047364:NKB1047429 NTX1047364:NTX1047429 ODT1047364:ODT1047429 ONP1047364:ONP1047429 OXL1047364:OXL1047429 PHH1047364:PHH1047429 PRD1047364:PRD1047429 QAZ1047364:QAZ1047429 QKV1047364:QKV1047429 QUR1047364:QUR1047429 REN1047364:REN1047429 ROJ1047364:ROJ1047429 RYF1047364:RYF1047429 SIB1047364:SIB1047429 SRX1047364:SRX1047429 TBT1047364:TBT1047429 TLP1047364:TLP1047429 TVL1047364:TVL1047429 UFH1047364:UFH1047429 UPD1047364:UPD1047429 UYZ1047364:UYZ1047429 VIV1047364:VIV1047429 VSR1047364:VSR1047429 WCN1047364:WCN1047429 WMJ1047364:WMJ1047429 WWF1047364:WWF1047429 WWF983003:WWF983068 X65499:X65564 JT65499:JT65564 TP65499:TP65564 ADL65499:ADL65564 ANH65499:ANH65564 AXD65499:AXD65564 BGZ65499:BGZ65564 BQV65499:BQV65564 CAR65499:CAR65564 CKN65499:CKN65564 CUJ65499:CUJ65564 DEF65499:DEF65564 DOB65499:DOB65564 DXX65499:DXX65564 EHT65499:EHT65564 ERP65499:ERP65564 FBL65499:FBL65564 FLH65499:FLH65564 FVD65499:FVD65564 GEZ65499:GEZ65564 GOV65499:GOV65564 GYR65499:GYR65564 HIN65499:HIN65564 HSJ65499:HSJ65564 ICF65499:ICF65564 IMB65499:IMB65564 IVX65499:IVX65564 JFT65499:JFT65564 JPP65499:JPP65564 JZL65499:JZL65564 KJH65499:KJH65564 KTD65499:KTD65564 LCZ65499:LCZ65564 LMV65499:LMV65564 LWR65499:LWR65564 MGN65499:MGN65564 MQJ65499:MQJ65564 NAF65499:NAF65564 NKB65499:NKB65564 NTX65499:NTX65564 ODT65499:ODT65564 ONP65499:ONP65564 OXL65499:OXL65564 PHH65499:PHH65564 PRD65499:PRD65564 QAZ65499:QAZ65564 QKV65499:QKV65564 QUR65499:QUR65564 REN65499:REN65564 ROJ65499:ROJ65564 RYF65499:RYF65564 SIB65499:SIB65564 SRX65499:SRX65564 TBT65499:TBT65564 TLP65499:TLP65564 TVL65499:TVL65564 UFH65499:UFH65564 UPD65499:UPD65564 UYZ65499:UYZ65564 VIV65499:VIV65564 VSR65499:VSR65564 WCN65499:WCN65564 WMJ65499:WMJ65564 WWF65499:WWF65564 X131035:X131100 JT131035:JT131100 TP131035:TP131100 ADL131035:ADL131100 ANH131035:ANH131100 AXD131035:AXD131100 BGZ131035:BGZ131100 BQV131035:BQV131100 CAR131035:CAR131100 CKN131035:CKN131100 CUJ131035:CUJ131100 DEF131035:DEF131100 DOB131035:DOB131100 DXX131035:DXX131100 EHT131035:EHT131100 ERP131035:ERP131100 FBL131035:FBL131100 FLH131035:FLH131100 FVD131035:FVD131100 GEZ131035:GEZ131100 GOV131035:GOV131100 GYR131035:GYR131100 HIN131035:HIN131100 HSJ131035:HSJ131100 ICF131035:ICF131100 IMB131035:IMB131100 IVX131035:IVX131100 JFT131035:JFT131100 JPP131035:JPP131100 JZL131035:JZL131100 KJH131035:KJH131100 KTD131035:KTD131100 LCZ131035:LCZ131100 LMV131035:LMV131100 LWR131035:LWR131100 MGN131035:MGN131100 MQJ131035:MQJ131100 NAF131035:NAF131100 NKB131035:NKB131100 NTX131035:NTX131100 ODT131035:ODT131100 ONP131035:ONP131100 OXL131035:OXL131100 PHH131035:PHH131100 PRD131035:PRD131100 QAZ131035:QAZ131100 QKV131035:QKV131100 QUR131035:QUR131100 REN131035:REN131100 ROJ131035:ROJ131100 RYF131035:RYF131100 SIB131035:SIB131100 SRX131035:SRX131100 TBT131035:TBT131100 TLP131035:TLP131100 TVL131035:TVL131100 UFH131035:UFH131100 UPD131035:UPD131100 UYZ131035:UYZ131100 VIV131035:VIV131100 VSR131035:VSR131100 WCN131035:WCN131100 WMJ131035:WMJ131100 WWF131035:WWF131100 X196571:X196636 JT196571:JT196636 TP196571:TP196636 ADL196571:ADL196636 ANH196571:ANH196636 AXD196571:AXD196636 BGZ196571:BGZ196636 BQV196571:BQV196636 CAR196571:CAR196636 CKN196571:CKN196636 CUJ196571:CUJ196636 DEF196571:DEF196636 DOB196571:DOB196636 DXX196571:DXX196636 EHT196571:EHT196636 ERP196571:ERP196636 FBL196571:FBL196636 FLH196571:FLH196636 FVD196571:FVD196636 GEZ196571:GEZ196636 GOV196571:GOV196636 GYR196571:GYR196636 HIN196571:HIN196636 HSJ196571:HSJ196636 ICF196571:ICF196636 IMB196571:IMB196636 IVX196571:IVX196636 JFT196571:JFT196636 JPP196571:JPP196636 JZL196571:JZL196636 KJH196571:KJH196636 KTD196571:KTD196636 LCZ196571:LCZ196636 LMV196571:LMV196636 LWR196571:LWR196636 MGN196571:MGN196636 MQJ196571:MQJ196636 NAF196571:NAF196636 NKB196571:NKB196636 NTX196571:NTX196636 ODT196571:ODT196636 ONP196571:ONP196636 OXL196571:OXL196636 PHH196571:PHH196636 PRD196571:PRD196636 QAZ196571:QAZ196636 QKV196571:QKV196636 QUR196571:QUR196636 REN196571:REN196636 ROJ196571:ROJ196636 RYF196571:RYF196636 SIB196571:SIB196636 SRX196571:SRX196636 TBT196571:TBT196636 TLP196571:TLP196636 TVL196571:TVL196636 UFH196571:UFH196636 UPD196571:UPD196636 UYZ196571:UYZ196636 VIV196571:VIV196636 VSR196571:VSR196636 WCN196571:WCN196636 WMJ196571:WMJ196636 WWF196571:WWF196636 X262107:X262172 JT262107:JT262172 TP262107:TP262172 ADL262107:ADL262172 ANH262107:ANH262172 AXD262107:AXD262172 BGZ262107:BGZ262172 BQV262107:BQV262172 CAR262107:CAR262172 CKN262107:CKN262172 CUJ262107:CUJ262172 DEF262107:DEF262172 DOB262107:DOB262172 DXX262107:DXX262172 EHT262107:EHT262172 ERP262107:ERP262172 FBL262107:FBL262172 FLH262107:FLH262172 FVD262107:FVD262172 GEZ262107:GEZ262172 GOV262107:GOV262172 GYR262107:GYR262172 HIN262107:HIN262172 HSJ262107:HSJ262172 ICF262107:ICF262172 IMB262107:IMB262172 IVX262107:IVX262172 JFT262107:JFT262172 JPP262107:JPP262172 JZL262107:JZL262172 KJH262107:KJH262172 KTD262107:KTD262172 LCZ262107:LCZ262172 LMV262107:LMV262172 LWR262107:LWR262172 MGN262107:MGN262172 MQJ262107:MQJ262172 NAF262107:NAF262172 NKB262107:NKB262172 NTX262107:NTX262172 ODT262107:ODT262172 ONP262107:ONP262172 OXL262107:OXL262172 PHH262107:PHH262172 PRD262107:PRD262172 QAZ262107:QAZ262172 QKV262107:QKV262172 QUR262107:QUR262172 REN262107:REN262172 ROJ262107:ROJ262172 RYF262107:RYF262172 SIB262107:SIB262172 SRX262107:SRX262172 TBT262107:TBT262172 TLP262107:TLP262172 TVL262107:TVL262172 UFH262107:UFH262172 UPD262107:UPD262172 UYZ262107:UYZ262172 VIV262107:VIV262172 VSR262107:VSR262172 WCN262107:WCN262172 WMJ262107:WMJ262172 WWF262107:WWF262172 X327643:X327708 JT327643:JT327708 TP327643:TP327708 ADL327643:ADL327708 ANH327643:ANH327708 AXD327643:AXD327708 BGZ327643:BGZ327708 BQV327643:BQV327708 CAR327643:CAR327708 CKN327643:CKN327708 CUJ327643:CUJ327708 DEF327643:DEF327708 DOB327643:DOB327708 DXX327643:DXX327708 EHT327643:EHT327708 ERP327643:ERP327708 FBL327643:FBL327708 FLH327643:FLH327708 FVD327643:FVD327708 GEZ327643:GEZ327708 GOV327643:GOV327708 GYR327643:GYR327708 HIN327643:HIN327708 HSJ327643:HSJ327708 ICF327643:ICF327708 IMB327643:IMB327708 IVX327643:IVX327708 JFT327643:JFT327708 JPP327643:JPP327708 JZL327643:JZL327708 KJH327643:KJH327708 KTD327643:KTD327708 LCZ327643:LCZ327708 LMV327643:LMV327708 LWR327643:LWR327708 MGN327643:MGN327708 MQJ327643:MQJ327708 NAF327643:NAF327708 NKB327643:NKB327708 NTX327643:NTX327708 ODT327643:ODT327708 ONP327643:ONP327708 OXL327643:OXL327708 PHH327643:PHH327708 PRD327643:PRD327708 QAZ327643:QAZ327708 QKV327643:QKV327708 QUR327643:QUR327708 REN327643:REN327708 ROJ327643:ROJ327708 RYF327643:RYF327708 SIB327643:SIB327708 SRX327643:SRX327708 TBT327643:TBT327708 TLP327643:TLP327708 TVL327643:TVL327708 UFH327643:UFH327708 UPD327643:UPD327708 UYZ327643:UYZ327708 VIV327643:VIV327708 VSR327643:VSR327708 WCN327643:WCN327708 WMJ327643:WMJ327708 WWF327643:WWF327708 X393179:X393244 JT393179:JT393244 TP393179:TP393244 ADL393179:ADL393244 ANH393179:ANH393244 AXD393179:AXD393244 BGZ393179:BGZ393244 BQV393179:BQV393244 CAR393179:CAR393244 CKN393179:CKN393244 CUJ393179:CUJ393244 DEF393179:DEF393244 DOB393179:DOB393244 DXX393179:DXX393244 EHT393179:EHT393244 ERP393179:ERP393244 FBL393179:FBL393244 FLH393179:FLH393244 FVD393179:FVD393244 GEZ393179:GEZ393244 GOV393179:GOV393244 GYR393179:GYR393244 HIN393179:HIN393244 HSJ393179:HSJ393244 ICF393179:ICF393244 IMB393179:IMB393244 IVX393179:IVX393244 JFT393179:JFT393244 JPP393179:JPP393244 JZL393179:JZL393244 KJH393179:KJH393244 KTD393179:KTD393244 LCZ393179:LCZ393244 LMV393179:LMV393244 LWR393179:LWR393244 MGN393179:MGN393244 MQJ393179:MQJ393244 NAF393179:NAF393244 NKB393179:NKB393244 NTX393179:NTX393244 ODT393179:ODT393244 ONP393179:ONP393244 OXL393179:OXL393244 PHH393179:PHH393244 PRD393179:PRD393244 QAZ393179:QAZ393244 QKV393179:QKV393244 QUR393179:QUR393244 REN393179:REN393244 ROJ393179:ROJ393244 RYF393179:RYF393244 SIB393179:SIB393244 SRX393179:SRX393244 TBT393179:TBT393244 TLP393179:TLP393244 TVL393179:TVL393244 UFH393179:UFH393244 UPD393179:UPD393244 UYZ393179:UYZ393244 VIV393179:VIV393244 VSR393179:VSR393244 WCN393179:WCN393244 WMJ393179:WMJ393244 WWF393179:WWF393244 X458715:X458780 JT458715:JT458780 TP458715:TP458780 ADL458715:ADL458780 ANH458715:ANH458780 AXD458715:AXD458780 BGZ458715:BGZ458780 BQV458715:BQV458780 CAR458715:CAR458780 CKN458715:CKN458780 CUJ458715:CUJ458780 DEF458715:DEF458780 DOB458715:DOB458780 DXX458715:DXX458780 EHT458715:EHT458780 ERP458715:ERP458780 FBL458715:FBL458780 FLH458715:FLH458780 FVD458715:FVD458780 GEZ458715:GEZ458780 GOV458715:GOV458780 GYR458715:GYR458780 HIN458715:HIN458780 HSJ458715:HSJ458780 ICF458715:ICF458780 IMB458715:IMB458780 IVX458715:IVX458780 JFT458715:JFT458780 JPP458715:JPP458780 JZL458715:JZL458780 KJH458715:KJH458780 KTD458715:KTD458780 LCZ458715:LCZ458780 LMV458715:LMV458780 LWR458715:LWR458780 MGN458715:MGN458780 MQJ458715:MQJ458780 NAF458715:NAF458780 NKB458715:NKB458780 NTX458715:NTX458780 ODT458715:ODT458780 ONP458715:ONP458780 OXL458715:OXL458780 PHH458715:PHH458780 PRD458715:PRD458780 QAZ458715:QAZ458780 QKV458715:QKV458780 QUR458715:QUR458780 REN458715:REN458780 ROJ458715:ROJ458780 RYF458715:RYF458780 SIB458715:SIB458780 SRX458715:SRX458780 TBT458715:TBT458780 TLP458715:TLP458780 TVL458715:TVL458780 UFH458715:UFH458780 UPD458715:UPD458780 UYZ458715:UYZ458780 VIV458715:VIV458780 VSR458715:VSR458780 WCN458715:WCN458780 WMJ458715:WMJ458780 WWF458715:WWF458780 X524251:X524316 JT524251:JT524316 TP524251:TP524316 ADL524251:ADL524316 ANH524251:ANH524316 AXD524251:AXD524316 BGZ524251:BGZ524316 BQV524251:BQV524316 CAR524251:CAR524316 CKN524251:CKN524316 CUJ524251:CUJ524316 DEF524251:DEF524316 DOB524251:DOB524316 DXX524251:DXX524316 EHT524251:EHT524316 ERP524251:ERP524316 FBL524251:FBL524316 FLH524251:FLH524316 FVD524251:FVD524316 GEZ524251:GEZ524316 GOV524251:GOV524316 GYR524251:GYR524316 HIN524251:HIN524316 HSJ524251:HSJ524316 ICF524251:ICF524316 IMB524251:IMB524316 IVX524251:IVX524316 JFT524251:JFT524316 JPP524251:JPP524316 JZL524251:JZL524316 KJH524251:KJH524316 KTD524251:KTD524316 LCZ524251:LCZ524316 LMV524251:LMV524316 LWR524251:LWR524316 MGN524251:MGN524316 MQJ524251:MQJ524316 NAF524251:NAF524316 NKB524251:NKB524316 NTX524251:NTX524316 ODT524251:ODT524316 ONP524251:ONP524316 OXL524251:OXL524316 PHH524251:PHH524316 PRD524251:PRD524316 QAZ524251:QAZ524316 QKV524251:QKV524316 QUR524251:QUR524316 REN524251:REN524316 ROJ524251:ROJ524316 RYF524251:RYF524316 SIB524251:SIB524316 SRX524251:SRX524316 TBT524251:TBT524316 TLP524251:TLP524316 TVL524251:TVL524316 UFH524251:UFH524316 UPD524251:UPD524316 UYZ524251:UYZ524316 VIV524251:VIV524316 VSR524251:VSR524316 WCN524251:WCN524316 WMJ524251:WMJ524316 WWF524251:WWF524316 X589787:X589852 JT589787:JT589852 TP589787:TP589852 ADL589787:ADL589852 ANH589787:ANH589852 AXD589787:AXD589852 BGZ589787:BGZ589852 BQV589787:BQV589852 CAR589787:CAR589852 CKN589787:CKN589852 CUJ589787:CUJ589852 DEF589787:DEF589852 DOB589787:DOB589852 DXX589787:DXX589852 EHT589787:EHT589852 ERP589787:ERP589852 FBL589787:FBL589852 FLH589787:FLH589852 FVD589787:FVD589852 GEZ589787:GEZ589852 GOV589787:GOV589852 GYR589787:GYR589852 HIN589787:HIN589852 HSJ589787:HSJ589852 ICF589787:ICF589852 IMB589787:IMB589852 IVX589787:IVX589852 JFT589787:JFT589852 JPP589787:JPP589852 JZL589787:JZL589852 KJH589787:KJH589852 KTD589787:KTD589852 LCZ589787:LCZ589852 LMV589787:LMV589852 LWR589787:LWR589852 MGN589787:MGN589852 MQJ589787:MQJ589852 NAF589787:NAF589852 NKB589787:NKB589852 NTX589787:NTX589852 ODT589787:ODT589852 ONP589787:ONP589852 OXL589787:OXL589852 PHH589787:PHH589852 PRD589787:PRD589852 QAZ589787:QAZ589852 QKV589787:QKV589852 QUR589787:QUR589852 REN589787:REN589852 ROJ589787:ROJ589852 RYF589787:RYF589852 SIB589787:SIB589852 SRX589787:SRX589852 TBT589787:TBT589852 TLP589787:TLP589852 TVL589787:TVL589852 UFH589787:UFH589852 UPD589787:UPD589852 UYZ589787:UYZ589852 VIV589787:VIV589852 VSR589787:VSR589852 WCN589787:WCN589852 WMJ589787:WMJ589852 WWF589787:WWF589852 X655323:X655388 JT655323:JT655388 TP655323:TP655388 ADL655323:ADL655388 ANH655323:ANH655388 AXD655323:AXD655388 BGZ655323:BGZ655388 BQV655323:BQV655388 CAR655323:CAR655388 CKN655323:CKN655388 CUJ655323:CUJ655388 DEF655323:DEF655388 DOB655323:DOB655388 DXX655323:DXX655388 EHT655323:EHT655388 ERP655323:ERP655388 FBL655323:FBL655388 FLH655323:FLH655388 FVD655323:FVD655388 GEZ655323:GEZ655388 GOV655323:GOV655388 GYR655323:GYR655388 HIN655323:HIN655388 HSJ655323:HSJ655388 ICF655323:ICF655388 IMB655323:IMB655388 IVX655323:IVX655388 JFT655323:JFT655388 JPP655323:JPP655388 JZL655323:JZL655388 KJH655323:KJH655388 KTD655323:KTD655388 LCZ655323:LCZ655388 LMV655323:LMV655388 LWR655323:LWR655388 MGN655323:MGN655388 MQJ655323:MQJ655388 NAF655323:NAF655388 NKB655323:NKB655388 NTX655323:NTX655388 ODT655323:ODT655388 ONP655323:ONP655388 OXL655323:OXL655388 PHH655323:PHH655388 PRD655323:PRD655388 QAZ655323:QAZ655388 QKV655323:QKV655388 QUR655323:QUR655388 REN655323:REN655388 ROJ655323:ROJ655388 RYF655323:RYF655388 SIB655323:SIB655388 SRX655323:SRX655388 TBT655323:TBT655388 TLP655323:TLP655388 TVL655323:TVL655388 UFH655323:UFH655388 UPD655323:UPD655388 UYZ655323:UYZ655388 VIV655323:VIV655388 VSR655323:VSR655388 WCN655323:WCN655388 WMJ655323:WMJ655388 WWF655323:WWF655388 X720859:X720924 JT720859:JT720924 TP720859:TP720924 ADL720859:ADL720924 ANH720859:ANH720924 AXD720859:AXD720924 BGZ720859:BGZ720924 BQV720859:BQV720924 CAR720859:CAR720924 CKN720859:CKN720924 CUJ720859:CUJ720924 DEF720859:DEF720924 DOB720859:DOB720924 DXX720859:DXX720924 EHT720859:EHT720924 ERP720859:ERP720924 FBL720859:FBL720924 FLH720859:FLH720924 FVD720859:FVD720924 GEZ720859:GEZ720924 GOV720859:GOV720924 GYR720859:GYR720924 HIN720859:HIN720924 HSJ720859:HSJ720924 ICF720859:ICF720924 IMB720859:IMB720924 IVX720859:IVX720924 JFT720859:JFT720924 JPP720859:JPP720924 JZL720859:JZL720924 KJH720859:KJH720924 KTD720859:KTD720924 LCZ720859:LCZ720924 LMV720859:LMV720924 LWR720859:LWR720924 MGN720859:MGN720924 MQJ720859:MQJ720924 NAF720859:NAF720924 NKB720859:NKB720924 NTX720859:NTX720924 ODT720859:ODT720924 ONP720859:ONP720924 OXL720859:OXL720924 PHH720859:PHH720924 PRD720859:PRD720924 QAZ720859:QAZ720924 QKV720859:QKV720924 QUR720859:QUR720924 REN720859:REN720924 ROJ720859:ROJ720924 RYF720859:RYF720924 SIB720859:SIB720924 SRX720859:SRX720924 TBT720859:TBT720924 TLP720859:TLP720924 TVL720859:TVL720924 UFH720859:UFH720924 UPD720859:UPD720924 UYZ720859:UYZ720924 VIV720859:VIV720924 VSR720859:VSR720924 WCN720859:WCN720924 WMJ720859:WMJ720924 WWF720859:WWF720924 X786395:X786460 JT786395:JT786460 TP786395:TP786460 ADL786395:ADL786460 ANH786395:ANH786460 AXD786395:AXD786460 BGZ786395:BGZ786460 BQV786395:BQV786460 CAR786395:CAR786460 CKN786395:CKN786460 CUJ786395:CUJ786460 DEF786395:DEF786460 DOB786395:DOB786460 DXX786395:DXX786460 EHT786395:EHT786460 ERP786395:ERP786460 FBL786395:FBL786460 FLH786395:FLH786460 FVD786395:FVD786460 GEZ786395:GEZ786460 GOV786395:GOV786460 GYR786395:GYR786460 HIN786395:HIN786460 HSJ786395:HSJ786460 ICF786395:ICF786460 IMB786395:IMB786460 IVX786395:IVX786460 JFT786395:JFT786460 JPP786395:JPP786460 JZL786395:JZL786460 KJH786395:KJH786460 KTD786395:KTD786460 LCZ786395:LCZ786460 LMV786395:LMV786460 LWR786395:LWR786460 MGN786395:MGN786460 MQJ786395:MQJ786460 NAF786395:NAF786460 NKB786395:NKB786460 NTX786395:NTX786460 ODT786395:ODT786460 ONP786395:ONP786460 OXL786395:OXL786460 PHH786395:PHH786460 PRD786395:PRD786460 QAZ786395:QAZ786460 QKV786395:QKV786460 QUR786395:QUR786460 REN786395:REN786460 ROJ786395:ROJ786460 RYF786395:RYF786460 SIB786395:SIB786460 SRX786395:SRX786460 TBT786395:TBT786460 TLP786395:TLP786460 TVL786395:TVL786460 UFH786395:UFH786460 UPD786395:UPD786460 UYZ786395:UYZ786460 VIV786395:VIV786460 VSR786395:VSR786460 WCN786395:WCN786460 WMJ786395:WMJ786460 WWF786395:WWF786460 X851931:X851996 JT851931:JT851996 TP851931:TP851996 ADL851931:ADL851996 ANH851931:ANH851996 AXD851931:AXD851996 BGZ851931:BGZ851996 BQV851931:BQV851996 CAR851931:CAR851996 CKN851931:CKN851996 CUJ851931:CUJ851996 DEF851931:DEF851996 DOB851931:DOB851996 DXX851931:DXX851996 EHT851931:EHT851996 ERP851931:ERP851996 FBL851931:FBL851996 FLH851931:FLH851996 FVD851931:FVD851996 GEZ851931:GEZ851996 GOV851931:GOV851996 GYR851931:GYR851996 HIN851931:HIN851996 HSJ851931:HSJ851996 ICF851931:ICF851996 IMB851931:IMB851996 IVX851931:IVX851996 JFT851931:JFT851996 JPP851931:JPP851996 JZL851931:JZL851996 KJH851931:KJH851996 KTD851931:KTD851996 LCZ851931:LCZ851996 LMV851931:LMV851996 LWR851931:LWR851996 MGN851931:MGN851996 MQJ851931:MQJ851996 NAF851931:NAF851996 NKB851931:NKB851996 NTX851931:NTX851996 ODT851931:ODT851996 ONP851931:ONP851996 OXL851931:OXL851996 PHH851931:PHH851996 PRD851931:PRD851996 QAZ851931:QAZ851996 QKV851931:QKV851996 QUR851931:QUR851996 REN851931:REN851996 ROJ851931:ROJ851996 RYF851931:RYF851996 SIB851931:SIB851996 SRX851931:SRX851996 TBT851931:TBT851996 TLP851931:TLP851996 TVL851931:TVL851996 UFH851931:UFH851996 UPD851931:UPD851996 UYZ851931:UYZ851996 VIV851931:VIV851996 VSR851931:VSR851996 WCN851931:WCN851996 WMJ851931:WMJ851996 WWF851931:WWF851996 X917467:X917532 JT917467:JT917532 TP917467:TP917532 ADL917467:ADL917532 ANH917467:ANH917532 AXD917467:AXD917532 BGZ917467:BGZ917532 BQV917467:BQV917532 CAR917467:CAR917532 CKN917467:CKN917532 CUJ917467:CUJ917532 DEF917467:DEF917532 DOB917467:DOB917532 DXX917467:DXX917532 EHT917467:EHT917532 ERP917467:ERP917532 FBL917467:FBL917532 FLH917467:FLH917532 FVD917467:FVD917532 GEZ917467:GEZ917532 GOV917467:GOV917532 GYR917467:GYR917532 HIN917467:HIN917532 HSJ917467:HSJ917532 ICF917467:ICF917532 IMB917467:IMB917532 IVX917467:IVX917532 JFT917467:JFT917532 JPP917467:JPP917532 JZL917467:JZL917532 KJH917467:KJH917532 KTD917467:KTD917532 LCZ917467:LCZ917532 LMV917467:LMV917532 LWR917467:LWR917532 MGN917467:MGN917532 MQJ917467:MQJ917532 NAF917467:NAF917532 NKB917467:NKB917532 NTX917467:NTX917532 ODT917467:ODT917532 ONP917467:ONP917532 OXL917467:OXL917532 PHH917467:PHH917532 PRD917467:PRD917532 QAZ917467:QAZ917532 QKV917467:QKV917532 QUR917467:QUR917532 REN917467:REN917532 ROJ917467:ROJ917532 RYF917467:RYF917532 SIB917467:SIB917532 SRX917467:SRX917532 TBT917467:TBT917532 TLP917467:TLP917532 TVL917467:TVL917532 UFH917467:UFH917532 UPD917467:UPD917532 UYZ917467:UYZ917532 VIV917467:VIV917532 VSR917467:VSR917532 WCN917467:WCN917532 WMJ917467:WMJ917532 WWF917467:WWF917532 X983003:X983068 JT983003:JT983068 TP983003:TP983068 ADL983003:ADL983068 ANH983003:ANH983068 AXD983003:AXD983068 BGZ983003:BGZ983068 BQV983003:BQV983068 CAR983003:CAR983068 CKN983003:CKN983068 CUJ983003:CUJ983068 DEF983003:DEF983068 DOB983003:DOB983068 DXX983003:DXX983068 EHT983003:EHT983068 ERP983003:ERP983068 FBL983003:FBL983068 FLH983003:FLH983068 FVD983003:FVD983068 GEZ983003:GEZ983068 GOV983003:GOV983068 GYR983003:GYR983068 HIN983003:HIN983068 HSJ983003:HSJ983068 ICF983003:ICF983068 IMB983003:IMB983068 IVX983003:IVX983068 JFT983003:JFT983068 JPP983003:JPP983068 JZL983003:JZL983068 KJH983003:KJH983068 KTD983003:KTD983068 LCZ983003:LCZ983068 LMV983003:LMV983068 LWR983003:LWR983068 MGN983003:MGN983068 MQJ983003:MQJ983068 NAF983003:NAF983068 NKB983003:NKB983068 NTX983003:NTX983068 ODT983003:ODT983068 ONP983003:ONP983068 OXL983003:OXL983068 PHH983003:PHH983068 PRD983003:PRD983068 QAZ983003:QAZ983068 QKV983003:QKV983068 QUR983003:QUR983068 REN983003:REN983068 ROJ983003:ROJ983068 RYF983003:RYF983068 SIB983003:SIB983068 SRX983003:SRX983068 TBT983003:TBT983068 TLP983003:TLP983068 TVL983003:TVL983068 UFH983003:UFH983068 UPD983003:UPD983068 UYZ983003:UYZ983068 VIV983003:VIV983068 VSR983003:VSR983068 WCN983003:WCN983068 WMJ983003:WMJ983068 WMJ2:WMJ49 WWF2:WWF49 JT2:JT49 TP2:TP49 ADL2:ADL49 ANH2:ANH49 AXD2:AXD49 BGZ2:BGZ49 BQV2:BQV49 CAR2:CAR49 CKN2:CKN49 CUJ2:CUJ49 DEF2:DEF49 DOB2:DOB49 DXX2:DXX49 EHT2:EHT49 ERP2:ERP49 FBL2:FBL49 FLH2:FLH49 FVD2:FVD49 GEZ2:GEZ49 GOV2:GOV49 GYR2:GYR49 HIN2:HIN49 HSJ2:HSJ49 ICF2:ICF49 IMB2:IMB49 IVX2:IVX49 JFT2:JFT49 JPP2:JPP49 JZL2:JZL49 KJH2:KJH49 KTD2:KTD49 LCZ2:LCZ49 LMV2:LMV49 LWR2:LWR49 MGN2:MGN49 MQJ2:MQJ49 NAF2:NAF49 NKB2:NKB49 NTX2:NTX49 ODT2:ODT49 ONP2:ONP49 OXL2:OXL49 PHH2:PHH49 PRD2:PRD49 QAZ2:QAZ49 QKV2:QKV49 QUR2:QUR49 REN2:REN49 ROJ2:ROJ49 RYF2:RYF49 SIB2:SIB49 SRX2:SRX49 TBT2:TBT49 TLP2:TLP49 TVL2:TVL49 UFH2:UFH49 UPD2:UPD49 UYZ2:UYZ49 VIV2:VIV49 VSR2:VSR49 WCN2:WCN49 X2:X461" xr:uid="{1E53FA7F-4D9D-48EE-BDAE-AC40E0FB6647}">
      <formula1>$AT$2:$AT$3</formula1>
    </dataValidation>
    <dataValidation type="list" allowBlank="1" showInputMessage="1" showErrorMessage="1" sqref="G64324:G64391 JC64324:JC64391 SY64324:SY64391 ACU64324:ACU64391 AMQ64324:AMQ64391 AWM64324:AWM64391 BGI64324:BGI64391 BQE64324:BQE64391 CAA64324:CAA64391 CJW64324:CJW64391 CTS64324:CTS64391 DDO64324:DDO64391 DNK64324:DNK64391 DXG64324:DXG64391 EHC64324:EHC64391 EQY64324:EQY64391 FAU64324:FAU64391 FKQ64324:FKQ64391 FUM64324:FUM64391 GEI64324:GEI64391 GOE64324:GOE64391 GYA64324:GYA64391 HHW64324:HHW64391 HRS64324:HRS64391 IBO64324:IBO64391 ILK64324:ILK64391 IVG64324:IVG64391 JFC64324:JFC64391 JOY64324:JOY64391 JYU64324:JYU64391 KIQ64324:KIQ64391 KSM64324:KSM64391 LCI64324:LCI64391 LME64324:LME64391 LWA64324:LWA64391 MFW64324:MFW64391 MPS64324:MPS64391 MZO64324:MZO64391 NJK64324:NJK64391 NTG64324:NTG64391 ODC64324:ODC64391 OMY64324:OMY64391 OWU64324:OWU64391 PGQ64324:PGQ64391 PQM64324:PQM64391 QAI64324:QAI64391 QKE64324:QKE64391 QUA64324:QUA64391 RDW64324:RDW64391 RNS64324:RNS64391 RXO64324:RXO64391 SHK64324:SHK64391 SRG64324:SRG64391 TBC64324:TBC64391 TKY64324:TKY64391 TUU64324:TUU64391 UEQ64324:UEQ64391 UOM64324:UOM64391 UYI64324:UYI64391 VIE64324:VIE64391 VSA64324:VSA64391 WBW64324:WBW64391 WLS64324:WLS64391 WVO64324:WVO64391 G129860:G129927 JC129860:JC129927 SY129860:SY129927 ACU129860:ACU129927 AMQ129860:AMQ129927 AWM129860:AWM129927 BGI129860:BGI129927 BQE129860:BQE129927 CAA129860:CAA129927 CJW129860:CJW129927 CTS129860:CTS129927 DDO129860:DDO129927 DNK129860:DNK129927 DXG129860:DXG129927 EHC129860:EHC129927 EQY129860:EQY129927 FAU129860:FAU129927 FKQ129860:FKQ129927 FUM129860:FUM129927 GEI129860:GEI129927 GOE129860:GOE129927 GYA129860:GYA129927 HHW129860:HHW129927 HRS129860:HRS129927 IBO129860:IBO129927 ILK129860:ILK129927 IVG129860:IVG129927 JFC129860:JFC129927 JOY129860:JOY129927 JYU129860:JYU129927 KIQ129860:KIQ129927 KSM129860:KSM129927 LCI129860:LCI129927 LME129860:LME129927 LWA129860:LWA129927 MFW129860:MFW129927 MPS129860:MPS129927 MZO129860:MZO129927 NJK129860:NJK129927 NTG129860:NTG129927 ODC129860:ODC129927 OMY129860:OMY129927 OWU129860:OWU129927 PGQ129860:PGQ129927 PQM129860:PQM129927 QAI129860:QAI129927 QKE129860:QKE129927 QUA129860:QUA129927 RDW129860:RDW129927 RNS129860:RNS129927 RXO129860:RXO129927 SHK129860:SHK129927 SRG129860:SRG129927 TBC129860:TBC129927 TKY129860:TKY129927 TUU129860:TUU129927 UEQ129860:UEQ129927 UOM129860:UOM129927 UYI129860:UYI129927 VIE129860:VIE129927 VSA129860:VSA129927 WBW129860:WBW129927 WLS129860:WLS129927 WVO129860:WVO129927 G195396:G195463 JC195396:JC195463 SY195396:SY195463 ACU195396:ACU195463 AMQ195396:AMQ195463 AWM195396:AWM195463 BGI195396:BGI195463 BQE195396:BQE195463 CAA195396:CAA195463 CJW195396:CJW195463 CTS195396:CTS195463 DDO195396:DDO195463 DNK195396:DNK195463 DXG195396:DXG195463 EHC195396:EHC195463 EQY195396:EQY195463 FAU195396:FAU195463 FKQ195396:FKQ195463 FUM195396:FUM195463 GEI195396:GEI195463 GOE195396:GOE195463 GYA195396:GYA195463 HHW195396:HHW195463 HRS195396:HRS195463 IBO195396:IBO195463 ILK195396:ILK195463 IVG195396:IVG195463 JFC195396:JFC195463 JOY195396:JOY195463 JYU195396:JYU195463 KIQ195396:KIQ195463 KSM195396:KSM195463 LCI195396:LCI195463 LME195396:LME195463 LWA195396:LWA195463 MFW195396:MFW195463 MPS195396:MPS195463 MZO195396:MZO195463 NJK195396:NJK195463 NTG195396:NTG195463 ODC195396:ODC195463 OMY195396:OMY195463 OWU195396:OWU195463 PGQ195396:PGQ195463 PQM195396:PQM195463 QAI195396:QAI195463 QKE195396:QKE195463 QUA195396:QUA195463 RDW195396:RDW195463 RNS195396:RNS195463 RXO195396:RXO195463 SHK195396:SHK195463 SRG195396:SRG195463 TBC195396:TBC195463 TKY195396:TKY195463 TUU195396:TUU195463 UEQ195396:UEQ195463 UOM195396:UOM195463 UYI195396:UYI195463 VIE195396:VIE195463 VSA195396:VSA195463 WBW195396:WBW195463 WLS195396:WLS195463 WVO195396:WVO195463 G260932:G260999 JC260932:JC260999 SY260932:SY260999 ACU260932:ACU260999 AMQ260932:AMQ260999 AWM260932:AWM260999 BGI260932:BGI260999 BQE260932:BQE260999 CAA260932:CAA260999 CJW260932:CJW260999 CTS260932:CTS260999 DDO260932:DDO260999 DNK260932:DNK260999 DXG260932:DXG260999 EHC260932:EHC260999 EQY260932:EQY260999 FAU260932:FAU260999 FKQ260932:FKQ260999 FUM260932:FUM260999 GEI260932:GEI260999 GOE260932:GOE260999 GYA260932:GYA260999 HHW260932:HHW260999 HRS260932:HRS260999 IBO260932:IBO260999 ILK260932:ILK260999 IVG260932:IVG260999 JFC260932:JFC260999 JOY260932:JOY260999 JYU260932:JYU260999 KIQ260932:KIQ260999 KSM260932:KSM260999 LCI260932:LCI260999 LME260932:LME260999 LWA260932:LWA260999 MFW260932:MFW260999 MPS260932:MPS260999 MZO260932:MZO260999 NJK260932:NJK260999 NTG260932:NTG260999 ODC260932:ODC260999 OMY260932:OMY260999 OWU260932:OWU260999 PGQ260932:PGQ260999 PQM260932:PQM260999 QAI260932:QAI260999 QKE260932:QKE260999 QUA260932:QUA260999 RDW260932:RDW260999 RNS260932:RNS260999 RXO260932:RXO260999 SHK260932:SHK260999 SRG260932:SRG260999 TBC260932:TBC260999 TKY260932:TKY260999 TUU260932:TUU260999 UEQ260932:UEQ260999 UOM260932:UOM260999 UYI260932:UYI260999 VIE260932:VIE260999 VSA260932:VSA260999 WBW260932:WBW260999 WLS260932:WLS260999 WVO260932:WVO260999 G326468:G326535 JC326468:JC326535 SY326468:SY326535 ACU326468:ACU326535 AMQ326468:AMQ326535 AWM326468:AWM326535 BGI326468:BGI326535 BQE326468:BQE326535 CAA326468:CAA326535 CJW326468:CJW326535 CTS326468:CTS326535 DDO326468:DDO326535 DNK326468:DNK326535 DXG326468:DXG326535 EHC326468:EHC326535 EQY326468:EQY326535 FAU326468:FAU326535 FKQ326468:FKQ326535 FUM326468:FUM326535 GEI326468:GEI326535 GOE326468:GOE326535 GYA326468:GYA326535 HHW326468:HHW326535 HRS326468:HRS326535 IBO326468:IBO326535 ILK326468:ILK326535 IVG326468:IVG326535 JFC326468:JFC326535 JOY326468:JOY326535 JYU326468:JYU326535 KIQ326468:KIQ326535 KSM326468:KSM326535 LCI326468:LCI326535 LME326468:LME326535 LWA326468:LWA326535 MFW326468:MFW326535 MPS326468:MPS326535 MZO326468:MZO326535 NJK326468:NJK326535 NTG326468:NTG326535 ODC326468:ODC326535 OMY326468:OMY326535 OWU326468:OWU326535 PGQ326468:PGQ326535 PQM326468:PQM326535 QAI326468:QAI326535 QKE326468:QKE326535 QUA326468:QUA326535 RDW326468:RDW326535 RNS326468:RNS326535 RXO326468:RXO326535 SHK326468:SHK326535 SRG326468:SRG326535 TBC326468:TBC326535 TKY326468:TKY326535 TUU326468:TUU326535 UEQ326468:UEQ326535 UOM326468:UOM326535 UYI326468:UYI326535 VIE326468:VIE326535 VSA326468:VSA326535 WBW326468:WBW326535 WLS326468:WLS326535 WVO326468:WVO326535 G392004:G392071 JC392004:JC392071 SY392004:SY392071 ACU392004:ACU392071 AMQ392004:AMQ392071 AWM392004:AWM392071 BGI392004:BGI392071 BQE392004:BQE392071 CAA392004:CAA392071 CJW392004:CJW392071 CTS392004:CTS392071 DDO392004:DDO392071 DNK392004:DNK392071 DXG392004:DXG392071 EHC392004:EHC392071 EQY392004:EQY392071 FAU392004:FAU392071 FKQ392004:FKQ392071 FUM392004:FUM392071 GEI392004:GEI392071 GOE392004:GOE392071 GYA392004:GYA392071 HHW392004:HHW392071 HRS392004:HRS392071 IBO392004:IBO392071 ILK392004:ILK392071 IVG392004:IVG392071 JFC392004:JFC392071 JOY392004:JOY392071 JYU392004:JYU392071 KIQ392004:KIQ392071 KSM392004:KSM392071 LCI392004:LCI392071 LME392004:LME392071 LWA392004:LWA392071 MFW392004:MFW392071 MPS392004:MPS392071 MZO392004:MZO392071 NJK392004:NJK392071 NTG392004:NTG392071 ODC392004:ODC392071 OMY392004:OMY392071 OWU392004:OWU392071 PGQ392004:PGQ392071 PQM392004:PQM392071 QAI392004:QAI392071 QKE392004:QKE392071 QUA392004:QUA392071 RDW392004:RDW392071 RNS392004:RNS392071 RXO392004:RXO392071 SHK392004:SHK392071 SRG392004:SRG392071 TBC392004:TBC392071 TKY392004:TKY392071 TUU392004:TUU392071 UEQ392004:UEQ392071 UOM392004:UOM392071 UYI392004:UYI392071 VIE392004:VIE392071 VSA392004:VSA392071 WBW392004:WBW392071 WLS392004:WLS392071 WVO392004:WVO392071 G457540:G457607 JC457540:JC457607 SY457540:SY457607 ACU457540:ACU457607 AMQ457540:AMQ457607 AWM457540:AWM457607 BGI457540:BGI457607 BQE457540:BQE457607 CAA457540:CAA457607 CJW457540:CJW457607 CTS457540:CTS457607 DDO457540:DDO457607 DNK457540:DNK457607 DXG457540:DXG457607 EHC457540:EHC457607 EQY457540:EQY457607 FAU457540:FAU457607 FKQ457540:FKQ457607 FUM457540:FUM457607 GEI457540:GEI457607 GOE457540:GOE457607 GYA457540:GYA457607 HHW457540:HHW457607 HRS457540:HRS457607 IBO457540:IBO457607 ILK457540:ILK457607 IVG457540:IVG457607 JFC457540:JFC457607 JOY457540:JOY457607 JYU457540:JYU457607 KIQ457540:KIQ457607 KSM457540:KSM457607 LCI457540:LCI457607 LME457540:LME457607 LWA457540:LWA457607 MFW457540:MFW457607 MPS457540:MPS457607 MZO457540:MZO457607 NJK457540:NJK457607 NTG457540:NTG457607 ODC457540:ODC457607 OMY457540:OMY457607 OWU457540:OWU457607 PGQ457540:PGQ457607 PQM457540:PQM457607 QAI457540:QAI457607 QKE457540:QKE457607 QUA457540:QUA457607 RDW457540:RDW457607 RNS457540:RNS457607 RXO457540:RXO457607 SHK457540:SHK457607 SRG457540:SRG457607 TBC457540:TBC457607 TKY457540:TKY457607 TUU457540:TUU457607 UEQ457540:UEQ457607 UOM457540:UOM457607 UYI457540:UYI457607 VIE457540:VIE457607 VSA457540:VSA457607 WBW457540:WBW457607 WLS457540:WLS457607 WVO457540:WVO457607 G523076:G523143 JC523076:JC523143 SY523076:SY523143 ACU523076:ACU523143 AMQ523076:AMQ523143 AWM523076:AWM523143 BGI523076:BGI523143 BQE523076:BQE523143 CAA523076:CAA523143 CJW523076:CJW523143 CTS523076:CTS523143 DDO523076:DDO523143 DNK523076:DNK523143 DXG523076:DXG523143 EHC523076:EHC523143 EQY523076:EQY523143 FAU523076:FAU523143 FKQ523076:FKQ523143 FUM523076:FUM523143 GEI523076:GEI523143 GOE523076:GOE523143 GYA523076:GYA523143 HHW523076:HHW523143 HRS523076:HRS523143 IBO523076:IBO523143 ILK523076:ILK523143 IVG523076:IVG523143 JFC523076:JFC523143 JOY523076:JOY523143 JYU523076:JYU523143 KIQ523076:KIQ523143 KSM523076:KSM523143 LCI523076:LCI523143 LME523076:LME523143 LWA523076:LWA523143 MFW523076:MFW523143 MPS523076:MPS523143 MZO523076:MZO523143 NJK523076:NJK523143 NTG523076:NTG523143 ODC523076:ODC523143 OMY523076:OMY523143 OWU523076:OWU523143 PGQ523076:PGQ523143 PQM523076:PQM523143 QAI523076:QAI523143 QKE523076:QKE523143 QUA523076:QUA523143 RDW523076:RDW523143 RNS523076:RNS523143 RXO523076:RXO523143 SHK523076:SHK523143 SRG523076:SRG523143 TBC523076:TBC523143 TKY523076:TKY523143 TUU523076:TUU523143 UEQ523076:UEQ523143 UOM523076:UOM523143 UYI523076:UYI523143 VIE523076:VIE523143 VSA523076:VSA523143 WBW523076:WBW523143 WLS523076:WLS523143 WVO523076:WVO523143 G588612:G588679 JC588612:JC588679 SY588612:SY588679 ACU588612:ACU588679 AMQ588612:AMQ588679 AWM588612:AWM588679 BGI588612:BGI588679 BQE588612:BQE588679 CAA588612:CAA588679 CJW588612:CJW588679 CTS588612:CTS588679 DDO588612:DDO588679 DNK588612:DNK588679 DXG588612:DXG588679 EHC588612:EHC588679 EQY588612:EQY588679 FAU588612:FAU588679 FKQ588612:FKQ588679 FUM588612:FUM588679 GEI588612:GEI588679 GOE588612:GOE588679 GYA588612:GYA588679 HHW588612:HHW588679 HRS588612:HRS588679 IBO588612:IBO588679 ILK588612:ILK588679 IVG588612:IVG588679 JFC588612:JFC588679 JOY588612:JOY588679 JYU588612:JYU588679 KIQ588612:KIQ588679 KSM588612:KSM588679 LCI588612:LCI588679 LME588612:LME588679 LWA588612:LWA588679 MFW588612:MFW588679 MPS588612:MPS588679 MZO588612:MZO588679 NJK588612:NJK588679 NTG588612:NTG588679 ODC588612:ODC588679 OMY588612:OMY588679 OWU588612:OWU588679 PGQ588612:PGQ588679 PQM588612:PQM588679 QAI588612:QAI588679 QKE588612:QKE588679 QUA588612:QUA588679 RDW588612:RDW588679 RNS588612:RNS588679 RXO588612:RXO588679 SHK588612:SHK588679 SRG588612:SRG588679 TBC588612:TBC588679 TKY588612:TKY588679 TUU588612:TUU588679 UEQ588612:UEQ588679 UOM588612:UOM588679 UYI588612:UYI588679 VIE588612:VIE588679 VSA588612:VSA588679 WBW588612:WBW588679 WLS588612:WLS588679 WVO588612:WVO588679 G654148:G654215 JC654148:JC654215 SY654148:SY654215 ACU654148:ACU654215 AMQ654148:AMQ654215 AWM654148:AWM654215 BGI654148:BGI654215 BQE654148:BQE654215 CAA654148:CAA654215 CJW654148:CJW654215 CTS654148:CTS654215 DDO654148:DDO654215 DNK654148:DNK654215 DXG654148:DXG654215 EHC654148:EHC654215 EQY654148:EQY654215 FAU654148:FAU654215 FKQ654148:FKQ654215 FUM654148:FUM654215 GEI654148:GEI654215 GOE654148:GOE654215 GYA654148:GYA654215 HHW654148:HHW654215 HRS654148:HRS654215 IBO654148:IBO654215 ILK654148:ILK654215 IVG654148:IVG654215 JFC654148:JFC654215 JOY654148:JOY654215 JYU654148:JYU654215 KIQ654148:KIQ654215 KSM654148:KSM654215 LCI654148:LCI654215 LME654148:LME654215 LWA654148:LWA654215 MFW654148:MFW654215 MPS654148:MPS654215 MZO654148:MZO654215 NJK654148:NJK654215 NTG654148:NTG654215 ODC654148:ODC654215 OMY654148:OMY654215 OWU654148:OWU654215 PGQ654148:PGQ654215 PQM654148:PQM654215 QAI654148:QAI654215 QKE654148:QKE654215 QUA654148:QUA654215 RDW654148:RDW654215 RNS654148:RNS654215 RXO654148:RXO654215 SHK654148:SHK654215 SRG654148:SRG654215 TBC654148:TBC654215 TKY654148:TKY654215 TUU654148:TUU654215 UEQ654148:UEQ654215 UOM654148:UOM654215 UYI654148:UYI654215 VIE654148:VIE654215 VSA654148:VSA654215 WBW654148:WBW654215 WLS654148:WLS654215 WVO654148:WVO654215 G719684:G719751 JC719684:JC719751 SY719684:SY719751 ACU719684:ACU719751 AMQ719684:AMQ719751 AWM719684:AWM719751 BGI719684:BGI719751 BQE719684:BQE719751 CAA719684:CAA719751 CJW719684:CJW719751 CTS719684:CTS719751 DDO719684:DDO719751 DNK719684:DNK719751 DXG719684:DXG719751 EHC719684:EHC719751 EQY719684:EQY719751 FAU719684:FAU719751 FKQ719684:FKQ719751 FUM719684:FUM719751 GEI719684:GEI719751 GOE719684:GOE719751 GYA719684:GYA719751 HHW719684:HHW719751 HRS719684:HRS719751 IBO719684:IBO719751 ILK719684:ILK719751 IVG719684:IVG719751 JFC719684:JFC719751 JOY719684:JOY719751 JYU719684:JYU719751 KIQ719684:KIQ719751 KSM719684:KSM719751 LCI719684:LCI719751 LME719684:LME719751 LWA719684:LWA719751 MFW719684:MFW719751 MPS719684:MPS719751 MZO719684:MZO719751 NJK719684:NJK719751 NTG719684:NTG719751 ODC719684:ODC719751 OMY719684:OMY719751 OWU719684:OWU719751 PGQ719684:PGQ719751 PQM719684:PQM719751 QAI719684:QAI719751 QKE719684:QKE719751 QUA719684:QUA719751 RDW719684:RDW719751 RNS719684:RNS719751 RXO719684:RXO719751 SHK719684:SHK719751 SRG719684:SRG719751 TBC719684:TBC719751 TKY719684:TKY719751 TUU719684:TUU719751 UEQ719684:UEQ719751 UOM719684:UOM719751 UYI719684:UYI719751 VIE719684:VIE719751 VSA719684:VSA719751 WBW719684:WBW719751 WLS719684:WLS719751 WVO719684:WVO719751 G785220:G785287 JC785220:JC785287 SY785220:SY785287 ACU785220:ACU785287 AMQ785220:AMQ785287 AWM785220:AWM785287 BGI785220:BGI785287 BQE785220:BQE785287 CAA785220:CAA785287 CJW785220:CJW785287 CTS785220:CTS785287 DDO785220:DDO785287 DNK785220:DNK785287 DXG785220:DXG785287 EHC785220:EHC785287 EQY785220:EQY785287 FAU785220:FAU785287 FKQ785220:FKQ785287 FUM785220:FUM785287 GEI785220:GEI785287 GOE785220:GOE785287 GYA785220:GYA785287 HHW785220:HHW785287 HRS785220:HRS785287 IBO785220:IBO785287 ILK785220:ILK785287 IVG785220:IVG785287 JFC785220:JFC785287 JOY785220:JOY785287 JYU785220:JYU785287 KIQ785220:KIQ785287 KSM785220:KSM785287 LCI785220:LCI785287 LME785220:LME785287 LWA785220:LWA785287 MFW785220:MFW785287 MPS785220:MPS785287 MZO785220:MZO785287 NJK785220:NJK785287 NTG785220:NTG785287 ODC785220:ODC785287 OMY785220:OMY785287 OWU785220:OWU785287 PGQ785220:PGQ785287 PQM785220:PQM785287 QAI785220:QAI785287 QKE785220:QKE785287 QUA785220:QUA785287 RDW785220:RDW785287 RNS785220:RNS785287 RXO785220:RXO785287 SHK785220:SHK785287 SRG785220:SRG785287 TBC785220:TBC785287 TKY785220:TKY785287 TUU785220:TUU785287 UEQ785220:UEQ785287 UOM785220:UOM785287 UYI785220:UYI785287 VIE785220:VIE785287 VSA785220:VSA785287 WBW785220:WBW785287 WLS785220:WLS785287 WVO785220:WVO785287 G850756:G850823 JC850756:JC850823 SY850756:SY850823 ACU850756:ACU850823 AMQ850756:AMQ850823 AWM850756:AWM850823 BGI850756:BGI850823 BQE850756:BQE850823 CAA850756:CAA850823 CJW850756:CJW850823 CTS850756:CTS850823 DDO850756:DDO850823 DNK850756:DNK850823 DXG850756:DXG850823 EHC850756:EHC850823 EQY850756:EQY850823 FAU850756:FAU850823 FKQ850756:FKQ850823 FUM850756:FUM850823 GEI850756:GEI850823 GOE850756:GOE850823 GYA850756:GYA850823 HHW850756:HHW850823 HRS850756:HRS850823 IBO850756:IBO850823 ILK850756:ILK850823 IVG850756:IVG850823 JFC850756:JFC850823 JOY850756:JOY850823 JYU850756:JYU850823 KIQ850756:KIQ850823 KSM850756:KSM850823 LCI850756:LCI850823 LME850756:LME850823 LWA850756:LWA850823 MFW850756:MFW850823 MPS850756:MPS850823 MZO850756:MZO850823 NJK850756:NJK850823 NTG850756:NTG850823 ODC850756:ODC850823 OMY850756:OMY850823 OWU850756:OWU850823 PGQ850756:PGQ850823 PQM850756:PQM850823 QAI850756:QAI850823 QKE850756:QKE850823 QUA850756:QUA850823 RDW850756:RDW850823 RNS850756:RNS850823 RXO850756:RXO850823 SHK850756:SHK850823 SRG850756:SRG850823 TBC850756:TBC850823 TKY850756:TKY850823 TUU850756:TUU850823 UEQ850756:UEQ850823 UOM850756:UOM850823 UYI850756:UYI850823 VIE850756:VIE850823 VSA850756:VSA850823 WBW850756:WBW850823 WLS850756:WLS850823 WVO850756:WVO850823 G916292:G916359 JC916292:JC916359 SY916292:SY916359 ACU916292:ACU916359 AMQ916292:AMQ916359 AWM916292:AWM916359 BGI916292:BGI916359 BQE916292:BQE916359 CAA916292:CAA916359 CJW916292:CJW916359 CTS916292:CTS916359 DDO916292:DDO916359 DNK916292:DNK916359 DXG916292:DXG916359 EHC916292:EHC916359 EQY916292:EQY916359 FAU916292:FAU916359 FKQ916292:FKQ916359 FUM916292:FUM916359 GEI916292:GEI916359 GOE916292:GOE916359 GYA916292:GYA916359 HHW916292:HHW916359 HRS916292:HRS916359 IBO916292:IBO916359 ILK916292:ILK916359 IVG916292:IVG916359 JFC916292:JFC916359 JOY916292:JOY916359 JYU916292:JYU916359 KIQ916292:KIQ916359 KSM916292:KSM916359 LCI916292:LCI916359 LME916292:LME916359 LWA916292:LWA916359 MFW916292:MFW916359 MPS916292:MPS916359 MZO916292:MZO916359 NJK916292:NJK916359 NTG916292:NTG916359 ODC916292:ODC916359 OMY916292:OMY916359 OWU916292:OWU916359 PGQ916292:PGQ916359 PQM916292:PQM916359 QAI916292:QAI916359 QKE916292:QKE916359 QUA916292:QUA916359 RDW916292:RDW916359 RNS916292:RNS916359 RXO916292:RXO916359 SHK916292:SHK916359 SRG916292:SRG916359 TBC916292:TBC916359 TKY916292:TKY916359 TUU916292:TUU916359 UEQ916292:UEQ916359 UOM916292:UOM916359 UYI916292:UYI916359 VIE916292:VIE916359 VSA916292:VSA916359 WBW916292:WBW916359 WLS916292:WLS916359 WVO916292:WVO916359 G981828:G981895 JC981828:JC981895 SY981828:SY981895 ACU981828:ACU981895 AMQ981828:AMQ981895 AWM981828:AWM981895 BGI981828:BGI981895 BQE981828:BQE981895 CAA981828:CAA981895 CJW981828:CJW981895 CTS981828:CTS981895 DDO981828:DDO981895 DNK981828:DNK981895 DXG981828:DXG981895 EHC981828:EHC981895 EQY981828:EQY981895 FAU981828:FAU981895 FKQ981828:FKQ981895 FUM981828:FUM981895 GEI981828:GEI981895 GOE981828:GOE981895 GYA981828:GYA981895 HHW981828:HHW981895 HRS981828:HRS981895 IBO981828:IBO981895 ILK981828:ILK981895 IVG981828:IVG981895 JFC981828:JFC981895 JOY981828:JOY981895 JYU981828:JYU981895 KIQ981828:KIQ981895 KSM981828:KSM981895 LCI981828:LCI981895 LME981828:LME981895 LWA981828:LWA981895 MFW981828:MFW981895 MPS981828:MPS981895 MZO981828:MZO981895 NJK981828:NJK981895 NTG981828:NTG981895 ODC981828:ODC981895 OMY981828:OMY981895 OWU981828:OWU981895 PGQ981828:PGQ981895 PQM981828:PQM981895 QAI981828:QAI981895 QKE981828:QKE981895 QUA981828:QUA981895 RDW981828:RDW981895 RNS981828:RNS981895 RXO981828:RXO981895 SHK981828:SHK981895 SRG981828:SRG981895 TBC981828:TBC981895 TKY981828:TKY981895 TUU981828:TUU981895 UEQ981828:UEQ981895 UOM981828:UOM981895 UYI981828:UYI981895 VIE981828:VIE981895 VSA981828:VSA981895 WBW981828:WBW981895 WLS981828:WLS981895 WVO981828:WVO981895 G1047364:G1047431 JC1047364:JC1047431 SY1047364:SY1047431 ACU1047364:ACU1047431 AMQ1047364:AMQ1047431 AWM1047364:AWM1047431 BGI1047364:BGI1047431 BQE1047364:BQE1047431 CAA1047364:CAA1047431 CJW1047364:CJW1047431 CTS1047364:CTS1047431 DDO1047364:DDO1047431 DNK1047364:DNK1047431 DXG1047364:DXG1047431 EHC1047364:EHC1047431 EQY1047364:EQY1047431 FAU1047364:FAU1047431 FKQ1047364:FKQ1047431 FUM1047364:FUM1047431 GEI1047364:GEI1047431 GOE1047364:GOE1047431 GYA1047364:GYA1047431 HHW1047364:HHW1047431 HRS1047364:HRS1047431 IBO1047364:IBO1047431 ILK1047364:ILK1047431 IVG1047364:IVG1047431 JFC1047364:JFC1047431 JOY1047364:JOY1047431 JYU1047364:JYU1047431 KIQ1047364:KIQ1047431 KSM1047364:KSM1047431 LCI1047364:LCI1047431 LME1047364:LME1047431 LWA1047364:LWA1047431 MFW1047364:MFW1047431 MPS1047364:MPS1047431 MZO1047364:MZO1047431 NJK1047364:NJK1047431 NTG1047364:NTG1047431 ODC1047364:ODC1047431 OMY1047364:OMY1047431 OWU1047364:OWU1047431 PGQ1047364:PGQ1047431 PQM1047364:PQM1047431 QAI1047364:QAI1047431 QKE1047364:QKE1047431 QUA1047364:QUA1047431 RDW1047364:RDW1047431 RNS1047364:RNS1047431 RXO1047364:RXO1047431 SHK1047364:SHK1047431 SRG1047364:SRG1047431 TBC1047364:TBC1047431 TKY1047364:TKY1047431 TUU1047364:TUU1047431 UEQ1047364:UEQ1047431 UOM1047364:UOM1047431 UYI1047364:UYI1047431 VIE1047364:VIE1047431 VSA1047364:VSA1047431 WBW1047364:WBW1047431 WLS1047364:WLS1047431 WVO1047364:WVO1047431 WVO983003:WVO983074 G65499:G65570 JC65499:JC65570 SY65499:SY65570 ACU65499:ACU65570 AMQ65499:AMQ65570 AWM65499:AWM65570 BGI65499:BGI65570 BQE65499:BQE65570 CAA65499:CAA65570 CJW65499:CJW65570 CTS65499:CTS65570 DDO65499:DDO65570 DNK65499:DNK65570 DXG65499:DXG65570 EHC65499:EHC65570 EQY65499:EQY65570 FAU65499:FAU65570 FKQ65499:FKQ65570 FUM65499:FUM65570 GEI65499:GEI65570 GOE65499:GOE65570 GYA65499:GYA65570 HHW65499:HHW65570 HRS65499:HRS65570 IBO65499:IBO65570 ILK65499:ILK65570 IVG65499:IVG65570 JFC65499:JFC65570 JOY65499:JOY65570 JYU65499:JYU65570 KIQ65499:KIQ65570 KSM65499:KSM65570 LCI65499:LCI65570 LME65499:LME65570 LWA65499:LWA65570 MFW65499:MFW65570 MPS65499:MPS65570 MZO65499:MZO65570 NJK65499:NJK65570 NTG65499:NTG65570 ODC65499:ODC65570 OMY65499:OMY65570 OWU65499:OWU65570 PGQ65499:PGQ65570 PQM65499:PQM65570 QAI65499:QAI65570 QKE65499:QKE65570 QUA65499:QUA65570 RDW65499:RDW65570 RNS65499:RNS65570 RXO65499:RXO65570 SHK65499:SHK65570 SRG65499:SRG65570 TBC65499:TBC65570 TKY65499:TKY65570 TUU65499:TUU65570 UEQ65499:UEQ65570 UOM65499:UOM65570 UYI65499:UYI65570 VIE65499:VIE65570 VSA65499:VSA65570 WBW65499:WBW65570 WLS65499:WLS65570 WVO65499:WVO65570 G131035:G131106 JC131035:JC131106 SY131035:SY131106 ACU131035:ACU131106 AMQ131035:AMQ131106 AWM131035:AWM131106 BGI131035:BGI131106 BQE131035:BQE131106 CAA131035:CAA131106 CJW131035:CJW131106 CTS131035:CTS131106 DDO131035:DDO131106 DNK131035:DNK131106 DXG131035:DXG131106 EHC131035:EHC131106 EQY131035:EQY131106 FAU131035:FAU131106 FKQ131035:FKQ131106 FUM131035:FUM131106 GEI131035:GEI131106 GOE131035:GOE131106 GYA131035:GYA131106 HHW131035:HHW131106 HRS131035:HRS131106 IBO131035:IBO131106 ILK131035:ILK131106 IVG131035:IVG131106 JFC131035:JFC131106 JOY131035:JOY131106 JYU131035:JYU131106 KIQ131035:KIQ131106 KSM131035:KSM131106 LCI131035:LCI131106 LME131035:LME131106 LWA131035:LWA131106 MFW131035:MFW131106 MPS131035:MPS131106 MZO131035:MZO131106 NJK131035:NJK131106 NTG131035:NTG131106 ODC131035:ODC131106 OMY131035:OMY131106 OWU131035:OWU131106 PGQ131035:PGQ131106 PQM131035:PQM131106 QAI131035:QAI131106 QKE131035:QKE131106 QUA131035:QUA131106 RDW131035:RDW131106 RNS131035:RNS131106 RXO131035:RXO131106 SHK131035:SHK131106 SRG131035:SRG131106 TBC131035:TBC131106 TKY131035:TKY131106 TUU131035:TUU131106 UEQ131035:UEQ131106 UOM131035:UOM131106 UYI131035:UYI131106 VIE131035:VIE131106 VSA131035:VSA131106 WBW131035:WBW131106 WLS131035:WLS131106 WVO131035:WVO131106 G196571:G196642 JC196571:JC196642 SY196571:SY196642 ACU196571:ACU196642 AMQ196571:AMQ196642 AWM196571:AWM196642 BGI196571:BGI196642 BQE196571:BQE196642 CAA196571:CAA196642 CJW196571:CJW196642 CTS196571:CTS196642 DDO196571:DDO196642 DNK196571:DNK196642 DXG196571:DXG196642 EHC196571:EHC196642 EQY196571:EQY196642 FAU196571:FAU196642 FKQ196571:FKQ196642 FUM196571:FUM196642 GEI196571:GEI196642 GOE196571:GOE196642 GYA196571:GYA196642 HHW196571:HHW196642 HRS196571:HRS196642 IBO196571:IBO196642 ILK196571:ILK196642 IVG196571:IVG196642 JFC196571:JFC196642 JOY196571:JOY196642 JYU196571:JYU196642 KIQ196571:KIQ196642 KSM196571:KSM196642 LCI196571:LCI196642 LME196571:LME196642 LWA196571:LWA196642 MFW196571:MFW196642 MPS196571:MPS196642 MZO196571:MZO196642 NJK196571:NJK196642 NTG196571:NTG196642 ODC196571:ODC196642 OMY196571:OMY196642 OWU196571:OWU196642 PGQ196571:PGQ196642 PQM196571:PQM196642 QAI196571:QAI196642 QKE196571:QKE196642 QUA196571:QUA196642 RDW196571:RDW196642 RNS196571:RNS196642 RXO196571:RXO196642 SHK196571:SHK196642 SRG196571:SRG196642 TBC196571:TBC196642 TKY196571:TKY196642 TUU196571:TUU196642 UEQ196571:UEQ196642 UOM196571:UOM196642 UYI196571:UYI196642 VIE196571:VIE196642 VSA196571:VSA196642 WBW196571:WBW196642 WLS196571:WLS196642 WVO196571:WVO196642 G262107:G262178 JC262107:JC262178 SY262107:SY262178 ACU262107:ACU262178 AMQ262107:AMQ262178 AWM262107:AWM262178 BGI262107:BGI262178 BQE262107:BQE262178 CAA262107:CAA262178 CJW262107:CJW262178 CTS262107:CTS262178 DDO262107:DDO262178 DNK262107:DNK262178 DXG262107:DXG262178 EHC262107:EHC262178 EQY262107:EQY262178 FAU262107:FAU262178 FKQ262107:FKQ262178 FUM262107:FUM262178 GEI262107:GEI262178 GOE262107:GOE262178 GYA262107:GYA262178 HHW262107:HHW262178 HRS262107:HRS262178 IBO262107:IBO262178 ILK262107:ILK262178 IVG262107:IVG262178 JFC262107:JFC262178 JOY262107:JOY262178 JYU262107:JYU262178 KIQ262107:KIQ262178 KSM262107:KSM262178 LCI262107:LCI262178 LME262107:LME262178 LWA262107:LWA262178 MFW262107:MFW262178 MPS262107:MPS262178 MZO262107:MZO262178 NJK262107:NJK262178 NTG262107:NTG262178 ODC262107:ODC262178 OMY262107:OMY262178 OWU262107:OWU262178 PGQ262107:PGQ262178 PQM262107:PQM262178 QAI262107:QAI262178 QKE262107:QKE262178 QUA262107:QUA262178 RDW262107:RDW262178 RNS262107:RNS262178 RXO262107:RXO262178 SHK262107:SHK262178 SRG262107:SRG262178 TBC262107:TBC262178 TKY262107:TKY262178 TUU262107:TUU262178 UEQ262107:UEQ262178 UOM262107:UOM262178 UYI262107:UYI262178 VIE262107:VIE262178 VSA262107:VSA262178 WBW262107:WBW262178 WLS262107:WLS262178 WVO262107:WVO262178 G327643:G327714 JC327643:JC327714 SY327643:SY327714 ACU327643:ACU327714 AMQ327643:AMQ327714 AWM327643:AWM327714 BGI327643:BGI327714 BQE327643:BQE327714 CAA327643:CAA327714 CJW327643:CJW327714 CTS327643:CTS327714 DDO327643:DDO327714 DNK327643:DNK327714 DXG327643:DXG327714 EHC327643:EHC327714 EQY327643:EQY327714 FAU327643:FAU327714 FKQ327643:FKQ327714 FUM327643:FUM327714 GEI327643:GEI327714 GOE327643:GOE327714 GYA327643:GYA327714 HHW327643:HHW327714 HRS327643:HRS327714 IBO327643:IBO327714 ILK327643:ILK327714 IVG327643:IVG327714 JFC327643:JFC327714 JOY327643:JOY327714 JYU327643:JYU327714 KIQ327643:KIQ327714 KSM327643:KSM327714 LCI327643:LCI327714 LME327643:LME327714 LWA327643:LWA327714 MFW327643:MFW327714 MPS327643:MPS327714 MZO327643:MZO327714 NJK327643:NJK327714 NTG327643:NTG327714 ODC327643:ODC327714 OMY327643:OMY327714 OWU327643:OWU327714 PGQ327643:PGQ327714 PQM327643:PQM327714 QAI327643:QAI327714 QKE327643:QKE327714 QUA327643:QUA327714 RDW327643:RDW327714 RNS327643:RNS327714 RXO327643:RXO327714 SHK327643:SHK327714 SRG327643:SRG327714 TBC327643:TBC327714 TKY327643:TKY327714 TUU327643:TUU327714 UEQ327643:UEQ327714 UOM327643:UOM327714 UYI327643:UYI327714 VIE327643:VIE327714 VSA327643:VSA327714 WBW327643:WBW327714 WLS327643:WLS327714 WVO327643:WVO327714 G393179:G393250 JC393179:JC393250 SY393179:SY393250 ACU393179:ACU393250 AMQ393179:AMQ393250 AWM393179:AWM393250 BGI393179:BGI393250 BQE393179:BQE393250 CAA393179:CAA393250 CJW393179:CJW393250 CTS393179:CTS393250 DDO393179:DDO393250 DNK393179:DNK393250 DXG393179:DXG393250 EHC393179:EHC393250 EQY393179:EQY393250 FAU393179:FAU393250 FKQ393179:FKQ393250 FUM393179:FUM393250 GEI393179:GEI393250 GOE393179:GOE393250 GYA393179:GYA393250 HHW393179:HHW393250 HRS393179:HRS393250 IBO393179:IBO393250 ILK393179:ILK393250 IVG393179:IVG393250 JFC393179:JFC393250 JOY393179:JOY393250 JYU393179:JYU393250 KIQ393179:KIQ393250 KSM393179:KSM393250 LCI393179:LCI393250 LME393179:LME393250 LWA393179:LWA393250 MFW393179:MFW393250 MPS393179:MPS393250 MZO393179:MZO393250 NJK393179:NJK393250 NTG393179:NTG393250 ODC393179:ODC393250 OMY393179:OMY393250 OWU393179:OWU393250 PGQ393179:PGQ393250 PQM393179:PQM393250 QAI393179:QAI393250 QKE393179:QKE393250 QUA393179:QUA393250 RDW393179:RDW393250 RNS393179:RNS393250 RXO393179:RXO393250 SHK393179:SHK393250 SRG393179:SRG393250 TBC393179:TBC393250 TKY393179:TKY393250 TUU393179:TUU393250 UEQ393179:UEQ393250 UOM393179:UOM393250 UYI393179:UYI393250 VIE393179:VIE393250 VSA393179:VSA393250 WBW393179:WBW393250 WLS393179:WLS393250 WVO393179:WVO393250 G458715:G458786 JC458715:JC458786 SY458715:SY458786 ACU458715:ACU458786 AMQ458715:AMQ458786 AWM458715:AWM458786 BGI458715:BGI458786 BQE458715:BQE458786 CAA458715:CAA458786 CJW458715:CJW458786 CTS458715:CTS458786 DDO458715:DDO458786 DNK458715:DNK458786 DXG458715:DXG458786 EHC458715:EHC458786 EQY458715:EQY458786 FAU458715:FAU458786 FKQ458715:FKQ458786 FUM458715:FUM458786 GEI458715:GEI458786 GOE458715:GOE458786 GYA458715:GYA458786 HHW458715:HHW458786 HRS458715:HRS458786 IBO458715:IBO458786 ILK458715:ILK458786 IVG458715:IVG458786 JFC458715:JFC458786 JOY458715:JOY458786 JYU458715:JYU458786 KIQ458715:KIQ458786 KSM458715:KSM458786 LCI458715:LCI458786 LME458715:LME458786 LWA458715:LWA458786 MFW458715:MFW458786 MPS458715:MPS458786 MZO458715:MZO458786 NJK458715:NJK458786 NTG458715:NTG458786 ODC458715:ODC458786 OMY458715:OMY458786 OWU458715:OWU458786 PGQ458715:PGQ458786 PQM458715:PQM458786 QAI458715:QAI458786 QKE458715:QKE458786 QUA458715:QUA458786 RDW458715:RDW458786 RNS458715:RNS458786 RXO458715:RXO458786 SHK458715:SHK458786 SRG458715:SRG458786 TBC458715:TBC458786 TKY458715:TKY458786 TUU458715:TUU458786 UEQ458715:UEQ458786 UOM458715:UOM458786 UYI458715:UYI458786 VIE458715:VIE458786 VSA458715:VSA458786 WBW458715:WBW458786 WLS458715:WLS458786 WVO458715:WVO458786 G524251:G524322 JC524251:JC524322 SY524251:SY524322 ACU524251:ACU524322 AMQ524251:AMQ524322 AWM524251:AWM524322 BGI524251:BGI524322 BQE524251:BQE524322 CAA524251:CAA524322 CJW524251:CJW524322 CTS524251:CTS524322 DDO524251:DDO524322 DNK524251:DNK524322 DXG524251:DXG524322 EHC524251:EHC524322 EQY524251:EQY524322 FAU524251:FAU524322 FKQ524251:FKQ524322 FUM524251:FUM524322 GEI524251:GEI524322 GOE524251:GOE524322 GYA524251:GYA524322 HHW524251:HHW524322 HRS524251:HRS524322 IBO524251:IBO524322 ILK524251:ILK524322 IVG524251:IVG524322 JFC524251:JFC524322 JOY524251:JOY524322 JYU524251:JYU524322 KIQ524251:KIQ524322 KSM524251:KSM524322 LCI524251:LCI524322 LME524251:LME524322 LWA524251:LWA524322 MFW524251:MFW524322 MPS524251:MPS524322 MZO524251:MZO524322 NJK524251:NJK524322 NTG524251:NTG524322 ODC524251:ODC524322 OMY524251:OMY524322 OWU524251:OWU524322 PGQ524251:PGQ524322 PQM524251:PQM524322 QAI524251:QAI524322 QKE524251:QKE524322 QUA524251:QUA524322 RDW524251:RDW524322 RNS524251:RNS524322 RXO524251:RXO524322 SHK524251:SHK524322 SRG524251:SRG524322 TBC524251:TBC524322 TKY524251:TKY524322 TUU524251:TUU524322 UEQ524251:UEQ524322 UOM524251:UOM524322 UYI524251:UYI524322 VIE524251:VIE524322 VSA524251:VSA524322 WBW524251:WBW524322 WLS524251:WLS524322 WVO524251:WVO524322 G589787:G589858 JC589787:JC589858 SY589787:SY589858 ACU589787:ACU589858 AMQ589787:AMQ589858 AWM589787:AWM589858 BGI589787:BGI589858 BQE589787:BQE589858 CAA589787:CAA589858 CJW589787:CJW589858 CTS589787:CTS589858 DDO589787:DDO589858 DNK589787:DNK589858 DXG589787:DXG589858 EHC589787:EHC589858 EQY589787:EQY589858 FAU589787:FAU589858 FKQ589787:FKQ589858 FUM589787:FUM589858 GEI589787:GEI589858 GOE589787:GOE589858 GYA589787:GYA589858 HHW589787:HHW589858 HRS589787:HRS589858 IBO589787:IBO589858 ILK589787:ILK589858 IVG589787:IVG589858 JFC589787:JFC589858 JOY589787:JOY589858 JYU589787:JYU589858 KIQ589787:KIQ589858 KSM589787:KSM589858 LCI589787:LCI589858 LME589787:LME589858 LWA589787:LWA589858 MFW589787:MFW589858 MPS589787:MPS589858 MZO589787:MZO589858 NJK589787:NJK589858 NTG589787:NTG589858 ODC589787:ODC589858 OMY589787:OMY589858 OWU589787:OWU589858 PGQ589787:PGQ589858 PQM589787:PQM589858 QAI589787:QAI589858 QKE589787:QKE589858 QUA589787:QUA589858 RDW589787:RDW589858 RNS589787:RNS589858 RXO589787:RXO589858 SHK589787:SHK589858 SRG589787:SRG589858 TBC589787:TBC589858 TKY589787:TKY589858 TUU589787:TUU589858 UEQ589787:UEQ589858 UOM589787:UOM589858 UYI589787:UYI589858 VIE589787:VIE589858 VSA589787:VSA589858 WBW589787:WBW589858 WLS589787:WLS589858 WVO589787:WVO589858 G655323:G655394 JC655323:JC655394 SY655323:SY655394 ACU655323:ACU655394 AMQ655323:AMQ655394 AWM655323:AWM655394 BGI655323:BGI655394 BQE655323:BQE655394 CAA655323:CAA655394 CJW655323:CJW655394 CTS655323:CTS655394 DDO655323:DDO655394 DNK655323:DNK655394 DXG655323:DXG655394 EHC655323:EHC655394 EQY655323:EQY655394 FAU655323:FAU655394 FKQ655323:FKQ655394 FUM655323:FUM655394 GEI655323:GEI655394 GOE655323:GOE655394 GYA655323:GYA655394 HHW655323:HHW655394 HRS655323:HRS655394 IBO655323:IBO655394 ILK655323:ILK655394 IVG655323:IVG655394 JFC655323:JFC655394 JOY655323:JOY655394 JYU655323:JYU655394 KIQ655323:KIQ655394 KSM655323:KSM655394 LCI655323:LCI655394 LME655323:LME655394 LWA655323:LWA655394 MFW655323:MFW655394 MPS655323:MPS655394 MZO655323:MZO655394 NJK655323:NJK655394 NTG655323:NTG655394 ODC655323:ODC655394 OMY655323:OMY655394 OWU655323:OWU655394 PGQ655323:PGQ655394 PQM655323:PQM655394 QAI655323:QAI655394 QKE655323:QKE655394 QUA655323:QUA655394 RDW655323:RDW655394 RNS655323:RNS655394 RXO655323:RXO655394 SHK655323:SHK655394 SRG655323:SRG655394 TBC655323:TBC655394 TKY655323:TKY655394 TUU655323:TUU655394 UEQ655323:UEQ655394 UOM655323:UOM655394 UYI655323:UYI655394 VIE655323:VIE655394 VSA655323:VSA655394 WBW655323:WBW655394 WLS655323:WLS655394 WVO655323:WVO655394 G720859:G720930 JC720859:JC720930 SY720859:SY720930 ACU720859:ACU720930 AMQ720859:AMQ720930 AWM720859:AWM720930 BGI720859:BGI720930 BQE720859:BQE720930 CAA720859:CAA720930 CJW720859:CJW720930 CTS720859:CTS720930 DDO720859:DDO720930 DNK720859:DNK720930 DXG720859:DXG720930 EHC720859:EHC720930 EQY720859:EQY720930 FAU720859:FAU720930 FKQ720859:FKQ720930 FUM720859:FUM720930 GEI720859:GEI720930 GOE720859:GOE720930 GYA720859:GYA720930 HHW720859:HHW720930 HRS720859:HRS720930 IBO720859:IBO720930 ILK720859:ILK720930 IVG720859:IVG720930 JFC720859:JFC720930 JOY720859:JOY720930 JYU720859:JYU720930 KIQ720859:KIQ720930 KSM720859:KSM720930 LCI720859:LCI720930 LME720859:LME720930 LWA720859:LWA720930 MFW720859:MFW720930 MPS720859:MPS720930 MZO720859:MZO720930 NJK720859:NJK720930 NTG720859:NTG720930 ODC720859:ODC720930 OMY720859:OMY720930 OWU720859:OWU720930 PGQ720859:PGQ720930 PQM720859:PQM720930 QAI720859:QAI720930 QKE720859:QKE720930 QUA720859:QUA720930 RDW720859:RDW720930 RNS720859:RNS720930 RXO720859:RXO720930 SHK720859:SHK720930 SRG720859:SRG720930 TBC720859:TBC720930 TKY720859:TKY720930 TUU720859:TUU720930 UEQ720859:UEQ720930 UOM720859:UOM720930 UYI720859:UYI720930 VIE720859:VIE720930 VSA720859:VSA720930 WBW720859:WBW720930 WLS720859:WLS720930 WVO720859:WVO720930 G786395:G786466 JC786395:JC786466 SY786395:SY786466 ACU786395:ACU786466 AMQ786395:AMQ786466 AWM786395:AWM786466 BGI786395:BGI786466 BQE786395:BQE786466 CAA786395:CAA786466 CJW786395:CJW786466 CTS786395:CTS786466 DDO786395:DDO786466 DNK786395:DNK786466 DXG786395:DXG786466 EHC786395:EHC786466 EQY786395:EQY786466 FAU786395:FAU786466 FKQ786395:FKQ786466 FUM786395:FUM786466 GEI786395:GEI786466 GOE786395:GOE786466 GYA786395:GYA786466 HHW786395:HHW786466 HRS786395:HRS786466 IBO786395:IBO786466 ILK786395:ILK786466 IVG786395:IVG786466 JFC786395:JFC786466 JOY786395:JOY786466 JYU786395:JYU786466 KIQ786395:KIQ786466 KSM786395:KSM786466 LCI786395:LCI786466 LME786395:LME786466 LWA786395:LWA786466 MFW786395:MFW786466 MPS786395:MPS786466 MZO786395:MZO786466 NJK786395:NJK786466 NTG786395:NTG786466 ODC786395:ODC786466 OMY786395:OMY786466 OWU786395:OWU786466 PGQ786395:PGQ786466 PQM786395:PQM786466 QAI786395:QAI786466 QKE786395:QKE786466 QUA786395:QUA786466 RDW786395:RDW786466 RNS786395:RNS786466 RXO786395:RXO786466 SHK786395:SHK786466 SRG786395:SRG786466 TBC786395:TBC786466 TKY786395:TKY786466 TUU786395:TUU786466 UEQ786395:UEQ786466 UOM786395:UOM786466 UYI786395:UYI786466 VIE786395:VIE786466 VSA786395:VSA786466 WBW786395:WBW786466 WLS786395:WLS786466 WVO786395:WVO786466 G851931:G852002 JC851931:JC852002 SY851931:SY852002 ACU851931:ACU852002 AMQ851931:AMQ852002 AWM851931:AWM852002 BGI851931:BGI852002 BQE851931:BQE852002 CAA851931:CAA852002 CJW851931:CJW852002 CTS851931:CTS852002 DDO851931:DDO852002 DNK851931:DNK852002 DXG851931:DXG852002 EHC851931:EHC852002 EQY851931:EQY852002 FAU851931:FAU852002 FKQ851931:FKQ852002 FUM851931:FUM852002 GEI851931:GEI852002 GOE851931:GOE852002 GYA851931:GYA852002 HHW851931:HHW852002 HRS851931:HRS852002 IBO851931:IBO852002 ILK851931:ILK852002 IVG851931:IVG852002 JFC851931:JFC852002 JOY851931:JOY852002 JYU851931:JYU852002 KIQ851931:KIQ852002 KSM851931:KSM852002 LCI851931:LCI852002 LME851931:LME852002 LWA851931:LWA852002 MFW851931:MFW852002 MPS851931:MPS852002 MZO851931:MZO852002 NJK851931:NJK852002 NTG851931:NTG852002 ODC851931:ODC852002 OMY851931:OMY852002 OWU851931:OWU852002 PGQ851931:PGQ852002 PQM851931:PQM852002 QAI851931:QAI852002 QKE851931:QKE852002 QUA851931:QUA852002 RDW851931:RDW852002 RNS851931:RNS852002 RXO851931:RXO852002 SHK851931:SHK852002 SRG851931:SRG852002 TBC851931:TBC852002 TKY851931:TKY852002 TUU851931:TUU852002 UEQ851931:UEQ852002 UOM851931:UOM852002 UYI851931:UYI852002 VIE851931:VIE852002 VSA851931:VSA852002 WBW851931:WBW852002 WLS851931:WLS852002 WVO851931:WVO852002 G917467:G917538 JC917467:JC917538 SY917467:SY917538 ACU917467:ACU917538 AMQ917467:AMQ917538 AWM917467:AWM917538 BGI917467:BGI917538 BQE917467:BQE917538 CAA917467:CAA917538 CJW917467:CJW917538 CTS917467:CTS917538 DDO917467:DDO917538 DNK917467:DNK917538 DXG917467:DXG917538 EHC917467:EHC917538 EQY917467:EQY917538 FAU917467:FAU917538 FKQ917467:FKQ917538 FUM917467:FUM917538 GEI917467:GEI917538 GOE917467:GOE917538 GYA917467:GYA917538 HHW917467:HHW917538 HRS917467:HRS917538 IBO917467:IBO917538 ILK917467:ILK917538 IVG917467:IVG917538 JFC917467:JFC917538 JOY917467:JOY917538 JYU917467:JYU917538 KIQ917467:KIQ917538 KSM917467:KSM917538 LCI917467:LCI917538 LME917467:LME917538 LWA917467:LWA917538 MFW917467:MFW917538 MPS917467:MPS917538 MZO917467:MZO917538 NJK917467:NJK917538 NTG917467:NTG917538 ODC917467:ODC917538 OMY917467:OMY917538 OWU917467:OWU917538 PGQ917467:PGQ917538 PQM917467:PQM917538 QAI917467:QAI917538 QKE917467:QKE917538 QUA917467:QUA917538 RDW917467:RDW917538 RNS917467:RNS917538 RXO917467:RXO917538 SHK917467:SHK917538 SRG917467:SRG917538 TBC917467:TBC917538 TKY917467:TKY917538 TUU917467:TUU917538 UEQ917467:UEQ917538 UOM917467:UOM917538 UYI917467:UYI917538 VIE917467:VIE917538 VSA917467:VSA917538 WBW917467:WBW917538 WLS917467:WLS917538 WVO917467:WVO917538 G983003:G983074 JC983003:JC983074 SY983003:SY983074 ACU983003:ACU983074 AMQ983003:AMQ983074 AWM983003:AWM983074 BGI983003:BGI983074 BQE983003:BQE983074 CAA983003:CAA983074 CJW983003:CJW983074 CTS983003:CTS983074 DDO983003:DDO983074 DNK983003:DNK983074 DXG983003:DXG983074 EHC983003:EHC983074 EQY983003:EQY983074 FAU983003:FAU983074 FKQ983003:FKQ983074 FUM983003:FUM983074 GEI983003:GEI983074 GOE983003:GOE983074 GYA983003:GYA983074 HHW983003:HHW983074 HRS983003:HRS983074 IBO983003:IBO983074 ILK983003:ILK983074 IVG983003:IVG983074 JFC983003:JFC983074 JOY983003:JOY983074 JYU983003:JYU983074 KIQ983003:KIQ983074 KSM983003:KSM983074 LCI983003:LCI983074 LME983003:LME983074 LWA983003:LWA983074 MFW983003:MFW983074 MPS983003:MPS983074 MZO983003:MZO983074 NJK983003:NJK983074 NTG983003:NTG983074 ODC983003:ODC983074 OMY983003:OMY983074 OWU983003:OWU983074 PGQ983003:PGQ983074 PQM983003:PQM983074 QAI983003:QAI983074 QKE983003:QKE983074 QUA983003:QUA983074 RDW983003:RDW983074 RNS983003:RNS983074 RXO983003:RXO983074 SHK983003:SHK983074 SRG983003:SRG983074 TBC983003:TBC983074 TKY983003:TKY983074 TUU983003:TUU983074 UEQ983003:UEQ983074 UOM983003:UOM983074 UYI983003:UYI983074 VIE983003:VIE983074 VSA983003:VSA983074 WBW983003:WBW983074 WLS983003:WLS983074 SY2:SY49 G2:G461 JC2:JC49 WVO2:WVO49 WLS2:WLS49 WBW2:WBW49 VSA2:VSA49 VIE2:VIE49 UYI2:UYI49 UOM2:UOM49 UEQ2:UEQ49 TUU2:TUU49 TKY2:TKY49 TBC2:TBC49 SRG2:SRG49 SHK2:SHK49 RXO2:RXO49 RNS2:RNS49 RDW2:RDW49 QUA2:QUA49 QKE2:QKE49 QAI2:QAI49 PQM2:PQM49 PGQ2:PGQ49 OWU2:OWU49 OMY2:OMY49 ODC2:ODC49 NTG2:NTG49 NJK2:NJK49 MZO2:MZO49 MPS2:MPS49 MFW2:MFW49 LWA2:LWA49 LME2:LME49 LCI2:LCI49 KSM2:KSM49 KIQ2:KIQ49 JYU2:JYU49 JOY2:JOY49 JFC2:JFC49 IVG2:IVG49 ILK2:ILK49 IBO2:IBO49 HRS2:HRS49 HHW2:HHW49 GYA2:GYA49 GOE2:GOE49 GEI2:GEI49 FUM2:FUM49 FKQ2:FKQ49 FAU2:FAU49 EQY2:EQY49 EHC2:EHC49 DXG2:DXG49 DNK2:DNK49 DDO2:DDO49 CTS2:CTS49 CJW2:CJW49 CAA2:CAA49 BQE2:BQE49 BGI2:BGI49 AWM2:AWM49 AMQ2:AMQ49 ACU2:ACU49" xr:uid="{A65B809F-38F8-456E-9D49-7BEFBDE21007}">
      <formula1>$AJ$2:$AJ$4</formula1>
    </dataValidation>
    <dataValidation type="list" allowBlank="1" showInputMessage="1" showErrorMessage="1" sqref="I64324:I64389 JE64324:JE64389 TA64324:TA64389 ACW64324:ACW64389 AMS64324:AMS64389 AWO64324:AWO64389 BGK64324:BGK64389 BQG64324:BQG64389 CAC64324:CAC64389 CJY64324:CJY64389 CTU64324:CTU64389 DDQ64324:DDQ64389 DNM64324:DNM64389 DXI64324:DXI64389 EHE64324:EHE64389 ERA64324:ERA64389 FAW64324:FAW64389 FKS64324:FKS64389 FUO64324:FUO64389 GEK64324:GEK64389 GOG64324:GOG64389 GYC64324:GYC64389 HHY64324:HHY64389 HRU64324:HRU64389 IBQ64324:IBQ64389 ILM64324:ILM64389 IVI64324:IVI64389 JFE64324:JFE64389 JPA64324:JPA64389 JYW64324:JYW64389 KIS64324:KIS64389 KSO64324:KSO64389 LCK64324:LCK64389 LMG64324:LMG64389 LWC64324:LWC64389 MFY64324:MFY64389 MPU64324:MPU64389 MZQ64324:MZQ64389 NJM64324:NJM64389 NTI64324:NTI64389 ODE64324:ODE64389 ONA64324:ONA64389 OWW64324:OWW64389 PGS64324:PGS64389 PQO64324:PQO64389 QAK64324:QAK64389 QKG64324:QKG64389 QUC64324:QUC64389 RDY64324:RDY64389 RNU64324:RNU64389 RXQ64324:RXQ64389 SHM64324:SHM64389 SRI64324:SRI64389 TBE64324:TBE64389 TLA64324:TLA64389 TUW64324:TUW64389 UES64324:UES64389 UOO64324:UOO64389 UYK64324:UYK64389 VIG64324:VIG64389 VSC64324:VSC64389 WBY64324:WBY64389 WLU64324:WLU64389 WVQ64324:WVQ64389 I129860:I129925 JE129860:JE129925 TA129860:TA129925 ACW129860:ACW129925 AMS129860:AMS129925 AWO129860:AWO129925 BGK129860:BGK129925 BQG129860:BQG129925 CAC129860:CAC129925 CJY129860:CJY129925 CTU129860:CTU129925 DDQ129860:DDQ129925 DNM129860:DNM129925 DXI129860:DXI129925 EHE129860:EHE129925 ERA129860:ERA129925 FAW129860:FAW129925 FKS129860:FKS129925 FUO129860:FUO129925 GEK129860:GEK129925 GOG129860:GOG129925 GYC129860:GYC129925 HHY129860:HHY129925 HRU129860:HRU129925 IBQ129860:IBQ129925 ILM129860:ILM129925 IVI129860:IVI129925 JFE129860:JFE129925 JPA129860:JPA129925 JYW129860:JYW129925 KIS129860:KIS129925 KSO129860:KSO129925 LCK129860:LCK129925 LMG129860:LMG129925 LWC129860:LWC129925 MFY129860:MFY129925 MPU129860:MPU129925 MZQ129860:MZQ129925 NJM129860:NJM129925 NTI129860:NTI129925 ODE129860:ODE129925 ONA129860:ONA129925 OWW129860:OWW129925 PGS129860:PGS129925 PQO129860:PQO129925 QAK129860:QAK129925 QKG129860:QKG129925 QUC129860:QUC129925 RDY129860:RDY129925 RNU129860:RNU129925 RXQ129860:RXQ129925 SHM129860:SHM129925 SRI129860:SRI129925 TBE129860:TBE129925 TLA129860:TLA129925 TUW129860:TUW129925 UES129860:UES129925 UOO129860:UOO129925 UYK129860:UYK129925 VIG129860:VIG129925 VSC129860:VSC129925 WBY129860:WBY129925 WLU129860:WLU129925 WVQ129860:WVQ129925 I195396:I195461 JE195396:JE195461 TA195396:TA195461 ACW195396:ACW195461 AMS195396:AMS195461 AWO195396:AWO195461 BGK195396:BGK195461 BQG195396:BQG195461 CAC195396:CAC195461 CJY195396:CJY195461 CTU195396:CTU195461 DDQ195396:DDQ195461 DNM195396:DNM195461 DXI195396:DXI195461 EHE195396:EHE195461 ERA195396:ERA195461 FAW195396:FAW195461 FKS195396:FKS195461 FUO195396:FUO195461 GEK195396:GEK195461 GOG195396:GOG195461 GYC195396:GYC195461 HHY195396:HHY195461 HRU195396:HRU195461 IBQ195396:IBQ195461 ILM195396:ILM195461 IVI195396:IVI195461 JFE195396:JFE195461 JPA195396:JPA195461 JYW195396:JYW195461 KIS195396:KIS195461 KSO195396:KSO195461 LCK195396:LCK195461 LMG195396:LMG195461 LWC195396:LWC195461 MFY195396:MFY195461 MPU195396:MPU195461 MZQ195396:MZQ195461 NJM195396:NJM195461 NTI195396:NTI195461 ODE195396:ODE195461 ONA195396:ONA195461 OWW195396:OWW195461 PGS195396:PGS195461 PQO195396:PQO195461 QAK195396:QAK195461 QKG195396:QKG195461 QUC195396:QUC195461 RDY195396:RDY195461 RNU195396:RNU195461 RXQ195396:RXQ195461 SHM195396:SHM195461 SRI195396:SRI195461 TBE195396:TBE195461 TLA195396:TLA195461 TUW195396:TUW195461 UES195396:UES195461 UOO195396:UOO195461 UYK195396:UYK195461 VIG195396:VIG195461 VSC195396:VSC195461 WBY195396:WBY195461 WLU195396:WLU195461 WVQ195396:WVQ195461 I260932:I260997 JE260932:JE260997 TA260932:TA260997 ACW260932:ACW260997 AMS260932:AMS260997 AWO260932:AWO260997 BGK260932:BGK260997 BQG260932:BQG260997 CAC260932:CAC260997 CJY260932:CJY260997 CTU260932:CTU260997 DDQ260932:DDQ260997 DNM260932:DNM260997 DXI260932:DXI260997 EHE260932:EHE260997 ERA260932:ERA260997 FAW260932:FAW260997 FKS260932:FKS260997 FUO260932:FUO260997 GEK260932:GEK260997 GOG260932:GOG260997 GYC260932:GYC260997 HHY260932:HHY260997 HRU260932:HRU260997 IBQ260932:IBQ260997 ILM260932:ILM260997 IVI260932:IVI260997 JFE260932:JFE260997 JPA260932:JPA260997 JYW260932:JYW260997 KIS260932:KIS260997 KSO260932:KSO260997 LCK260932:LCK260997 LMG260932:LMG260997 LWC260932:LWC260997 MFY260932:MFY260997 MPU260932:MPU260997 MZQ260932:MZQ260997 NJM260932:NJM260997 NTI260932:NTI260997 ODE260932:ODE260997 ONA260932:ONA260997 OWW260932:OWW260997 PGS260932:PGS260997 PQO260932:PQO260997 QAK260932:QAK260997 QKG260932:QKG260997 QUC260932:QUC260997 RDY260932:RDY260997 RNU260932:RNU260997 RXQ260932:RXQ260997 SHM260932:SHM260997 SRI260932:SRI260997 TBE260932:TBE260997 TLA260932:TLA260997 TUW260932:TUW260997 UES260932:UES260997 UOO260932:UOO260997 UYK260932:UYK260997 VIG260932:VIG260997 VSC260932:VSC260997 WBY260932:WBY260997 WLU260932:WLU260997 WVQ260932:WVQ260997 I326468:I326533 JE326468:JE326533 TA326468:TA326533 ACW326468:ACW326533 AMS326468:AMS326533 AWO326468:AWO326533 BGK326468:BGK326533 BQG326468:BQG326533 CAC326468:CAC326533 CJY326468:CJY326533 CTU326468:CTU326533 DDQ326468:DDQ326533 DNM326468:DNM326533 DXI326468:DXI326533 EHE326468:EHE326533 ERA326468:ERA326533 FAW326468:FAW326533 FKS326468:FKS326533 FUO326468:FUO326533 GEK326468:GEK326533 GOG326468:GOG326533 GYC326468:GYC326533 HHY326468:HHY326533 HRU326468:HRU326533 IBQ326468:IBQ326533 ILM326468:ILM326533 IVI326468:IVI326533 JFE326468:JFE326533 JPA326468:JPA326533 JYW326468:JYW326533 KIS326468:KIS326533 KSO326468:KSO326533 LCK326468:LCK326533 LMG326468:LMG326533 LWC326468:LWC326533 MFY326468:MFY326533 MPU326468:MPU326533 MZQ326468:MZQ326533 NJM326468:NJM326533 NTI326468:NTI326533 ODE326468:ODE326533 ONA326468:ONA326533 OWW326468:OWW326533 PGS326468:PGS326533 PQO326468:PQO326533 QAK326468:QAK326533 QKG326468:QKG326533 QUC326468:QUC326533 RDY326468:RDY326533 RNU326468:RNU326533 RXQ326468:RXQ326533 SHM326468:SHM326533 SRI326468:SRI326533 TBE326468:TBE326533 TLA326468:TLA326533 TUW326468:TUW326533 UES326468:UES326533 UOO326468:UOO326533 UYK326468:UYK326533 VIG326468:VIG326533 VSC326468:VSC326533 WBY326468:WBY326533 WLU326468:WLU326533 WVQ326468:WVQ326533 I392004:I392069 JE392004:JE392069 TA392004:TA392069 ACW392004:ACW392069 AMS392004:AMS392069 AWO392004:AWO392069 BGK392004:BGK392069 BQG392004:BQG392069 CAC392004:CAC392069 CJY392004:CJY392069 CTU392004:CTU392069 DDQ392004:DDQ392069 DNM392004:DNM392069 DXI392004:DXI392069 EHE392004:EHE392069 ERA392004:ERA392069 FAW392004:FAW392069 FKS392004:FKS392069 FUO392004:FUO392069 GEK392004:GEK392069 GOG392004:GOG392069 GYC392004:GYC392069 HHY392004:HHY392069 HRU392004:HRU392069 IBQ392004:IBQ392069 ILM392004:ILM392069 IVI392004:IVI392069 JFE392004:JFE392069 JPA392004:JPA392069 JYW392004:JYW392069 KIS392004:KIS392069 KSO392004:KSO392069 LCK392004:LCK392069 LMG392004:LMG392069 LWC392004:LWC392069 MFY392004:MFY392069 MPU392004:MPU392069 MZQ392004:MZQ392069 NJM392004:NJM392069 NTI392004:NTI392069 ODE392004:ODE392069 ONA392004:ONA392069 OWW392004:OWW392069 PGS392004:PGS392069 PQO392004:PQO392069 QAK392004:QAK392069 QKG392004:QKG392069 QUC392004:QUC392069 RDY392004:RDY392069 RNU392004:RNU392069 RXQ392004:RXQ392069 SHM392004:SHM392069 SRI392004:SRI392069 TBE392004:TBE392069 TLA392004:TLA392069 TUW392004:TUW392069 UES392004:UES392069 UOO392004:UOO392069 UYK392004:UYK392069 VIG392004:VIG392069 VSC392004:VSC392069 WBY392004:WBY392069 WLU392004:WLU392069 WVQ392004:WVQ392069 I457540:I457605 JE457540:JE457605 TA457540:TA457605 ACW457540:ACW457605 AMS457540:AMS457605 AWO457540:AWO457605 BGK457540:BGK457605 BQG457540:BQG457605 CAC457540:CAC457605 CJY457540:CJY457605 CTU457540:CTU457605 DDQ457540:DDQ457605 DNM457540:DNM457605 DXI457540:DXI457605 EHE457540:EHE457605 ERA457540:ERA457605 FAW457540:FAW457605 FKS457540:FKS457605 FUO457540:FUO457605 GEK457540:GEK457605 GOG457540:GOG457605 GYC457540:GYC457605 HHY457540:HHY457605 HRU457540:HRU457605 IBQ457540:IBQ457605 ILM457540:ILM457605 IVI457540:IVI457605 JFE457540:JFE457605 JPA457540:JPA457605 JYW457540:JYW457605 KIS457540:KIS457605 KSO457540:KSO457605 LCK457540:LCK457605 LMG457540:LMG457605 LWC457540:LWC457605 MFY457540:MFY457605 MPU457540:MPU457605 MZQ457540:MZQ457605 NJM457540:NJM457605 NTI457540:NTI457605 ODE457540:ODE457605 ONA457540:ONA457605 OWW457540:OWW457605 PGS457540:PGS457605 PQO457540:PQO457605 QAK457540:QAK457605 QKG457540:QKG457605 QUC457540:QUC457605 RDY457540:RDY457605 RNU457540:RNU457605 RXQ457540:RXQ457605 SHM457540:SHM457605 SRI457540:SRI457605 TBE457540:TBE457605 TLA457540:TLA457605 TUW457540:TUW457605 UES457540:UES457605 UOO457540:UOO457605 UYK457540:UYK457605 VIG457540:VIG457605 VSC457540:VSC457605 WBY457540:WBY457605 WLU457540:WLU457605 WVQ457540:WVQ457605 I523076:I523141 JE523076:JE523141 TA523076:TA523141 ACW523076:ACW523141 AMS523076:AMS523141 AWO523076:AWO523141 BGK523076:BGK523141 BQG523076:BQG523141 CAC523076:CAC523141 CJY523076:CJY523141 CTU523076:CTU523141 DDQ523076:DDQ523141 DNM523076:DNM523141 DXI523076:DXI523141 EHE523076:EHE523141 ERA523076:ERA523141 FAW523076:FAW523141 FKS523076:FKS523141 FUO523076:FUO523141 GEK523076:GEK523141 GOG523076:GOG523141 GYC523076:GYC523141 HHY523076:HHY523141 HRU523076:HRU523141 IBQ523076:IBQ523141 ILM523076:ILM523141 IVI523076:IVI523141 JFE523076:JFE523141 JPA523076:JPA523141 JYW523076:JYW523141 KIS523076:KIS523141 KSO523076:KSO523141 LCK523076:LCK523141 LMG523076:LMG523141 LWC523076:LWC523141 MFY523076:MFY523141 MPU523076:MPU523141 MZQ523076:MZQ523141 NJM523076:NJM523141 NTI523076:NTI523141 ODE523076:ODE523141 ONA523076:ONA523141 OWW523076:OWW523141 PGS523076:PGS523141 PQO523076:PQO523141 QAK523076:QAK523141 QKG523076:QKG523141 QUC523076:QUC523141 RDY523076:RDY523141 RNU523076:RNU523141 RXQ523076:RXQ523141 SHM523076:SHM523141 SRI523076:SRI523141 TBE523076:TBE523141 TLA523076:TLA523141 TUW523076:TUW523141 UES523076:UES523141 UOO523076:UOO523141 UYK523076:UYK523141 VIG523076:VIG523141 VSC523076:VSC523141 WBY523076:WBY523141 WLU523076:WLU523141 WVQ523076:WVQ523141 I588612:I588677 JE588612:JE588677 TA588612:TA588677 ACW588612:ACW588677 AMS588612:AMS588677 AWO588612:AWO588677 BGK588612:BGK588677 BQG588612:BQG588677 CAC588612:CAC588677 CJY588612:CJY588677 CTU588612:CTU588677 DDQ588612:DDQ588677 DNM588612:DNM588677 DXI588612:DXI588677 EHE588612:EHE588677 ERA588612:ERA588677 FAW588612:FAW588677 FKS588612:FKS588677 FUO588612:FUO588677 GEK588612:GEK588677 GOG588612:GOG588677 GYC588612:GYC588677 HHY588612:HHY588677 HRU588612:HRU588677 IBQ588612:IBQ588677 ILM588612:ILM588677 IVI588612:IVI588677 JFE588612:JFE588677 JPA588612:JPA588677 JYW588612:JYW588677 KIS588612:KIS588677 KSO588612:KSO588677 LCK588612:LCK588677 LMG588612:LMG588677 LWC588612:LWC588677 MFY588612:MFY588677 MPU588612:MPU588677 MZQ588612:MZQ588677 NJM588612:NJM588677 NTI588612:NTI588677 ODE588612:ODE588677 ONA588612:ONA588677 OWW588612:OWW588677 PGS588612:PGS588677 PQO588612:PQO588677 QAK588612:QAK588677 QKG588612:QKG588677 QUC588612:QUC588677 RDY588612:RDY588677 RNU588612:RNU588677 RXQ588612:RXQ588677 SHM588612:SHM588677 SRI588612:SRI588677 TBE588612:TBE588677 TLA588612:TLA588677 TUW588612:TUW588677 UES588612:UES588677 UOO588612:UOO588677 UYK588612:UYK588677 VIG588612:VIG588677 VSC588612:VSC588677 WBY588612:WBY588677 WLU588612:WLU588677 WVQ588612:WVQ588677 I654148:I654213 JE654148:JE654213 TA654148:TA654213 ACW654148:ACW654213 AMS654148:AMS654213 AWO654148:AWO654213 BGK654148:BGK654213 BQG654148:BQG654213 CAC654148:CAC654213 CJY654148:CJY654213 CTU654148:CTU654213 DDQ654148:DDQ654213 DNM654148:DNM654213 DXI654148:DXI654213 EHE654148:EHE654213 ERA654148:ERA654213 FAW654148:FAW654213 FKS654148:FKS654213 FUO654148:FUO654213 GEK654148:GEK654213 GOG654148:GOG654213 GYC654148:GYC654213 HHY654148:HHY654213 HRU654148:HRU654213 IBQ654148:IBQ654213 ILM654148:ILM654213 IVI654148:IVI654213 JFE654148:JFE654213 JPA654148:JPA654213 JYW654148:JYW654213 KIS654148:KIS654213 KSO654148:KSO654213 LCK654148:LCK654213 LMG654148:LMG654213 LWC654148:LWC654213 MFY654148:MFY654213 MPU654148:MPU654213 MZQ654148:MZQ654213 NJM654148:NJM654213 NTI654148:NTI654213 ODE654148:ODE654213 ONA654148:ONA654213 OWW654148:OWW654213 PGS654148:PGS654213 PQO654148:PQO654213 QAK654148:QAK654213 QKG654148:QKG654213 QUC654148:QUC654213 RDY654148:RDY654213 RNU654148:RNU654213 RXQ654148:RXQ654213 SHM654148:SHM654213 SRI654148:SRI654213 TBE654148:TBE654213 TLA654148:TLA654213 TUW654148:TUW654213 UES654148:UES654213 UOO654148:UOO654213 UYK654148:UYK654213 VIG654148:VIG654213 VSC654148:VSC654213 WBY654148:WBY654213 WLU654148:WLU654213 WVQ654148:WVQ654213 I719684:I719749 JE719684:JE719749 TA719684:TA719749 ACW719684:ACW719749 AMS719684:AMS719749 AWO719684:AWO719749 BGK719684:BGK719749 BQG719684:BQG719749 CAC719684:CAC719749 CJY719684:CJY719749 CTU719684:CTU719749 DDQ719684:DDQ719749 DNM719684:DNM719749 DXI719684:DXI719749 EHE719684:EHE719749 ERA719684:ERA719749 FAW719684:FAW719749 FKS719684:FKS719749 FUO719684:FUO719749 GEK719684:GEK719749 GOG719684:GOG719749 GYC719684:GYC719749 HHY719684:HHY719749 HRU719684:HRU719749 IBQ719684:IBQ719749 ILM719684:ILM719749 IVI719684:IVI719749 JFE719684:JFE719749 JPA719684:JPA719749 JYW719684:JYW719749 KIS719684:KIS719749 KSO719684:KSO719749 LCK719684:LCK719749 LMG719684:LMG719749 LWC719684:LWC719749 MFY719684:MFY719749 MPU719684:MPU719749 MZQ719684:MZQ719749 NJM719684:NJM719749 NTI719684:NTI719749 ODE719684:ODE719749 ONA719684:ONA719749 OWW719684:OWW719749 PGS719684:PGS719749 PQO719684:PQO719749 QAK719684:QAK719749 QKG719684:QKG719749 QUC719684:QUC719749 RDY719684:RDY719749 RNU719684:RNU719749 RXQ719684:RXQ719749 SHM719684:SHM719749 SRI719684:SRI719749 TBE719684:TBE719749 TLA719684:TLA719749 TUW719684:TUW719749 UES719684:UES719749 UOO719684:UOO719749 UYK719684:UYK719749 VIG719684:VIG719749 VSC719684:VSC719749 WBY719684:WBY719749 WLU719684:WLU719749 WVQ719684:WVQ719749 I785220:I785285 JE785220:JE785285 TA785220:TA785285 ACW785220:ACW785285 AMS785220:AMS785285 AWO785220:AWO785285 BGK785220:BGK785285 BQG785220:BQG785285 CAC785220:CAC785285 CJY785220:CJY785285 CTU785220:CTU785285 DDQ785220:DDQ785285 DNM785220:DNM785285 DXI785220:DXI785285 EHE785220:EHE785285 ERA785220:ERA785285 FAW785220:FAW785285 FKS785220:FKS785285 FUO785220:FUO785285 GEK785220:GEK785285 GOG785220:GOG785285 GYC785220:GYC785285 HHY785220:HHY785285 HRU785220:HRU785285 IBQ785220:IBQ785285 ILM785220:ILM785285 IVI785220:IVI785285 JFE785220:JFE785285 JPA785220:JPA785285 JYW785220:JYW785285 KIS785220:KIS785285 KSO785220:KSO785285 LCK785220:LCK785285 LMG785220:LMG785285 LWC785220:LWC785285 MFY785220:MFY785285 MPU785220:MPU785285 MZQ785220:MZQ785285 NJM785220:NJM785285 NTI785220:NTI785285 ODE785220:ODE785285 ONA785220:ONA785285 OWW785220:OWW785285 PGS785220:PGS785285 PQO785220:PQO785285 QAK785220:QAK785285 QKG785220:QKG785285 QUC785220:QUC785285 RDY785220:RDY785285 RNU785220:RNU785285 RXQ785220:RXQ785285 SHM785220:SHM785285 SRI785220:SRI785285 TBE785220:TBE785285 TLA785220:TLA785285 TUW785220:TUW785285 UES785220:UES785285 UOO785220:UOO785285 UYK785220:UYK785285 VIG785220:VIG785285 VSC785220:VSC785285 WBY785220:WBY785285 WLU785220:WLU785285 WVQ785220:WVQ785285 I850756:I850821 JE850756:JE850821 TA850756:TA850821 ACW850756:ACW850821 AMS850756:AMS850821 AWO850756:AWO850821 BGK850756:BGK850821 BQG850756:BQG850821 CAC850756:CAC850821 CJY850756:CJY850821 CTU850756:CTU850821 DDQ850756:DDQ850821 DNM850756:DNM850821 DXI850756:DXI850821 EHE850756:EHE850821 ERA850756:ERA850821 FAW850756:FAW850821 FKS850756:FKS850821 FUO850756:FUO850821 GEK850756:GEK850821 GOG850756:GOG850821 GYC850756:GYC850821 HHY850756:HHY850821 HRU850756:HRU850821 IBQ850756:IBQ850821 ILM850756:ILM850821 IVI850756:IVI850821 JFE850756:JFE850821 JPA850756:JPA850821 JYW850756:JYW850821 KIS850756:KIS850821 KSO850756:KSO850821 LCK850756:LCK850821 LMG850756:LMG850821 LWC850756:LWC850821 MFY850756:MFY850821 MPU850756:MPU850821 MZQ850756:MZQ850821 NJM850756:NJM850821 NTI850756:NTI850821 ODE850756:ODE850821 ONA850756:ONA850821 OWW850756:OWW850821 PGS850756:PGS850821 PQO850756:PQO850821 QAK850756:QAK850821 QKG850756:QKG850821 QUC850756:QUC850821 RDY850756:RDY850821 RNU850756:RNU850821 RXQ850756:RXQ850821 SHM850756:SHM850821 SRI850756:SRI850821 TBE850756:TBE850821 TLA850756:TLA850821 TUW850756:TUW850821 UES850756:UES850821 UOO850756:UOO850821 UYK850756:UYK850821 VIG850756:VIG850821 VSC850756:VSC850821 WBY850756:WBY850821 WLU850756:WLU850821 WVQ850756:WVQ850821 I916292:I916357 JE916292:JE916357 TA916292:TA916357 ACW916292:ACW916357 AMS916292:AMS916357 AWO916292:AWO916357 BGK916292:BGK916357 BQG916292:BQG916357 CAC916292:CAC916357 CJY916292:CJY916357 CTU916292:CTU916357 DDQ916292:DDQ916357 DNM916292:DNM916357 DXI916292:DXI916357 EHE916292:EHE916357 ERA916292:ERA916357 FAW916292:FAW916357 FKS916292:FKS916357 FUO916292:FUO916357 GEK916292:GEK916357 GOG916292:GOG916357 GYC916292:GYC916357 HHY916292:HHY916357 HRU916292:HRU916357 IBQ916292:IBQ916357 ILM916292:ILM916357 IVI916292:IVI916357 JFE916292:JFE916357 JPA916292:JPA916357 JYW916292:JYW916357 KIS916292:KIS916357 KSO916292:KSO916357 LCK916292:LCK916357 LMG916292:LMG916357 LWC916292:LWC916357 MFY916292:MFY916357 MPU916292:MPU916357 MZQ916292:MZQ916357 NJM916292:NJM916357 NTI916292:NTI916357 ODE916292:ODE916357 ONA916292:ONA916357 OWW916292:OWW916357 PGS916292:PGS916357 PQO916292:PQO916357 QAK916292:QAK916357 QKG916292:QKG916357 QUC916292:QUC916357 RDY916292:RDY916357 RNU916292:RNU916357 RXQ916292:RXQ916357 SHM916292:SHM916357 SRI916292:SRI916357 TBE916292:TBE916357 TLA916292:TLA916357 TUW916292:TUW916357 UES916292:UES916357 UOO916292:UOO916357 UYK916292:UYK916357 VIG916292:VIG916357 VSC916292:VSC916357 WBY916292:WBY916357 WLU916292:WLU916357 WVQ916292:WVQ916357 I981828:I981893 JE981828:JE981893 TA981828:TA981893 ACW981828:ACW981893 AMS981828:AMS981893 AWO981828:AWO981893 BGK981828:BGK981893 BQG981828:BQG981893 CAC981828:CAC981893 CJY981828:CJY981893 CTU981828:CTU981893 DDQ981828:DDQ981893 DNM981828:DNM981893 DXI981828:DXI981893 EHE981828:EHE981893 ERA981828:ERA981893 FAW981828:FAW981893 FKS981828:FKS981893 FUO981828:FUO981893 GEK981828:GEK981893 GOG981828:GOG981893 GYC981828:GYC981893 HHY981828:HHY981893 HRU981828:HRU981893 IBQ981828:IBQ981893 ILM981828:ILM981893 IVI981828:IVI981893 JFE981828:JFE981893 JPA981828:JPA981893 JYW981828:JYW981893 KIS981828:KIS981893 KSO981828:KSO981893 LCK981828:LCK981893 LMG981828:LMG981893 LWC981828:LWC981893 MFY981828:MFY981893 MPU981828:MPU981893 MZQ981828:MZQ981893 NJM981828:NJM981893 NTI981828:NTI981893 ODE981828:ODE981893 ONA981828:ONA981893 OWW981828:OWW981893 PGS981828:PGS981893 PQO981828:PQO981893 QAK981828:QAK981893 QKG981828:QKG981893 QUC981828:QUC981893 RDY981828:RDY981893 RNU981828:RNU981893 RXQ981828:RXQ981893 SHM981828:SHM981893 SRI981828:SRI981893 TBE981828:TBE981893 TLA981828:TLA981893 TUW981828:TUW981893 UES981828:UES981893 UOO981828:UOO981893 UYK981828:UYK981893 VIG981828:VIG981893 VSC981828:VSC981893 WBY981828:WBY981893 WLU981828:WLU981893 WVQ981828:WVQ981893 I1047364:I1047429 JE1047364:JE1047429 TA1047364:TA1047429 ACW1047364:ACW1047429 AMS1047364:AMS1047429 AWO1047364:AWO1047429 BGK1047364:BGK1047429 BQG1047364:BQG1047429 CAC1047364:CAC1047429 CJY1047364:CJY1047429 CTU1047364:CTU1047429 DDQ1047364:DDQ1047429 DNM1047364:DNM1047429 DXI1047364:DXI1047429 EHE1047364:EHE1047429 ERA1047364:ERA1047429 FAW1047364:FAW1047429 FKS1047364:FKS1047429 FUO1047364:FUO1047429 GEK1047364:GEK1047429 GOG1047364:GOG1047429 GYC1047364:GYC1047429 HHY1047364:HHY1047429 HRU1047364:HRU1047429 IBQ1047364:IBQ1047429 ILM1047364:ILM1047429 IVI1047364:IVI1047429 JFE1047364:JFE1047429 JPA1047364:JPA1047429 JYW1047364:JYW1047429 KIS1047364:KIS1047429 KSO1047364:KSO1047429 LCK1047364:LCK1047429 LMG1047364:LMG1047429 LWC1047364:LWC1047429 MFY1047364:MFY1047429 MPU1047364:MPU1047429 MZQ1047364:MZQ1047429 NJM1047364:NJM1047429 NTI1047364:NTI1047429 ODE1047364:ODE1047429 ONA1047364:ONA1047429 OWW1047364:OWW1047429 PGS1047364:PGS1047429 PQO1047364:PQO1047429 QAK1047364:QAK1047429 QKG1047364:QKG1047429 QUC1047364:QUC1047429 RDY1047364:RDY1047429 RNU1047364:RNU1047429 RXQ1047364:RXQ1047429 SHM1047364:SHM1047429 SRI1047364:SRI1047429 TBE1047364:TBE1047429 TLA1047364:TLA1047429 TUW1047364:TUW1047429 UES1047364:UES1047429 UOO1047364:UOO1047429 UYK1047364:UYK1047429 VIG1047364:VIG1047429 VSC1047364:VSC1047429 WBY1047364:WBY1047429 WLU1047364:WLU1047429 WVQ1047364:WVQ1047429 WVQ983003:WVQ983068 I65499:I65564 JE65499:JE65564 TA65499:TA65564 ACW65499:ACW65564 AMS65499:AMS65564 AWO65499:AWO65564 BGK65499:BGK65564 BQG65499:BQG65564 CAC65499:CAC65564 CJY65499:CJY65564 CTU65499:CTU65564 DDQ65499:DDQ65564 DNM65499:DNM65564 DXI65499:DXI65564 EHE65499:EHE65564 ERA65499:ERA65564 FAW65499:FAW65564 FKS65499:FKS65564 FUO65499:FUO65564 GEK65499:GEK65564 GOG65499:GOG65564 GYC65499:GYC65564 HHY65499:HHY65564 HRU65499:HRU65564 IBQ65499:IBQ65564 ILM65499:ILM65564 IVI65499:IVI65564 JFE65499:JFE65564 JPA65499:JPA65564 JYW65499:JYW65564 KIS65499:KIS65564 KSO65499:KSO65564 LCK65499:LCK65564 LMG65499:LMG65564 LWC65499:LWC65564 MFY65499:MFY65564 MPU65499:MPU65564 MZQ65499:MZQ65564 NJM65499:NJM65564 NTI65499:NTI65564 ODE65499:ODE65564 ONA65499:ONA65564 OWW65499:OWW65564 PGS65499:PGS65564 PQO65499:PQO65564 QAK65499:QAK65564 QKG65499:QKG65564 QUC65499:QUC65564 RDY65499:RDY65564 RNU65499:RNU65564 RXQ65499:RXQ65564 SHM65499:SHM65564 SRI65499:SRI65564 TBE65499:TBE65564 TLA65499:TLA65564 TUW65499:TUW65564 UES65499:UES65564 UOO65499:UOO65564 UYK65499:UYK65564 VIG65499:VIG65564 VSC65499:VSC65564 WBY65499:WBY65564 WLU65499:WLU65564 WVQ65499:WVQ65564 I131035:I131100 JE131035:JE131100 TA131035:TA131100 ACW131035:ACW131100 AMS131035:AMS131100 AWO131035:AWO131100 BGK131035:BGK131100 BQG131035:BQG131100 CAC131035:CAC131100 CJY131035:CJY131100 CTU131035:CTU131100 DDQ131035:DDQ131100 DNM131035:DNM131100 DXI131035:DXI131100 EHE131035:EHE131100 ERA131035:ERA131100 FAW131035:FAW131100 FKS131035:FKS131100 FUO131035:FUO131100 GEK131035:GEK131100 GOG131035:GOG131100 GYC131035:GYC131100 HHY131035:HHY131100 HRU131035:HRU131100 IBQ131035:IBQ131100 ILM131035:ILM131100 IVI131035:IVI131100 JFE131035:JFE131100 JPA131035:JPA131100 JYW131035:JYW131100 KIS131035:KIS131100 KSO131035:KSO131100 LCK131035:LCK131100 LMG131035:LMG131100 LWC131035:LWC131100 MFY131035:MFY131100 MPU131035:MPU131100 MZQ131035:MZQ131100 NJM131035:NJM131100 NTI131035:NTI131100 ODE131035:ODE131100 ONA131035:ONA131100 OWW131035:OWW131100 PGS131035:PGS131100 PQO131035:PQO131100 QAK131035:QAK131100 QKG131035:QKG131100 QUC131035:QUC131100 RDY131035:RDY131100 RNU131035:RNU131100 RXQ131035:RXQ131100 SHM131035:SHM131100 SRI131035:SRI131100 TBE131035:TBE131100 TLA131035:TLA131100 TUW131035:TUW131100 UES131035:UES131100 UOO131035:UOO131100 UYK131035:UYK131100 VIG131035:VIG131100 VSC131035:VSC131100 WBY131035:WBY131100 WLU131035:WLU131100 WVQ131035:WVQ131100 I196571:I196636 JE196571:JE196636 TA196571:TA196636 ACW196571:ACW196636 AMS196571:AMS196636 AWO196571:AWO196636 BGK196571:BGK196636 BQG196571:BQG196636 CAC196571:CAC196636 CJY196571:CJY196636 CTU196571:CTU196636 DDQ196571:DDQ196636 DNM196571:DNM196636 DXI196571:DXI196636 EHE196571:EHE196636 ERA196571:ERA196636 FAW196571:FAW196636 FKS196571:FKS196636 FUO196571:FUO196636 GEK196571:GEK196636 GOG196571:GOG196636 GYC196571:GYC196636 HHY196571:HHY196636 HRU196571:HRU196636 IBQ196571:IBQ196636 ILM196571:ILM196636 IVI196571:IVI196636 JFE196571:JFE196636 JPA196571:JPA196636 JYW196571:JYW196636 KIS196571:KIS196636 KSO196571:KSO196636 LCK196571:LCK196636 LMG196571:LMG196636 LWC196571:LWC196636 MFY196571:MFY196636 MPU196571:MPU196636 MZQ196571:MZQ196636 NJM196571:NJM196636 NTI196571:NTI196636 ODE196571:ODE196636 ONA196571:ONA196636 OWW196571:OWW196636 PGS196571:PGS196636 PQO196571:PQO196636 QAK196571:QAK196636 QKG196571:QKG196636 QUC196571:QUC196636 RDY196571:RDY196636 RNU196571:RNU196636 RXQ196571:RXQ196636 SHM196571:SHM196636 SRI196571:SRI196636 TBE196571:TBE196636 TLA196571:TLA196636 TUW196571:TUW196636 UES196571:UES196636 UOO196571:UOO196636 UYK196571:UYK196636 VIG196571:VIG196636 VSC196571:VSC196636 WBY196571:WBY196636 WLU196571:WLU196636 WVQ196571:WVQ196636 I262107:I262172 JE262107:JE262172 TA262107:TA262172 ACW262107:ACW262172 AMS262107:AMS262172 AWO262107:AWO262172 BGK262107:BGK262172 BQG262107:BQG262172 CAC262107:CAC262172 CJY262107:CJY262172 CTU262107:CTU262172 DDQ262107:DDQ262172 DNM262107:DNM262172 DXI262107:DXI262172 EHE262107:EHE262172 ERA262107:ERA262172 FAW262107:FAW262172 FKS262107:FKS262172 FUO262107:FUO262172 GEK262107:GEK262172 GOG262107:GOG262172 GYC262107:GYC262172 HHY262107:HHY262172 HRU262107:HRU262172 IBQ262107:IBQ262172 ILM262107:ILM262172 IVI262107:IVI262172 JFE262107:JFE262172 JPA262107:JPA262172 JYW262107:JYW262172 KIS262107:KIS262172 KSO262107:KSO262172 LCK262107:LCK262172 LMG262107:LMG262172 LWC262107:LWC262172 MFY262107:MFY262172 MPU262107:MPU262172 MZQ262107:MZQ262172 NJM262107:NJM262172 NTI262107:NTI262172 ODE262107:ODE262172 ONA262107:ONA262172 OWW262107:OWW262172 PGS262107:PGS262172 PQO262107:PQO262172 QAK262107:QAK262172 QKG262107:QKG262172 QUC262107:QUC262172 RDY262107:RDY262172 RNU262107:RNU262172 RXQ262107:RXQ262172 SHM262107:SHM262172 SRI262107:SRI262172 TBE262107:TBE262172 TLA262107:TLA262172 TUW262107:TUW262172 UES262107:UES262172 UOO262107:UOO262172 UYK262107:UYK262172 VIG262107:VIG262172 VSC262107:VSC262172 WBY262107:WBY262172 WLU262107:WLU262172 WVQ262107:WVQ262172 I327643:I327708 JE327643:JE327708 TA327643:TA327708 ACW327643:ACW327708 AMS327643:AMS327708 AWO327643:AWO327708 BGK327643:BGK327708 BQG327643:BQG327708 CAC327643:CAC327708 CJY327643:CJY327708 CTU327643:CTU327708 DDQ327643:DDQ327708 DNM327643:DNM327708 DXI327643:DXI327708 EHE327643:EHE327708 ERA327643:ERA327708 FAW327643:FAW327708 FKS327643:FKS327708 FUO327643:FUO327708 GEK327643:GEK327708 GOG327643:GOG327708 GYC327643:GYC327708 HHY327643:HHY327708 HRU327643:HRU327708 IBQ327643:IBQ327708 ILM327643:ILM327708 IVI327643:IVI327708 JFE327643:JFE327708 JPA327643:JPA327708 JYW327643:JYW327708 KIS327643:KIS327708 KSO327643:KSO327708 LCK327643:LCK327708 LMG327643:LMG327708 LWC327643:LWC327708 MFY327643:MFY327708 MPU327643:MPU327708 MZQ327643:MZQ327708 NJM327643:NJM327708 NTI327643:NTI327708 ODE327643:ODE327708 ONA327643:ONA327708 OWW327643:OWW327708 PGS327643:PGS327708 PQO327643:PQO327708 QAK327643:QAK327708 QKG327643:QKG327708 QUC327643:QUC327708 RDY327643:RDY327708 RNU327643:RNU327708 RXQ327643:RXQ327708 SHM327643:SHM327708 SRI327643:SRI327708 TBE327643:TBE327708 TLA327643:TLA327708 TUW327643:TUW327708 UES327643:UES327708 UOO327643:UOO327708 UYK327643:UYK327708 VIG327643:VIG327708 VSC327643:VSC327708 WBY327643:WBY327708 WLU327643:WLU327708 WVQ327643:WVQ327708 I393179:I393244 JE393179:JE393244 TA393179:TA393244 ACW393179:ACW393244 AMS393179:AMS393244 AWO393179:AWO393244 BGK393179:BGK393244 BQG393179:BQG393244 CAC393179:CAC393244 CJY393179:CJY393244 CTU393179:CTU393244 DDQ393179:DDQ393244 DNM393179:DNM393244 DXI393179:DXI393244 EHE393179:EHE393244 ERA393179:ERA393244 FAW393179:FAW393244 FKS393179:FKS393244 FUO393179:FUO393244 GEK393179:GEK393244 GOG393179:GOG393244 GYC393179:GYC393244 HHY393179:HHY393244 HRU393179:HRU393244 IBQ393179:IBQ393244 ILM393179:ILM393244 IVI393179:IVI393244 JFE393179:JFE393244 JPA393179:JPA393244 JYW393179:JYW393244 KIS393179:KIS393244 KSO393179:KSO393244 LCK393179:LCK393244 LMG393179:LMG393244 LWC393179:LWC393244 MFY393179:MFY393244 MPU393179:MPU393244 MZQ393179:MZQ393244 NJM393179:NJM393244 NTI393179:NTI393244 ODE393179:ODE393244 ONA393179:ONA393244 OWW393179:OWW393244 PGS393179:PGS393244 PQO393179:PQO393244 QAK393179:QAK393244 QKG393179:QKG393244 QUC393179:QUC393244 RDY393179:RDY393244 RNU393179:RNU393244 RXQ393179:RXQ393244 SHM393179:SHM393244 SRI393179:SRI393244 TBE393179:TBE393244 TLA393179:TLA393244 TUW393179:TUW393244 UES393179:UES393244 UOO393179:UOO393244 UYK393179:UYK393244 VIG393179:VIG393244 VSC393179:VSC393244 WBY393179:WBY393244 WLU393179:WLU393244 WVQ393179:WVQ393244 I458715:I458780 JE458715:JE458780 TA458715:TA458780 ACW458715:ACW458780 AMS458715:AMS458780 AWO458715:AWO458780 BGK458715:BGK458780 BQG458715:BQG458780 CAC458715:CAC458780 CJY458715:CJY458780 CTU458715:CTU458780 DDQ458715:DDQ458780 DNM458715:DNM458780 DXI458715:DXI458780 EHE458715:EHE458780 ERA458715:ERA458780 FAW458715:FAW458780 FKS458715:FKS458780 FUO458715:FUO458780 GEK458715:GEK458780 GOG458715:GOG458780 GYC458715:GYC458780 HHY458715:HHY458780 HRU458715:HRU458780 IBQ458715:IBQ458780 ILM458715:ILM458780 IVI458715:IVI458780 JFE458715:JFE458780 JPA458715:JPA458780 JYW458715:JYW458780 KIS458715:KIS458780 KSO458715:KSO458780 LCK458715:LCK458780 LMG458715:LMG458780 LWC458715:LWC458780 MFY458715:MFY458780 MPU458715:MPU458780 MZQ458715:MZQ458780 NJM458715:NJM458780 NTI458715:NTI458780 ODE458715:ODE458780 ONA458715:ONA458780 OWW458715:OWW458780 PGS458715:PGS458780 PQO458715:PQO458780 QAK458715:QAK458780 QKG458715:QKG458780 QUC458715:QUC458780 RDY458715:RDY458780 RNU458715:RNU458780 RXQ458715:RXQ458780 SHM458715:SHM458780 SRI458715:SRI458780 TBE458715:TBE458780 TLA458715:TLA458780 TUW458715:TUW458780 UES458715:UES458780 UOO458715:UOO458780 UYK458715:UYK458780 VIG458715:VIG458780 VSC458715:VSC458780 WBY458715:WBY458780 WLU458715:WLU458780 WVQ458715:WVQ458780 I524251:I524316 JE524251:JE524316 TA524251:TA524316 ACW524251:ACW524316 AMS524251:AMS524316 AWO524251:AWO524316 BGK524251:BGK524316 BQG524251:BQG524316 CAC524251:CAC524316 CJY524251:CJY524316 CTU524251:CTU524316 DDQ524251:DDQ524316 DNM524251:DNM524316 DXI524251:DXI524316 EHE524251:EHE524316 ERA524251:ERA524316 FAW524251:FAW524316 FKS524251:FKS524316 FUO524251:FUO524316 GEK524251:GEK524316 GOG524251:GOG524316 GYC524251:GYC524316 HHY524251:HHY524316 HRU524251:HRU524316 IBQ524251:IBQ524316 ILM524251:ILM524316 IVI524251:IVI524316 JFE524251:JFE524316 JPA524251:JPA524316 JYW524251:JYW524316 KIS524251:KIS524316 KSO524251:KSO524316 LCK524251:LCK524316 LMG524251:LMG524316 LWC524251:LWC524316 MFY524251:MFY524316 MPU524251:MPU524316 MZQ524251:MZQ524316 NJM524251:NJM524316 NTI524251:NTI524316 ODE524251:ODE524316 ONA524251:ONA524316 OWW524251:OWW524316 PGS524251:PGS524316 PQO524251:PQO524316 QAK524251:QAK524316 QKG524251:QKG524316 QUC524251:QUC524316 RDY524251:RDY524316 RNU524251:RNU524316 RXQ524251:RXQ524316 SHM524251:SHM524316 SRI524251:SRI524316 TBE524251:TBE524316 TLA524251:TLA524316 TUW524251:TUW524316 UES524251:UES524316 UOO524251:UOO524316 UYK524251:UYK524316 VIG524251:VIG524316 VSC524251:VSC524316 WBY524251:WBY524316 WLU524251:WLU524316 WVQ524251:WVQ524316 I589787:I589852 JE589787:JE589852 TA589787:TA589852 ACW589787:ACW589852 AMS589787:AMS589852 AWO589787:AWO589852 BGK589787:BGK589852 BQG589787:BQG589852 CAC589787:CAC589852 CJY589787:CJY589852 CTU589787:CTU589852 DDQ589787:DDQ589852 DNM589787:DNM589852 DXI589787:DXI589852 EHE589787:EHE589852 ERA589787:ERA589852 FAW589787:FAW589852 FKS589787:FKS589852 FUO589787:FUO589852 GEK589787:GEK589852 GOG589787:GOG589852 GYC589787:GYC589852 HHY589787:HHY589852 HRU589787:HRU589852 IBQ589787:IBQ589852 ILM589787:ILM589852 IVI589787:IVI589852 JFE589787:JFE589852 JPA589787:JPA589852 JYW589787:JYW589852 KIS589787:KIS589852 KSO589787:KSO589852 LCK589787:LCK589852 LMG589787:LMG589852 LWC589787:LWC589852 MFY589787:MFY589852 MPU589787:MPU589852 MZQ589787:MZQ589852 NJM589787:NJM589852 NTI589787:NTI589852 ODE589787:ODE589852 ONA589787:ONA589852 OWW589787:OWW589852 PGS589787:PGS589852 PQO589787:PQO589852 QAK589787:QAK589852 QKG589787:QKG589852 QUC589787:QUC589852 RDY589787:RDY589852 RNU589787:RNU589852 RXQ589787:RXQ589852 SHM589787:SHM589852 SRI589787:SRI589852 TBE589787:TBE589852 TLA589787:TLA589852 TUW589787:TUW589852 UES589787:UES589852 UOO589787:UOO589852 UYK589787:UYK589852 VIG589787:VIG589852 VSC589787:VSC589852 WBY589787:WBY589852 WLU589787:WLU589852 WVQ589787:WVQ589852 I655323:I655388 JE655323:JE655388 TA655323:TA655388 ACW655323:ACW655388 AMS655323:AMS655388 AWO655323:AWO655388 BGK655323:BGK655388 BQG655323:BQG655388 CAC655323:CAC655388 CJY655323:CJY655388 CTU655323:CTU655388 DDQ655323:DDQ655388 DNM655323:DNM655388 DXI655323:DXI655388 EHE655323:EHE655388 ERA655323:ERA655388 FAW655323:FAW655388 FKS655323:FKS655388 FUO655323:FUO655388 GEK655323:GEK655388 GOG655323:GOG655388 GYC655323:GYC655388 HHY655323:HHY655388 HRU655323:HRU655388 IBQ655323:IBQ655388 ILM655323:ILM655388 IVI655323:IVI655388 JFE655323:JFE655388 JPA655323:JPA655388 JYW655323:JYW655388 KIS655323:KIS655388 KSO655323:KSO655388 LCK655323:LCK655388 LMG655323:LMG655388 LWC655323:LWC655388 MFY655323:MFY655388 MPU655323:MPU655388 MZQ655323:MZQ655388 NJM655323:NJM655388 NTI655323:NTI655388 ODE655323:ODE655388 ONA655323:ONA655388 OWW655323:OWW655388 PGS655323:PGS655388 PQO655323:PQO655388 QAK655323:QAK655388 QKG655323:QKG655388 QUC655323:QUC655388 RDY655323:RDY655388 RNU655323:RNU655388 RXQ655323:RXQ655388 SHM655323:SHM655388 SRI655323:SRI655388 TBE655323:TBE655388 TLA655323:TLA655388 TUW655323:TUW655388 UES655323:UES655388 UOO655323:UOO655388 UYK655323:UYK655388 VIG655323:VIG655388 VSC655323:VSC655388 WBY655323:WBY655388 WLU655323:WLU655388 WVQ655323:WVQ655388 I720859:I720924 JE720859:JE720924 TA720859:TA720924 ACW720859:ACW720924 AMS720859:AMS720924 AWO720859:AWO720924 BGK720859:BGK720924 BQG720859:BQG720924 CAC720859:CAC720924 CJY720859:CJY720924 CTU720859:CTU720924 DDQ720859:DDQ720924 DNM720859:DNM720924 DXI720859:DXI720924 EHE720859:EHE720924 ERA720859:ERA720924 FAW720859:FAW720924 FKS720859:FKS720924 FUO720859:FUO720924 GEK720859:GEK720924 GOG720859:GOG720924 GYC720859:GYC720924 HHY720859:HHY720924 HRU720859:HRU720924 IBQ720859:IBQ720924 ILM720859:ILM720924 IVI720859:IVI720924 JFE720859:JFE720924 JPA720859:JPA720924 JYW720859:JYW720924 KIS720859:KIS720924 KSO720859:KSO720924 LCK720859:LCK720924 LMG720859:LMG720924 LWC720859:LWC720924 MFY720859:MFY720924 MPU720859:MPU720924 MZQ720859:MZQ720924 NJM720859:NJM720924 NTI720859:NTI720924 ODE720859:ODE720924 ONA720859:ONA720924 OWW720859:OWW720924 PGS720859:PGS720924 PQO720859:PQO720924 QAK720859:QAK720924 QKG720859:QKG720924 QUC720859:QUC720924 RDY720859:RDY720924 RNU720859:RNU720924 RXQ720859:RXQ720924 SHM720859:SHM720924 SRI720859:SRI720924 TBE720859:TBE720924 TLA720859:TLA720924 TUW720859:TUW720924 UES720859:UES720924 UOO720859:UOO720924 UYK720859:UYK720924 VIG720859:VIG720924 VSC720859:VSC720924 WBY720859:WBY720924 WLU720859:WLU720924 WVQ720859:WVQ720924 I786395:I786460 JE786395:JE786460 TA786395:TA786460 ACW786395:ACW786460 AMS786395:AMS786460 AWO786395:AWO786460 BGK786395:BGK786460 BQG786395:BQG786460 CAC786395:CAC786460 CJY786395:CJY786460 CTU786395:CTU786460 DDQ786395:DDQ786460 DNM786395:DNM786460 DXI786395:DXI786460 EHE786395:EHE786460 ERA786395:ERA786460 FAW786395:FAW786460 FKS786395:FKS786460 FUO786395:FUO786460 GEK786395:GEK786460 GOG786395:GOG786460 GYC786395:GYC786460 HHY786395:HHY786460 HRU786395:HRU786460 IBQ786395:IBQ786460 ILM786395:ILM786460 IVI786395:IVI786460 JFE786395:JFE786460 JPA786395:JPA786460 JYW786395:JYW786460 KIS786395:KIS786460 KSO786395:KSO786460 LCK786395:LCK786460 LMG786395:LMG786460 LWC786395:LWC786460 MFY786395:MFY786460 MPU786395:MPU786460 MZQ786395:MZQ786460 NJM786395:NJM786460 NTI786395:NTI786460 ODE786395:ODE786460 ONA786395:ONA786460 OWW786395:OWW786460 PGS786395:PGS786460 PQO786395:PQO786460 QAK786395:QAK786460 QKG786395:QKG786460 QUC786395:QUC786460 RDY786395:RDY786460 RNU786395:RNU786460 RXQ786395:RXQ786460 SHM786395:SHM786460 SRI786395:SRI786460 TBE786395:TBE786460 TLA786395:TLA786460 TUW786395:TUW786460 UES786395:UES786460 UOO786395:UOO786460 UYK786395:UYK786460 VIG786395:VIG786460 VSC786395:VSC786460 WBY786395:WBY786460 WLU786395:WLU786460 WVQ786395:WVQ786460 I851931:I851996 JE851931:JE851996 TA851931:TA851996 ACW851931:ACW851996 AMS851931:AMS851996 AWO851931:AWO851996 BGK851931:BGK851996 BQG851931:BQG851996 CAC851931:CAC851996 CJY851931:CJY851996 CTU851931:CTU851996 DDQ851931:DDQ851996 DNM851931:DNM851996 DXI851931:DXI851996 EHE851931:EHE851996 ERA851931:ERA851996 FAW851931:FAW851996 FKS851931:FKS851996 FUO851931:FUO851996 GEK851931:GEK851996 GOG851931:GOG851996 GYC851931:GYC851996 HHY851931:HHY851996 HRU851931:HRU851996 IBQ851931:IBQ851996 ILM851931:ILM851996 IVI851931:IVI851996 JFE851931:JFE851996 JPA851931:JPA851996 JYW851931:JYW851996 KIS851931:KIS851996 KSO851931:KSO851996 LCK851931:LCK851996 LMG851931:LMG851996 LWC851931:LWC851996 MFY851931:MFY851996 MPU851931:MPU851996 MZQ851931:MZQ851996 NJM851931:NJM851996 NTI851931:NTI851996 ODE851931:ODE851996 ONA851931:ONA851996 OWW851931:OWW851996 PGS851931:PGS851996 PQO851931:PQO851996 QAK851931:QAK851996 QKG851931:QKG851996 QUC851931:QUC851996 RDY851931:RDY851996 RNU851931:RNU851996 RXQ851931:RXQ851996 SHM851931:SHM851996 SRI851931:SRI851996 TBE851931:TBE851996 TLA851931:TLA851996 TUW851931:TUW851996 UES851931:UES851996 UOO851931:UOO851996 UYK851931:UYK851996 VIG851931:VIG851996 VSC851931:VSC851996 WBY851931:WBY851996 WLU851931:WLU851996 WVQ851931:WVQ851996 I917467:I917532 JE917467:JE917532 TA917467:TA917532 ACW917467:ACW917532 AMS917467:AMS917532 AWO917467:AWO917532 BGK917467:BGK917532 BQG917467:BQG917532 CAC917467:CAC917532 CJY917467:CJY917532 CTU917467:CTU917532 DDQ917467:DDQ917532 DNM917467:DNM917532 DXI917467:DXI917532 EHE917467:EHE917532 ERA917467:ERA917532 FAW917467:FAW917532 FKS917467:FKS917532 FUO917467:FUO917532 GEK917467:GEK917532 GOG917467:GOG917532 GYC917467:GYC917532 HHY917467:HHY917532 HRU917467:HRU917532 IBQ917467:IBQ917532 ILM917467:ILM917532 IVI917467:IVI917532 JFE917467:JFE917532 JPA917467:JPA917532 JYW917467:JYW917532 KIS917467:KIS917532 KSO917467:KSO917532 LCK917467:LCK917532 LMG917467:LMG917532 LWC917467:LWC917532 MFY917467:MFY917532 MPU917467:MPU917532 MZQ917467:MZQ917532 NJM917467:NJM917532 NTI917467:NTI917532 ODE917467:ODE917532 ONA917467:ONA917532 OWW917467:OWW917532 PGS917467:PGS917532 PQO917467:PQO917532 QAK917467:QAK917532 QKG917467:QKG917532 QUC917467:QUC917532 RDY917467:RDY917532 RNU917467:RNU917532 RXQ917467:RXQ917532 SHM917467:SHM917532 SRI917467:SRI917532 TBE917467:TBE917532 TLA917467:TLA917532 TUW917467:TUW917532 UES917467:UES917532 UOO917467:UOO917532 UYK917467:UYK917532 VIG917467:VIG917532 VSC917467:VSC917532 WBY917467:WBY917532 WLU917467:WLU917532 WVQ917467:WVQ917532 I983003:I983068 JE983003:JE983068 TA983003:TA983068 ACW983003:ACW983068 AMS983003:AMS983068 AWO983003:AWO983068 BGK983003:BGK983068 BQG983003:BQG983068 CAC983003:CAC983068 CJY983003:CJY983068 CTU983003:CTU983068 DDQ983003:DDQ983068 DNM983003:DNM983068 DXI983003:DXI983068 EHE983003:EHE983068 ERA983003:ERA983068 FAW983003:FAW983068 FKS983003:FKS983068 FUO983003:FUO983068 GEK983003:GEK983068 GOG983003:GOG983068 GYC983003:GYC983068 HHY983003:HHY983068 HRU983003:HRU983068 IBQ983003:IBQ983068 ILM983003:ILM983068 IVI983003:IVI983068 JFE983003:JFE983068 JPA983003:JPA983068 JYW983003:JYW983068 KIS983003:KIS983068 KSO983003:KSO983068 LCK983003:LCK983068 LMG983003:LMG983068 LWC983003:LWC983068 MFY983003:MFY983068 MPU983003:MPU983068 MZQ983003:MZQ983068 NJM983003:NJM983068 NTI983003:NTI983068 ODE983003:ODE983068 ONA983003:ONA983068 OWW983003:OWW983068 PGS983003:PGS983068 PQO983003:PQO983068 QAK983003:QAK983068 QKG983003:QKG983068 QUC983003:QUC983068 RDY983003:RDY983068 RNU983003:RNU983068 RXQ983003:RXQ983068 SHM983003:SHM983068 SRI983003:SRI983068 TBE983003:TBE983068 TLA983003:TLA983068 TUW983003:TUW983068 UES983003:UES983068 UOO983003:UOO983068 UYK983003:UYK983068 VIG983003:VIG983068 VSC983003:VSC983068 WBY983003:WBY983068 WLU983003:WLU983068 WVQ2:WVQ49 I2:I461 JE2:JE49 TA2:TA49 ACW2:ACW49 AMS2:AMS49 AWO2:AWO49 BGK2:BGK49 BQG2:BQG49 CAC2:CAC49 CJY2:CJY49 CTU2:CTU49 DDQ2:DDQ49 DNM2:DNM49 DXI2:DXI49 EHE2:EHE49 ERA2:ERA49 FAW2:FAW49 FKS2:FKS49 FUO2:FUO49 GEK2:GEK49 GOG2:GOG49 GYC2:GYC49 HHY2:HHY49 HRU2:HRU49 IBQ2:IBQ49 ILM2:ILM49 IVI2:IVI49 JFE2:JFE49 JPA2:JPA49 JYW2:JYW49 KIS2:KIS49 KSO2:KSO49 LCK2:LCK49 LMG2:LMG49 LWC2:LWC49 MFY2:MFY49 MPU2:MPU49 MZQ2:MZQ49 NJM2:NJM49 NTI2:NTI49 ODE2:ODE49 ONA2:ONA49 OWW2:OWW49 PGS2:PGS49 PQO2:PQO49 QAK2:QAK49 QKG2:QKG49 QUC2:QUC49 RDY2:RDY49 RNU2:RNU49 RXQ2:RXQ49 SHM2:SHM49 SRI2:SRI49 TBE2:TBE49 TLA2:TLA49 TUW2:TUW49 UES2:UES49 UOO2:UOO49 UYK2:UYK49 VIG2:VIG49 VSC2:VSC49 WBY2:WBY49 WLU2:WLU49" xr:uid="{B3E63978-01A9-47D7-BA50-35A0903FAF73}">
      <formula1>$AN$5:$AN$6</formula1>
    </dataValidation>
    <dataValidation type="list" allowBlank="1" showInputMessage="1" showErrorMessage="1" sqref="J64324:J64389 JF64324:JF64389 TB64324:TB64389 ACX64324:ACX64389 AMT64324:AMT64389 AWP64324:AWP64389 BGL64324:BGL64389 BQH64324:BQH64389 CAD64324:CAD64389 CJZ64324:CJZ64389 CTV64324:CTV64389 DDR64324:DDR64389 DNN64324:DNN64389 DXJ64324:DXJ64389 EHF64324:EHF64389 ERB64324:ERB64389 FAX64324:FAX64389 FKT64324:FKT64389 FUP64324:FUP64389 GEL64324:GEL64389 GOH64324:GOH64389 GYD64324:GYD64389 HHZ64324:HHZ64389 HRV64324:HRV64389 IBR64324:IBR64389 ILN64324:ILN64389 IVJ64324:IVJ64389 JFF64324:JFF64389 JPB64324:JPB64389 JYX64324:JYX64389 KIT64324:KIT64389 KSP64324:KSP64389 LCL64324:LCL64389 LMH64324:LMH64389 LWD64324:LWD64389 MFZ64324:MFZ64389 MPV64324:MPV64389 MZR64324:MZR64389 NJN64324:NJN64389 NTJ64324:NTJ64389 ODF64324:ODF64389 ONB64324:ONB64389 OWX64324:OWX64389 PGT64324:PGT64389 PQP64324:PQP64389 QAL64324:QAL64389 QKH64324:QKH64389 QUD64324:QUD64389 RDZ64324:RDZ64389 RNV64324:RNV64389 RXR64324:RXR64389 SHN64324:SHN64389 SRJ64324:SRJ64389 TBF64324:TBF64389 TLB64324:TLB64389 TUX64324:TUX64389 UET64324:UET64389 UOP64324:UOP64389 UYL64324:UYL64389 VIH64324:VIH64389 VSD64324:VSD64389 WBZ64324:WBZ64389 WLV64324:WLV64389 WVR64324:WVR64389 J129860:J129925 JF129860:JF129925 TB129860:TB129925 ACX129860:ACX129925 AMT129860:AMT129925 AWP129860:AWP129925 BGL129860:BGL129925 BQH129860:BQH129925 CAD129860:CAD129925 CJZ129860:CJZ129925 CTV129860:CTV129925 DDR129860:DDR129925 DNN129860:DNN129925 DXJ129860:DXJ129925 EHF129860:EHF129925 ERB129860:ERB129925 FAX129860:FAX129925 FKT129860:FKT129925 FUP129860:FUP129925 GEL129860:GEL129925 GOH129860:GOH129925 GYD129860:GYD129925 HHZ129860:HHZ129925 HRV129860:HRV129925 IBR129860:IBR129925 ILN129860:ILN129925 IVJ129860:IVJ129925 JFF129860:JFF129925 JPB129860:JPB129925 JYX129860:JYX129925 KIT129860:KIT129925 KSP129860:KSP129925 LCL129860:LCL129925 LMH129860:LMH129925 LWD129860:LWD129925 MFZ129860:MFZ129925 MPV129860:MPV129925 MZR129860:MZR129925 NJN129860:NJN129925 NTJ129860:NTJ129925 ODF129860:ODF129925 ONB129860:ONB129925 OWX129860:OWX129925 PGT129860:PGT129925 PQP129860:PQP129925 QAL129860:QAL129925 QKH129860:QKH129925 QUD129860:QUD129925 RDZ129860:RDZ129925 RNV129860:RNV129925 RXR129860:RXR129925 SHN129860:SHN129925 SRJ129860:SRJ129925 TBF129860:TBF129925 TLB129860:TLB129925 TUX129860:TUX129925 UET129860:UET129925 UOP129860:UOP129925 UYL129860:UYL129925 VIH129860:VIH129925 VSD129860:VSD129925 WBZ129860:WBZ129925 WLV129860:WLV129925 WVR129860:WVR129925 J195396:J195461 JF195396:JF195461 TB195396:TB195461 ACX195396:ACX195461 AMT195396:AMT195461 AWP195396:AWP195461 BGL195396:BGL195461 BQH195396:BQH195461 CAD195396:CAD195461 CJZ195396:CJZ195461 CTV195396:CTV195461 DDR195396:DDR195461 DNN195396:DNN195461 DXJ195396:DXJ195461 EHF195396:EHF195461 ERB195396:ERB195461 FAX195396:FAX195461 FKT195396:FKT195461 FUP195396:FUP195461 GEL195396:GEL195461 GOH195396:GOH195461 GYD195396:GYD195461 HHZ195396:HHZ195461 HRV195396:HRV195461 IBR195396:IBR195461 ILN195396:ILN195461 IVJ195396:IVJ195461 JFF195396:JFF195461 JPB195396:JPB195461 JYX195396:JYX195461 KIT195396:KIT195461 KSP195396:KSP195461 LCL195396:LCL195461 LMH195396:LMH195461 LWD195396:LWD195461 MFZ195396:MFZ195461 MPV195396:MPV195461 MZR195396:MZR195461 NJN195396:NJN195461 NTJ195396:NTJ195461 ODF195396:ODF195461 ONB195396:ONB195461 OWX195396:OWX195461 PGT195396:PGT195461 PQP195396:PQP195461 QAL195396:QAL195461 QKH195396:QKH195461 QUD195396:QUD195461 RDZ195396:RDZ195461 RNV195396:RNV195461 RXR195396:RXR195461 SHN195396:SHN195461 SRJ195396:SRJ195461 TBF195396:TBF195461 TLB195396:TLB195461 TUX195396:TUX195461 UET195396:UET195461 UOP195396:UOP195461 UYL195396:UYL195461 VIH195396:VIH195461 VSD195396:VSD195461 WBZ195396:WBZ195461 WLV195396:WLV195461 WVR195396:WVR195461 J260932:J260997 JF260932:JF260997 TB260932:TB260997 ACX260932:ACX260997 AMT260932:AMT260997 AWP260932:AWP260997 BGL260932:BGL260997 BQH260932:BQH260997 CAD260932:CAD260997 CJZ260932:CJZ260997 CTV260932:CTV260997 DDR260932:DDR260997 DNN260932:DNN260997 DXJ260932:DXJ260997 EHF260932:EHF260997 ERB260932:ERB260997 FAX260932:FAX260997 FKT260932:FKT260997 FUP260932:FUP260997 GEL260932:GEL260997 GOH260932:GOH260997 GYD260932:GYD260997 HHZ260932:HHZ260997 HRV260932:HRV260997 IBR260932:IBR260997 ILN260932:ILN260997 IVJ260932:IVJ260997 JFF260932:JFF260997 JPB260932:JPB260997 JYX260932:JYX260997 KIT260932:KIT260997 KSP260932:KSP260997 LCL260932:LCL260997 LMH260932:LMH260997 LWD260932:LWD260997 MFZ260932:MFZ260997 MPV260932:MPV260997 MZR260932:MZR260997 NJN260932:NJN260997 NTJ260932:NTJ260997 ODF260932:ODF260997 ONB260932:ONB260997 OWX260932:OWX260997 PGT260932:PGT260997 PQP260932:PQP260997 QAL260932:QAL260997 QKH260932:QKH260997 QUD260932:QUD260997 RDZ260932:RDZ260997 RNV260932:RNV260997 RXR260932:RXR260997 SHN260932:SHN260997 SRJ260932:SRJ260997 TBF260932:TBF260997 TLB260932:TLB260997 TUX260932:TUX260997 UET260932:UET260997 UOP260932:UOP260997 UYL260932:UYL260997 VIH260932:VIH260997 VSD260932:VSD260997 WBZ260932:WBZ260997 WLV260932:WLV260997 WVR260932:WVR260997 J326468:J326533 JF326468:JF326533 TB326468:TB326533 ACX326468:ACX326533 AMT326468:AMT326533 AWP326468:AWP326533 BGL326468:BGL326533 BQH326468:BQH326533 CAD326468:CAD326533 CJZ326468:CJZ326533 CTV326468:CTV326533 DDR326468:DDR326533 DNN326468:DNN326533 DXJ326468:DXJ326533 EHF326468:EHF326533 ERB326468:ERB326533 FAX326468:FAX326533 FKT326468:FKT326533 FUP326468:FUP326533 GEL326468:GEL326533 GOH326468:GOH326533 GYD326468:GYD326533 HHZ326468:HHZ326533 HRV326468:HRV326533 IBR326468:IBR326533 ILN326468:ILN326533 IVJ326468:IVJ326533 JFF326468:JFF326533 JPB326468:JPB326533 JYX326468:JYX326533 KIT326468:KIT326533 KSP326468:KSP326533 LCL326468:LCL326533 LMH326468:LMH326533 LWD326468:LWD326533 MFZ326468:MFZ326533 MPV326468:MPV326533 MZR326468:MZR326533 NJN326468:NJN326533 NTJ326468:NTJ326533 ODF326468:ODF326533 ONB326468:ONB326533 OWX326468:OWX326533 PGT326468:PGT326533 PQP326468:PQP326533 QAL326468:QAL326533 QKH326468:QKH326533 QUD326468:QUD326533 RDZ326468:RDZ326533 RNV326468:RNV326533 RXR326468:RXR326533 SHN326468:SHN326533 SRJ326468:SRJ326533 TBF326468:TBF326533 TLB326468:TLB326533 TUX326468:TUX326533 UET326468:UET326533 UOP326468:UOP326533 UYL326468:UYL326533 VIH326468:VIH326533 VSD326468:VSD326533 WBZ326468:WBZ326533 WLV326468:WLV326533 WVR326468:WVR326533 J392004:J392069 JF392004:JF392069 TB392004:TB392069 ACX392004:ACX392069 AMT392004:AMT392069 AWP392004:AWP392069 BGL392004:BGL392069 BQH392004:BQH392069 CAD392004:CAD392069 CJZ392004:CJZ392069 CTV392004:CTV392069 DDR392004:DDR392069 DNN392004:DNN392069 DXJ392004:DXJ392069 EHF392004:EHF392069 ERB392004:ERB392069 FAX392004:FAX392069 FKT392004:FKT392069 FUP392004:FUP392069 GEL392004:GEL392069 GOH392004:GOH392069 GYD392004:GYD392069 HHZ392004:HHZ392069 HRV392004:HRV392069 IBR392004:IBR392069 ILN392004:ILN392069 IVJ392004:IVJ392069 JFF392004:JFF392069 JPB392004:JPB392069 JYX392004:JYX392069 KIT392004:KIT392069 KSP392004:KSP392069 LCL392004:LCL392069 LMH392004:LMH392069 LWD392004:LWD392069 MFZ392004:MFZ392069 MPV392004:MPV392069 MZR392004:MZR392069 NJN392004:NJN392069 NTJ392004:NTJ392069 ODF392004:ODF392069 ONB392004:ONB392069 OWX392004:OWX392069 PGT392004:PGT392069 PQP392004:PQP392069 QAL392004:QAL392069 QKH392004:QKH392069 QUD392004:QUD392069 RDZ392004:RDZ392069 RNV392004:RNV392069 RXR392004:RXR392069 SHN392004:SHN392069 SRJ392004:SRJ392069 TBF392004:TBF392069 TLB392004:TLB392069 TUX392004:TUX392069 UET392004:UET392069 UOP392004:UOP392069 UYL392004:UYL392069 VIH392004:VIH392069 VSD392004:VSD392069 WBZ392004:WBZ392069 WLV392004:WLV392069 WVR392004:WVR392069 J457540:J457605 JF457540:JF457605 TB457540:TB457605 ACX457540:ACX457605 AMT457540:AMT457605 AWP457540:AWP457605 BGL457540:BGL457605 BQH457540:BQH457605 CAD457540:CAD457605 CJZ457540:CJZ457605 CTV457540:CTV457605 DDR457540:DDR457605 DNN457540:DNN457605 DXJ457540:DXJ457605 EHF457540:EHF457605 ERB457540:ERB457605 FAX457540:FAX457605 FKT457540:FKT457605 FUP457540:FUP457605 GEL457540:GEL457605 GOH457540:GOH457605 GYD457540:GYD457605 HHZ457540:HHZ457605 HRV457540:HRV457605 IBR457540:IBR457605 ILN457540:ILN457605 IVJ457540:IVJ457605 JFF457540:JFF457605 JPB457540:JPB457605 JYX457540:JYX457605 KIT457540:KIT457605 KSP457540:KSP457605 LCL457540:LCL457605 LMH457540:LMH457605 LWD457540:LWD457605 MFZ457540:MFZ457605 MPV457540:MPV457605 MZR457540:MZR457605 NJN457540:NJN457605 NTJ457540:NTJ457605 ODF457540:ODF457605 ONB457540:ONB457605 OWX457540:OWX457605 PGT457540:PGT457605 PQP457540:PQP457605 QAL457540:QAL457605 QKH457540:QKH457605 QUD457540:QUD457605 RDZ457540:RDZ457605 RNV457540:RNV457605 RXR457540:RXR457605 SHN457540:SHN457605 SRJ457540:SRJ457605 TBF457540:TBF457605 TLB457540:TLB457605 TUX457540:TUX457605 UET457540:UET457605 UOP457540:UOP457605 UYL457540:UYL457605 VIH457540:VIH457605 VSD457540:VSD457605 WBZ457540:WBZ457605 WLV457540:WLV457605 WVR457540:WVR457605 J523076:J523141 JF523076:JF523141 TB523076:TB523141 ACX523076:ACX523141 AMT523076:AMT523141 AWP523076:AWP523141 BGL523076:BGL523141 BQH523076:BQH523141 CAD523076:CAD523141 CJZ523076:CJZ523141 CTV523076:CTV523141 DDR523076:DDR523141 DNN523076:DNN523141 DXJ523076:DXJ523141 EHF523076:EHF523141 ERB523076:ERB523141 FAX523076:FAX523141 FKT523076:FKT523141 FUP523076:FUP523141 GEL523076:GEL523141 GOH523076:GOH523141 GYD523076:GYD523141 HHZ523076:HHZ523141 HRV523076:HRV523141 IBR523076:IBR523141 ILN523076:ILN523141 IVJ523076:IVJ523141 JFF523076:JFF523141 JPB523076:JPB523141 JYX523076:JYX523141 KIT523076:KIT523141 KSP523076:KSP523141 LCL523076:LCL523141 LMH523076:LMH523141 LWD523076:LWD523141 MFZ523076:MFZ523141 MPV523076:MPV523141 MZR523076:MZR523141 NJN523076:NJN523141 NTJ523076:NTJ523141 ODF523076:ODF523141 ONB523076:ONB523141 OWX523076:OWX523141 PGT523076:PGT523141 PQP523076:PQP523141 QAL523076:QAL523141 QKH523076:QKH523141 QUD523076:QUD523141 RDZ523076:RDZ523141 RNV523076:RNV523141 RXR523076:RXR523141 SHN523076:SHN523141 SRJ523076:SRJ523141 TBF523076:TBF523141 TLB523076:TLB523141 TUX523076:TUX523141 UET523076:UET523141 UOP523076:UOP523141 UYL523076:UYL523141 VIH523076:VIH523141 VSD523076:VSD523141 WBZ523076:WBZ523141 WLV523076:WLV523141 WVR523076:WVR523141 J588612:J588677 JF588612:JF588677 TB588612:TB588677 ACX588612:ACX588677 AMT588612:AMT588677 AWP588612:AWP588677 BGL588612:BGL588677 BQH588612:BQH588677 CAD588612:CAD588677 CJZ588612:CJZ588677 CTV588612:CTV588677 DDR588612:DDR588677 DNN588612:DNN588677 DXJ588612:DXJ588677 EHF588612:EHF588677 ERB588612:ERB588677 FAX588612:FAX588677 FKT588612:FKT588677 FUP588612:FUP588677 GEL588612:GEL588677 GOH588612:GOH588677 GYD588612:GYD588677 HHZ588612:HHZ588677 HRV588612:HRV588677 IBR588612:IBR588677 ILN588612:ILN588677 IVJ588612:IVJ588677 JFF588612:JFF588677 JPB588612:JPB588677 JYX588612:JYX588677 KIT588612:KIT588677 KSP588612:KSP588677 LCL588612:LCL588677 LMH588612:LMH588677 LWD588612:LWD588677 MFZ588612:MFZ588677 MPV588612:MPV588677 MZR588612:MZR588677 NJN588612:NJN588677 NTJ588612:NTJ588677 ODF588612:ODF588677 ONB588612:ONB588677 OWX588612:OWX588677 PGT588612:PGT588677 PQP588612:PQP588677 QAL588612:QAL588677 QKH588612:QKH588677 QUD588612:QUD588677 RDZ588612:RDZ588677 RNV588612:RNV588677 RXR588612:RXR588677 SHN588612:SHN588677 SRJ588612:SRJ588677 TBF588612:TBF588677 TLB588612:TLB588677 TUX588612:TUX588677 UET588612:UET588677 UOP588612:UOP588677 UYL588612:UYL588677 VIH588612:VIH588677 VSD588612:VSD588677 WBZ588612:WBZ588677 WLV588612:WLV588677 WVR588612:WVR588677 J654148:J654213 JF654148:JF654213 TB654148:TB654213 ACX654148:ACX654213 AMT654148:AMT654213 AWP654148:AWP654213 BGL654148:BGL654213 BQH654148:BQH654213 CAD654148:CAD654213 CJZ654148:CJZ654213 CTV654148:CTV654213 DDR654148:DDR654213 DNN654148:DNN654213 DXJ654148:DXJ654213 EHF654148:EHF654213 ERB654148:ERB654213 FAX654148:FAX654213 FKT654148:FKT654213 FUP654148:FUP654213 GEL654148:GEL654213 GOH654148:GOH654213 GYD654148:GYD654213 HHZ654148:HHZ654213 HRV654148:HRV654213 IBR654148:IBR654213 ILN654148:ILN654213 IVJ654148:IVJ654213 JFF654148:JFF654213 JPB654148:JPB654213 JYX654148:JYX654213 KIT654148:KIT654213 KSP654148:KSP654213 LCL654148:LCL654213 LMH654148:LMH654213 LWD654148:LWD654213 MFZ654148:MFZ654213 MPV654148:MPV654213 MZR654148:MZR654213 NJN654148:NJN654213 NTJ654148:NTJ654213 ODF654148:ODF654213 ONB654148:ONB654213 OWX654148:OWX654213 PGT654148:PGT654213 PQP654148:PQP654213 QAL654148:QAL654213 QKH654148:QKH654213 QUD654148:QUD654213 RDZ654148:RDZ654213 RNV654148:RNV654213 RXR654148:RXR654213 SHN654148:SHN654213 SRJ654148:SRJ654213 TBF654148:TBF654213 TLB654148:TLB654213 TUX654148:TUX654213 UET654148:UET654213 UOP654148:UOP654213 UYL654148:UYL654213 VIH654148:VIH654213 VSD654148:VSD654213 WBZ654148:WBZ654213 WLV654148:WLV654213 WVR654148:WVR654213 J719684:J719749 JF719684:JF719749 TB719684:TB719749 ACX719684:ACX719749 AMT719684:AMT719749 AWP719684:AWP719749 BGL719684:BGL719749 BQH719684:BQH719749 CAD719684:CAD719749 CJZ719684:CJZ719749 CTV719684:CTV719749 DDR719684:DDR719749 DNN719684:DNN719749 DXJ719684:DXJ719749 EHF719684:EHF719749 ERB719684:ERB719749 FAX719684:FAX719749 FKT719684:FKT719749 FUP719684:FUP719749 GEL719684:GEL719749 GOH719684:GOH719749 GYD719684:GYD719749 HHZ719684:HHZ719749 HRV719684:HRV719749 IBR719684:IBR719749 ILN719684:ILN719749 IVJ719684:IVJ719749 JFF719684:JFF719749 JPB719684:JPB719749 JYX719684:JYX719749 KIT719684:KIT719749 KSP719684:KSP719749 LCL719684:LCL719749 LMH719684:LMH719749 LWD719684:LWD719749 MFZ719684:MFZ719749 MPV719684:MPV719749 MZR719684:MZR719749 NJN719684:NJN719749 NTJ719684:NTJ719749 ODF719684:ODF719749 ONB719684:ONB719749 OWX719684:OWX719749 PGT719684:PGT719749 PQP719684:PQP719749 QAL719684:QAL719749 QKH719684:QKH719749 QUD719684:QUD719749 RDZ719684:RDZ719749 RNV719684:RNV719749 RXR719684:RXR719749 SHN719684:SHN719749 SRJ719684:SRJ719749 TBF719684:TBF719749 TLB719684:TLB719749 TUX719684:TUX719749 UET719684:UET719749 UOP719684:UOP719749 UYL719684:UYL719749 VIH719684:VIH719749 VSD719684:VSD719749 WBZ719684:WBZ719749 WLV719684:WLV719749 WVR719684:WVR719749 J785220:J785285 JF785220:JF785285 TB785220:TB785285 ACX785220:ACX785285 AMT785220:AMT785285 AWP785220:AWP785285 BGL785220:BGL785285 BQH785220:BQH785285 CAD785220:CAD785285 CJZ785220:CJZ785285 CTV785220:CTV785285 DDR785220:DDR785285 DNN785220:DNN785285 DXJ785220:DXJ785285 EHF785220:EHF785285 ERB785220:ERB785285 FAX785220:FAX785285 FKT785220:FKT785285 FUP785220:FUP785285 GEL785220:GEL785285 GOH785220:GOH785285 GYD785220:GYD785285 HHZ785220:HHZ785285 HRV785220:HRV785285 IBR785220:IBR785285 ILN785220:ILN785285 IVJ785220:IVJ785285 JFF785220:JFF785285 JPB785220:JPB785285 JYX785220:JYX785285 KIT785220:KIT785285 KSP785220:KSP785285 LCL785220:LCL785285 LMH785220:LMH785285 LWD785220:LWD785285 MFZ785220:MFZ785285 MPV785220:MPV785285 MZR785220:MZR785285 NJN785220:NJN785285 NTJ785220:NTJ785285 ODF785220:ODF785285 ONB785220:ONB785285 OWX785220:OWX785285 PGT785220:PGT785285 PQP785220:PQP785285 QAL785220:QAL785285 QKH785220:QKH785285 QUD785220:QUD785285 RDZ785220:RDZ785285 RNV785220:RNV785285 RXR785220:RXR785285 SHN785220:SHN785285 SRJ785220:SRJ785285 TBF785220:TBF785285 TLB785220:TLB785285 TUX785220:TUX785285 UET785220:UET785285 UOP785220:UOP785285 UYL785220:UYL785285 VIH785220:VIH785285 VSD785220:VSD785285 WBZ785220:WBZ785285 WLV785220:WLV785285 WVR785220:WVR785285 J850756:J850821 JF850756:JF850821 TB850756:TB850821 ACX850756:ACX850821 AMT850756:AMT850821 AWP850756:AWP850821 BGL850756:BGL850821 BQH850756:BQH850821 CAD850756:CAD850821 CJZ850756:CJZ850821 CTV850756:CTV850821 DDR850756:DDR850821 DNN850756:DNN850821 DXJ850756:DXJ850821 EHF850756:EHF850821 ERB850756:ERB850821 FAX850756:FAX850821 FKT850756:FKT850821 FUP850756:FUP850821 GEL850756:GEL850821 GOH850756:GOH850821 GYD850756:GYD850821 HHZ850756:HHZ850821 HRV850756:HRV850821 IBR850756:IBR850821 ILN850756:ILN850821 IVJ850756:IVJ850821 JFF850756:JFF850821 JPB850756:JPB850821 JYX850756:JYX850821 KIT850756:KIT850821 KSP850756:KSP850821 LCL850756:LCL850821 LMH850756:LMH850821 LWD850756:LWD850821 MFZ850756:MFZ850821 MPV850756:MPV850821 MZR850756:MZR850821 NJN850756:NJN850821 NTJ850756:NTJ850821 ODF850756:ODF850821 ONB850756:ONB850821 OWX850756:OWX850821 PGT850756:PGT850821 PQP850756:PQP850821 QAL850756:QAL850821 QKH850756:QKH850821 QUD850756:QUD850821 RDZ850756:RDZ850821 RNV850756:RNV850821 RXR850756:RXR850821 SHN850756:SHN850821 SRJ850756:SRJ850821 TBF850756:TBF850821 TLB850756:TLB850821 TUX850756:TUX850821 UET850756:UET850821 UOP850756:UOP850821 UYL850756:UYL850821 VIH850756:VIH850821 VSD850756:VSD850821 WBZ850756:WBZ850821 WLV850756:WLV850821 WVR850756:WVR850821 J916292:J916357 JF916292:JF916357 TB916292:TB916357 ACX916292:ACX916357 AMT916292:AMT916357 AWP916292:AWP916357 BGL916292:BGL916357 BQH916292:BQH916357 CAD916292:CAD916357 CJZ916292:CJZ916357 CTV916292:CTV916357 DDR916292:DDR916357 DNN916292:DNN916357 DXJ916292:DXJ916357 EHF916292:EHF916357 ERB916292:ERB916357 FAX916292:FAX916357 FKT916292:FKT916357 FUP916292:FUP916357 GEL916292:GEL916357 GOH916292:GOH916357 GYD916292:GYD916357 HHZ916292:HHZ916357 HRV916292:HRV916357 IBR916292:IBR916357 ILN916292:ILN916357 IVJ916292:IVJ916357 JFF916292:JFF916357 JPB916292:JPB916357 JYX916292:JYX916357 KIT916292:KIT916357 KSP916292:KSP916357 LCL916292:LCL916357 LMH916292:LMH916357 LWD916292:LWD916357 MFZ916292:MFZ916357 MPV916292:MPV916357 MZR916292:MZR916357 NJN916292:NJN916357 NTJ916292:NTJ916357 ODF916292:ODF916357 ONB916292:ONB916357 OWX916292:OWX916357 PGT916292:PGT916357 PQP916292:PQP916357 QAL916292:QAL916357 QKH916292:QKH916357 QUD916292:QUD916357 RDZ916292:RDZ916357 RNV916292:RNV916357 RXR916292:RXR916357 SHN916292:SHN916357 SRJ916292:SRJ916357 TBF916292:TBF916357 TLB916292:TLB916357 TUX916292:TUX916357 UET916292:UET916357 UOP916292:UOP916357 UYL916292:UYL916357 VIH916292:VIH916357 VSD916292:VSD916357 WBZ916292:WBZ916357 WLV916292:WLV916357 WVR916292:WVR916357 J981828:J981893 JF981828:JF981893 TB981828:TB981893 ACX981828:ACX981893 AMT981828:AMT981893 AWP981828:AWP981893 BGL981828:BGL981893 BQH981828:BQH981893 CAD981828:CAD981893 CJZ981828:CJZ981893 CTV981828:CTV981893 DDR981828:DDR981893 DNN981828:DNN981893 DXJ981828:DXJ981893 EHF981828:EHF981893 ERB981828:ERB981893 FAX981828:FAX981893 FKT981828:FKT981893 FUP981828:FUP981893 GEL981828:GEL981893 GOH981828:GOH981893 GYD981828:GYD981893 HHZ981828:HHZ981893 HRV981828:HRV981893 IBR981828:IBR981893 ILN981828:ILN981893 IVJ981828:IVJ981893 JFF981828:JFF981893 JPB981828:JPB981893 JYX981828:JYX981893 KIT981828:KIT981893 KSP981828:KSP981893 LCL981828:LCL981893 LMH981828:LMH981893 LWD981828:LWD981893 MFZ981828:MFZ981893 MPV981828:MPV981893 MZR981828:MZR981893 NJN981828:NJN981893 NTJ981828:NTJ981893 ODF981828:ODF981893 ONB981828:ONB981893 OWX981828:OWX981893 PGT981828:PGT981893 PQP981828:PQP981893 QAL981828:QAL981893 QKH981828:QKH981893 QUD981828:QUD981893 RDZ981828:RDZ981893 RNV981828:RNV981893 RXR981828:RXR981893 SHN981828:SHN981893 SRJ981828:SRJ981893 TBF981828:TBF981893 TLB981828:TLB981893 TUX981828:TUX981893 UET981828:UET981893 UOP981828:UOP981893 UYL981828:UYL981893 VIH981828:VIH981893 VSD981828:VSD981893 WBZ981828:WBZ981893 WLV981828:WLV981893 WVR981828:WVR981893 J1047364:J1047429 JF1047364:JF1047429 TB1047364:TB1047429 ACX1047364:ACX1047429 AMT1047364:AMT1047429 AWP1047364:AWP1047429 BGL1047364:BGL1047429 BQH1047364:BQH1047429 CAD1047364:CAD1047429 CJZ1047364:CJZ1047429 CTV1047364:CTV1047429 DDR1047364:DDR1047429 DNN1047364:DNN1047429 DXJ1047364:DXJ1047429 EHF1047364:EHF1047429 ERB1047364:ERB1047429 FAX1047364:FAX1047429 FKT1047364:FKT1047429 FUP1047364:FUP1047429 GEL1047364:GEL1047429 GOH1047364:GOH1047429 GYD1047364:GYD1047429 HHZ1047364:HHZ1047429 HRV1047364:HRV1047429 IBR1047364:IBR1047429 ILN1047364:ILN1047429 IVJ1047364:IVJ1047429 JFF1047364:JFF1047429 JPB1047364:JPB1047429 JYX1047364:JYX1047429 KIT1047364:KIT1047429 KSP1047364:KSP1047429 LCL1047364:LCL1047429 LMH1047364:LMH1047429 LWD1047364:LWD1047429 MFZ1047364:MFZ1047429 MPV1047364:MPV1047429 MZR1047364:MZR1047429 NJN1047364:NJN1047429 NTJ1047364:NTJ1047429 ODF1047364:ODF1047429 ONB1047364:ONB1047429 OWX1047364:OWX1047429 PGT1047364:PGT1047429 PQP1047364:PQP1047429 QAL1047364:QAL1047429 QKH1047364:QKH1047429 QUD1047364:QUD1047429 RDZ1047364:RDZ1047429 RNV1047364:RNV1047429 RXR1047364:RXR1047429 SHN1047364:SHN1047429 SRJ1047364:SRJ1047429 TBF1047364:TBF1047429 TLB1047364:TLB1047429 TUX1047364:TUX1047429 UET1047364:UET1047429 UOP1047364:UOP1047429 UYL1047364:UYL1047429 VIH1047364:VIH1047429 VSD1047364:VSD1047429 WBZ1047364:WBZ1047429 WLV1047364:WLV1047429 WVR1047364:WVR1047429" xr:uid="{97BC72E8-D4A5-4170-BE01-CBAAFC7AF97B}">
      <formula1>$AP$2:$AP$15</formula1>
    </dataValidation>
    <dataValidation type="list" allowBlank="1" showInputMessage="1" showErrorMessage="1" sqref="K64324:K64389 JG64324:JG64389 TC64324:TC64389 ACY64324:ACY64389 AMU64324:AMU64389 AWQ64324:AWQ64389 BGM64324:BGM64389 BQI64324:BQI64389 CAE64324:CAE64389 CKA64324:CKA64389 CTW64324:CTW64389 DDS64324:DDS64389 DNO64324:DNO64389 DXK64324:DXK64389 EHG64324:EHG64389 ERC64324:ERC64389 FAY64324:FAY64389 FKU64324:FKU64389 FUQ64324:FUQ64389 GEM64324:GEM64389 GOI64324:GOI64389 GYE64324:GYE64389 HIA64324:HIA64389 HRW64324:HRW64389 IBS64324:IBS64389 ILO64324:ILO64389 IVK64324:IVK64389 JFG64324:JFG64389 JPC64324:JPC64389 JYY64324:JYY64389 KIU64324:KIU64389 KSQ64324:KSQ64389 LCM64324:LCM64389 LMI64324:LMI64389 LWE64324:LWE64389 MGA64324:MGA64389 MPW64324:MPW64389 MZS64324:MZS64389 NJO64324:NJO64389 NTK64324:NTK64389 ODG64324:ODG64389 ONC64324:ONC64389 OWY64324:OWY64389 PGU64324:PGU64389 PQQ64324:PQQ64389 QAM64324:QAM64389 QKI64324:QKI64389 QUE64324:QUE64389 REA64324:REA64389 RNW64324:RNW64389 RXS64324:RXS64389 SHO64324:SHO64389 SRK64324:SRK64389 TBG64324:TBG64389 TLC64324:TLC64389 TUY64324:TUY64389 UEU64324:UEU64389 UOQ64324:UOQ64389 UYM64324:UYM64389 VII64324:VII64389 VSE64324:VSE64389 WCA64324:WCA64389 WLW64324:WLW64389 WVS64324:WVS64389 K129860:K129925 JG129860:JG129925 TC129860:TC129925 ACY129860:ACY129925 AMU129860:AMU129925 AWQ129860:AWQ129925 BGM129860:BGM129925 BQI129860:BQI129925 CAE129860:CAE129925 CKA129860:CKA129925 CTW129860:CTW129925 DDS129860:DDS129925 DNO129860:DNO129925 DXK129860:DXK129925 EHG129860:EHG129925 ERC129860:ERC129925 FAY129860:FAY129925 FKU129860:FKU129925 FUQ129860:FUQ129925 GEM129860:GEM129925 GOI129860:GOI129925 GYE129860:GYE129925 HIA129860:HIA129925 HRW129860:HRW129925 IBS129860:IBS129925 ILO129860:ILO129925 IVK129860:IVK129925 JFG129860:JFG129925 JPC129860:JPC129925 JYY129860:JYY129925 KIU129860:KIU129925 KSQ129860:KSQ129925 LCM129860:LCM129925 LMI129860:LMI129925 LWE129860:LWE129925 MGA129860:MGA129925 MPW129860:MPW129925 MZS129860:MZS129925 NJO129860:NJO129925 NTK129860:NTK129925 ODG129860:ODG129925 ONC129860:ONC129925 OWY129860:OWY129925 PGU129860:PGU129925 PQQ129860:PQQ129925 QAM129860:QAM129925 QKI129860:QKI129925 QUE129860:QUE129925 REA129860:REA129925 RNW129860:RNW129925 RXS129860:RXS129925 SHO129860:SHO129925 SRK129860:SRK129925 TBG129860:TBG129925 TLC129860:TLC129925 TUY129860:TUY129925 UEU129860:UEU129925 UOQ129860:UOQ129925 UYM129860:UYM129925 VII129860:VII129925 VSE129860:VSE129925 WCA129860:WCA129925 WLW129860:WLW129925 WVS129860:WVS129925 K195396:K195461 JG195396:JG195461 TC195396:TC195461 ACY195396:ACY195461 AMU195396:AMU195461 AWQ195396:AWQ195461 BGM195396:BGM195461 BQI195396:BQI195461 CAE195396:CAE195461 CKA195396:CKA195461 CTW195396:CTW195461 DDS195396:DDS195461 DNO195396:DNO195461 DXK195396:DXK195461 EHG195396:EHG195461 ERC195396:ERC195461 FAY195396:FAY195461 FKU195396:FKU195461 FUQ195396:FUQ195461 GEM195396:GEM195461 GOI195396:GOI195461 GYE195396:GYE195461 HIA195396:HIA195461 HRW195396:HRW195461 IBS195396:IBS195461 ILO195396:ILO195461 IVK195396:IVK195461 JFG195396:JFG195461 JPC195396:JPC195461 JYY195396:JYY195461 KIU195396:KIU195461 KSQ195396:KSQ195461 LCM195396:LCM195461 LMI195396:LMI195461 LWE195396:LWE195461 MGA195396:MGA195461 MPW195396:MPW195461 MZS195396:MZS195461 NJO195396:NJO195461 NTK195396:NTK195461 ODG195396:ODG195461 ONC195396:ONC195461 OWY195396:OWY195461 PGU195396:PGU195461 PQQ195396:PQQ195461 QAM195396:QAM195461 QKI195396:QKI195461 QUE195396:QUE195461 REA195396:REA195461 RNW195396:RNW195461 RXS195396:RXS195461 SHO195396:SHO195461 SRK195396:SRK195461 TBG195396:TBG195461 TLC195396:TLC195461 TUY195396:TUY195461 UEU195396:UEU195461 UOQ195396:UOQ195461 UYM195396:UYM195461 VII195396:VII195461 VSE195396:VSE195461 WCA195396:WCA195461 WLW195396:WLW195461 WVS195396:WVS195461 K260932:K260997 JG260932:JG260997 TC260932:TC260997 ACY260932:ACY260997 AMU260932:AMU260997 AWQ260932:AWQ260997 BGM260932:BGM260997 BQI260932:BQI260997 CAE260932:CAE260997 CKA260932:CKA260997 CTW260932:CTW260997 DDS260932:DDS260997 DNO260932:DNO260997 DXK260932:DXK260997 EHG260932:EHG260997 ERC260932:ERC260997 FAY260932:FAY260997 FKU260932:FKU260997 FUQ260932:FUQ260997 GEM260932:GEM260997 GOI260932:GOI260997 GYE260932:GYE260997 HIA260932:HIA260997 HRW260932:HRW260997 IBS260932:IBS260997 ILO260932:ILO260997 IVK260932:IVK260997 JFG260932:JFG260997 JPC260932:JPC260997 JYY260932:JYY260997 KIU260932:KIU260997 KSQ260932:KSQ260997 LCM260932:LCM260997 LMI260932:LMI260997 LWE260932:LWE260997 MGA260932:MGA260997 MPW260932:MPW260997 MZS260932:MZS260997 NJO260932:NJO260997 NTK260932:NTK260997 ODG260932:ODG260997 ONC260932:ONC260997 OWY260932:OWY260997 PGU260932:PGU260997 PQQ260932:PQQ260997 QAM260932:QAM260997 QKI260932:QKI260997 QUE260932:QUE260997 REA260932:REA260997 RNW260932:RNW260997 RXS260932:RXS260997 SHO260932:SHO260997 SRK260932:SRK260997 TBG260932:TBG260997 TLC260932:TLC260997 TUY260932:TUY260997 UEU260932:UEU260997 UOQ260932:UOQ260997 UYM260932:UYM260997 VII260932:VII260997 VSE260932:VSE260997 WCA260932:WCA260997 WLW260932:WLW260997 WVS260932:WVS260997 K326468:K326533 JG326468:JG326533 TC326468:TC326533 ACY326468:ACY326533 AMU326468:AMU326533 AWQ326468:AWQ326533 BGM326468:BGM326533 BQI326468:BQI326533 CAE326468:CAE326533 CKA326468:CKA326533 CTW326468:CTW326533 DDS326468:DDS326533 DNO326468:DNO326533 DXK326468:DXK326533 EHG326468:EHG326533 ERC326468:ERC326533 FAY326468:FAY326533 FKU326468:FKU326533 FUQ326468:FUQ326533 GEM326468:GEM326533 GOI326468:GOI326533 GYE326468:GYE326533 HIA326468:HIA326533 HRW326468:HRW326533 IBS326468:IBS326533 ILO326468:ILO326533 IVK326468:IVK326533 JFG326468:JFG326533 JPC326468:JPC326533 JYY326468:JYY326533 KIU326468:KIU326533 KSQ326468:KSQ326533 LCM326468:LCM326533 LMI326468:LMI326533 LWE326468:LWE326533 MGA326468:MGA326533 MPW326468:MPW326533 MZS326468:MZS326533 NJO326468:NJO326533 NTK326468:NTK326533 ODG326468:ODG326533 ONC326468:ONC326533 OWY326468:OWY326533 PGU326468:PGU326533 PQQ326468:PQQ326533 QAM326468:QAM326533 QKI326468:QKI326533 QUE326468:QUE326533 REA326468:REA326533 RNW326468:RNW326533 RXS326468:RXS326533 SHO326468:SHO326533 SRK326468:SRK326533 TBG326468:TBG326533 TLC326468:TLC326533 TUY326468:TUY326533 UEU326468:UEU326533 UOQ326468:UOQ326533 UYM326468:UYM326533 VII326468:VII326533 VSE326468:VSE326533 WCA326468:WCA326533 WLW326468:WLW326533 WVS326468:WVS326533 K392004:K392069 JG392004:JG392069 TC392004:TC392069 ACY392004:ACY392069 AMU392004:AMU392069 AWQ392004:AWQ392069 BGM392004:BGM392069 BQI392004:BQI392069 CAE392004:CAE392069 CKA392004:CKA392069 CTW392004:CTW392069 DDS392004:DDS392069 DNO392004:DNO392069 DXK392004:DXK392069 EHG392004:EHG392069 ERC392004:ERC392069 FAY392004:FAY392069 FKU392004:FKU392069 FUQ392004:FUQ392069 GEM392004:GEM392069 GOI392004:GOI392069 GYE392004:GYE392069 HIA392004:HIA392069 HRW392004:HRW392069 IBS392004:IBS392069 ILO392004:ILO392069 IVK392004:IVK392069 JFG392004:JFG392069 JPC392004:JPC392069 JYY392004:JYY392069 KIU392004:KIU392069 KSQ392004:KSQ392069 LCM392004:LCM392069 LMI392004:LMI392069 LWE392004:LWE392069 MGA392004:MGA392069 MPW392004:MPW392069 MZS392004:MZS392069 NJO392004:NJO392069 NTK392004:NTK392069 ODG392004:ODG392069 ONC392004:ONC392069 OWY392004:OWY392069 PGU392004:PGU392069 PQQ392004:PQQ392069 QAM392004:QAM392069 QKI392004:QKI392069 QUE392004:QUE392069 REA392004:REA392069 RNW392004:RNW392069 RXS392004:RXS392069 SHO392004:SHO392069 SRK392004:SRK392069 TBG392004:TBG392069 TLC392004:TLC392069 TUY392004:TUY392069 UEU392004:UEU392069 UOQ392004:UOQ392069 UYM392004:UYM392069 VII392004:VII392069 VSE392004:VSE392069 WCA392004:WCA392069 WLW392004:WLW392069 WVS392004:WVS392069 K457540:K457605 JG457540:JG457605 TC457540:TC457605 ACY457540:ACY457605 AMU457540:AMU457605 AWQ457540:AWQ457605 BGM457540:BGM457605 BQI457540:BQI457605 CAE457540:CAE457605 CKA457540:CKA457605 CTW457540:CTW457605 DDS457540:DDS457605 DNO457540:DNO457605 DXK457540:DXK457605 EHG457540:EHG457605 ERC457540:ERC457605 FAY457540:FAY457605 FKU457540:FKU457605 FUQ457540:FUQ457605 GEM457540:GEM457605 GOI457540:GOI457605 GYE457540:GYE457605 HIA457540:HIA457605 HRW457540:HRW457605 IBS457540:IBS457605 ILO457540:ILO457605 IVK457540:IVK457605 JFG457540:JFG457605 JPC457540:JPC457605 JYY457540:JYY457605 KIU457540:KIU457605 KSQ457540:KSQ457605 LCM457540:LCM457605 LMI457540:LMI457605 LWE457540:LWE457605 MGA457540:MGA457605 MPW457540:MPW457605 MZS457540:MZS457605 NJO457540:NJO457605 NTK457540:NTK457605 ODG457540:ODG457605 ONC457540:ONC457605 OWY457540:OWY457605 PGU457540:PGU457605 PQQ457540:PQQ457605 QAM457540:QAM457605 QKI457540:QKI457605 QUE457540:QUE457605 REA457540:REA457605 RNW457540:RNW457605 RXS457540:RXS457605 SHO457540:SHO457605 SRK457540:SRK457605 TBG457540:TBG457605 TLC457540:TLC457605 TUY457540:TUY457605 UEU457540:UEU457605 UOQ457540:UOQ457605 UYM457540:UYM457605 VII457540:VII457605 VSE457540:VSE457605 WCA457540:WCA457605 WLW457540:WLW457605 WVS457540:WVS457605 K523076:K523141 JG523076:JG523141 TC523076:TC523141 ACY523076:ACY523141 AMU523076:AMU523141 AWQ523076:AWQ523141 BGM523076:BGM523141 BQI523076:BQI523141 CAE523076:CAE523141 CKA523076:CKA523141 CTW523076:CTW523141 DDS523076:DDS523141 DNO523076:DNO523141 DXK523076:DXK523141 EHG523076:EHG523141 ERC523076:ERC523141 FAY523076:FAY523141 FKU523076:FKU523141 FUQ523076:FUQ523141 GEM523076:GEM523141 GOI523076:GOI523141 GYE523076:GYE523141 HIA523076:HIA523141 HRW523076:HRW523141 IBS523076:IBS523141 ILO523076:ILO523141 IVK523076:IVK523141 JFG523076:JFG523141 JPC523076:JPC523141 JYY523076:JYY523141 KIU523076:KIU523141 KSQ523076:KSQ523141 LCM523076:LCM523141 LMI523076:LMI523141 LWE523076:LWE523141 MGA523076:MGA523141 MPW523076:MPW523141 MZS523076:MZS523141 NJO523076:NJO523141 NTK523076:NTK523141 ODG523076:ODG523141 ONC523076:ONC523141 OWY523076:OWY523141 PGU523076:PGU523141 PQQ523076:PQQ523141 QAM523076:QAM523141 QKI523076:QKI523141 QUE523076:QUE523141 REA523076:REA523141 RNW523076:RNW523141 RXS523076:RXS523141 SHO523076:SHO523141 SRK523076:SRK523141 TBG523076:TBG523141 TLC523076:TLC523141 TUY523076:TUY523141 UEU523076:UEU523141 UOQ523076:UOQ523141 UYM523076:UYM523141 VII523076:VII523141 VSE523076:VSE523141 WCA523076:WCA523141 WLW523076:WLW523141 WVS523076:WVS523141 K588612:K588677 JG588612:JG588677 TC588612:TC588677 ACY588612:ACY588677 AMU588612:AMU588677 AWQ588612:AWQ588677 BGM588612:BGM588677 BQI588612:BQI588677 CAE588612:CAE588677 CKA588612:CKA588677 CTW588612:CTW588677 DDS588612:DDS588677 DNO588612:DNO588677 DXK588612:DXK588677 EHG588612:EHG588677 ERC588612:ERC588677 FAY588612:FAY588677 FKU588612:FKU588677 FUQ588612:FUQ588677 GEM588612:GEM588677 GOI588612:GOI588677 GYE588612:GYE588677 HIA588612:HIA588677 HRW588612:HRW588677 IBS588612:IBS588677 ILO588612:ILO588677 IVK588612:IVK588677 JFG588612:JFG588677 JPC588612:JPC588677 JYY588612:JYY588677 KIU588612:KIU588677 KSQ588612:KSQ588677 LCM588612:LCM588677 LMI588612:LMI588677 LWE588612:LWE588677 MGA588612:MGA588677 MPW588612:MPW588677 MZS588612:MZS588677 NJO588612:NJO588677 NTK588612:NTK588677 ODG588612:ODG588677 ONC588612:ONC588677 OWY588612:OWY588677 PGU588612:PGU588677 PQQ588612:PQQ588677 QAM588612:QAM588677 QKI588612:QKI588677 QUE588612:QUE588677 REA588612:REA588677 RNW588612:RNW588677 RXS588612:RXS588677 SHO588612:SHO588677 SRK588612:SRK588677 TBG588612:TBG588677 TLC588612:TLC588677 TUY588612:TUY588677 UEU588612:UEU588677 UOQ588612:UOQ588677 UYM588612:UYM588677 VII588612:VII588677 VSE588612:VSE588677 WCA588612:WCA588677 WLW588612:WLW588677 WVS588612:WVS588677 K654148:K654213 JG654148:JG654213 TC654148:TC654213 ACY654148:ACY654213 AMU654148:AMU654213 AWQ654148:AWQ654213 BGM654148:BGM654213 BQI654148:BQI654213 CAE654148:CAE654213 CKA654148:CKA654213 CTW654148:CTW654213 DDS654148:DDS654213 DNO654148:DNO654213 DXK654148:DXK654213 EHG654148:EHG654213 ERC654148:ERC654213 FAY654148:FAY654213 FKU654148:FKU654213 FUQ654148:FUQ654213 GEM654148:GEM654213 GOI654148:GOI654213 GYE654148:GYE654213 HIA654148:HIA654213 HRW654148:HRW654213 IBS654148:IBS654213 ILO654148:ILO654213 IVK654148:IVK654213 JFG654148:JFG654213 JPC654148:JPC654213 JYY654148:JYY654213 KIU654148:KIU654213 KSQ654148:KSQ654213 LCM654148:LCM654213 LMI654148:LMI654213 LWE654148:LWE654213 MGA654148:MGA654213 MPW654148:MPW654213 MZS654148:MZS654213 NJO654148:NJO654213 NTK654148:NTK654213 ODG654148:ODG654213 ONC654148:ONC654213 OWY654148:OWY654213 PGU654148:PGU654213 PQQ654148:PQQ654213 QAM654148:QAM654213 QKI654148:QKI654213 QUE654148:QUE654213 REA654148:REA654213 RNW654148:RNW654213 RXS654148:RXS654213 SHO654148:SHO654213 SRK654148:SRK654213 TBG654148:TBG654213 TLC654148:TLC654213 TUY654148:TUY654213 UEU654148:UEU654213 UOQ654148:UOQ654213 UYM654148:UYM654213 VII654148:VII654213 VSE654148:VSE654213 WCA654148:WCA654213 WLW654148:WLW654213 WVS654148:WVS654213 K719684:K719749 JG719684:JG719749 TC719684:TC719749 ACY719684:ACY719749 AMU719684:AMU719749 AWQ719684:AWQ719749 BGM719684:BGM719749 BQI719684:BQI719749 CAE719684:CAE719749 CKA719684:CKA719749 CTW719684:CTW719749 DDS719684:DDS719749 DNO719684:DNO719749 DXK719684:DXK719749 EHG719684:EHG719749 ERC719684:ERC719749 FAY719684:FAY719749 FKU719684:FKU719749 FUQ719684:FUQ719749 GEM719684:GEM719749 GOI719684:GOI719749 GYE719684:GYE719749 HIA719684:HIA719749 HRW719684:HRW719749 IBS719684:IBS719749 ILO719684:ILO719749 IVK719684:IVK719749 JFG719684:JFG719749 JPC719684:JPC719749 JYY719684:JYY719749 KIU719684:KIU719749 KSQ719684:KSQ719749 LCM719684:LCM719749 LMI719684:LMI719749 LWE719684:LWE719749 MGA719684:MGA719749 MPW719684:MPW719749 MZS719684:MZS719749 NJO719684:NJO719749 NTK719684:NTK719749 ODG719684:ODG719749 ONC719684:ONC719749 OWY719684:OWY719749 PGU719684:PGU719749 PQQ719684:PQQ719749 QAM719684:QAM719749 QKI719684:QKI719749 QUE719684:QUE719749 REA719684:REA719749 RNW719684:RNW719749 RXS719684:RXS719749 SHO719684:SHO719749 SRK719684:SRK719749 TBG719684:TBG719749 TLC719684:TLC719749 TUY719684:TUY719749 UEU719684:UEU719749 UOQ719684:UOQ719749 UYM719684:UYM719749 VII719684:VII719749 VSE719684:VSE719749 WCA719684:WCA719749 WLW719684:WLW719749 WVS719684:WVS719749 K785220:K785285 JG785220:JG785285 TC785220:TC785285 ACY785220:ACY785285 AMU785220:AMU785285 AWQ785220:AWQ785285 BGM785220:BGM785285 BQI785220:BQI785285 CAE785220:CAE785285 CKA785220:CKA785285 CTW785220:CTW785285 DDS785220:DDS785285 DNO785220:DNO785285 DXK785220:DXK785285 EHG785220:EHG785285 ERC785220:ERC785285 FAY785220:FAY785285 FKU785220:FKU785285 FUQ785220:FUQ785285 GEM785220:GEM785285 GOI785220:GOI785285 GYE785220:GYE785285 HIA785220:HIA785285 HRW785220:HRW785285 IBS785220:IBS785285 ILO785220:ILO785285 IVK785220:IVK785285 JFG785220:JFG785285 JPC785220:JPC785285 JYY785220:JYY785285 KIU785220:KIU785285 KSQ785220:KSQ785285 LCM785220:LCM785285 LMI785220:LMI785285 LWE785220:LWE785285 MGA785220:MGA785285 MPW785220:MPW785285 MZS785220:MZS785285 NJO785220:NJO785285 NTK785220:NTK785285 ODG785220:ODG785285 ONC785220:ONC785285 OWY785220:OWY785285 PGU785220:PGU785285 PQQ785220:PQQ785285 QAM785220:QAM785285 QKI785220:QKI785285 QUE785220:QUE785285 REA785220:REA785285 RNW785220:RNW785285 RXS785220:RXS785285 SHO785220:SHO785285 SRK785220:SRK785285 TBG785220:TBG785285 TLC785220:TLC785285 TUY785220:TUY785285 UEU785220:UEU785285 UOQ785220:UOQ785285 UYM785220:UYM785285 VII785220:VII785285 VSE785220:VSE785285 WCA785220:WCA785285 WLW785220:WLW785285 WVS785220:WVS785285 K850756:K850821 JG850756:JG850821 TC850756:TC850821 ACY850756:ACY850821 AMU850756:AMU850821 AWQ850756:AWQ850821 BGM850756:BGM850821 BQI850756:BQI850821 CAE850756:CAE850821 CKA850756:CKA850821 CTW850756:CTW850821 DDS850756:DDS850821 DNO850756:DNO850821 DXK850756:DXK850821 EHG850756:EHG850821 ERC850756:ERC850821 FAY850756:FAY850821 FKU850756:FKU850821 FUQ850756:FUQ850821 GEM850756:GEM850821 GOI850756:GOI850821 GYE850756:GYE850821 HIA850756:HIA850821 HRW850756:HRW850821 IBS850756:IBS850821 ILO850756:ILO850821 IVK850756:IVK850821 JFG850756:JFG850821 JPC850756:JPC850821 JYY850756:JYY850821 KIU850756:KIU850821 KSQ850756:KSQ850821 LCM850756:LCM850821 LMI850756:LMI850821 LWE850756:LWE850821 MGA850756:MGA850821 MPW850756:MPW850821 MZS850756:MZS850821 NJO850756:NJO850821 NTK850756:NTK850821 ODG850756:ODG850821 ONC850756:ONC850821 OWY850756:OWY850821 PGU850756:PGU850821 PQQ850756:PQQ850821 QAM850756:QAM850821 QKI850756:QKI850821 QUE850756:QUE850821 REA850756:REA850821 RNW850756:RNW850821 RXS850756:RXS850821 SHO850756:SHO850821 SRK850756:SRK850821 TBG850756:TBG850821 TLC850756:TLC850821 TUY850756:TUY850821 UEU850756:UEU850821 UOQ850756:UOQ850821 UYM850756:UYM850821 VII850756:VII850821 VSE850756:VSE850821 WCA850756:WCA850821 WLW850756:WLW850821 WVS850756:WVS850821 K916292:K916357 JG916292:JG916357 TC916292:TC916357 ACY916292:ACY916357 AMU916292:AMU916357 AWQ916292:AWQ916357 BGM916292:BGM916357 BQI916292:BQI916357 CAE916292:CAE916357 CKA916292:CKA916357 CTW916292:CTW916357 DDS916292:DDS916357 DNO916292:DNO916357 DXK916292:DXK916357 EHG916292:EHG916357 ERC916292:ERC916357 FAY916292:FAY916357 FKU916292:FKU916357 FUQ916292:FUQ916357 GEM916292:GEM916357 GOI916292:GOI916357 GYE916292:GYE916357 HIA916292:HIA916357 HRW916292:HRW916357 IBS916292:IBS916357 ILO916292:ILO916357 IVK916292:IVK916357 JFG916292:JFG916357 JPC916292:JPC916357 JYY916292:JYY916357 KIU916292:KIU916357 KSQ916292:KSQ916357 LCM916292:LCM916357 LMI916292:LMI916357 LWE916292:LWE916357 MGA916292:MGA916357 MPW916292:MPW916357 MZS916292:MZS916357 NJO916292:NJO916357 NTK916292:NTK916357 ODG916292:ODG916357 ONC916292:ONC916357 OWY916292:OWY916357 PGU916292:PGU916357 PQQ916292:PQQ916357 QAM916292:QAM916357 QKI916292:QKI916357 QUE916292:QUE916357 REA916292:REA916357 RNW916292:RNW916357 RXS916292:RXS916357 SHO916292:SHO916357 SRK916292:SRK916357 TBG916292:TBG916357 TLC916292:TLC916357 TUY916292:TUY916357 UEU916292:UEU916357 UOQ916292:UOQ916357 UYM916292:UYM916357 VII916292:VII916357 VSE916292:VSE916357 WCA916292:WCA916357 WLW916292:WLW916357 WVS916292:WVS916357 K981828:K981893 JG981828:JG981893 TC981828:TC981893 ACY981828:ACY981893 AMU981828:AMU981893 AWQ981828:AWQ981893 BGM981828:BGM981893 BQI981828:BQI981893 CAE981828:CAE981893 CKA981828:CKA981893 CTW981828:CTW981893 DDS981828:DDS981893 DNO981828:DNO981893 DXK981828:DXK981893 EHG981828:EHG981893 ERC981828:ERC981893 FAY981828:FAY981893 FKU981828:FKU981893 FUQ981828:FUQ981893 GEM981828:GEM981893 GOI981828:GOI981893 GYE981828:GYE981893 HIA981828:HIA981893 HRW981828:HRW981893 IBS981828:IBS981893 ILO981828:ILO981893 IVK981828:IVK981893 JFG981828:JFG981893 JPC981828:JPC981893 JYY981828:JYY981893 KIU981828:KIU981893 KSQ981828:KSQ981893 LCM981828:LCM981893 LMI981828:LMI981893 LWE981828:LWE981893 MGA981828:MGA981893 MPW981828:MPW981893 MZS981828:MZS981893 NJO981828:NJO981893 NTK981828:NTK981893 ODG981828:ODG981893 ONC981828:ONC981893 OWY981828:OWY981893 PGU981828:PGU981893 PQQ981828:PQQ981893 QAM981828:QAM981893 QKI981828:QKI981893 QUE981828:QUE981893 REA981828:REA981893 RNW981828:RNW981893 RXS981828:RXS981893 SHO981828:SHO981893 SRK981828:SRK981893 TBG981828:TBG981893 TLC981828:TLC981893 TUY981828:TUY981893 UEU981828:UEU981893 UOQ981828:UOQ981893 UYM981828:UYM981893 VII981828:VII981893 VSE981828:VSE981893 WCA981828:WCA981893 WLW981828:WLW981893 WVS981828:WVS981893 K1047364:K1047429 JG1047364:JG1047429 TC1047364:TC1047429 ACY1047364:ACY1047429 AMU1047364:AMU1047429 AWQ1047364:AWQ1047429 BGM1047364:BGM1047429 BQI1047364:BQI1047429 CAE1047364:CAE1047429 CKA1047364:CKA1047429 CTW1047364:CTW1047429 DDS1047364:DDS1047429 DNO1047364:DNO1047429 DXK1047364:DXK1047429 EHG1047364:EHG1047429 ERC1047364:ERC1047429 FAY1047364:FAY1047429 FKU1047364:FKU1047429 FUQ1047364:FUQ1047429 GEM1047364:GEM1047429 GOI1047364:GOI1047429 GYE1047364:GYE1047429 HIA1047364:HIA1047429 HRW1047364:HRW1047429 IBS1047364:IBS1047429 ILO1047364:ILO1047429 IVK1047364:IVK1047429 JFG1047364:JFG1047429 JPC1047364:JPC1047429 JYY1047364:JYY1047429 KIU1047364:KIU1047429 KSQ1047364:KSQ1047429 LCM1047364:LCM1047429 LMI1047364:LMI1047429 LWE1047364:LWE1047429 MGA1047364:MGA1047429 MPW1047364:MPW1047429 MZS1047364:MZS1047429 NJO1047364:NJO1047429 NTK1047364:NTK1047429 ODG1047364:ODG1047429 ONC1047364:ONC1047429 OWY1047364:OWY1047429 PGU1047364:PGU1047429 PQQ1047364:PQQ1047429 QAM1047364:QAM1047429 QKI1047364:QKI1047429 QUE1047364:QUE1047429 REA1047364:REA1047429 RNW1047364:RNW1047429 RXS1047364:RXS1047429 SHO1047364:SHO1047429 SRK1047364:SRK1047429 TBG1047364:TBG1047429 TLC1047364:TLC1047429 TUY1047364:TUY1047429 UEU1047364:UEU1047429 UOQ1047364:UOQ1047429 UYM1047364:UYM1047429 VII1047364:VII1047429 VSE1047364:VSE1047429 WCA1047364:WCA1047429 WLW1047364:WLW1047429 WVS1047364:WVS1047429" xr:uid="{D25F1622-F8BD-41EC-8BCD-27D47680DEC2}">
      <formula1>$AR$2:$AR$24</formula1>
    </dataValidation>
    <dataValidation type="list" allowBlank="1" showInputMessage="1" showErrorMessage="1" sqref="Y64324:AA64389 JU64324:JW64389 TQ64324:TS64389 ADM64324:ADO64389 ANI64324:ANK64389 AXE64324:AXG64389 BHA64324:BHC64389 BQW64324:BQY64389 CAS64324:CAU64389 CKO64324:CKQ64389 CUK64324:CUM64389 DEG64324:DEI64389 DOC64324:DOE64389 DXY64324:DYA64389 EHU64324:EHW64389 ERQ64324:ERS64389 FBM64324:FBO64389 FLI64324:FLK64389 FVE64324:FVG64389 GFA64324:GFC64389 GOW64324:GOY64389 GYS64324:GYU64389 HIO64324:HIQ64389 HSK64324:HSM64389 ICG64324:ICI64389 IMC64324:IME64389 IVY64324:IWA64389 JFU64324:JFW64389 JPQ64324:JPS64389 JZM64324:JZO64389 KJI64324:KJK64389 KTE64324:KTG64389 LDA64324:LDC64389 LMW64324:LMY64389 LWS64324:LWU64389 MGO64324:MGQ64389 MQK64324:MQM64389 NAG64324:NAI64389 NKC64324:NKE64389 NTY64324:NUA64389 ODU64324:ODW64389 ONQ64324:ONS64389 OXM64324:OXO64389 PHI64324:PHK64389 PRE64324:PRG64389 QBA64324:QBC64389 QKW64324:QKY64389 QUS64324:QUU64389 REO64324:REQ64389 ROK64324:ROM64389 RYG64324:RYI64389 SIC64324:SIE64389 SRY64324:SSA64389 TBU64324:TBW64389 TLQ64324:TLS64389 TVM64324:TVO64389 UFI64324:UFK64389 UPE64324:UPG64389 UZA64324:UZC64389 VIW64324:VIY64389 VSS64324:VSU64389 WCO64324:WCQ64389 WMK64324:WMM64389 WWG64324:WWI64389 Y129860:AA129925 JU129860:JW129925 TQ129860:TS129925 ADM129860:ADO129925 ANI129860:ANK129925 AXE129860:AXG129925 BHA129860:BHC129925 BQW129860:BQY129925 CAS129860:CAU129925 CKO129860:CKQ129925 CUK129860:CUM129925 DEG129860:DEI129925 DOC129860:DOE129925 DXY129860:DYA129925 EHU129860:EHW129925 ERQ129860:ERS129925 FBM129860:FBO129925 FLI129860:FLK129925 FVE129860:FVG129925 GFA129860:GFC129925 GOW129860:GOY129925 GYS129860:GYU129925 HIO129860:HIQ129925 HSK129860:HSM129925 ICG129860:ICI129925 IMC129860:IME129925 IVY129860:IWA129925 JFU129860:JFW129925 JPQ129860:JPS129925 JZM129860:JZO129925 KJI129860:KJK129925 KTE129860:KTG129925 LDA129860:LDC129925 LMW129860:LMY129925 LWS129860:LWU129925 MGO129860:MGQ129925 MQK129860:MQM129925 NAG129860:NAI129925 NKC129860:NKE129925 NTY129860:NUA129925 ODU129860:ODW129925 ONQ129860:ONS129925 OXM129860:OXO129925 PHI129860:PHK129925 PRE129860:PRG129925 QBA129860:QBC129925 QKW129860:QKY129925 QUS129860:QUU129925 REO129860:REQ129925 ROK129860:ROM129925 RYG129860:RYI129925 SIC129860:SIE129925 SRY129860:SSA129925 TBU129860:TBW129925 TLQ129860:TLS129925 TVM129860:TVO129925 UFI129860:UFK129925 UPE129860:UPG129925 UZA129860:UZC129925 VIW129860:VIY129925 VSS129860:VSU129925 WCO129860:WCQ129925 WMK129860:WMM129925 WWG129860:WWI129925 Y195396:AA195461 JU195396:JW195461 TQ195396:TS195461 ADM195396:ADO195461 ANI195396:ANK195461 AXE195396:AXG195461 BHA195396:BHC195461 BQW195396:BQY195461 CAS195396:CAU195461 CKO195396:CKQ195461 CUK195396:CUM195461 DEG195396:DEI195461 DOC195396:DOE195461 DXY195396:DYA195461 EHU195396:EHW195461 ERQ195396:ERS195461 FBM195396:FBO195461 FLI195396:FLK195461 FVE195396:FVG195461 GFA195396:GFC195461 GOW195396:GOY195461 GYS195396:GYU195461 HIO195396:HIQ195461 HSK195396:HSM195461 ICG195396:ICI195461 IMC195396:IME195461 IVY195396:IWA195461 JFU195396:JFW195461 JPQ195396:JPS195461 JZM195396:JZO195461 KJI195396:KJK195461 KTE195396:KTG195461 LDA195396:LDC195461 LMW195396:LMY195461 LWS195396:LWU195461 MGO195396:MGQ195461 MQK195396:MQM195461 NAG195396:NAI195461 NKC195396:NKE195461 NTY195396:NUA195461 ODU195396:ODW195461 ONQ195396:ONS195461 OXM195396:OXO195461 PHI195396:PHK195461 PRE195396:PRG195461 QBA195396:QBC195461 QKW195396:QKY195461 QUS195396:QUU195461 REO195396:REQ195461 ROK195396:ROM195461 RYG195396:RYI195461 SIC195396:SIE195461 SRY195396:SSA195461 TBU195396:TBW195461 TLQ195396:TLS195461 TVM195396:TVO195461 UFI195396:UFK195461 UPE195396:UPG195461 UZA195396:UZC195461 VIW195396:VIY195461 VSS195396:VSU195461 WCO195396:WCQ195461 WMK195396:WMM195461 WWG195396:WWI195461 Y260932:AA260997 JU260932:JW260997 TQ260932:TS260997 ADM260932:ADO260997 ANI260932:ANK260997 AXE260932:AXG260997 BHA260932:BHC260997 BQW260932:BQY260997 CAS260932:CAU260997 CKO260932:CKQ260997 CUK260932:CUM260997 DEG260932:DEI260997 DOC260932:DOE260997 DXY260932:DYA260997 EHU260932:EHW260997 ERQ260932:ERS260997 FBM260932:FBO260997 FLI260932:FLK260997 FVE260932:FVG260997 GFA260932:GFC260997 GOW260932:GOY260997 GYS260932:GYU260997 HIO260932:HIQ260997 HSK260932:HSM260997 ICG260932:ICI260997 IMC260932:IME260997 IVY260932:IWA260997 JFU260932:JFW260997 JPQ260932:JPS260997 JZM260932:JZO260997 KJI260932:KJK260997 KTE260932:KTG260997 LDA260932:LDC260997 LMW260932:LMY260997 LWS260932:LWU260997 MGO260932:MGQ260997 MQK260932:MQM260997 NAG260932:NAI260997 NKC260932:NKE260997 NTY260932:NUA260997 ODU260932:ODW260997 ONQ260932:ONS260997 OXM260932:OXO260997 PHI260932:PHK260997 PRE260932:PRG260997 QBA260932:QBC260997 QKW260932:QKY260997 QUS260932:QUU260997 REO260932:REQ260997 ROK260932:ROM260997 RYG260932:RYI260997 SIC260932:SIE260997 SRY260932:SSA260997 TBU260932:TBW260997 TLQ260932:TLS260997 TVM260932:TVO260997 UFI260932:UFK260997 UPE260932:UPG260997 UZA260932:UZC260997 VIW260932:VIY260997 VSS260932:VSU260997 WCO260932:WCQ260997 WMK260932:WMM260997 WWG260932:WWI260997 Y326468:AA326533 JU326468:JW326533 TQ326468:TS326533 ADM326468:ADO326533 ANI326468:ANK326533 AXE326468:AXG326533 BHA326468:BHC326533 BQW326468:BQY326533 CAS326468:CAU326533 CKO326468:CKQ326533 CUK326468:CUM326533 DEG326468:DEI326533 DOC326468:DOE326533 DXY326468:DYA326533 EHU326468:EHW326533 ERQ326468:ERS326533 FBM326468:FBO326533 FLI326468:FLK326533 FVE326468:FVG326533 GFA326468:GFC326533 GOW326468:GOY326533 GYS326468:GYU326533 HIO326468:HIQ326533 HSK326468:HSM326533 ICG326468:ICI326533 IMC326468:IME326533 IVY326468:IWA326533 JFU326468:JFW326533 JPQ326468:JPS326533 JZM326468:JZO326533 KJI326468:KJK326533 KTE326468:KTG326533 LDA326468:LDC326533 LMW326468:LMY326533 LWS326468:LWU326533 MGO326468:MGQ326533 MQK326468:MQM326533 NAG326468:NAI326533 NKC326468:NKE326533 NTY326468:NUA326533 ODU326468:ODW326533 ONQ326468:ONS326533 OXM326468:OXO326533 PHI326468:PHK326533 PRE326468:PRG326533 QBA326468:QBC326533 QKW326468:QKY326533 QUS326468:QUU326533 REO326468:REQ326533 ROK326468:ROM326533 RYG326468:RYI326533 SIC326468:SIE326533 SRY326468:SSA326533 TBU326468:TBW326533 TLQ326468:TLS326533 TVM326468:TVO326533 UFI326468:UFK326533 UPE326468:UPG326533 UZA326468:UZC326533 VIW326468:VIY326533 VSS326468:VSU326533 WCO326468:WCQ326533 WMK326468:WMM326533 WWG326468:WWI326533 Y392004:AA392069 JU392004:JW392069 TQ392004:TS392069 ADM392004:ADO392069 ANI392004:ANK392069 AXE392004:AXG392069 BHA392004:BHC392069 BQW392004:BQY392069 CAS392004:CAU392069 CKO392004:CKQ392069 CUK392004:CUM392069 DEG392004:DEI392069 DOC392004:DOE392069 DXY392004:DYA392069 EHU392004:EHW392069 ERQ392004:ERS392069 FBM392004:FBO392069 FLI392004:FLK392069 FVE392004:FVG392069 GFA392004:GFC392069 GOW392004:GOY392069 GYS392004:GYU392069 HIO392004:HIQ392069 HSK392004:HSM392069 ICG392004:ICI392069 IMC392004:IME392069 IVY392004:IWA392069 JFU392004:JFW392069 JPQ392004:JPS392069 JZM392004:JZO392069 KJI392004:KJK392069 KTE392004:KTG392069 LDA392004:LDC392069 LMW392004:LMY392069 LWS392004:LWU392069 MGO392004:MGQ392069 MQK392004:MQM392069 NAG392004:NAI392069 NKC392004:NKE392069 NTY392004:NUA392069 ODU392004:ODW392069 ONQ392004:ONS392069 OXM392004:OXO392069 PHI392004:PHK392069 PRE392004:PRG392069 QBA392004:QBC392069 QKW392004:QKY392069 QUS392004:QUU392069 REO392004:REQ392069 ROK392004:ROM392069 RYG392004:RYI392069 SIC392004:SIE392069 SRY392004:SSA392069 TBU392004:TBW392069 TLQ392004:TLS392069 TVM392004:TVO392069 UFI392004:UFK392069 UPE392004:UPG392069 UZA392004:UZC392069 VIW392004:VIY392069 VSS392004:VSU392069 WCO392004:WCQ392069 WMK392004:WMM392069 WWG392004:WWI392069 Y457540:AA457605 JU457540:JW457605 TQ457540:TS457605 ADM457540:ADO457605 ANI457540:ANK457605 AXE457540:AXG457605 BHA457540:BHC457605 BQW457540:BQY457605 CAS457540:CAU457605 CKO457540:CKQ457605 CUK457540:CUM457605 DEG457540:DEI457605 DOC457540:DOE457605 DXY457540:DYA457605 EHU457540:EHW457605 ERQ457540:ERS457605 FBM457540:FBO457605 FLI457540:FLK457605 FVE457540:FVG457605 GFA457540:GFC457605 GOW457540:GOY457605 GYS457540:GYU457605 HIO457540:HIQ457605 HSK457540:HSM457605 ICG457540:ICI457605 IMC457540:IME457605 IVY457540:IWA457605 JFU457540:JFW457605 JPQ457540:JPS457605 JZM457540:JZO457605 KJI457540:KJK457605 KTE457540:KTG457605 LDA457540:LDC457605 LMW457540:LMY457605 LWS457540:LWU457605 MGO457540:MGQ457605 MQK457540:MQM457605 NAG457540:NAI457605 NKC457540:NKE457605 NTY457540:NUA457605 ODU457540:ODW457605 ONQ457540:ONS457605 OXM457540:OXO457605 PHI457540:PHK457605 PRE457540:PRG457605 QBA457540:QBC457605 QKW457540:QKY457605 QUS457540:QUU457605 REO457540:REQ457605 ROK457540:ROM457605 RYG457540:RYI457605 SIC457540:SIE457605 SRY457540:SSA457605 TBU457540:TBW457605 TLQ457540:TLS457605 TVM457540:TVO457605 UFI457540:UFK457605 UPE457540:UPG457605 UZA457540:UZC457605 VIW457540:VIY457605 VSS457540:VSU457605 WCO457540:WCQ457605 WMK457540:WMM457605 WWG457540:WWI457605 Y523076:AA523141 JU523076:JW523141 TQ523076:TS523141 ADM523076:ADO523141 ANI523076:ANK523141 AXE523076:AXG523141 BHA523076:BHC523141 BQW523076:BQY523141 CAS523076:CAU523141 CKO523076:CKQ523141 CUK523076:CUM523141 DEG523076:DEI523141 DOC523076:DOE523141 DXY523076:DYA523141 EHU523076:EHW523141 ERQ523076:ERS523141 FBM523076:FBO523141 FLI523076:FLK523141 FVE523076:FVG523141 GFA523076:GFC523141 GOW523076:GOY523141 GYS523076:GYU523141 HIO523076:HIQ523141 HSK523076:HSM523141 ICG523076:ICI523141 IMC523076:IME523141 IVY523076:IWA523141 JFU523076:JFW523141 JPQ523076:JPS523141 JZM523076:JZO523141 KJI523076:KJK523141 KTE523076:KTG523141 LDA523076:LDC523141 LMW523076:LMY523141 LWS523076:LWU523141 MGO523076:MGQ523141 MQK523076:MQM523141 NAG523076:NAI523141 NKC523076:NKE523141 NTY523076:NUA523141 ODU523076:ODW523141 ONQ523076:ONS523141 OXM523076:OXO523141 PHI523076:PHK523141 PRE523076:PRG523141 QBA523076:QBC523141 QKW523076:QKY523141 QUS523076:QUU523141 REO523076:REQ523141 ROK523076:ROM523141 RYG523076:RYI523141 SIC523076:SIE523141 SRY523076:SSA523141 TBU523076:TBW523141 TLQ523076:TLS523141 TVM523076:TVO523141 UFI523076:UFK523141 UPE523076:UPG523141 UZA523076:UZC523141 VIW523076:VIY523141 VSS523076:VSU523141 WCO523076:WCQ523141 WMK523076:WMM523141 WWG523076:WWI523141 Y588612:AA588677 JU588612:JW588677 TQ588612:TS588677 ADM588612:ADO588677 ANI588612:ANK588677 AXE588612:AXG588677 BHA588612:BHC588677 BQW588612:BQY588677 CAS588612:CAU588677 CKO588612:CKQ588677 CUK588612:CUM588677 DEG588612:DEI588677 DOC588612:DOE588677 DXY588612:DYA588677 EHU588612:EHW588677 ERQ588612:ERS588677 FBM588612:FBO588677 FLI588612:FLK588677 FVE588612:FVG588677 GFA588612:GFC588677 GOW588612:GOY588677 GYS588612:GYU588677 HIO588612:HIQ588677 HSK588612:HSM588677 ICG588612:ICI588677 IMC588612:IME588677 IVY588612:IWA588677 JFU588612:JFW588677 JPQ588612:JPS588677 JZM588612:JZO588677 KJI588612:KJK588677 KTE588612:KTG588677 LDA588612:LDC588677 LMW588612:LMY588677 LWS588612:LWU588677 MGO588612:MGQ588677 MQK588612:MQM588677 NAG588612:NAI588677 NKC588612:NKE588677 NTY588612:NUA588677 ODU588612:ODW588677 ONQ588612:ONS588677 OXM588612:OXO588677 PHI588612:PHK588677 PRE588612:PRG588677 QBA588612:QBC588677 QKW588612:QKY588677 QUS588612:QUU588677 REO588612:REQ588677 ROK588612:ROM588677 RYG588612:RYI588677 SIC588612:SIE588677 SRY588612:SSA588677 TBU588612:TBW588677 TLQ588612:TLS588677 TVM588612:TVO588677 UFI588612:UFK588677 UPE588612:UPG588677 UZA588612:UZC588677 VIW588612:VIY588677 VSS588612:VSU588677 WCO588612:WCQ588677 WMK588612:WMM588677 WWG588612:WWI588677 Y654148:AA654213 JU654148:JW654213 TQ654148:TS654213 ADM654148:ADO654213 ANI654148:ANK654213 AXE654148:AXG654213 BHA654148:BHC654213 BQW654148:BQY654213 CAS654148:CAU654213 CKO654148:CKQ654213 CUK654148:CUM654213 DEG654148:DEI654213 DOC654148:DOE654213 DXY654148:DYA654213 EHU654148:EHW654213 ERQ654148:ERS654213 FBM654148:FBO654213 FLI654148:FLK654213 FVE654148:FVG654213 GFA654148:GFC654213 GOW654148:GOY654213 GYS654148:GYU654213 HIO654148:HIQ654213 HSK654148:HSM654213 ICG654148:ICI654213 IMC654148:IME654213 IVY654148:IWA654213 JFU654148:JFW654213 JPQ654148:JPS654213 JZM654148:JZO654213 KJI654148:KJK654213 KTE654148:KTG654213 LDA654148:LDC654213 LMW654148:LMY654213 LWS654148:LWU654213 MGO654148:MGQ654213 MQK654148:MQM654213 NAG654148:NAI654213 NKC654148:NKE654213 NTY654148:NUA654213 ODU654148:ODW654213 ONQ654148:ONS654213 OXM654148:OXO654213 PHI654148:PHK654213 PRE654148:PRG654213 QBA654148:QBC654213 QKW654148:QKY654213 QUS654148:QUU654213 REO654148:REQ654213 ROK654148:ROM654213 RYG654148:RYI654213 SIC654148:SIE654213 SRY654148:SSA654213 TBU654148:TBW654213 TLQ654148:TLS654213 TVM654148:TVO654213 UFI654148:UFK654213 UPE654148:UPG654213 UZA654148:UZC654213 VIW654148:VIY654213 VSS654148:VSU654213 WCO654148:WCQ654213 WMK654148:WMM654213 WWG654148:WWI654213 Y719684:AA719749 JU719684:JW719749 TQ719684:TS719749 ADM719684:ADO719749 ANI719684:ANK719749 AXE719684:AXG719749 BHA719684:BHC719749 BQW719684:BQY719749 CAS719684:CAU719749 CKO719684:CKQ719749 CUK719684:CUM719749 DEG719684:DEI719749 DOC719684:DOE719749 DXY719684:DYA719749 EHU719684:EHW719749 ERQ719684:ERS719749 FBM719684:FBO719749 FLI719684:FLK719749 FVE719684:FVG719749 GFA719684:GFC719749 GOW719684:GOY719749 GYS719684:GYU719749 HIO719684:HIQ719749 HSK719684:HSM719749 ICG719684:ICI719749 IMC719684:IME719749 IVY719684:IWA719749 JFU719684:JFW719749 JPQ719684:JPS719749 JZM719684:JZO719749 KJI719684:KJK719749 KTE719684:KTG719749 LDA719684:LDC719749 LMW719684:LMY719749 LWS719684:LWU719749 MGO719684:MGQ719749 MQK719684:MQM719749 NAG719684:NAI719749 NKC719684:NKE719749 NTY719684:NUA719749 ODU719684:ODW719749 ONQ719684:ONS719749 OXM719684:OXO719749 PHI719684:PHK719749 PRE719684:PRG719749 QBA719684:QBC719749 QKW719684:QKY719749 QUS719684:QUU719749 REO719684:REQ719749 ROK719684:ROM719749 RYG719684:RYI719749 SIC719684:SIE719749 SRY719684:SSA719749 TBU719684:TBW719749 TLQ719684:TLS719749 TVM719684:TVO719749 UFI719684:UFK719749 UPE719684:UPG719749 UZA719684:UZC719749 VIW719684:VIY719749 VSS719684:VSU719749 WCO719684:WCQ719749 WMK719684:WMM719749 WWG719684:WWI719749 Y785220:AA785285 JU785220:JW785285 TQ785220:TS785285 ADM785220:ADO785285 ANI785220:ANK785285 AXE785220:AXG785285 BHA785220:BHC785285 BQW785220:BQY785285 CAS785220:CAU785285 CKO785220:CKQ785285 CUK785220:CUM785285 DEG785220:DEI785285 DOC785220:DOE785285 DXY785220:DYA785285 EHU785220:EHW785285 ERQ785220:ERS785285 FBM785220:FBO785285 FLI785220:FLK785285 FVE785220:FVG785285 GFA785220:GFC785285 GOW785220:GOY785285 GYS785220:GYU785285 HIO785220:HIQ785285 HSK785220:HSM785285 ICG785220:ICI785285 IMC785220:IME785285 IVY785220:IWA785285 JFU785220:JFW785285 JPQ785220:JPS785285 JZM785220:JZO785285 KJI785220:KJK785285 KTE785220:KTG785285 LDA785220:LDC785285 LMW785220:LMY785285 LWS785220:LWU785285 MGO785220:MGQ785285 MQK785220:MQM785285 NAG785220:NAI785285 NKC785220:NKE785285 NTY785220:NUA785285 ODU785220:ODW785285 ONQ785220:ONS785285 OXM785220:OXO785285 PHI785220:PHK785285 PRE785220:PRG785285 QBA785220:QBC785285 QKW785220:QKY785285 QUS785220:QUU785285 REO785220:REQ785285 ROK785220:ROM785285 RYG785220:RYI785285 SIC785220:SIE785285 SRY785220:SSA785285 TBU785220:TBW785285 TLQ785220:TLS785285 TVM785220:TVO785285 UFI785220:UFK785285 UPE785220:UPG785285 UZA785220:UZC785285 VIW785220:VIY785285 VSS785220:VSU785285 WCO785220:WCQ785285 WMK785220:WMM785285 WWG785220:WWI785285 Y850756:AA850821 JU850756:JW850821 TQ850756:TS850821 ADM850756:ADO850821 ANI850756:ANK850821 AXE850756:AXG850821 BHA850756:BHC850821 BQW850756:BQY850821 CAS850756:CAU850821 CKO850756:CKQ850821 CUK850756:CUM850821 DEG850756:DEI850821 DOC850756:DOE850821 DXY850756:DYA850821 EHU850756:EHW850821 ERQ850756:ERS850821 FBM850756:FBO850821 FLI850756:FLK850821 FVE850756:FVG850821 GFA850756:GFC850821 GOW850756:GOY850821 GYS850756:GYU850821 HIO850756:HIQ850821 HSK850756:HSM850821 ICG850756:ICI850821 IMC850756:IME850821 IVY850756:IWA850821 JFU850756:JFW850821 JPQ850756:JPS850821 JZM850756:JZO850821 KJI850756:KJK850821 KTE850756:KTG850821 LDA850756:LDC850821 LMW850756:LMY850821 LWS850756:LWU850821 MGO850756:MGQ850821 MQK850756:MQM850821 NAG850756:NAI850821 NKC850756:NKE850821 NTY850756:NUA850821 ODU850756:ODW850821 ONQ850756:ONS850821 OXM850756:OXO850821 PHI850756:PHK850821 PRE850756:PRG850821 QBA850756:QBC850821 QKW850756:QKY850821 QUS850756:QUU850821 REO850756:REQ850821 ROK850756:ROM850821 RYG850756:RYI850821 SIC850756:SIE850821 SRY850756:SSA850821 TBU850756:TBW850821 TLQ850756:TLS850821 TVM850756:TVO850821 UFI850756:UFK850821 UPE850756:UPG850821 UZA850756:UZC850821 VIW850756:VIY850821 VSS850756:VSU850821 WCO850756:WCQ850821 WMK850756:WMM850821 WWG850756:WWI850821 Y916292:AA916357 JU916292:JW916357 TQ916292:TS916357 ADM916292:ADO916357 ANI916292:ANK916357 AXE916292:AXG916357 BHA916292:BHC916357 BQW916292:BQY916357 CAS916292:CAU916357 CKO916292:CKQ916357 CUK916292:CUM916357 DEG916292:DEI916357 DOC916292:DOE916357 DXY916292:DYA916357 EHU916292:EHW916357 ERQ916292:ERS916357 FBM916292:FBO916357 FLI916292:FLK916357 FVE916292:FVG916357 GFA916292:GFC916357 GOW916292:GOY916357 GYS916292:GYU916357 HIO916292:HIQ916357 HSK916292:HSM916357 ICG916292:ICI916357 IMC916292:IME916357 IVY916292:IWA916357 JFU916292:JFW916357 JPQ916292:JPS916357 JZM916292:JZO916357 KJI916292:KJK916357 KTE916292:KTG916357 LDA916292:LDC916357 LMW916292:LMY916357 LWS916292:LWU916357 MGO916292:MGQ916357 MQK916292:MQM916357 NAG916292:NAI916357 NKC916292:NKE916357 NTY916292:NUA916357 ODU916292:ODW916357 ONQ916292:ONS916357 OXM916292:OXO916357 PHI916292:PHK916357 PRE916292:PRG916357 QBA916292:QBC916357 QKW916292:QKY916357 QUS916292:QUU916357 REO916292:REQ916357 ROK916292:ROM916357 RYG916292:RYI916357 SIC916292:SIE916357 SRY916292:SSA916357 TBU916292:TBW916357 TLQ916292:TLS916357 TVM916292:TVO916357 UFI916292:UFK916357 UPE916292:UPG916357 UZA916292:UZC916357 VIW916292:VIY916357 VSS916292:VSU916357 WCO916292:WCQ916357 WMK916292:WMM916357 WWG916292:WWI916357 Y981828:AA981893 JU981828:JW981893 TQ981828:TS981893 ADM981828:ADO981893 ANI981828:ANK981893 AXE981828:AXG981893 BHA981828:BHC981893 BQW981828:BQY981893 CAS981828:CAU981893 CKO981828:CKQ981893 CUK981828:CUM981893 DEG981828:DEI981893 DOC981828:DOE981893 DXY981828:DYA981893 EHU981828:EHW981893 ERQ981828:ERS981893 FBM981828:FBO981893 FLI981828:FLK981893 FVE981828:FVG981893 GFA981828:GFC981893 GOW981828:GOY981893 GYS981828:GYU981893 HIO981828:HIQ981893 HSK981828:HSM981893 ICG981828:ICI981893 IMC981828:IME981893 IVY981828:IWA981893 JFU981828:JFW981893 JPQ981828:JPS981893 JZM981828:JZO981893 KJI981828:KJK981893 KTE981828:KTG981893 LDA981828:LDC981893 LMW981828:LMY981893 LWS981828:LWU981893 MGO981828:MGQ981893 MQK981828:MQM981893 NAG981828:NAI981893 NKC981828:NKE981893 NTY981828:NUA981893 ODU981828:ODW981893 ONQ981828:ONS981893 OXM981828:OXO981893 PHI981828:PHK981893 PRE981828:PRG981893 QBA981828:QBC981893 QKW981828:QKY981893 QUS981828:QUU981893 REO981828:REQ981893 ROK981828:ROM981893 RYG981828:RYI981893 SIC981828:SIE981893 SRY981828:SSA981893 TBU981828:TBW981893 TLQ981828:TLS981893 TVM981828:TVO981893 UFI981828:UFK981893 UPE981828:UPG981893 UZA981828:UZC981893 VIW981828:VIY981893 VSS981828:VSU981893 WCO981828:WCQ981893 WMK981828:WMM981893 WWG981828:WWI981893 Y1047364:AA1047429 JU1047364:JW1047429 TQ1047364:TS1047429 ADM1047364:ADO1047429 ANI1047364:ANK1047429 AXE1047364:AXG1047429 BHA1047364:BHC1047429 BQW1047364:BQY1047429 CAS1047364:CAU1047429 CKO1047364:CKQ1047429 CUK1047364:CUM1047429 DEG1047364:DEI1047429 DOC1047364:DOE1047429 DXY1047364:DYA1047429 EHU1047364:EHW1047429 ERQ1047364:ERS1047429 FBM1047364:FBO1047429 FLI1047364:FLK1047429 FVE1047364:FVG1047429 GFA1047364:GFC1047429 GOW1047364:GOY1047429 GYS1047364:GYU1047429 HIO1047364:HIQ1047429 HSK1047364:HSM1047429 ICG1047364:ICI1047429 IMC1047364:IME1047429 IVY1047364:IWA1047429 JFU1047364:JFW1047429 JPQ1047364:JPS1047429 JZM1047364:JZO1047429 KJI1047364:KJK1047429 KTE1047364:KTG1047429 LDA1047364:LDC1047429 LMW1047364:LMY1047429 LWS1047364:LWU1047429 MGO1047364:MGQ1047429 MQK1047364:MQM1047429 NAG1047364:NAI1047429 NKC1047364:NKE1047429 NTY1047364:NUA1047429 ODU1047364:ODW1047429 ONQ1047364:ONS1047429 OXM1047364:OXO1047429 PHI1047364:PHK1047429 PRE1047364:PRG1047429 QBA1047364:QBC1047429 QKW1047364:QKY1047429 QUS1047364:QUU1047429 REO1047364:REQ1047429 ROK1047364:ROM1047429 RYG1047364:RYI1047429 SIC1047364:SIE1047429 SRY1047364:SSA1047429 TBU1047364:TBW1047429 TLQ1047364:TLS1047429 TVM1047364:TVO1047429 UFI1047364:UFK1047429 UPE1047364:UPG1047429 UZA1047364:UZC1047429 VIW1047364:VIY1047429 VSS1047364:VSU1047429 WCO1047364:WCQ1047429 WMK1047364:WMM1047429 WWG1047364:WWI1047429 WWG983003:WWI983068 Y65499:AA65564 JU65499:JW65564 TQ65499:TS65564 ADM65499:ADO65564 ANI65499:ANK65564 AXE65499:AXG65564 BHA65499:BHC65564 BQW65499:BQY65564 CAS65499:CAU65564 CKO65499:CKQ65564 CUK65499:CUM65564 DEG65499:DEI65564 DOC65499:DOE65564 DXY65499:DYA65564 EHU65499:EHW65564 ERQ65499:ERS65564 FBM65499:FBO65564 FLI65499:FLK65564 FVE65499:FVG65564 GFA65499:GFC65564 GOW65499:GOY65564 GYS65499:GYU65564 HIO65499:HIQ65564 HSK65499:HSM65564 ICG65499:ICI65564 IMC65499:IME65564 IVY65499:IWA65564 JFU65499:JFW65564 JPQ65499:JPS65564 JZM65499:JZO65564 KJI65499:KJK65564 KTE65499:KTG65564 LDA65499:LDC65564 LMW65499:LMY65564 LWS65499:LWU65564 MGO65499:MGQ65564 MQK65499:MQM65564 NAG65499:NAI65564 NKC65499:NKE65564 NTY65499:NUA65564 ODU65499:ODW65564 ONQ65499:ONS65564 OXM65499:OXO65564 PHI65499:PHK65564 PRE65499:PRG65564 QBA65499:QBC65564 QKW65499:QKY65564 QUS65499:QUU65564 REO65499:REQ65564 ROK65499:ROM65564 RYG65499:RYI65564 SIC65499:SIE65564 SRY65499:SSA65564 TBU65499:TBW65564 TLQ65499:TLS65564 TVM65499:TVO65564 UFI65499:UFK65564 UPE65499:UPG65564 UZA65499:UZC65564 VIW65499:VIY65564 VSS65499:VSU65564 WCO65499:WCQ65564 WMK65499:WMM65564 WWG65499:WWI65564 Y131035:AA131100 JU131035:JW131100 TQ131035:TS131100 ADM131035:ADO131100 ANI131035:ANK131100 AXE131035:AXG131100 BHA131035:BHC131100 BQW131035:BQY131100 CAS131035:CAU131100 CKO131035:CKQ131100 CUK131035:CUM131100 DEG131035:DEI131100 DOC131035:DOE131100 DXY131035:DYA131100 EHU131035:EHW131100 ERQ131035:ERS131100 FBM131035:FBO131100 FLI131035:FLK131100 FVE131035:FVG131100 GFA131035:GFC131100 GOW131035:GOY131100 GYS131035:GYU131100 HIO131035:HIQ131100 HSK131035:HSM131100 ICG131035:ICI131100 IMC131035:IME131100 IVY131035:IWA131100 JFU131035:JFW131100 JPQ131035:JPS131100 JZM131035:JZO131100 KJI131035:KJK131100 KTE131035:KTG131100 LDA131035:LDC131100 LMW131035:LMY131100 LWS131035:LWU131100 MGO131035:MGQ131100 MQK131035:MQM131100 NAG131035:NAI131100 NKC131035:NKE131100 NTY131035:NUA131100 ODU131035:ODW131100 ONQ131035:ONS131100 OXM131035:OXO131100 PHI131035:PHK131100 PRE131035:PRG131100 QBA131035:QBC131100 QKW131035:QKY131100 QUS131035:QUU131100 REO131035:REQ131100 ROK131035:ROM131100 RYG131035:RYI131100 SIC131035:SIE131100 SRY131035:SSA131100 TBU131035:TBW131100 TLQ131035:TLS131100 TVM131035:TVO131100 UFI131035:UFK131100 UPE131035:UPG131100 UZA131035:UZC131100 VIW131035:VIY131100 VSS131035:VSU131100 WCO131035:WCQ131100 WMK131035:WMM131100 WWG131035:WWI131100 Y196571:AA196636 JU196571:JW196636 TQ196571:TS196636 ADM196571:ADO196636 ANI196571:ANK196636 AXE196571:AXG196636 BHA196571:BHC196636 BQW196571:BQY196636 CAS196571:CAU196636 CKO196571:CKQ196636 CUK196571:CUM196636 DEG196571:DEI196636 DOC196571:DOE196636 DXY196571:DYA196636 EHU196571:EHW196636 ERQ196571:ERS196636 FBM196571:FBO196636 FLI196571:FLK196636 FVE196571:FVG196636 GFA196571:GFC196636 GOW196571:GOY196636 GYS196571:GYU196636 HIO196571:HIQ196636 HSK196571:HSM196636 ICG196571:ICI196636 IMC196571:IME196636 IVY196571:IWA196636 JFU196571:JFW196636 JPQ196571:JPS196636 JZM196571:JZO196636 KJI196571:KJK196636 KTE196571:KTG196636 LDA196571:LDC196636 LMW196571:LMY196636 LWS196571:LWU196636 MGO196571:MGQ196636 MQK196571:MQM196636 NAG196571:NAI196636 NKC196571:NKE196636 NTY196571:NUA196636 ODU196571:ODW196636 ONQ196571:ONS196636 OXM196571:OXO196636 PHI196571:PHK196636 PRE196571:PRG196636 QBA196571:QBC196636 QKW196571:QKY196636 QUS196571:QUU196636 REO196571:REQ196636 ROK196571:ROM196636 RYG196571:RYI196636 SIC196571:SIE196636 SRY196571:SSA196636 TBU196571:TBW196636 TLQ196571:TLS196636 TVM196571:TVO196636 UFI196571:UFK196636 UPE196571:UPG196636 UZA196571:UZC196636 VIW196571:VIY196636 VSS196571:VSU196636 WCO196571:WCQ196636 WMK196571:WMM196636 WWG196571:WWI196636 Y262107:AA262172 JU262107:JW262172 TQ262107:TS262172 ADM262107:ADO262172 ANI262107:ANK262172 AXE262107:AXG262172 BHA262107:BHC262172 BQW262107:BQY262172 CAS262107:CAU262172 CKO262107:CKQ262172 CUK262107:CUM262172 DEG262107:DEI262172 DOC262107:DOE262172 DXY262107:DYA262172 EHU262107:EHW262172 ERQ262107:ERS262172 FBM262107:FBO262172 FLI262107:FLK262172 FVE262107:FVG262172 GFA262107:GFC262172 GOW262107:GOY262172 GYS262107:GYU262172 HIO262107:HIQ262172 HSK262107:HSM262172 ICG262107:ICI262172 IMC262107:IME262172 IVY262107:IWA262172 JFU262107:JFW262172 JPQ262107:JPS262172 JZM262107:JZO262172 KJI262107:KJK262172 KTE262107:KTG262172 LDA262107:LDC262172 LMW262107:LMY262172 LWS262107:LWU262172 MGO262107:MGQ262172 MQK262107:MQM262172 NAG262107:NAI262172 NKC262107:NKE262172 NTY262107:NUA262172 ODU262107:ODW262172 ONQ262107:ONS262172 OXM262107:OXO262172 PHI262107:PHK262172 PRE262107:PRG262172 QBA262107:QBC262172 QKW262107:QKY262172 QUS262107:QUU262172 REO262107:REQ262172 ROK262107:ROM262172 RYG262107:RYI262172 SIC262107:SIE262172 SRY262107:SSA262172 TBU262107:TBW262172 TLQ262107:TLS262172 TVM262107:TVO262172 UFI262107:UFK262172 UPE262107:UPG262172 UZA262107:UZC262172 VIW262107:VIY262172 VSS262107:VSU262172 WCO262107:WCQ262172 WMK262107:WMM262172 WWG262107:WWI262172 Y327643:AA327708 JU327643:JW327708 TQ327643:TS327708 ADM327643:ADO327708 ANI327643:ANK327708 AXE327643:AXG327708 BHA327643:BHC327708 BQW327643:BQY327708 CAS327643:CAU327708 CKO327643:CKQ327708 CUK327643:CUM327708 DEG327643:DEI327708 DOC327643:DOE327708 DXY327643:DYA327708 EHU327643:EHW327708 ERQ327643:ERS327708 FBM327643:FBO327708 FLI327643:FLK327708 FVE327643:FVG327708 GFA327643:GFC327708 GOW327643:GOY327708 GYS327643:GYU327708 HIO327643:HIQ327708 HSK327643:HSM327708 ICG327643:ICI327708 IMC327643:IME327708 IVY327643:IWA327708 JFU327643:JFW327708 JPQ327643:JPS327708 JZM327643:JZO327708 KJI327643:KJK327708 KTE327643:KTG327708 LDA327643:LDC327708 LMW327643:LMY327708 LWS327643:LWU327708 MGO327643:MGQ327708 MQK327643:MQM327708 NAG327643:NAI327708 NKC327643:NKE327708 NTY327643:NUA327708 ODU327643:ODW327708 ONQ327643:ONS327708 OXM327643:OXO327708 PHI327643:PHK327708 PRE327643:PRG327708 QBA327643:QBC327708 QKW327643:QKY327708 QUS327643:QUU327708 REO327643:REQ327708 ROK327643:ROM327708 RYG327643:RYI327708 SIC327643:SIE327708 SRY327643:SSA327708 TBU327643:TBW327708 TLQ327643:TLS327708 TVM327643:TVO327708 UFI327643:UFK327708 UPE327643:UPG327708 UZA327643:UZC327708 VIW327643:VIY327708 VSS327643:VSU327708 WCO327643:WCQ327708 WMK327643:WMM327708 WWG327643:WWI327708 Y393179:AA393244 JU393179:JW393244 TQ393179:TS393244 ADM393179:ADO393244 ANI393179:ANK393244 AXE393179:AXG393244 BHA393179:BHC393244 BQW393179:BQY393244 CAS393179:CAU393244 CKO393179:CKQ393244 CUK393179:CUM393244 DEG393179:DEI393244 DOC393179:DOE393244 DXY393179:DYA393244 EHU393179:EHW393244 ERQ393179:ERS393244 FBM393179:FBO393244 FLI393179:FLK393244 FVE393179:FVG393244 GFA393179:GFC393244 GOW393179:GOY393244 GYS393179:GYU393244 HIO393179:HIQ393244 HSK393179:HSM393244 ICG393179:ICI393244 IMC393179:IME393244 IVY393179:IWA393244 JFU393179:JFW393244 JPQ393179:JPS393244 JZM393179:JZO393244 KJI393179:KJK393244 KTE393179:KTG393244 LDA393179:LDC393244 LMW393179:LMY393244 LWS393179:LWU393244 MGO393179:MGQ393244 MQK393179:MQM393244 NAG393179:NAI393244 NKC393179:NKE393244 NTY393179:NUA393244 ODU393179:ODW393244 ONQ393179:ONS393244 OXM393179:OXO393244 PHI393179:PHK393244 PRE393179:PRG393244 QBA393179:QBC393244 QKW393179:QKY393244 QUS393179:QUU393244 REO393179:REQ393244 ROK393179:ROM393244 RYG393179:RYI393244 SIC393179:SIE393244 SRY393179:SSA393244 TBU393179:TBW393244 TLQ393179:TLS393244 TVM393179:TVO393244 UFI393179:UFK393244 UPE393179:UPG393244 UZA393179:UZC393244 VIW393179:VIY393244 VSS393179:VSU393244 WCO393179:WCQ393244 WMK393179:WMM393244 WWG393179:WWI393244 Y458715:AA458780 JU458715:JW458780 TQ458715:TS458780 ADM458715:ADO458780 ANI458715:ANK458780 AXE458715:AXG458780 BHA458715:BHC458780 BQW458715:BQY458780 CAS458715:CAU458780 CKO458715:CKQ458780 CUK458715:CUM458780 DEG458715:DEI458780 DOC458715:DOE458780 DXY458715:DYA458780 EHU458715:EHW458780 ERQ458715:ERS458780 FBM458715:FBO458780 FLI458715:FLK458780 FVE458715:FVG458780 GFA458715:GFC458780 GOW458715:GOY458780 GYS458715:GYU458780 HIO458715:HIQ458780 HSK458715:HSM458780 ICG458715:ICI458780 IMC458715:IME458780 IVY458715:IWA458780 JFU458715:JFW458780 JPQ458715:JPS458780 JZM458715:JZO458780 KJI458715:KJK458780 KTE458715:KTG458780 LDA458715:LDC458780 LMW458715:LMY458780 LWS458715:LWU458780 MGO458715:MGQ458780 MQK458715:MQM458780 NAG458715:NAI458780 NKC458715:NKE458780 NTY458715:NUA458780 ODU458715:ODW458780 ONQ458715:ONS458780 OXM458715:OXO458780 PHI458715:PHK458780 PRE458715:PRG458780 QBA458715:QBC458780 QKW458715:QKY458780 QUS458715:QUU458780 REO458715:REQ458780 ROK458715:ROM458780 RYG458715:RYI458780 SIC458715:SIE458780 SRY458715:SSA458780 TBU458715:TBW458780 TLQ458715:TLS458780 TVM458715:TVO458780 UFI458715:UFK458780 UPE458715:UPG458780 UZA458715:UZC458780 VIW458715:VIY458780 VSS458715:VSU458780 WCO458715:WCQ458780 WMK458715:WMM458780 WWG458715:WWI458780 Y524251:AA524316 JU524251:JW524316 TQ524251:TS524316 ADM524251:ADO524316 ANI524251:ANK524316 AXE524251:AXG524316 BHA524251:BHC524316 BQW524251:BQY524316 CAS524251:CAU524316 CKO524251:CKQ524316 CUK524251:CUM524316 DEG524251:DEI524316 DOC524251:DOE524316 DXY524251:DYA524316 EHU524251:EHW524316 ERQ524251:ERS524316 FBM524251:FBO524316 FLI524251:FLK524316 FVE524251:FVG524316 GFA524251:GFC524316 GOW524251:GOY524316 GYS524251:GYU524316 HIO524251:HIQ524316 HSK524251:HSM524316 ICG524251:ICI524316 IMC524251:IME524316 IVY524251:IWA524316 JFU524251:JFW524316 JPQ524251:JPS524316 JZM524251:JZO524316 KJI524251:KJK524316 KTE524251:KTG524316 LDA524251:LDC524316 LMW524251:LMY524316 LWS524251:LWU524316 MGO524251:MGQ524316 MQK524251:MQM524316 NAG524251:NAI524316 NKC524251:NKE524316 NTY524251:NUA524316 ODU524251:ODW524316 ONQ524251:ONS524316 OXM524251:OXO524316 PHI524251:PHK524316 PRE524251:PRG524316 QBA524251:QBC524316 QKW524251:QKY524316 QUS524251:QUU524316 REO524251:REQ524316 ROK524251:ROM524316 RYG524251:RYI524316 SIC524251:SIE524316 SRY524251:SSA524316 TBU524251:TBW524316 TLQ524251:TLS524316 TVM524251:TVO524316 UFI524251:UFK524316 UPE524251:UPG524316 UZA524251:UZC524316 VIW524251:VIY524316 VSS524251:VSU524316 WCO524251:WCQ524316 WMK524251:WMM524316 WWG524251:WWI524316 Y589787:AA589852 JU589787:JW589852 TQ589787:TS589852 ADM589787:ADO589852 ANI589787:ANK589852 AXE589787:AXG589852 BHA589787:BHC589852 BQW589787:BQY589852 CAS589787:CAU589852 CKO589787:CKQ589852 CUK589787:CUM589852 DEG589787:DEI589852 DOC589787:DOE589852 DXY589787:DYA589852 EHU589787:EHW589852 ERQ589787:ERS589852 FBM589787:FBO589852 FLI589787:FLK589852 FVE589787:FVG589852 GFA589787:GFC589852 GOW589787:GOY589852 GYS589787:GYU589852 HIO589787:HIQ589852 HSK589787:HSM589852 ICG589787:ICI589852 IMC589787:IME589852 IVY589787:IWA589852 JFU589787:JFW589852 JPQ589787:JPS589852 JZM589787:JZO589852 KJI589787:KJK589852 KTE589787:KTG589852 LDA589787:LDC589852 LMW589787:LMY589852 LWS589787:LWU589852 MGO589787:MGQ589852 MQK589787:MQM589852 NAG589787:NAI589852 NKC589787:NKE589852 NTY589787:NUA589852 ODU589787:ODW589852 ONQ589787:ONS589852 OXM589787:OXO589852 PHI589787:PHK589852 PRE589787:PRG589852 QBA589787:QBC589852 QKW589787:QKY589852 QUS589787:QUU589852 REO589787:REQ589852 ROK589787:ROM589852 RYG589787:RYI589852 SIC589787:SIE589852 SRY589787:SSA589852 TBU589787:TBW589852 TLQ589787:TLS589852 TVM589787:TVO589852 UFI589787:UFK589852 UPE589787:UPG589852 UZA589787:UZC589852 VIW589787:VIY589852 VSS589787:VSU589852 WCO589787:WCQ589852 WMK589787:WMM589852 WWG589787:WWI589852 Y655323:AA655388 JU655323:JW655388 TQ655323:TS655388 ADM655323:ADO655388 ANI655323:ANK655388 AXE655323:AXG655388 BHA655323:BHC655388 BQW655323:BQY655388 CAS655323:CAU655388 CKO655323:CKQ655388 CUK655323:CUM655388 DEG655323:DEI655388 DOC655323:DOE655388 DXY655323:DYA655388 EHU655323:EHW655388 ERQ655323:ERS655388 FBM655323:FBO655388 FLI655323:FLK655388 FVE655323:FVG655388 GFA655323:GFC655388 GOW655323:GOY655388 GYS655323:GYU655388 HIO655323:HIQ655388 HSK655323:HSM655388 ICG655323:ICI655388 IMC655323:IME655388 IVY655323:IWA655388 JFU655323:JFW655388 JPQ655323:JPS655388 JZM655323:JZO655388 KJI655323:KJK655388 KTE655323:KTG655388 LDA655323:LDC655388 LMW655323:LMY655388 LWS655323:LWU655388 MGO655323:MGQ655388 MQK655323:MQM655388 NAG655323:NAI655388 NKC655323:NKE655388 NTY655323:NUA655388 ODU655323:ODW655388 ONQ655323:ONS655388 OXM655323:OXO655388 PHI655323:PHK655388 PRE655323:PRG655388 QBA655323:QBC655388 QKW655323:QKY655388 QUS655323:QUU655388 REO655323:REQ655388 ROK655323:ROM655388 RYG655323:RYI655388 SIC655323:SIE655388 SRY655323:SSA655388 TBU655323:TBW655388 TLQ655323:TLS655388 TVM655323:TVO655388 UFI655323:UFK655388 UPE655323:UPG655388 UZA655323:UZC655388 VIW655323:VIY655388 VSS655323:VSU655388 WCO655323:WCQ655388 WMK655323:WMM655388 WWG655323:WWI655388 Y720859:AA720924 JU720859:JW720924 TQ720859:TS720924 ADM720859:ADO720924 ANI720859:ANK720924 AXE720859:AXG720924 BHA720859:BHC720924 BQW720859:BQY720924 CAS720859:CAU720924 CKO720859:CKQ720924 CUK720859:CUM720924 DEG720859:DEI720924 DOC720859:DOE720924 DXY720859:DYA720924 EHU720859:EHW720924 ERQ720859:ERS720924 FBM720859:FBO720924 FLI720859:FLK720924 FVE720859:FVG720924 GFA720859:GFC720924 GOW720859:GOY720924 GYS720859:GYU720924 HIO720859:HIQ720924 HSK720859:HSM720924 ICG720859:ICI720924 IMC720859:IME720924 IVY720859:IWA720924 JFU720859:JFW720924 JPQ720859:JPS720924 JZM720859:JZO720924 KJI720859:KJK720924 KTE720859:KTG720924 LDA720859:LDC720924 LMW720859:LMY720924 LWS720859:LWU720924 MGO720859:MGQ720924 MQK720859:MQM720924 NAG720859:NAI720924 NKC720859:NKE720924 NTY720859:NUA720924 ODU720859:ODW720924 ONQ720859:ONS720924 OXM720859:OXO720924 PHI720859:PHK720924 PRE720859:PRG720924 QBA720859:QBC720924 QKW720859:QKY720924 QUS720859:QUU720924 REO720859:REQ720924 ROK720859:ROM720924 RYG720859:RYI720924 SIC720859:SIE720924 SRY720859:SSA720924 TBU720859:TBW720924 TLQ720859:TLS720924 TVM720859:TVO720924 UFI720859:UFK720924 UPE720859:UPG720924 UZA720859:UZC720924 VIW720859:VIY720924 VSS720859:VSU720924 WCO720859:WCQ720924 WMK720859:WMM720924 WWG720859:WWI720924 Y786395:AA786460 JU786395:JW786460 TQ786395:TS786460 ADM786395:ADO786460 ANI786395:ANK786460 AXE786395:AXG786460 BHA786395:BHC786460 BQW786395:BQY786460 CAS786395:CAU786460 CKO786395:CKQ786460 CUK786395:CUM786460 DEG786395:DEI786460 DOC786395:DOE786460 DXY786395:DYA786460 EHU786395:EHW786460 ERQ786395:ERS786460 FBM786395:FBO786460 FLI786395:FLK786460 FVE786395:FVG786460 GFA786395:GFC786460 GOW786395:GOY786460 GYS786395:GYU786460 HIO786395:HIQ786460 HSK786395:HSM786460 ICG786395:ICI786460 IMC786395:IME786460 IVY786395:IWA786460 JFU786395:JFW786460 JPQ786395:JPS786460 JZM786395:JZO786460 KJI786395:KJK786460 KTE786395:KTG786460 LDA786395:LDC786460 LMW786395:LMY786460 LWS786395:LWU786460 MGO786395:MGQ786460 MQK786395:MQM786460 NAG786395:NAI786460 NKC786395:NKE786460 NTY786395:NUA786460 ODU786395:ODW786460 ONQ786395:ONS786460 OXM786395:OXO786460 PHI786395:PHK786460 PRE786395:PRG786460 QBA786395:QBC786460 QKW786395:QKY786460 QUS786395:QUU786460 REO786395:REQ786460 ROK786395:ROM786460 RYG786395:RYI786460 SIC786395:SIE786460 SRY786395:SSA786460 TBU786395:TBW786460 TLQ786395:TLS786460 TVM786395:TVO786460 UFI786395:UFK786460 UPE786395:UPG786460 UZA786395:UZC786460 VIW786395:VIY786460 VSS786395:VSU786460 WCO786395:WCQ786460 WMK786395:WMM786460 WWG786395:WWI786460 Y851931:AA851996 JU851931:JW851996 TQ851931:TS851996 ADM851931:ADO851996 ANI851931:ANK851996 AXE851931:AXG851996 BHA851931:BHC851996 BQW851931:BQY851996 CAS851931:CAU851996 CKO851931:CKQ851996 CUK851931:CUM851996 DEG851931:DEI851996 DOC851931:DOE851996 DXY851931:DYA851996 EHU851931:EHW851996 ERQ851931:ERS851996 FBM851931:FBO851996 FLI851931:FLK851996 FVE851931:FVG851996 GFA851931:GFC851996 GOW851931:GOY851996 GYS851931:GYU851996 HIO851931:HIQ851996 HSK851931:HSM851996 ICG851931:ICI851996 IMC851931:IME851996 IVY851931:IWA851996 JFU851931:JFW851996 JPQ851931:JPS851996 JZM851931:JZO851996 KJI851931:KJK851996 KTE851931:KTG851996 LDA851931:LDC851996 LMW851931:LMY851996 LWS851931:LWU851996 MGO851931:MGQ851996 MQK851931:MQM851996 NAG851931:NAI851996 NKC851931:NKE851996 NTY851931:NUA851996 ODU851931:ODW851996 ONQ851931:ONS851996 OXM851931:OXO851996 PHI851931:PHK851996 PRE851931:PRG851996 QBA851931:QBC851996 QKW851931:QKY851996 QUS851931:QUU851996 REO851931:REQ851996 ROK851931:ROM851996 RYG851931:RYI851996 SIC851931:SIE851996 SRY851931:SSA851996 TBU851931:TBW851996 TLQ851931:TLS851996 TVM851931:TVO851996 UFI851931:UFK851996 UPE851931:UPG851996 UZA851931:UZC851996 VIW851931:VIY851996 VSS851931:VSU851996 WCO851931:WCQ851996 WMK851931:WMM851996 WWG851931:WWI851996 Y917467:AA917532 JU917467:JW917532 TQ917467:TS917532 ADM917467:ADO917532 ANI917467:ANK917532 AXE917467:AXG917532 BHA917467:BHC917532 BQW917467:BQY917532 CAS917467:CAU917532 CKO917467:CKQ917532 CUK917467:CUM917532 DEG917467:DEI917532 DOC917467:DOE917532 DXY917467:DYA917532 EHU917467:EHW917532 ERQ917467:ERS917532 FBM917467:FBO917532 FLI917467:FLK917532 FVE917467:FVG917532 GFA917467:GFC917532 GOW917467:GOY917532 GYS917467:GYU917532 HIO917467:HIQ917532 HSK917467:HSM917532 ICG917467:ICI917532 IMC917467:IME917532 IVY917467:IWA917532 JFU917467:JFW917532 JPQ917467:JPS917532 JZM917467:JZO917532 KJI917467:KJK917532 KTE917467:KTG917532 LDA917467:LDC917532 LMW917467:LMY917532 LWS917467:LWU917532 MGO917467:MGQ917532 MQK917467:MQM917532 NAG917467:NAI917532 NKC917467:NKE917532 NTY917467:NUA917532 ODU917467:ODW917532 ONQ917467:ONS917532 OXM917467:OXO917532 PHI917467:PHK917532 PRE917467:PRG917532 QBA917467:QBC917532 QKW917467:QKY917532 QUS917467:QUU917532 REO917467:REQ917532 ROK917467:ROM917532 RYG917467:RYI917532 SIC917467:SIE917532 SRY917467:SSA917532 TBU917467:TBW917532 TLQ917467:TLS917532 TVM917467:TVO917532 UFI917467:UFK917532 UPE917467:UPG917532 UZA917467:UZC917532 VIW917467:VIY917532 VSS917467:VSU917532 WCO917467:WCQ917532 WMK917467:WMM917532 WWG917467:WWI917532 Y983003:AA983068 JU983003:JW983068 TQ983003:TS983068 ADM983003:ADO983068 ANI983003:ANK983068 AXE983003:AXG983068 BHA983003:BHC983068 BQW983003:BQY983068 CAS983003:CAU983068 CKO983003:CKQ983068 CUK983003:CUM983068 DEG983003:DEI983068 DOC983003:DOE983068 DXY983003:DYA983068 EHU983003:EHW983068 ERQ983003:ERS983068 FBM983003:FBO983068 FLI983003:FLK983068 FVE983003:FVG983068 GFA983003:GFC983068 GOW983003:GOY983068 GYS983003:GYU983068 HIO983003:HIQ983068 HSK983003:HSM983068 ICG983003:ICI983068 IMC983003:IME983068 IVY983003:IWA983068 JFU983003:JFW983068 JPQ983003:JPS983068 JZM983003:JZO983068 KJI983003:KJK983068 KTE983003:KTG983068 LDA983003:LDC983068 LMW983003:LMY983068 LWS983003:LWU983068 MGO983003:MGQ983068 MQK983003:MQM983068 NAG983003:NAI983068 NKC983003:NKE983068 NTY983003:NUA983068 ODU983003:ODW983068 ONQ983003:ONS983068 OXM983003:OXO983068 PHI983003:PHK983068 PRE983003:PRG983068 QBA983003:QBC983068 QKW983003:QKY983068 QUS983003:QUU983068 REO983003:REQ983068 ROK983003:ROM983068 RYG983003:RYI983068 SIC983003:SIE983068 SRY983003:SSA983068 TBU983003:TBW983068 TLQ983003:TLS983068 TVM983003:TVO983068 UFI983003:UFK983068 UPE983003:UPG983068 UZA983003:UZC983068 VIW983003:VIY983068 VSS983003:VSU983068 WCO983003:WCQ983068 WMK983003:WMM983068 WMK2:WMM49 WWG2:WWI49 JU2:JW49 TQ2:TS49 ADM2:ADO49 ANI2:ANK49 AXE2:AXG49 BHA2:BHC49 BQW2:BQY49 CAS2:CAU49 CKO2:CKQ49 CUK2:CUM49 DEG2:DEI49 DOC2:DOE49 DXY2:DYA49 EHU2:EHW49 ERQ2:ERS49 FBM2:FBO49 FLI2:FLK49 FVE2:FVG49 GFA2:GFC49 GOW2:GOY49 GYS2:GYU49 HIO2:HIQ49 HSK2:HSM49 ICG2:ICI49 IMC2:IME49 IVY2:IWA49 JFU2:JFW49 JPQ2:JPS49 JZM2:JZO49 KJI2:KJK49 KTE2:KTG49 LDA2:LDC49 LMW2:LMY49 LWS2:LWU49 MGO2:MGQ49 MQK2:MQM49 NAG2:NAI49 NKC2:NKE49 NTY2:NUA49 ODU2:ODW49 ONQ2:ONS49 OXM2:OXO49 PHI2:PHK49 PRE2:PRG49 QBA2:QBC49 QKW2:QKY49 QUS2:QUU49 REO2:REQ49 ROK2:ROM49 RYG2:RYI49 SIC2:SIE49 SRY2:SSA49 TBU2:TBW49 TLQ2:TLS49 TVM2:TVO49 UFI2:UFK49 UPE2:UPG49 UZA2:UZC49 VIW2:VIY49 VSS2:VSU49 WCO2:WCQ49" xr:uid="{25EF32E7-C560-4905-B87F-85F59FA5F8B7}">
      <formula1>$AV$2:$AV$20</formula1>
    </dataValidation>
    <dataValidation type="list" allowBlank="1" showInputMessage="1" showErrorMessage="1" sqref="H64324:H64389 JD64324:JD64389 SZ64324:SZ64389 ACV64324:ACV64389 AMR64324:AMR64389 AWN64324:AWN64389 BGJ64324:BGJ64389 BQF64324:BQF64389 CAB64324:CAB64389 CJX64324:CJX64389 CTT64324:CTT64389 DDP64324:DDP64389 DNL64324:DNL64389 DXH64324:DXH64389 EHD64324:EHD64389 EQZ64324:EQZ64389 FAV64324:FAV64389 FKR64324:FKR64389 FUN64324:FUN64389 GEJ64324:GEJ64389 GOF64324:GOF64389 GYB64324:GYB64389 HHX64324:HHX64389 HRT64324:HRT64389 IBP64324:IBP64389 ILL64324:ILL64389 IVH64324:IVH64389 JFD64324:JFD64389 JOZ64324:JOZ64389 JYV64324:JYV64389 KIR64324:KIR64389 KSN64324:KSN64389 LCJ64324:LCJ64389 LMF64324:LMF64389 LWB64324:LWB64389 MFX64324:MFX64389 MPT64324:MPT64389 MZP64324:MZP64389 NJL64324:NJL64389 NTH64324:NTH64389 ODD64324:ODD64389 OMZ64324:OMZ64389 OWV64324:OWV64389 PGR64324:PGR64389 PQN64324:PQN64389 QAJ64324:QAJ64389 QKF64324:QKF64389 QUB64324:QUB64389 RDX64324:RDX64389 RNT64324:RNT64389 RXP64324:RXP64389 SHL64324:SHL64389 SRH64324:SRH64389 TBD64324:TBD64389 TKZ64324:TKZ64389 TUV64324:TUV64389 UER64324:UER64389 UON64324:UON64389 UYJ64324:UYJ64389 VIF64324:VIF64389 VSB64324:VSB64389 WBX64324:WBX64389 WLT64324:WLT64389 WVP64324:WVP64389 H129860:H129925 JD129860:JD129925 SZ129860:SZ129925 ACV129860:ACV129925 AMR129860:AMR129925 AWN129860:AWN129925 BGJ129860:BGJ129925 BQF129860:BQF129925 CAB129860:CAB129925 CJX129860:CJX129925 CTT129860:CTT129925 DDP129860:DDP129925 DNL129860:DNL129925 DXH129860:DXH129925 EHD129860:EHD129925 EQZ129860:EQZ129925 FAV129860:FAV129925 FKR129860:FKR129925 FUN129860:FUN129925 GEJ129860:GEJ129925 GOF129860:GOF129925 GYB129860:GYB129925 HHX129860:HHX129925 HRT129860:HRT129925 IBP129860:IBP129925 ILL129860:ILL129925 IVH129860:IVH129925 JFD129860:JFD129925 JOZ129860:JOZ129925 JYV129860:JYV129925 KIR129860:KIR129925 KSN129860:KSN129925 LCJ129860:LCJ129925 LMF129860:LMF129925 LWB129860:LWB129925 MFX129860:MFX129925 MPT129860:MPT129925 MZP129860:MZP129925 NJL129860:NJL129925 NTH129860:NTH129925 ODD129860:ODD129925 OMZ129860:OMZ129925 OWV129860:OWV129925 PGR129860:PGR129925 PQN129860:PQN129925 QAJ129860:QAJ129925 QKF129860:QKF129925 QUB129860:QUB129925 RDX129860:RDX129925 RNT129860:RNT129925 RXP129860:RXP129925 SHL129860:SHL129925 SRH129860:SRH129925 TBD129860:TBD129925 TKZ129860:TKZ129925 TUV129860:TUV129925 UER129860:UER129925 UON129860:UON129925 UYJ129860:UYJ129925 VIF129860:VIF129925 VSB129860:VSB129925 WBX129860:WBX129925 WLT129860:WLT129925 WVP129860:WVP129925 H195396:H195461 JD195396:JD195461 SZ195396:SZ195461 ACV195396:ACV195461 AMR195396:AMR195461 AWN195396:AWN195461 BGJ195396:BGJ195461 BQF195396:BQF195461 CAB195396:CAB195461 CJX195396:CJX195461 CTT195396:CTT195461 DDP195396:DDP195461 DNL195396:DNL195461 DXH195396:DXH195461 EHD195396:EHD195461 EQZ195396:EQZ195461 FAV195396:FAV195461 FKR195396:FKR195461 FUN195396:FUN195461 GEJ195396:GEJ195461 GOF195396:GOF195461 GYB195396:GYB195461 HHX195396:HHX195461 HRT195396:HRT195461 IBP195396:IBP195461 ILL195396:ILL195461 IVH195396:IVH195461 JFD195396:JFD195461 JOZ195396:JOZ195461 JYV195396:JYV195461 KIR195396:KIR195461 KSN195396:KSN195461 LCJ195396:LCJ195461 LMF195396:LMF195461 LWB195396:LWB195461 MFX195396:MFX195461 MPT195396:MPT195461 MZP195396:MZP195461 NJL195396:NJL195461 NTH195396:NTH195461 ODD195396:ODD195461 OMZ195396:OMZ195461 OWV195396:OWV195461 PGR195396:PGR195461 PQN195396:PQN195461 QAJ195396:QAJ195461 QKF195396:QKF195461 QUB195396:QUB195461 RDX195396:RDX195461 RNT195396:RNT195461 RXP195396:RXP195461 SHL195396:SHL195461 SRH195396:SRH195461 TBD195396:TBD195461 TKZ195396:TKZ195461 TUV195396:TUV195461 UER195396:UER195461 UON195396:UON195461 UYJ195396:UYJ195461 VIF195396:VIF195461 VSB195396:VSB195461 WBX195396:WBX195461 WLT195396:WLT195461 WVP195396:WVP195461 H260932:H260997 JD260932:JD260997 SZ260932:SZ260997 ACV260932:ACV260997 AMR260932:AMR260997 AWN260932:AWN260997 BGJ260932:BGJ260997 BQF260932:BQF260997 CAB260932:CAB260997 CJX260932:CJX260997 CTT260932:CTT260997 DDP260932:DDP260997 DNL260932:DNL260997 DXH260932:DXH260997 EHD260932:EHD260997 EQZ260932:EQZ260997 FAV260932:FAV260997 FKR260932:FKR260997 FUN260932:FUN260997 GEJ260932:GEJ260997 GOF260932:GOF260997 GYB260932:GYB260997 HHX260932:HHX260997 HRT260932:HRT260997 IBP260932:IBP260997 ILL260932:ILL260997 IVH260932:IVH260997 JFD260932:JFD260997 JOZ260932:JOZ260997 JYV260932:JYV260997 KIR260932:KIR260997 KSN260932:KSN260997 LCJ260932:LCJ260997 LMF260932:LMF260997 LWB260932:LWB260997 MFX260932:MFX260997 MPT260932:MPT260997 MZP260932:MZP260997 NJL260932:NJL260997 NTH260932:NTH260997 ODD260932:ODD260997 OMZ260932:OMZ260997 OWV260932:OWV260997 PGR260932:PGR260997 PQN260932:PQN260997 QAJ260932:QAJ260997 QKF260932:QKF260997 QUB260932:QUB260997 RDX260932:RDX260997 RNT260932:RNT260997 RXP260932:RXP260997 SHL260932:SHL260997 SRH260932:SRH260997 TBD260932:TBD260997 TKZ260932:TKZ260997 TUV260932:TUV260997 UER260932:UER260997 UON260932:UON260997 UYJ260932:UYJ260997 VIF260932:VIF260997 VSB260932:VSB260997 WBX260932:WBX260997 WLT260932:WLT260997 WVP260932:WVP260997 H326468:H326533 JD326468:JD326533 SZ326468:SZ326533 ACV326468:ACV326533 AMR326468:AMR326533 AWN326468:AWN326533 BGJ326468:BGJ326533 BQF326468:BQF326533 CAB326468:CAB326533 CJX326468:CJX326533 CTT326468:CTT326533 DDP326468:DDP326533 DNL326468:DNL326533 DXH326468:DXH326533 EHD326468:EHD326533 EQZ326468:EQZ326533 FAV326468:FAV326533 FKR326468:FKR326533 FUN326468:FUN326533 GEJ326468:GEJ326533 GOF326468:GOF326533 GYB326468:GYB326533 HHX326468:HHX326533 HRT326468:HRT326533 IBP326468:IBP326533 ILL326468:ILL326533 IVH326468:IVH326533 JFD326468:JFD326533 JOZ326468:JOZ326533 JYV326468:JYV326533 KIR326468:KIR326533 KSN326468:KSN326533 LCJ326468:LCJ326533 LMF326468:LMF326533 LWB326468:LWB326533 MFX326468:MFX326533 MPT326468:MPT326533 MZP326468:MZP326533 NJL326468:NJL326533 NTH326468:NTH326533 ODD326468:ODD326533 OMZ326468:OMZ326533 OWV326468:OWV326533 PGR326468:PGR326533 PQN326468:PQN326533 QAJ326468:QAJ326533 QKF326468:QKF326533 QUB326468:QUB326533 RDX326468:RDX326533 RNT326468:RNT326533 RXP326468:RXP326533 SHL326468:SHL326533 SRH326468:SRH326533 TBD326468:TBD326533 TKZ326468:TKZ326533 TUV326468:TUV326533 UER326468:UER326533 UON326468:UON326533 UYJ326468:UYJ326533 VIF326468:VIF326533 VSB326468:VSB326533 WBX326468:WBX326533 WLT326468:WLT326533 WVP326468:WVP326533 H392004:H392069 JD392004:JD392069 SZ392004:SZ392069 ACV392004:ACV392069 AMR392004:AMR392069 AWN392004:AWN392069 BGJ392004:BGJ392069 BQF392004:BQF392069 CAB392004:CAB392069 CJX392004:CJX392069 CTT392004:CTT392069 DDP392004:DDP392069 DNL392004:DNL392069 DXH392004:DXH392069 EHD392004:EHD392069 EQZ392004:EQZ392069 FAV392004:FAV392069 FKR392004:FKR392069 FUN392004:FUN392069 GEJ392004:GEJ392069 GOF392004:GOF392069 GYB392004:GYB392069 HHX392004:HHX392069 HRT392004:HRT392069 IBP392004:IBP392069 ILL392004:ILL392069 IVH392004:IVH392069 JFD392004:JFD392069 JOZ392004:JOZ392069 JYV392004:JYV392069 KIR392004:KIR392069 KSN392004:KSN392069 LCJ392004:LCJ392069 LMF392004:LMF392069 LWB392004:LWB392069 MFX392004:MFX392069 MPT392004:MPT392069 MZP392004:MZP392069 NJL392004:NJL392069 NTH392004:NTH392069 ODD392004:ODD392069 OMZ392004:OMZ392069 OWV392004:OWV392069 PGR392004:PGR392069 PQN392004:PQN392069 QAJ392004:QAJ392069 QKF392004:QKF392069 QUB392004:QUB392069 RDX392004:RDX392069 RNT392004:RNT392069 RXP392004:RXP392069 SHL392004:SHL392069 SRH392004:SRH392069 TBD392004:TBD392069 TKZ392004:TKZ392069 TUV392004:TUV392069 UER392004:UER392069 UON392004:UON392069 UYJ392004:UYJ392069 VIF392004:VIF392069 VSB392004:VSB392069 WBX392004:WBX392069 WLT392004:WLT392069 WVP392004:WVP392069 H457540:H457605 JD457540:JD457605 SZ457540:SZ457605 ACV457540:ACV457605 AMR457540:AMR457605 AWN457540:AWN457605 BGJ457540:BGJ457605 BQF457540:BQF457605 CAB457540:CAB457605 CJX457540:CJX457605 CTT457540:CTT457605 DDP457540:DDP457605 DNL457540:DNL457605 DXH457540:DXH457605 EHD457540:EHD457605 EQZ457540:EQZ457605 FAV457540:FAV457605 FKR457540:FKR457605 FUN457540:FUN457605 GEJ457540:GEJ457605 GOF457540:GOF457605 GYB457540:GYB457605 HHX457540:HHX457605 HRT457540:HRT457605 IBP457540:IBP457605 ILL457540:ILL457605 IVH457540:IVH457605 JFD457540:JFD457605 JOZ457540:JOZ457605 JYV457540:JYV457605 KIR457540:KIR457605 KSN457540:KSN457605 LCJ457540:LCJ457605 LMF457540:LMF457605 LWB457540:LWB457605 MFX457540:MFX457605 MPT457540:MPT457605 MZP457540:MZP457605 NJL457540:NJL457605 NTH457540:NTH457605 ODD457540:ODD457605 OMZ457540:OMZ457605 OWV457540:OWV457605 PGR457540:PGR457605 PQN457540:PQN457605 QAJ457540:QAJ457605 QKF457540:QKF457605 QUB457540:QUB457605 RDX457540:RDX457605 RNT457540:RNT457605 RXP457540:RXP457605 SHL457540:SHL457605 SRH457540:SRH457605 TBD457540:TBD457605 TKZ457540:TKZ457605 TUV457540:TUV457605 UER457540:UER457605 UON457540:UON457605 UYJ457540:UYJ457605 VIF457540:VIF457605 VSB457540:VSB457605 WBX457540:WBX457605 WLT457540:WLT457605 WVP457540:WVP457605 H523076:H523141 JD523076:JD523141 SZ523076:SZ523141 ACV523076:ACV523141 AMR523076:AMR523141 AWN523076:AWN523141 BGJ523076:BGJ523141 BQF523076:BQF523141 CAB523076:CAB523141 CJX523076:CJX523141 CTT523076:CTT523141 DDP523076:DDP523141 DNL523076:DNL523141 DXH523076:DXH523141 EHD523076:EHD523141 EQZ523076:EQZ523141 FAV523076:FAV523141 FKR523076:FKR523141 FUN523076:FUN523141 GEJ523076:GEJ523141 GOF523076:GOF523141 GYB523076:GYB523141 HHX523076:HHX523141 HRT523076:HRT523141 IBP523076:IBP523141 ILL523076:ILL523141 IVH523076:IVH523141 JFD523076:JFD523141 JOZ523076:JOZ523141 JYV523076:JYV523141 KIR523076:KIR523141 KSN523076:KSN523141 LCJ523076:LCJ523141 LMF523076:LMF523141 LWB523076:LWB523141 MFX523076:MFX523141 MPT523076:MPT523141 MZP523076:MZP523141 NJL523076:NJL523141 NTH523076:NTH523141 ODD523076:ODD523141 OMZ523076:OMZ523141 OWV523076:OWV523141 PGR523076:PGR523141 PQN523076:PQN523141 QAJ523076:QAJ523141 QKF523076:QKF523141 QUB523076:QUB523141 RDX523076:RDX523141 RNT523076:RNT523141 RXP523076:RXP523141 SHL523076:SHL523141 SRH523076:SRH523141 TBD523076:TBD523141 TKZ523076:TKZ523141 TUV523076:TUV523141 UER523076:UER523141 UON523076:UON523141 UYJ523076:UYJ523141 VIF523076:VIF523141 VSB523076:VSB523141 WBX523076:WBX523141 WLT523076:WLT523141 WVP523076:WVP523141 H588612:H588677 JD588612:JD588677 SZ588612:SZ588677 ACV588612:ACV588677 AMR588612:AMR588677 AWN588612:AWN588677 BGJ588612:BGJ588677 BQF588612:BQF588677 CAB588612:CAB588677 CJX588612:CJX588677 CTT588612:CTT588677 DDP588612:DDP588677 DNL588612:DNL588677 DXH588612:DXH588677 EHD588612:EHD588677 EQZ588612:EQZ588677 FAV588612:FAV588677 FKR588612:FKR588677 FUN588612:FUN588677 GEJ588612:GEJ588677 GOF588612:GOF588677 GYB588612:GYB588677 HHX588612:HHX588677 HRT588612:HRT588677 IBP588612:IBP588677 ILL588612:ILL588677 IVH588612:IVH588677 JFD588612:JFD588677 JOZ588612:JOZ588677 JYV588612:JYV588677 KIR588612:KIR588677 KSN588612:KSN588677 LCJ588612:LCJ588677 LMF588612:LMF588677 LWB588612:LWB588677 MFX588612:MFX588677 MPT588612:MPT588677 MZP588612:MZP588677 NJL588612:NJL588677 NTH588612:NTH588677 ODD588612:ODD588677 OMZ588612:OMZ588677 OWV588612:OWV588677 PGR588612:PGR588677 PQN588612:PQN588677 QAJ588612:QAJ588677 QKF588612:QKF588677 QUB588612:QUB588677 RDX588612:RDX588677 RNT588612:RNT588677 RXP588612:RXP588677 SHL588612:SHL588677 SRH588612:SRH588677 TBD588612:TBD588677 TKZ588612:TKZ588677 TUV588612:TUV588677 UER588612:UER588677 UON588612:UON588677 UYJ588612:UYJ588677 VIF588612:VIF588677 VSB588612:VSB588677 WBX588612:WBX588677 WLT588612:WLT588677 WVP588612:WVP588677 H654148:H654213 JD654148:JD654213 SZ654148:SZ654213 ACV654148:ACV654213 AMR654148:AMR654213 AWN654148:AWN654213 BGJ654148:BGJ654213 BQF654148:BQF654213 CAB654148:CAB654213 CJX654148:CJX654213 CTT654148:CTT654213 DDP654148:DDP654213 DNL654148:DNL654213 DXH654148:DXH654213 EHD654148:EHD654213 EQZ654148:EQZ654213 FAV654148:FAV654213 FKR654148:FKR654213 FUN654148:FUN654213 GEJ654148:GEJ654213 GOF654148:GOF654213 GYB654148:GYB654213 HHX654148:HHX654213 HRT654148:HRT654213 IBP654148:IBP654213 ILL654148:ILL654213 IVH654148:IVH654213 JFD654148:JFD654213 JOZ654148:JOZ654213 JYV654148:JYV654213 KIR654148:KIR654213 KSN654148:KSN654213 LCJ654148:LCJ654213 LMF654148:LMF654213 LWB654148:LWB654213 MFX654148:MFX654213 MPT654148:MPT654213 MZP654148:MZP654213 NJL654148:NJL654213 NTH654148:NTH654213 ODD654148:ODD654213 OMZ654148:OMZ654213 OWV654148:OWV654213 PGR654148:PGR654213 PQN654148:PQN654213 QAJ654148:QAJ654213 QKF654148:QKF654213 QUB654148:QUB654213 RDX654148:RDX654213 RNT654148:RNT654213 RXP654148:RXP654213 SHL654148:SHL654213 SRH654148:SRH654213 TBD654148:TBD654213 TKZ654148:TKZ654213 TUV654148:TUV654213 UER654148:UER654213 UON654148:UON654213 UYJ654148:UYJ654213 VIF654148:VIF654213 VSB654148:VSB654213 WBX654148:WBX654213 WLT654148:WLT654213 WVP654148:WVP654213 H719684:H719749 JD719684:JD719749 SZ719684:SZ719749 ACV719684:ACV719749 AMR719684:AMR719749 AWN719684:AWN719749 BGJ719684:BGJ719749 BQF719684:BQF719749 CAB719684:CAB719749 CJX719684:CJX719749 CTT719684:CTT719749 DDP719684:DDP719749 DNL719684:DNL719749 DXH719684:DXH719749 EHD719684:EHD719749 EQZ719684:EQZ719749 FAV719684:FAV719749 FKR719684:FKR719749 FUN719684:FUN719749 GEJ719684:GEJ719749 GOF719684:GOF719749 GYB719684:GYB719749 HHX719684:HHX719749 HRT719684:HRT719749 IBP719684:IBP719749 ILL719684:ILL719749 IVH719684:IVH719749 JFD719684:JFD719749 JOZ719684:JOZ719749 JYV719684:JYV719749 KIR719684:KIR719749 KSN719684:KSN719749 LCJ719684:LCJ719749 LMF719684:LMF719749 LWB719684:LWB719749 MFX719684:MFX719749 MPT719684:MPT719749 MZP719684:MZP719749 NJL719684:NJL719749 NTH719684:NTH719749 ODD719684:ODD719749 OMZ719684:OMZ719749 OWV719684:OWV719749 PGR719684:PGR719749 PQN719684:PQN719749 QAJ719684:QAJ719749 QKF719684:QKF719749 QUB719684:QUB719749 RDX719684:RDX719749 RNT719684:RNT719749 RXP719684:RXP719749 SHL719684:SHL719749 SRH719684:SRH719749 TBD719684:TBD719749 TKZ719684:TKZ719749 TUV719684:TUV719749 UER719684:UER719749 UON719684:UON719749 UYJ719684:UYJ719749 VIF719684:VIF719749 VSB719684:VSB719749 WBX719684:WBX719749 WLT719684:WLT719749 WVP719684:WVP719749 H785220:H785285 JD785220:JD785285 SZ785220:SZ785285 ACV785220:ACV785285 AMR785220:AMR785285 AWN785220:AWN785285 BGJ785220:BGJ785285 BQF785220:BQF785285 CAB785220:CAB785285 CJX785220:CJX785285 CTT785220:CTT785285 DDP785220:DDP785285 DNL785220:DNL785285 DXH785220:DXH785285 EHD785220:EHD785285 EQZ785220:EQZ785285 FAV785220:FAV785285 FKR785220:FKR785285 FUN785220:FUN785285 GEJ785220:GEJ785285 GOF785220:GOF785285 GYB785220:GYB785285 HHX785220:HHX785285 HRT785220:HRT785285 IBP785220:IBP785285 ILL785220:ILL785285 IVH785220:IVH785285 JFD785220:JFD785285 JOZ785220:JOZ785285 JYV785220:JYV785285 KIR785220:KIR785285 KSN785220:KSN785285 LCJ785220:LCJ785285 LMF785220:LMF785285 LWB785220:LWB785285 MFX785220:MFX785285 MPT785220:MPT785285 MZP785220:MZP785285 NJL785220:NJL785285 NTH785220:NTH785285 ODD785220:ODD785285 OMZ785220:OMZ785285 OWV785220:OWV785285 PGR785220:PGR785285 PQN785220:PQN785285 QAJ785220:QAJ785285 QKF785220:QKF785285 QUB785220:QUB785285 RDX785220:RDX785285 RNT785220:RNT785285 RXP785220:RXP785285 SHL785220:SHL785285 SRH785220:SRH785285 TBD785220:TBD785285 TKZ785220:TKZ785285 TUV785220:TUV785285 UER785220:UER785285 UON785220:UON785285 UYJ785220:UYJ785285 VIF785220:VIF785285 VSB785220:VSB785285 WBX785220:WBX785285 WLT785220:WLT785285 WVP785220:WVP785285 H850756:H850821 JD850756:JD850821 SZ850756:SZ850821 ACV850756:ACV850821 AMR850756:AMR850821 AWN850756:AWN850821 BGJ850756:BGJ850821 BQF850756:BQF850821 CAB850756:CAB850821 CJX850756:CJX850821 CTT850756:CTT850821 DDP850756:DDP850821 DNL850756:DNL850821 DXH850756:DXH850821 EHD850756:EHD850821 EQZ850756:EQZ850821 FAV850756:FAV850821 FKR850756:FKR850821 FUN850756:FUN850821 GEJ850756:GEJ850821 GOF850756:GOF850821 GYB850756:GYB850821 HHX850756:HHX850821 HRT850756:HRT850821 IBP850756:IBP850821 ILL850756:ILL850821 IVH850756:IVH850821 JFD850756:JFD850821 JOZ850756:JOZ850821 JYV850756:JYV850821 KIR850756:KIR850821 KSN850756:KSN850821 LCJ850756:LCJ850821 LMF850756:LMF850821 LWB850756:LWB850821 MFX850756:MFX850821 MPT850756:MPT850821 MZP850756:MZP850821 NJL850756:NJL850821 NTH850756:NTH850821 ODD850756:ODD850821 OMZ850756:OMZ850821 OWV850756:OWV850821 PGR850756:PGR850821 PQN850756:PQN850821 QAJ850756:QAJ850821 QKF850756:QKF850821 QUB850756:QUB850821 RDX850756:RDX850821 RNT850756:RNT850821 RXP850756:RXP850821 SHL850756:SHL850821 SRH850756:SRH850821 TBD850756:TBD850821 TKZ850756:TKZ850821 TUV850756:TUV850821 UER850756:UER850821 UON850756:UON850821 UYJ850756:UYJ850821 VIF850756:VIF850821 VSB850756:VSB850821 WBX850756:WBX850821 WLT850756:WLT850821 WVP850756:WVP850821 H916292:H916357 JD916292:JD916357 SZ916292:SZ916357 ACV916292:ACV916357 AMR916292:AMR916357 AWN916292:AWN916357 BGJ916292:BGJ916357 BQF916292:BQF916357 CAB916292:CAB916357 CJX916292:CJX916357 CTT916292:CTT916357 DDP916292:DDP916357 DNL916292:DNL916357 DXH916292:DXH916357 EHD916292:EHD916357 EQZ916292:EQZ916357 FAV916292:FAV916357 FKR916292:FKR916357 FUN916292:FUN916357 GEJ916292:GEJ916357 GOF916292:GOF916357 GYB916292:GYB916357 HHX916292:HHX916357 HRT916292:HRT916357 IBP916292:IBP916357 ILL916292:ILL916357 IVH916292:IVH916357 JFD916292:JFD916357 JOZ916292:JOZ916357 JYV916292:JYV916357 KIR916292:KIR916357 KSN916292:KSN916357 LCJ916292:LCJ916357 LMF916292:LMF916357 LWB916292:LWB916357 MFX916292:MFX916357 MPT916292:MPT916357 MZP916292:MZP916357 NJL916292:NJL916357 NTH916292:NTH916357 ODD916292:ODD916357 OMZ916292:OMZ916357 OWV916292:OWV916357 PGR916292:PGR916357 PQN916292:PQN916357 QAJ916292:QAJ916357 QKF916292:QKF916357 QUB916292:QUB916357 RDX916292:RDX916357 RNT916292:RNT916357 RXP916292:RXP916357 SHL916292:SHL916357 SRH916292:SRH916357 TBD916292:TBD916357 TKZ916292:TKZ916357 TUV916292:TUV916357 UER916292:UER916357 UON916292:UON916357 UYJ916292:UYJ916357 VIF916292:VIF916357 VSB916292:VSB916357 WBX916292:WBX916357 WLT916292:WLT916357 WVP916292:WVP916357 H981828:H981893 JD981828:JD981893 SZ981828:SZ981893 ACV981828:ACV981893 AMR981828:AMR981893 AWN981828:AWN981893 BGJ981828:BGJ981893 BQF981828:BQF981893 CAB981828:CAB981893 CJX981828:CJX981893 CTT981828:CTT981893 DDP981828:DDP981893 DNL981828:DNL981893 DXH981828:DXH981893 EHD981828:EHD981893 EQZ981828:EQZ981893 FAV981828:FAV981893 FKR981828:FKR981893 FUN981828:FUN981893 GEJ981828:GEJ981893 GOF981828:GOF981893 GYB981828:GYB981893 HHX981828:HHX981893 HRT981828:HRT981893 IBP981828:IBP981893 ILL981828:ILL981893 IVH981828:IVH981893 JFD981828:JFD981893 JOZ981828:JOZ981893 JYV981828:JYV981893 KIR981828:KIR981893 KSN981828:KSN981893 LCJ981828:LCJ981893 LMF981828:LMF981893 LWB981828:LWB981893 MFX981828:MFX981893 MPT981828:MPT981893 MZP981828:MZP981893 NJL981828:NJL981893 NTH981828:NTH981893 ODD981828:ODD981893 OMZ981828:OMZ981893 OWV981828:OWV981893 PGR981828:PGR981893 PQN981828:PQN981893 QAJ981828:QAJ981893 QKF981828:QKF981893 QUB981828:QUB981893 RDX981828:RDX981893 RNT981828:RNT981893 RXP981828:RXP981893 SHL981828:SHL981893 SRH981828:SRH981893 TBD981828:TBD981893 TKZ981828:TKZ981893 TUV981828:TUV981893 UER981828:UER981893 UON981828:UON981893 UYJ981828:UYJ981893 VIF981828:VIF981893 VSB981828:VSB981893 WBX981828:WBX981893 WLT981828:WLT981893 WVP981828:WVP981893 H1047364:H1047429 JD1047364:JD1047429 SZ1047364:SZ1047429 ACV1047364:ACV1047429 AMR1047364:AMR1047429 AWN1047364:AWN1047429 BGJ1047364:BGJ1047429 BQF1047364:BQF1047429 CAB1047364:CAB1047429 CJX1047364:CJX1047429 CTT1047364:CTT1047429 DDP1047364:DDP1047429 DNL1047364:DNL1047429 DXH1047364:DXH1047429 EHD1047364:EHD1047429 EQZ1047364:EQZ1047429 FAV1047364:FAV1047429 FKR1047364:FKR1047429 FUN1047364:FUN1047429 GEJ1047364:GEJ1047429 GOF1047364:GOF1047429 GYB1047364:GYB1047429 HHX1047364:HHX1047429 HRT1047364:HRT1047429 IBP1047364:IBP1047429 ILL1047364:ILL1047429 IVH1047364:IVH1047429 JFD1047364:JFD1047429 JOZ1047364:JOZ1047429 JYV1047364:JYV1047429 KIR1047364:KIR1047429 KSN1047364:KSN1047429 LCJ1047364:LCJ1047429 LMF1047364:LMF1047429 LWB1047364:LWB1047429 MFX1047364:MFX1047429 MPT1047364:MPT1047429 MZP1047364:MZP1047429 NJL1047364:NJL1047429 NTH1047364:NTH1047429 ODD1047364:ODD1047429 OMZ1047364:OMZ1047429 OWV1047364:OWV1047429 PGR1047364:PGR1047429 PQN1047364:PQN1047429 QAJ1047364:QAJ1047429 QKF1047364:QKF1047429 QUB1047364:QUB1047429 RDX1047364:RDX1047429 RNT1047364:RNT1047429 RXP1047364:RXP1047429 SHL1047364:SHL1047429 SRH1047364:SRH1047429 TBD1047364:TBD1047429 TKZ1047364:TKZ1047429 TUV1047364:TUV1047429 UER1047364:UER1047429 UON1047364:UON1047429 UYJ1047364:UYJ1047429 VIF1047364:VIF1047429 VSB1047364:VSB1047429 WBX1047364:WBX1047429 WLT1047364:WLT1047429 WVP1047364:WVP1047429" xr:uid="{B2C038D7-6C9D-422E-83AE-1DEB32E43A81}">
      <formula1>$AL$5:$AL$12</formula1>
    </dataValidation>
    <dataValidation type="list" allowBlank="1" showInputMessage="1" showErrorMessage="1" sqref="E64324:F64389 WVM983003:WVN983074 WLQ983003:WLR983074 WBU983003:WBV983074 VRY983003:VRZ983074 VIC983003:VID983074 UYG983003:UYH983074 UOK983003:UOL983074 UEO983003:UEP983074 TUS983003:TUT983074 TKW983003:TKX983074 TBA983003:TBB983074 SRE983003:SRF983074 SHI983003:SHJ983074 RXM983003:RXN983074 RNQ983003:RNR983074 RDU983003:RDV983074 QTY983003:QTZ983074 QKC983003:QKD983074 QAG983003:QAH983074 PQK983003:PQL983074 PGO983003:PGP983074 OWS983003:OWT983074 OMW983003:OMX983074 ODA983003:ODB983074 NTE983003:NTF983074 NJI983003:NJJ983074 MZM983003:MZN983074 MPQ983003:MPR983074 MFU983003:MFV983074 LVY983003:LVZ983074 LMC983003:LMD983074 LCG983003:LCH983074 KSK983003:KSL983074 KIO983003:KIP983074 JYS983003:JYT983074 JOW983003:JOX983074 JFA983003:JFB983074 IVE983003:IVF983074 ILI983003:ILJ983074 IBM983003:IBN983074 HRQ983003:HRR983074 HHU983003:HHV983074 GXY983003:GXZ983074 GOC983003:GOD983074 GEG983003:GEH983074 FUK983003:FUL983074 FKO983003:FKP983074 FAS983003:FAT983074 EQW983003:EQX983074 EHA983003:EHB983074 DXE983003:DXF983074 DNI983003:DNJ983074 DDM983003:DDN983074 CTQ983003:CTR983074 CJU983003:CJV983074 BZY983003:BZZ983074 BQC983003:BQD983074 BGG983003:BGH983074 AWK983003:AWL983074 AMO983003:AMP983074 ACS983003:ACT983074 SW983003:SX983074 JA983003:JB983074 E983003:F983074 WVM917467:WVN917538 WLQ917467:WLR917538 WBU917467:WBV917538 VRY917467:VRZ917538 VIC917467:VID917538 UYG917467:UYH917538 UOK917467:UOL917538 UEO917467:UEP917538 TUS917467:TUT917538 TKW917467:TKX917538 TBA917467:TBB917538 SRE917467:SRF917538 SHI917467:SHJ917538 RXM917467:RXN917538 RNQ917467:RNR917538 RDU917467:RDV917538 QTY917467:QTZ917538 QKC917467:QKD917538 QAG917467:QAH917538 PQK917467:PQL917538 PGO917467:PGP917538 OWS917467:OWT917538 OMW917467:OMX917538 ODA917467:ODB917538 NTE917467:NTF917538 NJI917467:NJJ917538 MZM917467:MZN917538 MPQ917467:MPR917538 MFU917467:MFV917538 LVY917467:LVZ917538 LMC917467:LMD917538 LCG917467:LCH917538 KSK917467:KSL917538 KIO917467:KIP917538 JYS917467:JYT917538 JOW917467:JOX917538 JFA917467:JFB917538 IVE917467:IVF917538 ILI917467:ILJ917538 IBM917467:IBN917538 HRQ917467:HRR917538 HHU917467:HHV917538 GXY917467:GXZ917538 GOC917467:GOD917538 GEG917467:GEH917538 FUK917467:FUL917538 FKO917467:FKP917538 FAS917467:FAT917538 EQW917467:EQX917538 EHA917467:EHB917538 DXE917467:DXF917538 DNI917467:DNJ917538 DDM917467:DDN917538 CTQ917467:CTR917538 CJU917467:CJV917538 BZY917467:BZZ917538 BQC917467:BQD917538 BGG917467:BGH917538 AWK917467:AWL917538 AMO917467:AMP917538 ACS917467:ACT917538 SW917467:SX917538 JA917467:JB917538 E917467:F917538 WVM851931:WVN852002 WLQ851931:WLR852002 WBU851931:WBV852002 VRY851931:VRZ852002 VIC851931:VID852002 UYG851931:UYH852002 UOK851931:UOL852002 UEO851931:UEP852002 TUS851931:TUT852002 TKW851931:TKX852002 TBA851931:TBB852002 SRE851931:SRF852002 SHI851931:SHJ852002 RXM851931:RXN852002 RNQ851931:RNR852002 RDU851931:RDV852002 QTY851931:QTZ852002 QKC851931:QKD852002 QAG851931:QAH852002 PQK851931:PQL852002 PGO851931:PGP852002 OWS851931:OWT852002 OMW851931:OMX852002 ODA851931:ODB852002 NTE851931:NTF852002 NJI851931:NJJ852002 MZM851931:MZN852002 MPQ851931:MPR852002 MFU851931:MFV852002 LVY851931:LVZ852002 LMC851931:LMD852002 LCG851931:LCH852002 KSK851931:KSL852002 KIO851931:KIP852002 JYS851931:JYT852002 JOW851931:JOX852002 JFA851931:JFB852002 IVE851931:IVF852002 ILI851931:ILJ852002 IBM851931:IBN852002 HRQ851931:HRR852002 HHU851931:HHV852002 GXY851931:GXZ852002 GOC851931:GOD852002 GEG851931:GEH852002 FUK851931:FUL852002 FKO851931:FKP852002 FAS851931:FAT852002 EQW851931:EQX852002 EHA851931:EHB852002 DXE851931:DXF852002 DNI851931:DNJ852002 DDM851931:DDN852002 CTQ851931:CTR852002 CJU851931:CJV852002 BZY851931:BZZ852002 BQC851931:BQD852002 BGG851931:BGH852002 AWK851931:AWL852002 AMO851931:AMP852002 ACS851931:ACT852002 SW851931:SX852002 JA851931:JB852002 E851931:F852002 WVM786395:WVN786466 WLQ786395:WLR786466 WBU786395:WBV786466 VRY786395:VRZ786466 VIC786395:VID786466 UYG786395:UYH786466 UOK786395:UOL786466 UEO786395:UEP786466 TUS786395:TUT786466 TKW786395:TKX786466 TBA786395:TBB786466 SRE786395:SRF786466 SHI786395:SHJ786466 RXM786395:RXN786466 RNQ786395:RNR786466 RDU786395:RDV786466 QTY786395:QTZ786466 QKC786395:QKD786466 QAG786395:QAH786466 PQK786395:PQL786466 PGO786395:PGP786466 OWS786395:OWT786466 OMW786395:OMX786466 ODA786395:ODB786466 NTE786395:NTF786466 NJI786395:NJJ786466 MZM786395:MZN786466 MPQ786395:MPR786466 MFU786395:MFV786466 LVY786395:LVZ786466 LMC786395:LMD786466 LCG786395:LCH786466 KSK786395:KSL786466 KIO786395:KIP786466 JYS786395:JYT786466 JOW786395:JOX786466 JFA786395:JFB786466 IVE786395:IVF786466 ILI786395:ILJ786466 IBM786395:IBN786466 HRQ786395:HRR786466 HHU786395:HHV786466 GXY786395:GXZ786466 GOC786395:GOD786466 GEG786395:GEH786466 FUK786395:FUL786466 FKO786395:FKP786466 FAS786395:FAT786466 EQW786395:EQX786466 EHA786395:EHB786466 DXE786395:DXF786466 DNI786395:DNJ786466 DDM786395:DDN786466 CTQ786395:CTR786466 CJU786395:CJV786466 BZY786395:BZZ786466 BQC786395:BQD786466 BGG786395:BGH786466 AWK786395:AWL786466 AMO786395:AMP786466 ACS786395:ACT786466 SW786395:SX786466 JA786395:JB786466 E786395:F786466 WVM720859:WVN720930 WLQ720859:WLR720930 WBU720859:WBV720930 VRY720859:VRZ720930 VIC720859:VID720930 UYG720859:UYH720930 UOK720859:UOL720930 UEO720859:UEP720930 TUS720859:TUT720930 TKW720859:TKX720930 TBA720859:TBB720930 SRE720859:SRF720930 SHI720859:SHJ720930 RXM720859:RXN720930 RNQ720859:RNR720930 RDU720859:RDV720930 QTY720859:QTZ720930 QKC720859:QKD720930 QAG720859:QAH720930 PQK720859:PQL720930 PGO720859:PGP720930 OWS720859:OWT720930 OMW720859:OMX720930 ODA720859:ODB720930 NTE720859:NTF720930 NJI720859:NJJ720930 MZM720859:MZN720930 MPQ720859:MPR720930 MFU720859:MFV720930 LVY720859:LVZ720930 LMC720859:LMD720930 LCG720859:LCH720930 KSK720859:KSL720930 KIO720859:KIP720930 JYS720859:JYT720930 JOW720859:JOX720930 JFA720859:JFB720930 IVE720859:IVF720930 ILI720859:ILJ720930 IBM720859:IBN720930 HRQ720859:HRR720930 HHU720859:HHV720930 GXY720859:GXZ720930 GOC720859:GOD720930 GEG720859:GEH720930 FUK720859:FUL720930 FKO720859:FKP720930 FAS720859:FAT720930 EQW720859:EQX720930 EHA720859:EHB720930 DXE720859:DXF720930 DNI720859:DNJ720930 DDM720859:DDN720930 CTQ720859:CTR720930 CJU720859:CJV720930 BZY720859:BZZ720930 BQC720859:BQD720930 BGG720859:BGH720930 AWK720859:AWL720930 AMO720859:AMP720930 ACS720859:ACT720930 SW720859:SX720930 JA720859:JB720930 E720859:F720930 WVM655323:WVN655394 WLQ655323:WLR655394 WBU655323:WBV655394 VRY655323:VRZ655394 VIC655323:VID655394 UYG655323:UYH655394 UOK655323:UOL655394 UEO655323:UEP655394 TUS655323:TUT655394 TKW655323:TKX655394 TBA655323:TBB655394 SRE655323:SRF655394 SHI655323:SHJ655394 RXM655323:RXN655394 RNQ655323:RNR655394 RDU655323:RDV655394 QTY655323:QTZ655394 QKC655323:QKD655394 QAG655323:QAH655394 PQK655323:PQL655394 PGO655323:PGP655394 OWS655323:OWT655394 OMW655323:OMX655394 ODA655323:ODB655394 NTE655323:NTF655394 NJI655323:NJJ655394 MZM655323:MZN655394 MPQ655323:MPR655394 MFU655323:MFV655394 LVY655323:LVZ655394 LMC655323:LMD655394 LCG655323:LCH655394 KSK655323:KSL655394 KIO655323:KIP655394 JYS655323:JYT655394 JOW655323:JOX655394 JFA655323:JFB655394 IVE655323:IVF655394 ILI655323:ILJ655394 IBM655323:IBN655394 HRQ655323:HRR655394 HHU655323:HHV655394 GXY655323:GXZ655394 GOC655323:GOD655394 GEG655323:GEH655394 FUK655323:FUL655394 FKO655323:FKP655394 FAS655323:FAT655394 EQW655323:EQX655394 EHA655323:EHB655394 DXE655323:DXF655394 DNI655323:DNJ655394 DDM655323:DDN655394 CTQ655323:CTR655394 CJU655323:CJV655394 BZY655323:BZZ655394 BQC655323:BQD655394 BGG655323:BGH655394 AWK655323:AWL655394 AMO655323:AMP655394 ACS655323:ACT655394 SW655323:SX655394 JA655323:JB655394 E655323:F655394 WVM589787:WVN589858 WLQ589787:WLR589858 WBU589787:WBV589858 VRY589787:VRZ589858 VIC589787:VID589858 UYG589787:UYH589858 UOK589787:UOL589858 UEO589787:UEP589858 TUS589787:TUT589858 TKW589787:TKX589858 TBA589787:TBB589858 SRE589787:SRF589858 SHI589787:SHJ589858 RXM589787:RXN589858 RNQ589787:RNR589858 RDU589787:RDV589858 QTY589787:QTZ589858 QKC589787:QKD589858 QAG589787:QAH589858 PQK589787:PQL589858 PGO589787:PGP589858 OWS589787:OWT589858 OMW589787:OMX589858 ODA589787:ODB589858 NTE589787:NTF589858 NJI589787:NJJ589858 MZM589787:MZN589858 MPQ589787:MPR589858 MFU589787:MFV589858 LVY589787:LVZ589858 LMC589787:LMD589858 LCG589787:LCH589858 KSK589787:KSL589858 KIO589787:KIP589858 JYS589787:JYT589858 JOW589787:JOX589858 JFA589787:JFB589858 IVE589787:IVF589858 ILI589787:ILJ589858 IBM589787:IBN589858 HRQ589787:HRR589858 HHU589787:HHV589858 GXY589787:GXZ589858 GOC589787:GOD589858 GEG589787:GEH589858 FUK589787:FUL589858 FKO589787:FKP589858 FAS589787:FAT589858 EQW589787:EQX589858 EHA589787:EHB589858 DXE589787:DXF589858 DNI589787:DNJ589858 DDM589787:DDN589858 CTQ589787:CTR589858 CJU589787:CJV589858 BZY589787:BZZ589858 BQC589787:BQD589858 BGG589787:BGH589858 AWK589787:AWL589858 AMO589787:AMP589858 ACS589787:ACT589858 SW589787:SX589858 JA589787:JB589858 E589787:F589858 WVM524251:WVN524322 WLQ524251:WLR524322 WBU524251:WBV524322 VRY524251:VRZ524322 VIC524251:VID524322 UYG524251:UYH524322 UOK524251:UOL524322 UEO524251:UEP524322 TUS524251:TUT524322 TKW524251:TKX524322 TBA524251:TBB524322 SRE524251:SRF524322 SHI524251:SHJ524322 RXM524251:RXN524322 RNQ524251:RNR524322 RDU524251:RDV524322 QTY524251:QTZ524322 QKC524251:QKD524322 QAG524251:QAH524322 PQK524251:PQL524322 PGO524251:PGP524322 OWS524251:OWT524322 OMW524251:OMX524322 ODA524251:ODB524322 NTE524251:NTF524322 NJI524251:NJJ524322 MZM524251:MZN524322 MPQ524251:MPR524322 MFU524251:MFV524322 LVY524251:LVZ524322 LMC524251:LMD524322 LCG524251:LCH524322 KSK524251:KSL524322 KIO524251:KIP524322 JYS524251:JYT524322 JOW524251:JOX524322 JFA524251:JFB524322 IVE524251:IVF524322 ILI524251:ILJ524322 IBM524251:IBN524322 HRQ524251:HRR524322 HHU524251:HHV524322 GXY524251:GXZ524322 GOC524251:GOD524322 GEG524251:GEH524322 FUK524251:FUL524322 FKO524251:FKP524322 FAS524251:FAT524322 EQW524251:EQX524322 EHA524251:EHB524322 DXE524251:DXF524322 DNI524251:DNJ524322 DDM524251:DDN524322 CTQ524251:CTR524322 CJU524251:CJV524322 BZY524251:BZZ524322 BQC524251:BQD524322 BGG524251:BGH524322 AWK524251:AWL524322 AMO524251:AMP524322 ACS524251:ACT524322 SW524251:SX524322 JA524251:JB524322 E524251:F524322 WVM458715:WVN458786 WLQ458715:WLR458786 WBU458715:WBV458786 VRY458715:VRZ458786 VIC458715:VID458786 UYG458715:UYH458786 UOK458715:UOL458786 UEO458715:UEP458786 TUS458715:TUT458786 TKW458715:TKX458786 TBA458715:TBB458786 SRE458715:SRF458786 SHI458715:SHJ458786 RXM458715:RXN458786 RNQ458715:RNR458786 RDU458715:RDV458786 QTY458715:QTZ458786 QKC458715:QKD458786 QAG458715:QAH458786 PQK458715:PQL458786 PGO458715:PGP458786 OWS458715:OWT458786 OMW458715:OMX458786 ODA458715:ODB458786 NTE458715:NTF458786 NJI458715:NJJ458786 MZM458715:MZN458786 MPQ458715:MPR458786 MFU458715:MFV458786 LVY458715:LVZ458786 LMC458715:LMD458786 LCG458715:LCH458786 KSK458715:KSL458786 KIO458715:KIP458786 JYS458715:JYT458786 JOW458715:JOX458786 JFA458715:JFB458786 IVE458715:IVF458786 ILI458715:ILJ458786 IBM458715:IBN458786 HRQ458715:HRR458786 HHU458715:HHV458786 GXY458715:GXZ458786 GOC458715:GOD458786 GEG458715:GEH458786 FUK458715:FUL458786 FKO458715:FKP458786 FAS458715:FAT458786 EQW458715:EQX458786 EHA458715:EHB458786 DXE458715:DXF458786 DNI458715:DNJ458786 DDM458715:DDN458786 CTQ458715:CTR458786 CJU458715:CJV458786 BZY458715:BZZ458786 BQC458715:BQD458786 BGG458715:BGH458786 AWK458715:AWL458786 AMO458715:AMP458786 ACS458715:ACT458786 SW458715:SX458786 JA458715:JB458786 E458715:F458786 WVM393179:WVN393250 WLQ393179:WLR393250 WBU393179:WBV393250 VRY393179:VRZ393250 VIC393179:VID393250 UYG393179:UYH393250 UOK393179:UOL393250 UEO393179:UEP393250 TUS393179:TUT393250 TKW393179:TKX393250 TBA393179:TBB393250 SRE393179:SRF393250 SHI393179:SHJ393250 RXM393179:RXN393250 RNQ393179:RNR393250 RDU393179:RDV393250 QTY393179:QTZ393250 QKC393179:QKD393250 QAG393179:QAH393250 PQK393179:PQL393250 PGO393179:PGP393250 OWS393179:OWT393250 OMW393179:OMX393250 ODA393179:ODB393250 NTE393179:NTF393250 NJI393179:NJJ393250 MZM393179:MZN393250 MPQ393179:MPR393250 MFU393179:MFV393250 LVY393179:LVZ393250 LMC393179:LMD393250 LCG393179:LCH393250 KSK393179:KSL393250 KIO393179:KIP393250 JYS393179:JYT393250 JOW393179:JOX393250 JFA393179:JFB393250 IVE393179:IVF393250 ILI393179:ILJ393250 IBM393179:IBN393250 HRQ393179:HRR393250 HHU393179:HHV393250 GXY393179:GXZ393250 GOC393179:GOD393250 GEG393179:GEH393250 FUK393179:FUL393250 FKO393179:FKP393250 FAS393179:FAT393250 EQW393179:EQX393250 EHA393179:EHB393250 DXE393179:DXF393250 DNI393179:DNJ393250 DDM393179:DDN393250 CTQ393179:CTR393250 CJU393179:CJV393250 BZY393179:BZZ393250 BQC393179:BQD393250 BGG393179:BGH393250 AWK393179:AWL393250 AMO393179:AMP393250 ACS393179:ACT393250 SW393179:SX393250 JA393179:JB393250 E393179:F393250 WVM327643:WVN327714 WLQ327643:WLR327714 WBU327643:WBV327714 VRY327643:VRZ327714 VIC327643:VID327714 UYG327643:UYH327714 UOK327643:UOL327714 UEO327643:UEP327714 TUS327643:TUT327714 TKW327643:TKX327714 TBA327643:TBB327714 SRE327643:SRF327714 SHI327643:SHJ327714 RXM327643:RXN327714 RNQ327643:RNR327714 RDU327643:RDV327714 QTY327643:QTZ327714 QKC327643:QKD327714 QAG327643:QAH327714 PQK327643:PQL327714 PGO327643:PGP327714 OWS327643:OWT327714 OMW327643:OMX327714 ODA327643:ODB327714 NTE327643:NTF327714 NJI327643:NJJ327714 MZM327643:MZN327714 MPQ327643:MPR327714 MFU327643:MFV327714 LVY327643:LVZ327714 LMC327643:LMD327714 LCG327643:LCH327714 KSK327643:KSL327714 KIO327643:KIP327714 JYS327643:JYT327714 JOW327643:JOX327714 JFA327643:JFB327714 IVE327643:IVF327714 ILI327643:ILJ327714 IBM327643:IBN327714 HRQ327643:HRR327714 HHU327643:HHV327714 GXY327643:GXZ327714 GOC327643:GOD327714 GEG327643:GEH327714 FUK327643:FUL327714 FKO327643:FKP327714 FAS327643:FAT327714 EQW327643:EQX327714 EHA327643:EHB327714 DXE327643:DXF327714 DNI327643:DNJ327714 DDM327643:DDN327714 CTQ327643:CTR327714 CJU327643:CJV327714 BZY327643:BZZ327714 BQC327643:BQD327714 BGG327643:BGH327714 AWK327643:AWL327714 AMO327643:AMP327714 ACS327643:ACT327714 SW327643:SX327714 JA327643:JB327714 E327643:F327714 WVM262107:WVN262178 WLQ262107:WLR262178 WBU262107:WBV262178 VRY262107:VRZ262178 VIC262107:VID262178 UYG262107:UYH262178 UOK262107:UOL262178 UEO262107:UEP262178 TUS262107:TUT262178 TKW262107:TKX262178 TBA262107:TBB262178 SRE262107:SRF262178 SHI262107:SHJ262178 RXM262107:RXN262178 RNQ262107:RNR262178 RDU262107:RDV262178 QTY262107:QTZ262178 QKC262107:QKD262178 QAG262107:QAH262178 PQK262107:PQL262178 PGO262107:PGP262178 OWS262107:OWT262178 OMW262107:OMX262178 ODA262107:ODB262178 NTE262107:NTF262178 NJI262107:NJJ262178 MZM262107:MZN262178 MPQ262107:MPR262178 MFU262107:MFV262178 LVY262107:LVZ262178 LMC262107:LMD262178 LCG262107:LCH262178 KSK262107:KSL262178 KIO262107:KIP262178 JYS262107:JYT262178 JOW262107:JOX262178 JFA262107:JFB262178 IVE262107:IVF262178 ILI262107:ILJ262178 IBM262107:IBN262178 HRQ262107:HRR262178 HHU262107:HHV262178 GXY262107:GXZ262178 GOC262107:GOD262178 GEG262107:GEH262178 FUK262107:FUL262178 FKO262107:FKP262178 FAS262107:FAT262178 EQW262107:EQX262178 EHA262107:EHB262178 DXE262107:DXF262178 DNI262107:DNJ262178 DDM262107:DDN262178 CTQ262107:CTR262178 CJU262107:CJV262178 BZY262107:BZZ262178 BQC262107:BQD262178 BGG262107:BGH262178 AWK262107:AWL262178 AMO262107:AMP262178 ACS262107:ACT262178 SW262107:SX262178 JA262107:JB262178 E262107:F262178 WVM196571:WVN196642 WLQ196571:WLR196642 WBU196571:WBV196642 VRY196571:VRZ196642 VIC196571:VID196642 UYG196571:UYH196642 UOK196571:UOL196642 UEO196571:UEP196642 TUS196571:TUT196642 TKW196571:TKX196642 TBA196571:TBB196642 SRE196571:SRF196642 SHI196571:SHJ196642 RXM196571:RXN196642 RNQ196571:RNR196642 RDU196571:RDV196642 QTY196571:QTZ196642 QKC196571:QKD196642 QAG196571:QAH196642 PQK196571:PQL196642 PGO196571:PGP196642 OWS196571:OWT196642 OMW196571:OMX196642 ODA196571:ODB196642 NTE196571:NTF196642 NJI196571:NJJ196642 MZM196571:MZN196642 MPQ196571:MPR196642 MFU196571:MFV196642 LVY196571:LVZ196642 LMC196571:LMD196642 LCG196571:LCH196642 KSK196571:KSL196642 KIO196571:KIP196642 JYS196571:JYT196642 JOW196571:JOX196642 JFA196571:JFB196642 IVE196571:IVF196642 ILI196571:ILJ196642 IBM196571:IBN196642 HRQ196571:HRR196642 HHU196571:HHV196642 GXY196571:GXZ196642 GOC196571:GOD196642 GEG196571:GEH196642 FUK196571:FUL196642 FKO196571:FKP196642 FAS196571:FAT196642 EQW196571:EQX196642 EHA196571:EHB196642 DXE196571:DXF196642 DNI196571:DNJ196642 DDM196571:DDN196642 CTQ196571:CTR196642 CJU196571:CJV196642 BZY196571:BZZ196642 BQC196571:BQD196642 BGG196571:BGH196642 AWK196571:AWL196642 AMO196571:AMP196642 ACS196571:ACT196642 SW196571:SX196642 JA196571:JB196642 E196571:F196642 WVM131035:WVN131106 WLQ131035:WLR131106 WBU131035:WBV131106 VRY131035:VRZ131106 VIC131035:VID131106 UYG131035:UYH131106 UOK131035:UOL131106 UEO131035:UEP131106 TUS131035:TUT131106 TKW131035:TKX131106 TBA131035:TBB131106 SRE131035:SRF131106 SHI131035:SHJ131106 RXM131035:RXN131106 RNQ131035:RNR131106 RDU131035:RDV131106 QTY131035:QTZ131106 QKC131035:QKD131106 QAG131035:QAH131106 PQK131035:PQL131106 PGO131035:PGP131106 OWS131035:OWT131106 OMW131035:OMX131106 ODA131035:ODB131106 NTE131035:NTF131106 NJI131035:NJJ131106 MZM131035:MZN131106 MPQ131035:MPR131106 MFU131035:MFV131106 LVY131035:LVZ131106 LMC131035:LMD131106 LCG131035:LCH131106 KSK131035:KSL131106 KIO131035:KIP131106 JYS131035:JYT131106 JOW131035:JOX131106 JFA131035:JFB131106 IVE131035:IVF131106 ILI131035:ILJ131106 IBM131035:IBN131106 HRQ131035:HRR131106 HHU131035:HHV131106 GXY131035:GXZ131106 GOC131035:GOD131106 GEG131035:GEH131106 FUK131035:FUL131106 FKO131035:FKP131106 FAS131035:FAT131106 EQW131035:EQX131106 EHA131035:EHB131106 DXE131035:DXF131106 DNI131035:DNJ131106 DDM131035:DDN131106 CTQ131035:CTR131106 CJU131035:CJV131106 BZY131035:BZZ131106 BQC131035:BQD131106 BGG131035:BGH131106 AWK131035:AWL131106 AMO131035:AMP131106 ACS131035:ACT131106 SW131035:SX131106 JA131035:JB131106 E131035:F131106 WVM65499:WVN65570 WLQ65499:WLR65570 WBU65499:WBV65570 VRY65499:VRZ65570 VIC65499:VID65570 UYG65499:UYH65570 UOK65499:UOL65570 UEO65499:UEP65570 TUS65499:TUT65570 TKW65499:TKX65570 TBA65499:TBB65570 SRE65499:SRF65570 SHI65499:SHJ65570 RXM65499:RXN65570 RNQ65499:RNR65570 RDU65499:RDV65570 QTY65499:QTZ65570 QKC65499:QKD65570 QAG65499:QAH65570 PQK65499:PQL65570 PGO65499:PGP65570 OWS65499:OWT65570 OMW65499:OMX65570 ODA65499:ODB65570 NTE65499:NTF65570 NJI65499:NJJ65570 MZM65499:MZN65570 MPQ65499:MPR65570 MFU65499:MFV65570 LVY65499:LVZ65570 LMC65499:LMD65570 LCG65499:LCH65570 KSK65499:KSL65570 KIO65499:KIP65570 JYS65499:JYT65570 JOW65499:JOX65570 JFA65499:JFB65570 IVE65499:IVF65570 ILI65499:ILJ65570 IBM65499:IBN65570 HRQ65499:HRR65570 HHU65499:HHV65570 GXY65499:GXZ65570 GOC65499:GOD65570 GEG65499:GEH65570 FUK65499:FUL65570 FKO65499:FKP65570 FAS65499:FAT65570 EQW65499:EQX65570 EHA65499:EHB65570 DXE65499:DXF65570 DNI65499:DNJ65570 DDM65499:DDN65570 CTQ65499:CTR65570 CJU65499:CJV65570 BZY65499:BZZ65570 BQC65499:BQD65570 BGG65499:BGH65570 AWK65499:AWL65570 AMO65499:AMP65570 ACS65499:ACT65570 SW65499:SX65570 JA65499:JB65570 E65499:F65570 JA64324:JB64389 WVM1047364:WVN1047429 WLQ1047364:WLR1047429 WBU1047364:WBV1047429 VRY1047364:VRZ1047429 VIC1047364:VID1047429 UYG1047364:UYH1047429 UOK1047364:UOL1047429 UEO1047364:UEP1047429 TUS1047364:TUT1047429 TKW1047364:TKX1047429 TBA1047364:TBB1047429 SRE1047364:SRF1047429 SHI1047364:SHJ1047429 RXM1047364:RXN1047429 RNQ1047364:RNR1047429 RDU1047364:RDV1047429 QTY1047364:QTZ1047429 QKC1047364:QKD1047429 QAG1047364:QAH1047429 PQK1047364:PQL1047429 PGO1047364:PGP1047429 OWS1047364:OWT1047429 OMW1047364:OMX1047429 ODA1047364:ODB1047429 NTE1047364:NTF1047429 NJI1047364:NJJ1047429 MZM1047364:MZN1047429 MPQ1047364:MPR1047429 MFU1047364:MFV1047429 LVY1047364:LVZ1047429 LMC1047364:LMD1047429 LCG1047364:LCH1047429 KSK1047364:KSL1047429 KIO1047364:KIP1047429 JYS1047364:JYT1047429 JOW1047364:JOX1047429 JFA1047364:JFB1047429 IVE1047364:IVF1047429 ILI1047364:ILJ1047429 IBM1047364:IBN1047429 HRQ1047364:HRR1047429 HHU1047364:HHV1047429 GXY1047364:GXZ1047429 GOC1047364:GOD1047429 GEG1047364:GEH1047429 FUK1047364:FUL1047429 FKO1047364:FKP1047429 FAS1047364:FAT1047429 EQW1047364:EQX1047429 EHA1047364:EHB1047429 DXE1047364:DXF1047429 DNI1047364:DNJ1047429 DDM1047364:DDN1047429 CTQ1047364:CTR1047429 CJU1047364:CJV1047429 BZY1047364:BZZ1047429 BQC1047364:BQD1047429 BGG1047364:BGH1047429 AWK1047364:AWL1047429 AMO1047364:AMP1047429 ACS1047364:ACT1047429 SW1047364:SX1047429 JA1047364:JB1047429 E1047364:F1047429 WVM981828:WVN981893 WLQ981828:WLR981893 WBU981828:WBV981893 VRY981828:VRZ981893 VIC981828:VID981893 UYG981828:UYH981893 UOK981828:UOL981893 UEO981828:UEP981893 TUS981828:TUT981893 TKW981828:TKX981893 TBA981828:TBB981893 SRE981828:SRF981893 SHI981828:SHJ981893 RXM981828:RXN981893 RNQ981828:RNR981893 RDU981828:RDV981893 QTY981828:QTZ981893 QKC981828:QKD981893 QAG981828:QAH981893 PQK981828:PQL981893 PGO981828:PGP981893 OWS981828:OWT981893 OMW981828:OMX981893 ODA981828:ODB981893 NTE981828:NTF981893 NJI981828:NJJ981893 MZM981828:MZN981893 MPQ981828:MPR981893 MFU981828:MFV981893 LVY981828:LVZ981893 LMC981828:LMD981893 LCG981828:LCH981893 KSK981828:KSL981893 KIO981828:KIP981893 JYS981828:JYT981893 JOW981828:JOX981893 JFA981828:JFB981893 IVE981828:IVF981893 ILI981828:ILJ981893 IBM981828:IBN981893 HRQ981828:HRR981893 HHU981828:HHV981893 GXY981828:GXZ981893 GOC981828:GOD981893 GEG981828:GEH981893 FUK981828:FUL981893 FKO981828:FKP981893 FAS981828:FAT981893 EQW981828:EQX981893 EHA981828:EHB981893 DXE981828:DXF981893 DNI981828:DNJ981893 DDM981828:DDN981893 CTQ981828:CTR981893 CJU981828:CJV981893 BZY981828:BZZ981893 BQC981828:BQD981893 BGG981828:BGH981893 AWK981828:AWL981893 AMO981828:AMP981893 ACS981828:ACT981893 SW981828:SX981893 JA981828:JB981893 E981828:F981893 WVM916292:WVN916357 WLQ916292:WLR916357 WBU916292:WBV916357 VRY916292:VRZ916357 VIC916292:VID916357 UYG916292:UYH916357 UOK916292:UOL916357 UEO916292:UEP916357 TUS916292:TUT916357 TKW916292:TKX916357 TBA916292:TBB916357 SRE916292:SRF916357 SHI916292:SHJ916357 RXM916292:RXN916357 RNQ916292:RNR916357 RDU916292:RDV916357 QTY916292:QTZ916357 QKC916292:QKD916357 QAG916292:QAH916357 PQK916292:PQL916357 PGO916292:PGP916357 OWS916292:OWT916357 OMW916292:OMX916357 ODA916292:ODB916357 NTE916292:NTF916357 NJI916292:NJJ916357 MZM916292:MZN916357 MPQ916292:MPR916357 MFU916292:MFV916357 LVY916292:LVZ916357 LMC916292:LMD916357 LCG916292:LCH916357 KSK916292:KSL916357 KIO916292:KIP916357 JYS916292:JYT916357 JOW916292:JOX916357 JFA916292:JFB916357 IVE916292:IVF916357 ILI916292:ILJ916357 IBM916292:IBN916357 HRQ916292:HRR916357 HHU916292:HHV916357 GXY916292:GXZ916357 GOC916292:GOD916357 GEG916292:GEH916357 FUK916292:FUL916357 FKO916292:FKP916357 FAS916292:FAT916357 EQW916292:EQX916357 EHA916292:EHB916357 DXE916292:DXF916357 DNI916292:DNJ916357 DDM916292:DDN916357 CTQ916292:CTR916357 CJU916292:CJV916357 BZY916292:BZZ916357 BQC916292:BQD916357 BGG916292:BGH916357 AWK916292:AWL916357 AMO916292:AMP916357 ACS916292:ACT916357 SW916292:SX916357 JA916292:JB916357 E916292:F916357 WVM850756:WVN850821 WLQ850756:WLR850821 WBU850756:WBV850821 VRY850756:VRZ850821 VIC850756:VID850821 UYG850756:UYH850821 UOK850756:UOL850821 UEO850756:UEP850821 TUS850756:TUT850821 TKW850756:TKX850821 TBA850756:TBB850821 SRE850756:SRF850821 SHI850756:SHJ850821 RXM850756:RXN850821 RNQ850756:RNR850821 RDU850756:RDV850821 QTY850756:QTZ850821 QKC850756:QKD850821 QAG850756:QAH850821 PQK850756:PQL850821 PGO850756:PGP850821 OWS850756:OWT850821 OMW850756:OMX850821 ODA850756:ODB850821 NTE850756:NTF850821 NJI850756:NJJ850821 MZM850756:MZN850821 MPQ850756:MPR850821 MFU850756:MFV850821 LVY850756:LVZ850821 LMC850756:LMD850821 LCG850756:LCH850821 KSK850756:KSL850821 KIO850756:KIP850821 JYS850756:JYT850821 JOW850756:JOX850821 JFA850756:JFB850821 IVE850756:IVF850821 ILI850756:ILJ850821 IBM850756:IBN850821 HRQ850756:HRR850821 HHU850756:HHV850821 GXY850756:GXZ850821 GOC850756:GOD850821 GEG850756:GEH850821 FUK850756:FUL850821 FKO850756:FKP850821 FAS850756:FAT850821 EQW850756:EQX850821 EHA850756:EHB850821 DXE850756:DXF850821 DNI850756:DNJ850821 DDM850756:DDN850821 CTQ850756:CTR850821 CJU850756:CJV850821 BZY850756:BZZ850821 BQC850756:BQD850821 BGG850756:BGH850821 AWK850756:AWL850821 AMO850756:AMP850821 ACS850756:ACT850821 SW850756:SX850821 JA850756:JB850821 E850756:F850821 WVM785220:WVN785285 WLQ785220:WLR785285 WBU785220:WBV785285 VRY785220:VRZ785285 VIC785220:VID785285 UYG785220:UYH785285 UOK785220:UOL785285 UEO785220:UEP785285 TUS785220:TUT785285 TKW785220:TKX785285 TBA785220:TBB785285 SRE785220:SRF785285 SHI785220:SHJ785285 RXM785220:RXN785285 RNQ785220:RNR785285 RDU785220:RDV785285 QTY785220:QTZ785285 QKC785220:QKD785285 QAG785220:QAH785285 PQK785220:PQL785285 PGO785220:PGP785285 OWS785220:OWT785285 OMW785220:OMX785285 ODA785220:ODB785285 NTE785220:NTF785285 NJI785220:NJJ785285 MZM785220:MZN785285 MPQ785220:MPR785285 MFU785220:MFV785285 LVY785220:LVZ785285 LMC785220:LMD785285 LCG785220:LCH785285 KSK785220:KSL785285 KIO785220:KIP785285 JYS785220:JYT785285 JOW785220:JOX785285 JFA785220:JFB785285 IVE785220:IVF785285 ILI785220:ILJ785285 IBM785220:IBN785285 HRQ785220:HRR785285 HHU785220:HHV785285 GXY785220:GXZ785285 GOC785220:GOD785285 GEG785220:GEH785285 FUK785220:FUL785285 FKO785220:FKP785285 FAS785220:FAT785285 EQW785220:EQX785285 EHA785220:EHB785285 DXE785220:DXF785285 DNI785220:DNJ785285 DDM785220:DDN785285 CTQ785220:CTR785285 CJU785220:CJV785285 BZY785220:BZZ785285 BQC785220:BQD785285 BGG785220:BGH785285 AWK785220:AWL785285 AMO785220:AMP785285 ACS785220:ACT785285 SW785220:SX785285 JA785220:JB785285 E785220:F785285 WVM719684:WVN719749 WLQ719684:WLR719749 WBU719684:WBV719749 VRY719684:VRZ719749 VIC719684:VID719749 UYG719684:UYH719749 UOK719684:UOL719749 UEO719684:UEP719749 TUS719684:TUT719749 TKW719684:TKX719749 TBA719684:TBB719749 SRE719684:SRF719749 SHI719684:SHJ719749 RXM719684:RXN719749 RNQ719684:RNR719749 RDU719684:RDV719749 QTY719684:QTZ719749 QKC719684:QKD719749 QAG719684:QAH719749 PQK719684:PQL719749 PGO719684:PGP719749 OWS719684:OWT719749 OMW719684:OMX719749 ODA719684:ODB719749 NTE719684:NTF719749 NJI719684:NJJ719749 MZM719684:MZN719749 MPQ719684:MPR719749 MFU719684:MFV719749 LVY719684:LVZ719749 LMC719684:LMD719749 LCG719684:LCH719749 KSK719684:KSL719749 KIO719684:KIP719749 JYS719684:JYT719749 JOW719684:JOX719749 JFA719684:JFB719749 IVE719684:IVF719749 ILI719684:ILJ719749 IBM719684:IBN719749 HRQ719684:HRR719749 HHU719684:HHV719749 GXY719684:GXZ719749 GOC719684:GOD719749 GEG719684:GEH719749 FUK719684:FUL719749 FKO719684:FKP719749 FAS719684:FAT719749 EQW719684:EQX719749 EHA719684:EHB719749 DXE719684:DXF719749 DNI719684:DNJ719749 DDM719684:DDN719749 CTQ719684:CTR719749 CJU719684:CJV719749 BZY719684:BZZ719749 BQC719684:BQD719749 BGG719684:BGH719749 AWK719684:AWL719749 AMO719684:AMP719749 ACS719684:ACT719749 SW719684:SX719749 JA719684:JB719749 E719684:F719749 WVM654148:WVN654213 WLQ654148:WLR654213 WBU654148:WBV654213 VRY654148:VRZ654213 VIC654148:VID654213 UYG654148:UYH654213 UOK654148:UOL654213 UEO654148:UEP654213 TUS654148:TUT654213 TKW654148:TKX654213 TBA654148:TBB654213 SRE654148:SRF654213 SHI654148:SHJ654213 RXM654148:RXN654213 RNQ654148:RNR654213 RDU654148:RDV654213 QTY654148:QTZ654213 QKC654148:QKD654213 QAG654148:QAH654213 PQK654148:PQL654213 PGO654148:PGP654213 OWS654148:OWT654213 OMW654148:OMX654213 ODA654148:ODB654213 NTE654148:NTF654213 NJI654148:NJJ654213 MZM654148:MZN654213 MPQ654148:MPR654213 MFU654148:MFV654213 LVY654148:LVZ654213 LMC654148:LMD654213 LCG654148:LCH654213 KSK654148:KSL654213 KIO654148:KIP654213 JYS654148:JYT654213 JOW654148:JOX654213 JFA654148:JFB654213 IVE654148:IVF654213 ILI654148:ILJ654213 IBM654148:IBN654213 HRQ654148:HRR654213 HHU654148:HHV654213 GXY654148:GXZ654213 GOC654148:GOD654213 GEG654148:GEH654213 FUK654148:FUL654213 FKO654148:FKP654213 FAS654148:FAT654213 EQW654148:EQX654213 EHA654148:EHB654213 DXE654148:DXF654213 DNI654148:DNJ654213 DDM654148:DDN654213 CTQ654148:CTR654213 CJU654148:CJV654213 BZY654148:BZZ654213 BQC654148:BQD654213 BGG654148:BGH654213 AWK654148:AWL654213 AMO654148:AMP654213 ACS654148:ACT654213 SW654148:SX654213 JA654148:JB654213 E654148:F654213 WVM588612:WVN588677 WLQ588612:WLR588677 WBU588612:WBV588677 VRY588612:VRZ588677 VIC588612:VID588677 UYG588612:UYH588677 UOK588612:UOL588677 UEO588612:UEP588677 TUS588612:TUT588677 TKW588612:TKX588677 TBA588612:TBB588677 SRE588612:SRF588677 SHI588612:SHJ588677 RXM588612:RXN588677 RNQ588612:RNR588677 RDU588612:RDV588677 QTY588612:QTZ588677 QKC588612:QKD588677 QAG588612:QAH588677 PQK588612:PQL588677 PGO588612:PGP588677 OWS588612:OWT588677 OMW588612:OMX588677 ODA588612:ODB588677 NTE588612:NTF588677 NJI588612:NJJ588677 MZM588612:MZN588677 MPQ588612:MPR588677 MFU588612:MFV588677 LVY588612:LVZ588677 LMC588612:LMD588677 LCG588612:LCH588677 KSK588612:KSL588677 KIO588612:KIP588677 JYS588612:JYT588677 JOW588612:JOX588677 JFA588612:JFB588677 IVE588612:IVF588677 ILI588612:ILJ588677 IBM588612:IBN588677 HRQ588612:HRR588677 HHU588612:HHV588677 GXY588612:GXZ588677 GOC588612:GOD588677 GEG588612:GEH588677 FUK588612:FUL588677 FKO588612:FKP588677 FAS588612:FAT588677 EQW588612:EQX588677 EHA588612:EHB588677 DXE588612:DXF588677 DNI588612:DNJ588677 DDM588612:DDN588677 CTQ588612:CTR588677 CJU588612:CJV588677 BZY588612:BZZ588677 BQC588612:BQD588677 BGG588612:BGH588677 AWK588612:AWL588677 AMO588612:AMP588677 ACS588612:ACT588677 SW588612:SX588677 JA588612:JB588677 E588612:F588677 WVM523076:WVN523141 WLQ523076:WLR523141 WBU523076:WBV523141 VRY523076:VRZ523141 VIC523076:VID523141 UYG523076:UYH523141 UOK523076:UOL523141 UEO523076:UEP523141 TUS523076:TUT523141 TKW523076:TKX523141 TBA523076:TBB523141 SRE523076:SRF523141 SHI523076:SHJ523141 RXM523076:RXN523141 RNQ523076:RNR523141 RDU523076:RDV523141 QTY523076:QTZ523141 QKC523076:QKD523141 QAG523076:QAH523141 PQK523076:PQL523141 PGO523076:PGP523141 OWS523076:OWT523141 OMW523076:OMX523141 ODA523076:ODB523141 NTE523076:NTF523141 NJI523076:NJJ523141 MZM523076:MZN523141 MPQ523076:MPR523141 MFU523076:MFV523141 LVY523076:LVZ523141 LMC523076:LMD523141 LCG523076:LCH523141 KSK523076:KSL523141 KIO523076:KIP523141 JYS523076:JYT523141 JOW523076:JOX523141 JFA523076:JFB523141 IVE523076:IVF523141 ILI523076:ILJ523141 IBM523076:IBN523141 HRQ523076:HRR523141 HHU523076:HHV523141 GXY523076:GXZ523141 GOC523076:GOD523141 GEG523076:GEH523141 FUK523076:FUL523141 FKO523076:FKP523141 FAS523076:FAT523141 EQW523076:EQX523141 EHA523076:EHB523141 DXE523076:DXF523141 DNI523076:DNJ523141 DDM523076:DDN523141 CTQ523076:CTR523141 CJU523076:CJV523141 BZY523076:BZZ523141 BQC523076:BQD523141 BGG523076:BGH523141 AWK523076:AWL523141 AMO523076:AMP523141 ACS523076:ACT523141 SW523076:SX523141 JA523076:JB523141 E523076:F523141 WVM457540:WVN457605 WLQ457540:WLR457605 WBU457540:WBV457605 VRY457540:VRZ457605 VIC457540:VID457605 UYG457540:UYH457605 UOK457540:UOL457605 UEO457540:UEP457605 TUS457540:TUT457605 TKW457540:TKX457605 TBA457540:TBB457605 SRE457540:SRF457605 SHI457540:SHJ457605 RXM457540:RXN457605 RNQ457540:RNR457605 RDU457540:RDV457605 QTY457540:QTZ457605 QKC457540:QKD457605 QAG457540:QAH457605 PQK457540:PQL457605 PGO457540:PGP457605 OWS457540:OWT457605 OMW457540:OMX457605 ODA457540:ODB457605 NTE457540:NTF457605 NJI457540:NJJ457605 MZM457540:MZN457605 MPQ457540:MPR457605 MFU457540:MFV457605 LVY457540:LVZ457605 LMC457540:LMD457605 LCG457540:LCH457605 KSK457540:KSL457605 KIO457540:KIP457605 JYS457540:JYT457605 JOW457540:JOX457605 JFA457540:JFB457605 IVE457540:IVF457605 ILI457540:ILJ457605 IBM457540:IBN457605 HRQ457540:HRR457605 HHU457540:HHV457605 GXY457540:GXZ457605 GOC457540:GOD457605 GEG457540:GEH457605 FUK457540:FUL457605 FKO457540:FKP457605 FAS457540:FAT457605 EQW457540:EQX457605 EHA457540:EHB457605 DXE457540:DXF457605 DNI457540:DNJ457605 DDM457540:DDN457605 CTQ457540:CTR457605 CJU457540:CJV457605 BZY457540:BZZ457605 BQC457540:BQD457605 BGG457540:BGH457605 AWK457540:AWL457605 AMO457540:AMP457605 ACS457540:ACT457605 SW457540:SX457605 JA457540:JB457605 E457540:F457605 WVM392004:WVN392069 WLQ392004:WLR392069 WBU392004:WBV392069 VRY392004:VRZ392069 VIC392004:VID392069 UYG392004:UYH392069 UOK392004:UOL392069 UEO392004:UEP392069 TUS392004:TUT392069 TKW392004:TKX392069 TBA392004:TBB392069 SRE392004:SRF392069 SHI392004:SHJ392069 RXM392004:RXN392069 RNQ392004:RNR392069 RDU392004:RDV392069 QTY392004:QTZ392069 QKC392004:QKD392069 QAG392004:QAH392069 PQK392004:PQL392069 PGO392004:PGP392069 OWS392004:OWT392069 OMW392004:OMX392069 ODA392004:ODB392069 NTE392004:NTF392069 NJI392004:NJJ392069 MZM392004:MZN392069 MPQ392004:MPR392069 MFU392004:MFV392069 LVY392004:LVZ392069 LMC392004:LMD392069 LCG392004:LCH392069 KSK392004:KSL392069 KIO392004:KIP392069 JYS392004:JYT392069 JOW392004:JOX392069 JFA392004:JFB392069 IVE392004:IVF392069 ILI392004:ILJ392069 IBM392004:IBN392069 HRQ392004:HRR392069 HHU392004:HHV392069 GXY392004:GXZ392069 GOC392004:GOD392069 GEG392004:GEH392069 FUK392004:FUL392069 FKO392004:FKP392069 FAS392004:FAT392069 EQW392004:EQX392069 EHA392004:EHB392069 DXE392004:DXF392069 DNI392004:DNJ392069 DDM392004:DDN392069 CTQ392004:CTR392069 CJU392004:CJV392069 BZY392004:BZZ392069 BQC392004:BQD392069 BGG392004:BGH392069 AWK392004:AWL392069 AMO392004:AMP392069 ACS392004:ACT392069 SW392004:SX392069 JA392004:JB392069 E392004:F392069 WVM326468:WVN326533 WLQ326468:WLR326533 WBU326468:WBV326533 VRY326468:VRZ326533 VIC326468:VID326533 UYG326468:UYH326533 UOK326468:UOL326533 UEO326468:UEP326533 TUS326468:TUT326533 TKW326468:TKX326533 TBA326468:TBB326533 SRE326468:SRF326533 SHI326468:SHJ326533 RXM326468:RXN326533 RNQ326468:RNR326533 RDU326468:RDV326533 QTY326468:QTZ326533 QKC326468:QKD326533 QAG326468:QAH326533 PQK326468:PQL326533 PGO326468:PGP326533 OWS326468:OWT326533 OMW326468:OMX326533 ODA326468:ODB326533 NTE326468:NTF326533 NJI326468:NJJ326533 MZM326468:MZN326533 MPQ326468:MPR326533 MFU326468:MFV326533 LVY326468:LVZ326533 LMC326468:LMD326533 LCG326468:LCH326533 KSK326468:KSL326533 KIO326468:KIP326533 JYS326468:JYT326533 JOW326468:JOX326533 JFA326468:JFB326533 IVE326468:IVF326533 ILI326468:ILJ326533 IBM326468:IBN326533 HRQ326468:HRR326533 HHU326468:HHV326533 GXY326468:GXZ326533 GOC326468:GOD326533 GEG326468:GEH326533 FUK326468:FUL326533 FKO326468:FKP326533 FAS326468:FAT326533 EQW326468:EQX326533 EHA326468:EHB326533 DXE326468:DXF326533 DNI326468:DNJ326533 DDM326468:DDN326533 CTQ326468:CTR326533 CJU326468:CJV326533 BZY326468:BZZ326533 BQC326468:BQD326533 BGG326468:BGH326533 AWK326468:AWL326533 AMO326468:AMP326533 ACS326468:ACT326533 SW326468:SX326533 JA326468:JB326533 E326468:F326533 WVM260932:WVN260997 WLQ260932:WLR260997 WBU260932:WBV260997 VRY260932:VRZ260997 VIC260932:VID260997 UYG260932:UYH260997 UOK260932:UOL260997 UEO260932:UEP260997 TUS260932:TUT260997 TKW260932:TKX260997 TBA260932:TBB260997 SRE260932:SRF260997 SHI260932:SHJ260997 RXM260932:RXN260997 RNQ260932:RNR260997 RDU260932:RDV260997 QTY260932:QTZ260997 QKC260932:QKD260997 QAG260932:QAH260997 PQK260932:PQL260997 PGO260932:PGP260997 OWS260932:OWT260997 OMW260932:OMX260997 ODA260932:ODB260997 NTE260932:NTF260997 NJI260932:NJJ260997 MZM260932:MZN260997 MPQ260932:MPR260997 MFU260932:MFV260997 LVY260932:LVZ260997 LMC260932:LMD260997 LCG260932:LCH260997 KSK260932:KSL260997 KIO260932:KIP260997 JYS260932:JYT260997 JOW260932:JOX260997 JFA260932:JFB260997 IVE260932:IVF260997 ILI260932:ILJ260997 IBM260932:IBN260997 HRQ260932:HRR260997 HHU260932:HHV260997 GXY260932:GXZ260997 GOC260932:GOD260997 GEG260932:GEH260997 FUK260932:FUL260997 FKO260932:FKP260997 FAS260932:FAT260997 EQW260932:EQX260997 EHA260932:EHB260997 DXE260932:DXF260997 DNI260932:DNJ260997 DDM260932:DDN260997 CTQ260932:CTR260997 CJU260932:CJV260997 BZY260932:BZZ260997 BQC260932:BQD260997 BGG260932:BGH260997 AWK260932:AWL260997 AMO260932:AMP260997 ACS260932:ACT260997 SW260932:SX260997 JA260932:JB260997 E260932:F260997 WVM195396:WVN195461 WLQ195396:WLR195461 WBU195396:WBV195461 VRY195396:VRZ195461 VIC195396:VID195461 UYG195396:UYH195461 UOK195396:UOL195461 UEO195396:UEP195461 TUS195396:TUT195461 TKW195396:TKX195461 TBA195396:TBB195461 SRE195396:SRF195461 SHI195396:SHJ195461 RXM195396:RXN195461 RNQ195396:RNR195461 RDU195396:RDV195461 QTY195396:QTZ195461 QKC195396:QKD195461 QAG195396:QAH195461 PQK195396:PQL195461 PGO195396:PGP195461 OWS195396:OWT195461 OMW195396:OMX195461 ODA195396:ODB195461 NTE195396:NTF195461 NJI195396:NJJ195461 MZM195396:MZN195461 MPQ195396:MPR195461 MFU195396:MFV195461 LVY195396:LVZ195461 LMC195396:LMD195461 LCG195396:LCH195461 KSK195396:KSL195461 KIO195396:KIP195461 JYS195396:JYT195461 JOW195396:JOX195461 JFA195396:JFB195461 IVE195396:IVF195461 ILI195396:ILJ195461 IBM195396:IBN195461 HRQ195396:HRR195461 HHU195396:HHV195461 GXY195396:GXZ195461 GOC195396:GOD195461 GEG195396:GEH195461 FUK195396:FUL195461 FKO195396:FKP195461 FAS195396:FAT195461 EQW195396:EQX195461 EHA195396:EHB195461 DXE195396:DXF195461 DNI195396:DNJ195461 DDM195396:DDN195461 CTQ195396:CTR195461 CJU195396:CJV195461 BZY195396:BZZ195461 BQC195396:BQD195461 BGG195396:BGH195461 AWK195396:AWL195461 AMO195396:AMP195461 ACS195396:ACT195461 SW195396:SX195461 JA195396:JB195461 E195396:F195461 WVM129860:WVN129925 WLQ129860:WLR129925 WBU129860:WBV129925 VRY129860:VRZ129925 VIC129860:VID129925 UYG129860:UYH129925 UOK129860:UOL129925 UEO129860:UEP129925 TUS129860:TUT129925 TKW129860:TKX129925 TBA129860:TBB129925 SRE129860:SRF129925 SHI129860:SHJ129925 RXM129860:RXN129925 RNQ129860:RNR129925 RDU129860:RDV129925 QTY129860:QTZ129925 QKC129860:QKD129925 QAG129860:QAH129925 PQK129860:PQL129925 PGO129860:PGP129925 OWS129860:OWT129925 OMW129860:OMX129925 ODA129860:ODB129925 NTE129860:NTF129925 NJI129860:NJJ129925 MZM129860:MZN129925 MPQ129860:MPR129925 MFU129860:MFV129925 LVY129860:LVZ129925 LMC129860:LMD129925 LCG129860:LCH129925 KSK129860:KSL129925 KIO129860:KIP129925 JYS129860:JYT129925 JOW129860:JOX129925 JFA129860:JFB129925 IVE129860:IVF129925 ILI129860:ILJ129925 IBM129860:IBN129925 HRQ129860:HRR129925 HHU129860:HHV129925 GXY129860:GXZ129925 GOC129860:GOD129925 GEG129860:GEH129925 FUK129860:FUL129925 FKO129860:FKP129925 FAS129860:FAT129925 EQW129860:EQX129925 EHA129860:EHB129925 DXE129860:DXF129925 DNI129860:DNJ129925 DDM129860:DDN129925 CTQ129860:CTR129925 CJU129860:CJV129925 BZY129860:BZZ129925 BQC129860:BQD129925 BGG129860:BGH129925 AWK129860:AWL129925 AMO129860:AMP129925 ACS129860:ACT129925 SW129860:SX129925 JA129860:JB129925 E129860:F129925 WVM64324:WVN64389 WLQ64324:WLR64389 WBU64324:WBV64389 VRY64324:VRZ64389 VIC64324:VID64389 UYG64324:UYH64389 UOK64324:UOL64389 UEO64324:UEP64389 TUS64324:TUT64389 TKW64324:TKX64389 TBA64324:TBB64389 SRE64324:SRF64389 SHI64324:SHJ64389 RXM64324:RXN64389 RNQ64324:RNR64389 RDU64324:RDV64389 QTY64324:QTZ64389 QKC64324:QKD64389 QAG64324:QAH64389 PQK64324:PQL64389 PGO64324:PGP64389 OWS64324:OWT64389 OMW64324:OMX64389 ODA64324:ODB64389 NTE64324:NTF64389 NJI64324:NJJ64389 MZM64324:MZN64389 MPQ64324:MPR64389 MFU64324:MFV64389 LVY64324:LVZ64389 LMC64324:LMD64389 LCG64324:LCH64389 KSK64324:KSL64389 KIO64324:KIP64389 JYS64324:JYT64389 JOW64324:JOX64389 JFA64324:JFB64389 IVE64324:IVF64389 ILI64324:ILJ64389 IBM64324:IBN64389 HRQ64324:HRR64389 HHU64324:HHV64389 GXY64324:GXZ64389 GOC64324:GOD64389 GEG64324:GEH64389 FUK64324:FUL64389 FKO64324:FKP64389 FAS64324:FAT64389 EQW64324:EQX64389 EHA64324:EHB64389 DXE64324:DXF64389 DNI64324:DNJ64389 DDM64324:DDN64389 CTQ64324:CTR64389 CJU64324:CJV64389 BZY64324:BZZ64389 BQC64324:BQD64389 BGG64324:BGH64389 AWK64324:AWL64389 AMO64324:AMP64389 ACS64324:ACT64389 SW64324:SX64389 WLQ2:WLR49 WVM2:WVN49 JA2:JB49 SW2:SX49 ACS2:ACT49 AMO2:AMP49 AWK2:AWL49 BGG2:BGH49 BQC2:BQD49 BZY2:BZZ49 CJU2:CJV49 CTQ2:CTR49 DDM2:DDN49 DNI2:DNJ49 DXE2:DXF49 EHA2:EHB49 EQW2:EQX49 FAS2:FAT49 FKO2:FKP49 FUK2:FUL49 GEG2:GEH49 GOC2:GOD49 GXY2:GXZ49 HHU2:HHV49 HRQ2:HRR49 IBM2:IBN49 ILI2:ILJ49 IVE2:IVF49 JFA2:JFB49 JOW2:JOX49 JYS2:JYT49 KIO2:KIP49 KSK2:KSL49 LCG2:LCH49 LMC2:LMD49 LVY2:LVZ49 MFU2:MFV49 MPQ2:MPR49 MZM2:MZN49 NJI2:NJJ49 NTE2:NTF49 ODA2:ODB49 OMW2:OMX49 OWS2:OWT49 PGO2:PGP49 PQK2:PQL49 QAG2:QAH49 QKC2:QKD49 QTY2:QTZ49 RDU2:RDV49 RNQ2:RNR49 RXM2:RXN49 SHI2:SHJ49 SRE2:SRF49 TBA2:TBB49 TKW2:TKX49 TUS2:TUT49 UEO2:UEP49 UOK2:UOL49 UYG2:UYH49 VIC2:VID49 VRY2:VRZ49 WBU2:WBV49" xr:uid="{1A4A0D7E-2042-4237-8FE7-92190F8002CD}">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76324-173C-4824-9242-0990260DB0AB}">
  <dimension ref="A1:BA443"/>
  <sheetViews>
    <sheetView zoomScale="85" zoomScaleNormal="85" zoomScaleSheetLayoutView="100" workbookViewId="0">
      <selection activeCell="M45" sqref="M45"/>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357</v>
      </c>
      <c r="G1" s="45" t="s">
        <v>6</v>
      </c>
      <c r="H1" s="45" t="s">
        <v>7</v>
      </c>
      <c r="I1" s="45" t="s">
        <v>8</v>
      </c>
      <c r="J1" s="45" t="s">
        <v>9</v>
      </c>
      <c r="K1" s="154"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55"/>
      <c r="AJ1" s="156" t="s">
        <v>6</v>
      </c>
      <c r="AK1" s="155"/>
      <c r="AL1" s="157" t="s">
        <v>7</v>
      </c>
      <c r="AM1" s="155"/>
      <c r="AN1" s="10" t="s">
        <v>8</v>
      </c>
      <c r="AO1" s="61"/>
      <c r="AP1" s="10" t="s">
        <v>27</v>
      </c>
      <c r="AQ1" s="61"/>
      <c r="AR1" s="10" t="s">
        <v>10</v>
      </c>
      <c r="AS1" s="61"/>
      <c r="AT1" s="11" t="s">
        <v>28</v>
      </c>
      <c r="AU1" s="61"/>
      <c r="AV1" s="10" t="s">
        <v>29</v>
      </c>
      <c r="AX1" s="12" t="s">
        <v>30</v>
      </c>
      <c r="AY1" s="13" t="s">
        <v>31</v>
      </c>
      <c r="AZ1" s="13" t="s">
        <v>32</v>
      </c>
      <c r="BA1" s="14" t="s">
        <v>33</v>
      </c>
    </row>
    <row r="2" spans="1:53" x14ac:dyDescent="0.15">
      <c r="A2" s="158" t="s">
        <v>34</v>
      </c>
      <c r="B2" s="158" t="s">
        <v>237</v>
      </c>
      <c r="C2" s="158">
        <v>2019</v>
      </c>
      <c r="D2" s="159" t="s">
        <v>358</v>
      </c>
      <c r="E2" s="158" t="s">
        <v>359</v>
      </c>
      <c r="F2" s="158" t="s">
        <v>360</v>
      </c>
      <c r="G2" s="160" t="s">
        <v>36</v>
      </c>
      <c r="H2" s="161" t="s">
        <v>163</v>
      </c>
      <c r="I2" s="127" t="s">
        <v>159</v>
      </c>
      <c r="J2" s="162" t="s">
        <v>38</v>
      </c>
      <c r="K2" s="127" t="s">
        <v>160</v>
      </c>
      <c r="L2" s="163">
        <v>1</v>
      </c>
      <c r="M2" s="164"/>
      <c r="N2" s="164">
        <v>1</v>
      </c>
      <c r="O2" s="164">
        <v>1.1499999999999999</v>
      </c>
      <c r="P2" s="164">
        <v>1.2</v>
      </c>
      <c r="Q2" s="165">
        <f>IF(OR(O2="",P2=""),"",AVERAGE(O2,P2))</f>
        <v>1.1749999999999998</v>
      </c>
      <c r="R2" s="166">
        <v>14.1</v>
      </c>
      <c r="S2" s="161">
        <v>118</v>
      </c>
      <c r="T2" s="167">
        <f t="shared" ref="T2:T65" si="0">IF(H2="","",IF(OR(H2="GREEN",H2="GK"),IF(S2&gt;=$AX$2,VLOOKUP(S2,$AX$2:$AY$7,2,1),""),IF(S2&gt;=$AZ$2,VLOOKUP(S2,$AZ$2:$BA$7,2,1),"")))</f>
        <v>30</v>
      </c>
      <c r="U2" s="127">
        <v>84</v>
      </c>
      <c r="V2" s="167">
        <f>IF(OR(N2="",U2="",T2=""),"",U2/N2*T2)</f>
        <v>2520</v>
      </c>
      <c r="W2" s="168">
        <v>2</v>
      </c>
      <c r="X2" s="169" t="s">
        <v>46</v>
      </c>
      <c r="Y2" s="169" t="s">
        <v>84</v>
      </c>
      <c r="Z2" s="169" t="s">
        <v>40</v>
      </c>
      <c r="AA2" s="169" t="s">
        <v>90</v>
      </c>
      <c r="AB2" s="53" t="s">
        <v>241</v>
      </c>
      <c r="AE2" s="64" t="s">
        <v>35</v>
      </c>
      <c r="AG2" s="67" t="s">
        <v>359</v>
      </c>
      <c r="AH2" s="67" t="s">
        <v>360</v>
      </c>
      <c r="AJ2" s="130" t="s">
        <v>36</v>
      </c>
      <c r="AL2" s="67" t="s">
        <v>127</v>
      </c>
      <c r="AN2" s="67" t="s">
        <v>37</v>
      </c>
      <c r="AP2" s="67" t="s">
        <v>38</v>
      </c>
      <c r="AR2" s="67" t="s">
        <v>120</v>
      </c>
      <c r="AT2" s="67" t="s">
        <v>39</v>
      </c>
      <c r="AV2" s="67" t="s">
        <v>40</v>
      </c>
      <c r="AX2" s="68">
        <v>1</v>
      </c>
      <c r="AY2" s="69">
        <v>50</v>
      </c>
      <c r="AZ2" s="69">
        <v>1</v>
      </c>
      <c r="BA2" s="70">
        <v>50</v>
      </c>
    </row>
    <row r="3" spans="1:53" x14ac:dyDescent="0.15">
      <c r="A3" s="170" t="s">
        <v>34</v>
      </c>
      <c r="B3" s="170" t="s">
        <v>157</v>
      </c>
      <c r="C3" s="171">
        <v>2019</v>
      </c>
      <c r="D3" s="172" t="s">
        <v>361</v>
      </c>
      <c r="E3" s="170" t="s">
        <v>359</v>
      </c>
      <c r="F3" s="170" t="s">
        <v>360</v>
      </c>
      <c r="G3" s="173" t="s">
        <v>36</v>
      </c>
      <c r="H3" s="127" t="s">
        <v>163</v>
      </c>
      <c r="I3" s="127" t="s">
        <v>159</v>
      </c>
      <c r="J3" s="127" t="s">
        <v>38</v>
      </c>
      <c r="K3" s="127" t="s">
        <v>160</v>
      </c>
      <c r="L3" s="53">
        <v>2</v>
      </c>
      <c r="N3" s="53">
        <v>1</v>
      </c>
      <c r="O3" s="53">
        <v>0.95</v>
      </c>
      <c r="P3" s="34">
        <v>1</v>
      </c>
      <c r="Q3" s="174">
        <f t="shared" ref="Q3:Q43" si="1">IF(OR(O3="",P3=""),"",AVERAGE(O3,P3))</f>
        <v>0.97499999999999998</v>
      </c>
      <c r="R3" s="175">
        <v>14.8</v>
      </c>
      <c r="S3" s="175">
        <v>126</v>
      </c>
      <c r="T3" s="16">
        <f t="shared" si="0"/>
        <v>30</v>
      </c>
      <c r="U3" s="176">
        <v>84</v>
      </c>
      <c r="V3" s="38">
        <f t="shared" ref="V3:V66" si="2">IF(OR(N3="",U3="",T3=""),"",U3/N3*T3)</f>
        <v>2520</v>
      </c>
      <c r="W3" s="177">
        <v>2</v>
      </c>
      <c r="X3" s="178" t="s">
        <v>46</v>
      </c>
      <c r="Y3" s="178" t="s">
        <v>84</v>
      </c>
      <c r="Z3" s="178" t="s">
        <v>40</v>
      </c>
      <c r="AA3" s="169" t="s">
        <v>90</v>
      </c>
      <c r="AB3" s="53" t="s">
        <v>158</v>
      </c>
      <c r="AE3" s="22" t="s">
        <v>41</v>
      </c>
      <c r="AG3" s="67" t="s">
        <v>362</v>
      </c>
      <c r="AH3" s="67" t="s">
        <v>363</v>
      </c>
      <c r="AJ3" s="179" t="s">
        <v>42</v>
      </c>
      <c r="AL3" s="23" t="s">
        <v>128</v>
      </c>
      <c r="AN3" s="23" t="s">
        <v>43</v>
      </c>
      <c r="AP3" s="23" t="s">
        <v>44</v>
      </c>
      <c r="AR3" s="23" t="s">
        <v>45</v>
      </c>
      <c r="AT3" s="23" t="s">
        <v>46</v>
      </c>
      <c r="AV3" s="23" t="s">
        <v>47</v>
      </c>
      <c r="AX3" s="24">
        <v>72</v>
      </c>
      <c r="AY3" s="25">
        <v>46</v>
      </c>
      <c r="AZ3" s="25">
        <v>71</v>
      </c>
      <c r="BA3" s="26">
        <v>42</v>
      </c>
    </row>
    <row r="4" spans="1:53" x14ac:dyDescent="0.15">
      <c r="A4" s="170" t="s">
        <v>34</v>
      </c>
      <c r="B4" s="170" t="s">
        <v>157</v>
      </c>
      <c r="C4" s="170">
        <v>2019</v>
      </c>
      <c r="D4" s="172" t="s">
        <v>361</v>
      </c>
      <c r="E4" s="170" t="s">
        <v>359</v>
      </c>
      <c r="F4" s="170" t="s">
        <v>360</v>
      </c>
      <c r="G4" s="173" t="s">
        <v>36</v>
      </c>
      <c r="H4" s="127" t="s">
        <v>163</v>
      </c>
      <c r="I4" s="127" t="s">
        <v>159</v>
      </c>
      <c r="J4" s="127" t="s">
        <v>38</v>
      </c>
      <c r="K4" s="127" t="s">
        <v>160</v>
      </c>
      <c r="L4" s="53">
        <v>3</v>
      </c>
      <c r="N4" s="53">
        <v>1</v>
      </c>
      <c r="O4" s="53">
        <v>1</v>
      </c>
      <c r="P4" s="34">
        <v>1.1000000000000001</v>
      </c>
      <c r="Q4" s="74">
        <f t="shared" si="1"/>
        <v>1.05</v>
      </c>
      <c r="R4" s="180">
        <v>14.5</v>
      </c>
      <c r="S4" s="180">
        <v>121</v>
      </c>
      <c r="T4" s="16">
        <f t="shared" si="0"/>
        <v>30</v>
      </c>
      <c r="U4" s="181">
        <v>84</v>
      </c>
      <c r="V4" s="38">
        <f t="shared" si="2"/>
        <v>2520</v>
      </c>
      <c r="W4" s="177">
        <v>2</v>
      </c>
      <c r="X4" s="178" t="s">
        <v>46</v>
      </c>
      <c r="Y4" s="178" t="s">
        <v>84</v>
      </c>
      <c r="Z4" s="178" t="s">
        <v>40</v>
      </c>
      <c r="AA4" s="169" t="s">
        <v>90</v>
      </c>
      <c r="AB4" s="53" t="s">
        <v>158</v>
      </c>
      <c r="AE4" s="22" t="s">
        <v>34</v>
      </c>
      <c r="AG4" s="67" t="s">
        <v>364</v>
      </c>
      <c r="AH4" s="67" t="s">
        <v>363</v>
      </c>
      <c r="AJ4" s="182" t="s">
        <v>48</v>
      </c>
      <c r="AL4" s="27" t="s">
        <v>129</v>
      </c>
      <c r="AN4" s="28" t="s">
        <v>49</v>
      </c>
      <c r="AP4" s="23" t="s">
        <v>93</v>
      </c>
      <c r="AR4" s="23" t="s">
        <v>121</v>
      </c>
      <c r="AT4" s="28"/>
      <c r="AV4" s="23" t="s">
        <v>50</v>
      </c>
      <c r="AX4" s="24">
        <v>75</v>
      </c>
      <c r="AY4" s="25">
        <v>42</v>
      </c>
      <c r="AZ4" s="25">
        <v>76</v>
      </c>
      <c r="BA4" s="26">
        <v>39</v>
      </c>
    </row>
    <row r="5" spans="1:53" x14ac:dyDescent="0.15">
      <c r="A5" s="170" t="s">
        <v>34</v>
      </c>
      <c r="B5" s="170" t="s">
        <v>157</v>
      </c>
      <c r="C5" s="171">
        <v>2019</v>
      </c>
      <c r="D5" s="172" t="s">
        <v>361</v>
      </c>
      <c r="E5" s="170" t="s">
        <v>362</v>
      </c>
      <c r="F5" s="170" t="s">
        <v>363</v>
      </c>
      <c r="G5" s="173" t="s">
        <v>36</v>
      </c>
      <c r="H5" s="127" t="s">
        <v>163</v>
      </c>
      <c r="I5" s="127" t="s">
        <v>159</v>
      </c>
      <c r="J5" s="127" t="s">
        <v>38</v>
      </c>
      <c r="K5" s="127" t="s">
        <v>160</v>
      </c>
      <c r="L5" s="53">
        <v>1</v>
      </c>
      <c r="N5" s="53">
        <v>1</v>
      </c>
      <c r="O5" s="53">
        <v>0.8</v>
      </c>
      <c r="P5" s="53">
        <v>0.7</v>
      </c>
      <c r="Q5" s="74">
        <f t="shared" si="1"/>
        <v>0.75</v>
      </c>
      <c r="R5" s="180">
        <v>15.1</v>
      </c>
      <c r="S5" s="180">
        <v>121</v>
      </c>
      <c r="T5" s="16">
        <f t="shared" si="0"/>
        <v>30</v>
      </c>
      <c r="U5" s="181">
        <v>98</v>
      </c>
      <c r="V5" s="38">
        <f t="shared" si="2"/>
        <v>2940</v>
      </c>
      <c r="W5" s="177">
        <v>4</v>
      </c>
      <c r="X5" s="178" t="s">
        <v>46</v>
      </c>
      <c r="Y5" s="178" t="s">
        <v>84</v>
      </c>
      <c r="Z5" s="178" t="s">
        <v>40</v>
      </c>
      <c r="AA5" s="169" t="s">
        <v>90</v>
      </c>
      <c r="AB5" s="53" t="s">
        <v>158</v>
      </c>
      <c r="AE5" s="22" t="s">
        <v>51</v>
      </c>
      <c r="AG5" s="67" t="s">
        <v>359</v>
      </c>
      <c r="AH5" s="67" t="s">
        <v>365</v>
      </c>
      <c r="AJ5" s="183"/>
      <c r="AL5" s="73" t="s">
        <v>66</v>
      </c>
      <c r="AN5" s="73" t="s">
        <v>52</v>
      </c>
      <c r="AP5" s="23" t="s">
        <v>119</v>
      </c>
      <c r="AR5" s="23" t="s">
        <v>54</v>
      </c>
      <c r="AV5" s="23" t="s">
        <v>55</v>
      </c>
      <c r="AX5" s="24">
        <v>84</v>
      </c>
      <c r="AY5" s="25">
        <v>39</v>
      </c>
      <c r="AZ5" s="25">
        <v>84</v>
      </c>
      <c r="BA5" s="26">
        <v>36</v>
      </c>
    </row>
    <row r="6" spans="1:53" x14ac:dyDescent="0.15">
      <c r="A6" s="170" t="s">
        <v>34</v>
      </c>
      <c r="B6" s="170" t="s">
        <v>157</v>
      </c>
      <c r="C6" s="170">
        <v>2019</v>
      </c>
      <c r="D6" s="172" t="s">
        <v>361</v>
      </c>
      <c r="E6" s="170" t="s">
        <v>362</v>
      </c>
      <c r="F6" s="170" t="s">
        <v>363</v>
      </c>
      <c r="G6" s="173" t="s">
        <v>36</v>
      </c>
      <c r="H6" s="127" t="s">
        <v>163</v>
      </c>
      <c r="I6" s="127" t="s">
        <v>159</v>
      </c>
      <c r="J6" s="127" t="s">
        <v>38</v>
      </c>
      <c r="K6" s="127" t="s">
        <v>160</v>
      </c>
      <c r="L6" s="53">
        <v>2</v>
      </c>
      <c r="N6" s="53">
        <v>1</v>
      </c>
      <c r="O6" s="53">
        <v>0.65</v>
      </c>
      <c r="P6" s="53">
        <v>0.7</v>
      </c>
      <c r="Q6" s="74">
        <f t="shared" si="1"/>
        <v>0.67500000000000004</v>
      </c>
      <c r="R6" s="180">
        <v>14.2</v>
      </c>
      <c r="S6" s="180">
        <v>119</v>
      </c>
      <c r="T6" s="16">
        <f t="shared" si="0"/>
        <v>30</v>
      </c>
      <c r="U6" s="181">
        <v>98</v>
      </c>
      <c r="V6" s="38">
        <f t="shared" si="2"/>
        <v>2940</v>
      </c>
      <c r="W6" s="177">
        <v>4</v>
      </c>
      <c r="X6" s="178" t="s">
        <v>46</v>
      </c>
      <c r="Y6" s="178" t="s">
        <v>84</v>
      </c>
      <c r="Z6" s="178" t="s">
        <v>40</v>
      </c>
      <c r="AA6" s="169" t="s">
        <v>90</v>
      </c>
      <c r="AB6" s="53" t="s">
        <v>158</v>
      </c>
      <c r="AE6" s="22" t="s">
        <v>56</v>
      </c>
      <c r="AG6" s="67" t="s">
        <v>211</v>
      </c>
      <c r="AH6" s="67" t="s">
        <v>366</v>
      </c>
      <c r="AL6" s="73" t="s">
        <v>99</v>
      </c>
      <c r="AN6" s="73" t="s">
        <v>57</v>
      </c>
      <c r="AP6" s="23" t="s">
        <v>53</v>
      </c>
      <c r="AR6" s="23" t="s">
        <v>59</v>
      </c>
      <c r="AV6" s="23" t="s">
        <v>60</v>
      </c>
      <c r="AX6" s="24">
        <v>97</v>
      </c>
      <c r="AY6" s="25">
        <v>36</v>
      </c>
      <c r="AZ6" s="25">
        <v>99</v>
      </c>
      <c r="BA6" s="26">
        <v>33</v>
      </c>
    </row>
    <row r="7" spans="1:53" x14ac:dyDescent="0.15">
      <c r="A7" s="170" t="s">
        <v>34</v>
      </c>
      <c r="B7" s="170" t="s">
        <v>157</v>
      </c>
      <c r="C7" s="171">
        <v>2019</v>
      </c>
      <c r="D7" s="172" t="s">
        <v>361</v>
      </c>
      <c r="E7" s="170" t="s">
        <v>362</v>
      </c>
      <c r="F7" s="170" t="s">
        <v>363</v>
      </c>
      <c r="G7" s="173" t="s">
        <v>36</v>
      </c>
      <c r="H7" s="127" t="s">
        <v>163</v>
      </c>
      <c r="I7" s="127" t="s">
        <v>159</v>
      </c>
      <c r="J7" s="127" t="s">
        <v>38</v>
      </c>
      <c r="K7" s="127" t="s">
        <v>160</v>
      </c>
      <c r="L7" s="53">
        <v>3</v>
      </c>
      <c r="N7" s="53">
        <v>1</v>
      </c>
      <c r="O7" s="53">
        <v>0.7</v>
      </c>
      <c r="P7" s="53">
        <v>0.65</v>
      </c>
      <c r="Q7" s="74">
        <f t="shared" si="1"/>
        <v>0.67500000000000004</v>
      </c>
      <c r="R7" s="180">
        <v>14.6</v>
      </c>
      <c r="S7" s="180">
        <v>117</v>
      </c>
      <c r="T7" s="16">
        <f t="shared" si="0"/>
        <v>30</v>
      </c>
      <c r="U7" s="181">
        <v>98</v>
      </c>
      <c r="V7" s="38">
        <f t="shared" si="2"/>
        <v>2940</v>
      </c>
      <c r="W7" s="177">
        <v>4</v>
      </c>
      <c r="X7" s="178" t="s">
        <v>46</v>
      </c>
      <c r="Y7" s="178" t="s">
        <v>84</v>
      </c>
      <c r="Z7" s="178" t="s">
        <v>40</v>
      </c>
      <c r="AA7" s="169" t="s">
        <v>90</v>
      </c>
      <c r="AB7" s="53" t="s">
        <v>158</v>
      </c>
      <c r="AE7" s="22" t="s">
        <v>61</v>
      </c>
      <c r="AG7" s="67" t="s">
        <v>367</v>
      </c>
      <c r="AH7" s="67" t="s">
        <v>366</v>
      </c>
      <c r="AL7" s="34" t="s">
        <v>109</v>
      </c>
      <c r="AP7" s="23" t="s">
        <v>58</v>
      </c>
      <c r="AR7" s="23" t="s">
        <v>122</v>
      </c>
      <c r="AV7" s="23" t="s">
        <v>64</v>
      </c>
      <c r="AX7" s="24">
        <v>109</v>
      </c>
      <c r="AY7" s="25">
        <v>33</v>
      </c>
      <c r="AZ7" s="25">
        <v>113</v>
      </c>
      <c r="BA7" s="26">
        <v>30</v>
      </c>
    </row>
    <row r="8" spans="1:53" x14ac:dyDescent="0.15">
      <c r="A8" s="170" t="s">
        <v>34</v>
      </c>
      <c r="B8" s="170" t="s">
        <v>157</v>
      </c>
      <c r="C8" s="170">
        <v>2019</v>
      </c>
      <c r="D8" s="172" t="s">
        <v>361</v>
      </c>
      <c r="E8" s="171" t="s">
        <v>362</v>
      </c>
      <c r="F8" s="170" t="s">
        <v>363</v>
      </c>
      <c r="G8" s="173" t="s">
        <v>36</v>
      </c>
      <c r="H8" s="127" t="s">
        <v>164</v>
      </c>
      <c r="I8" s="127" t="s">
        <v>159</v>
      </c>
      <c r="J8" s="127" t="s">
        <v>38</v>
      </c>
      <c r="K8" s="127" t="s">
        <v>54</v>
      </c>
      <c r="L8" s="53">
        <v>1</v>
      </c>
      <c r="N8" s="53">
        <v>4</v>
      </c>
      <c r="O8" s="53">
        <v>0.55000000000000004</v>
      </c>
      <c r="P8" s="53">
        <v>0.6</v>
      </c>
      <c r="Q8" s="74">
        <f t="shared" si="1"/>
        <v>0.57499999999999996</v>
      </c>
      <c r="R8" s="180">
        <v>15</v>
      </c>
      <c r="S8" s="180">
        <v>87</v>
      </c>
      <c r="T8" s="16">
        <f t="shared" si="0"/>
        <v>39</v>
      </c>
      <c r="U8" s="176">
        <v>98</v>
      </c>
      <c r="V8" s="38">
        <f t="shared" si="2"/>
        <v>955.5</v>
      </c>
      <c r="W8" s="177">
        <v>4</v>
      </c>
      <c r="X8" s="178" t="s">
        <v>46</v>
      </c>
      <c r="Y8" s="184" t="s">
        <v>84</v>
      </c>
      <c r="Z8" s="178" t="s">
        <v>40</v>
      </c>
      <c r="AA8" s="169" t="s">
        <v>90</v>
      </c>
      <c r="AB8" s="53" t="s">
        <v>158</v>
      </c>
      <c r="AE8" s="22" t="s">
        <v>59</v>
      </c>
      <c r="AG8" s="67" t="s">
        <v>211</v>
      </c>
      <c r="AH8" s="67" t="s">
        <v>368</v>
      </c>
      <c r="AL8" s="34" t="s">
        <v>134</v>
      </c>
      <c r="AP8" s="23" t="s">
        <v>62</v>
      </c>
      <c r="AR8" s="23" t="s">
        <v>81</v>
      </c>
      <c r="AV8" s="23" t="s">
        <v>97</v>
      </c>
      <c r="AX8" s="24">
        <v>151</v>
      </c>
      <c r="AY8" s="25">
        <v>22</v>
      </c>
      <c r="AZ8" s="25">
        <v>152</v>
      </c>
      <c r="BA8" s="26">
        <v>18</v>
      </c>
    </row>
    <row r="9" spans="1:53" x14ac:dyDescent="0.15">
      <c r="A9" s="170" t="s">
        <v>34</v>
      </c>
      <c r="B9" s="170" t="s">
        <v>157</v>
      </c>
      <c r="C9" s="171">
        <v>2019</v>
      </c>
      <c r="D9" s="172" t="s">
        <v>361</v>
      </c>
      <c r="E9" s="171" t="s">
        <v>362</v>
      </c>
      <c r="F9" s="170" t="s">
        <v>363</v>
      </c>
      <c r="G9" s="173" t="s">
        <v>36</v>
      </c>
      <c r="H9" s="127" t="s">
        <v>164</v>
      </c>
      <c r="I9" s="127" t="s">
        <v>159</v>
      </c>
      <c r="J9" s="127" t="s">
        <v>38</v>
      </c>
      <c r="K9" s="127" t="s">
        <v>54</v>
      </c>
      <c r="L9" s="53">
        <v>2</v>
      </c>
      <c r="N9" s="53">
        <v>4</v>
      </c>
      <c r="O9" s="53">
        <v>0.6</v>
      </c>
      <c r="P9" s="53">
        <v>0.55000000000000004</v>
      </c>
      <c r="Q9" s="74">
        <f t="shared" si="1"/>
        <v>0.57499999999999996</v>
      </c>
      <c r="R9" s="180">
        <v>15.3</v>
      </c>
      <c r="S9" s="180">
        <v>95</v>
      </c>
      <c r="T9" s="16">
        <f t="shared" si="0"/>
        <v>39</v>
      </c>
      <c r="U9" s="176">
        <v>98</v>
      </c>
      <c r="V9" s="38">
        <f t="shared" si="2"/>
        <v>955.5</v>
      </c>
      <c r="W9" s="177">
        <v>4</v>
      </c>
      <c r="X9" s="178" t="s">
        <v>46</v>
      </c>
      <c r="Y9" s="184" t="s">
        <v>84</v>
      </c>
      <c r="Z9" s="178" t="s">
        <v>40</v>
      </c>
      <c r="AA9" s="169" t="s">
        <v>90</v>
      </c>
      <c r="AB9" s="53" t="s">
        <v>158</v>
      </c>
      <c r="AE9" s="22" t="s">
        <v>98</v>
      </c>
      <c r="AG9" s="67" t="s">
        <v>139</v>
      </c>
      <c r="AH9" s="67" t="s">
        <v>368</v>
      </c>
      <c r="AL9" s="73"/>
      <c r="AP9" s="23" t="s">
        <v>95</v>
      </c>
      <c r="AR9" s="23" t="s">
        <v>89</v>
      </c>
      <c r="AV9" s="23" t="s">
        <v>102</v>
      </c>
      <c r="AX9" s="31">
        <v>180</v>
      </c>
      <c r="AY9" s="32">
        <v>18</v>
      </c>
      <c r="AZ9" s="32">
        <v>181</v>
      </c>
      <c r="BA9" s="33">
        <v>16</v>
      </c>
    </row>
    <row r="10" spans="1:53" x14ac:dyDescent="0.15">
      <c r="A10" s="170" t="s">
        <v>34</v>
      </c>
      <c r="B10" s="170" t="s">
        <v>157</v>
      </c>
      <c r="C10" s="170">
        <v>2019</v>
      </c>
      <c r="D10" s="172" t="s">
        <v>361</v>
      </c>
      <c r="E10" s="171" t="s">
        <v>362</v>
      </c>
      <c r="F10" s="170" t="s">
        <v>363</v>
      </c>
      <c r="G10" s="173" t="s">
        <v>36</v>
      </c>
      <c r="H10" s="127" t="s">
        <v>164</v>
      </c>
      <c r="I10" s="127" t="s">
        <v>159</v>
      </c>
      <c r="J10" s="127" t="s">
        <v>38</v>
      </c>
      <c r="K10" s="127" t="s">
        <v>54</v>
      </c>
      <c r="L10" s="53">
        <v>3</v>
      </c>
      <c r="N10" s="53">
        <v>4</v>
      </c>
      <c r="O10" s="53">
        <v>0.5</v>
      </c>
      <c r="P10" s="53">
        <v>0.6</v>
      </c>
      <c r="Q10" s="74">
        <f t="shared" si="1"/>
        <v>0.55000000000000004</v>
      </c>
      <c r="R10" s="180">
        <v>15.1</v>
      </c>
      <c r="S10" s="180">
        <v>91</v>
      </c>
      <c r="T10" s="16">
        <f t="shared" si="0"/>
        <v>39</v>
      </c>
      <c r="U10" s="176">
        <v>98</v>
      </c>
      <c r="V10" s="38">
        <f t="shared" si="2"/>
        <v>955.5</v>
      </c>
      <c r="W10" s="177">
        <v>4</v>
      </c>
      <c r="X10" s="178" t="s">
        <v>46</v>
      </c>
      <c r="Y10" s="184" t="s">
        <v>84</v>
      </c>
      <c r="Z10" s="178" t="s">
        <v>40</v>
      </c>
      <c r="AA10" s="169" t="s">
        <v>90</v>
      </c>
      <c r="AB10" s="53" t="s">
        <v>158</v>
      </c>
      <c r="AE10" s="22" t="s">
        <v>103</v>
      </c>
      <c r="AG10" s="67" t="s">
        <v>133</v>
      </c>
      <c r="AH10" s="67" t="s">
        <v>369</v>
      </c>
      <c r="AL10" s="34"/>
      <c r="AP10" s="23" t="s">
        <v>100</v>
      </c>
      <c r="AR10" s="23" t="s">
        <v>123</v>
      </c>
      <c r="AV10" s="23" t="s">
        <v>106</v>
      </c>
    </row>
    <row r="11" spans="1:53" x14ac:dyDescent="0.15">
      <c r="A11" s="170" t="s">
        <v>34</v>
      </c>
      <c r="B11" s="170" t="s">
        <v>157</v>
      </c>
      <c r="C11" s="171">
        <v>2019</v>
      </c>
      <c r="D11" s="172" t="s">
        <v>361</v>
      </c>
      <c r="E11" s="171" t="s">
        <v>364</v>
      </c>
      <c r="F11" s="170" t="s">
        <v>363</v>
      </c>
      <c r="G11" s="173" t="s">
        <v>36</v>
      </c>
      <c r="H11" s="127" t="s">
        <v>163</v>
      </c>
      <c r="I11" s="127" t="s">
        <v>159</v>
      </c>
      <c r="J11" s="127" t="s">
        <v>38</v>
      </c>
      <c r="K11" s="127" t="s">
        <v>160</v>
      </c>
      <c r="L11" s="53">
        <v>1</v>
      </c>
      <c r="N11" s="53">
        <v>1</v>
      </c>
      <c r="O11" s="53">
        <v>0.6</v>
      </c>
      <c r="P11" s="53">
        <v>0.65</v>
      </c>
      <c r="Q11" s="74">
        <f t="shared" si="1"/>
        <v>0.625</v>
      </c>
      <c r="R11" s="180">
        <v>14.4</v>
      </c>
      <c r="S11" s="180">
        <v>121</v>
      </c>
      <c r="T11" s="16">
        <f t="shared" si="0"/>
        <v>30</v>
      </c>
      <c r="U11" s="176">
        <v>98</v>
      </c>
      <c r="V11" s="38">
        <f t="shared" si="2"/>
        <v>2940</v>
      </c>
      <c r="W11" s="177">
        <v>2</v>
      </c>
      <c r="X11" s="178" t="s">
        <v>39</v>
      </c>
      <c r="Y11" s="184" t="s">
        <v>84</v>
      </c>
      <c r="Z11" s="178" t="s">
        <v>69</v>
      </c>
      <c r="AA11" s="184" t="s">
        <v>40</v>
      </c>
      <c r="AB11" s="53" t="s">
        <v>158</v>
      </c>
      <c r="AE11" s="22" t="s">
        <v>65</v>
      </c>
      <c r="AG11" s="23" t="s">
        <v>274</v>
      </c>
      <c r="AH11" s="23" t="s">
        <v>370</v>
      </c>
      <c r="AL11" s="34"/>
      <c r="AP11" s="23" t="s">
        <v>104</v>
      </c>
      <c r="AR11" s="23" t="s">
        <v>87</v>
      </c>
      <c r="AV11" s="23" t="s">
        <v>69</v>
      </c>
    </row>
    <row r="12" spans="1:53" x14ac:dyDescent="0.15">
      <c r="A12" s="170" t="s">
        <v>34</v>
      </c>
      <c r="B12" s="170" t="s">
        <v>157</v>
      </c>
      <c r="C12" s="170">
        <v>2019</v>
      </c>
      <c r="D12" s="172" t="s">
        <v>361</v>
      </c>
      <c r="E12" s="171" t="s">
        <v>364</v>
      </c>
      <c r="F12" s="170" t="s">
        <v>363</v>
      </c>
      <c r="G12" s="173" t="s">
        <v>36</v>
      </c>
      <c r="H12" s="127" t="s">
        <v>163</v>
      </c>
      <c r="I12" s="127" t="s">
        <v>159</v>
      </c>
      <c r="J12" s="127" t="s">
        <v>38</v>
      </c>
      <c r="K12" s="127" t="s">
        <v>160</v>
      </c>
      <c r="L12" s="53">
        <v>2</v>
      </c>
      <c r="N12" s="53">
        <v>1</v>
      </c>
      <c r="O12" s="53">
        <v>0.65</v>
      </c>
      <c r="P12" s="53">
        <v>0.7</v>
      </c>
      <c r="Q12" s="74">
        <f t="shared" si="1"/>
        <v>0.67500000000000004</v>
      </c>
      <c r="R12" s="180">
        <v>14.7</v>
      </c>
      <c r="S12" s="180">
        <v>121</v>
      </c>
      <c r="T12" s="16">
        <f t="shared" si="0"/>
        <v>30</v>
      </c>
      <c r="U12" s="176">
        <v>98</v>
      </c>
      <c r="V12" s="38">
        <f t="shared" si="2"/>
        <v>2940</v>
      </c>
      <c r="W12" s="177">
        <v>2</v>
      </c>
      <c r="X12" s="178" t="s">
        <v>39</v>
      </c>
      <c r="Y12" s="184" t="s">
        <v>84</v>
      </c>
      <c r="Z12" s="178" t="s">
        <v>69</v>
      </c>
      <c r="AA12" s="184" t="s">
        <v>40</v>
      </c>
      <c r="AB12" s="53" t="s">
        <v>158</v>
      </c>
      <c r="AE12" s="22" t="s">
        <v>70</v>
      </c>
      <c r="AG12" s="23"/>
      <c r="AH12" s="23"/>
      <c r="AL12" s="34"/>
      <c r="AP12" s="23" t="s">
        <v>67</v>
      </c>
      <c r="AR12" s="23" t="s">
        <v>124</v>
      </c>
      <c r="AV12" s="23" t="s">
        <v>72</v>
      </c>
    </row>
    <row r="13" spans="1:53" x14ac:dyDescent="0.15">
      <c r="A13" s="170" t="s">
        <v>34</v>
      </c>
      <c r="B13" s="170" t="s">
        <v>157</v>
      </c>
      <c r="C13" s="171">
        <v>2019</v>
      </c>
      <c r="D13" s="172" t="s">
        <v>361</v>
      </c>
      <c r="E13" s="171" t="s">
        <v>364</v>
      </c>
      <c r="F13" s="170" t="s">
        <v>363</v>
      </c>
      <c r="G13" s="173" t="s">
        <v>36</v>
      </c>
      <c r="H13" s="127" t="s">
        <v>163</v>
      </c>
      <c r="I13" s="127" t="s">
        <v>159</v>
      </c>
      <c r="J13" s="127" t="s">
        <v>38</v>
      </c>
      <c r="K13" s="127" t="s">
        <v>160</v>
      </c>
      <c r="L13" s="53">
        <v>3</v>
      </c>
      <c r="N13" s="53">
        <v>1</v>
      </c>
      <c r="O13" s="53">
        <v>0.55000000000000004</v>
      </c>
      <c r="P13" s="53">
        <v>0.5</v>
      </c>
      <c r="Q13" s="74">
        <f t="shared" si="1"/>
        <v>0.52500000000000002</v>
      </c>
      <c r="R13" s="180">
        <v>15.1</v>
      </c>
      <c r="S13" s="180">
        <v>119</v>
      </c>
      <c r="T13" s="16">
        <f t="shared" si="0"/>
        <v>30</v>
      </c>
      <c r="U13" s="176">
        <v>98</v>
      </c>
      <c r="V13" s="38">
        <f t="shared" si="2"/>
        <v>2940</v>
      </c>
      <c r="W13" s="177">
        <v>2</v>
      </c>
      <c r="X13" s="178" t="s">
        <v>39</v>
      </c>
      <c r="Y13" s="184" t="s">
        <v>84</v>
      </c>
      <c r="Z13" s="178" t="s">
        <v>69</v>
      </c>
      <c r="AA13" s="184" t="s">
        <v>40</v>
      </c>
      <c r="AB13" s="53" t="s">
        <v>158</v>
      </c>
      <c r="AE13" s="22" t="s">
        <v>73</v>
      </c>
      <c r="AG13" s="28"/>
      <c r="AH13" s="28"/>
      <c r="AP13" s="23" t="s">
        <v>71</v>
      </c>
      <c r="AR13" s="23" t="s">
        <v>103</v>
      </c>
      <c r="AV13" s="23" t="s">
        <v>75</v>
      </c>
    </row>
    <row r="14" spans="1:53" x14ac:dyDescent="0.15">
      <c r="A14" s="170" t="s">
        <v>34</v>
      </c>
      <c r="B14" s="170" t="s">
        <v>157</v>
      </c>
      <c r="C14" s="170">
        <v>2019</v>
      </c>
      <c r="D14" s="172" t="s">
        <v>361</v>
      </c>
      <c r="E14" s="171" t="s">
        <v>359</v>
      </c>
      <c r="F14" s="170" t="s">
        <v>365</v>
      </c>
      <c r="G14" s="173" t="s">
        <v>36</v>
      </c>
      <c r="H14" s="127" t="s">
        <v>163</v>
      </c>
      <c r="I14" s="127" t="s">
        <v>159</v>
      </c>
      <c r="J14" s="127" t="s">
        <v>38</v>
      </c>
      <c r="K14" s="127" t="s">
        <v>160</v>
      </c>
      <c r="L14" s="53">
        <v>1</v>
      </c>
      <c r="N14" s="53">
        <v>1</v>
      </c>
      <c r="O14" s="53">
        <v>1.2</v>
      </c>
      <c r="P14" s="53">
        <v>0.95</v>
      </c>
      <c r="Q14" s="74">
        <f t="shared" si="1"/>
        <v>1.075</v>
      </c>
      <c r="R14" s="180">
        <v>14.4</v>
      </c>
      <c r="S14" s="180">
        <v>119</v>
      </c>
      <c r="T14" s="16">
        <f t="shared" si="0"/>
        <v>30</v>
      </c>
      <c r="U14" s="176">
        <v>75</v>
      </c>
      <c r="V14" s="38">
        <f t="shared" si="2"/>
        <v>2250</v>
      </c>
      <c r="W14" s="177">
        <v>1</v>
      </c>
      <c r="X14" s="178" t="s">
        <v>46</v>
      </c>
      <c r="Y14" s="184" t="s">
        <v>84</v>
      </c>
      <c r="Z14" s="184" t="s">
        <v>50</v>
      </c>
      <c r="AA14" s="184" t="s">
        <v>78</v>
      </c>
      <c r="AB14" s="53" t="s">
        <v>158</v>
      </c>
      <c r="AC14" s="34"/>
      <c r="AE14" s="22" t="s">
        <v>76</v>
      </c>
      <c r="AP14" s="23" t="s">
        <v>74</v>
      </c>
      <c r="AR14" s="23" t="s">
        <v>125</v>
      </c>
      <c r="AV14" s="23" t="s">
        <v>78</v>
      </c>
    </row>
    <row r="15" spans="1:53" x14ac:dyDescent="0.15">
      <c r="A15" s="170" t="s">
        <v>34</v>
      </c>
      <c r="B15" s="170" t="s">
        <v>157</v>
      </c>
      <c r="C15" s="171">
        <v>2019</v>
      </c>
      <c r="D15" s="172" t="s">
        <v>361</v>
      </c>
      <c r="E15" s="171" t="s">
        <v>359</v>
      </c>
      <c r="F15" s="170" t="s">
        <v>365</v>
      </c>
      <c r="G15" s="173" t="s">
        <v>36</v>
      </c>
      <c r="H15" s="127" t="s">
        <v>163</v>
      </c>
      <c r="I15" s="127" t="s">
        <v>159</v>
      </c>
      <c r="J15" s="127" t="s">
        <v>38</v>
      </c>
      <c r="K15" s="127" t="s">
        <v>160</v>
      </c>
      <c r="L15" s="53">
        <v>2</v>
      </c>
      <c r="N15" s="53">
        <v>1</v>
      </c>
      <c r="O15" s="53">
        <v>1.1000000000000001</v>
      </c>
      <c r="P15" s="53">
        <v>1</v>
      </c>
      <c r="Q15" s="74">
        <f t="shared" si="1"/>
        <v>1.05</v>
      </c>
      <c r="R15" s="180">
        <v>14.5</v>
      </c>
      <c r="S15" s="180">
        <v>123</v>
      </c>
      <c r="T15" s="16">
        <f t="shared" si="0"/>
        <v>30</v>
      </c>
      <c r="U15" s="176">
        <v>75</v>
      </c>
      <c r="V15" s="38">
        <f t="shared" si="2"/>
        <v>2250</v>
      </c>
      <c r="W15" s="177">
        <v>1</v>
      </c>
      <c r="X15" s="178" t="s">
        <v>46</v>
      </c>
      <c r="Y15" s="184" t="s">
        <v>84</v>
      </c>
      <c r="Z15" s="184" t="s">
        <v>50</v>
      </c>
      <c r="AA15" s="184" t="s">
        <v>78</v>
      </c>
      <c r="AB15" s="53" t="s">
        <v>158</v>
      </c>
      <c r="AC15" s="34"/>
      <c r="AE15" s="22" t="s">
        <v>79</v>
      </c>
      <c r="AP15" s="23" t="s">
        <v>77</v>
      </c>
      <c r="AR15" s="23" t="s">
        <v>94</v>
      </c>
      <c r="AV15" s="23" t="s">
        <v>107</v>
      </c>
    </row>
    <row r="16" spans="1:53" x14ac:dyDescent="0.15">
      <c r="A16" s="170" t="s">
        <v>34</v>
      </c>
      <c r="B16" s="170" t="s">
        <v>157</v>
      </c>
      <c r="C16" s="170">
        <v>2019</v>
      </c>
      <c r="D16" s="172" t="s">
        <v>361</v>
      </c>
      <c r="E16" s="171" t="s">
        <v>359</v>
      </c>
      <c r="F16" s="170" t="s">
        <v>365</v>
      </c>
      <c r="G16" s="173" t="s">
        <v>36</v>
      </c>
      <c r="H16" s="127" t="s">
        <v>163</v>
      </c>
      <c r="I16" s="127" t="s">
        <v>159</v>
      </c>
      <c r="J16" s="127" t="s">
        <v>38</v>
      </c>
      <c r="K16" s="127" t="s">
        <v>160</v>
      </c>
      <c r="L16" s="53">
        <v>3</v>
      </c>
      <c r="N16" s="53">
        <v>1</v>
      </c>
      <c r="O16" s="53">
        <v>0.95</v>
      </c>
      <c r="P16" s="53">
        <v>1</v>
      </c>
      <c r="Q16" s="74">
        <f t="shared" si="1"/>
        <v>0.97499999999999998</v>
      </c>
      <c r="R16" s="180">
        <v>14.9</v>
      </c>
      <c r="S16" s="180">
        <v>116</v>
      </c>
      <c r="T16" s="16">
        <f t="shared" si="0"/>
        <v>30</v>
      </c>
      <c r="U16" s="176">
        <v>75</v>
      </c>
      <c r="V16" s="38">
        <f t="shared" si="2"/>
        <v>2250</v>
      </c>
      <c r="W16" s="177">
        <v>1</v>
      </c>
      <c r="X16" s="178" t="s">
        <v>46</v>
      </c>
      <c r="Y16" s="184" t="s">
        <v>84</v>
      </c>
      <c r="Z16" s="184" t="s">
        <v>50</v>
      </c>
      <c r="AA16" s="184" t="s">
        <v>78</v>
      </c>
      <c r="AB16" s="53" t="s">
        <v>158</v>
      </c>
      <c r="AC16" s="34"/>
      <c r="AE16" s="22" t="s">
        <v>82</v>
      </c>
      <c r="AP16" s="23" t="s">
        <v>80</v>
      </c>
      <c r="AR16" s="23" t="s">
        <v>63</v>
      </c>
      <c r="AV16" s="23" t="s">
        <v>84</v>
      </c>
    </row>
    <row r="17" spans="1:48" x14ac:dyDescent="0.15">
      <c r="A17" s="170" t="s">
        <v>34</v>
      </c>
      <c r="B17" s="170" t="s">
        <v>237</v>
      </c>
      <c r="C17" s="171">
        <v>2019</v>
      </c>
      <c r="D17" s="172" t="s">
        <v>361</v>
      </c>
      <c r="E17" s="171" t="s">
        <v>211</v>
      </c>
      <c r="F17" s="170" t="s">
        <v>366</v>
      </c>
      <c r="G17" s="173" t="s">
        <v>42</v>
      </c>
      <c r="H17" s="127" t="s">
        <v>163</v>
      </c>
      <c r="I17" s="127" t="s">
        <v>159</v>
      </c>
      <c r="J17" s="127" t="s">
        <v>38</v>
      </c>
      <c r="K17" s="127" t="s">
        <v>160</v>
      </c>
      <c r="L17" s="53">
        <v>1</v>
      </c>
      <c r="N17" s="53">
        <v>4</v>
      </c>
      <c r="O17" s="53">
        <v>0.55000000000000004</v>
      </c>
      <c r="P17" s="53">
        <v>0.6</v>
      </c>
      <c r="Q17" s="74">
        <f t="shared" si="1"/>
        <v>0.57499999999999996</v>
      </c>
      <c r="R17" s="180">
        <v>14.9</v>
      </c>
      <c r="S17" s="180">
        <v>102</v>
      </c>
      <c r="T17" s="16">
        <f t="shared" si="0"/>
        <v>33</v>
      </c>
      <c r="U17" s="176">
        <v>377</v>
      </c>
      <c r="V17" s="38">
        <f t="shared" si="2"/>
        <v>3110.25</v>
      </c>
      <c r="W17" s="177">
        <v>4</v>
      </c>
      <c r="X17" s="178" t="s">
        <v>46</v>
      </c>
      <c r="Y17" s="184" t="s">
        <v>84</v>
      </c>
      <c r="Z17" s="184" t="s">
        <v>40</v>
      </c>
      <c r="AA17" s="184" t="s">
        <v>90</v>
      </c>
      <c r="AB17" s="53" t="s">
        <v>158</v>
      </c>
      <c r="AC17" s="34"/>
      <c r="AE17" s="22" t="s">
        <v>85</v>
      </c>
      <c r="AP17" s="27" t="s">
        <v>110</v>
      </c>
      <c r="AR17" s="23" t="s">
        <v>96</v>
      </c>
      <c r="AV17" s="23" t="s">
        <v>86</v>
      </c>
    </row>
    <row r="18" spans="1:48" x14ac:dyDescent="0.15">
      <c r="A18" s="170" t="s">
        <v>34</v>
      </c>
      <c r="B18" s="170" t="s">
        <v>157</v>
      </c>
      <c r="C18" s="170">
        <v>2019</v>
      </c>
      <c r="D18" s="172" t="s">
        <v>361</v>
      </c>
      <c r="E18" s="171" t="s">
        <v>211</v>
      </c>
      <c r="F18" s="170" t="s">
        <v>366</v>
      </c>
      <c r="G18" s="173" t="s">
        <v>42</v>
      </c>
      <c r="H18" s="127" t="s">
        <v>163</v>
      </c>
      <c r="I18" s="127" t="s">
        <v>159</v>
      </c>
      <c r="J18" s="127" t="s">
        <v>38</v>
      </c>
      <c r="K18" s="127" t="s">
        <v>160</v>
      </c>
      <c r="L18" s="53">
        <v>2</v>
      </c>
      <c r="N18" s="53">
        <v>4</v>
      </c>
      <c r="O18" s="53">
        <v>0.6</v>
      </c>
      <c r="P18" s="53">
        <v>0.5</v>
      </c>
      <c r="Q18" s="74">
        <f t="shared" si="1"/>
        <v>0.55000000000000004</v>
      </c>
      <c r="R18" s="180">
        <v>15.2</v>
      </c>
      <c r="S18" s="180">
        <v>105</v>
      </c>
      <c r="T18" s="16">
        <f t="shared" si="0"/>
        <v>33</v>
      </c>
      <c r="U18" s="176">
        <v>377</v>
      </c>
      <c r="V18" s="38">
        <f t="shared" si="2"/>
        <v>3110.25</v>
      </c>
      <c r="W18" s="177">
        <v>4</v>
      </c>
      <c r="X18" s="178" t="s">
        <v>46</v>
      </c>
      <c r="Y18" s="184" t="s">
        <v>84</v>
      </c>
      <c r="Z18" s="184" t="s">
        <v>40</v>
      </c>
      <c r="AA18" s="184" t="s">
        <v>90</v>
      </c>
      <c r="AB18" s="53" t="s">
        <v>158</v>
      </c>
      <c r="AC18" s="34"/>
      <c r="AE18" s="22" t="s">
        <v>87</v>
      </c>
      <c r="AP18" s="27" t="s">
        <v>111</v>
      </c>
      <c r="AR18" s="23" t="s">
        <v>101</v>
      </c>
      <c r="AV18" s="23" t="s">
        <v>88</v>
      </c>
    </row>
    <row r="19" spans="1:48" x14ac:dyDescent="0.15">
      <c r="A19" s="170" t="s">
        <v>34</v>
      </c>
      <c r="B19" s="170" t="s">
        <v>157</v>
      </c>
      <c r="C19" s="171">
        <v>2019</v>
      </c>
      <c r="D19" s="172" t="s">
        <v>361</v>
      </c>
      <c r="E19" s="171" t="s">
        <v>211</v>
      </c>
      <c r="F19" s="170" t="s">
        <v>366</v>
      </c>
      <c r="G19" s="173" t="s">
        <v>42</v>
      </c>
      <c r="H19" s="127" t="s">
        <v>163</v>
      </c>
      <c r="I19" s="127" t="s">
        <v>159</v>
      </c>
      <c r="J19" s="127" t="s">
        <v>38</v>
      </c>
      <c r="K19" s="127" t="s">
        <v>160</v>
      </c>
      <c r="L19" s="53">
        <v>3</v>
      </c>
      <c r="N19" s="53">
        <v>4</v>
      </c>
      <c r="O19" s="53">
        <v>0.6</v>
      </c>
      <c r="P19" s="53">
        <v>0.55000000000000004</v>
      </c>
      <c r="Q19" s="74">
        <f t="shared" si="1"/>
        <v>0.57499999999999996</v>
      </c>
      <c r="R19" s="180">
        <v>15.5</v>
      </c>
      <c r="S19" s="180">
        <v>91</v>
      </c>
      <c r="T19" s="16">
        <f t="shared" si="0"/>
        <v>36</v>
      </c>
      <c r="U19" s="176">
        <v>377</v>
      </c>
      <c r="V19" s="38">
        <f t="shared" si="2"/>
        <v>3393</v>
      </c>
      <c r="W19" s="177">
        <v>4</v>
      </c>
      <c r="X19" s="178" t="s">
        <v>46</v>
      </c>
      <c r="Y19" s="184" t="s">
        <v>84</v>
      </c>
      <c r="Z19" s="184" t="s">
        <v>40</v>
      </c>
      <c r="AA19" s="184" t="s">
        <v>90</v>
      </c>
      <c r="AB19" s="53" t="s">
        <v>158</v>
      </c>
      <c r="AC19" s="34"/>
      <c r="AE19" s="35" t="s">
        <v>89</v>
      </c>
      <c r="AP19" s="27" t="s">
        <v>112</v>
      </c>
      <c r="AR19" s="23" t="s">
        <v>126</v>
      </c>
      <c r="AV19" s="23" t="s">
        <v>90</v>
      </c>
    </row>
    <row r="20" spans="1:48" x14ac:dyDescent="0.15">
      <c r="A20" s="170" t="s">
        <v>34</v>
      </c>
      <c r="B20" s="170" t="s">
        <v>157</v>
      </c>
      <c r="C20" s="170">
        <v>2019</v>
      </c>
      <c r="D20" s="172" t="s">
        <v>361</v>
      </c>
      <c r="E20" s="171" t="s">
        <v>211</v>
      </c>
      <c r="F20" s="170" t="s">
        <v>366</v>
      </c>
      <c r="G20" s="173" t="s">
        <v>42</v>
      </c>
      <c r="H20" s="127" t="s">
        <v>128</v>
      </c>
      <c r="I20" s="127" t="s">
        <v>159</v>
      </c>
      <c r="J20" s="127" t="s">
        <v>80</v>
      </c>
      <c r="K20" s="127" t="s">
        <v>45</v>
      </c>
      <c r="L20" s="53">
        <v>1</v>
      </c>
      <c r="N20" s="53">
        <v>4</v>
      </c>
      <c r="O20" s="53">
        <v>1.25</v>
      </c>
      <c r="P20" s="53">
        <v>1.1499999999999999</v>
      </c>
      <c r="Q20" s="74">
        <f t="shared" si="1"/>
        <v>1.2</v>
      </c>
      <c r="R20" s="180">
        <v>13.5</v>
      </c>
      <c r="S20" s="180">
        <v>90</v>
      </c>
      <c r="T20" s="16">
        <f t="shared" si="0"/>
        <v>36</v>
      </c>
      <c r="U20" s="176">
        <v>377</v>
      </c>
      <c r="V20" s="38">
        <f t="shared" si="2"/>
        <v>3393</v>
      </c>
      <c r="W20" s="177">
        <v>4</v>
      </c>
      <c r="X20" s="178" t="s">
        <v>46</v>
      </c>
      <c r="Y20" s="184" t="s">
        <v>84</v>
      </c>
      <c r="Z20" s="184" t="s">
        <v>40</v>
      </c>
      <c r="AA20" s="184" t="s">
        <v>90</v>
      </c>
      <c r="AB20" s="53" t="s">
        <v>158</v>
      </c>
      <c r="AE20" s="35"/>
      <c r="AP20" s="27" t="s">
        <v>113</v>
      </c>
      <c r="AR20" s="23" t="s">
        <v>105</v>
      </c>
      <c r="AV20" s="27" t="s">
        <v>135</v>
      </c>
    </row>
    <row r="21" spans="1:48" x14ac:dyDescent="0.15">
      <c r="A21" s="170" t="s">
        <v>34</v>
      </c>
      <c r="B21" s="170" t="s">
        <v>157</v>
      </c>
      <c r="C21" s="171">
        <v>2019</v>
      </c>
      <c r="D21" s="172" t="s">
        <v>361</v>
      </c>
      <c r="E21" s="171" t="s">
        <v>211</v>
      </c>
      <c r="F21" s="170" t="s">
        <v>366</v>
      </c>
      <c r="G21" s="173" t="s">
        <v>42</v>
      </c>
      <c r="H21" s="127" t="s">
        <v>128</v>
      </c>
      <c r="I21" s="127" t="s">
        <v>159</v>
      </c>
      <c r="J21" s="127" t="s">
        <v>80</v>
      </c>
      <c r="K21" s="127" t="s">
        <v>45</v>
      </c>
      <c r="L21" s="53">
        <v>2</v>
      </c>
      <c r="N21" s="53">
        <v>4</v>
      </c>
      <c r="O21" s="53">
        <v>1.5</v>
      </c>
      <c r="P21" s="53">
        <v>1.2</v>
      </c>
      <c r="Q21" s="74">
        <f t="shared" si="1"/>
        <v>1.35</v>
      </c>
      <c r="R21" s="180">
        <v>14</v>
      </c>
      <c r="S21" s="180">
        <v>863</v>
      </c>
      <c r="T21" s="16">
        <f t="shared" si="0"/>
        <v>30</v>
      </c>
      <c r="U21" s="176">
        <v>377</v>
      </c>
      <c r="V21" s="38">
        <f t="shared" si="2"/>
        <v>2827.5</v>
      </c>
      <c r="W21" s="177">
        <v>4</v>
      </c>
      <c r="X21" s="178" t="s">
        <v>46</v>
      </c>
      <c r="Y21" s="184" t="s">
        <v>84</v>
      </c>
      <c r="Z21" s="184" t="s">
        <v>40</v>
      </c>
      <c r="AA21" s="184" t="s">
        <v>90</v>
      </c>
      <c r="AB21" s="53" t="s">
        <v>158</v>
      </c>
      <c r="AE21" s="28"/>
      <c r="AP21" s="27" t="s">
        <v>114</v>
      </c>
      <c r="AR21" s="23" t="s">
        <v>68</v>
      </c>
      <c r="AV21" s="27" t="s">
        <v>136</v>
      </c>
    </row>
    <row r="22" spans="1:48" x14ac:dyDescent="0.15">
      <c r="A22" s="170" t="s">
        <v>34</v>
      </c>
      <c r="B22" s="170" t="s">
        <v>157</v>
      </c>
      <c r="C22" s="170">
        <v>2019</v>
      </c>
      <c r="D22" s="172" t="s">
        <v>361</v>
      </c>
      <c r="E22" s="171" t="s">
        <v>211</v>
      </c>
      <c r="F22" s="170" t="s">
        <v>366</v>
      </c>
      <c r="G22" s="173" t="s">
        <v>42</v>
      </c>
      <c r="H22" s="127" t="s">
        <v>128</v>
      </c>
      <c r="I22" s="127" t="s">
        <v>159</v>
      </c>
      <c r="J22" s="127" t="s">
        <v>80</v>
      </c>
      <c r="K22" s="127" t="s">
        <v>45</v>
      </c>
      <c r="L22" s="53">
        <v>3</v>
      </c>
      <c r="N22" s="53">
        <v>4</v>
      </c>
      <c r="O22" s="53">
        <v>1.4</v>
      </c>
      <c r="P22" s="34">
        <v>1.35</v>
      </c>
      <c r="Q22" s="74">
        <f t="shared" si="1"/>
        <v>1.375</v>
      </c>
      <c r="R22" s="180">
        <v>13.3</v>
      </c>
      <c r="S22" s="180">
        <v>99</v>
      </c>
      <c r="T22" s="16">
        <f t="shared" si="0"/>
        <v>33</v>
      </c>
      <c r="U22" s="176">
        <v>377</v>
      </c>
      <c r="V22" s="38">
        <f t="shared" si="2"/>
        <v>3110.25</v>
      </c>
      <c r="W22" s="177">
        <v>4</v>
      </c>
      <c r="X22" s="178" t="s">
        <v>46</v>
      </c>
      <c r="Y22" s="184" t="s">
        <v>84</v>
      </c>
      <c r="Z22" s="184" t="s">
        <v>40</v>
      </c>
      <c r="AA22" s="184" t="s">
        <v>90</v>
      </c>
      <c r="AB22" s="53" t="s">
        <v>158</v>
      </c>
      <c r="AP22" s="27" t="s">
        <v>115</v>
      </c>
      <c r="AR22" s="23" t="s">
        <v>83</v>
      </c>
      <c r="AV22" s="23"/>
    </row>
    <row r="23" spans="1:48" x14ac:dyDescent="0.15">
      <c r="A23" s="170" t="s">
        <v>34</v>
      </c>
      <c r="B23" s="170" t="s">
        <v>157</v>
      </c>
      <c r="C23" s="171">
        <v>2019</v>
      </c>
      <c r="D23" s="172" t="s">
        <v>361</v>
      </c>
      <c r="E23" s="171" t="s">
        <v>274</v>
      </c>
      <c r="F23" s="170" t="s">
        <v>366</v>
      </c>
      <c r="G23" s="173" t="s">
        <v>42</v>
      </c>
      <c r="H23" s="127" t="s">
        <v>163</v>
      </c>
      <c r="I23" s="127" t="s">
        <v>159</v>
      </c>
      <c r="J23" s="127" t="s">
        <v>38</v>
      </c>
      <c r="K23" s="127" t="s">
        <v>160</v>
      </c>
      <c r="L23" s="53">
        <v>1</v>
      </c>
      <c r="N23" s="53">
        <v>7</v>
      </c>
      <c r="O23" s="53">
        <v>0.5</v>
      </c>
      <c r="P23" s="34">
        <v>0.55000000000000004</v>
      </c>
      <c r="Q23" s="74">
        <f t="shared" si="1"/>
        <v>0.52500000000000002</v>
      </c>
      <c r="R23" s="180">
        <v>15.2</v>
      </c>
      <c r="S23" s="180">
        <v>91</v>
      </c>
      <c r="T23" s="16">
        <f t="shared" si="0"/>
        <v>36</v>
      </c>
      <c r="U23" s="176">
        <v>398</v>
      </c>
      <c r="V23" s="38">
        <f t="shared" si="2"/>
        <v>2046.8571428571427</v>
      </c>
      <c r="W23" s="177">
        <v>2</v>
      </c>
      <c r="X23" s="178" t="s">
        <v>46</v>
      </c>
      <c r="Y23" s="184" t="s">
        <v>40</v>
      </c>
      <c r="Z23" s="184" t="s">
        <v>84</v>
      </c>
      <c r="AA23" s="184" t="s">
        <v>69</v>
      </c>
      <c r="AB23" s="53" t="s">
        <v>158</v>
      </c>
      <c r="AP23" s="27" t="s">
        <v>137</v>
      </c>
      <c r="AR23" s="23" t="s">
        <v>61</v>
      </c>
      <c r="AV23" s="23"/>
    </row>
    <row r="24" spans="1:48" x14ac:dyDescent="0.15">
      <c r="A24" s="170" t="s">
        <v>34</v>
      </c>
      <c r="B24" s="170" t="s">
        <v>157</v>
      </c>
      <c r="C24" s="170">
        <v>2019</v>
      </c>
      <c r="D24" s="172" t="s">
        <v>361</v>
      </c>
      <c r="E24" s="171" t="s">
        <v>274</v>
      </c>
      <c r="F24" s="170" t="s">
        <v>366</v>
      </c>
      <c r="G24" s="173" t="s">
        <v>42</v>
      </c>
      <c r="H24" s="127" t="s">
        <v>163</v>
      </c>
      <c r="I24" s="127" t="s">
        <v>159</v>
      </c>
      <c r="J24" s="127" t="s">
        <v>38</v>
      </c>
      <c r="K24" s="127" t="s">
        <v>160</v>
      </c>
      <c r="L24" s="53">
        <v>2</v>
      </c>
      <c r="N24" s="53">
        <v>7</v>
      </c>
      <c r="O24" s="53">
        <v>0.55000000000000004</v>
      </c>
      <c r="P24" s="34">
        <v>0.6</v>
      </c>
      <c r="Q24" s="74">
        <f t="shared" si="1"/>
        <v>0.57499999999999996</v>
      </c>
      <c r="R24" s="180">
        <v>14.7</v>
      </c>
      <c r="S24" s="180">
        <v>101</v>
      </c>
      <c r="T24" s="16">
        <f t="shared" si="0"/>
        <v>33</v>
      </c>
      <c r="U24" s="176">
        <v>398</v>
      </c>
      <c r="V24" s="38">
        <f t="shared" si="2"/>
        <v>1876.2857142857142</v>
      </c>
      <c r="W24" s="177">
        <v>2</v>
      </c>
      <c r="X24" s="178" t="s">
        <v>46</v>
      </c>
      <c r="Y24" s="184" t="s">
        <v>40</v>
      </c>
      <c r="Z24" s="184" t="s">
        <v>84</v>
      </c>
      <c r="AA24" s="184" t="s">
        <v>69</v>
      </c>
      <c r="AB24" s="53" t="s">
        <v>158</v>
      </c>
      <c r="AP24" s="27" t="s">
        <v>138</v>
      </c>
      <c r="AR24" s="23" t="s">
        <v>91</v>
      </c>
      <c r="AV24" s="23"/>
    </row>
    <row r="25" spans="1:48" x14ac:dyDescent="0.15">
      <c r="A25" s="170" t="s">
        <v>34</v>
      </c>
      <c r="B25" s="170" t="s">
        <v>157</v>
      </c>
      <c r="C25" s="171">
        <v>2019</v>
      </c>
      <c r="D25" s="172" t="s">
        <v>361</v>
      </c>
      <c r="E25" s="171" t="s">
        <v>274</v>
      </c>
      <c r="F25" s="170" t="s">
        <v>366</v>
      </c>
      <c r="G25" s="173" t="s">
        <v>42</v>
      </c>
      <c r="H25" s="127" t="s">
        <v>163</v>
      </c>
      <c r="I25" s="127" t="s">
        <v>159</v>
      </c>
      <c r="J25" s="127" t="s">
        <v>38</v>
      </c>
      <c r="K25" s="127" t="s">
        <v>160</v>
      </c>
      <c r="L25" s="53">
        <v>3</v>
      </c>
      <c r="N25" s="53">
        <v>7</v>
      </c>
      <c r="O25" s="53">
        <v>0.5</v>
      </c>
      <c r="P25" s="34">
        <v>0.6</v>
      </c>
      <c r="Q25" s="74">
        <f t="shared" si="1"/>
        <v>0.55000000000000004</v>
      </c>
      <c r="R25" s="180">
        <v>15.2</v>
      </c>
      <c r="S25" s="180">
        <v>96</v>
      </c>
      <c r="T25" s="16">
        <f t="shared" si="0"/>
        <v>36</v>
      </c>
      <c r="U25" s="176">
        <v>398</v>
      </c>
      <c r="V25" s="38">
        <f t="shared" si="2"/>
        <v>2046.8571428571427</v>
      </c>
      <c r="W25" s="177">
        <v>2</v>
      </c>
      <c r="X25" s="178" t="s">
        <v>46</v>
      </c>
      <c r="Y25" s="184" t="s">
        <v>40</v>
      </c>
      <c r="Z25" s="184" t="s">
        <v>84</v>
      </c>
      <c r="AA25" s="184" t="s">
        <v>69</v>
      </c>
      <c r="AB25" s="53" t="s">
        <v>158</v>
      </c>
      <c r="AP25" s="27" t="s">
        <v>116</v>
      </c>
      <c r="AR25" s="27" t="s">
        <v>92</v>
      </c>
      <c r="AV25" s="23"/>
    </row>
    <row r="26" spans="1:48" x14ac:dyDescent="0.15">
      <c r="A26" s="170" t="s">
        <v>34</v>
      </c>
      <c r="B26" s="170" t="s">
        <v>157</v>
      </c>
      <c r="C26" s="170">
        <v>2019</v>
      </c>
      <c r="D26" s="172" t="s">
        <v>361</v>
      </c>
      <c r="E26" s="171" t="s">
        <v>274</v>
      </c>
      <c r="F26" s="170" t="s">
        <v>366</v>
      </c>
      <c r="G26" s="173" t="s">
        <v>42</v>
      </c>
      <c r="H26" s="127" t="s">
        <v>164</v>
      </c>
      <c r="I26" s="127" t="s">
        <v>159</v>
      </c>
      <c r="J26" s="127" t="s">
        <v>38</v>
      </c>
      <c r="K26" s="127" t="s">
        <v>54</v>
      </c>
      <c r="L26" s="53">
        <v>1</v>
      </c>
      <c r="N26" s="53">
        <v>4</v>
      </c>
      <c r="O26" s="53">
        <v>0.6</v>
      </c>
      <c r="P26" s="53">
        <v>0.55000000000000004</v>
      </c>
      <c r="Q26" s="74">
        <f t="shared" si="1"/>
        <v>0.57499999999999996</v>
      </c>
      <c r="R26" s="180">
        <v>15.3</v>
      </c>
      <c r="S26" s="180">
        <v>84</v>
      </c>
      <c r="T26" s="16">
        <f t="shared" si="0"/>
        <v>39</v>
      </c>
      <c r="U26" s="176">
        <v>498</v>
      </c>
      <c r="V26" s="38">
        <f t="shared" si="2"/>
        <v>4855.5</v>
      </c>
      <c r="W26" s="177">
        <v>2</v>
      </c>
      <c r="X26" s="178" t="s">
        <v>46</v>
      </c>
      <c r="Y26" s="184" t="s">
        <v>40</v>
      </c>
      <c r="Z26" s="184" t="s">
        <v>84</v>
      </c>
      <c r="AA26" s="184" t="s">
        <v>69</v>
      </c>
      <c r="AB26" s="53" t="s">
        <v>158</v>
      </c>
      <c r="AP26" s="27" t="s">
        <v>117</v>
      </c>
      <c r="AR26" s="23" t="s">
        <v>153</v>
      </c>
      <c r="AV26" s="27"/>
    </row>
    <row r="27" spans="1:48" x14ac:dyDescent="0.15">
      <c r="A27" s="170" t="s">
        <v>34</v>
      </c>
      <c r="B27" s="170" t="s">
        <v>157</v>
      </c>
      <c r="C27" s="171">
        <v>2019</v>
      </c>
      <c r="D27" s="172" t="s">
        <v>361</v>
      </c>
      <c r="E27" s="171" t="s">
        <v>274</v>
      </c>
      <c r="F27" s="170" t="s">
        <v>366</v>
      </c>
      <c r="G27" s="173" t="s">
        <v>42</v>
      </c>
      <c r="H27" s="127" t="s">
        <v>164</v>
      </c>
      <c r="I27" s="127" t="s">
        <v>159</v>
      </c>
      <c r="J27" s="127" t="s">
        <v>38</v>
      </c>
      <c r="K27" s="127" t="s">
        <v>54</v>
      </c>
      <c r="L27" s="53">
        <v>2</v>
      </c>
      <c r="N27" s="53">
        <v>4</v>
      </c>
      <c r="O27" s="34">
        <v>0.55000000000000004</v>
      </c>
      <c r="P27" s="53">
        <v>0.6</v>
      </c>
      <c r="Q27" s="74">
        <f t="shared" si="1"/>
        <v>0.57499999999999996</v>
      </c>
      <c r="R27" s="180">
        <v>15.3</v>
      </c>
      <c r="S27" s="180">
        <v>77</v>
      </c>
      <c r="T27" s="16">
        <f t="shared" si="0"/>
        <v>42</v>
      </c>
      <c r="U27" s="176">
        <v>498</v>
      </c>
      <c r="V27" s="38">
        <f t="shared" si="2"/>
        <v>5229</v>
      </c>
      <c r="W27" s="177">
        <v>2</v>
      </c>
      <c r="X27" s="178" t="s">
        <v>46</v>
      </c>
      <c r="Y27" s="184" t="s">
        <v>40</v>
      </c>
      <c r="Z27" s="184" t="s">
        <v>84</v>
      </c>
      <c r="AA27" s="184" t="s">
        <v>69</v>
      </c>
      <c r="AB27" s="53" t="s">
        <v>158</v>
      </c>
      <c r="AP27" s="27" t="s">
        <v>118</v>
      </c>
      <c r="AR27" s="23"/>
    </row>
    <row r="28" spans="1:48" x14ac:dyDescent="0.15">
      <c r="A28" s="170" t="s">
        <v>34</v>
      </c>
      <c r="B28" s="170" t="s">
        <v>157</v>
      </c>
      <c r="C28" s="170">
        <v>2019</v>
      </c>
      <c r="D28" s="172" t="s">
        <v>361</v>
      </c>
      <c r="E28" s="171" t="s">
        <v>274</v>
      </c>
      <c r="F28" s="170" t="s">
        <v>366</v>
      </c>
      <c r="G28" s="173" t="s">
        <v>42</v>
      </c>
      <c r="H28" s="127" t="s">
        <v>164</v>
      </c>
      <c r="I28" s="127" t="s">
        <v>159</v>
      </c>
      <c r="J28" s="127" t="s">
        <v>38</v>
      </c>
      <c r="K28" s="127" t="s">
        <v>54</v>
      </c>
      <c r="L28" s="53">
        <v>3</v>
      </c>
      <c r="N28" s="53">
        <v>4</v>
      </c>
      <c r="O28" s="34">
        <v>0.6</v>
      </c>
      <c r="P28" s="53">
        <v>0.65</v>
      </c>
      <c r="Q28" s="74">
        <f t="shared" si="1"/>
        <v>0.625</v>
      </c>
      <c r="R28" s="180">
        <v>15.1</v>
      </c>
      <c r="S28" s="180">
        <v>79</v>
      </c>
      <c r="T28" s="16">
        <f t="shared" si="0"/>
        <v>42</v>
      </c>
      <c r="U28" s="176">
        <v>498</v>
      </c>
      <c r="V28" s="38">
        <f t="shared" si="2"/>
        <v>5229</v>
      </c>
      <c r="W28" s="177">
        <v>2</v>
      </c>
      <c r="X28" s="178" t="s">
        <v>46</v>
      </c>
      <c r="Y28" s="184" t="s">
        <v>40</v>
      </c>
      <c r="Z28" s="184" t="s">
        <v>84</v>
      </c>
      <c r="AA28" s="184" t="s">
        <v>69</v>
      </c>
      <c r="AB28" s="53" t="s">
        <v>158</v>
      </c>
      <c r="AR28" s="23"/>
    </row>
    <row r="29" spans="1:48" x14ac:dyDescent="0.15">
      <c r="A29" s="170" t="s">
        <v>34</v>
      </c>
      <c r="B29" s="170" t="s">
        <v>157</v>
      </c>
      <c r="C29" s="170">
        <v>2019</v>
      </c>
      <c r="D29" s="172" t="s">
        <v>361</v>
      </c>
      <c r="E29" s="171" t="s">
        <v>211</v>
      </c>
      <c r="F29" s="170" t="s">
        <v>368</v>
      </c>
      <c r="G29" s="173" t="s">
        <v>42</v>
      </c>
      <c r="H29" s="127" t="s">
        <v>163</v>
      </c>
      <c r="I29" s="127" t="s">
        <v>159</v>
      </c>
      <c r="J29" s="127" t="s">
        <v>38</v>
      </c>
      <c r="K29" s="127" t="s">
        <v>160</v>
      </c>
      <c r="L29" s="53">
        <v>1</v>
      </c>
      <c r="N29" s="53">
        <v>4</v>
      </c>
      <c r="O29" s="53">
        <v>0.55000000000000004</v>
      </c>
      <c r="P29" s="53">
        <v>0.6</v>
      </c>
      <c r="Q29" s="74">
        <f t="shared" si="1"/>
        <v>0.57499999999999996</v>
      </c>
      <c r="R29" s="180">
        <v>15.3</v>
      </c>
      <c r="S29" s="180">
        <v>105</v>
      </c>
      <c r="T29" s="16">
        <f t="shared" si="0"/>
        <v>33</v>
      </c>
      <c r="U29" s="176">
        <v>377</v>
      </c>
      <c r="V29" s="38">
        <f t="shared" si="2"/>
        <v>3110.25</v>
      </c>
      <c r="W29" s="177">
        <v>2</v>
      </c>
      <c r="X29" s="178" t="s">
        <v>46</v>
      </c>
      <c r="Y29" s="184" t="s">
        <v>69</v>
      </c>
      <c r="Z29" s="184" t="s">
        <v>40</v>
      </c>
      <c r="AA29" s="184" t="s">
        <v>84</v>
      </c>
      <c r="AB29" s="53" t="s">
        <v>158</v>
      </c>
      <c r="AR29" s="28"/>
    </row>
    <row r="30" spans="1:48" x14ac:dyDescent="0.15">
      <c r="A30" s="170" t="s">
        <v>34</v>
      </c>
      <c r="B30" s="170" t="s">
        <v>157</v>
      </c>
      <c r="C30" s="171">
        <v>2019</v>
      </c>
      <c r="D30" s="172" t="s">
        <v>361</v>
      </c>
      <c r="E30" s="171" t="s">
        <v>211</v>
      </c>
      <c r="F30" s="170" t="s">
        <v>368</v>
      </c>
      <c r="G30" s="173" t="s">
        <v>42</v>
      </c>
      <c r="H30" s="127" t="s">
        <v>163</v>
      </c>
      <c r="I30" s="127" t="s">
        <v>159</v>
      </c>
      <c r="J30" s="127" t="s">
        <v>38</v>
      </c>
      <c r="K30" s="127" t="s">
        <v>160</v>
      </c>
      <c r="L30" s="53">
        <v>2</v>
      </c>
      <c r="N30" s="53">
        <v>4</v>
      </c>
      <c r="O30" s="53">
        <v>0.55000000000000004</v>
      </c>
      <c r="P30" s="53">
        <v>0.6</v>
      </c>
      <c r="Q30" s="74">
        <f t="shared" si="1"/>
        <v>0.57499999999999996</v>
      </c>
      <c r="R30" s="180">
        <v>14.4</v>
      </c>
      <c r="S30" s="180">
        <v>105</v>
      </c>
      <c r="T30" s="16">
        <f t="shared" si="0"/>
        <v>33</v>
      </c>
      <c r="U30" s="176">
        <v>377</v>
      </c>
      <c r="V30" s="38">
        <f t="shared" si="2"/>
        <v>3110.25</v>
      </c>
      <c r="W30" s="177">
        <v>2</v>
      </c>
      <c r="X30" s="178" t="s">
        <v>46</v>
      </c>
      <c r="Y30" s="184" t="s">
        <v>69</v>
      </c>
      <c r="Z30" s="184" t="s">
        <v>40</v>
      </c>
      <c r="AA30" s="184" t="s">
        <v>84</v>
      </c>
      <c r="AB30" s="53" t="s">
        <v>158</v>
      </c>
    </row>
    <row r="31" spans="1:48" x14ac:dyDescent="0.15">
      <c r="A31" s="170" t="s">
        <v>34</v>
      </c>
      <c r="B31" s="170" t="s">
        <v>157</v>
      </c>
      <c r="C31" s="170">
        <v>2019</v>
      </c>
      <c r="D31" s="172" t="s">
        <v>361</v>
      </c>
      <c r="E31" s="171" t="s">
        <v>211</v>
      </c>
      <c r="F31" s="170" t="s">
        <v>368</v>
      </c>
      <c r="G31" s="173" t="s">
        <v>42</v>
      </c>
      <c r="H31" s="127" t="s">
        <v>163</v>
      </c>
      <c r="I31" s="127" t="s">
        <v>159</v>
      </c>
      <c r="J31" s="127" t="s">
        <v>38</v>
      </c>
      <c r="K31" s="127" t="s">
        <v>160</v>
      </c>
      <c r="L31" s="53">
        <v>3</v>
      </c>
      <c r="N31" s="53">
        <v>4</v>
      </c>
      <c r="O31" s="53">
        <v>0.6</v>
      </c>
      <c r="P31" s="53">
        <v>0.55000000000000004</v>
      </c>
      <c r="Q31" s="74">
        <f t="shared" si="1"/>
        <v>0.57499999999999996</v>
      </c>
      <c r="R31" s="180">
        <v>15.2</v>
      </c>
      <c r="S31" s="180">
        <v>97</v>
      </c>
      <c r="T31" s="16">
        <f t="shared" si="0"/>
        <v>36</v>
      </c>
      <c r="U31" s="176">
        <v>377</v>
      </c>
      <c r="V31" s="38">
        <f t="shared" si="2"/>
        <v>3393</v>
      </c>
      <c r="W31" s="177">
        <v>2</v>
      </c>
      <c r="X31" s="178" t="s">
        <v>46</v>
      </c>
      <c r="Y31" s="184" t="s">
        <v>69</v>
      </c>
      <c r="Z31" s="184" t="s">
        <v>40</v>
      </c>
      <c r="AA31" s="184" t="s">
        <v>84</v>
      </c>
      <c r="AB31" s="53" t="s">
        <v>158</v>
      </c>
    </row>
    <row r="32" spans="1:48" ht="14.25" customHeight="1" x14ac:dyDescent="0.15">
      <c r="A32" s="170" t="s">
        <v>34</v>
      </c>
      <c r="B32" s="170" t="s">
        <v>157</v>
      </c>
      <c r="C32" s="171">
        <v>2019</v>
      </c>
      <c r="D32" s="172" t="s">
        <v>361</v>
      </c>
      <c r="E32" s="171" t="s">
        <v>211</v>
      </c>
      <c r="F32" s="170" t="s">
        <v>368</v>
      </c>
      <c r="G32" s="173" t="s">
        <v>42</v>
      </c>
      <c r="H32" s="127" t="s">
        <v>128</v>
      </c>
      <c r="I32" s="127" t="s">
        <v>159</v>
      </c>
      <c r="J32" s="127" t="s">
        <v>80</v>
      </c>
      <c r="K32" s="127" t="s">
        <v>45</v>
      </c>
      <c r="L32" s="53">
        <v>1</v>
      </c>
      <c r="N32" s="53">
        <v>4</v>
      </c>
      <c r="O32" s="53">
        <v>1.35</v>
      </c>
      <c r="P32" s="53">
        <v>1.25</v>
      </c>
      <c r="Q32" s="74">
        <f t="shared" si="1"/>
        <v>1.3</v>
      </c>
      <c r="R32" s="180">
        <v>14.1</v>
      </c>
      <c r="S32" s="180">
        <v>82</v>
      </c>
      <c r="T32" s="16">
        <f t="shared" si="0"/>
        <v>39</v>
      </c>
      <c r="U32" s="176">
        <v>377</v>
      </c>
      <c r="V32" s="38">
        <f t="shared" si="2"/>
        <v>3675.75</v>
      </c>
      <c r="W32" s="177">
        <v>2</v>
      </c>
      <c r="X32" s="178" t="s">
        <v>46</v>
      </c>
      <c r="Y32" s="184" t="s">
        <v>69</v>
      </c>
      <c r="Z32" s="184" t="s">
        <v>40</v>
      </c>
      <c r="AA32" s="184" t="s">
        <v>84</v>
      </c>
      <c r="AB32" s="53" t="s">
        <v>158</v>
      </c>
    </row>
    <row r="33" spans="1:28" x14ac:dyDescent="0.15">
      <c r="A33" s="170" t="s">
        <v>34</v>
      </c>
      <c r="B33" s="170" t="s">
        <v>157</v>
      </c>
      <c r="C33" s="170">
        <v>2019</v>
      </c>
      <c r="D33" s="172" t="s">
        <v>361</v>
      </c>
      <c r="E33" s="171" t="s">
        <v>211</v>
      </c>
      <c r="F33" s="170" t="s">
        <v>368</v>
      </c>
      <c r="G33" s="173" t="s">
        <v>42</v>
      </c>
      <c r="H33" s="127" t="s">
        <v>128</v>
      </c>
      <c r="I33" s="127" t="s">
        <v>159</v>
      </c>
      <c r="J33" s="127" t="s">
        <v>80</v>
      </c>
      <c r="K33" s="127" t="s">
        <v>45</v>
      </c>
      <c r="L33" s="53">
        <v>2</v>
      </c>
      <c r="N33" s="53">
        <v>4</v>
      </c>
      <c r="O33" s="53">
        <v>1.25</v>
      </c>
      <c r="P33" s="53">
        <v>1.3</v>
      </c>
      <c r="Q33" s="74">
        <f t="shared" si="1"/>
        <v>1.2749999999999999</v>
      </c>
      <c r="R33" s="180">
        <v>13.5</v>
      </c>
      <c r="S33" s="180">
        <v>91</v>
      </c>
      <c r="T33" s="16">
        <f t="shared" si="0"/>
        <v>36</v>
      </c>
      <c r="U33" s="176">
        <v>377</v>
      </c>
      <c r="V33" s="38">
        <f t="shared" si="2"/>
        <v>3393</v>
      </c>
      <c r="W33" s="177">
        <v>2</v>
      </c>
      <c r="X33" s="178" t="s">
        <v>46</v>
      </c>
      <c r="Y33" s="184" t="s">
        <v>69</v>
      </c>
      <c r="Z33" s="184" t="s">
        <v>40</v>
      </c>
      <c r="AA33" s="184" t="s">
        <v>84</v>
      </c>
      <c r="AB33" s="53" t="s">
        <v>158</v>
      </c>
    </row>
    <row r="34" spans="1:28" x14ac:dyDescent="0.15">
      <c r="A34" s="170" t="s">
        <v>34</v>
      </c>
      <c r="B34" s="170" t="s">
        <v>157</v>
      </c>
      <c r="C34" s="171">
        <v>2019</v>
      </c>
      <c r="D34" s="172" t="s">
        <v>361</v>
      </c>
      <c r="E34" s="171" t="s">
        <v>211</v>
      </c>
      <c r="F34" s="170" t="s">
        <v>368</v>
      </c>
      <c r="G34" s="173" t="s">
        <v>42</v>
      </c>
      <c r="H34" s="127" t="s">
        <v>128</v>
      </c>
      <c r="I34" s="127" t="s">
        <v>159</v>
      </c>
      <c r="J34" s="127" t="s">
        <v>80</v>
      </c>
      <c r="K34" s="127" t="s">
        <v>45</v>
      </c>
      <c r="L34" s="53">
        <v>3</v>
      </c>
      <c r="N34" s="53">
        <v>4</v>
      </c>
      <c r="O34" s="53">
        <v>1.35</v>
      </c>
      <c r="P34" s="34">
        <v>1.25</v>
      </c>
      <c r="Q34" s="74">
        <f t="shared" si="1"/>
        <v>1.3</v>
      </c>
      <c r="R34" s="180">
        <v>13.3</v>
      </c>
      <c r="S34" s="180">
        <v>93</v>
      </c>
      <c r="T34" s="16">
        <f t="shared" si="0"/>
        <v>36</v>
      </c>
      <c r="U34" s="176">
        <v>377</v>
      </c>
      <c r="V34" s="38">
        <f t="shared" si="2"/>
        <v>3393</v>
      </c>
      <c r="W34" s="177">
        <v>2</v>
      </c>
      <c r="X34" s="178" t="s">
        <v>46</v>
      </c>
      <c r="Y34" s="184" t="s">
        <v>69</v>
      </c>
      <c r="Z34" s="184" t="s">
        <v>40</v>
      </c>
      <c r="AA34" s="184" t="s">
        <v>84</v>
      </c>
      <c r="AB34" s="53" t="s">
        <v>158</v>
      </c>
    </row>
    <row r="35" spans="1:28" x14ac:dyDescent="0.15">
      <c r="A35" s="170" t="s">
        <v>34</v>
      </c>
      <c r="B35" s="170" t="s">
        <v>157</v>
      </c>
      <c r="C35" s="170">
        <v>2019</v>
      </c>
      <c r="D35" s="172" t="s">
        <v>361</v>
      </c>
      <c r="E35" s="171" t="s">
        <v>139</v>
      </c>
      <c r="F35" s="170" t="s">
        <v>368</v>
      </c>
      <c r="G35" s="173" t="s">
        <v>36</v>
      </c>
      <c r="H35" s="127" t="s">
        <v>163</v>
      </c>
      <c r="I35" s="127" t="s">
        <v>159</v>
      </c>
      <c r="J35" s="127" t="s">
        <v>38</v>
      </c>
      <c r="K35" s="127" t="s">
        <v>160</v>
      </c>
      <c r="L35" s="53">
        <v>1</v>
      </c>
      <c r="N35" s="53">
        <v>1</v>
      </c>
      <c r="O35" s="53">
        <v>0.7</v>
      </c>
      <c r="P35" s="53">
        <v>0.65</v>
      </c>
      <c r="Q35" s="74">
        <f t="shared" si="1"/>
        <v>0.67500000000000004</v>
      </c>
      <c r="R35" s="180">
        <v>14.3</v>
      </c>
      <c r="S35" s="180">
        <v>112</v>
      </c>
      <c r="T35" s="16">
        <f t="shared" si="0"/>
        <v>33</v>
      </c>
      <c r="U35" s="176">
        <v>108</v>
      </c>
      <c r="V35" s="38">
        <f t="shared" si="2"/>
        <v>3564</v>
      </c>
      <c r="W35" s="177">
        <v>6</v>
      </c>
      <c r="X35" s="178" t="s">
        <v>46</v>
      </c>
      <c r="Y35" s="184" t="s">
        <v>84</v>
      </c>
      <c r="Z35" s="184" t="s">
        <v>90</v>
      </c>
      <c r="AA35" s="184" t="s">
        <v>78</v>
      </c>
      <c r="AB35" s="53" t="s">
        <v>158</v>
      </c>
    </row>
    <row r="36" spans="1:28" x14ac:dyDescent="0.15">
      <c r="A36" s="170" t="s">
        <v>34</v>
      </c>
      <c r="B36" s="170" t="s">
        <v>157</v>
      </c>
      <c r="C36" s="171">
        <v>2019</v>
      </c>
      <c r="D36" s="172" t="s">
        <v>361</v>
      </c>
      <c r="E36" s="171" t="s">
        <v>139</v>
      </c>
      <c r="F36" s="170" t="s">
        <v>368</v>
      </c>
      <c r="G36" s="173" t="s">
        <v>36</v>
      </c>
      <c r="H36" s="127" t="s">
        <v>163</v>
      </c>
      <c r="I36" s="127" t="s">
        <v>159</v>
      </c>
      <c r="J36" s="127" t="s">
        <v>38</v>
      </c>
      <c r="K36" s="127" t="s">
        <v>160</v>
      </c>
      <c r="L36" s="53">
        <v>2</v>
      </c>
      <c r="N36" s="53">
        <v>1</v>
      </c>
      <c r="O36" s="53">
        <v>0.65</v>
      </c>
      <c r="P36" s="53">
        <v>0.7</v>
      </c>
      <c r="Q36" s="74">
        <f t="shared" si="1"/>
        <v>0.67500000000000004</v>
      </c>
      <c r="R36" s="180">
        <v>14.2</v>
      </c>
      <c r="S36" s="180">
        <v>110</v>
      </c>
      <c r="T36" s="16">
        <f t="shared" si="0"/>
        <v>33</v>
      </c>
      <c r="U36" s="176">
        <v>108</v>
      </c>
      <c r="V36" s="38">
        <f t="shared" si="2"/>
        <v>3564</v>
      </c>
      <c r="W36" s="177">
        <v>6</v>
      </c>
      <c r="X36" s="178" t="s">
        <v>46</v>
      </c>
      <c r="Y36" s="184" t="s">
        <v>84</v>
      </c>
      <c r="Z36" s="184" t="s">
        <v>90</v>
      </c>
      <c r="AA36" s="184" t="s">
        <v>78</v>
      </c>
      <c r="AB36" s="53" t="s">
        <v>158</v>
      </c>
    </row>
    <row r="37" spans="1:28" x14ac:dyDescent="0.15">
      <c r="A37" s="170" t="s">
        <v>34</v>
      </c>
      <c r="B37" s="170" t="s">
        <v>157</v>
      </c>
      <c r="C37" s="170">
        <v>2019</v>
      </c>
      <c r="D37" s="172" t="s">
        <v>361</v>
      </c>
      <c r="E37" s="171" t="s">
        <v>139</v>
      </c>
      <c r="F37" s="170" t="s">
        <v>368</v>
      </c>
      <c r="G37" s="173" t="s">
        <v>36</v>
      </c>
      <c r="H37" s="127" t="s">
        <v>163</v>
      </c>
      <c r="I37" s="127" t="s">
        <v>159</v>
      </c>
      <c r="J37" s="127" t="s">
        <v>38</v>
      </c>
      <c r="K37" s="127" t="s">
        <v>160</v>
      </c>
      <c r="L37" s="53">
        <v>3</v>
      </c>
      <c r="N37" s="53">
        <v>1</v>
      </c>
      <c r="O37" s="53">
        <v>0.6</v>
      </c>
      <c r="P37" s="53">
        <v>0.7</v>
      </c>
      <c r="Q37" s="74">
        <f t="shared" si="1"/>
        <v>0.64999999999999991</v>
      </c>
      <c r="R37" s="180">
        <v>14.1</v>
      </c>
      <c r="S37" s="180">
        <v>110</v>
      </c>
      <c r="T37" s="16">
        <f t="shared" si="0"/>
        <v>33</v>
      </c>
      <c r="U37" s="176">
        <v>108</v>
      </c>
      <c r="V37" s="38">
        <f t="shared" si="2"/>
        <v>3564</v>
      </c>
      <c r="W37" s="177">
        <v>6</v>
      </c>
      <c r="X37" s="178" t="s">
        <v>46</v>
      </c>
      <c r="Y37" s="184" t="s">
        <v>84</v>
      </c>
      <c r="Z37" s="184" t="s">
        <v>90</v>
      </c>
      <c r="AA37" s="184" t="s">
        <v>78</v>
      </c>
      <c r="AB37" s="53" t="s">
        <v>158</v>
      </c>
    </row>
    <row r="38" spans="1:28" x14ac:dyDescent="0.15">
      <c r="A38" s="170" t="s">
        <v>34</v>
      </c>
      <c r="B38" s="170" t="s">
        <v>157</v>
      </c>
      <c r="C38" s="171">
        <v>2019</v>
      </c>
      <c r="D38" s="172" t="s">
        <v>361</v>
      </c>
      <c r="E38" s="171" t="s">
        <v>133</v>
      </c>
      <c r="F38" s="170" t="s">
        <v>369</v>
      </c>
      <c r="G38" s="173" t="s">
        <v>36</v>
      </c>
      <c r="H38" s="127" t="s">
        <v>163</v>
      </c>
      <c r="I38" s="127" t="s">
        <v>159</v>
      </c>
      <c r="J38" s="127" t="s">
        <v>38</v>
      </c>
      <c r="K38" s="127" t="s">
        <v>160</v>
      </c>
      <c r="L38" s="53">
        <v>1</v>
      </c>
      <c r="N38" s="53">
        <v>1</v>
      </c>
      <c r="O38" s="53">
        <v>0.45</v>
      </c>
      <c r="P38" s="53">
        <v>0.5</v>
      </c>
      <c r="Q38" s="74">
        <f t="shared" si="1"/>
        <v>0.47499999999999998</v>
      </c>
      <c r="R38" s="180">
        <v>12.2</v>
      </c>
      <c r="S38" s="180">
        <v>124</v>
      </c>
      <c r="T38" s="16">
        <f t="shared" si="0"/>
        <v>30</v>
      </c>
      <c r="U38" s="176">
        <v>98</v>
      </c>
      <c r="V38" s="38">
        <f t="shared" si="2"/>
        <v>2940</v>
      </c>
      <c r="W38" s="177">
        <v>6</v>
      </c>
      <c r="X38" s="178" t="s">
        <v>46</v>
      </c>
      <c r="Y38" s="184" t="s">
        <v>84</v>
      </c>
      <c r="Z38" s="184" t="s">
        <v>90</v>
      </c>
      <c r="AA38" s="184" t="s">
        <v>40</v>
      </c>
      <c r="AB38" s="53" t="s">
        <v>158</v>
      </c>
    </row>
    <row r="39" spans="1:28" x14ac:dyDescent="0.15">
      <c r="A39" s="170" t="s">
        <v>34</v>
      </c>
      <c r="B39" s="170" t="s">
        <v>157</v>
      </c>
      <c r="C39" s="170">
        <v>2019</v>
      </c>
      <c r="D39" s="172" t="s">
        <v>361</v>
      </c>
      <c r="E39" s="171" t="s">
        <v>133</v>
      </c>
      <c r="F39" s="170" t="s">
        <v>369</v>
      </c>
      <c r="G39" s="173" t="s">
        <v>36</v>
      </c>
      <c r="H39" s="127" t="s">
        <v>163</v>
      </c>
      <c r="I39" s="127" t="s">
        <v>159</v>
      </c>
      <c r="J39" s="127" t="s">
        <v>38</v>
      </c>
      <c r="K39" s="127" t="s">
        <v>160</v>
      </c>
      <c r="L39" s="53">
        <v>2</v>
      </c>
      <c r="N39" s="53">
        <v>1</v>
      </c>
      <c r="O39" s="53">
        <v>0.5</v>
      </c>
      <c r="P39" s="53">
        <v>0.55000000000000004</v>
      </c>
      <c r="Q39" s="74">
        <f t="shared" si="1"/>
        <v>0.52500000000000002</v>
      </c>
      <c r="R39" s="180">
        <v>13.6</v>
      </c>
      <c r="S39" s="180">
        <v>125</v>
      </c>
      <c r="T39" s="16">
        <f t="shared" si="0"/>
        <v>30</v>
      </c>
      <c r="U39" s="176">
        <v>98</v>
      </c>
      <c r="V39" s="38">
        <f t="shared" si="2"/>
        <v>2940</v>
      </c>
      <c r="W39" s="177">
        <v>6</v>
      </c>
      <c r="X39" s="178" t="s">
        <v>46</v>
      </c>
      <c r="Y39" s="184" t="s">
        <v>84</v>
      </c>
      <c r="Z39" s="184" t="s">
        <v>90</v>
      </c>
      <c r="AA39" s="184" t="s">
        <v>40</v>
      </c>
      <c r="AB39" s="53" t="s">
        <v>158</v>
      </c>
    </row>
    <row r="40" spans="1:28" ht="12.75" customHeight="1" x14ac:dyDescent="0.15">
      <c r="A40" s="170" t="s">
        <v>34</v>
      </c>
      <c r="B40" s="170" t="s">
        <v>157</v>
      </c>
      <c r="C40" s="171">
        <v>2019</v>
      </c>
      <c r="D40" s="172" t="s">
        <v>361</v>
      </c>
      <c r="E40" s="171" t="s">
        <v>133</v>
      </c>
      <c r="F40" s="170" t="s">
        <v>369</v>
      </c>
      <c r="G40" s="173" t="s">
        <v>36</v>
      </c>
      <c r="H40" s="127" t="s">
        <v>163</v>
      </c>
      <c r="I40" s="127" t="s">
        <v>159</v>
      </c>
      <c r="J40" s="127" t="s">
        <v>38</v>
      </c>
      <c r="K40" s="127" t="s">
        <v>160</v>
      </c>
      <c r="L40" s="53">
        <v>3</v>
      </c>
      <c r="N40" s="53">
        <v>1</v>
      </c>
      <c r="O40" s="53">
        <v>0.55000000000000004</v>
      </c>
      <c r="P40" s="53">
        <v>0.5</v>
      </c>
      <c r="Q40" s="74">
        <f t="shared" si="1"/>
        <v>0.52500000000000002</v>
      </c>
      <c r="R40" s="180">
        <v>13.2</v>
      </c>
      <c r="S40" s="180">
        <v>122</v>
      </c>
      <c r="T40" s="16">
        <f t="shared" si="0"/>
        <v>30</v>
      </c>
      <c r="U40" s="176">
        <v>98</v>
      </c>
      <c r="V40" s="38">
        <f t="shared" si="2"/>
        <v>2940</v>
      </c>
      <c r="W40" s="177">
        <v>6</v>
      </c>
      <c r="X40" s="178" t="s">
        <v>46</v>
      </c>
      <c r="Y40" s="184" t="s">
        <v>84</v>
      </c>
      <c r="Z40" s="184" t="s">
        <v>90</v>
      </c>
      <c r="AA40" s="184" t="s">
        <v>40</v>
      </c>
      <c r="AB40" s="53" t="s">
        <v>158</v>
      </c>
    </row>
    <row r="41" spans="1:28" ht="12.75" customHeight="1" x14ac:dyDescent="0.15">
      <c r="A41" s="127" t="s">
        <v>34</v>
      </c>
      <c r="B41" s="170" t="s">
        <v>157</v>
      </c>
      <c r="C41" s="171">
        <v>2019</v>
      </c>
      <c r="D41" s="172" t="s">
        <v>361</v>
      </c>
      <c r="E41" s="171" t="s">
        <v>274</v>
      </c>
      <c r="F41" s="170" t="s">
        <v>370</v>
      </c>
      <c r="G41" s="173" t="s">
        <v>36</v>
      </c>
      <c r="H41" s="127" t="s">
        <v>163</v>
      </c>
      <c r="I41" s="127" t="s">
        <v>159</v>
      </c>
      <c r="J41" s="127" t="s">
        <v>38</v>
      </c>
      <c r="K41" s="127" t="s">
        <v>160</v>
      </c>
      <c r="L41" s="53">
        <v>1</v>
      </c>
      <c r="N41" s="53">
        <v>7</v>
      </c>
      <c r="O41" s="53">
        <v>0.65</v>
      </c>
      <c r="P41" s="53">
        <v>0.6</v>
      </c>
      <c r="Q41" s="74">
        <f t="shared" si="1"/>
        <v>0.625</v>
      </c>
      <c r="R41" s="180">
        <v>14.4</v>
      </c>
      <c r="S41" s="180">
        <v>94</v>
      </c>
      <c r="T41" s="16">
        <f t="shared" si="0"/>
        <v>36</v>
      </c>
      <c r="U41" s="176">
        <v>398</v>
      </c>
      <c r="V41" s="38">
        <f t="shared" si="2"/>
        <v>2046.8571428571427</v>
      </c>
      <c r="W41" s="53">
        <v>2</v>
      </c>
      <c r="X41" s="178" t="s">
        <v>46</v>
      </c>
      <c r="Y41" s="185" t="s">
        <v>69</v>
      </c>
      <c r="Z41" s="185" t="s">
        <v>78</v>
      </c>
      <c r="AA41" s="185" t="s">
        <v>90</v>
      </c>
      <c r="AB41" s="53" t="s">
        <v>158</v>
      </c>
    </row>
    <row r="42" spans="1:28" ht="12.75" customHeight="1" x14ac:dyDescent="0.15">
      <c r="A42" s="127" t="s">
        <v>34</v>
      </c>
      <c r="B42" s="170" t="s">
        <v>157</v>
      </c>
      <c r="C42" s="171">
        <v>2019</v>
      </c>
      <c r="D42" s="172" t="s">
        <v>361</v>
      </c>
      <c r="E42" s="171" t="s">
        <v>274</v>
      </c>
      <c r="F42" s="170" t="s">
        <v>370</v>
      </c>
      <c r="G42" s="173" t="s">
        <v>36</v>
      </c>
      <c r="H42" s="127" t="s">
        <v>163</v>
      </c>
      <c r="I42" s="127" t="s">
        <v>159</v>
      </c>
      <c r="J42" s="127" t="s">
        <v>38</v>
      </c>
      <c r="K42" s="127" t="s">
        <v>160</v>
      </c>
      <c r="L42" s="53">
        <v>2</v>
      </c>
      <c r="N42" s="53">
        <v>7</v>
      </c>
      <c r="O42" s="53">
        <v>0.5</v>
      </c>
      <c r="P42" s="53">
        <v>0.6</v>
      </c>
      <c r="Q42" s="74">
        <f t="shared" si="1"/>
        <v>0.55000000000000004</v>
      </c>
      <c r="R42" s="180">
        <v>14.9</v>
      </c>
      <c r="S42" s="180">
        <v>102</v>
      </c>
      <c r="T42" s="16">
        <f t="shared" si="0"/>
        <v>33</v>
      </c>
      <c r="U42" s="176">
        <v>398</v>
      </c>
      <c r="V42" s="38">
        <f t="shared" si="2"/>
        <v>1876.2857142857142</v>
      </c>
      <c r="W42" s="53">
        <v>2</v>
      </c>
      <c r="X42" s="178" t="s">
        <v>46</v>
      </c>
      <c r="Y42" s="185" t="s">
        <v>69</v>
      </c>
      <c r="Z42" s="185" t="s">
        <v>78</v>
      </c>
      <c r="AA42" s="185" t="s">
        <v>90</v>
      </c>
      <c r="AB42" s="53" t="s">
        <v>158</v>
      </c>
    </row>
    <row r="43" spans="1:28" ht="12.75" customHeight="1" x14ac:dyDescent="0.15">
      <c r="A43" s="127" t="s">
        <v>34</v>
      </c>
      <c r="B43" s="170" t="s">
        <v>157</v>
      </c>
      <c r="C43" s="171">
        <v>2019</v>
      </c>
      <c r="D43" s="172" t="s">
        <v>361</v>
      </c>
      <c r="E43" s="171" t="s">
        <v>274</v>
      </c>
      <c r="F43" s="170" t="s">
        <v>370</v>
      </c>
      <c r="G43" s="173" t="s">
        <v>36</v>
      </c>
      <c r="H43" s="127" t="s">
        <v>163</v>
      </c>
      <c r="I43" s="127" t="s">
        <v>159</v>
      </c>
      <c r="J43" s="127" t="s">
        <v>38</v>
      </c>
      <c r="K43" s="127" t="s">
        <v>160</v>
      </c>
      <c r="L43" s="53">
        <v>3</v>
      </c>
      <c r="N43" s="53">
        <v>7</v>
      </c>
      <c r="O43" s="53">
        <v>0.5</v>
      </c>
      <c r="P43" s="53">
        <v>0.55000000000000004</v>
      </c>
      <c r="Q43" s="74">
        <f t="shared" si="1"/>
        <v>0.52500000000000002</v>
      </c>
      <c r="R43" s="180">
        <v>14.4</v>
      </c>
      <c r="S43" s="180">
        <v>100</v>
      </c>
      <c r="T43" s="16">
        <f t="shared" si="0"/>
        <v>33</v>
      </c>
      <c r="U43" s="176">
        <v>398</v>
      </c>
      <c r="V43" s="38">
        <f t="shared" si="2"/>
        <v>1876.2857142857142</v>
      </c>
      <c r="W43" s="53">
        <v>2</v>
      </c>
      <c r="X43" s="178" t="s">
        <v>46</v>
      </c>
      <c r="Y43" s="185" t="s">
        <v>69</v>
      </c>
      <c r="Z43" s="185" t="s">
        <v>78</v>
      </c>
      <c r="AA43" s="185" t="s">
        <v>90</v>
      </c>
      <c r="AB43" s="53" t="s">
        <v>158</v>
      </c>
    </row>
    <row r="44" spans="1:28" x14ac:dyDescent="0.15">
      <c r="B44" s="170"/>
      <c r="C44" s="171"/>
      <c r="D44" s="172"/>
      <c r="E44" s="171"/>
      <c r="F44" s="170"/>
      <c r="G44" s="173"/>
      <c r="H44" s="127"/>
      <c r="I44" s="127"/>
      <c r="K44" s="127"/>
      <c r="Q44" s="74"/>
      <c r="R44" s="180"/>
      <c r="S44" s="180"/>
      <c r="U44" s="176"/>
      <c r="X44" s="178"/>
      <c r="Y44" s="185"/>
      <c r="Z44" s="185"/>
      <c r="AA44" s="185"/>
    </row>
    <row r="45" spans="1:28" x14ac:dyDescent="0.15">
      <c r="B45" s="170"/>
      <c r="C45" s="170"/>
      <c r="D45" s="172"/>
      <c r="E45" s="171"/>
      <c r="F45" s="170"/>
      <c r="G45" s="173"/>
      <c r="H45" s="127"/>
      <c r="I45" s="127"/>
      <c r="K45" s="127"/>
      <c r="Q45" s="74"/>
      <c r="R45" s="180"/>
      <c r="S45" s="180"/>
      <c r="U45" s="176"/>
      <c r="X45" s="178"/>
      <c r="Y45" s="185"/>
      <c r="Z45" s="185"/>
      <c r="AA45" s="185"/>
    </row>
    <row r="46" spans="1:28" x14ac:dyDescent="0.15">
      <c r="B46" s="170"/>
      <c r="C46" s="171"/>
      <c r="D46" s="172"/>
      <c r="E46" s="171"/>
      <c r="F46" s="170"/>
      <c r="G46" s="173"/>
      <c r="H46" s="127"/>
      <c r="I46" s="127"/>
      <c r="K46" s="127"/>
      <c r="Q46" s="74"/>
      <c r="R46" s="180"/>
      <c r="S46" s="180"/>
      <c r="U46" s="176"/>
      <c r="X46" s="178"/>
      <c r="Y46" s="185"/>
      <c r="Z46" s="185"/>
      <c r="AA46" s="185"/>
    </row>
    <row r="47" spans="1:28" x14ac:dyDescent="0.15">
      <c r="B47" s="170"/>
      <c r="D47" s="186"/>
      <c r="F47" s="170"/>
      <c r="G47" s="173"/>
      <c r="H47" s="127"/>
      <c r="I47" s="127"/>
      <c r="K47" s="127"/>
      <c r="Q47" s="74"/>
      <c r="R47" s="180"/>
      <c r="S47" s="180"/>
      <c r="X47" s="178"/>
    </row>
    <row r="48" spans="1:28" x14ac:dyDescent="0.15">
      <c r="B48" s="34"/>
      <c r="D48" s="186"/>
      <c r="F48" s="170"/>
      <c r="G48" s="173"/>
      <c r="H48" s="127"/>
      <c r="I48" s="127"/>
      <c r="K48" s="127"/>
      <c r="Q48" s="74"/>
      <c r="R48" s="180"/>
      <c r="S48" s="180"/>
      <c r="X48" s="178"/>
    </row>
    <row r="49" spans="2:24" x14ac:dyDescent="0.15">
      <c r="B49" s="34"/>
      <c r="D49" s="186"/>
      <c r="F49" s="170"/>
      <c r="G49" s="173"/>
      <c r="H49" s="127"/>
      <c r="I49" s="127"/>
      <c r="K49" s="127"/>
      <c r="Q49" s="74"/>
      <c r="R49" s="180"/>
      <c r="S49" s="180"/>
      <c r="X49" s="178"/>
    </row>
    <row r="50" spans="2:24" x14ac:dyDescent="0.15">
      <c r="D50" s="186"/>
      <c r="F50" s="170"/>
      <c r="G50" s="173"/>
      <c r="K50" s="127"/>
      <c r="Q50" s="74"/>
      <c r="X50" s="178"/>
    </row>
    <row r="51" spans="2:24" x14ac:dyDescent="0.15">
      <c r="D51" s="186"/>
      <c r="F51" s="170"/>
      <c r="G51" s="173"/>
      <c r="K51" s="127"/>
      <c r="Q51" s="74"/>
      <c r="X51" s="178"/>
    </row>
    <row r="52" spans="2:24" x14ac:dyDescent="0.15">
      <c r="D52" s="186"/>
      <c r="F52" s="170"/>
      <c r="G52" s="173"/>
      <c r="K52" s="127"/>
      <c r="Q52" s="74"/>
      <c r="X52" s="178"/>
    </row>
    <row r="53" spans="2:24" x14ac:dyDescent="0.15">
      <c r="D53" s="186"/>
      <c r="F53" s="170"/>
      <c r="G53" s="173"/>
      <c r="K53" s="127"/>
      <c r="Q53" s="74"/>
      <c r="X53" s="178"/>
    </row>
    <row r="54" spans="2:24" x14ac:dyDescent="0.15">
      <c r="D54" s="186"/>
      <c r="F54" s="170"/>
      <c r="G54" s="173"/>
      <c r="K54" s="127"/>
      <c r="Q54" s="74"/>
      <c r="X54" s="178"/>
    </row>
    <row r="55" spans="2:24" x14ac:dyDescent="0.15">
      <c r="D55" s="186"/>
      <c r="F55" s="170"/>
      <c r="G55" s="173"/>
      <c r="K55" s="127"/>
      <c r="Q55" s="74"/>
      <c r="X55" s="178"/>
    </row>
    <row r="56" spans="2:24" x14ac:dyDescent="0.15">
      <c r="D56" s="186"/>
      <c r="F56" s="170"/>
      <c r="G56" s="173"/>
      <c r="K56" s="127"/>
      <c r="Q56" s="74"/>
      <c r="X56" s="178"/>
    </row>
    <row r="57" spans="2:24" x14ac:dyDescent="0.15">
      <c r="D57" s="186"/>
      <c r="F57" s="170"/>
      <c r="G57" s="173"/>
      <c r="K57" s="127"/>
      <c r="Q57" s="74"/>
      <c r="X57" s="178"/>
    </row>
    <row r="58" spans="2:24" x14ac:dyDescent="0.15">
      <c r="D58" s="186"/>
      <c r="F58" s="170"/>
      <c r="G58" s="173"/>
      <c r="K58" s="127"/>
      <c r="Q58" s="74"/>
      <c r="X58" s="178"/>
    </row>
    <row r="59" spans="2:24" x14ac:dyDescent="0.15">
      <c r="D59" s="186"/>
      <c r="F59" s="170"/>
      <c r="G59" s="173"/>
      <c r="K59" s="127"/>
      <c r="Q59" s="74"/>
      <c r="X59" s="178"/>
    </row>
    <row r="60" spans="2:24" x14ac:dyDescent="0.15">
      <c r="D60" s="186"/>
      <c r="F60" s="170"/>
      <c r="G60" s="173"/>
      <c r="K60" s="127"/>
      <c r="Q60" s="74"/>
      <c r="X60" s="178"/>
    </row>
    <row r="61" spans="2:24" x14ac:dyDescent="0.15">
      <c r="D61" s="186"/>
      <c r="F61" s="170"/>
      <c r="G61" s="173"/>
      <c r="K61" s="127"/>
      <c r="Q61" s="74"/>
      <c r="X61" s="178"/>
    </row>
    <row r="62" spans="2:24" x14ac:dyDescent="0.15">
      <c r="D62" s="186"/>
      <c r="F62" s="170"/>
      <c r="G62" s="173"/>
      <c r="K62" s="127"/>
      <c r="Q62" s="74" t="str">
        <f t="shared" ref="Q62:Q91" si="3">IF(OR(O62="",P62=""),"",AVERAGE(O62,P62))</f>
        <v/>
      </c>
      <c r="T62" s="16" t="str">
        <f t="shared" si="0"/>
        <v/>
      </c>
      <c r="V62" s="16" t="str">
        <f t="shared" si="2"/>
        <v/>
      </c>
      <c r="X62" s="178"/>
    </row>
    <row r="63" spans="2:24" x14ac:dyDescent="0.15">
      <c r="D63" s="186"/>
      <c r="F63" s="170"/>
      <c r="G63" s="173"/>
      <c r="K63" s="127"/>
      <c r="Q63" s="74" t="str">
        <f t="shared" si="3"/>
        <v/>
      </c>
      <c r="T63" s="16" t="str">
        <f t="shared" si="0"/>
        <v/>
      </c>
      <c r="V63" s="16" t="str">
        <f t="shared" si="2"/>
        <v/>
      </c>
      <c r="X63" s="178"/>
    </row>
    <row r="64" spans="2:24" x14ac:dyDescent="0.15">
      <c r="D64" s="186"/>
      <c r="F64" s="170"/>
      <c r="G64" s="173"/>
      <c r="K64" s="127"/>
      <c r="Q64" s="74" t="str">
        <f t="shared" si="3"/>
        <v/>
      </c>
      <c r="T64" s="16" t="str">
        <f t="shared" si="0"/>
        <v/>
      </c>
      <c r="V64" s="16" t="str">
        <f t="shared" si="2"/>
        <v/>
      </c>
      <c r="X64" s="178"/>
    </row>
    <row r="65" spans="4:24" x14ac:dyDescent="0.15">
      <c r="D65" s="186"/>
      <c r="F65" s="170"/>
      <c r="G65" s="173"/>
      <c r="K65" s="127"/>
      <c r="Q65" s="74" t="str">
        <f t="shared" si="3"/>
        <v/>
      </c>
      <c r="T65" s="16" t="str">
        <f t="shared" si="0"/>
        <v/>
      </c>
      <c r="V65" s="16" t="str">
        <f t="shared" si="2"/>
        <v/>
      </c>
      <c r="X65" s="178"/>
    </row>
    <row r="66" spans="4:24" x14ac:dyDescent="0.15">
      <c r="D66" s="186"/>
      <c r="F66" s="170"/>
      <c r="G66" s="173"/>
      <c r="K66" s="127"/>
      <c r="Q66" s="74" t="str">
        <f t="shared" si="3"/>
        <v/>
      </c>
      <c r="T66" s="16" t="str">
        <f t="shared" ref="T66:T91" si="4">IF(H66="","",IF(OR(H66="GREEN",H66="GK"),IF(S66&gt;=$AX$2,VLOOKUP(S66,$AX$2:$AY$7,2,1),""),IF(S66&gt;=$AZ$2,VLOOKUP(S66,$AZ$2:$BA$7,2,1),"")))</f>
        <v/>
      </c>
      <c r="V66" s="16" t="str">
        <f t="shared" si="2"/>
        <v/>
      </c>
      <c r="X66" s="178"/>
    </row>
    <row r="67" spans="4:24" x14ac:dyDescent="0.15">
      <c r="D67" s="186"/>
      <c r="F67" s="170"/>
      <c r="G67" s="173"/>
      <c r="K67" s="127"/>
      <c r="Q67" s="74" t="str">
        <f t="shared" si="3"/>
        <v/>
      </c>
      <c r="T67" s="16" t="str">
        <f t="shared" si="4"/>
        <v/>
      </c>
      <c r="V67" s="16" t="str">
        <f t="shared" ref="V67:V91" si="5">IF(OR(N67="",U67="",T67=""),"",U67/N67*T67)</f>
        <v/>
      </c>
      <c r="X67" s="178"/>
    </row>
    <row r="68" spans="4:24" x14ac:dyDescent="0.15">
      <c r="D68" s="186"/>
      <c r="F68" s="170"/>
      <c r="G68" s="173"/>
      <c r="K68" s="127"/>
      <c r="Q68" s="74" t="str">
        <f t="shared" si="3"/>
        <v/>
      </c>
      <c r="T68" s="16" t="str">
        <f t="shared" si="4"/>
        <v/>
      </c>
      <c r="V68" s="16" t="str">
        <f t="shared" si="5"/>
        <v/>
      </c>
      <c r="X68" s="178"/>
    </row>
    <row r="69" spans="4:24" x14ac:dyDescent="0.15">
      <c r="D69" s="186"/>
      <c r="F69" s="170"/>
      <c r="G69" s="173"/>
      <c r="K69" s="127"/>
      <c r="Q69" s="74" t="str">
        <f t="shared" si="3"/>
        <v/>
      </c>
      <c r="T69" s="16" t="str">
        <f t="shared" si="4"/>
        <v/>
      </c>
      <c r="V69" s="16" t="str">
        <f t="shared" si="5"/>
        <v/>
      </c>
      <c r="X69" s="178"/>
    </row>
    <row r="70" spans="4:24" x14ac:dyDescent="0.15">
      <c r="D70" s="186"/>
      <c r="F70" s="170"/>
      <c r="G70" s="173"/>
      <c r="K70" s="127"/>
      <c r="Q70" s="74" t="str">
        <f t="shared" si="3"/>
        <v/>
      </c>
      <c r="T70" s="16" t="str">
        <f t="shared" si="4"/>
        <v/>
      </c>
      <c r="V70" s="16" t="str">
        <f t="shared" si="5"/>
        <v/>
      </c>
      <c r="X70" s="178"/>
    </row>
    <row r="71" spans="4:24" x14ac:dyDescent="0.15">
      <c r="D71" s="186"/>
      <c r="F71" s="170"/>
      <c r="G71" s="173"/>
      <c r="K71" s="127"/>
      <c r="Q71" s="74" t="str">
        <f t="shared" si="3"/>
        <v/>
      </c>
      <c r="T71" s="16" t="str">
        <f t="shared" si="4"/>
        <v/>
      </c>
      <c r="V71" s="16" t="str">
        <f t="shared" si="5"/>
        <v/>
      </c>
      <c r="X71" s="178"/>
    </row>
    <row r="72" spans="4:24" x14ac:dyDescent="0.15">
      <c r="D72" s="186"/>
      <c r="F72" s="170"/>
      <c r="G72" s="173"/>
      <c r="K72" s="127"/>
      <c r="Q72" s="74" t="str">
        <f t="shared" si="3"/>
        <v/>
      </c>
      <c r="T72" s="16" t="str">
        <f t="shared" si="4"/>
        <v/>
      </c>
      <c r="V72" s="16" t="str">
        <f t="shared" si="5"/>
        <v/>
      </c>
      <c r="X72" s="178"/>
    </row>
    <row r="73" spans="4:24" x14ac:dyDescent="0.15">
      <c r="D73" s="186"/>
      <c r="F73" s="170"/>
      <c r="G73" s="173"/>
      <c r="K73" s="127"/>
      <c r="Q73" s="74" t="str">
        <f t="shared" si="3"/>
        <v/>
      </c>
      <c r="T73" s="16" t="str">
        <f t="shared" si="4"/>
        <v/>
      </c>
      <c r="V73" s="16" t="str">
        <f t="shared" si="5"/>
        <v/>
      </c>
      <c r="X73" s="178"/>
    </row>
    <row r="74" spans="4:24" x14ac:dyDescent="0.15">
      <c r="D74" s="186"/>
      <c r="F74" s="170"/>
      <c r="G74" s="173"/>
      <c r="K74" s="127"/>
      <c r="Q74" s="74" t="str">
        <f t="shared" si="3"/>
        <v/>
      </c>
      <c r="T74" s="16" t="str">
        <f t="shared" si="4"/>
        <v/>
      </c>
      <c r="V74" s="16" t="str">
        <f t="shared" si="5"/>
        <v/>
      </c>
      <c r="X74" s="178"/>
    </row>
    <row r="75" spans="4:24" x14ac:dyDescent="0.15">
      <c r="D75" s="186"/>
      <c r="F75" s="170"/>
      <c r="G75" s="173"/>
      <c r="K75" s="127"/>
      <c r="Q75" s="74" t="str">
        <f t="shared" si="3"/>
        <v/>
      </c>
      <c r="T75" s="16" t="str">
        <f t="shared" si="4"/>
        <v/>
      </c>
      <c r="V75" s="16" t="str">
        <f t="shared" si="5"/>
        <v/>
      </c>
      <c r="X75" s="178"/>
    </row>
    <row r="76" spans="4:24" x14ac:dyDescent="0.15">
      <c r="D76" s="186"/>
      <c r="F76" s="170"/>
      <c r="G76" s="173"/>
      <c r="K76" s="127"/>
      <c r="Q76" s="74" t="str">
        <f t="shared" si="3"/>
        <v/>
      </c>
      <c r="T76" s="16" t="str">
        <f t="shared" si="4"/>
        <v/>
      </c>
      <c r="V76" s="16" t="str">
        <f t="shared" si="5"/>
        <v/>
      </c>
      <c r="X76" s="178"/>
    </row>
    <row r="77" spans="4:24" x14ac:dyDescent="0.15">
      <c r="D77" s="186"/>
      <c r="F77" s="170"/>
      <c r="G77" s="173"/>
      <c r="K77" s="127"/>
      <c r="Q77" s="74" t="str">
        <f t="shared" si="3"/>
        <v/>
      </c>
      <c r="T77" s="16" t="str">
        <f t="shared" si="4"/>
        <v/>
      </c>
      <c r="V77" s="16" t="str">
        <f t="shared" si="5"/>
        <v/>
      </c>
      <c r="X77" s="178"/>
    </row>
    <row r="78" spans="4:24" x14ac:dyDescent="0.15">
      <c r="D78" s="186"/>
      <c r="F78" s="170"/>
      <c r="G78" s="173"/>
      <c r="K78" s="127"/>
      <c r="Q78" s="74" t="str">
        <f t="shared" si="3"/>
        <v/>
      </c>
      <c r="T78" s="16" t="str">
        <f t="shared" si="4"/>
        <v/>
      </c>
      <c r="V78" s="16" t="str">
        <f t="shared" si="5"/>
        <v/>
      </c>
      <c r="X78" s="178"/>
    </row>
    <row r="79" spans="4:24" x14ac:dyDescent="0.15">
      <c r="D79" s="186"/>
      <c r="F79" s="170"/>
      <c r="G79" s="173"/>
      <c r="K79" s="127"/>
      <c r="Q79" s="74" t="str">
        <f t="shared" si="3"/>
        <v/>
      </c>
      <c r="T79" s="16" t="str">
        <f t="shared" si="4"/>
        <v/>
      </c>
      <c r="V79" s="16" t="str">
        <f t="shared" si="5"/>
        <v/>
      </c>
      <c r="X79" s="178"/>
    </row>
    <row r="80" spans="4:24" x14ac:dyDescent="0.15">
      <c r="K80" s="127"/>
      <c r="Q80" s="74" t="str">
        <f t="shared" si="3"/>
        <v/>
      </c>
      <c r="T80" s="16" t="str">
        <f t="shared" si="4"/>
        <v/>
      </c>
      <c r="V80" s="16" t="str">
        <f t="shared" si="5"/>
        <v/>
      </c>
    </row>
    <row r="81" spans="11:22" x14ac:dyDescent="0.15">
      <c r="K81" s="127"/>
      <c r="Q81" s="74" t="str">
        <f t="shared" si="3"/>
        <v/>
      </c>
      <c r="T81" s="16" t="str">
        <f t="shared" si="4"/>
        <v/>
      </c>
      <c r="V81" s="16" t="str">
        <f t="shared" si="5"/>
        <v/>
      </c>
    </row>
    <row r="82" spans="11:22" x14ac:dyDescent="0.15">
      <c r="K82" s="127"/>
      <c r="Q82" s="74" t="str">
        <f t="shared" si="3"/>
        <v/>
      </c>
      <c r="T82" s="16" t="str">
        <f t="shared" si="4"/>
        <v/>
      </c>
      <c r="V82" s="16" t="str">
        <f t="shared" si="5"/>
        <v/>
      </c>
    </row>
    <row r="83" spans="11:22" x14ac:dyDescent="0.15">
      <c r="K83" s="127"/>
      <c r="Q83" s="74" t="str">
        <f t="shared" si="3"/>
        <v/>
      </c>
      <c r="T83" s="16" t="str">
        <f t="shared" si="4"/>
        <v/>
      </c>
      <c r="V83" s="16" t="str">
        <f t="shared" si="5"/>
        <v/>
      </c>
    </row>
    <row r="84" spans="11:22" x14ac:dyDescent="0.15">
      <c r="K84" s="127"/>
      <c r="Q84" s="74" t="str">
        <f t="shared" si="3"/>
        <v/>
      </c>
      <c r="T84" s="16" t="str">
        <f t="shared" si="4"/>
        <v/>
      </c>
      <c r="V84" s="16" t="str">
        <f t="shared" si="5"/>
        <v/>
      </c>
    </row>
    <row r="85" spans="11:22" x14ac:dyDescent="0.15">
      <c r="K85" s="127"/>
      <c r="Q85" s="74" t="str">
        <f t="shared" si="3"/>
        <v/>
      </c>
      <c r="T85" s="16" t="str">
        <f t="shared" si="4"/>
        <v/>
      </c>
      <c r="V85" s="16" t="str">
        <f t="shared" si="5"/>
        <v/>
      </c>
    </row>
    <row r="86" spans="11:22" x14ac:dyDescent="0.15">
      <c r="K86" s="127"/>
      <c r="Q86" s="74" t="str">
        <f t="shared" si="3"/>
        <v/>
      </c>
      <c r="T86" s="16" t="str">
        <f t="shared" si="4"/>
        <v/>
      </c>
      <c r="V86" s="16" t="str">
        <f t="shared" si="5"/>
        <v/>
      </c>
    </row>
    <row r="87" spans="11:22" x14ac:dyDescent="0.15">
      <c r="K87" s="127"/>
      <c r="Q87" s="74" t="str">
        <f t="shared" si="3"/>
        <v/>
      </c>
      <c r="T87" s="16" t="str">
        <f t="shared" si="4"/>
        <v/>
      </c>
      <c r="V87" s="16" t="str">
        <f t="shared" si="5"/>
        <v/>
      </c>
    </row>
    <row r="88" spans="11:22" x14ac:dyDescent="0.15">
      <c r="K88" s="127"/>
      <c r="Q88" s="74" t="str">
        <f t="shared" si="3"/>
        <v/>
      </c>
      <c r="T88" s="16" t="str">
        <f t="shared" si="4"/>
        <v/>
      </c>
      <c r="V88" s="16" t="str">
        <f t="shared" si="5"/>
        <v/>
      </c>
    </row>
    <row r="89" spans="11:22" x14ac:dyDescent="0.15">
      <c r="K89" s="127"/>
      <c r="Q89" s="74" t="str">
        <f t="shared" si="3"/>
        <v/>
      </c>
      <c r="T89" s="16" t="str">
        <f t="shared" si="4"/>
        <v/>
      </c>
      <c r="V89" s="16" t="str">
        <f t="shared" si="5"/>
        <v/>
      </c>
    </row>
    <row r="90" spans="11:22" x14ac:dyDescent="0.15">
      <c r="K90" s="127"/>
      <c r="Q90" s="74" t="str">
        <f t="shared" si="3"/>
        <v/>
      </c>
      <c r="T90" s="16" t="str">
        <f t="shared" si="4"/>
        <v/>
      </c>
      <c r="V90" s="16" t="str">
        <f t="shared" si="5"/>
        <v/>
      </c>
    </row>
    <row r="91" spans="11:22" x14ac:dyDescent="0.15">
      <c r="K91" s="127"/>
      <c r="Q91" s="74" t="str">
        <f t="shared" si="3"/>
        <v/>
      </c>
      <c r="T91" s="16" t="str">
        <f t="shared" si="4"/>
        <v/>
      </c>
      <c r="V91" s="16" t="str">
        <f t="shared" si="5"/>
        <v/>
      </c>
    </row>
    <row r="92" spans="11:22" x14ac:dyDescent="0.15">
      <c r="K92" s="127"/>
      <c r="Q92" s="74"/>
    </row>
    <row r="93" spans="11:22" x14ac:dyDescent="0.15">
      <c r="K93" s="127"/>
      <c r="Q93" s="74"/>
    </row>
    <row r="94" spans="11:22" x14ac:dyDescent="0.15">
      <c r="K94" s="127"/>
      <c r="Q94" s="74"/>
    </row>
    <row r="95" spans="11:22" x14ac:dyDescent="0.15">
      <c r="K95" s="127"/>
      <c r="Q95" s="74"/>
    </row>
    <row r="96" spans="11:22" x14ac:dyDescent="0.15">
      <c r="K96" s="127"/>
      <c r="Q96" s="74"/>
    </row>
    <row r="97" spans="11:17" x14ac:dyDescent="0.15">
      <c r="K97" s="127"/>
      <c r="Q97" s="74"/>
    </row>
    <row r="98" spans="11:17" x14ac:dyDescent="0.15">
      <c r="K98" s="127"/>
      <c r="Q98" s="74"/>
    </row>
    <row r="99" spans="11:17" x14ac:dyDescent="0.15">
      <c r="K99" s="127"/>
      <c r="Q99" s="74"/>
    </row>
    <row r="100" spans="11:17" x14ac:dyDescent="0.15">
      <c r="K100" s="127"/>
      <c r="Q100" s="74"/>
    </row>
    <row r="101" spans="11:17" x14ac:dyDescent="0.15">
      <c r="K101" s="127"/>
      <c r="Q101" s="74"/>
    </row>
    <row r="102" spans="11:17" x14ac:dyDescent="0.15">
      <c r="K102" s="127"/>
      <c r="Q102" s="74"/>
    </row>
    <row r="103" spans="11:17" x14ac:dyDescent="0.15">
      <c r="K103" s="127"/>
      <c r="Q103" s="74"/>
    </row>
    <row r="104" spans="11:17" x14ac:dyDescent="0.15">
      <c r="K104" s="127"/>
      <c r="Q104" s="74"/>
    </row>
    <row r="105" spans="11:17" x14ac:dyDescent="0.15">
      <c r="K105" s="127"/>
      <c r="Q105" s="74"/>
    </row>
    <row r="106" spans="11:17" x14ac:dyDescent="0.15">
      <c r="K106" s="127"/>
      <c r="Q106" s="74"/>
    </row>
    <row r="107" spans="11:17" x14ac:dyDescent="0.15">
      <c r="K107" s="127"/>
      <c r="Q107" s="74"/>
    </row>
    <row r="108" spans="11:17" x14ac:dyDescent="0.15">
      <c r="K108" s="127"/>
      <c r="Q108" s="74"/>
    </row>
    <row r="109" spans="11:17" x14ac:dyDescent="0.15">
      <c r="K109" s="127"/>
      <c r="Q109" s="74"/>
    </row>
    <row r="110" spans="11:17" x14ac:dyDescent="0.15">
      <c r="K110" s="127"/>
      <c r="Q110" s="74"/>
    </row>
    <row r="111" spans="11:17" x14ac:dyDescent="0.15">
      <c r="K111" s="127"/>
      <c r="Q111" s="74"/>
    </row>
    <row r="112" spans="11:17" x14ac:dyDescent="0.15">
      <c r="K112" s="127"/>
      <c r="Q112" s="74"/>
    </row>
    <row r="113" spans="11:17" x14ac:dyDescent="0.15">
      <c r="K113" s="127"/>
      <c r="Q113" s="74"/>
    </row>
    <row r="114" spans="11:17" x14ac:dyDescent="0.15">
      <c r="K114" s="127"/>
      <c r="Q114" s="74"/>
    </row>
    <row r="115" spans="11:17" x14ac:dyDescent="0.15">
      <c r="K115" s="127"/>
      <c r="Q115" s="74"/>
    </row>
    <row r="116" spans="11:17" x14ac:dyDescent="0.15">
      <c r="K116" s="127"/>
      <c r="Q116" s="74"/>
    </row>
    <row r="117" spans="11:17" x14ac:dyDescent="0.15">
      <c r="K117" s="127"/>
      <c r="Q117" s="74"/>
    </row>
    <row r="118" spans="11:17" x14ac:dyDescent="0.15">
      <c r="K118" s="127"/>
      <c r="Q118" s="74"/>
    </row>
    <row r="119" spans="11:17" x14ac:dyDescent="0.15">
      <c r="K119" s="127"/>
      <c r="Q119" s="74"/>
    </row>
    <row r="120" spans="11:17" x14ac:dyDescent="0.15">
      <c r="K120" s="127"/>
      <c r="Q120" s="74"/>
    </row>
    <row r="121" spans="11:17" x14ac:dyDescent="0.15">
      <c r="K121" s="127"/>
      <c r="Q121" s="74"/>
    </row>
    <row r="122" spans="11:17" x14ac:dyDescent="0.15">
      <c r="K122" s="127"/>
      <c r="Q122" s="74"/>
    </row>
    <row r="123" spans="11:17" x14ac:dyDescent="0.15">
      <c r="K123" s="127"/>
      <c r="Q123" s="74"/>
    </row>
    <row r="124" spans="11:17" x14ac:dyDescent="0.15">
      <c r="K124" s="127"/>
      <c r="Q124" s="74"/>
    </row>
    <row r="125" spans="11:17" x14ac:dyDescent="0.15">
      <c r="K125" s="127"/>
      <c r="Q125" s="74"/>
    </row>
    <row r="126" spans="11:17" x14ac:dyDescent="0.15">
      <c r="K126" s="127"/>
      <c r="Q126" s="74"/>
    </row>
    <row r="127" spans="11:17" x14ac:dyDescent="0.15">
      <c r="K127" s="127"/>
      <c r="Q127" s="74"/>
    </row>
    <row r="128" spans="11:17" x14ac:dyDescent="0.15">
      <c r="K128" s="127"/>
      <c r="Q128" s="74"/>
    </row>
    <row r="129" spans="11:17" x14ac:dyDescent="0.15">
      <c r="K129" s="127"/>
      <c r="Q129" s="74"/>
    </row>
    <row r="130" spans="11:17" x14ac:dyDescent="0.15">
      <c r="K130" s="127"/>
      <c r="Q130" s="74"/>
    </row>
    <row r="131" spans="11:17" x14ac:dyDescent="0.15">
      <c r="K131" s="127"/>
      <c r="Q131" s="74"/>
    </row>
    <row r="132" spans="11:17" x14ac:dyDescent="0.15">
      <c r="K132" s="127"/>
      <c r="Q132" s="74"/>
    </row>
    <row r="133" spans="11:17" x14ac:dyDescent="0.15">
      <c r="K133" s="127"/>
      <c r="Q133" s="74"/>
    </row>
    <row r="134" spans="11:17" x14ac:dyDescent="0.15">
      <c r="K134" s="127"/>
      <c r="Q134" s="74"/>
    </row>
    <row r="135" spans="11:17" x14ac:dyDescent="0.15">
      <c r="K135" s="127"/>
      <c r="Q135" s="74"/>
    </row>
    <row r="136" spans="11:17" x14ac:dyDescent="0.15">
      <c r="K136" s="127"/>
      <c r="Q136" s="74"/>
    </row>
    <row r="137" spans="11:17" x14ac:dyDescent="0.15">
      <c r="K137" s="127"/>
      <c r="Q137" s="74"/>
    </row>
    <row r="138" spans="11:17" x14ac:dyDescent="0.15">
      <c r="K138" s="127"/>
      <c r="Q138" s="74"/>
    </row>
    <row r="139" spans="11:17" x14ac:dyDescent="0.15">
      <c r="K139" s="127"/>
      <c r="Q139" s="74"/>
    </row>
    <row r="140" spans="11:17" x14ac:dyDescent="0.15">
      <c r="K140" s="127"/>
      <c r="Q140" s="74"/>
    </row>
    <row r="141" spans="11:17" x14ac:dyDescent="0.15">
      <c r="K141" s="127"/>
      <c r="Q141" s="74"/>
    </row>
    <row r="142" spans="11:17" x14ac:dyDescent="0.15">
      <c r="K142" s="127"/>
      <c r="Q142" s="74"/>
    </row>
    <row r="143" spans="11:17" x14ac:dyDescent="0.15">
      <c r="K143" s="127"/>
      <c r="Q143" s="74"/>
    </row>
    <row r="144" spans="11:17" x14ac:dyDescent="0.15">
      <c r="K144" s="127"/>
      <c r="Q144" s="74"/>
    </row>
    <row r="145" spans="11:17" x14ac:dyDescent="0.15">
      <c r="K145" s="127"/>
      <c r="Q145" s="74"/>
    </row>
    <row r="146" spans="11:17" x14ac:dyDescent="0.15">
      <c r="K146" s="127"/>
      <c r="Q146" s="74"/>
    </row>
    <row r="147" spans="11:17" x14ac:dyDescent="0.15">
      <c r="K147" s="127"/>
      <c r="Q147" s="74"/>
    </row>
    <row r="148" spans="11:17" x14ac:dyDescent="0.15">
      <c r="K148" s="127"/>
      <c r="Q148" s="74"/>
    </row>
    <row r="149" spans="11:17" x14ac:dyDescent="0.15">
      <c r="K149" s="127"/>
      <c r="Q149" s="74"/>
    </row>
    <row r="150" spans="11:17" x14ac:dyDescent="0.15">
      <c r="K150" s="127"/>
      <c r="Q150" s="74"/>
    </row>
    <row r="151" spans="11:17" x14ac:dyDescent="0.15">
      <c r="K151" s="127"/>
      <c r="Q151" s="74"/>
    </row>
    <row r="152" spans="11:17" x14ac:dyDescent="0.15">
      <c r="K152" s="127"/>
      <c r="Q152" s="74"/>
    </row>
    <row r="153" spans="11:17" x14ac:dyDescent="0.15">
      <c r="K153" s="127"/>
      <c r="Q153" s="74"/>
    </row>
    <row r="154" spans="11:17" x14ac:dyDescent="0.15">
      <c r="K154" s="127"/>
      <c r="Q154" s="74"/>
    </row>
    <row r="155" spans="11:17" x14ac:dyDescent="0.15">
      <c r="K155" s="127"/>
      <c r="Q155" s="74"/>
    </row>
    <row r="156" spans="11:17" x14ac:dyDescent="0.15">
      <c r="K156" s="127"/>
      <c r="Q156" s="74"/>
    </row>
    <row r="157" spans="11:17" x14ac:dyDescent="0.15">
      <c r="K157" s="127"/>
      <c r="Q157" s="74"/>
    </row>
    <row r="158" spans="11:17" x14ac:dyDescent="0.15">
      <c r="K158" s="127"/>
      <c r="Q158" s="74"/>
    </row>
    <row r="159" spans="11:17" x14ac:dyDescent="0.15">
      <c r="K159" s="127"/>
      <c r="Q159" s="74"/>
    </row>
    <row r="160" spans="11:17" x14ac:dyDescent="0.15">
      <c r="K160" s="127"/>
      <c r="Q160" s="74"/>
    </row>
    <row r="161" spans="11:17" x14ac:dyDescent="0.15">
      <c r="K161" s="127"/>
      <c r="Q161" s="74"/>
    </row>
    <row r="162" spans="11:17" x14ac:dyDescent="0.15">
      <c r="K162" s="127"/>
      <c r="Q162" s="74"/>
    </row>
    <row r="163" spans="11:17" x14ac:dyDescent="0.15">
      <c r="K163" s="127"/>
      <c r="Q163" s="74"/>
    </row>
    <row r="164" spans="11:17" x14ac:dyDescent="0.15">
      <c r="K164" s="127"/>
      <c r="Q164" s="74"/>
    </row>
    <row r="165" spans="11:17" x14ac:dyDescent="0.15">
      <c r="K165" s="127"/>
      <c r="Q165" s="74"/>
    </row>
    <row r="166" spans="11:17" x14ac:dyDescent="0.15">
      <c r="K166" s="127"/>
      <c r="Q166" s="74"/>
    </row>
    <row r="167" spans="11:17" x14ac:dyDescent="0.15">
      <c r="K167" s="127"/>
      <c r="Q167" s="74"/>
    </row>
    <row r="168" spans="11:17" x14ac:dyDescent="0.15">
      <c r="K168" s="127"/>
      <c r="Q168" s="74"/>
    </row>
    <row r="169" spans="11:17" x14ac:dyDescent="0.15">
      <c r="K169" s="127"/>
      <c r="Q169" s="74"/>
    </row>
    <row r="170" spans="11:17" x14ac:dyDescent="0.15">
      <c r="K170" s="127"/>
      <c r="Q170" s="74"/>
    </row>
    <row r="171" spans="11:17" x14ac:dyDescent="0.15">
      <c r="K171" s="127"/>
      <c r="Q171" s="74"/>
    </row>
    <row r="172" spans="11:17" x14ac:dyDescent="0.15">
      <c r="K172" s="127"/>
      <c r="Q172" s="74"/>
    </row>
    <row r="173" spans="11:17" x14ac:dyDescent="0.15">
      <c r="K173" s="127"/>
      <c r="Q173" s="74"/>
    </row>
    <row r="174" spans="11:17" x14ac:dyDescent="0.15">
      <c r="K174" s="127"/>
      <c r="Q174" s="74"/>
    </row>
    <row r="175" spans="11:17" x14ac:dyDescent="0.15">
      <c r="K175" s="127"/>
      <c r="Q175" s="74"/>
    </row>
    <row r="176" spans="11:17" x14ac:dyDescent="0.15">
      <c r="K176" s="127"/>
      <c r="Q176" s="74"/>
    </row>
    <row r="177" spans="11:17" x14ac:dyDescent="0.15">
      <c r="K177" s="127"/>
      <c r="Q177" s="74"/>
    </row>
    <row r="178" spans="11:17" x14ac:dyDescent="0.15">
      <c r="K178" s="127"/>
      <c r="Q178" s="74"/>
    </row>
    <row r="179" spans="11:17" x14ac:dyDescent="0.15">
      <c r="K179" s="127"/>
      <c r="Q179" s="74"/>
    </row>
    <row r="180" spans="11:17" x14ac:dyDescent="0.15">
      <c r="K180" s="127"/>
      <c r="Q180" s="74"/>
    </row>
    <row r="181" spans="11:17" x14ac:dyDescent="0.15">
      <c r="K181" s="127"/>
      <c r="Q181" s="74"/>
    </row>
    <row r="182" spans="11:17" x14ac:dyDescent="0.15">
      <c r="K182" s="127"/>
      <c r="Q182" s="74"/>
    </row>
    <row r="183" spans="11:17" x14ac:dyDescent="0.15">
      <c r="K183" s="127"/>
      <c r="Q183" s="74"/>
    </row>
    <row r="184" spans="11:17" x14ac:dyDescent="0.15">
      <c r="K184" s="127"/>
      <c r="Q184" s="74"/>
    </row>
    <row r="185" spans="11:17" x14ac:dyDescent="0.15">
      <c r="K185" s="127"/>
      <c r="Q185" s="74"/>
    </row>
    <row r="186" spans="11:17" x14ac:dyDescent="0.15">
      <c r="K186" s="127"/>
      <c r="Q186" s="74"/>
    </row>
    <row r="187" spans="11:17" x14ac:dyDescent="0.15">
      <c r="K187" s="127"/>
      <c r="Q187" s="74"/>
    </row>
    <row r="188" spans="11:17" x14ac:dyDescent="0.15">
      <c r="K188" s="127"/>
      <c r="Q188" s="74"/>
    </row>
    <row r="189" spans="11:17" x14ac:dyDescent="0.15">
      <c r="K189" s="127"/>
      <c r="Q189" s="74"/>
    </row>
    <row r="190" spans="11:17" x14ac:dyDescent="0.15">
      <c r="K190" s="127"/>
      <c r="Q190" s="74"/>
    </row>
    <row r="191" spans="11:17" x14ac:dyDescent="0.15">
      <c r="K191" s="127"/>
      <c r="Q191" s="74"/>
    </row>
    <row r="192" spans="11:17" x14ac:dyDescent="0.15">
      <c r="K192" s="127"/>
      <c r="Q192" s="74"/>
    </row>
    <row r="193" spans="11:17" x14ac:dyDescent="0.15">
      <c r="K193" s="127"/>
      <c r="Q193" s="74"/>
    </row>
    <row r="194" spans="11:17" x14ac:dyDescent="0.15">
      <c r="K194" s="127"/>
      <c r="Q194" s="74"/>
    </row>
    <row r="195" spans="11:17" x14ac:dyDescent="0.15">
      <c r="K195" s="127"/>
      <c r="Q195" s="74"/>
    </row>
    <row r="196" spans="11:17" x14ac:dyDescent="0.15">
      <c r="K196" s="127"/>
      <c r="Q196" s="74"/>
    </row>
    <row r="197" spans="11:17" x14ac:dyDescent="0.15">
      <c r="K197" s="127"/>
      <c r="Q197" s="74"/>
    </row>
    <row r="198" spans="11:17" x14ac:dyDescent="0.15">
      <c r="K198" s="127"/>
      <c r="Q198" s="74"/>
    </row>
    <row r="199" spans="11:17" x14ac:dyDescent="0.15">
      <c r="K199" s="127"/>
      <c r="Q199" s="74"/>
    </row>
    <row r="200" spans="11:17" x14ac:dyDescent="0.15">
      <c r="K200" s="127"/>
      <c r="Q200" s="74"/>
    </row>
    <row r="201" spans="11:17" x14ac:dyDescent="0.15">
      <c r="K201" s="127"/>
      <c r="Q201" s="74"/>
    </row>
    <row r="202" spans="11:17" x14ac:dyDescent="0.15">
      <c r="K202" s="127"/>
      <c r="Q202" s="74"/>
    </row>
    <row r="203" spans="11:17" x14ac:dyDescent="0.15">
      <c r="K203" s="127"/>
      <c r="Q203" s="74"/>
    </row>
    <row r="204" spans="11:17" x14ac:dyDescent="0.15">
      <c r="K204" s="127"/>
      <c r="Q204" s="74"/>
    </row>
    <row r="205" spans="11:17" x14ac:dyDescent="0.15">
      <c r="K205" s="127"/>
      <c r="Q205" s="74"/>
    </row>
    <row r="206" spans="11:17" x14ac:dyDescent="0.15">
      <c r="K206" s="127"/>
      <c r="Q206" s="74"/>
    </row>
    <row r="207" spans="11:17" x14ac:dyDescent="0.15">
      <c r="K207" s="127"/>
      <c r="Q207" s="74"/>
    </row>
    <row r="208" spans="11:17" x14ac:dyDescent="0.15">
      <c r="K208" s="127"/>
      <c r="Q208" s="74"/>
    </row>
    <row r="209" spans="11:17" x14ac:dyDescent="0.15">
      <c r="K209" s="127"/>
      <c r="Q209" s="74"/>
    </row>
    <row r="210" spans="11:17" x14ac:dyDescent="0.15">
      <c r="K210" s="127"/>
      <c r="Q210" s="74"/>
    </row>
    <row r="211" spans="11:17" x14ac:dyDescent="0.15">
      <c r="K211" s="127"/>
      <c r="Q211" s="74"/>
    </row>
    <row r="212" spans="11:17" x14ac:dyDescent="0.15">
      <c r="K212" s="127"/>
      <c r="Q212" s="74"/>
    </row>
    <row r="213" spans="11:17" x14ac:dyDescent="0.15">
      <c r="K213" s="127"/>
      <c r="Q213" s="74"/>
    </row>
    <row r="214" spans="11:17" x14ac:dyDescent="0.15">
      <c r="K214" s="127"/>
      <c r="Q214" s="74"/>
    </row>
    <row r="215" spans="11:17" x14ac:dyDescent="0.15">
      <c r="K215" s="127"/>
      <c r="Q215" s="74"/>
    </row>
    <row r="216" spans="11:17" x14ac:dyDescent="0.15">
      <c r="K216" s="127"/>
      <c r="Q216" s="74"/>
    </row>
    <row r="217" spans="11:17" x14ac:dyDescent="0.15">
      <c r="K217" s="127"/>
      <c r="Q217" s="74"/>
    </row>
    <row r="218" spans="11:17" x14ac:dyDescent="0.15">
      <c r="K218" s="127"/>
      <c r="Q218" s="74"/>
    </row>
    <row r="219" spans="11:17" x14ac:dyDescent="0.15">
      <c r="K219" s="127"/>
      <c r="Q219" s="74"/>
    </row>
    <row r="220" spans="11:17" x14ac:dyDescent="0.15">
      <c r="K220" s="127"/>
      <c r="Q220" s="74"/>
    </row>
    <row r="221" spans="11:17" x14ac:dyDescent="0.15">
      <c r="K221" s="127"/>
      <c r="Q221" s="74"/>
    </row>
    <row r="222" spans="11:17" x14ac:dyDescent="0.15">
      <c r="K222" s="127"/>
      <c r="Q222" s="74"/>
    </row>
    <row r="223" spans="11:17" x14ac:dyDescent="0.15">
      <c r="K223" s="127"/>
      <c r="Q223" s="74"/>
    </row>
    <row r="224" spans="11:17" x14ac:dyDescent="0.15">
      <c r="K224" s="127"/>
      <c r="Q224" s="74"/>
    </row>
    <row r="225" spans="11:17" x14ac:dyDescent="0.15">
      <c r="K225" s="127"/>
      <c r="Q225" s="74"/>
    </row>
    <row r="226" spans="11:17" x14ac:dyDescent="0.15">
      <c r="K226" s="127"/>
      <c r="Q226" s="74"/>
    </row>
    <row r="227" spans="11:17" x14ac:dyDescent="0.15">
      <c r="K227" s="127"/>
      <c r="Q227" s="74"/>
    </row>
    <row r="228" spans="11:17" x14ac:dyDescent="0.15">
      <c r="K228" s="127"/>
      <c r="Q228" s="74"/>
    </row>
    <row r="229" spans="11:17" x14ac:dyDescent="0.15">
      <c r="K229" s="127"/>
      <c r="Q229" s="74"/>
    </row>
    <row r="230" spans="11:17" x14ac:dyDescent="0.15">
      <c r="K230" s="127"/>
      <c r="Q230" s="74"/>
    </row>
    <row r="231" spans="11:17" x14ac:dyDescent="0.15">
      <c r="K231" s="127"/>
      <c r="Q231" s="74"/>
    </row>
    <row r="232" spans="11:17" x14ac:dyDescent="0.15">
      <c r="K232" s="127"/>
      <c r="Q232" s="74"/>
    </row>
    <row r="233" spans="11:17" x14ac:dyDescent="0.15">
      <c r="K233" s="127"/>
      <c r="Q233" s="74"/>
    </row>
    <row r="234" spans="11:17" x14ac:dyDescent="0.15">
      <c r="K234" s="127"/>
      <c r="Q234" s="74"/>
    </row>
    <row r="235" spans="11:17" x14ac:dyDescent="0.15">
      <c r="K235" s="127"/>
      <c r="Q235" s="74"/>
    </row>
    <row r="236" spans="11:17" x14ac:dyDescent="0.15">
      <c r="K236" s="127"/>
      <c r="Q236" s="74"/>
    </row>
    <row r="237" spans="11:17" x14ac:dyDescent="0.15">
      <c r="K237" s="127"/>
      <c r="Q237" s="74"/>
    </row>
    <row r="238" spans="11:17" x14ac:dyDescent="0.15">
      <c r="K238" s="127"/>
      <c r="Q238" s="74"/>
    </row>
    <row r="239" spans="11:17" x14ac:dyDescent="0.15">
      <c r="K239" s="127"/>
      <c r="Q239" s="74"/>
    </row>
    <row r="240" spans="11:17" x14ac:dyDescent="0.15">
      <c r="K240" s="127"/>
      <c r="Q240" s="74"/>
    </row>
    <row r="241" spans="11:17" x14ac:dyDescent="0.15">
      <c r="K241" s="127"/>
      <c r="Q241" s="74"/>
    </row>
    <row r="242" spans="11:17" x14ac:dyDescent="0.15">
      <c r="K242" s="127"/>
      <c r="Q242" s="74"/>
    </row>
    <row r="243" spans="11:17" x14ac:dyDescent="0.15">
      <c r="K243" s="127"/>
      <c r="Q243" s="74"/>
    </row>
    <row r="244" spans="11:17" x14ac:dyDescent="0.15">
      <c r="K244" s="127"/>
      <c r="Q244" s="74"/>
    </row>
    <row r="245" spans="11:17" x14ac:dyDescent="0.15">
      <c r="K245" s="127"/>
      <c r="Q245" s="74"/>
    </row>
    <row r="246" spans="11:17" x14ac:dyDescent="0.15">
      <c r="K246" s="127"/>
      <c r="Q246" s="74"/>
    </row>
    <row r="247" spans="11:17" x14ac:dyDescent="0.15">
      <c r="K247" s="127"/>
      <c r="Q247" s="74"/>
    </row>
    <row r="248" spans="11:17" x14ac:dyDescent="0.15">
      <c r="K248" s="127"/>
      <c r="Q248" s="74"/>
    </row>
    <row r="249" spans="11:17" x14ac:dyDescent="0.15">
      <c r="K249" s="127"/>
      <c r="Q249" s="74"/>
    </row>
    <row r="250" spans="11:17" x14ac:dyDescent="0.15">
      <c r="K250" s="127"/>
      <c r="Q250" s="74"/>
    </row>
    <row r="251" spans="11:17" x14ac:dyDescent="0.15">
      <c r="K251" s="127"/>
      <c r="Q251" s="74"/>
    </row>
    <row r="252" spans="11:17" x14ac:dyDescent="0.15">
      <c r="K252" s="127"/>
      <c r="Q252" s="74"/>
    </row>
    <row r="253" spans="11:17" x14ac:dyDescent="0.15">
      <c r="K253" s="127"/>
      <c r="Q253" s="74"/>
    </row>
    <row r="254" spans="11:17" x14ac:dyDescent="0.15">
      <c r="K254" s="127"/>
      <c r="Q254" s="74"/>
    </row>
    <row r="255" spans="11:17" x14ac:dyDescent="0.15">
      <c r="K255" s="127"/>
      <c r="Q255" s="74"/>
    </row>
    <row r="256" spans="11:17" x14ac:dyDescent="0.15">
      <c r="K256" s="127"/>
      <c r="Q256" s="74"/>
    </row>
    <row r="257" spans="11:17" x14ac:dyDescent="0.15">
      <c r="K257" s="127"/>
      <c r="Q257" s="74"/>
    </row>
    <row r="258" spans="11:17" x14ac:dyDescent="0.15">
      <c r="K258" s="127"/>
      <c r="Q258" s="74"/>
    </row>
    <row r="259" spans="11:17" x14ac:dyDescent="0.15">
      <c r="K259" s="127"/>
      <c r="Q259" s="74"/>
    </row>
    <row r="260" spans="11:17" x14ac:dyDescent="0.15">
      <c r="K260" s="127"/>
      <c r="Q260" s="74"/>
    </row>
    <row r="261" spans="11:17" x14ac:dyDescent="0.15">
      <c r="K261" s="127"/>
      <c r="Q261" s="74"/>
    </row>
    <row r="262" spans="11:17" x14ac:dyDescent="0.15">
      <c r="K262" s="127"/>
      <c r="Q262" s="74"/>
    </row>
    <row r="263" spans="11:17" x14ac:dyDescent="0.15">
      <c r="K263" s="127"/>
      <c r="Q263" s="74"/>
    </row>
    <row r="264" spans="11:17" x14ac:dyDescent="0.15">
      <c r="K264" s="127"/>
      <c r="Q264" s="74"/>
    </row>
    <row r="265" spans="11:17" x14ac:dyDescent="0.15">
      <c r="K265" s="127"/>
      <c r="Q265" s="74"/>
    </row>
    <row r="266" spans="11:17" x14ac:dyDescent="0.15">
      <c r="K266" s="127"/>
      <c r="Q266" s="74"/>
    </row>
    <row r="267" spans="11:17" x14ac:dyDescent="0.15">
      <c r="K267" s="127"/>
      <c r="Q267" s="74"/>
    </row>
    <row r="268" spans="11:17" x14ac:dyDescent="0.15">
      <c r="K268" s="127"/>
      <c r="Q268" s="74"/>
    </row>
    <row r="269" spans="11:17" x14ac:dyDescent="0.15">
      <c r="K269" s="127"/>
      <c r="Q269" s="74"/>
    </row>
    <row r="270" spans="11:17" x14ac:dyDescent="0.15">
      <c r="K270" s="127"/>
      <c r="Q270" s="74"/>
    </row>
    <row r="271" spans="11:17" x14ac:dyDescent="0.15">
      <c r="K271" s="127"/>
      <c r="Q271" s="74"/>
    </row>
    <row r="272" spans="11:17" x14ac:dyDescent="0.15">
      <c r="K272" s="127"/>
      <c r="Q272" s="74"/>
    </row>
    <row r="273" spans="11:17" x14ac:dyDescent="0.15">
      <c r="K273" s="127"/>
      <c r="Q273" s="74"/>
    </row>
    <row r="274" spans="11:17" x14ac:dyDescent="0.15">
      <c r="K274" s="127"/>
      <c r="Q274" s="74"/>
    </row>
    <row r="275" spans="11:17" x14ac:dyDescent="0.15">
      <c r="K275" s="127"/>
      <c r="Q275" s="74"/>
    </row>
    <row r="276" spans="11:17" x14ac:dyDescent="0.15">
      <c r="K276" s="127"/>
      <c r="Q276" s="74"/>
    </row>
    <row r="277" spans="11:17" x14ac:dyDescent="0.15">
      <c r="K277" s="127"/>
      <c r="Q277" s="74"/>
    </row>
    <row r="278" spans="11:17" x14ac:dyDescent="0.15">
      <c r="K278" s="127"/>
      <c r="Q278" s="74"/>
    </row>
    <row r="279" spans="11:17" x14ac:dyDescent="0.15">
      <c r="K279" s="127"/>
      <c r="Q279" s="74"/>
    </row>
    <row r="280" spans="11:17" x14ac:dyDescent="0.15">
      <c r="K280" s="127"/>
      <c r="Q280" s="74"/>
    </row>
    <row r="281" spans="11:17" x14ac:dyDescent="0.15">
      <c r="K281" s="127"/>
      <c r="Q281" s="74"/>
    </row>
    <row r="282" spans="11:17" x14ac:dyDescent="0.15">
      <c r="K282" s="127"/>
      <c r="Q282" s="74"/>
    </row>
    <row r="283" spans="11:17" x14ac:dyDescent="0.15">
      <c r="K283" s="127"/>
      <c r="Q283" s="74"/>
    </row>
    <row r="284" spans="11:17" x14ac:dyDescent="0.15">
      <c r="K284" s="127"/>
      <c r="Q284" s="74"/>
    </row>
    <row r="285" spans="11:17" x14ac:dyDescent="0.15">
      <c r="K285" s="127"/>
      <c r="Q285" s="74"/>
    </row>
    <row r="286" spans="11:17" x14ac:dyDescent="0.15">
      <c r="K286" s="127"/>
      <c r="Q286" s="74"/>
    </row>
    <row r="287" spans="11:17" x14ac:dyDescent="0.15">
      <c r="K287" s="127"/>
      <c r="Q287" s="74"/>
    </row>
    <row r="288" spans="11:17" x14ac:dyDescent="0.15">
      <c r="K288" s="127"/>
      <c r="Q288" s="74"/>
    </row>
    <row r="289" spans="11:17" x14ac:dyDescent="0.15">
      <c r="K289" s="127"/>
      <c r="Q289" s="74"/>
    </row>
    <row r="290" spans="11:17" x14ac:dyDescent="0.15">
      <c r="K290" s="127"/>
      <c r="Q290" s="74"/>
    </row>
    <row r="291" spans="11:17" x14ac:dyDescent="0.15">
      <c r="K291" s="127"/>
      <c r="Q291" s="74"/>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A065820A-14C4-4B83-97E4-487977CF6021}">
      <formula1>$AH$2:$AH$11</formula1>
    </dataValidation>
    <dataValidation type="list" allowBlank="1" showInputMessage="1" showErrorMessage="1" sqref="E2:E491" xr:uid="{E0975737-1766-4169-9E72-034851E16FE5}">
      <formula1>$AG$2:$AG$11</formula1>
    </dataValidation>
    <dataValidation type="decimal" allowBlank="1" showInputMessage="1" showErrorMessage="1" error="硬度を正しく入力して下さい。" sqref="O2:P491" xr:uid="{5C5A8F7F-6709-488C-BCAD-36DB90109CD6}">
      <formula1>0</formula1>
      <formula2>7</formula2>
    </dataValidation>
    <dataValidation type="list" allowBlank="1" showInputMessage="1" showErrorMessage="1" sqref="Y2:AA491" xr:uid="{AF2EF32E-F131-44C8-8E83-D155A3A12202}">
      <formula1>$AV$2:$AV$21</formula1>
    </dataValidation>
    <dataValidation type="list" allowBlank="1" showInputMessage="1" showErrorMessage="1" sqref="K444:K491" xr:uid="{3A365682-220C-4173-8A63-4D51C12C3375}">
      <formula1>$AR$2:$AR$25</formula1>
    </dataValidation>
    <dataValidation type="list" allowBlank="1" showInputMessage="1" showErrorMessage="1" sqref="I2:I491" xr:uid="{F00CB586-D946-46C5-8AF8-CD5FE883D34B}">
      <formula1>$AN$5:$AN$6</formula1>
    </dataValidation>
    <dataValidation type="list" allowBlank="1" showInputMessage="1" showErrorMessage="1" sqref="H2:H491" xr:uid="{2DFF1AED-2003-4A38-ABE8-7DE29EF9C20C}">
      <formula1>$AL$2:$AL$8</formula1>
    </dataValidation>
    <dataValidation type="list" allowBlank="1" showInputMessage="1" showErrorMessage="1" sqref="A2:A491" xr:uid="{40E385D7-D9FD-4CE1-AE84-8868D278DEBC}">
      <formula1>$AE$2:$AE$19</formula1>
    </dataValidation>
    <dataValidation type="list" allowBlank="1" showInputMessage="1" showErrorMessage="1" sqref="X2:X491" xr:uid="{C352A9D6-B29B-42A2-94F9-845B591B3A69}">
      <formula1>$AT$2:$AT$3</formula1>
    </dataValidation>
    <dataValidation type="list" allowBlank="1" showInputMessage="1" showErrorMessage="1" sqref="G2:G491" xr:uid="{058FA388-8E60-4D9F-943D-D7F28CEC3AE9}">
      <formula1>$AJ$2:$AJ$4</formula1>
    </dataValidation>
    <dataValidation type="list" allowBlank="1" showInputMessage="1" showErrorMessage="1" sqref="J2:J491" xr:uid="{AA9D48AC-BFA4-4F7E-8CB0-FBE5EE4812F9}">
      <formula1>$AP$2:$AP$27</formula1>
    </dataValidation>
    <dataValidation operator="equal" allowBlank="1" showInputMessage="1" showErrorMessage="1" sqref="B2:B47" xr:uid="{25F57A92-7AED-4218-9B66-0AC4B918A13B}"/>
    <dataValidation type="list" allowBlank="1" showInputMessage="1" showErrorMessage="1" sqref="F492:F64242" xr:uid="{8A1571E7-5709-4D68-B388-C15F247E6C7D}">
      <formula1>$AH$2:$AH$8</formula1>
    </dataValidation>
    <dataValidation type="list" allowBlank="1" showInputMessage="1" showErrorMessage="1" sqref="E492:E64242" xr:uid="{68F5A7A9-AFC7-465E-9FB5-0540B0218872}">
      <formula1>$AG$2:$AG$9</formula1>
    </dataValidation>
    <dataValidation type="list" allowBlank="1" showInputMessage="1" showErrorMessage="1" sqref="H492:H64242" xr:uid="{949BD78B-E223-4D00-B97F-1F97B7DAA1AB}">
      <formula1>$AL$2:$AL$10</formula1>
    </dataValidation>
    <dataValidation type="list" allowBlank="1" showInputMessage="1" showErrorMessage="1" sqref="K492:K64242" xr:uid="{4AFE64AA-8006-4385-A916-E3297AD382E3}">
      <formula1>$AR$2:$AR$28</formula1>
    </dataValidation>
    <dataValidation type="list" allowBlank="1" showInputMessage="1" showErrorMessage="1" sqref="Y492:AA64242" xr:uid="{EBF1A539-0721-468B-B475-D4038FFCEEC6}">
      <formula1>$AV$2:$AV$26</formula1>
    </dataValidation>
    <dataValidation type="list" allowBlank="1" showInputMessage="1" showErrorMessage="1" sqref="I492:I64242" xr:uid="{28AC55FC-D91A-40D2-8F94-B37E1C8D5CAD}">
      <formula1>$AN$2:$AN$6</formula1>
    </dataValidation>
    <dataValidation type="list" allowBlank="1" showInputMessage="1" showErrorMessage="1" sqref="J492:J64242" xr:uid="{F3B36350-B6B0-499E-8F83-3E4C7B32E30C}">
      <formula1>$AP$2:$AP$16</formula1>
    </dataValidation>
    <dataValidation type="list" allowBlank="1" showInputMessage="1" showErrorMessage="1" sqref="K2:K443" xr:uid="{C3EA5CD4-42DB-4C9D-9260-680A30C01793}">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ACF72-BB26-44FF-B35B-C2A99359BF83}">
  <dimension ref="A1:BA149"/>
  <sheetViews>
    <sheetView zoomScale="85" zoomScaleNormal="85" workbookViewId="0">
      <pane ySplit="1" topLeftCell="A2" activePane="bottomLeft" state="frozen"/>
      <selection pane="bottomLeft" activeCell="I56" sqref="I56"/>
    </sheetView>
  </sheetViews>
  <sheetFormatPr defaultRowHeight="13.5" x14ac:dyDescent="0.15"/>
  <cols>
    <col min="1" max="2" width="9" style="53"/>
    <col min="3" max="3" width="6.5" style="53" customWidth="1"/>
    <col min="4" max="4" width="10.5" style="53" bestFit="1" customWidth="1"/>
    <col min="5" max="5" width="10.875" style="53" bestFit="1" customWidth="1"/>
    <col min="6" max="6" width="15.25" style="53"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314</v>
      </c>
      <c r="V1" s="5" t="s">
        <v>20</v>
      </c>
      <c r="W1" s="56" t="s">
        <v>21</v>
      </c>
      <c r="X1" s="45" t="s">
        <v>22</v>
      </c>
      <c r="Y1" s="45" t="s">
        <v>23</v>
      </c>
      <c r="Z1" s="45" t="s">
        <v>372</v>
      </c>
      <c r="AA1" s="46" t="s">
        <v>25</v>
      </c>
      <c r="AB1" s="80" t="s">
        <v>26</v>
      </c>
      <c r="AE1" s="60" t="s">
        <v>0</v>
      </c>
      <c r="AF1" s="61"/>
      <c r="AG1" s="187"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237</v>
      </c>
      <c r="C2" s="53">
        <v>2019</v>
      </c>
      <c r="D2" s="188" t="s">
        <v>373</v>
      </c>
      <c r="E2" s="53" t="s">
        <v>374</v>
      </c>
      <c r="F2" s="53" t="s">
        <v>375</v>
      </c>
      <c r="G2" s="53" t="s">
        <v>36</v>
      </c>
      <c r="H2" s="53" t="s">
        <v>163</v>
      </c>
      <c r="I2" s="53" t="s">
        <v>159</v>
      </c>
      <c r="J2" s="53" t="s">
        <v>38</v>
      </c>
      <c r="K2" s="53" t="s">
        <v>160</v>
      </c>
      <c r="L2" s="53">
        <v>1</v>
      </c>
      <c r="N2" s="53">
        <v>1</v>
      </c>
      <c r="O2" s="53">
        <v>0.7</v>
      </c>
      <c r="P2" s="53">
        <v>0.65</v>
      </c>
      <c r="Q2" s="74">
        <f t="shared" ref="Q2:Q65" si="0">IF(OR(O2="",P2=""),"",AVERAGE(O2,P2))</f>
        <v>0.67500000000000004</v>
      </c>
      <c r="R2" s="53">
        <v>14.3</v>
      </c>
      <c r="S2" s="53">
        <v>102</v>
      </c>
      <c r="T2" s="16">
        <f t="shared" ref="T2:T65" si="1">IF(H2="","",IF(OR(H2="GREEN",H2="GK"),IF(S2&gt;=$AX$2,VLOOKUP(S2,$AX$2:$AY$9,2,1),""),IF(S2&gt;=$AZ$2,VLOOKUP(S2,$AZ$2:$BA$9,2,1),"")))</f>
        <v>33</v>
      </c>
      <c r="U2" s="53">
        <v>100</v>
      </c>
      <c r="V2" s="16">
        <f t="shared" ref="V2:V65" si="2">IF(OR(N2="",U2="",T2=""),"",U2/N2*T2)</f>
        <v>3300</v>
      </c>
      <c r="W2" s="53">
        <v>1</v>
      </c>
      <c r="X2" s="53" t="s">
        <v>46</v>
      </c>
      <c r="Y2" s="53" t="s">
        <v>84</v>
      </c>
      <c r="Z2" s="53" t="s">
        <v>69</v>
      </c>
      <c r="AA2" s="53" t="s">
        <v>90</v>
      </c>
      <c r="AB2" s="53" t="s">
        <v>241</v>
      </c>
      <c r="AE2" s="64" t="s">
        <v>35</v>
      </c>
      <c r="AG2" s="189" t="s">
        <v>364</v>
      </c>
      <c r="AH2" s="67" t="s">
        <v>376</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237</v>
      </c>
      <c r="C3" s="53">
        <v>2019</v>
      </c>
      <c r="D3" s="188" t="s">
        <v>373</v>
      </c>
      <c r="E3" s="53" t="s">
        <v>374</v>
      </c>
      <c r="F3" s="53" t="s">
        <v>375</v>
      </c>
      <c r="G3" s="53" t="s">
        <v>36</v>
      </c>
      <c r="H3" s="53" t="s">
        <v>163</v>
      </c>
      <c r="I3" s="53" t="s">
        <v>159</v>
      </c>
      <c r="J3" s="53" t="s">
        <v>38</v>
      </c>
      <c r="K3" s="53" t="s">
        <v>160</v>
      </c>
      <c r="L3" s="53">
        <v>2</v>
      </c>
      <c r="N3" s="53">
        <v>1</v>
      </c>
      <c r="O3" s="53">
        <v>0.2</v>
      </c>
      <c r="P3" s="53">
        <v>0.2</v>
      </c>
      <c r="Q3" s="74">
        <f t="shared" si="0"/>
        <v>0.2</v>
      </c>
      <c r="R3" s="53">
        <v>14.7</v>
      </c>
      <c r="S3" s="53">
        <v>110</v>
      </c>
      <c r="T3" s="16">
        <f t="shared" si="1"/>
        <v>33</v>
      </c>
      <c r="U3" s="53">
        <v>100</v>
      </c>
      <c r="V3" s="16">
        <f t="shared" si="2"/>
        <v>3300</v>
      </c>
      <c r="W3" s="53">
        <v>1</v>
      </c>
      <c r="X3" s="53" t="s">
        <v>46</v>
      </c>
      <c r="Y3" s="53" t="s">
        <v>84</v>
      </c>
      <c r="Z3" s="53" t="s">
        <v>69</v>
      </c>
      <c r="AA3" s="53" t="s">
        <v>90</v>
      </c>
      <c r="AB3" s="53" t="s">
        <v>241</v>
      </c>
      <c r="AE3" s="22" t="s">
        <v>41</v>
      </c>
      <c r="AG3" s="190" t="s">
        <v>377</v>
      </c>
      <c r="AH3" s="67" t="s">
        <v>378</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237</v>
      </c>
      <c r="C4" s="53">
        <v>2019</v>
      </c>
      <c r="D4" s="188" t="s">
        <v>373</v>
      </c>
      <c r="E4" s="53" t="s">
        <v>374</v>
      </c>
      <c r="F4" s="53" t="s">
        <v>375</v>
      </c>
      <c r="G4" s="53" t="s">
        <v>36</v>
      </c>
      <c r="H4" s="53" t="s">
        <v>163</v>
      </c>
      <c r="I4" s="53" t="s">
        <v>159</v>
      </c>
      <c r="J4" s="53" t="s">
        <v>38</v>
      </c>
      <c r="K4" s="53" t="s">
        <v>160</v>
      </c>
      <c r="L4" s="53">
        <v>3</v>
      </c>
      <c r="N4" s="53">
        <v>1</v>
      </c>
      <c r="O4" s="53">
        <v>0.2</v>
      </c>
      <c r="P4" s="53">
        <v>0.2</v>
      </c>
      <c r="Q4" s="74">
        <f t="shared" si="0"/>
        <v>0.2</v>
      </c>
      <c r="R4" s="53">
        <v>14.2</v>
      </c>
      <c r="S4" s="53">
        <v>100</v>
      </c>
      <c r="T4" s="16">
        <f t="shared" si="1"/>
        <v>33</v>
      </c>
      <c r="U4" s="53">
        <v>100</v>
      </c>
      <c r="V4" s="16">
        <f t="shared" si="2"/>
        <v>3300</v>
      </c>
      <c r="W4" s="53">
        <v>1</v>
      </c>
      <c r="X4" s="53" t="s">
        <v>46</v>
      </c>
      <c r="Y4" s="53" t="s">
        <v>84</v>
      </c>
      <c r="Z4" s="53" t="s">
        <v>69</v>
      </c>
      <c r="AA4" s="53" t="s">
        <v>90</v>
      </c>
      <c r="AB4" s="53" t="s">
        <v>241</v>
      </c>
      <c r="AE4" s="22" t="s">
        <v>34</v>
      </c>
      <c r="AG4" s="190" t="s">
        <v>379</v>
      </c>
      <c r="AH4" s="67" t="s">
        <v>380</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237</v>
      </c>
      <c r="C5" s="53">
        <v>2019</v>
      </c>
      <c r="D5" s="188" t="s">
        <v>373</v>
      </c>
      <c r="E5" s="53" t="s">
        <v>381</v>
      </c>
      <c r="F5" s="53" t="s">
        <v>382</v>
      </c>
      <c r="G5" s="53" t="s">
        <v>36</v>
      </c>
      <c r="H5" s="53" t="s">
        <v>163</v>
      </c>
      <c r="I5" s="53" t="s">
        <v>159</v>
      </c>
      <c r="J5" s="53" t="s">
        <v>38</v>
      </c>
      <c r="K5" s="53" t="s">
        <v>160</v>
      </c>
      <c r="L5" s="53">
        <v>1</v>
      </c>
      <c r="N5" s="53">
        <v>1</v>
      </c>
      <c r="O5" s="53">
        <v>0.2</v>
      </c>
      <c r="P5" s="53">
        <v>0.2</v>
      </c>
      <c r="Q5" s="74">
        <f t="shared" si="0"/>
        <v>0.2</v>
      </c>
      <c r="R5" s="53">
        <v>13.6</v>
      </c>
      <c r="S5" s="53">
        <v>110</v>
      </c>
      <c r="T5" s="16">
        <f t="shared" si="1"/>
        <v>33</v>
      </c>
      <c r="U5" s="53">
        <v>84</v>
      </c>
      <c r="V5" s="16">
        <f t="shared" si="2"/>
        <v>2772</v>
      </c>
      <c r="W5" s="53">
        <v>3</v>
      </c>
      <c r="X5" s="53" t="s">
        <v>46</v>
      </c>
      <c r="Y5" s="53" t="s">
        <v>84</v>
      </c>
      <c r="Z5" s="53" t="s">
        <v>90</v>
      </c>
      <c r="AA5" s="53" t="s">
        <v>69</v>
      </c>
      <c r="AB5" s="53" t="s">
        <v>241</v>
      </c>
      <c r="AE5" s="22" t="s">
        <v>51</v>
      </c>
      <c r="AG5" s="190" t="s">
        <v>383</v>
      </c>
      <c r="AH5" s="67" t="s">
        <v>384</v>
      </c>
      <c r="AJ5" s="28"/>
      <c r="AL5" s="73" t="s">
        <v>66</v>
      </c>
      <c r="AN5" s="73" t="s">
        <v>52</v>
      </c>
      <c r="AP5" s="23" t="s">
        <v>119</v>
      </c>
      <c r="AR5" s="23" t="s">
        <v>54</v>
      </c>
      <c r="AV5" s="23" t="s">
        <v>55</v>
      </c>
      <c r="AX5" s="24">
        <v>84</v>
      </c>
      <c r="AY5" s="25">
        <v>39</v>
      </c>
      <c r="AZ5" s="25">
        <v>84</v>
      </c>
      <c r="BA5" s="26">
        <v>36</v>
      </c>
    </row>
    <row r="6" spans="1:53" x14ac:dyDescent="0.15">
      <c r="A6" s="53" t="s">
        <v>34</v>
      </c>
      <c r="B6" s="53" t="s">
        <v>237</v>
      </c>
      <c r="C6" s="53">
        <v>2019</v>
      </c>
      <c r="D6" s="188" t="s">
        <v>373</v>
      </c>
      <c r="E6" s="53" t="s">
        <v>381</v>
      </c>
      <c r="F6" s="53" t="s">
        <v>382</v>
      </c>
      <c r="G6" s="53" t="s">
        <v>36</v>
      </c>
      <c r="H6" s="53" t="s">
        <v>163</v>
      </c>
      <c r="I6" s="53" t="s">
        <v>159</v>
      </c>
      <c r="J6" s="53" t="s">
        <v>38</v>
      </c>
      <c r="K6" s="53" t="s">
        <v>160</v>
      </c>
      <c r="L6" s="53">
        <v>2</v>
      </c>
      <c r="N6" s="53">
        <v>1</v>
      </c>
      <c r="O6" s="53">
        <v>0.55000000000000004</v>
      </c>
      <c r="P6" s="53">
        <v>0.55000000000000004</v>
      </c>
      <c r="Q6" s="74">
        <f t="shared" si="0"/>
        <v>0.55000000000000004</v>
      </c>
      <c r="R6" s="53">
        <v>14.8</v>
      </c>
      <c r="S6" s="53">
        <v>106</v>
      </c>
      <c r="T6" s="16">
        <f t="shared" si="1"/>
        <v>33</v>
      </c>
      <c r="U6" s="53">
        <v>84</v>
      </c>
      <c r="V6" s="16">
        <f t="shared" si="2"/>
        <v>2772</v>
      </c>
      <c r="W6" s="53">
        <v>3</v>
      </c>
      <c r="X6" s="53" t="s">
        <v>46</v>
      </c>
      <c r="Y6" s="53" t="s">
        <v>84</v>
      </c>
      <c r="Z6" s="53" t="s">
        <v>90</v>
      </c>
      <c r="AA6" s="53" t="s">
        <v>69</v>
      </c>
      <c r="AB6" s="53" t="s">
        <v>241</v>
      </c>
      <c r="AE6" s="22" t="s">
        <v>56</v>
      </c>
      <c r="AG6" s="190" t="s">
        <v>385</v>
      </c>
      <c r="AH6" s="67" t="s">
        <v>386</v>
      </c>
      <c r="AL6" s="73" t="s">
        <v>99</v>
      </c>
      <c r="AN6" s="73" t="s">
        <v>57</v>
      </c>
      <c r="AP6" s="23" t="s">
        <v>53</v>
      </c>
      <c r="AR6" s="23" t="s">
        <v>59</v>
      </c>
      <c r="AV6" s="23" t="s">
        <v>60</v>
      </c>
      <c r="AX6" s="24">
        <v>97</v>
      </c>
      <c r="AY6" s="25">
        <v>36</v>
      </c>
      <c r="AZ6" s="25">
        <v>99</v>
      </c>
      <c r="BA6" s="26">
        <v>33</v>
      </c>
    </row>
    <row r="7" spans="1:53" x14ac:dyDescent="0.15">
      <c r="A7" s="53" t="s">
        <v>34</v>
      </c>
      <c r="B7" s="53" t="s">
        <v>237</v>
      </c>
      <c r="C7" s="53">
        <v>2019</v>
      </c>
      <c r="D7" s="188" t="s">
        <v>373</v>
      </c>
      <c r="E7" s="53" t="s">
        <v>381</v>
      </c>
      <c r="F7" s="53" t="s">
        <v>382</v>
      </c>
      <c r="G7" s="53" t="s">
        <v>36</v>
      </c>
      <c r="H7" s="53" t="s">
        <v>163</v>
      </c>
      <c r="I7" s="53" t="s">
        <v>159</v>
      </c>
      <c r="J7" s="53" t="s">
        <v>38</v>
      </c>
      <c r="K7" s="53" t="s">
        <v>160</v>
      </c>
      <c r="L7" s="53">
        <v>3</v>
      </c>
      <c r="N7" s="53">
        <v>1</v>
      </c>
      <c r="O7" s="53">
        <v>0.7</v>
      </c>
      <c r="P7" s="53">
        <v>0.75</v>
      </c>
      <c r="Q7" s="74">
        <f t="shared" si="0"/>
        <v>0.72499999999999998</v>
      </c>
      <c r="R7" s="53">
        <v>13.5</v>
      </c>
      <c r="S7" s="53">
        <v>114</v>
      </c>
      <c r="T7" s="16">
        <f t="shared" si="1"/>
        <v>30</v>
      </c>
      <c r="U7" s="53">
        <v>84</v>
      </c>
      <c r="V7" s="16">
        <f t="shared" si="2"/>
        <v>2520</v>
      </c>
      <c r="W7" s="53">
        <v>3</v>
      </c>
      <c r="X7" s="53" t="s">
        <v>46</v>
      </c>
      <c r="Y7" s="53" t="s">
        <v>84</v>
      </c>
      <c r="Z7" s="53" t="s">
        <v>90</v>
      </c>
      <c r="AA7" s="53" t="s">
        <v>69</v>
      </c>
      <c r="AB7" s="53" t="s">
        <v>241</v>
      </c>
      <c r="AE7" s="22" t="s">
        <v>61</v>
      </c>
      <c r="AG7" s="190" t="s">
        <v>274</v>
      </c>
      <c r="AH7" s="67" t="s">
        <v>387</v>
      </c>
      <c r="AL7" s="34" t="s">
        <v>109</v>
      </c>
      <c r="AP7" s="23" t="s">
        <v>58</v>
      </c>
      <c r="AR7" s="23" t="s">
        <v>122</v>
      </c>
      <c r="AV7" s="23" t="s">
        <v>64</v>
      </c>
      <c r="AX7" s="24">
        <v>109</v>
      </c>
      <c r="AY7" s="25">
        <v>33</v>
      </c>
      <c r="AZ7" s="25">
        <v>113</v>
      </c>
      <c r="BA7" s="26">
        <v>30</v>
      </c>
    </row>
    <row r="8" spans="1:53" x14ac:dyDescent="0.15">
      <c r="A8" s="53" t="s">
        <v>34</v>
      </c>
      <c r="B8" s="53" t="s">
        <v>237</v>
      </c>
      <c r="C8" s="53">
        <v>2019</v>
      </c>
      <c r="D8" s="188" t="s">
        <v>373</v>
      </c>
      <c r="E8" s="53" t="s">
        <v>381</v>
      </c>
      <c r="F8" s="53" t="s">
        <v>382</v>
      </c>
      <c r="G8" s="53" t="s">
        <v>36</v>
      </c>
      <c r="H8" s="53" t="s">
        <v>163</v>
      </c>
      <c r="I8" s="53" t="s">
        <v>159</v>
      </c>
      <c r="J8" s="53" t="s">
        <v>38</v>
      </c>
      <c r="K8" s="53" t="s">
        <v>160</v>
      </c>
      <c r="L8" s="53">
        <v>1</v>
      </c>
      <c r="N8" s="53">
        <v>8</v>
      </c>
      <c r="O8" s="53">
        <v>0.55000000000000004</v>
      </c>
      <c r="P8" s="53">
        <v>0.65</v>
      </c>
      <c r="Q8" s="74">
        <f t="shared" si="0"/>
        <v>0.60000000000000009</v>
      </c>
      <c r="R8" s="53">
        <v>13.8</v>
      </c>
      <c r="S8" s="53">
        <v>92</v>
      </c>
      <c r="T8" s="16">
        <f t="shared" si="1"/>
        <v>36</v>
      </c>
      <c r="U8" s="53">
        <v>429</v>
      </c>
      <c r="V8" s="16">
        <f t="shared" si="2"/>
        <v>1930.5</v>
      </c>
      <c r="W8" s="53">
        <v>3</v>
      </c>
      <c r="X8" s="53" t="s">
        <v>46</v>
      </c>
      <c r="Y8" s="53" t="s">
        <v>84</v>
      </c>
      <c r="Z8" s="53" t="s">
        <v>90</v>
      </c>
      <c r="AA8" s="53" t="s">
        <v>69</v>
      </c>
      <c r="AB8" s="53" t="s">
        <v>241</v>
      </c>
      <c r="AE8" s="22" t="s">
        <v>59</v>
      </c>
      <c r="AG8" s="190" t="s">
        <v>381</v>
      </c>
      <c r="AH8" s="67" t="s">
        <v>382</v>
      </c>
      <c r="AL8" s="34" t="s">
        <v>134</v>
      </c>
      <c r="AP8" s="23" t="s">
        <v>62</v>
      </c>
      <c r="AR8" s="23" t="s">
        <v>81</v>
      </c>
      <c r="AV8" s="23" t="s">
        <v>97</v>
      </c>
      <c r="AX8" s="24">
        <v>151</v>
      </c>
      <c r="AY8" s="25">
        <v>22</v>
      </c>
      <c r="AZ8" s="25">
        <v>152</v>
      </c>
      <c r="BA8" s="26">
        <v>18</v>
      </c>
    </row>
    <row r="9" spans="1:53" x14ac:dyDescent="0.15">
      <c r="A9" s="53" t="s">
        <v>34</v>
      </c>
      <c r="B9" s="53" t="s">
        <v>237</v>
      </c>
      <c r="C9" s="53">
        <v>2019</v>
      </c>
      <c r="D9" s="188" t="s">
        <v>373</v>
      </c>
      <c r="E9" s="53" t="s">
        <v>381</v>
      </c>
      <c r="F9" s="53" t="s">
        <v>382</v>
      </c>
      <c r="G9" s="53" t="s">
        <v>36</v>
      </c>
      <c r="H9" s="53" t="s">
        <v>163</v>
      </c>
      <c r="I9" s="53" t="s">
        <v>159</v>
      </c>
      <c r="J9" s="53" t="s">
        <v>38</v>
      </c>
      <c r="K9" s="53" t="s">
        <v>160</v>
      </c>
      <c r="L9" s="53">
        <v>2</v>
      </c>
      <c r="N9" s="53">
        <v>8</v>
      </c>
      <c r="O9" s="53">
        <v>0.2</v>
      </c>
      <c r="P9" s="53">
        <v>0.2</v>
      </c>
      <c r="Q9" s="74">
        <f t="shared" si="0"/>
        <v>0.2</v>
      </c>
      <c r="R9" s="53">
        <v>13.7</v>
      </c>
      <c r="S9" s="53">
        <v>73</v>
      </c>
      <c r="T9" s="16">
        <f t="shared" si="1"/>
        <v>42</v>
      </c>
      <c r="U9" s="53">
        <v>429</v>
      </c>
      <c r="V9" s="16">
        <f t="shared" si="2"/>
        <v>2252.25</v>
      </c>
      <c r="W9" s="53">
        <v>3</v>
      </c>
      <c r="X9" s="53" t="s">
        <v>46</v>
      </c>
      <c r="Y9" s="53" t="s">
        <v>84</v>
      </c>
      <c r="Z9" s="53" t="s">
        <v>90</v>
      </c>
      <c r="AA9" s="53" t="s">
        <v>69</v>
      </c>
      <c r="AB9" s="53" t="s">
        <v>241</v>
      </c>
      <c r="AE9" s="22" t="s">
        <v>98</v>
      </c>
      <c r="AG9" s="190" t="s">
        <v>388</v>
      </c>
      <c r="AH9" s="67" t="s">
        <v>389</v>
      </c>
      <c r="AL9" s="73"/>
      <c r="AP9" s="23" t="s">
        <v>95</v>
      </c>
      <c r="AR9" s="23" t="s">
        <v>89</v>
      </c>
      <c r="AV9" s="23" t="s">
        <v>102</v>
      </c>
      <c r="AX9" s="31">
        <v>180</v>
      </c>
      <c r="AY9" s="32">
        <v>18</v>
      </c>
      <c r="AZ9" s="32">
        <v>181</v>
      </c>
      <c r="BA9" s="33">
        <v>16</v>
      </c>
    </row>
    <row r="10" spans="1:53" x14ac:dyDescent="0.15">
      <c r="A10" s="53" t="s">
        <v>34</v>
      </c>
      <c r="B10" s="53" t="s">
        <v>237</v>
      </c>
      <c r="C10" s="53">
        <v>2019</v>
      </c>
      <c r="D10" s="188" t="s">
        <v>373</v>
      </c>
      <c r="E10" s="53" t="s">
        <v>381</v>
      </c>
      <c r="F10" s="53" t="s">
        <v>382</v>
      </c>
      <c r="G10" s="53" t="s">
        <v>36</v>
      </c>
      <c r="H10" s="53" t="s">
        <v>163</v>
      </c>
      <c r="I10" s="53" t="s">
        <v>159</v>
      </c>
      <c r="J10" s="53" t="s">
        <v>38</v>
      </c>
      <c r="K10" s="53" t="s">
        <v>160</v>
      </c>
      <c r="L10" s="53">
        <v>3</v>
      </c>
      <c r="N10" s="53">
        <v>8</v>
      </c>
      <c r="O10" s="53">
        <v>0.55000000000000004</v>
      </c>
      <c r="P10" s="53">
        <v>0.6</v>
      </c>
      <c r="Q10" s="74">
        <f t="shared" si="0"/>
        <v>0.57499999999999996</v>
      </c>
      <c r="R10" s="53">
        <v>14.6</v>
      </c>
      <c r="S10" s="53">
        <v>66</v>
      </c>
      <c r="T10" s="16">
        <f t="shared" si="1"/>
        <v>50</v>
      </c>
      <c r="U10" s="53">
        <v>429</v>
      </c>
      <c r="V10" s="16">
        <f t="shared" si="2"/>
        <v>2681.25</v>
      </c>
      <c r="W10" s="53">
        <v>3</v>
      </c>
      <c r="X10" s="53" t="s">
        <v>46</v>
      </c>
      <c r="Y10" s="53" t="s">
        <v>84</v>
      </c>
      <c r="Z10" s="53" t="s">
        <v>90</v>
      </c>
      <c r="AA10" s="53" t="s">
        <v>69</v>
      </c>
      <c r="AB10" s="53" t="s">
        <v>241</v>
      </c>
      <c r="AE10" s="22" t="s">
        <v>103</v>
      </c>
      <c r="AG10" s="190" t="s">
        <v>374</v>
      </c>
      <c r="AH10" s="67" t="s">
        <v>375</v>
      </c>
      <c r="AL10" s="34"/>
      <c r="AP10" s="23" t="s">
        <v>100</v>
      </c>
      <c r="AR10" s="23" t="s">
        <v>123</v>
      </c>
      <c r="AV10" s="23" t="s">
        <v>106</v>
      </c>
    </row>
    <row r="11" spans="1:53" x14ac:dyDescent="0.15">
      <c r="A11" s="53" t="s">
        <v>34</v>
      </c>
      <c r="B11" s="53" t="s">
        <v>237</v>
      </c>
      <c r="C11" s="53">
        <v>2019</v>
      </c>
      <c r="D11" s="188" t="s">
        <v>373</v>
      </c>
      <c r="E11" s="53" t="s">
        <v>381</v>
      </c>
      <c r="F11" s="53" t="s">
        <v>382</v>
      </c>
      <c r="G11" s="53" t="s">
        <v>36</v>
      </c>
      <c r="H11" s="53" t="s">
        <v>203</v>
      </c>
      <c r="I11" s="53" t="s">
        <v>159</v>
      </c>
      <c r="J11" s="53" t="s">
        <v>38</v>
      </c>
      <c r="K11" s="53" t="s">
        <v>54</v>
      </c>
      <c r="L11" s="53">
        <v>1</v>
      </c>
      <c r="N11" s="53">
        <v>1</v>
      </c>
      <c r="O11" s="53">
        <v>0.6</v>
      </c>
      <c r="P11" s="53">
        <v>0.5</v>
      </c>
      <c r="Q11" s="74">
        <f t="shared" si="0"/>
        <v>0.55000000000000004</v>
      </c>
      <c r="R11" s="53">
        <v>15.7</v>
      </c>
      <c r="S11" s="53">
        <v>74</v>
      </c>
      <c r="T11" s="16">
        <f t="shared" si="1"/>
        <v>42</v>
      </c>
      <c r="U11" s="53">
        <v>138</v>
      </c>
      <c r="V11" s="16">
        <f t="shared" si="2"/>
        <v>5796</v>
      </c>
      <c r="W11" s="53">
        <v>4</v>
      </c>
      <c r="X11" s="53" t="s">
        <v>46</v>
      </c>
      <c r="Y11" s="53" t="s">
        <v>84</v>
      </c>
      <c r="Z11" s="53" t="s">
        <v>90</v>
      </c>
      <c r="AA11" s="53" t="s">
        <v>69</v>
      </c>
      <c r="AB11" s="53" t="s">
        <v>241</v>
      </c>
      <c r="AE11" s="22" t="s">
        <v>65</v>
      </c>
      <c r="AG11" s="190" t="s">
        <v>211</v>
      </c>
      <c r="AH11" s="67" t="s">
        <v>390</v>
      </c>
      <c r="AL11" s="34"/>
      <c r="AP11" s="23" t="s">
        <v>104</v>
      </c>
      <c r="AR11" s="23" t="s">
        <v>87</v>
      </c>
      <c r="AV11" s="23" t="s">
        <v>69</v>
      </c>
    </row>
    <row r="12" spans="1:53" x14ac:dyDescent="0.15">
      <c r="A12" s="53" t="s">
        <v>34</v>
      </c>
      <c r="B12" s="53" t="s">
        <v>237</v>
      </c>
      <c r="C12" s="53">
        <v>2019</v>
      </c>
      <c r="D12" s="188" t="s">
        <v>373</v>
      </c>
      <c r="E12" s="53" t="s">
        <v>381</v>
      </c>
      <c r="F12" s="53" t="s">
        <v>382</v>
      </c>
      <c r="G12" s="53" t="s">
        <v>36</v>
      </c>
      <c r="H12" s="53" t="s">
        <v>203</v>
      </c>
      <c r="I12" s="53" t="s">
        <v>159</v>
      </c>
      <c r="J12" s="53" t="s">
        <v>38</v>
      </c>
      <c r="K12" s="53" t="s">
        <v>54</v>
      </c>
      <c r="L12" s="53">
        <v>2</v>
      </c>
      <c r="N12" s="53">
        <v>1</v>
      </c>
      <c r="O12" s="53">
        <v>0.55000000000000004</v>
      </c>
      <c r="P12" s="53">
        <v>0.45</v>
      </c>
      <c r="Q12" s="74">
        <f t="shared" si="0"/>
        <v>0.5</v>
      </c>
      <c r="R12" s="53">
        <v>16.7</v>
      </c>
      <c r="S12" s="53">
        <v>83</v>
      </c>
      <c r="T12" s="16">
        <f t="shared" si="1"/>
        <v>39</v>
      </c>
      <c r="U12" s="53">
        <v>138</v>
      </c>
      <c r="V12" s="16">
        <f t="shared" si="2"/>
        <v>5382</v>
      </c>
      <c r="W12" s="53">
        <v>4</v>
      </c>
      <c r="X12" s="53" t="s">
        <v>46</v>
      </c>
      <c r="Y12" s="53" t="s">
        <v>84</v>
      </c>
      <c r="Z12" s="53" t="s">
        <v>90</v>
      </c>
      <c r="AA12" s="53" t="s">
        <v>69</v>
      </c>
      <c r="AB12" s="53" t="s">
        <v>241</v>
      </c>
      <c r="AE12" s="22" t="s">
        <v>70</v>
      </c>
      <c r="AG12" s="28"/>
      <c r="AH12" s="23"/>
      <c r="AL12" s="34"/>
      <c r="AP12" s="23" t="s">
        <v>67</v>
      </c>
      <c r="AR12" s="23" t="s">
        <v>124</v>
      </c>
      <c r="AV12" s="23" t="s">
        <v>72</v>
      </c>
    </row>
    <row r="13" spans="1:53" x14ac:dyDescent="0.15">
      <c r="A13" s="53" t="s">
        <v>34</v>
      </c>
      <c r="B13" s="53" t="s">
        <v>237</v>
      </c>
      <c r="C13" s="53">
        <v>2019</v>
      </c>
      <c r="D13" s="188" t="s">
        <v>373</v>
      </c>
      <c r="E13" s="53" t="s">
        <v>381</v>
      </c>
      <c r="F13" s="53" t="s">
        <v>382</v>
      </c>
      <c r="G13" s="53" t="s">
        <v>36</v>
      </c>
      <c r="H13" s="53" t="s">
        <v>203</v>
      </c>
      <c r="I13" s="53" t="s">
        <v>159</v>
      </c>
      <c r="J13" s="53" t="s">
        <v>38</v>
      </c>
      <c r="K13" s="53" t="s">
        <v>54</v>
      </c>
      <c r="L13" s="53">
        <v>3</v>
      </c>
      <c r="N13" s="53">
        <v>1</v>
      </c>
      <c r="O13" s="53">
        <v>0.55000000000000004</v>
      </c>
      <c r="P13" s="53">
        <v>0.55000000000000004</v>
      </c>
      <c r="Q13" s="74">
        <f t="shared" si="0"/>
        <v>0.55000000000000004</v>
      </c>
      <c r="R13" s="53">
        <v>14.4</v>
      </c>
      <c r="S13" s="53">
        <v>69</v>
      </c>
      <c r="T13" s="16">
        <f t="shared" si="1"/>
        <v>50</v>
      </c>
      <c r="U13" s="53">
        <v>138</v>
      </c>
      <c r="V13" s="16">
        <f t="shared" si="2"/>
        <v>6900</v>
      </c>
      <c r="W13" s="53">
        <v>4</v>
      </c>
      <c r="X13" s="53" t="s">
        <v>46</v>
      </c>
      <c r="Y13" s="53" t="s">
        <v>84</v>
      </c>
      <c r="Z13" s="53" t="s">
        <v>90</v>
      </c>
      <c r="AA13" s="53" t="s">
        <v>69</v>
      </c>
      <c r="AB13" s="53" t="s">
        <v>241</v>
      </c>
      <c r="AE13" s="22" t="s">
        <v>73</v>
      </c>
      <c r="AH13" s="28"/>
      <c r="AP13" s="23" t="s">
        <v>71</v>
      </c>
      <c r="AR13" s="23" t="s">
        <v>103</v>
      </c>
      <c r="AV13" s="23" t="s">
        <v>75</v>
      </c>
    </row>
    <row r="14" spans="1:53" x14ac:dyDescent="0.15">
      <c r="A14" s="53" t="s">
        <v>34</v>
      </c>
      <c r="B14" s="53" t="s">
        <v>237</v>
      </c>
      <c r="C14" s="53">
        <v>2019</v>
      </c>
      <c r="D14" s="188" t="s">
        <v>373</v>
      </c>
      <c r="E14" s="53" t="s">
        <v>381</v>
      </c>
      <c r="F14" s="53" t="s">
        <v>382</v>
      </c>
      <c r="G14" s="53" t="s">
        <v>36</v>
      </c>
      <c r="H14" s="53" t="s">
        <v>203</v>
      </c>
      <c r="I14" s="53" t="s">
        <v>159</v>
      </c>
      <c r="J14" s="53" t="s">
        <v>38</v>
      </c>
      <c r="K14" s="53" t="s">
        <v>54</v>
      </c>
      <c r="L14" s="53">
        <v>1</v>
      </c>
      <c r="N14" s="53">
        <v>4</v>
      </c>
      <c r="O14" s="53">
        <v>0.55000000000000004</v>
      </c>
      <c r="P14" s="53">
        <v>0.45</v>
      </c>
      <c r="Q14" s="74">
        <f t="shared" si="0"/>
        <v>0.5</v>
      </c>
      <c r="R14" s="53">
        <v>16.100000000000001</v>
      </c>
      <c r="S14" s="53">
        <v>72</v>
      </c>
      <c r="T14" s="16">
        <f t="shared" si="1"/>
        <v>42</v>
      </c>
      <c r="U14" s="53">
        <v>429</v>
      </c>
      <c r="V14" s="16">
        <f t="shared" si="2"/>
        <v>4504.5</v>
      </c>
      <c r="W14" s="53">
        <v>4</v>
      </c>
      <c r="X14" s="53" t="s">
        <v>46</v>
      </c>
      <c r="Y14" s="53" t="s">
        <v>84</v>
      </c>
      <c r="Z14" s="53" t="s">
        <v>90</v>
      </c>
      <c r="AA14" s="53" t="s">
        <v>69</v>
      </c>
      <c r="AB14" s="53" t="s">
        <v>241</v>
      </c>
      <c r="AE14" s="22" t="s">
        <v>76</v>
      </c>
      <c r="AG14" s="191"/>
      <c r="AP14" s="23" t="s">
        <v>74</v>
      </c>
      <c r="AR14" s="23" t="s">
        <v>125</v>
      </c>
      <c r="AV14" s="23" t="s">
        <v>78</v>
      </c>
    </row>
    <row r="15" spans="1:53" x14ac:dyDescent="0.15">
      <c r="A15" s="53" t="s">
        <v>34</v>
      </c>
      <c r="B15" s="53" t="s">
        <v>237</v>
      </c>
      <c r="C15" s="53">
        <v>2019</v>
      </c>
      <c r="D15" s="188" t="s">
        <v>373</v>
      </c>
      <c r="E15" s="53" t="s">
        <v>381</v>
      </c>
      <c r="F15" s="53" t="s">
        <v>382</v>
      </c>
      <c r="G15" s="53" t="s">
        <v>36</v>
      </c>
      <c r="H15" s="53" t="s">
        <v>203</v>
      </c>
      <c r="I15" s="53" t="s">
        <v>159</v>
      </c>
      <c r="J15" s="53" t="s">
        <v>38</v>
      </c>
      <c r="K15" s="53" t="s">
        <v>54</v>
      </c>
      <c r="L15" s="53">
        <v>2</v>
      </c>
      <c r="N15" s="53">
        <v>4</v>
      </c>
      <c r="O15" s="53">
        <v>0.6</v>
      </c>
      <c r="P15" s="53">
        <v>0.5</v>
      </c>
      <c r="Q15" s="74">
        <f t="shared" si="0"/>
        <v>0.55000000000000004</v>
      </c>
      <c r="R15" s="53">
        <v>16.3</v>
      </c>
      <c r="S15" s="53">
        <v>71</v>
      </c>
      <c r="T15" s="16">
        <f t="shared" si="1"/>
        <v>42</v>
      </c>
      <c r="U15" s="53">
        <v>429</v>
      </c>
      <c r="V15" s="16">
        <f t="shared" si="2"/>
        <v>4504.5</v>
      </c>
      <c r="W15" s="53">
        <v>4</v>
      </c>
      <c r="X15" s="53" t="s">
        <v>46</v>
      </c>
      <c r="Y15" s="53" t="s">
        <v>84</v>
      </c>
      <c r="Z15" s="53" t="s">
        <v>90</v>
      </c>
      <c r="AA15" s="53" t="s">
        <v>69</v>
      </c>
      <c r="AB15" s="53" t="s">
        <v>241</v>
      </c>
      <c r="AE15" s="22" t="s">
        <v>79</v>
      </c>
      <c r="AP15" s="23" t="s">
        <v>77</v>
      </c>
      <c r="AR15" s="23" t="s">
        <v>94</v>
      </c>
      <c r="AV15" s="23" t="s">
        <v>107</v>
      </c>
    </row>
    <row r="16" spans="1:53" x14ac:dyDescent="0.15">
      <c r="A16" s="53" t="s">
        <v>34</v>
      </c>
      <c r="B16" s="53" t="s">
        <v>237</v>
      </c>
      <c r="C16" s="53">
        <v>2019</v>
      </c>
      <c r="D16" s="188" t="s">
        <v>373</v>
      </c>
      <c r="E16" s="53" t="s">
        <v>381</v>
      </c>
      <c r="F16" s="53" t="s">
        <v>382</v>
      </c>
      <c r="G16" s="53" t="s">
        <v>36</v>
      </c>
      <c r="H16" s="53" t="s">
        <v>203</v>
      </c>
      <c r="I16" s="53" t="s">
        <v>159</v>
      </c>
      <c r="J16" s="53" t="s">
        <v>38</v>
      </c>
      <c r="K16" s="53" t="s">
        <v>54</v>
      </c>
      <c r="L16" s="53">
        <v>3</v>
      </c>
      <c r="N16" s="53">
        <v>4</v>
      </c>
      <c r="O16" s="53">
        <v>0.7</v>
      </c>
      <c r="P16" s="53">
        <v>0.6</v>
      </c>
      <c r="Q16" s="74">
        <f t="shared" si="0"/>
        <v>0.64999999999999991</v>
      </c>
      <c r="R16" s="53">
        <v>14.6</v>
      </c>
      <c r="S16" s="53">
        <v>70</v>
      </c>
      <c r="T16" s="16">
        <f t="shared" si="1"/>
        <v>50</v>
      </c>
      <c r="U16" s="53">
        <v>429</v>
      </c>
      <c r="V16" s="16">
        <f t="shared" si="2"/>
        <v>5362.5</v>
      </c>
      <c r="W16" s="53">
        <v>4</v>
      </c>
      <c r="X16" s="53" t="s">
        <v>46</v>
      </c>
      <c r="Y16" s="53" t="s">
        <v>84</v>
      </c>
      <c r="Z16" s="53" t="s">
        <v>90</v>
      </c>
      <c r="AA16" s="53" t="s">
        <v>69</v>
      </c>
      <c r="AB16" s="53" t="s">
        <v>241</v>
      </c>
      <c r="AE16" s="22" t="s">
        <v>82</v>
      </c>
      <c r="AP16" s="23" t="s">
        <v>80</v>
      </c>
      <c r="AR16" s="23" t="s">
        <v>63</v>
      </c>
      <c r="AV16" s="23" t="s">
        <v>84</v>
      </c>
    </row>
    <row r="17" spans="1:48" x14ac:dyDescent="0.15">
      <c r="A17" s="53" t="s">
        <v>34</v>
      </c>
      <c r="B17" s="53" t="s">
        <v>237</v>
      </c>
      <c r="C17" s="53">
        <v>2019</v>
      </c>
      <c r="D17" s="188" t="s">
        <v>373</v>
      </c>
      <c r="E17" s="53" t="s">
        <v>211</v>
      </c>
      <c r="F17" s="53" t="s">
        <v>390</v>
      </c>
      <c r="G17" s="53" t="s">
        <v>36</v>
      </c>
      <c r="H17" s="53" t="s">
        <v>163</v>
      </c>
      <c r="I17" s="53" t="s">
        <v>159</v>
      </c>
      <c r="J17" s="53" t="s">
        <v>38</v>
      </c>
      <c r="K17" s="53" t="s">
        <v>160</v>
      </c>
      <c r="L17" s="53">
        <v>1</v>
      </c>
      <c r="N17" s="53">
        <v>1</v>
      </c>
      <c r="O17" s="53">
        <v>0.6</v>
      </c>
      <c r="P17" s="53">
        <v>0.5</v>
      </c>
      <c r="Q17" s="74">
        <f t="shared" si="0"/>
        <v>0.55000000000000004</v>
      </c>
      <c r="R17" s="53">
        <v>14.4</v>
      </c>
      <c r="S17" s="53">
        <v>118</v>
      </c>
      <c r="T17" s="16">
        <f t="shared" si="1"/>
        <v>30</v>
      </c>
      <c r="U17" s="53">
        <v>104</v>
      </c>
      <c r="V17" s="16">
        <f t="shared" si="2"/>
        <v>3120</v>
      </c>
      <c r="W17" s="53">
        <v>3</v>
      </c>
      <c r="X17" s="53" t="s">
        <v>46</v>
      </c>
      <c r="Y17" s="53" t="s">
        <v>84</v>
      </c>
      <c r="Z17" s="53" t="s">
        <v>90</v>
      </c>
      <c r="AA17" s="53" t="s">
        <v>228</v>
      </c>
      <c r="AB17" s="53" t="s">
        <v>241</v>
      </c>
      <c r="AE17" s="22" t="s">
        <v>85</v>
      </c>
      <c r="AP17" s="27" t="s">
        <v>110</v>
      </c>
      <c r="AR17" s="23" t="s">
        <v>96</v>
      </c>
      <c r="AV17" s="23" t="s">
        <v>86</v>
      </c>
    </row>
    <row r="18" spans="1:48" x14ac:dyDescent="0.15">
      <c r="A18" s="53" t="s">
        <v>34</v>
      </c>
      <c r="B18" s="53" t="s">
        <v>237</v>
      </c>
      <c r="C18" s="53">
        <v>2019</v>
      </c>
      <c r="D18" s="188" t="s">
        <v>373</v>
      </c>
      <c r="E18" s="53" t="s">
        <v>211</v>
      </c>
      <c r="F18" s="53" t="s">
        <v>390</v>
      </c>
      <c r="G18" s="53" t="s">
        <v>36</v>
      </c>
      <c r="H18" s="53" t="s">
        <v>163</v>
      </c>
      <c r="I18" s="53" t="s">
        <v>159</v>
      </c>
      <c r="J18" s="53" t="s">
        <v>38</v>
      </c>
      <c r="K18" s="53" t="s">
        <v>160</v>
      </c>
      <c r="L18" s="53">
        <v>2</v>
      </c>
      <c r="N18" s="53">
        <v>1</v>
      </c>
      <c r="O18" s="53">
        <v>0.6</v>
      </c>
      <c r="P18" s="53">
        <v>0.45</v>
      </c>
      <c r="Q18" s="74">
        <f t="shared" si="0"/>
        <v>0.52500000000000002</v>
      </c>
      <c r="R18" s="53">
        <v>14.3</v>
      </c>
      <c r="S18" s="53">
        <v>112</v>
      </c>
      <c r="T18" s="16">
        <f t="shared" si="1"/>
        <v>33</v>
      </c>
      <c r="U18" s="53">
        <v>104</v>
      </c>
      <c r="V18" s="16">
        <f t="shared" si="2"/>
        <v>3432</v>
      </c>
      <c r="W18" s="53">
        <v>3</v>
      </c>
      <c r="X18" s="53" t="s">
        <v>46</v>
      </c>
      <c r="Y18" s="53" t="s">
        <v>84</v>
      </c>
      <c r="Z18" s="53" t="s">
        <v>90</v>
      </c>
      <c r="AA18" s="53" t="s">
        <v>228</v>
      </c>
      <c r="AB18" s="53" t="s">
        <v>241</v>
      </c>
      <c r="AE18" s="22" t="s">
        <v>87</v>
      </c>
      <c r="AP18" s="27" t="s">
        <v>111</v>
      </c>
      <c r="AR18" s="23" t="s">
        <v>101</v>
      </c>
      <c r="AV18" s="23" t="s">
        <v>88</v>
      </c>
    </row>
    <row r="19" spans="1:48" x14ac:dyDescent="0.15">
      <c r="A19" s="53" t="s">
        <v>34</v>
      </c>
      <c r="B19" s="53" t="s">
        <v>237</v>
      </c>
      <c r="C19" s="53">
        <v>2019</v>
      </c>
      <c r="D19" s="188" t="s">
        <v>373</v>
      </c>
      <c r="E19" s="53" t="s">
        <v>211</v>
      </c>
      <c r="F19" s="53" t="s">
        <v>390</v>
      </c>
      <c r="G19" s="53" t="s">
        <v>36</v>
      </c>
      <c r="H19" s="53" t="s">
        <v>163</v>
      </c>
      <c r="I19" s="53" t="s">
        <v>159</v>
      </c>
      <c r="J19" s="53" t="s">
        <v>38</v>
      </c>
      <c r="K19" s="53" t="s">
        <v>160</v>
      </c>
      <c r="L19" s="53">
        <v>3</v>
      </c>
      <c r="N19" s="53">
        <v>1</v>
      </c>
      <c r="O19" s="53">
        <v>0.2</v>
      </c>
      <c r="P19" s="53">
        <v>0.2</v>
      </c>
      <c r="Q19" s="74">
        <f t="shared" si="0"/>
        <v>0.2</v>
      </c>
      <c r="R19" s="53">
        <v>14.3</v>
      </c>
      <c r="S19" s="53">
        <v>114</v>
      </c>
      <c r="T19" s="16">
        <f t="shared" si="1"/>
        <v>30</v>
      </c>
      <c r="U19" s="53">
        <v>104</v>
      </c>
      <c r="V19" s="16">
        <f t="shared" si="2"/>
        <v>3120</v>
      </c>
      <c r="W19" s="53">
        <v>3</v>
      </c>
      <c r="X19" s="53" t="s">
        <v>46</v>
      </c>
      <c r="Y19" s="53" t="s">
        <v>84</v>
      </c>
      <c r="Z19" s="53" t="s">
        <v>90</v>
      </c>
      <c r="AA19" s="53" t="s">
        <v>228</v>
      </c>
      <c r="AB19" s="53" t="s">
        <v>241</v>
      </c>
      <c r="AE19" s="35" t="s">
        <v>89</v>
      </c>
      <c r="AP19" s="27" t="s">
        <v>112</v>
      </c>
      <c r="AR19" s="23" t="s">
        <v>126</v>
      </c>
      <c r="AV19" s="23" t="s">
        <v>90</v>
      </c>
    </row>
    <row r="20" spans="1:48" x14ac:dyDescent="0.15">
      <c r="A20" s="53" t="s">
        <v>34</v>
      </c>
      <c r="B20" s="53" t="s">
        <v>237</v>
      </c>
      <c r="C20" s="53">
        <v>2019</v>
      </c>
      <c r="D20" s="188" t="s">
        <v>373</v>
      </c>
      <c r="E20" s="53" t="s">
        <v>211</v>
      </c>
      <c r="F20" s="53" t="s">
        <v>390</v>
      </c>
      <c r="G20" s="53" t="s">
        <v>36</v>
      </c>
      <c r="H20" s="53" t="s">
        <v>163</v>
      </c>
      <c r="I20" s="53" t="s">
        <v>159</v>
      </c>
      <c r="J20" s="53" t="s">
        <v>38</v>
      </c>
      <c r="K20" s="53" t="s">
        <v>160</v>
      </c>
      <c r="L20" s="53">
        <v>1</v>
      </c>
      <c r="N20" s="53">
        <v>4</v>
      </c>
      <c r="O20" s="53">
        <v>0.2</v>
      </c>
      <c r="P20" s="53">
        <v>0.2</v>
      </c>
      <c r="Q20" s="74">
        <f t="shared" si="0"/>
        <v>0.2</v>
      </c>
      <c r="R20" s="53">
        <v>13.7</v>
      </c>
      <c r="S20" s="53">
        <v>94</v>
      </c>
      <c r="T20" s="16">
        <f t="shared" si="1"/>
        <v>36</v>
      </c>
      <c r="U20" s="53">
        <v>407</v>
      </c>
      <c r="V20" s="16">
        <f t="shared" si="2"/>
        <v>3663</v>
      </c>
      <c r="W20" s="53">
        <v>3</v>
      </c>
      <c r="X20" s="53" t="s">
        <v>46</v>
      </c>
      <c r="Y20" s="53" t="s">
        <v>84</v>
      </c>
      <c r="Z20" s="53" t="s">
        <v>90</v>
      </c>
      <c r="AA20" s="53" t="s">
        <v>228</v>
      </c>
      <c r="AB20" s="53" t="s">
        <v>241</v>
      </c>
      <c r="AP20" s="27" t="s">
        <v>113</v>
      </c>
      <c r="AR20" s="23" t="s">
        <v>105</v>
      </c>
      <c r="AV20" s="27" t="s">
        <v>135</v>
      </c>
    </row>
    <row r="21" spans="1:48" x14ac:dyDescent="0.15">
      <c r="A21" s="53" t="s">
        <v>34</v>
      </c>
      <c r="B21" s="53" t="s">
        <v>237</v>
      </c>
      <c r="C21" s="53">
        <v>2019</v>
      </c>
      <c r="D21" s="188" t="s">
        <v>373</v>
      </c>
      <c r="E21" s="53" t="s">
        <v>211</v>
      </c>
      <c r="F21" s="53" t="s">
        <v>390</v>
      </c>
      <c r="G21" s="53" t="s">
        <v>36</v>
      </c>
      <c r="H21" s="53" t="s">
        <v>163</v>
      </c>
      <c r="I21" s="53" t="s">
        <v>159</v>
      </c>
      <c r="J21" s="53" t="s">
        <v>38</v>
      </c>
      <c r="K21" s="53" t="s">
        <v>160</v>
      </c>
      <c r="L21" s="53">
        <v>2</v>
      </c>
      <c r="N21" s="53">
        <v>4</v>
      </c>
      <c r="O21" s="53">
        <v>0.2</v>
      </c>
      <c r="P21" s="53">
        <v>0.2</v>
      </c>
      <c r="Q21" s="74">
        <f t="shared" si="0"/>
        <v>0.2</v>
      </c>
      <c r="R21" s="53">
        <v>14.6</v>
      </c>
      <c r="S21" s="53">
        <v>95</v>
      </c>
      <c r="T21" s="16">
        <f t="shared" si="1"/>
        <v>36</v>
      </c>
      <c r="U21" s="53">
        <v>407</v>
      </c>
      <c r="V21" s="16">
        <f t="shared" si="2"/>
        <v>3663</v>
      </c>
      <c r="W21" s="53">
        <v>3</v>
      </c>
      <c r="X21" s="53" t="s">
        <v>46</v>
      </c>
      <c r="Y21" s="53" t="s">
        <v>84</v>
      </c>
      <c r="Z21" s="53" t="s">
        <v>90</v>
      </c>
      <c r="AA21" s="53" t="s">
        <v>228</v>
      </c>
      <c r="AB21" s="53" t="s">
        <v>241</v>
      </c>
      <c r="AP21" s="27" t="s">
        <v>114</v>
      </c>
      <c r="AR21" s="23" t="s">
        <v>68</v>
      </c>
      <c r="AV21" s="27" t="s">
        <v>136</v>
      </c>
    </row>
    <row r="22" spans="1:48" x14ac:dyDescent="0.15">
      <c r="A22" s="53" t="s">
        <v>34</v>
      </c>
      <c r="B22" s="53" t="s">
        <v>237</v>
      </c>
      <c r="C22" s="53">
        <v>2019</v>
      </c>
      <c r="D22" s="188" t="s">
        <v>373</v>
      </c>
      <c r="E22" s="53" t="s">
        <v>211</v>
      </c>
      <c r="F22" s="53" t="s">
        <v>390</v>
      </c>
      <c r="G22" s="53" t="s">
        <v>36</v>
      </c>
      <c r="H22" s="53" t="s">
        <v>163</v>
      </c>
      <c r="I22" s="53" t="s">
        <v>159</v>
      </c>
      <c r="J22" s="53" t="s">
        <v>38</v>
      </c>
      <c r="K22" s="53" t="s">
        <v>160</v>
      </c>
      <c r="L22" s="53">
        <v>3</v>
      </c>
      <c r="N22" s="53">
        <v>4</v>
      </c>
      <c r="O22" s="53">
        <v>1</v>
      </c>
      <c r="P22" s="53">
        <v>1</v>
      </c>
      <c r="Q22" s="74">
        <f t="shared" si="0"/>
        <v>1</v>
      </c>
      <c r="R22" s="53">
        <v>14.3</v>
      </c>
      <c r="S22" s="53">
        <v>90</v>
      </c>
      <c r="T22" s="16">
        <f t="shared" si="1"/>
        <v>36</v>
      </c>
      <c r="U22" s="53">
        <v>407</v>
      </c>
      <c r="V22" s="16">
        <f t="shared" si="2"/>
        <v>3663</v>
      </c>
      <c r="W22" s="53">
        <v>3</v>
      </c>
      <c r="X22" s="53" t="s">
        <v>46</v>
      </c>
      <c r="Y22" s="53" t="s">
        <v>84</v>
      </c>
      <c r="Z22" s="53" t="s">
        <v>90</v>
      </c>
      <c r="AA22" s="53" t="s">
        <v>228</v>
      </c>
      <c r="AB22" s="53" t="s">
        <v>241</v>
      </c>
      <c r="AP22" s="27" t="s">
        <v>115</v>
      </c>
      <c r="AR22" s="23" t="s">
        <v>83</v>
      </c>
      <c r="AV22" s="27"/>
    </row>
    <row r="23" spans="1:48" x14ac:dyDescent="0.15">
      <c r="A23" s="53" t="s">
        <v>34</v>
      </c>
      <c r="B23" s="53" t="s">
        <v>237</v>
      </c>
      <c r="C23" s="53">
        <v>2019</v>
      </c>
      <c r="D23" s="188" t="s">
        <v>373</v>
      </c>
      <c r="E23" s="53" t="s">
        <v>211</v>
      </c>
      <c r="F23" s="53" t="s">
        <v>390</v>
      </c>
      <c r="G23" s="53" t="s">
        <v>36</v>
      </c>
      <c r="H23" s="53" t="s">
        <v>128</v>
      </c>
      <c r="I23" s="53" t="s">
        <v>159</v>
      </c>
      <c r="J23" s="53" t="s">
        <v>80</v>
      </c>
      <c r="K23" s="53" t="s">
        <v>45</v>
      </c>
      <c r="L23" s="53">
        <v>1</v>
      </c>
      <c r="N23" s="53">
        <v>4</v>
      </c>
      <c r="O23" s="53">
        <v>2</v>
      </c>
      <c r="P23" s="53">
        <v>2</v>
      </c>
      <c r="Q23" s="74">
        <f t="shared" si="0"/>
        <v>2</v>
      </c>
      <c r="R23" s="53">
        <v>14.3</v>
      </c>
      <c r="S23" s="53">
        <v>87</v>
      </c>
      <c r="T23" s="16">
        <f t="shared" si="1"/>
        <v>36</v>
      </c>
      <c r="U23" s="53">
        <v>407</v>
      </c>
      <c r="V23" s="16">
        <f t="shared" si="2"/>
        <v>3663</v>
      </c>
      <c r="W23" s="53">
        <v>1</v>
      </c>
      <c r="X23" s="53" t="s">
        <v>46</v>
      </c>
      <c r="Y23" s="53" t="s">
        <v>84</v>
      </c>
      <c r="Z23" s="53" t="s">
        <v>90</v>
      </c>
      <c r="AA23" s="53" t="s">
        <v>228</v>
      </c>
      <c r="AB23" s="53" t="s">
        <v>241</v>
      </c>
      <c r="AP23" s="27" t="s">
        <v>117</v>
      </c>
      <c r="AR23" s="23" t="s">
        <v>153</v>
      </c>
    </row>
    <row r="24" spans="1:48" x14ac:dyDescent="0.15">
      <c r="A24" s="53" t="s">
        <v>34</v>
      </c>
      <c r="B24" s="53" t="s">
        <v>237</v>
      </c>
      <c r="C24" s="53">
        <v>2019</v>
      </c>
      <c r="D24" s="188" t="s">
        <v>373</v>
      </c>
      <c r="E24" s="53" t="s">
        <v>211</v>
      </c>
      <c r="F24" s="53" t="s">
        <v>390</v>
      </c>
      <c r="G24" s="53" t="s">
        <v>36</v>
      </c>
      <c r="H24" s="53" t="s">
        <v>128</v>
      </c>
      <c r="I24" s="53" t="s">
        <v>159</v>
      </c>
      <c r="J24" s="53" t="s">
        <v>80</v>
      </c>
      <c r="K24" s="53" t="s">
        <v>45</v>
      </c>
      <c r="L24" s="53">
        <v>2</v>
      </c>
      <c r="N24" s="53">
        <v>4</v>
      </c>
      <c r="O24" s="53">
        <v>2</v>
      </c>
      <c r="P24" s="53">
        <v>2</v>
      </c>
      <c r="Q24" s="74">
        <f t="shared" si="0"/>
        <v>2</v>
      </c>
      <c r="R24" s="53">
        <v>15.2</v>
      </c>
      <c r="S24" s="53">
        <v>92</v>
      </c>
      <c r="T24" s="16">
        <f t="shared" si="1"/>
        <v>36</v>
      </c>
      <c r="U24" s="53">
        <v>407</v>
      </c>
      <c r="V24" s="16">
        <f t="shared" si="2"/>
        <v>3663</v>
      </c>
      <c r="W24" s="53">
        <v>1</v>
      </c>
      <c r="X24" s="53" t="s">
        <v>46</v>
      </c>
      <c r="Y24" s="53" t="s">
        <v>84</v>
      </c>
      <c r="Z24" s="53" t="s">
        <v>90</v>
      </c>
      <c r="AA24" s="53" t="s">
        <v>228</v>
      </c>
      <c r="AB24" s="53" t="s">
        <v>241</v>
      </c>
      <c r="AP24" s="27" t="s">
        <v>118</v>
      </c>
    </row>
    <row r="25" spans="1:48" x14ac:dyDescent="0.15">
      <c r="A25" s="53" t="s">
        <v>34</v>
      </c>
      <c r="B25" s="53" t="s">
        <v>237</v>
      </c>
      <c r="C25" s="53">
        <v>2019</v>
      </c>
      <c r="D25" s="188" t="s">
        <v>373</v>
      </c>
      <c r="E25" s="53" t="s">
        <v>211</v>
      </c>
      <c r="F25" s="53" t="s">
        <v>390</v>
      </c>
      <c r="G25" s="53" t="s">
        <v>36</v>
      </c>
      <c r="H25" s="53" t="s">
        <v>128</v>
      </c>
      <c r="I25" s="53" t="s">
        <v>159</v>
      </c>
      <c r="J25" s="53" t="s">
        <v>80</v>
      </c>
      <c r="K25" s="53" t="s">
        <v>45</v>
      </c>
      <c r="L25" s="53">
        <v>3</v>
      </c>
      <c r="N25" s="53">
        <v>4</v>
      </c>
      <c r="O25" s="53">
        <v>2</v>
      </c>
      <c r="P25" s="53">
        <v>2</v>
      </c>
      <c r="Q25" s="74">
        <f t="shared" si="0"/>
        <v>2</v>
      </c>
      <c r="R25" s="53">
        <v>13.7</v>
      </c>
      <c r="S25" s="53">
        <v>84</v>
      </c>
      <c r="T25" s="16">
        <f t="shared" si="1"/>
        <v>36</v>
      </c>
      <c r="U25" s="53">
        <v>407</v>
      </c>
      <c r="V25" s="16">
        <f t="shared" si="2"/>
        <v>3663</v>
      </c>
      <c r="W25" s="53">
        <v>1</v>
      </c>
      <c r="X25" s="53" t="s">
        <v>46</v>
      </c>
      <c r="Y25" s="53" t="s">
        <v>84</v>
      </c>
      <c r="Z25" s="53" t="s">
        <v>90</v>
      </c>
      <c r="AA25" s="53" t="s">
        <v>228</v>
      </c>
      <c r="AB25" s="53" t="s">
        <v>241</v>
      </c>
    </row>
    <row r="26" spans="1:48" x14ac:dyDescent="0.15">
      <c r="A26" s="53" t="s">
        <v>34</v>
      </c>
      <c r="B26" s="53" t="s">
        <v>237</v>
      </c>
      <c r="C26" s="53">
        <v>2019</v>
      </c>
      <c r="D26" s="188" t="s">
        <v>373</v>
      </c>
      <c r="E26" s="53" t="s">
        <v>379</v>
      </c>
      <c r="F26" s="53" t="s">
        <v>380</v>
      </c>
      <c r="G26" s="53" t="s">
        <v>36</v>
      </c>
      <c r="H26" s="53" t="s">
        <v>163</v>
      </c>
      <c r="I26" s="53" t="s">
        <v>159</v>
      </c>
      <c r="J26" s="53" t="s">
        <v>38</v>
      </c>
      <c r="K26" s="53" t="s">
        <v>160</v>
      </c>
      <c r="L26" s="53">
        <v>1</v>
      </c>
      <c r="N26" s="53">
        <v>4</v>
      </c>
      <c r="O26" s="53">
        <v>0.02</v>
      </c>
      <c r="P26" s="53">
        <v>0.2</v>
      </c>
      <c r="Q26" s="74">
        <f t="shared" si="0"/>
        <v>0.11</v>
      </c>
      <c r="R26" s="53">
        <v>14.1</v>
      </c>
      <c r="S26" s="53">
        <v>92</v>
      </c>
      <c r="T26" s="16">
        <f t="shared" si="1"/>
        <v>36</v>
      </c>
      <c r="U26" s="53">
        <v>321</v>
      </c>
      <c r="V26" s="16">
        <f t="shared" si="2"/>
        <v>2889</v>
      </c>
      <c r="W26" s="53">
        <v>1</v>
      </c>
      <c r="X26" s="53" t="s">
        <v>39</v>
      </c>
      <c r="Y26" s="53" t="s">
        <v>84</v>
      </c>
      <c r="Z26" s="53" t="s">
        <v>69</v>
      </c>
      <c r="AA26" s="53" t="s">
        <v>90</v>
      </c>
      <c r="AB26" s="53" t="s">
        <v>241</v>
      </c>
    </row>
    <row r="27" spans="1:48" x14ac:dyDescent="0.15">
      <c r="A27" s="53" t="s">
        <v>34</v>
      </c>
      <c r="B27" s="53" t="s">
        <v>237</v>
      </c>
      <c r="C27" s="53">
        <v>2019</v>
      </c>
      <c r="D27" s="188" t="s">
        <v>373</v>
      </c>
      <c r="E27" s="53" t="s">
        <v>379</v>
      </c>
      <c r="F27" s="53" t="s">
        <v>380</v>
      </c>
      <c r="G27" s="53" t="s">
        <v>36</v>
      </c>
      <c r="H27" s="53" t="s">
        <v>163</v>
      </c>
      <c r="I27" s="53" t="s">
        <v>159</v>
      </c>
      <c r="J27" s="53" t="s">
        <v>38</v>
      </c>
      <c r="K27" s="53" t="s">
        <v>160</v>
      </c>
      <c r="L27" s="53">
        <v>2</v>
      </c>
      <c r="N27" s="53">
        <v>4</v>
      </c>
      <c r="O27" s="53">
        <v>0.75</v>
      </c>
      <c r="P27" s="53">
        <v>0.7</v>
      </c>
      <c r="Q27" s="74">
        <f t="shared" si="0"/>
        <v>0.72499999999999998</v>
      </c>
      <c r="R27" s="53">
        <v>14</v>
      </c>
      <c r="S27" s="53">
        <v>98</v>
      </c>
      <c r="T27" s="16">
        <f t="shared" si="1"/>
        <v>36</v>
      </c>
      <c r="U27" s="53">
        <v>321</v>
      </c>
      <c r="V27" s="16">
        <f t="shared" si="2"/>
        <v>2889</v>
      </c>
      <c r="W27" s="53">
        <v>1</v>
      </c>
      <c r="X27" s="53" t="s">
        <v>39</v>
      </c>
      <c r="Y27" s="53" t="s">
        <v>84</v>
      </c>
      <c r="Z27" s="53" t="s">
        <v>69</v>
      </c>
      <c r="AA27" s="53" t="s">
        <v>90</v>
      </c>
      <c r="AB27" s="53" t="s">
        <v>241</v>
      </c>
    </row>
    <row r="28" spans="1:48" x14ac:dyDescent="0.15">
      <c r="A28" s="53" t="s">
        <v>34</v>
      </c>
      <c r="B28" s="53" t="s">
        <v>237</v>
      </c>
      <c r="C28" s="53">
        <v>2019</v>
      </c>
      <c r="D28" s="188" t="s">
        <v>373</v>
      </c>
      <c r="E28" s="53" t="s">
        <v>379</v>
      </c>
      <c r="F28" s="53" t="s">
        <v>380</v>
      </c>
      <c r="G28" s="53" t="s">
        <v>36</v>
      </c>
      <c r="H28" s="53" t="s">
        <v>163</v>
      </c>
      <c r="I28" s="53" t="s">
        <v>159</v>
      </c>
      <c r="J28" s="53" t="s">
        <v>38</v>
      </c>
      <c r="K28" s="53" t="s">
        <v>160</v>
      </c>
      <c r="L28" s="53">
        <v>3</v>
      </c>
      <c r="N28" s="53">
        <v>4</v>
      </c>
      <c r="O28" s="53">
        <v>0.65</v>
      </c>
      <c r="P28" s="53">
        <v>0.7</v>
      </c>
      <c r="Q28" s="74">
        <f>IF(OR(O28="",P28=""),"",AVERAGE(O28,P28))</f>
        <v>0.67500000000000004</v>
      </c>
      <c r="R28" s="53">
        <v>13.5</v>
      </c>
      <c r="S28" s="53">
        <v>99</v>
      </c>
      <c r="T28" s="16">
        <f t="shared" si="1"/>
        <v>33</v>
      </c>
      <c r="U28" s="53">
        <v>321</v>
      </c>
      <c r="V28" s="16">
        <f t="shared" si="2"/>
        <v>2648.25</v>
      </c>
      <c r="W28" s="53">
        <v>1</v>
      </c>
      <c r="X28" s="53" t="s">
        <v>39</v>
      </c>
      <c r="Y28" s="53" t="s">
        <v>84</v>
      </c>
      <c r="Z28" s="53" t="s">
        <v>69</v>
      </c>
      <c r="AA28" s="53" t="s">
        <v>90</v>
      </c>
      <c r="AB28" s="53" t="s">
        <v>241</v>
      </c>
    </row>
    <row r="29" spans="1:48" x14ac:dyDescent="0.15">
      <c r="A29" s="53" t="s">
        <v>34</v>
      </c>
      <c r="B29" s="53" t="s">
        <v>237</v>
      </c>
      <c r="C29" s="53">
        <v>2019</v>
      </c>
      <c r="D29" s="188" t="s">
        <v>373</v>
      </c>
      <c r="E29" s="53" t="s">
        <v>379</v>
      </c>
      <c r="F29" s="53" t="s">
        <v>380</v>
      </c>
      <c r="G29" s="53" t="s">
        <v>36</v>
      </c>
      <c r="H29" s="53" t="s">
        <v>203</v>
      </c>
      <c r="I29" s="53" t="s">
        <v>159</v>
      </c>
      <c r="J29" s="53" t="s">
        <v>38</v>
      </c>
      <c r="K29" s="53" t="s">
        <v>54</v>
      </c>
      <c r="L29" s="53">
        <v>1</v>
      </c>
      <c r="N29" s="53">
        <v>1</v>
      </c>
      <c r="O29" s="53">
        <v>0.6</v>
      </c>
      <c r="P29" s="53">
        <v>0.55000000000000004</v>
      </c>
      <c r="Q29" s="74">
        <f t="shared" si="0"/>
        <v>0.57499999999999996</v>
      </c>
      <c r="R29" s="53">
        <v>19.3</v>
      </c>
      <c r="S29" s="53">
        <v>116</v>
      </c>
      <c r="T29" s="16">
        <f t="shared" si="1"/>
        <v>30</v>
      </c>
      <c r="U29" s="53">
        <v>170</v>
      </c>
      <c r="V29" s="16">
        <f t="shared" si="2"/>
        <v>5100</v>
      </c>
      <c r="W29" s="53">
        <v>2</v>
      </c>
      <c r="X29" s="53" t="s">
        <v>39</v>
      </c>
      <c r="Y29" s="53" t="s">
        <v>84</v>
      </c>
      <c r="Z29" s="53" t="s">
        <v>69</v>
      </c>
      <c r="AA29" s="53" t="s">
        <v>90</v>
      </c>
      <c r="AB29" s="53" t="s">
        <v>241</v>
      </c>
    </row>
    <row r="30" spans="1:48" x14ac:dyDescent="0.15">
      <c r="A30" s="53" t="s">
        <v>34</v>
      </c>
      <c r="B30" s="53" t="s">
        <v>237</v>
      </c>
      <c r="C30" s="53">
        <v>2019</v>
      </c>
      <c r="D30" s="188" t="s">
        <v>373</v>
      </c>
      <c r="E30" s="53" t="s">
        <v>379</v>
      </c>
      <c r="F30" s="53" t="s">
        <v>380</v>
      </c>
      <c r="G30" s="53" t="s">
        <v>36</v>
      </c>
      <c r="H30" s="53" t="s">
        <v>203</v>
      </c>
      <c r="I30" s="53" t="s">
        <v>159</v>
      </c>
      <c r="J30" s="53" t="s">
        <v>38</v>
      </c>
      <c r="K30" s="53" t="s">
        <v>54</v>
      </c>
      <c r="L30" s="53">
        <v>2</v>
      </c>
      <c r="N30" s="53">
        <v>1</v>
      </c>
      <c r="O30" s="53">
        <v>0.75</v>
      </c>
      <c r="P30" s="53">
        <v>1.4</v>
      </c>
      <c r="Q30" s="74">
        <f t="shared" si="0"/>
        <v>1.075</v>
      </c>
      <c r="R30" s="53">
        <v>14.2</v>
      </c>
      <c r="S30" s="53">
        <v>114</v>
      </c>
      <c r="T30" s="16">
        <f t="shared" si="1"/>
        <v>30</v>
      </c>
      <c r="U30" s="53">
        <v>170</v>
      </c>
      <c r="V30" s="16">
        <f t="shared" si="2"/>
        <v>5100</v>
      </c>
      <c r="W30" s="53">
        <v>2</v>
      </c>
      <c r="X30" s="53" t="s">
        <v>39</v>
      </c>
      <c r="Y30" s="53" t="s">
        <v>84</v>
      </c>
      <c r="Z30" s="53" t="s">
        <v>69</v>
      </c>
      <c r="AA30" s="53" t="s">
        <v>90</v>
      </c>
      <c r="AB30" s="53" t="s">
        <v>241</v>
      </c>
    </row>
    <row r="31" spans="1:48" x14ac:dyDescent="0.15">
      <c r="A31" s="53" t="s">
        <v>34</v>
      </c>
      <c r="B31" s="53" t="s">
        <v>237</v>
      </c>
      <c r="C31" s="53">
        <v>2019</v>
      </c>
      <c r="D31" s="188" t="s">
        <v>373</v>
      </c>
      <c r="E31" s="53" t="s">
        <v>379</v>
      </c>
      <c r="F31" s="53" t="s">
        <v>380</v>
      </c>
      <c r="G31" s="53" t="s">
        <v>36</v>
      </c>
      <c r="H31" s="53" t="s">
        <v>203</v>
      </c>
      <c r="I31" s="53" t="s">
        <v>159</v>
      </c>
      <c r="J31" s="53" t="s">
        <v>38</v>
      </c>
      <c r="K31" s="53" t="s">
        <v>54</v>
      </c>
      <c r="L31" s="53">
        <v>3</v>
      </c>
      <c r="N31" s="53">
        <v>1</v>
      </c>
      <c r="O31" s="53">
        <v>0.9</v>
      </c>
      <c r="P31" s="53">
        <v>0.7</v>
      </c>
      <c r="Q31" s="74">
        <f t="shared" si="0"/>
        <v>0.8</v>
      </c>
      <c r="R31" s="53">
        <v>17.899999999999999</v>
      </c>
      <c r="S31" s="53">
        <v>114</v>
      </c>
      <c r="T31" s="16">
        <f t="shared" si="1"/>
        <v>30</v>
      </c>
      <c r="U31" s="53">
        <v>170</v>
      </c>
      <c r="V31" s="16">
        <f t="shared" si="2"/>
        <v>5100</v>
      </c>
      <c r="W31" s="53">
        <v>2</v>
      </c>
      <c r="X31" s="53" t="s">
        <v>39</v>
      </c>
      <c r="Y31" s="53" t="s">
        <v>84</v>
      </c>
      <c r="Z31" s="53" t="s">
        <v>69</v>
      </c>
      <c r="AA31" s="53" t="s">
        <v>90</v>
      </c>
      <c r="AB31" s="53" t="s">
        <v>241</v>
      </c>
    </row>
    <row r="32" spans="1:48" x14ac:dyDescent="0.15">
      <c r="A32" s="53" t="s">
        <v>34</v>
      </c>
      <c r="B32" s="53" t="s">
        <v>237</v>
      </c>
      <c r="C32" s="53">
        <v>2019</v>
      </c>
      <c r="D32" s="188" t="s">
        <v>373</v>
      </c>
      <c r="E32" s="53" t="s">
        <v>388</v>
      </c>
      <c r="F32" s="53" t="s">
        <v>389</v>
      </c>
      <c r="G32" s="53" t="s">
        <v>36</v>
      </c>
      <c r="H32" s="53" t="s">
        <v>163</v>
      </c>
      <c r="I32" s="53" t="s">
        <v>159</v>
      </c>
      <c r="J32" s="53" t="s">
        <v>38</v>
      </c>
      <c r="K32" s="53" t="s">
        <v>160</v>
      </c>
      <c r="L32" s="53">
        <v>1</v>
      </c>
      <c r="N32" s="53">
        <v>8</v>
      </c>
      <c r="O32" s="53">
        <v>0.7</v>
      </c>
      <c r="P32" s="53">
        <v>0.8</v>
      </c>
      <c r="Q32" s="74">
        <f t="shared" si="0"/>
        <v>0.75</v>
      </c>
      <c r="R32" s="53">
        <v>15.1</v>
      </c>
      <c r="S32" s="53">
        <v>81</v>
      </c>
      <c r="T32" s="16">
        <f t="shared" si="1"/>
        <v>39</v>
      </c>
      <c r="U32" s="53">
        <v>646</v>
      </c>
      <c r="V32" s="16">
        <f t="shared" si="2"/>
        <v>3149.25</v>
      </c>
      <c r="W32" s="53">
        <v>3</v>
      </c>
      <c r="X32" s="53" t="s">
        <v>46</v>
      </c>
      <c r="Y32" s="53" t="s">
        <v>84</v>
      </c>
      <c r="Z32" s="53" t="s">
        <v>69</v>
      </c>
      <c r="AA32" s="53" t="s">
        <v>90</v>
      </c>
      <c r="AB32" s="53" t="s">
        <v>241</v>
      </c>
    </row>
    <row r="33" spans="1:28" x14ac:dyDescent="0.15">
      <c r="A33" s="53" t="s">
        <v>34</v>
      </c>
      <c r="B33" s="53" t="s">
        <v>237</v>
      </c>
      <c r="C33" s="53">
        <v>2019</v>
      </c>
      <c r="D33" s="188" t="s">
        <v>373</v>
      </c>
      <c r="E33" s="53" t="s">
        <v>388</v>
      </c>
      <c r="F33" s="53" t="s">
        <v>389</v>
      </c>
      <c r="G33" s="53" t="s">
        <v>36</v>
      </c>
      <c r="H33" s="53" t="s">
        <v>163</v>
      </c>
      <c r="I33" s="53" t="s">
        <v>159</v>
      </c>
      <c r="J33" s="53" t="s">
        <v>38</v>
      </c>
      <c r="K33" s="53" t="s">
        <v>160</v>
      </c>
      <c r="L33" s="53">
        <v>2</v>
      </c>
      <c r="N33" s="53">
        <v>8</v>
      </c>
      <c r="O33" s="53">
        <v>0.75</v>
      </c>
      <c r="P33" s="53">
        <v>0.8</v>
      </c>
      <c r="Q33" s="74">
        <f t="shared" si="0"/>
        <v>0.77500000000000002</v>
      </c>
      <c r="R33" s="53">
        <v>11.5</v>
      </c>
      <c r="S33" s="53">
        <v>87</v>
      </c>
      <c r="T33" s="16">
        <f t="shared" si="1"/>
        <v>36</v>
      </c>
      <c r="U33" s="53">
        <v>646</v>
      </c>
      <c r="V33" s="16">
        <f t="shared" si="2"/>
        <v>2907</v>
      </c>
      <c r="W33" s="53">
        <v>3</v>
      </c>
      <c r="X33" s="53" t="s">
        <v>46</v>
      </c>
      <c r="Y33" s="53" t="s">
        <v>84</v>
      </c>
      <c r="Z33" s="53" t="s">
        <v>69</v>
      </c>
      <c r="AA33" s="53" t="s">
        <v>90</v>
      </c>
      <c r="AB33" s="53" t="s">
        <v>241</v>
      </c>
    </row>
    <row r="34" spans="1:28" x14ac:dyDescent="0.15">
      <c r="A34" s="53" t="s">
        <v>34</v>
      </c>
      <c r="B34" s="53" t="s">
        <v>237</v>
      </c>
      <c r="C34" s="53">
        <v>2019</v>
      </c>
      <c r="D34" s="188" t="s">
        <v>373</v>
      </c>
      <c r="E34" s="53" t="s">
        <v>388</v>
      </c>
      <c r="F34" s="53" t="s">
        <v>389</v>
      </c>
      <c r="G34" s="53" t="s">
        <v>36</v>
      </c>
      <c r="H34" s="53" t="s">
        <v>163</v>
      </c>
      <c r="I34" s="53" t="s">
        <v>159</v>
      </c>
      <c r="J34" s="53" t="s">
        <v>38</v>
      </c>
      <c r="K34" s="53" t="s">
        <v>160</v>
      </c>
      <c r="L34" s="53">
        <v>3</v>
      </c>
      <c r="N34" s="53">
        <v>8</v>
      </c>
      <c r="O34" s="53">
        <v>0.8</v>
      </c>
      <c r="P34" s="53">
        <v>0.55000000000000004</v>
      </c>
      <c r="Q34" s="74">
        <f>IF(OR(O34="",P34=""),"",AVERAGE(O34,P34))</f>
        <v>0.67500000000000004</v>
      </c>
      <c r="R34" s="53">
        <v>14.3</v>
      </c>
      <c r="S34" s="53">
        <v>80</v>
      </c>
      <c r="T34" s="16">
        <f t="shared" si="1"/>
        <v>39</v>
      </c>
      <c r="U34" s="53">
        <v>646</v>
      </c>
      <c r="V34" s="16">
        <f t="shared" si="2"/>
        <v>3149.25</v>
      </c>
      <c r="W34" s="53">
        <v>3</v>
      </c>
      <c r="X34" s="53" t="s">
        <v>46</v>
      </c>
      <c r="Y34" s="53" t="s">
        <v>84</v>
      </c>
      <c r="Z34" s="53" t="s">
        <v>69</v>
      </c>
      <c r="AA34" s="53" t="s">
        <v>90</v>
      </c>
      <c r="AB34" s="53" t="s">
        <v>241</v>
      </c>
    </row>
    <row r="35" spans="1:28" x14ac:dyDescent="0.15">
      <c r="A35" s="53" t="s">
        <v>34</v>
      </c>
      <c r="B35" s="53" t="s">
        <v>237</v>
      </c>
      <c r="C35" s="53">
        <v>2019</v>
      </c>
      <c r="D35" s="188" t="s">
        <v>373</v>
      </c>
      <c r="E35" s="53" t="s">
        <v>388</v>
      </c>
      <c r="F35" s="53" t="s">
        <v>389</v>
      </c>
      <c r="G35" s="53" t="s">
        <v>36</v>
      </c>
      <c r="H35" s="53" t="s">
        <v>163</v>
      </c>
      <c r="I35" s="53" t="s">
        <v>197</v>
      </c>
      <c r="J35" s="53" t="s">
        <v>38</v>
      </c>
      <c r="K35" s="53" t="s">
        <v>160</v>
      </c>
      <c r="L35" s="53">
        <v>1</v>
      </c>
      <c r="N35" s="53">
        <v>4</v>
      </c>
      <c r="O35" s="53">
        <v>0.7</v>
      </c>
      <c r="P35" s="53">
        <v>0.65</v>
      </c>
      <c r="Q35" s="74">
        <f t="shared" ref="Q35:Q36" si="3">IF(OR(O35="",P35=""),"",AVERAGE(O35,P35))</f>
        <v>0.67500000000000004</v>
      </c>
      <c r="R35" s="53">
        <v>12.6</v>
      </c>
      <c r="S35" s="53">
        <v>88</v>
      </c>
      <c r="T35" s="16">
        <f t="shared" si="1"/>
        <v>36</v>
      </c>
      <c r="U35" s="53">
        <v>354</v>
      </c>
      <c r="V35" s="16">
        <f t="shared" si="2"/>
        <v>3186</v>
      </c>
      <c r="W35" s="53">
        <v>3</v>
      </c>
      <c r="X35" s="53" t="s">
        <v>46</v>
      </c>
      <c r="Y35" s="53" t="s">
        <v>84</v>
      </c>
      <c r="Z35" s="53" t="s">
        <v>69</v>
      </c>
      <c r="AA35" s="53" t="s">
        <v>90</v>
      </c>
      <c r="AB35" s="53" t="s">
        <v>241</v>
      </c>
    </row>
    <row r="36" spans="1:28" x14ac:dyDescent="0.15">
      <c r="A36" s="53" t="s">
        <v>34</v>
      </c>
      <c r="B36" s="53" t="s">
        <v>237</v>
      </c>
      <c r="C36" s="53">
        <v>2019</v>
      </c>
      <c r="D36" s="188" t="s">
        <v>373</v>
      </c>
      <c r="E36" s="53" t="s">
        <v>388</v>
      </c>
      <c r="F36" s="53" t="s">
        <v>389</v>
      </c>
      <c r="G36" s="53" t="s">
        <v>36</v>
      </c>
      <c r="H36" s="53" t="s">
        <v>163</v>
      </c>
      <c r="I36" s="53" t="s">
        <v>197</v>
      </c>
      <c r="J36" s="53" t="s">
        <v>38</v>
      </c>
      <c r="K36" s="53" t="s">
        <v>160</v>
      </c>
      <c r="L36" s="53">
        <v>2</v>
      </c>
      <c r="N36" s="53">
        <v>4</v>
      </c>
      <c r="O36" s="53">
        <v>0.7</v>
      </c>
      <c r="P36" s="53">
        <v>0.75</v>
      </c>
      <c r="Q36" s="74">
        <f t="shared" si="3"/>
        <v>0.72499999999999998</v>
      </c>
      <c r="R36" s="53">
        <v>9.9</v>
      </c>
      <c r="S36" s="53">
        <v>82</v>
      </c>
      <c r="T36" s="16">
        <f t="shared" si="1"/>
        <v>39</v>
      </c>
      <c r="U36" s="53">
        <v>354</v>
      </c>
      <c r="V36" s="16">
        <f t="shared" si="2"/>
        <v>3451.5</v>
      </c>
      <c r="W36" s="53">
        <v>3</v>
      </c>
      <c r="X36" s="53" t="s">
        <v>46</v>
      </c>
      <c r="Y36" s="53" t="s">
        <v>84</v>
      </c>
      <c r="Z36" s="53" t="s">
        <v>69</v>
      </c>
      <c r="AA36" s="53" t="s">
        <v>90</v>
      </c>
      <c r="AB36" s="53" t="s">
        <v>241</v>
      </c>
    </row>
    <row r="37" spans="1:28" x14ac:dyDescent="0.15">
      <c r="A37" s="53" t="s">
        <v>34</v>
      </c>
      <c r="B37" s="53" t="s">
        <v>237</v>
      </c>
      <c r="C37" s="53">
        <v>2019</v>
      </c>
      <c r="D37" s="188" t="s">
        <v>373</v>
      </c>
      <c r="E37" s="53" t="s">
        <v>388</v>
      </c>
      <c r="F37" s="53" t="s">
        <v>389</v>
      </c>
      <c r="G37" s="53" t="s">
        <v>36</v>
      </c>
      <c r="H37" s="53" t="s">
        <v>163</v>
      </c>
      <c r="I37" s="53" t="s">
        <v>197</v>
      </c>
      <c r="J37" s="53" t="s">
        <v>38</v>
      </c>
      <c r="K37" s="53" t="s">
        <v>160</v>
      </c>
      <c r="L37" s="53">
        <v>3</v>
      </c>
      <c r="N37" s="53">
        <v>4</v>
      </c>
      <c r="O37" s="53">
        <v>0.65</v>
      </c>
      <c r="P37" s="53">
        <v>0.7</v>
      </c>
      <c r="Q37" s="74">
        <f>IF(OR(O37="",P37=""),"",AVERAGE(O37,P37))</f>
        <v>0.67500000000000004</v>
      </c>
      <c r="R37" s="53">
        <v>10</v>
      </c>
      <c r="S37" s="53">
        <v>87</v>
      </c>
      <c r="T37" s="16">
        <f t="shared" si="1"/>
        <v>36</v>
      </c>
      <c r="U37" s="53">
        <v>354</v>
      </c>
      <c r="V37" s="16">
        <f t="shared" si="2"/>
        <v>3186</v>
      </c>
      <c r="W37" s="53">
        <v>3</v>
      </c>
      <c r="X37" s="53" t="s">
        <v>46</v>
      </c>
      <c r="Y37" s="53" t="s">
        <v>84</v>
      </c>
      <c r="Z37" s="53" t="s">
        <v>69</v>
      </c>
      <c r="AA37" s="53" t="s">
        <v>90</v>
      </c>
      <c r="AB37" s="53" t="s">
        <v>241</v>
      </c>
    </row>
    <row r="38" spans="1:28" x14ac:dyDescent="0.15">
      <c r="A38" s="53" t="s">
        <v>34</v>
      </c>
      <c r="B38" s="53" t="s">
        <v>237</v>
      </c>
      <c r="C38" s="53">
        <v>2019</v>
      </c>
      <c r="D38" s="188" t="s">
        <v>373</v>
      </c>
      <c r="E38" s="53" t="s">
        <v>388</v>
      </c>
      <c r="F38" s="53" t="s">
        <v>389</v>
      </c>
      <c r="G38" s="53" t="s">
        <v>36</v>
      </c>
      <c r="H38" s="53" t="s">
        <v>163</v>
      </c>
      <c r="I38" s="53" t="s">
        <v>159</v>
      </c>
      <c r="J38" s="53" t="s">
        <v>38</v>
      </c>
      <c r="K38" s="53" t="s">
        <v>160</v>
      </c>
      <c r="L38" s="53">
        <v>1</v>
      </c>
      <c r="N38" s="53">
        <v>4</v>
      </c>
      <c r="O38" s="53">
        <v>0.2</v>
      </c>
      <c r="P38" s="53">
        <v>0.2</v>
      </c>
      <c r="Q38" s="74">
        <f t="shared" ref="Q38:Q39" si="4">IF(OR(O38="",P38=""),"",AVERAGE(O38,P38))</f>
        <v>0.2</v>
      </c>
      <c r="R38" s="53">
        <v>14.4</v>
      </c>
      <c r="S38" s="53">
        <v>97</v>
      </c>
      <c r="T38" s="16">
        <f t="shared" si="1"/>
        <v>36</v>
      </c>
      <c r="U38" s="53">
        <v>429</v>
      </c>
      <c r="V38" s="16">
        <f t="shared" si="2"/>
        <v>3861</v>
      </c>
      <c r="W38" s="53">
        <v>3</v>
      </c>
      <c r="X38" s="53" t="s">
        <v>46</v>
      </c>
      <c r="Y38" s="53" t="s">
        <v>84</v>
      </c>
      <c r="Z38" s="53" t="s">
        <v>69</v>
      </c>
      <c r="AA38" s="53" t="s">
        <v>90</v>
      </c>
      <c r="AB38" s="53" t="s">
        <v>241</v>
      </c>
    </row>
    <row r="39" spans="1:28" x14ac:dyDescent="0.15">
      <c r="A39" s="53" t="s">
        <v>34</v>
      </c>
      <c r="B39" s="53" t="s">
        <v>237</v>
      </c>
      <c r="C39" s="53">
        <v>2019</v>
      </c>
      <c r="D39" s="188" t="s">
        <v>373</v>
      </c>
      <c r="E39" s="53" t="s">
        <v>388</v>
      </c>
      <c r="F39" s="53" t="s">
        <v>389</v>
      </c>
      <c r="G39" s="53" t="s">
        <v>36</v>
      </c>
      <c r="H39" s="53" t="s">
        <v>163</v>
      </c>
      <c r="I39" s="53" t="s">
        <v>159</v>
      </c>
      <c r="J39" s="53" t="s">
        <v>38</v>
      </c>
      <c r="K39" s="53" t="s">
        <v>160</v>
      </c>
      <c r="L39" s="53">
        <v>2</v>
      </c>
      <c r="N39" s="53">
        <v>4</v>
      </c>
      <c r="O39" s="53">
        <v>0.45</v>
      </c>
      <c r="P39" s="53">
        <v>0.5</v>
      </c>
      <c r="Q39" s="74">
        <f t="shared" si="4"/>
        <v>0.47499999999999998</v>
      </c>
      <c r="R39" s="53">
        <v>14.4</v>
      </c>
      <c r="S39" s="53">
        <v>97</v>
      </c>
      <c r="T39" s="16">
        <f t="shared" si="1"/>
        <v>36</v>
      </c>
      <c r="U39" s="53">
        <v>429</v>
      </c>
      <c r="V39" s="16">
        <f t="shared" si="2"/>
        <v>3861</v>
      </c>
      <c r="W39" s="53">
        <v>3</v>
      </c>
      <c r="X39" s="53" t="s">
        <v>46</v>
      </c>
      <c r="Y39" s="53" t="s">
        <v>84</v>
      </c>
      <c r="Z39" s="53" t="s">
        <v>69</v>
      </c>
      <c r="AA39" s="53" t="s">
        <v>90</v>
      </c>
      <c r="AB39" s="53" t="s">
        <v>241</v>
      </c>
    </row>
    <row r="40" spans="1:28" x14ac:dyDescent="0.15">
      <c r="A40" s="53" t="s">
        <v>34</v>
      </c>
      <c r="B40" s="53" t="s">
        <v>237</v>
      </c>
      <c r="C40" s="53">
        <v>2019</v>
      </c>
      <c r="D40" s="188" t="s">
        <v>373</v>
      </c>
      <c r="E40" s="53" t="s">
        <v>388</v>
      </c>
      <c r="F40" s="53" t="s">
        <v>389</v>
      </c>
      <c r="G40" s="53" t="s">
        <v>36</v>
      </c>
      <c r="H40" s="53" t="s">
        <v>163</v>
      </c>
      <c r="I40" s="53" t="s">
        <v>159</v>
      </c>
      <c r="J40" s="53" t="s">
        <v>38</v>
      </c>
      <c r="K40" s="53" t="s">
        <v>160</v>
      </c>
      <c r="L40" s="53">
        <v>3</v>
      </c>
      <c r="N40" s="53">
        <v>4</v>
      </c>
      <c r="O40" s="53">
        <v>0.2</v>
      </c>
      <c r="P40" s="53">
        <v>0.2</v>
      </c>
      <c r="Q40" s="74">
        <f>IF(OR(O40="",P40=""),"",AVERAGE(O40,P40))</f>
        <v>0.2</v>
      </c>
      <c r="R40" s="53">
        <v>13.8</v>
      </c>
      <c r="S40" s="53">
        <v>102</v>
      </c>
      <c r="T40" s="16">
        <f t="shared" si="1"/>
        <v>33</v>
      </c>
      <c r="U40" s="53">
        <v>429</v>
      </c>
      <c r="V40" s="16">
        <f t="shared" si="2"/>
        <v>3539.25</v>
      </c>
      <c r="W40" s="53">
        <v>3</v>
      </c>
      <c r="X40" s="53" t="s">
        <v>46</v>
      </c>
      <c r="Y40" s="53" t="s">
        <v>84</v>
      </c>
      <c r="Z40" s="53" t="s">
        <v>69</v>
      </c>
      <c r="AA40" s="53" t="s">
        <v>90</v>
      </c>
      <c r="AB40" s="53" t="s">
        <v>241</v>
      </c>
    </row>
    <row r="41" spans="1:28" x14ac:dyDescent="0.15">
      <c r="A41" s="53" t="s">
        <v>34</v>
      </c>
      <c r="B41" s="53" t="s">
        <v>237</v>
      </c>
      <c r="C41" s="53">
        <v>2019</v>
      </c>
      <c r="D41" s="188" t="s">
        <v>373</v>
      </c>
      <c r="E41" s="53" t="s">
        <v>388</v>
      </c>
      <c r="F41" s="53" t="s">
        <v>389</v>
      </c>
      <c r="G41" s="53" t="s">
        <v>36</v>
      </c>
      <c r="H41" s="53" t="s">
        <v>163</v>
      </c>
      <c r="I41" s="53" t="s">
        <v>159</v>
      </c>
      <c r="J41" s="53" t="s">
        <v>38</v>
      </c>
      <c r="K41" s="53" t="s">
        <v>160</v>
      </c>
      <c r="L41" s="53">
        <v>1</v>
      </c>
      <c r="N41" s="53">
        <v>1</v>
      </c>
      <c r="O41" s="53">
        <v>0.9</v>
      </c>
      <c r="P41" s="53">
        <v>0.8</v>
      </c>
      <c r="Q41" s="74">
        <f t="shared" si="0"/>
        <v>0.85000000000000009</v>
      </c>
      <c r="R41" s="53">
        <v>12.1</v>
      </c>
      <c r="S41" s="53">
        <v>126</v>
      </c>
      <c r="T41" s="16">
        <f t="shared" si="1"/>
        <v>30</v>
      </c>
      <c r="U41" s="53">
        <v>95</v>
      </c>
      <c r="V41" s="16">
        <f t="shared" si="2"/>
        <v>2850</v>
      </c>
      <c r="W41" s="53">
        <v>3</v>
      </c>
      <c r="X41" s="53" t="s">
        <v>46</v>
      </c>
      <c r="Y41" s="53" t="s">
        <v>84</v>
      </c>
      <c r="Z41" s="53" t="s">
        <v>69</v>
      </c>
      <c r="AA41" s="53" t="s">
        <v>90</v>
      </c>
      <c r="AB41" s="53" t="s">
        <v>241</v>
      </c>
    </row>
    <row r="42" spans="1:28" x14ac:dyDescent="0.15">
      <c r="A42" s="53" t="s">
        <v>34</v>
      </c>
      <c r="B42" s="53" t="s">
        <v>237</v>
      </c>
      <c r="C42" s="53">
        <v>2019</v>
      </c>
      <c r="D42" s="188" t="s">
        <v>373</v>
      </c>
      <c r="E42" s="53" t="s">
        <v>388</v>
      </c>
      <c r="F42" s="53" t="s">
        <v>389</v>
      </c>
      <c r="G42" s="53" t="s">
        <v>36</v>
      </c>
      <c r="H42" s="53" t="s">
        <v>163</v>
      </c>
      <c r="I42" s="53" t="s">
        <v>159</v>
      </c>
      <c r="J42" s="53" t="s">
        <v>38</v>
      </c>
      <c r="K42" s="53" t="s">
        <v>160</v>
      </c>
      <c r="L42" s="53">
        <v>2</v>
      </c>
      <c r="N42" s="53">
        <v>1</v>
      </c>
      <c r="O42" s="53">
        <v>0.7</v>
      </c>
      <c r="P42" s="53">
        <v>0.7</v>
      </c>
      <c r="Q42" s="74">
        <f t="shared" si="0"/>
        <v>0.7</v>
      </c>
      <c r="R42" s="53">
        <v>14.2</v>
      </c>
      <c r="S42" s="53">
        <v>122</v>
      </c>
      <c r="T42" s="16">
        <f t="shared" si="1"/>
        <v>30</v>
      </c>
      <c r="U42" s="53">
        <v>95</v>
      </c>
      <c r="V42" s="16">
        <f t="shared" si="2"/>
        <v>2850</v>
      </c>
      <c r="W42" s="53">
        <v>3</v>
      </c>
      <c r="X42" s="53" t="s">
        <v>46</v>
      </c>
      <c r="Y42" s="53" t="s">
        <v>84</v>
      </c>
      <c r="Z42" s="53" t="s">
        <v>69</v>
      </c>
      <c r="AA42" s="53" t="s">
        <v>90</v>
      </c>
      <c r="AB42" s="53" t="s">
        <v>241</v>
      </c>
    </row>
    <row r="43" spans="1:28" x14ac:dyDescent="0.15">
      <c r="A43" s="53" t="s">
        <v>34</v>
      </c>
      <c r="B43" s="53" t="s">
        <v>237</v>
      </c>
      <c r="C43" s="53">
        <v>2019</v>
      </c>
      <c r="D43" s="188" t="s">
        <v>373</v>
      </c>
      <c r="E43" s="53" t="s">
        <v>388</v>
      </c>
      <c r="F43" s="53" t="s">
        <v>389</v>
      </c>
      <c r="G43" s="53" t="s">
        <v>36</v>
      </c>
      <c r="H43" s="53" t="s">
        <v>163</v>
      </c>
      <c r="I43" s="53" t="s">
        <v>159</v>
      </c>
      <c r="J43" s="53" t="s">
        <v>38</v>
      </c>
      <c r="K43" s="53" t="s">
        <v>160</v>
      </c>
      <c r="L43" s="53">
        <v>3</v>
      </c>
      <c r="N43" s="53">
        <v>1</v>
      </c>
      <c r="O43" s="53">
        <v>0.8</v>
      </c>
      <c r="P43" s="53">
        <v>0.85</v>
      </c>
      <c r="Q43" s="74">
        <f t="shared" si="0"/>
        <v>0.82499999999999996</v>
      </c>
      <c r="R43" s="53">
        <v>12.6</v>
      </c>
      <c r="S43" s="53">
        <v>110</v>
      </c>
      <c r="T43" s="16">
        <f t="shared" si="1"/>
        <v>33</v>
      </c>
      <c r="U43" s="53">
        <v>95</v>
      </c>
      <c r="V43" s="16">
        <f t="shared" si="2"/>
        <v>3135</v>
      </c>
      <c r="W43" s="53">
        <v>3</v>
      </c>
      <c r="X43" s="53" t="s">
        <v>46</v>
      </c>
      <c r="Y43" s="53" t="s">
        <v>84</v>
      </c>
      <c r="Z43" s="53" t="s">
        <v>69</v>
      </c>
      <c r="AA43" s="53" t="s">
        <v>90</v>
      </c>
      <c r="AB43" s="53" t="s">
        <v>241</v>
      </c>
    </row>
    <row r="44" spans="1:28" x14ac:dyDescent="0.15">
      <c r="A44" s="53" t="s">
        <v>34</v>
      </c>
      <c r="B44" s="53" t="s">
        <v>237</v>
      </c>
      <c r="C44" s="53">
        <v>2019</v>
      </c>
      <c r="D44" s="188" t="s">
        <v>373</v>
      </c>
      <c r="E44" s="53" t="s">
        <v>388</v>
      </c>
      <c r="F44" s="53" t="s">
        <v>389</v>
      </c>
      <c r="G44" s="53" t="s">
        <v>36</v>
      </c>
      <c r="H44" s="53" t="s">
        <v>128</v>
      </c>
      <c r="I44" s="53" t="s">
        <v>159</v>
      </c>
      <c r="J44" s="53" t="s">
        <v>80</v>
      </c>
      <c r="K44" s="53" t="s">
        <v>63</v>
      </c>
      <c r="L44" s="53">
        <v>1</v>
      </c>
      <c r="N44" s="53">
        <v>3</v>
      </c>
      <c r="O44" s="53">
        <v>0.6</v>
      </c>
      <c r="P44" s="53">
        <v>0.45</v>
      </c>
      <c r="Q44" s="74">
        <f t="shared" si="0"/>
        <v>0.52500000000000002</v>
      </c>
      <c r="R44" s="53">
        <v>14.6</v>
      </c>
      <c r="S44" s="53">
        <v>86</v>
      </c>
      <c r="T44" s="16">
        <f t="shared" si="1"/>
        <v>36</v>
      </c>
      <c r="U44" s="53">
        <v>429</v>
      </c>
      <c r="V44" s="16">
        <f t="shared" si="2"/>
        <v>5148</v>
      </c>
      <c r="W44" s="53">
        <v>2</v>
      </c>
      <c r="X44" s="53" t="s">
        <v>46</v>
      </c>
      <c r="Y44" s="53" t="s">
        <v>84</v>
      </c>
      <c r="Z44" s="53" t="s">
        <v>69</v>
      </c>
      <c r="AA44" s="53" t="s">
        <v>90</v>
      </c>
      <c r="AB44" s="53" t="s">
        <v>241</v>
      </c>
    </row>
    <row r="45" spans="1:28" x14ac:dyDescent="0.15">
      <c r="A45" s="53" t="s">
        <v>34</v>
      </c>
      <c r="B45" s="53" t="s">
        <v>237</v>
      </c>
      <c r="C45" s="53">
        <v>2019</v>
      </c>
      <c r="D45" s="188" t="s">
        <v>373</v>
      </c>
      <c r="E45" s="53" t="s">
        <v>388</v>
      </c>
      <c r="F45" s="53" t="s">
        <v>389</v>
      </c>
      <c r="G45" s="53" t="s">
        <v>36</v>
      </c>
      <c r="H45" s="53" t="s">
        <v>128</v>
      </c>
      <c r="I45" s="53" t="s">
        <v>159</v>
      </c>
      <c r="J45" s="53" t="s">
        <v>80</v>
      </c>
      <c r="K45" s="53" t="s">
        <v>63</v>
      </c>
      <c r="L45" s="53">
        <v>2</v>
      </c>
      <c r="N45" s="53">
        <v>3</v>
      </c>
      <c r="O45" s="53">
        <v>0.45</v>
      </c>
      <c r="P45" s="53">
        <v>0.2</v>
      </c>
      <c r="Q45" s="74">
        <f t="shared" si="0"/>
        <v>0.32500000000000001</v>
      </c>
      <c r="R45" s="53">
        <v>18</v>
      </c>
      <c r="S45" s="53">
        <v>88</v>
      </c>
      <c r="T45" s="16">
        <f t="shared" si="1"/>
        <v>36</v>
      </c>
      <c r="U45" s="53">
        <v>429</v>
      </c>
      <c r="V45" s="16">
        <f t="shared" si="2"/>
        <v>5148</v>
      </c>
      <c r="W45" s="53">
        <v>2</v>
      </c>
      <c r="X45" s="53" t="s">
        <v>46</v>
      </c>
      <c r="Y45" s="53" t="s">
        <v>84</v>
      </c>
      <c r="Z45" s="53" t="s">
        <v>69</v>
      </c>
      <c r="AA45" s="53" t="s">
        <v>90</v>
      </c>
      <c r="AB45" s="53" t="s">
        <v>241</v>
      </c>
    </row>
    <row r="46" spans="1:28" x14ac:dyDescent="0.15">
      <c r="A46" s="53" t="s">
        <v>34</v>
      </c>
      <c r="B46" s="53" t="s">
        <v>237</v>
      </c>
      <c r="C46" s="53">
        <v>2019</v>
      </c>
      <c r="D46" s="188" t="s">
        <v>373</v>
      </c>
      <c r="E46" s="53" t="s">
        <v>388</v>
      </c>
      <c r="F46" s="53" t="s">
        <v>389</v>
      </c>
      <c r="G46" s="53" t="s">
        <v>36</v>
      </c>
      <c r="H46" s="53" t="s">
        <v>128</v>
      </c>
      <c r="I46" s="53" t="s">
        <v>159</v>
      </c>
      <c r="J46" s="53" t="s">
        <v>80</v>
      </c>
      <c r="K46" s="53" t="s">
        <v>63</v>
      </c>
      <c r="L46" s="53">
        <v>3</v>
      </c>
      <c r="N46" s="53">
        <v>3</v>
      </c>
      <c r="O46" s="53">
        <v>0.5</v>
      </c>
      <c r="P46" s="53">
        <v>0.45</v>
      </c>
      <c r="Q46" s="74">
        <f t="shared" si="0"/>
        <v>0.47499999999999998</v>
      </c>
      <c r="R46" s="53">
        <v>16.600000000000001</v>
      </c>
      <c r="S46" s="53">
        <v>90</v>
      </c>
      <c r="T46" s="16">
        <f t="shared" si="1"/>
        <v>36</v>
      </c>
      <c r="U46" s="53">
        <v>429</v>
      </c>
      <c r="V46" s="16">
        <f t="shared" si="2"/>
        <v>5148</v>
      </c>
      <c r="W46" s="53">
        <v>2</v>
      </c>
      <c r="X46" s="53" t="s">
        <v>46</v>
      </c>
      <c r="Y46" s="53" t="s">
        <v>84</v>
      </c>
      <c r="Z46" s="53" t="s">
        <v>69</v>
      </c>
      <c r="AA46" s="53" t="s">
        <v>90</v>
      </c>
      <c r="AB46" s="53" t="s">
        <v>241</v>
      </c>
    </row>
    <row r="47" spans="1:28" x14ac:dyDescent="0.15">
      <c r="A47" s="53" t="s">
        <v>34</v>
      </c>
      <c r="B47" s="53" t="s">
        <v>237</v>
      </c>
      <c r="C47" s="53">
        <v>2019</v>
      </c>
      <c r="D47" s="188" t="s">
        <v>373</v>
      </c>
      <c r="E47" s="53" t="s">
        <v>388</v>
      </c>
      <c r="F47" s="53" t="s">
        <v>389</v>
      </c>
      <c r="G47" s="53" t="s">
        <v>36</v>
      </c>
      <c r="H47" s="53" t="s">
        <v>203</v>
      </c>
      <c r="I47" s="53" t="s">
        <v>159</v>
      </c>
      <c r="J47" s="53" t="s">
        <v>38</v>
      </c>
      <c r="K47" s="53" t="s">
        <v>54</v>
      </c>
      <c r="L47" s="53">
        <v>1</v>
      </c>
      <c r="N47" s="53">
        <v>4</v>
      </c>
      <c r="O47" s="53">
        <v>0.2</v>
      </c>
      <c r="P47" s="53">
        <v>0.5</v>
      </c>
      <c r="Q47" s="74">
        <f t="shared" si="0"/>
        <v>0.35</v>
      </c>
      <c r="R47" s="53">
        <v>13.6</v>
      </c>
      <c r="S47" s="53">
        <v>108</v>
      </c>
      <c r="T47" s="16">
        <f t="shared" si="1"/>
        <v>33</v>
      </c>
      <c r="U47" s="53">
        <v>538</v>
      </c>
      <c r="V47" s="16">
        <f t="shared" si="2"/>
        <v>4438.5</v>
      </c>
      <c r="W47" s="53">
        <v>2</v>
      </c>
      <c r="X47" s="53" t="s">
        <v>46</v>
      </c>
      <c r="Y47" s="53" t="s">
        <v>84</v>
      </c>
      <c r="Z47" s="53" t="s">
        <v>69</v>
      </c>
      <c r="AA47" s="53" t="s">
        <v>90</v>
      </c>
      <c r="AB47" s="53" t="s">
        <v>241</v>
      </c>
    </row>
    <row r="48" spans="1:28" x14ac:dyDescent="0.15">
      <c r="A48" s="53" t="s">
        <v>34</v>
      </c>
      <c r="B48" s="53" t="s">
        <v>237</v>
      </c>
      <c r="C48" s="53">
        <v>2019</v>
      </c>
      <c r="D48" s="188" t="s">
        <v>373</v>
      </c>
      <c r="E48" s="53" t="s">
        <v>388</v>
      </c>
      <c r="F48" s="53" t="s">
        <v>389</v>
      </c>
      <c r="G48" s="53" t="s">
        <v>36</v>
      </c>
      <c r="H48" s="53" t="s">
        <v>203</v>
      </c>
      <c r="I48" s="53" t="s">
        <v>159</v>
      </c>
      <c r="J48" s="53" t="s">
        <v>38</v>
      </c>
      <c r="K48" s="53" t="s">
        <v>54</v>
      </c>
      <c r="L48" s="53">
        <v>2</v>
      </c>
      <c r="N48" s="53">
        <v>4</v>
      </c>
      <c r="O48" s="53">
        <v>0.55000000000000004</v>
      </c>
      <c r="P48" s="53">
        <v>0.55000000000000004</v>
      </c>
      <c r="Q48" s="74">
        <f t="shared" si="0"/>
        <v>0.55000000000000004</v>
      </c>
      <c r="R48" s="53">
        <v>14.2</v>
      </c>
      <c r="S48" s="53">
        <v>110</v>
      </c>
      <c r="T48" s="16">
        <f t="shared" si="1"/>
        <v>33</v>
      </c>
      <c r="U48" s="53">
        <v>538</v>
      </c>
      <c r="V48" s="16">
        <f t="shared" si="2"/>
        <v>4438.5</v>
      </c>
      <c r="W48" s="53">
        <v>2</v>
      </c>
      <c r="X48" s="53" t="s">
        <v>46</v>
      </c>
      <c r="Y48" s="53" t="s">
        <v>84</v>
      </c>
      <c r="Z48" s="53" t="s">
        <v>69</v>
      </c>
      <c r="AA48" s="53" t="s">
        <v>90</v>
      </c>
      <c r="AB48" s="53" t="s">
        <v>241</v>
      </c>
    </row>
    <row r="49" spans="1:28" x14ac:dyDescent="0.15">
      <c r="A49" s="53" t="s">
        <v>34</v>
      </c>
      <c r="B49" s="53" t="s">
        <v>237</v>
      </c>
      <c r="C49" s="53">
        <v>2019</v>
      </c>
      <c r="D49" s="188" t="s">
        <v>373</v>
      </c>
      <c r="E49" s="53" t="s">
        <v>388</v>
      </c>
      <c r="F49" s="53" t="s">
        <v>389</v>
      </c>
      <c r="G49" s="53" t="s">
        <v>36</v>
      </c>
      <c r="H49" s="53" t="s">
        <v>203</v>
      </c>
      <c r="I49" s="53" t="s">
        <v>159</v>
      </c>
      <c r="J49" s="53" t="s">
        <v>38</v>
      </c>
      <c r="K49" s="53" t="s">
        <v>54</v>
      </c>
      <c r="L49" s="53">
        <v>3</v>
      </c>
      <c r="N49" s="53">
        <v>4</v>
      </c>
      <c r="O49" s="53">
        <v>0.5</v>
      </c>
      <c r="P49" s="53">
        <v>0.55000000000000004</v>
      </c>
      <c r="Q49" s="74">
        <f t="shared" si="0"/>
        <v>0.52500000000000002</v>
      </c>
      <c r="R49" s="53">
        <v>14.5</v>
      </c>
      <c r="S49" s="53">
        <v>110</v>
      </c>
      <c r="T49" s="16">
        <f t="shared" si="1"/>
        <v>33</v>
      </c>
      <c r="U49" s="53">
        <v>538</v>
      </c>
      <c r="V49" s="16">
        <f t="shared" si="2"/>
        <v>4438.5</v>
      </c>
      <c r="W49" s="53">
        <v>2</v>
      </c>
      <c r="X49" s="53" t="s">
        <v>46</v>
      </c>
      <c r="Y49" s="53" t="s">
        <v>84</v>
      </c>
      <c r="Z49" s="53" t="s">
        <v>69</v>
      </c>
      <c r="AA49" s="53" t="s">
        <v>90</v>
      </c>
      <c r="AB49" s="53" t="s">
        <v>241</v>
      </c>
    </row>
    <row r="50" spans="1:28" x14ac:dyDescent="0.15">
      <c r="A50" s="53" t="s">
        <v>34</v>
      </c>
      <c r="B50" s="53" t="s">
        <v>237</v>
      </c>
      <c r="C50" s="53">
        <v>2019</v>
      </c>
      <c r="D50" s="188" t="s">
        <v>373</v>
      </c>
      <c r="E50" s="53" t="s">
        <v>377</v>
      </c>
      <c r="F50" s="53" t="s">
        <v>378</v>
      </c>
      <c r="G50" s="53" t="s">
        <v>36</v>
      </c>
      <c r="H50" s="53" t="s">
        <v>163</v>
      </c>
      <c r="I50" s="53" t="s">
        <v>159</v>
      </c>
      <c r="J50" s="53" t="s">
        <v>38</v>
      </c>
      <c r="K50" s="53" t="s">
        <v>160</v>
      </c>
      <c r="L50" s="53">
        <v>1</v>
      </c>
      <c r="N50" s="53">
        <v>1</v>
      </c>
      <c r="O50" s="53">
        <v>0.5</v>
      </c>
      <c r="P50" s="53">
        <v>0.6</v>
      </c>
      <c r="Q50" s="74">
        <f t="shared" si="0"/>
        <v>0.55000000000000004</v>
      </c>
      <c r="R50" s="53">
        <v>14.8</v>
      </c>
      <c r="S50" s="53">
        <v>116</v>
      </c>
      <c r="T50" s="16">
        <f t="shared" si="1"/>
        <v>30</v>
      </c>
      <c r="U50" s="53">
        <v>108</v>
      </c>
      <c r="V50" s="16">
        <f t="shared" si="2"/>
        <v>3240</v>
      </c>
      <c r="W50" s="53">
        <v>1</v>
      </c>
      <c r="X50" s="53" t="s">
        <v>46</v>
      </c>
      <c r="Y50" s="53" t="s">
        <v>84</v>
      </c>
      <c r="Z50" s="53" t="s">
        <v>90</v>
      </c>
      <c r="AA50" s="53" t="s">
        <v>69</v>
      </c>
      <c r="AB50" s="53" t="s">
        <v>241</v>
      </c>
    </row>
    <row r="51" spans="1:28" x14ac:dyDescent="0.15">
      <c r="A51" s="53" t="s">
        <v>34</v>
      </c>
      <c r="B51" s="53" t="s">
        <v>237</v>
      </c>
      <c r="C51" s="53">
        <v>2019</v>
      </c>
      <c r="D51" s="188" t="s">
        <v>373</v>
      </c>
      <c r="E51" s="53" t="s">
        <v>377</v>
      </c>
      <c r="F51" s="53" t="s">
        <v>378</v>
      </c>
      <c r="G51" s="53" t="s">
        <v>36</v>
      </c>
      <c r="H51" s="53" t="s">
        <v>163</v>
      </c>
      <c r="I51" s="53" t="s">
        <v>159</v>
      </c>
      <c r="J51" s="53" t="s">
        <v>38</v>
      </c>
      <c r="K51" s="53" t="s">
        <v>160</v>
      </c>
      <c r="L51" s="53">
        <v>2</v>
      </c>
      <c r="N51" s="53">
        <v>1</v>
      </c>
      <c r="O51" s="53">
        <v>0.7</v>
      </c>
      <c r="P51" s="53">
        <v>0.65</v>
      </c>
      <c r="Q51" s="74">
        <f t="shared" si="0"/>
        <v>0.67500000000000004</v>
      </c>
      <c r="R51" s="53">
        <v>14.1</v>
      </c>
      <c r="S51" s="53">
        <v>122</v>
      </c>
      <c r="T51" s="16">
        <f t="shared" si="1"/>
        <v>30</v>
      </c>
      <c r="U51" s="53">
        <v>108</v>
      </c>
      <c r="V51" s="16">
        <f t="shared" si="2"/>
        <v>3240</v>
      </c>
      <c r="W51" s="53">
        <v>1</v>
      </c>
      <c r="X51" s="53" t="s">
        <v>46</v>
      </c>
      <c r="Y51" s="53" t="s">
        <v>84</v>
      </c>
      <c r="Z51" s="53" t="s">
        <v>90</v>
      </c>
      <c r="AA51" s="53" t="s">
        <v>69</v>
      </c>
      <c r="AB51" s="53" t="s">
        <v>241</v>
      </c>
    </row>
    <row r="52" spans="1:28" x14ac:dyDescent="0.15">
      <c r="A52" s="53" t="s">
        <v>34</v>
      </c>
      <c r="B52" s="53" t="s">
        <v>237</v>
      </c>
      <c r="C52" s="53">
        <v>2019</v>
      </c>
      <c r="D52" s="188" t="s">
        <v>373</v>
      </c>
      <c r="E52" s="53" t="s">
        <v>377</v>
      </c>
      <c r="F52" s="53" t="s">
        <v>378</v>
      </c>
      <c r="G52" s="53" t="s">
        <v>36</v>
      </c>
      <c r="H52" s="53" t="s">
        <v>163</v>
      </c>
      <c r="I52" s="53" t="s">
        <v>159</v>
      </c>
      <c r="J52" s="53" t="s">
        <v>38</v>
      </c>
      <c r="K52" s="53" t="s">
        <v>160</v>
      </c>
      <c r="L52" s="53">
        <v>3</v>
      </c>
      <c r="N52" s="53">
        <v>1</v>
      </c>
      <c r="O52" s="53">
        <v>0.55000000000000004</v>
      </c>
      <c r="P52" s="53">
        <v>0.45</v>
      </c>
      <c r="Q52" s="74">
        <f t="shared" si="0"/>
        <v>0.5</v>
      </c>
      <c r="R52" s="53">
        <v>11.9</v>
      </c>
      <c r="S52" s="53">
        <v>124</v>
      </c>
      <c r="T52" s="16">
        <f t="shared" si="1"/>
        <v>30</v>
      </c>
      <c r="U52" s="53">
        <v>108</v>
      </c>
      <c r="V52" s="16">
        <f t="shared" si="2"/>
        <v>3240</v>
      </c>
      <c r="W52" s="53">
        <v>1</v>
      </c>
      <c r="X52" s="53" t="s">
        <v>46</v>
      </c>
      <c r="Y52" s="53" t="s">
        <v>84</v>
      </c>
      <c r="Z52" s="53" t="s">
        <v>90</v>
      </c>
      <c r="AA52" s="53" t="s">
        <v>69</v>
      </c>
      <c r="AB52" s="53" t="s">
        <v>241</v>
      </c>
    </row>
    <row r="53" spans="1:28" x14ac:dyDescent="0.15">
      <c r="A53" s="53" t="s">
        <v>34</v>
      </c>
      <c r="B53" s="53" t="s">
        <v>237</v>
      </c>
      <c r="C53" s="53">
        <v>2019</v>
      </c>
      <c r="D53" s="188" t="s">
        <v>373</v>
      </c>
      <c r="E53" s="53" t="s">
        <v>364</v>
      </c>
      <c r="F53" s="53" t="s">
        <v>376</v>
      </c>
      <c r="G53" s="53" t="s">
        <v>36</v>
      </c>
      <c r="H53" s="53" t="s">
        <v>163</v>
      </c>
      <c r="I53" s="53" t="s">
        <v>159</v>
      </c>
      <c r="J53" s="53" t="s">
        <v>38</v>
      </c>
      <c r="K53" s="53" t="s">
        <v>160</v>
      </c>
      <c r="L53" s="53">
        <v>1</v>
      </c>
      <c r="N53" s="53">
        <v>1</v>
      </c>
      <c r="O53" s="53">
        <v>0.2</v>
      </c>
      <c r="P53" s="53">
        <v>0.2</v>
      </c>
      <c r="Q53" s="74">
        <f t="shared" si="0"/>
        <v>0.2</v>
      </c>
      <c r="R53" s="53">
        <v>14.8</v>
      </c>
      <c r="S53" s="53">
        <v>112</v>
      </c>
      <c r="T53" s="16">
        <f t="shared" si="1"/>
        <v>33</v>
      </c>
      <c r="U53" s="53">
        <v>105</v>
      </c>
      <c r="V53" s="16">
        <f t="shared" si="2"/>
        <v>3465</v>
      </c>
      <c r="W53" s="53">
        <v>1</v>
      </c>
      <c r="X53" s="53" t="s">
        <v>46</v>
      </c>
      <c r="Y53" s="53" t="s">
        <v>84</v>
      </c>
      <c r="Z53" s="53" t="s">
        <v>69</v>
      </c>
      <c r="AA53" s="53" t="s">
        <v>90</v>
      </c>
      <c r="AB53" s="53" t="s">
        <v>241</v>
      </c>
    </row>
    <row r="54" spans="1:28" x14ac:dyDescent="0.15">
      <c r="A54" s="53" t="s">
        <v>34</v>
      </c>
      <c r="B54" s="53" t="s">
        <v>237</v>
      </c>
      <c r="C54" s="53">
        <v>2019</v>
      </c>
      <c r="D54" s="188" t="s">
        <v>373</v>
      </c>
      <c r="E54" s="53" t="s">
        <v>364</v>
      </c>
      <c r="F54" s="53" t="s">
        <v>376</v>
      </c>
      <c r="G54" s="53" t="s">
        <v>36</v>
      </c>
      <c r="H54" s="53" t="s">
        <v>163</v>
      </c>
      <c r="I54" s="53" t="s">
        <v>159</v>
      </c>
      <c r="J54" s="53" t="s">
        <v>38</v>
      </c>
      <c r="K54" s="53" t="s">
        <v>160</v>
      </c>
      <c r="L54" s="53">
        <v>2</v>
      </c>
      <c r="N54" s="53">
        <v>1</v>
      </c>
      <c r="O54" s="53">
        <v>0.6</v>
      </c>
      <c r="P54" s="53">
        <v>0.55000000000000004</v>
      </c>
      <c r="Q54" s="74">
        <f t="shared" si="0"/>
        <v>0.57499999999999996</v>
      </c>
      <c r="R54" s="53">
        <v>16.899999999999999</v>
      </c>
      <c r="S54" s="53">
        <v>114</v>
      </c>
      <c r="T54" s="16">
        <f t="shared" si="1"/>
        <v>30</v>
      </c>
      <c r="U54" s="53">
        <v>105</v>
      </c>
      <c r="V54" s="16">
        <f t="shared" si="2"/>
        <v>3150</v>
      </c>
      <c r="W54" s="53">
        <v>1</v>
      </c>
      <c r="X54" s="53" t="s">
        <v>46</v>
      </c>
      <c r="Y54" s="53" t="s">
        <v>84</v>
      </c>
      <c r="Z54" s="53" t="s">
        <v>69</v>
      </c>
      <c r="AA54" s="53" t="s">
        <v>90</v>
      </c>
      <c r="AB54" s="53" t="s">
        <v>241</v>
      </c>
    </row>
    <row r="55" spans="1:28" x14ac:dyDescent="0.15">
      <c r="A55" s="53" t="s">
        <v>34</v>
      </c>
      <c r="B55" s="53" t="s">
        <v>237</v>
      </c>
      <c r="C55" s="53">
        <v>2019</v>
      </c>
      <c r="D55" s="188" t="s">
        <v>373</v>
      </c>
      <c r="E55" s="53" t="s">
        <v>364</v>
      </c>
      <c r="F55" s="53" t="s">
        <v>376</v>
      </c>
      <c r="G55" s="53" t="s">
        <v>36</v>
      </c>
      <c r="H55" s="53" t="s">
        <v>163</v>
      </c>
      <c r="I55" s="53" t="s">
        <v>159</v>
      </c>
      <c r="J55" s="53" t="s">
        <v>38</v>
      </c>
      <c r="K55" s="53" t="s">
        <v>160</v>
      </c>
      <c r="L55" s="53">
        <v>3</v>
      </c>
      <c r="N55" s="53">
        <v>1</v>
      </c>
      <c r="O55" s="53">
        <v>0.9</v>
      </c>
      <c r="P55" s="53">
        <v>0.95</v>
      </c>
      <c r="Q55" s="74">
        <f t="shared" si="0"/>
        <v>0.92500000000000004</v>
      </c>
      <c r="R55" s="53">
        <v>11.6</v>
      </c>
      <c r="S55" s="53">
        <v>110</v>
      </c>
      <c r="T55" s="16">
        <f t="shared" si="1"/>
        <v>33</v>
      </c>
      <c r="U55" s="53">
        <v>105</v>
      </c>
      <c r="V55" s="16">
        <f t="shared" si="2"/>
        <v>3465</v>
      </c>
      <c r="W55" s="53">
        <v>1</v>
      </c>
      <c r="X55" s="53" t="s">
        <v>46</v>
      </c>
      <c r="Y55" s="53" t="s">
        <v>84</v>
      </c>
      <c r="Z55" s="53" t="s">
        <v>69</v>
      </c>
      <c r="AA55" s="53" t="s">
        <v>90</v>
      </c>
      <c r="AB55" s="53" t="s">
        <v>241</v>
      </c>
    </row>
    <row r="56" spans="1:28" x14ac:dyDescent="0.15">
      <c r="A56" s="53" t="s">
        <v>34</v>
      </c>
      <c r="B56" s="53" t="s">
        <v>237</v>
      </c>
      <c r="C56" s="53">
        <v>2019</v>
      </c>
      <c r="D56" s="188" t="s">
        <v>373</v>
      </c>
      <c r="E56" s="53" t="s">
        <v>383</v>
      </c>
      <c r="F56" s="53" t="s">
        <v>384</v>
      </c>
      <c r="G56" s="53" t="s">
        <v>36</v>
      </c>
      <c r="H56" s="53" t="s">
        <v>163</v>
      </c>
      <c r="I56" s="53" t="s">
        <v>159</v>
      </c>
      <c r="J56" s="53" t="s">
        <v>38</v>
      </c>
      <c r="K56" s="53" t="s">
        <v>160</v>
      </c>
      <c r="L56" s="53">
        <v>1</v>
      </c>
      <c r="N56" s="53">
        <v>1</v>
      </c>
      <c r="O56" s="53">
        <v>0.8</v>
      </c>
      <c r="P56" s="53">
        <v>0.75</v>
      </c>
      <c r="Q56" s="74">
        <f t="shared" si="0"/>
        <v>0.77500000000000002</v>
      </c>
      <c r="R56" s="53">
        <v>14</v>
      </c>
      <c r="S56" s="53">
        <v>74</v>
      </c>
      <c r="T56" s="16">
        <f t="shared" si="1"/>
        <v>42</v>
      </c>
      <c r="U56" s="53">
        <v>62</v>
      </c>
      <c r="V56" s="16">
        <f t="shared" si="2"/>
        <v>2604</v>
      </c>
      <c r="W56" s="53">
        <v>4</v>
      </c>
      <c r="X56" s="53" t="s">
        <v>46</v>
      </c>
      <c r="Y56" s="53" t="s">
        <v>90</v>
      </c>
      <c r="Z56" s="53" t="s">
        <v>84</v>
      </c>
      <c r="AA56" s="53" t="s">
        <v>69</v>
      </c>
      <c r="AB56" s="53" t="s">
        <v>241</v>
      </c>
    </row>
    <row r="57" spans="1:28" x14ac:dyDescent="0.15">
      <c r="A57" s="53" t="s">
        <v>34</v>
      </c>
      <c r="B57" s="53" t="s">
        <v>237</v>
      </c>
      <c r="C57" s="53">
        <v>2019</v>
      </c>
      <c r="D57" s="188" t="s">
        <v>373</v>
      </c>
      <c r="E57" s="53" t="s">
        <v>383</v>
      </c>
      <c r="F57" s="53" t="s">
        <v>384</v>
      </c>
      <c r="G57" s="53" t="s">
        <v>36</v>
      </c>
      <c r="H57" s="53" t="s">
        <v>163</v>
      </c>
      <c r="I57" s="53" t="s">
        <v>159</v>
      </c>
      <c r="J57" s="53" t="s">
        <v>38</v>
      </c>
      <c r="K57" s="53" t="s">
        <v>160</v>
      </c>
      <c r="L57" s="53">
        <v>2</v>
      </c>
      <c r="N57" s="53">
        <v>1</v>
      </c>
      <c r="O57" s="53">
        <v>0.85</v>
      </c>
      <c r="P57" s="53">
        <v>0.6</v>
      </c>
      <c r="Q57" s="74">
        <f t="shared" si="0"/>
        <v>0.72499999999999998</v>
      </c>
      <c r="R57" s="53">
        <v>14.2</v>
      </c>
      <c r="S57" s="53">
        <v>74</v>
      </c>
      <c r="T57" s="16">
        <f t="shared" si="1"/>
        <v>42</v>
      </c>
      <c r="U57" s="53">
        <v>62</v>
      </c>
      <c r="V57" s="16">
        <f t="shared" si="2"/>
        <v>2604</v>
      </c>
      <c r="W57" s="53">
        <v>4</v>
      </c>
      <c r="X57" s="53" t="s">
        <v>46</v>
      </c>
      <c r="Y57" s="53" t="s">
        <v>90</v>
      </c>
      <c r="Z57" s="53" t="s">
        <v>84</v>
      </c>
      <c r="AA57" s="53" t="s">
        <v>69</v>
      </c>
      <c r="AB57" s="53" t="s">
        <v>241</v>
      </c>
    </row>
    <row r="58" spans="1:28" x14ac:dyDescent="0.15">
      <c r="A58" s="53" t="s">
        <v>34</v>
      </c>
      <c r="B58" s="53" t="s">
        <v>237</v>
      </c>
      <c r="C58" s="53">
        <v>2019</v>
      </c>
      <c r="D58" s="188" t="s">
        <v>373</v>
      </c>
      <c r="E58" s="53" t="s">
        <v>383</v>
      </c>
      <c r="F58" s="53" t="s">
        <v>384</v>
      </c>
      <c r="G58" s="53" t="s">
        <v>36</v>
      </c>
      <c r="H58" s="53" t="s">
        <v>163</v>
      </c>
      <c r="I58" s="53" t="s">
        <v>159</v>
      </c>
      <c r="J58" s="53" t="s">
        <v>38</v>
      </c>
      <c r="K58" s="53" t="s">
        <v>160</v>
      </c>
      <c r="L58" s="53">
        <v>3</v>
      </c>
      <c r="N58" s="53">
        <v>1</v>
      </c>
      <c r="O58" s="53">
        <v>0.6</v>
      </c>
      <c r="P58" s="53">
        <v>0.7</v>
      </c>
      <c r="Q58" s="74">
        <f t="shared" si="0"/>
        <v>0.64999999999999991</v>
      </c>
      <c r="R58" s="53">
        <v>13.7</v>
      </c>
      <c r="S58" s="53">
        <v>77</v>
      </c>
      <c r="T58" s="16">
        <f t="shared" si="1"/>
        <v>39</v>
      </c>
      <c r="U58" s="53">
        <v>62</v>
      </c>
      <c r="V58" s="16">
        <f t="shared" si="2"/>
        <v>2418</v>
      </c>
      <c r="W58" s="53">
        <v>4</v>
      </c>
      <c r="X58" s="53" t="s">
        <v>46</v>
      </c>
      <c r="Y58" s="53" t="s">
        <v>90</v>
      </c>
      <c r="Z58" s="53" t="s">
        <v>84</v>
      </c>
      <c r="AA58" s="53" t="s">
        <v>69</v>
      </c>
      <c r="AB58" s="53" t="s">
        <v>241</v>
      </c>
    </row>
    <row r="59" spans="1:28" x14ac:dyDescent="0.15">
      <c r="A59" s="53" t="s">
        <v>34</v>
      </c>
      <c r="B59" s="53" t="s">
        <v>237</v>
      </c>
      <c r="C59" s="53">
        <v>2019</v>
      </c>
      <c r="D59" s="188" t="s">
        <v>373</v>
      </c>
      <c r="E59" s="53" t="s">
        <v>383</v>
      </c>
      <c r="F59" s="53" t="s">
        <v>384</v>
      </c>
      <c r="G59" s="53" t="s">
        <v>36</v>
      </c>
      <c r="H59" s="53" t="s">
        <v>163</v>
      </c>
      <c r="I59" s="53" t="s">
        <v>159</v>
      </c>
      <c r="J59" s="53" t="s">
        <v>38</v>
      </c>
      <c r="K59" s="53" t="s">
        <v>160</v>
      </c>
      <c r="L59" s="53">
        <v>1</v>
      </c>
      <c r="N59" s="53">
        <v>8</v>
      </c>
      <c r="O59" s="53">
        <v>0.2</v>
      </c>
      <c r="P59" s="53">
        <v>0.2</v>
      </c>
      <c r="Q59" s="74">
        <f t="shared" si="0"/>
        <v>0.2</v>
      </c>
      <c r="R59" s="53">
        <v>11.6</v>
      </c>
      <c r="S59" s="53">
        <v>73</v>
      </c>
      <c r="T59" s="16">
        <f t="shared" si="1"/>
        <v>42</v>
      </c>
      <c r="U59" s="53">
        <v>321</v>
      </c>
      <c r="V59" s="16">
        <f t="shared" si="2"/>
        <v>1685.25</v>
      </c>
      <c r="W59" s="53">
        <v>4</v>
      </c>
      <c r="X59" s="53" t="s">
        <v>46</v>
      </c>
      <c r="Y59" s="53" t="s">
        <v>90</v>
      </c>
      <c r="Z59" s="53" t="s">
        <v>84</v>
      </c>
      <c r="AA59" s="53" t="s">
        <v>69</v>
      </c>
      <c r="AB59" s="53" t="s">
        <v>241</v>
      </c>
    </row>
    <row r="60" spans="1:28" x14ac:dyDescent="0.15">
      <c r="A60" s="53" t="s">
        <v>34</v>
      </c>
      <c r="B60" s="53" t="s">
        <v>237</v>
      </c>
      <c r="C60" s="53">
        <v>2019</v>
      </c>
      <c r="D60" s="188" t="s">
        <v>373</v>
      </c>
      <c r="E60" s="53" t="s">
        <v>383</v>
      </c>
      <c r="F60" s="53" t="s">
        <v>384</v>
      </c>
      <c r="G60" s="53" t="s">
        <v>36</v>
      </c>
      <c r="H60" s="53" t="s">
        <v>163</v>
      </c>
      <c r="I60" s="53" t="s">
        <v>159</v>
      </c>
      <c r="J60" s="53" t="s">
        <v>38</v>
      </c>
      <c r="K60" s="53" t="s">
        <v>160</v>
      </c>
      <c r="L60" s="53">
        <v>2</v>
      </c>
      <c r="N60" s="53">
        <v>8</v>
      </c>
      <c r="O60" s="53">
        <v>0.75</v>
      </c>
      <c r="P60" s="53">
        <v>0.85</v>
      </c>
      <c r="Q60" s="74">
        <f t="shared" si="0"/>
        <v>0.8</v>
      </c>
      <c r="R60" s="53">
        <v>12.9</v>
      </c>
      <c r="S60" s="53">
        <v>71</v>
      </c>
      <c r="T60" s="16">
        <f t="shared" si="1"/>
        <v>42</v>
      </c>
      <c r="U60" s="53">
        <v>321</v>
      </c>
      <c r="V60" s="16">
        <f t="shared" si="2"/>
        <v>1685.25</v>
      </c>
      <c r="W60" s="53">
        <v>4</v>
      </c>
      <c r="X60" s="53" t="s">
        <v>46</v>
      </c>
      <c r="Y60" s="53" t="s">
        <v>90</v>
      </c>
      <c r="Z60" s="53" t="s">
        <v>84</v>
      </c>
      <c r="AA60" s="53" t="s">
        <v>69</v>
      </c>
      <c r="AB60" s="53" t="s">
        <v>241</v>
      </c>
    </row>
    <row r="61" spans="1:28" x14ac:dyDescent="0.15">
      <c r="A61" s="53" t="s">
        <v>34</v>
      </c>
      <c r="B61" s="53" t="s">
        <v>237</v>
      </c>
      <c r="C61" s="53">
        <v>2019</v>
      </c>
      <c r="D61" s="188" t="s">
        <v>373</v>
      </c>
      <c r="E61" s="53" t="s">
        <v>383</v>
      </c>
      <c r="F61" s="53" t="s">
        <v>384</v>
      </c>
      <c r="G61" s="53" t="s">
        <v>36</v>
      </c>
      <c r="H61" s="53" t="s">
        <v>163</v>
      </c>
      <c r="I61" s="53" t="s">
        <v>159</v>
      </c>
      <c r="J61" s="53" t="s">
        <v>38</v>
      </c>
      <c r="K61" s="53" t="s">
        <v>160</v>
      </c>
      <c r="L61" s="53">
        <v>3</v>
      </c>
      <c r="N61" s="53">
        <v>8</v>
      </c>
      <c r="O61" s="53">
        <v>0.75</v>
      </c>
      <c r="P61" s="53">
        <v>0.7</v>
      </c>
      <c r="Q61" s="74">
        <f t="shared" si="0"/>
        <v>0.72499999999999998</v>
      </c>
      <c r="R61" s="53">
        <v>12.9</v>
      </c>
      <c r="S61" s="53">
        <v>71</v>
      </c>
      <c r="T61" s="16">
        <f t="shared" si="1"/>
        <v>42</v>
      </c>
      <c r="U61" s="53">
        <v>321</v>
      </c>
      <c r="V61" s="16">
        <f t="shared" si="2"/>
        <v>1685.25</v>
      </c>
      <c r="W61" s="53">
        <v>4</v>
      </c>
      <c r="X61" s="53" t="s">
        <v>46</v>
      </c>
      <c r="Y61" s="53" t="s">
        <v>90</v>
      </c>
      <c r="Z61" s="53" t="s">
        <v>84</v>
      </c>
      <c r="AA61" s="53" t="s">
        <v>69</v>
      </c>
      <c r="AB61" s="53" t="s">
        <v>241</v>
      </c>
    </row>
    <row r="62" spans="1:28" x14ac:dyDescent="0.15">
      <c r="A62" s="53" t="s">
        <v>34</v>
      </c>
      <c r="B62" s="53" t="s">
        <v>237</v>
      </c>
      <c r="C62" s="53">
        <v>2019</v>
      </c>
      <c r="D62" s="188" t="s">
        <v>373</v>
      </c>
      <c r="E62" s="53" t="s">
        <v>385</v>
      </c>
      <c r="F62" s="53" t="s">
        <v>386</v>
      </c>
      <c r="G62" s="53" t="s">
        <v>36</v>
      </c>
      <c r="H62" s="53" t="s">
        <v>163</v>
      </c>
      <c r="I62" s="53" t="s">
        <v>159</v>
      </c>
      <c r="J62" s="53" t="s">
        <v>38</v>
      </c>
      <c r="K62" s="53" t="s">
        <v>160</v>
      </c>
      <c r="L62" s="53">
        <v>1</v>
      </c>
      <c r="N62" s="53">
        <v>1</v>
      </c>
      <c r="O62" s="53">
        <v>0.55000000000000004</v>
      </c>
      <c r="P62" s="53">
        <v>0.65</v>
      </c>
      <c r="Q62" s="74">
        <f t="shared" si="0"/>
        <v>0.60000000000000009</v>
      </c>
      <c r="R62" s="53">
        <v>13.8</v>
      </c>
      <c r="S62" s="53">
        <v>110</v>
      </c>
      <c r="T62" s="16">
        <f t="shared" si="1"/>
        <v>33</v>
      </c>
      <c r="U62" s="53">
        <v>105</v>
      </c>
      <c r="V62" s="16">
        <f t="shared" si="2"/>
        <v>3465</v>
      </c>
      <c r="W62" s="53">
        <v>4</v>
      </c>
      <c r="X62" s="53" t="s">
        <v>46</v>
      </c>
      <c r="Y62" s="53" t="s">
        <v>84</v>
      </c>
      <c r="Z62" s="53" t="s">
        <v>90</v>
      </c>
      <c r="AA62" s="53" t="s">
        <v>69</v>
      </c>
      <c r="AB62" s="53" t="s">
        <v>241</v>
      </c>
    </row>
    <row r="63" spans="1:28" x14ac:dyDescent="0.15">
      <c r="A63" s="53" t="s">
        <v>34</v>
      </c>
      <c r="B63" s="53" t="s">
        <v>237</v>
      </c>
      <c r="C63" s="53">
        <v>2019</v>
      </c>
      <c r="D63" s="188" t="s">
        <v>373</v>
      </c>
      <c r="E63" s="53" t="s">
        <v>385</v>
      </c>
      <c r="F63" s="53" t="s">
        <v>386</v>
      </c>
      <c r="G63" s="53" t="s">
        <v>36</v>
      </c>
      <c r="H63" s="53" t="s">
        <v>163</v>
      </c>
      <c r="I63" s="53" t="s">
        <v>159</v>
      </c>
      <c r="J63" s="53" t="s">
        <v>38</v>
      </c>
      <c r="K63" s="53" t="s">
        <v>160</v>
      </c>
      <c r="L63" s="53">
        <v>2</v>
      </c>
      <c r="N63" s="53">
        <v>1</v>
      </c>
      <c r="O63" s="53">
        <v>0.65</v>
      </c>
      <c r="P63" s="53">
        <v>0.7</v>
      </c>
      <c r="Q63" s="74">
        <f t="shared" si="0"/>
        <v>0.67500000000000004</v>
      </c>
      <c r="R63" s="53">
        <v>13.9</v>
      </c>
      <c r="S63" s="53">
        <v>116</v>
      </c>
      <c r="T63" s="16">
        <f t="shared" si="1"/>
        <v>30</v>
      </c>
      <c r="U63" s="53">
        <v>105</v>
      </c>
      <c r="V63" s="16">
        <f t="shared" si="2"/>
        <v>3150</v>
      </c>
      <c r="W63" s="53">
        <v>4</v>
      </c>
      <c r="X63" s="53" t="s">
        <v>46</v>
      </c>
      <c r="Y63" s="53" t="s">
        <v>84</v>
      </c>
      <c r="Z63" s="53" t="s">
        <v>90</v>
      </c>
      <c r="AA63" s="53" t="s">
        <v>69</v>
      </c>
      <c r="AB63" s="53" t="s">
        <v>241</v>
      </c>
    </row>
    <row r="64" spans="1:28" x14ac:dyDescent="0.15">
      <c r="A64" s="53" t="s">
        <v>34</v>
      </c>
      <c r="B64" s="53" t="s">
        <v>237</v>
      </c>
      <c r="C64" s="53">
        <v>2019</v>
      </c>
      <c r="D64" s="188" t="s">
        <v>373</v>
      </c>
      <c r="E64" s="53" t="s">
        <v>385</v>
      </c>
      <c r="F64" s="53" t="s">
        <v>386</v>
      </c>
      <c r="G64" s="53" t="s">
        <v>36</v>
      </c>
      <c r="H64" s="53" t="s">
        <v>163</v>
      </c>
      <c r="I64" s="53" t="s">
        <v>159</v>
      </c>
      <c r="J64" s="53" t="s">
        <v>38</v>
      </c>
      <c r="K64" s="53" t="s">
        <v>160</v>
      </c>
      <c r="L64" s="53">
        <v>3</v>
      </c>
      <c r="N64" s="53">
        <v>1</v>
      </c>
      <c r="O64" s="53">
        <v>0.9</v>
      </c>
      <c r="P64" s="53">
        <v>0.75</v>
      </c>
      <c r="Q64" s="74">
        <f t="shared" si="0"/>
        <v>0.82499999999999996</v>
      </c>
      <c r="R64" s="53">
        <v>14.6</v>
      </c>
      <c r="S64" s="53">
        <v>110</v>
      </c>
      <c r="T64" s="16">
        <f t="shared" si="1"/>
        <v>33</v>
      </c>
      <c r="U64" s="53">
        <v>105</v>
      </c>
      <c r="V64" s="16">
        <f t="shared" si="2"/>
        <v>3465</v>
      </c>
      <c r="W64" s="53">
        <v>4</v>
      </c>
      <c r="X64" s="53" t="s">
        <v>46</v>
      </c>
      <c r="Y64" s="53" t="s">
        <v>84</v>
      </c>
      <c r="Z64" s="53" t="s">
        <v>90</v>
      </c>
      <c r="AA64" s="53" t="s">
        <v>69</v>
      </c>
      <c r="AB64" s="53" t="s">
        <v>241</v>
      </c>
    </row>
    <row r="65" spans="1:28" x14ac:dyDescent="0.15">
      <c r="A65" s="53" t="s">
        <v>34</v>
      </c>
      <c r="B65" s="53" t="s">
        <v>237</v>
      </c>
      <c r="C65" s="53">
        <v>2019</v>
      </c>
      <c r="D65" s="188" t="s">
        <v>373</v>
      </c>
      <c r="E65" s="53" t="s">
        <v>385</v>
      </c>
      <c r="F65" s="53" t="s">
        <v>386</v>
      </c>
      <c r="G65" s="53" t="s">
        <v>36</v>
      </c>
      <c r="H65" s="53" t="s">
        <v>163</v>
      </c>
      <c r="I65" s="53" t="s">
        <v>159</v>
      </c>
      <c r="J65" s="53" t="s">
        <v>38</v>
      </c>
      <c r="K65" s="53" t="s">
        <v>160</v>
      </c>
      <c r="L65" s="53">
        <v>1</v>
      </c>
      <c r="N65" s="53">
        <v>5</v>
      </c>
      <c r="O65" s="53">
        <v>0.45</v>
      </c>
      <c r="P65" s="53">
        <v>0.45</v>
      </c>
      <c r="Q65" s="74">
        <f t="shared" si="0"/>
        <v>0.45</v>
      </c>
      <c r="R65" s="53">
        <v>12.8</v>
      </c>
      <c r="S65" s="53">
        <v>110</v>
      </c>
      <c r="T65" s="16">
        <f t="shared" si="1"/>
        <v>33</v>
      </c>
      <c r="U65" s="53">
        <v>410</v>
      </c>
      <c r="V65" s="16">
        <f t="shared" si="2"/>
        <v>2706</v>
      </c>
      <c r="W65" s="53">
        <v>4</v>
      </c>
      <c r="X65" s="53" t="s">
        <v>46</v>
      </c>
      <c r="Y65" s="53" t="s">
        <v>84</v>
      </c>
      <c r="Z65" s="53" t="s">
        <v>90</v>
      </c>
      <c r="AA65" s="53" t="s">
        <v>69</v>
      </c>
      <c r="AB65" s="53" t="s">
        <v>241</v>
      </c>
    </row>
    <row r="66" spans="1:28" x14ac:dyDescent="0.15">
      <c r="A66" s="53" t="s">
        <v>34</v>
      </c>
      <c r="B66" s="53" t="s">
        <v>237</v>
      </c>
      <c r="C66" s="53">
        <v>2019</v>
      </c>
      <c r="D66" s="188" t="s">
        <v>373</v>
      </c>
      <c r="E66" s="53" t="s">
        <v>385</v>
      </c>
      <c r="F66" s="53" t="s">
        <v>386</v>
      </c>
      <c r="G66" s="53" t="s">
        <v>36</v>
      </c>
      <c r="H66" s="53" t="s">
        <v>163</v>
      </c>
      <c r="I66" s="53" t="s">
        <v>159</v>
      </c>
      <c r="J66" s="53" t="s">
        <v>38</v>
      </c>
      <c r="K66" s="53" t="s">
        <v>160</v>
      </c>
      <c r="L66" s="53">
        <v>2</v>
      </c>
      <c r="N66" s="53">
        <v>5</v>
      </c>
      <c r="O66" s="53">
        <v>0.2</v>
      </c>
      <c r="P66" s="53">
        <v>0.52</v>
      </c>
      <c r="Q66" s="74">
        <f t="shared" ref="Q66:Q79" si="5">IF(OR(O66="",P66=""),"",AVERAGE(O66,P66))</f>
        <v>0.36</v>
      </c>
      <c r="R66" s="53">
        <v>13.9</v>
      </c>
      <c r="S66" s="53">
        <v>97</v>
      </c>
      <c r="T66" s="16">
        <f t="shared" ref="T66:T79" si="6">IF(H66="","",IF(OR(H66="GREEN",H66="GK"),IF(S66&gt;=$AX$2,VLOOKUP(S66,$AX$2:$AY$9,2,1),""),IF(S66&gt;=$AZ$2,VLOOKUP(S66,$AZ$2:$BA$9,2,1),"")))</f>
        <v>36</v>
      </c>
      <c r="U66" s="53">
        <v>410</v>
      </c>
      <c r="V66" s="16">
        <f t="shared" ref="V66:V79" si="7">IF(OR(N66="",U66="",T66=""),"",U66/N66*T66)</f>
        <v>2952</v>
      </c>
      <c r="W66" s="53">
        <v>4</v>
      </c>
      <c r="X66" s="53" t="s">
        <v>46</v>
      </c>
      <c r="Y66" s="53" t="s">
        <v>84</v>
      </c>
      <c r="Z66" s="53" t="s">
        <v>90</v>
      </c>
      <c r="AA66" s="53" t="s">
        <v>69</v>
      </c>
      <c r="AB66" s="53" t="s">
        <v>241</v>
      </c>
    </row>
    <row r="67" spans="1:28" x14ac:dyDescent="0.15">
      <c r="A67" s="53" t="s">
        <v>34</v>
      </c>
      <c r="B67" s="53" t="s">
        <v>237</v>
      </c>
      <c r="C67" s="53">
        <v>2019</v>
      </c>
      <c r="D67" s="188" t="s">
        <v>373</v>
      </c>
      <c r="E67" s="53" t="s">
        <v>385</v>
      </c>
      <c r="F67" s="53" t="s">
        <v>386</v>
      </c>
      <c r="G67" s="53" t="s">
        <v>36</v>
      </c>
      <c r="H67" s="53" t="s">
        <v>163</v>
      </c>
      <c r="I67" s="53" t="s">
        <v>159</v>
      </c>
      <c r="J67" s="53" t="s">
        <v>38</v>
      </c>
      <c r="K67" s="53" t="s">
        <v>160</v>
      </c>
      <c r="L67" s="53">
        <v>3</v>
      </c>
      <c r="N67" s="53">
        <v>5</v>
      </c>
      <c r="O67" s="53">
        <v>0.6</v>
      </c>
      <c r="P67" s="53">
        <v>0.6</v>
      </c>
      <c r="Q67" s="74">
        <f t="shared" si="5"/>
        <v>0.6</v>
      </c>
      <c r="R67" s="53">
        <v>13.7</v>
      </c>
      <c r="S67" s="53">
        <v>108</v>
      </c>
      <c r="T67" s="16">
        <f t="shared" si="6"/>
        <v>33</v>
      </c>
      <c r="U67" s="53">
        <v>410</v>
      </c>
      <c r="V67" s="16">
        <f t="shared" si="7"/>
        <v>2706</v>
      </c>
      <c r="W67" s="53">
        <v>4</v>
      </c>
      <c r="X67" s="53" t="s">
        <v>46</v>
      </c>
      <c r="Y67" s="53" t="s">
        <v>84</v>
      </c>
      <c r="Z67" s="53" t="s">
        <v>90</v>
      </c>
      <c r="AA67" s="53" t="s">
        <v>69</v>
      </c>
      <c r="AB67" s="53" t="s">
        <v>241</v>
      </c>
    </row>
    <row r="68" spans="1:28" x14ac:dyDescent="0.15">
      <c r="A68" s="53" t="s">
        <v>34</v>
      </c>
      <c r="B68" s="53" t="s">
        <v>237</v>
      </c>
      <c r="C68" s="53">
        <v>2019</v>
      </c>
      <c r="D68" s="188" t="s">
        <v>373</v>
      </c>
      <c r="E68" s="53" t="s">
        <v>385</v>
      </c>
      <c r="F68" s="53" t="s">
        <v>386</v>
      </c>
      <c r="G68" s="53" t="s">
        <v>36</v>
      </c>
      <c r="H68" s="53" t="s">
        <v>203</v>
      </c>
      <c r="I68" s="53" t="s">
        <v>159</v>
      </c>
      <c r="J68" s="53" t="s">
        <v>38</v>
      </c>
      <c r="K68" s="53" t="s">
        <v>54</v>
      </c>
      <c r="L68" s="53">
        <v>1</v>
      </c>
      <c r="N68" s="53">
        <v>1</v>
      </c>
      <c r="O68" s="53">
        <v>0.55000000000000004</v>
      </c>
      <c r="P68" s="53">
        <v>0.7</v>
      </c>
      <c r="Q68" s="74">
        <f t="shared" si="5"/>
        <v>0.625</v>
      </c>
      <c r="R68" s="53">
        <v>15.3</v>
      </c>
      <c r="S68" s="53">
        <v>102</v>
      </c>
      <c r="T68" s="16">
        <f t="shared" si="6"/>
        <v>33</v>
      </c>
      <c r="U68" s="53">
        <v>170</v>
      </c>
      <c r="V68" s="16">
        <f t="shared" si="7"/>
        <v>5610</v>
      </c>
      <c r="W68" s="53">
        <v>1</v>
      </c>
      <c r="X68" s="53" t="s">
        <v>46</v>
      </c>
      <c r="Y68" s="53" t="s">
        <v>84</v>
      </c>
      <c r="Z68" s="53" t="s">
        <v>90</v>
      </c>
      <c r="AA68" s="53" t="s">
        <v>69</v>
      </c>
      <c r="AB68" s="53" t="s">
        <v>241</v>
      </c>
    </row>
    <row r="69" spans="1:28" x14ac:dyDescent="0.15">
      <c r="A69" s="53" t="s">
        <v>34</v>
      </c>
      <c r="B69" s="53" t="s">
        <v>237</v>
      </c>
      <c r="C69" s="53">
        <v>2019</v>
      </c>
      <c r="D69" s="188" t="s">
        <v>373</v>
      </c>
      <c r="E69" s="53" t="s">
        <v>385</v>
      </c>
      <c r="F69" s="53" t="s">
        <v>386</v>
      </c>
      <c r="G69" s="53" t="s">
        <v>36</v>
      </c>
      <c r="H69" s="53" t="s">
        <v>203</v>
      </c>
      <c r="I69" s="53" t="s">
        <v>159</v>
      </c>
      <c r="J69" s="53" t="s">
        <v>38</v>
      </c>
      <c r="K69" s="53" t="s">
        <v>54</v>
      </c>
      <c r="L69" s="53">
        <v>2</v>
      </c>
      <c r="N69" s="53">
        <v>1</v>
      </c>
      <c r="O69" s="53">
        <v>0.65</v>
      </c>
      <c r="P69" s="53">
        <v>0.65</v>
      </c>
      <c r="Q69" s="74">
        <f t="shared" si="5"/>
        <v>0.65</v>
      </c>
      <c r="R69" s="53">
        <v>15.4</v>
      </c>
      <c r="S69" s="53">
        <v>99</v>
      </c>
      <c r="T69" s="16">
        <f t="shared" si="6"/>
        <v>33</v>
      </c>
      <c r="U69" s="53">
        <v>170</v>
      </c>
      <c r="V69" s="16">
        <f t="shared" si="7"/>
        <v>5610</v>
      </c>
      <c r="W69" s="53">
        <v>1</v>
      </c>
      <c r="X69" s="53" t="s">
        <v>46</v>
      </c>
      <c r="Y69" s="53" t="s">
        <v>84</v>
      </c>
      <c r="Z69" s="53" t="s">
        <v>90</v>
      </c>
      <c r="AA69" s="53" t="s">
        <v>69</v>
      </c>
      <c r="AB69" s="53" t="s">
        <v>241</v>
      </c>
    </row>
    <row r="70" spans="1:28" x14ac:dyDescent="0.15">
      <c r="A70" s="53" t="s">
        <v>34</v>
      </c>
      <c r="B70" s="53" t="s">
        <v>237</v>
      </c>
      <c r="C70" s="53">
        <v>2019</v>
      </c>
      <c r="D70" s="188" t="s">
        <v>373</v>
      </c>
      <c r="E70" s="53" t="s">
        <v>385</v>
      </c>
      <c r="F70" s="53" t="s">
        <v>386</v>
      </c>
      <c r="G70" s="53" t="s">
        <v>36</v>
      </c>
      <c r="H70" s="53" t="s">
        <v>203</v>
      </c>
      <c r="I70" s="53" t="s">
        <v>159</v>
      </c>
      <c r="J70" s="53" t="s">
        <v>38</v>
      </c>
      <c r="K70" s="53" t="s">
        <v>54</v>
      </c>
      <c r="L70" s="53">
        <v>3</v>
      </c>
      <c r="N70" s="53">
        <v>1</v>
      </c>
      <c r="O70" s="53">
        <v>0.45</v>
      </c>
      <c r="P70" s="53">
        <v>0.5</v>
      </c>
      <c r="Q70" s="74">
        <f t="shared" si="5"/>
        <v>0.47499999999999998</v>
      </c>
      <c r="R70" s="53">
        <v>9.4</v>
      </c>
      <c r="S70" s="53">
        <v>100</v>
      </c>
      <c r="T70" s="16">
        <f t="shared" si="6"/>
        <v>33</v>
      </c>
      <c r="U70" s="53">
        <v>170</v>
      </c>
      <c r="V70" s="16">
        <f t="shared" si="7"/>
        <v>5610</v>
      </c>
      <c r="W70" s="53">
        <v>1</v>
      </c>
      <c r="X70" s="53" t="s">
        <v>46</v>
      </c>
      <c r="Y70" s="53" t="s">
        <v>84</v>
      </c>
      <c r="Z70" s="53" t="s">
        <v>90</v>
      </c>
      <c r="AA70" s="53" t="s">
        <v>69</v>
      </c>
      <c r="AB70" s="53" t="s">
        <v>241</v>
      </c>
    </row>
    <row r="71" spans="1:28" x14ac:dyDescent="0.15">
      <c r="A71" s="53" t="s">
        <v>34</v>
      </c>
      <c r="B71" s="53" t="s">
        <v>237</v>
      </c>
      <c r="C71" s="53">
        <v>2019</v>
      </c>
      <c r="D71" s="188" t="s">
        <v>373</v>
      </c>
      <c r="E71" s="53" t="s">
        <v>274</v>
      </c>
      <c r="F71" s="53" t="s">
        <v>387</v>
      </c>
      <c r="G71" s="53" t="s">
        <v>36</v>
      </c>
      <c r="H71" s="53" t="s">
        <v>127</v>
      </c>
      <c r="I71" s="53" t="s">
        <v>159</v>
      </c>
      <c r="J71" s="53" t="s">
        <v>80</v>
      </c>
      <c r="K71" s="53" t="s">
        <v>63</v>
      </c>
      <c r="L71" s="53">
        <v>1</v>
      </c>
      <c r="N71" s="53">
        <v>4</v>
      </c>
      <c r="O71" s="53">
        <v>0.7</v>
      </c>
      <c r="P71" s="53">
        <v>0.6</v>
      </c>
      <c r="Q71" s="74">
        <f t="shared" si="5"/>
        <v>0.64999999999999991</v>
      </c>
      <c r="R71" s="53">
        <v>14.5</v>
      </c>
      <c r="S71" s="53">
        <v>98</v>
      </c>
      <c r="T71" s="16">
        <f t="shared" si="6"/>
        <v>36</v>
      </c>
      <c r="U71" s="53">
        <v>429</v>
      </c>
      <c r="V71" s="16">
        <f t="shared" si="7"/>
        <v>3861</v>
      </c>
      <c r="W71" s="53">
        <v>2</v>
      </c>
      <c r="X71" s="53" t="s">
        <v>46</v>
      </c>
      <c r="Y71" s="53" t="s">
        <v>84</v>
      </c>
      <c r="Z71" s="53" t="s">
        <v>90</v>
      </c>
      <c r="AA71" s="53" t="s">
        <v>69</v>
      </c>
      <c r="AB71" s="53" t="s">
        <v>241</v>
      </c>
    </row>
    <row r="72" spans="1:28" x14ac:dyDescent="0.15">
      <c r="A72" s="53" t="s">
        <v>34</v>
      </c>
      <c r="B72" s="53" t="s">
        <v>237</v>
      </c>
      <c r="C72" s="53">
        <v>2019</v>
      </c>
      <c r="D72" s="188" t="s">
        <v>373</v>
      </c>
      <c r="E72" s="53" t="s">
        <v>274</v>
      </c>
      <c r="F72" s="53" t="s">
        <v>387</v>
      </c>
      <c r="G72" s="53" t="s">
        <v>36</v>
      </c>
      <c r="H72" s="53" t="s">
        <v>127</v>
      </c>
      <c r="I72" s="53" t="s">
        <v>159</v>
      </c>
      <c r="J72" s="53" t="s">
        <v>80</v>
      </c>
      <c r="K72" s="53" t="s">
        <v>63</v>
      </c>
      <c r="L72" s="53">
        <v>2</v>
      </c>
      <c r="N72" s="53">
        <v>4</v>
      </c>
      <c r="O72" s="53">
        <v>0.55000000000000004</v>
      </c>
      <c r="P72" s="53">
        <v>0.45</v>
      </c>
      <c r="Q72" s="74">
        <f t="shared" si="5"/>
        <v>0.5</v>
      </c>
      <c r="R72" s="53">
        <v>14.3</v>
      </c>
      <c r="S72" s="53">
        <v>82</v>
      </c>
      <c r="T72" s="16">
        <f t="shared" si="6"/>
        <v>39</v>
      </c>
      <c r="U72" s="53">
        <v>429</v>
      </c>
      <c r="V72" s="16">
        <f t="shared" si="7"/>
        <v>4182.75</v>
      </c>
      <c r="W72" s="53">
        <v>2</v>
      </c>
      <c r="X72" s="53" t="s">
        <v>46</v>
      </c>
      <c r="Y72" s="53" t="s">
        <v>84</v>
      </c>
      <c r="Z72" s="53" t="s">
        <v>90</v>
      </c>
      <c r="AA72" s="53" t="s">
        <v>69</v>
      </c>
      <c r="AB72" s="53" t="s">
        <v>241</v>
      </c>
    </row>
    <row r="73" spans="1:28" x14ac:dyDescent="0.15">
      <c r="A73" s="53" t="s">
        <v>34</v>
      </c>
      <c r="B73" s="53" t="s">
        <v>237</v>
      </c>
      <c r="C73" s="53">
        <v>2019</v>
      </c>
      <c r="D73" s="188" t="s">
        <v>373</v>
      </c>
      <c r="E73" s="53" t="s">
        <v>274</v>
      </c>
      <c r="F73" s="53" t="s">
        <v>387</v>
      </c>
      <c r="G73" s="53" t="s">
        <v>36</v>
      </c>
      <c r="H73" s="53" t="s">
        <v>127</v>
      </c>
      <c r="I73" s="53" t="s">
        <v>159</v>
      </c>
      <c r="J73" s="53" t="s">
        <v>80</v>
      </c>
      <c r="K73" s="53" t="s">
        <v>63</v>
      </c>
      <c r="L73" s="53">
        <v>3</v>
      </c>
      <c r="N73" s="53">
        <v>4</v>
      </c>
      <c r="O73" s="53">
        <v>0.7</v>
      </c>
      <c r="P73" s="53">
        <v>0.5</v>
      </c>
      <c r="Q73" s="74">
        <f t="shared" si="5"/>
        <v>0.6</v>
      </c>
      <c r="R73" s="53">
        <v>14</v>
      </c>
      <c r="S73" s="53">
        <v>94</v>
      </c>
      <c r="T73" s="16">
        <f t="shared" si="6"/>
        <v>36</v>
      </c>
      <c r="U73" s="53">
        <v>429</v>
      </c>
      <c r="V73" s="16">
        <f t="shared" si="7"/>
        <v>3861</v>
      </c>
      <c r="W73" s="53">
        <v>2</v>
      </c>
      <c r="X73" s="53" t="s">
        <v>46</v>
      </c>
      <c r="Y73" s="53" t="s">
        <v>84</v>
      </c>
      <c r="Z73" s="53" t="s">
        <v>90</v>
      </c>
      <c r="AA73" s="53" t="s">
        <v>69</v>
      </c>
      <c r="AB73" s="53" t="s">
        <v>241</v>
      </c>
    </row>
    <row r="74" spans="1:28" x14ac:dyDescent="0.15">
      <c r="A74" s="53" t="s">
        <v>34</v>
      </c>
      <c r="B74" s="53" t="s">
        <v>237</v>
      </c>
      <c r="C74" s="53">
        <v>2019</v>
      </c>
      <c r="D74" s="188" t="s">
        <v>373</v>
      </c>
      <c r="E74" s="53" t="s">
        <v>274</v>
      </c>
      <c r="F74" s="53" t="s">
        <v>387</v>
      </c>
      <c r="G74" s="53" t="s">
        <v>36</v>
      </c>
      <c r="H74" s="53" t="s">
        <v>163</v>
      </c>
      <c r="I74" s="53" t="s">
        <v>159</v>
      </c>
      <c r="J74" s="53" t="s">
        <v>38</v>
      </c>
      <c r="K74" s="53" t="s">
        <v>160</v>
      </c>
      <c r="L74" s="53">
        <v>3</v>
      </c>
      <c r="N74" s="53">
        <v>7</v>
      </c>
      <c r="O74" s="53">
        <v>0.45</v>
      </c>
      <c r="P74" s="53">
        <v>0.55000000000000004</v>
      </c>
      <c r="Q74" s="74">
        <f t="shared" si="5"/>
        <v>0.5</v>
      </c>
      <c r="R74" s="53">
        <v>13.3</v>
      </c>
      <c r="S74" s="53">
        <v>90</v>
      </c>
      <c r="T74" s="16">
        <f t="shared" si="6"/>
        <v>36</v>
      </c>
      <c r="U74" s="53">
        <v>429</v>
      </c>
      <c r="V74" s="16">
        <f t="shared" si="7"/>
        <v>2206.2857142857142</v>
      </c>
      <c r="W74" s="53">
        <v>2</v>
      </c>
      <c r="X74" s="53" t="s">
        <v>46</v>
      </c>
      <c r="Y74" s="53" t="s">
        <v>84</v>
      </c>
      <c r="Z74" s="53" t="s">
        <v>90</v>
      </c>
      <c r="AA74" s="53" t="s">
        <v>69</v>
      </c>
      <c r="AB74" s="53" t="s">
        <v>241</v>
      </c>
    </row>
    <row r="75" spans="1:28" x14ac:dyDescent="0.15">
      <c r="A75" s="53" t="s">
        <v>34</v>
      </c>
      <c r="B75" s="53" t="s">
        <v>237</v>
      </c>
      <c r="C75" s="53">
        <v>2019</v>
      </c>
      <c r="D75" s="188" t="s">
        <v>373</v>
      </c>
      <c r="E75" s="53" t="s">
        <v>274</v>
      </c>
      <c r="F75" s="53" t="s">
        <v>387</v>
      </c>
      <c r="G75" s="53" t="s">
        <v>36</v>
      </c>
      <c r="H75" s="53" t="s">
        <v>163</v>
      </c>
      <c r="I75" s="53" t="s">
        <v>159</v>
      </c>
      <c r="J75" s="53" t="s">
        <v>38</v>
      </c>
      <c r="K75" s="53" t="s">
        <v>160</v>
      </c>
      <c r="L75" s="53">
        <v>3</v>
      </c>
      <c r="N75" s="53">
        <v>7</v>
      </c>
      <c r="O75" s="53">
        <v>0.2</v>
      </c>
      <c r="P75" s="53">
        <v>0.2</v>
      </c>
      <c r="Q75" s="74">
        <f t="shared" si="5"/>
        <v>0.2</v>
      </c>
      <c r="R75" s="53">
        <v>13.9</v>
      </c>
      <c r="S75" s="53">
        <v>91</v>
      </c>
      <c r="T75" s="16">
        <f t="shared" si="6"/>
        <v>36</v>
      </c>
      <c r="U75" s="53">
        <v>429</v>
      </c>
      <c r="V75" s="16">
        <f t="shared" si="7"/>
        <v>2206.2857142857142</v>
      </c>
      <c r="W75" s="53">
        <v>2</v>
      </c>
      <c r="X75" s="53" t="s">
        <v>46</v>
      </c>
      <c r="Y75" s="53" t="s">
        <v>84</v>
      </c>
      <c r="Z75" s="53" t="s">
        <v>90</v>
      </c>
      <c r="AA75" s="53" t="s">
        <v>69</v>
      </c>
      <c r="AB75" s="53" t="s">
        <v>241</v>
      </c>
    </row>
    <row r="76" spans="1:28" x14ac:dyDescent="0.15">
      <c r="A76" s="53" t="s">
        <v>34</v>
      </c>
      <c r="B76" s="53" t="s">
        <v>237</v>
      </c>
      <c r="C76" s="53">
        <v>2019</v>
      </c>
      <c r="D76" s="188" t="s">
        <v>373</v>
      </c>
      <c r="E76" s="53" t="s">
        <v>274</v>
      </c>
      <c r="F76" s="53" t="s">
        <v>387</v>
      </c>
      <c r="G76" s="53" t="s">
        <v>36</v>
      </c>
      <c r="H76" s="53" t="s">
        <v>163</v>
      </c>
      <c r="I76" s="53" t="s">
        <v>159</v>
      </c>
      <c r="J76" s="53" t="s">
        <v>38</v>
      </c>
      <c r="K76" s="53" t="s">
        <v>160</v>
      </c>
      <c r="L76" s="53">
        <v>3</v>
      </c>
      <c r="N76" s="53">
        <v>7</v>
      </c>
      <c r="O76" s="53">
        <v>0.7</v>
      </c>
      <c r="P76" s="53">
        <v>0.65</v>
      </c>
      <c r="Q76" s="74">
        <f t="shared" si="5"/>
        <v>0.67500000000000004</v>
      </c>
      <c r="R76" s="53">
        <v>13.2</v>
      </c>
      <c r="S76" s="53">
        <v>90</v>
      </c>
      <c r="T76" s="16">
        <f t="shared" si="6"/>
        <v>36</v>
      </c>
      <c r="U76" s="53">
        <v>429</v>
      </c>
      <c r="V76" s="16">
        <f t="shared" si="7"/>
        <v>2206.2857142857142</v>
      </c>
      <c r="W76" s="53">
        <v>2</v>
      </c>
      <c r="X76" s="53" t="s">
        <v>46</v>
      </c>
      <c r="Y76" s="53" t="s">
        <v>84</v>
      </c>
      <c r="Z76" s="53" t="s">
        <v>90</v>
      </c>
      <c r="AA76" s="53" t="s">
        <v>69</v>
      </c>
      <c r="AB76" s="53" t="s">
        <v>241</v>
      </c>
    </row>
    <row r="77" spans="1:28" x14ac:dyDescent="0.15">
      <c r="A77" s="53" t="s">
        <v>34</v>
      </c>
      <c r="B77" s="53" t="s">
        <v>237</v>
      </c>
      <c r="C77" s="53">
        <v>2019</v>
      </c>
      <c r="D77" s="188" t="s">
        <v>373</v>
      </c>
      <c r="E77" s="53" t="s">
        <v>274</v>
      </c>
      <c r="F77" s="53" t="s">
        <v>387</v>
      </c>
      <c r="G77" s="53" t="s">
        <v>36</v>
      </c>
      <c r="H77" s="53" t="s">
        <v>203</v>
      </c>
      <c r="I77" s="53" t="s">
        <v>159</v>
      </c>
      <c r="J77" s="53" t="s">
        <v>38</v>
      </c>
      <c r="K77" s="53" t="s">
        <v>54</v>
      </c>
      <c r="L77" s="53">
        <v>3</v>
      </c>
      <c r="N77" s="53">
        <v>4</v>
      </c>
      <c r="O77" s="53">
        <v>0.45</v>
      </c>
      <c r="P77" s="53">
        <v>0.2</v>
      </c>
      <c r="Q77" s="74">
        <f t="shared" si="5"/>
        <v>0.32500000000000001</v>
      </c>
      <c r="R77" s="53">
        <v>13.4</v>
      </c>
      <c r="S77" s="53">
        <v>67</v>
      </c>
      <c r="T77" s="16">
        <f t="shared" si="6"/>
        <v>50</v>
      </c>
      <c r="U77" s="53">
        <v>538</v>
      </c>
      <c r="V77" s="16">
        <f t="shared" si="7"/>
        <v>6725</v>
      </c>
      <c r="W77" s="53">
        <v>1</v>
      </c>
      <c r="X77" s="53" t="s">
        <v>46</v>
      </c>
      <c r="Y77" s="53" t="s">
        <v>84</v>
      </c>
      <c r="Z77" s="53" t="s">
        <v>90</v>
      </c>
      <c r="AA77" s="53" t="s">
        <v>69</v>
      </c>
      <c r="AB77" s="53" t="s">
        <v>241</v>
      </c>
    </row>
    <row r="78" spans="1:28" x14ac:dyDescent="0.15">
      <c r="A78" s="53" t="s">
        <v>34</v>
      </c>
      <c r="B78" s="53" t="s">
        <v>237</v>
      </c>
      <c r="C78" s="53">
        <v>2019</v>
      </c>
      <c r="D78" s="188" t="s">
        <v>373</v>
      </c>
      <c r="E78" s="53" t="s">
        <v>274</v>
      </c>
      <c r="F78" s="53" t="s">
        <v>387</v>
      </c>
      <c r="G78" s="53" t="s">
        <v>36</v>
      </c>
      <c r="H78" s="53" t="s">
        <v>203</v>
      </c>
      <c r="I78" s="53" t="s">
        <v>159</v>
      </c>
      <c r="J78" s="53" t="s">
        <v>38</v>
      </c>
      <c r="K78" s="53" t="s">
        <v>54</v>
      </c>
      <c r="L78" s="53">
        <v>3</v>
      </c>
      <c r="N78" s="53">
        <v>4</v>
      </c>
      <c r="O78" s="53">
        <v>0.2</v>
      </c>
      <c r="P78" s="53">
        <v>0.2</v>
      </c>
      <c r="Q78" s="74">
        <f t="shared" si="5"/>
        <v>0.2</v>
      </c>
      <c r="R78" s="53">
        <v>10.8</v>
      </c>
      <c r="S78" s="53">
        <v>73</v>
      </c>
      <c r="T78" s="16">
        <f t="shared" si="6"/>
        <v>42</v>
      </c>
      <c r="U78" s="53">
        <v>538</v>
      </c>
      <c r="V78" s="16">
        <f t="shared" si="7"/>
        <v>5649</v>
      </c>
      <c r="W78" s="53">
        <v>1</v>
      </c>
      <c r="X78" s="53" t="s">
        <v>46</v>
      </c>
      <c r="Y78" s="53" t="s">
        <v>84</v>
      </c>
      <c r="Z78" s="53" t="s">
        <v>90</v>
      </c>
      <c r="AA78" s="53" t="s">
        <v>69</v>
      </c>
      <c r="AB78" s="53" t="s">
        <v>241</v>
      </c>
    </row>
    <row r="79" spans="1:28" x14ac:dyDescent="0.15">
      <c r="A79" s="53" t="s">
        <v>34</v>
      </c>
      <c r="B79" s="53" t="s">
        <v>237</v>
      </c>
      <c r="C79" s="53">
        <v>2019</v>
      </c>
      <c r="D79" s="188" t="s">
        <v>373</v>
      </c>
      <c r="E79" s="53" t="s">
        <v>274</v>
      </c>
      <c r="F79" s="53" t="s">
        <v>387</v>
      </c>
      <c r="G79" s="53" t="s">
        <v>36</v>
      </c>
      <c r="H79" s="53" t="s">
        <v>203</v>
      </c>
      <c r="I79" s="53" t="s">
        <v>159</v>
      </c>
      <c r="J79" s="53" t="s">
        <v>38</v>
      </c>
      <c r="K79" s="53" t="s">
        <v>54</v>
      </c>
      <c r="L79" s="53">
        <v>3</v>
      </c>
      <c r="N79" s="53">
        <v>4</v>
      </c>
      <c r="O79" s="53">
        <v>0.2</v>
      </c>
      <c r="P79" s="53">
        <v>0.2</v>
      </c>
      <c r="Q79" s="74">
        <f t="shared" si="5"/>
        <v>0.2</v>
      </c>
      <c r="R79" s="53">
        <v>15</v>
      </c>
      <c r="S79" s="53">
        <v>66</v>
      </c>
      <c r="T79" s="16">
        <f t="shared" si="6"/>
        <v>50</v>
      </c>
      <c r="U79" s="53">
        <v>538</v>
      </c>
      <c r="V79" s="16">
        <f t="shared" si="7"/>
        <v>6725</v>
      </c>
      <c r="W79" s="53">
        <v>1</v>
      </c>
      <c r="X79" s="53" t="s">
        <v>46</v>
      </c>
      <c r="Y79" s="53" t="s">
        <v>84</v>
      </c>
      <c r="Z79" s="53" t="s">
        <v>90</v>
      </c>
      <c r="AA79" s="53" t="s">
        <v>69</v>
      </c>
      <c r="AB79" s="53" t="s">
        <v>241</v>
      </c>
    </row>
    <row r="80" spans="1:28" x14ac:dyDescent="0.15">
      <c r="D80" s="188"/>
      <c r="Q80" s="74"/>
    </row>
    <row r="81" spans="4:17" x14ac:dyDescent="0.15">
      <c r="D81" s="188"/>
      <c r="Q81" s="74"/>
    </row>
    <row r="82" spans="4:17" x14ac:dyDescent="0.15">
      <c r="D82" s="188"/>
      <c r="Q82" s="74"/>
    </row>
    <row r="83" spans="4:17" x14ac:dyDescent="0.15">
      <c r="D83" s="188"/>
      <c r="Q83" s="74"/>
    </row>
    <row r="84" spans="4:17" x14ac:dyDescent="0.15">
      <c r="D84" s="188"/>
    </row>
    <row r="85" spans="4:17" x14ac:dyDescent="0.15">
      <c r="D85" s="188"/>
    </row>
    <row r="86" spans="4:17" x14ac:dyDescent="0.15">
      <c r="D86" s="188"/>
    </row>
    <row r="87" spans="4:17" x14ac:dyDescent="0.15">
      <c r="D87" s="188"/>
    </row>
    <row r="88" spans="4:17" x14ac:dyDescent="0.15">
      <c r="D88" s="188"/>
    </row>
    <row r="89" spans="4:17" x14ac:dyDescent="0.15">
      <c r="D89" s="188"/>
    </row>
    <row r="90" spans="4:17" x14ac:dyDescent="0.15">
      <c r="D90" s="188"/>
    </row>
    <row r="91" spans="4:17" x14ac:dyDescent="0.15">
      <c r="D91" s="188"/>
    </row>
    <row r="92" spans="4:17" x14ac:dyDescent="0.15">
      <c r="D92" s="188"/>
    </row>
    <row r="93" spans="4:17" x14ac:dyDescent="0.15">
      <c r="D93" s="188"/>
    </row>
    <row r="94" spans="4:17" x14ac:dyDescent="0.15">
      <c r="D94" s="188"/>
    </row>
    <row r="95" spans="4:17" x14ac:dyDescent="0.15">
      <c r="D95" s="188"/>
    </row>
    <row r="96" spans="4:17" x14ac:dyDescent="0.15">
      <c r="D96" s="188"/>
    </row>
    <row r="97" spans="4:4" x14ac:dyDescent="0.15">
      <c r="D97" s="188"/>
    </row>
    <row r="98" spans="4:4" x14ac:dyDescent="0.15">
      <c r="D98" s="188"/>
    </row>
    <row r="99" spans="4:4" x14ac:dyDescent="0.15">
      <c r="D99" s="188"/>
    </row>
    <row r="100" spans="4:4" x14ac:dyDescent="0.15">
      <c r="D100" s="188"/>
    </row>
    <row r="101" spans="4:4" x14ac:dyDescent="0.15">
      <c r="D101" s="188"/>
    </row>
    <row r="102" spans="4:4" x14ac:dyDescent="0.15">
      <c r="D102" s="188"/>
    </row>
    <row r="103" spans="4:4" x14ac:dyDescent="0.15">
      <c r="D103" s="188"/>
    </row>
    <row r="104" spans="4:4" x14ac:dyDescent="0.15">
      <c r="D104" s="188"/>
    </row>
    <row r="105" spans="4:4" x14ac:dyDescent="0.15">
      <c r="D105" s="188"/>
    </row>
    <row r="106" spans="4:4" x14ac:dyDescent="0.15">
      <c r="D106" s="188"/>
    </row>
    <row r="107" spans="4:4" x14ac:dyDescent="0.15">
      <c r="D107" s="188"/>
    </row>
    <row r="108" spans="4:4" x14ac:dyDescent="0.15">
      <c r="D108" s="188"/>
    </row>
    <row r="109" spans="4:4" x14ac:dyDescent="0.15">
      <c r="D109" s="188"/>
    </row>
    <row r="110" spans="4:4" x14ac:dyDescent="0.15">
      <c r="D110" s="188"/>
    </row>
    <row r="111" spans="4:4" x14ac:dyDescent="0.15">
      <c r="D111" s="188"/>
    </row>
    <row r="112" spans="4:4" x14ac:dyDescent="0.15">
      <c r="D112" s="188"/>
    </row>
    <row r="113" spans="4:4" x14ac:dyDescent="0.15">
      <c r="D113" s="188"/>
    </row>
    <row r="114" spans="4:4" x14ac:dyDescent="0.15">
      <c r="D114" s="188"/>
    </row>
    <row r="115" spans="4:4" x14ac:dyDescent="0.15">
      <c r="D115" s="188"/>
    </row>
    <row r="116" spans="4:4" x14ac:dyDescent="0.15">
      <c r="D116" s="188"/>
    </row>
    <row r="117" spans="4:4" x14ac:dyDescent="0.15">
      <c r="D117" s="188"/>
    </row>
    <row r="118" spans="4:4" x14ac:dyDescent="0.15">
      <c r="D118" s="188"/>
    </row>
    <row r="119" spans="4:4" x14ac:dyDescent="0.15">
      <c r="D119" s="188"/>
    </row>
    <row r="120" spans="4:4" x14ac:dyDescent="0.15">
      <c r="D120" s="188"/>
    </row>
    <row r="121" spans="4:4" x14ac:dyDescent="0.15">
      <c r="D121" s="188"/>
    </row>
    <row r="122" spans="4:4" x14ac:dyDescent="0.15">
      <c r="D122" s="188"/>
    </row>
    <row r="123" spans="4:4" x14ac:dyDescent="0.15">
      <c r="D123" s="188"/>
    </row>
    <row r="124" spans="4:4" x14ac:dyDescent="0.15">
      <c r="D124" s="188"/>
    </row>
    <row r="125" spans="4:4" x14ac:dyDescent="0.15">
      <c r="D125" s="188"/>
    </row>
    <row r="126" spans="4:4" x14ac:dyDescent="0.15">
      <c r="D126" s="188"/>
    </row>
    <row r="127" spans="4:4" x14ac:dyDescent="0.15">
      <c r="D127" s="188"/>
    </row>
    <row r="128" spans="4:4" x14ac:dyDescent="0.15">
      <c r="D128" s="188"/>
    </row>
    <row r="129" spans="4:4" x14ac:dyDescent="0.15">
      <c r="D129" s="188"/>
    </row>
    <row r="130" spans="4:4" x14ac:dyDescent="0.15">
      <c r="D130" s="188"/>
    </row>
    <row r="131" spans="4:4" x14ac:dyDescent="0.15">
      <c r="D131" s="188"/>
    </row>
    <row r="132" spans="4:4" x14ac:dyDescent="0.15">
      <c r="D132" s="188"/>
    </row>
    <row r="133" spans="4:4" x14ac:dyDescent="0.15">
      <c r="D133" s="188"/>
    </row>
    <row r="134" spans="4:4" x14ac:dyDescent="0.15">
      <c r="D134" s="188"/>
    </row>
    <row r="135" spans="4:4" x14ac:dyDescent="0.15">
      <c r="D135" s="188"/>
    </row>
    <row r="136" spans="4:4" x14ac:dyDescent="0.15">
      <c r="D136" s="188"/>
    </row>
    <row r="137" spans="4:4" x14ac:dyDescent="0.15">
      <c r="D137" s="188"/>
    </row>
    <row r="138" spans="4:4" x14ac:dyDescent="0.15">
      <c r="D138" s="188"/>
    </row>
    <row r="139" spans="4:4" x14ac:dyDescent="0.15">
      <c r="D139" s="188"/>
    </row>
    <row r="140" spans="4:4" x14ac:dyDescent="0.15">
      <c r="D140" s="188"/>
    </row>
    <row r="141" spans="4:4" x14ac:dyDescent="0.15">
      <c r="D141" s="188"/>
    </row>
    <row r="142" spans="4:4" x14ac:dyDescent="0.15">
      <c r="D142" s="188"/>
    </row>
    <row r="143" spans="4:4" x14ac:dyDescent="0.15">
      <c r="D143" s="188"/>
    </row>
    <row r="144" spans="4:4" x14ac:dyDescent="0.15">
      <c r="D144" s="188"/>
    </row>
    <row r="145" spans="4:4" x14ac:dyDescent="0.15">
      <c r="D145" s="188"/>
    </row>
    <row r="146" spans="4:4" x14ac:dyDescent="0.15">
      <c r="D146" s="188"/>
    </row>
    <row r="147" spans="4:4" x14ac:dyDescent="0.15">
      <c r="D147" s="188"/>
    </row>
    <row r="148" spans="4:4" x14ac:dyDescent="0.15">
      <c r="D148" s="188"/>
    </row>
    <row r="149" spans="4:4" x14ac:dyDescent="0.15">
      <c r="D149" s="188"/>
    </row>
  </sheetData>
  <autoFilter ref="A1:BA149" xr:uid="{00000000-0009-0000-0000-000000000000}"/>
  <phoneticPr fontId="3"/>
  <dataValidations count="12">
    <dataValidation type="list" allowBlank="1" showInputMessage="1" showErrorMessage="1" sqref="F2:F469" xr:uid="{576C21F3-465A-4A04-98DD-BB725C9ED556}">
      <formula1>$AH$2:$AH$11</formula1>
    </dataValidation>
    <dataValidation type="list" allowBlank="1" showInputMessage="1" showErrorMessage="1" sqref="E2:E469" xr:uid="{48FEB056-9C9D-4EB2-A2F5-5E1DD72F7F41}">
      <formula1>$AG$2:$AG$11</formula1>
    </dataValidation>
    <dataValidation type="list" allowBlank="1" showInputMessage="1" showErrorMessage="1" sqref="K2:K781" xr:uid="{99974132-6F23-4C08-ADFD-587A48D2114E}">
      <formula1>$AR$2:$AR$23</formula1>
    </dataValidation>
    <dataValidation operator="equal" allowBlank="1" showInputMessage="1" showErrorMessage="1" sqref="B2:B149" xr:uid="{8262D4FF-A29C-4852-A825-95DCD60B7040}"/>
    <dataValidation type="list" allowBlank="1" showInputMessage="1" showErrorMessage="1" sqref="A2:A468" xr:uid="{355CF5EB-4E2A-4C2C-BCEB-C064C5E77492}">
      <formula1>$AE$2:$AE$19</formula1>
    </dataValidation>
    <dataValidation type="list" allowBlank="1" showInputMessage="1" showErrorMessage="1" sqref="Y2:AA469" xr:uid="{C993D558-B880-4463-B622-30B5A75EC4A1}">
      <formula1>$AV$2:$AV$21</formula1>
    </dataValidation>
    <dataValidation type="list" allowBlank="1" showInputMessage="1" showErrorMessage="1" sqref="H2:H469" xr:uid="{2DFF4126-4A9C-4EB1-A9DE-D2C83B93210D}">
      <formula1>$AL$2:$AL$8</formula1>
    </dataValidation>
    <dataValidation type="list" allowBlank="1" showInputMessage="1" showErrorMessage="1" sqref="X2:X469" xr:uid="{44DE8FE2-D60A-451C-9B36-617BE610CCAC}">
      <formula1>$AT$2:$AT$3</formula1>
    </dataValidation>
    <dataValidation type="list" allowBlank="1" showInputMessage="1" showErrorMessage="1" sqref="G2:G469" xr:uid="{355C9EAB-EDFD-4101-8E23-90AA572565C4}">
      <formula1>$AJ$2:$AJ$4</formula1>
    </dataValidation>
    <dataValidation type="list" allowBlank="1" showInputMessage="1" showErrorMessage="1" sqref="I2:I469" xr:uid="{AC370839-CF98-49A8-BF95-6E4642FF15A6}">
      <formula1>$AN$5:$AN$6</formula1>
    </dataValidation>
    <dataValidation type="list" allowBlank="1" showInputMessage="1" showErrorMessage="1" sqref="J2:J469" xr:uid="{8629EB53-3B3B-4D8B-AE13-C7AA51B6B6E0}">
      <formula1>$AP$2:$AP$24</formula1>
    </dataValidation>
    <dataValidation type="decimal" allowBlank="1" showInputMessage="1" showErrorMessage="1" error="硬度を正しく入力して下さい。" sqref="O2:P49 O59:P469" xr:uid="{CB515E6F-7E7F-4BCF-8E89-2E09DD62B384}">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7C5E8AB-C121-40D6-A944-AD3E1EF5BA0B}"/>
</file>

<file path=customXml/itemProps2.xml><?xml version="1.0" encoding="utf-8"?>
<ds:datastoreItem xmlns:ds="http://schemas.openxmlformats.org/officeDocument/2006/customXml" ds:itemID="{B1087817-A28F-4DCD-95E9-2C9DFCCBDF2B}"/>
</file>

<file path=customXml/itemProps3.xml><?xml version="1.0" encoding="utf-8"?>
<ds:datastoreItem xmlns:ds="http://schemas.openxmlformats.org/officeDocument/2006/customXml" ds:itemID="{08E91261-418D-4092-BED3-8B339249C2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2020-01-06T01:22:47Z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