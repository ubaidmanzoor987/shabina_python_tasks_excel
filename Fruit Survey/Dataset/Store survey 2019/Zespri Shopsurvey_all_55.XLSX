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325"/>
  <workbookPr defaultThemeVersion="124226"/>
  <mc:AlternateContent xmlns:mc="http://schemas.openxmlformats.org/markup-compatibility/2006">
    <mc:Choice Requires="x15">
      <x15ac:absPath xmlns:x15ac="http://schemas.microsoft.com/office/spreadsheetml/2010/11/ac" url="\\192.168.11.200\000_全国共有\2-Zespri\品質調査\2019\55週\"/>
    </mc:Choice>
  </mc:AlternateContent>
  <xr:revisionPtr revIDLastSave="0" documentId="13_ncr:1_{6C3B5A41-CF2B-494A-9B56-06DD15D46DCB}" xr6:coauthVersionLast="45" xr6:coauthVersionMax="45" xr10:uidLastSave="{00000000-0000-0000-0000-000000000000}"/>
  <bookViews>
    <workbookView xWindow="-120" yWindow="-120" windowWidth="29040" windowHeight="15840" xr2:uid="{00000000-000D-0000-FFFF-FFFF00000000}"/>
  </bookViews>
  <sheets>
    <sheet name="sapporo" sheetId="17" r:id="rId1"/>
    <sheet name="miyagi" sheetId="18" r:id="rId2"/>
    <sheet name="nagoya" sheetId="19" r:id="rId3"/>
    <sheet name="osaka" sheetId="20" r:id="rId4"/>
    <sheet name="hiroshima" sheetId="21" r:id="rId5"/>
    <sheet name="fukuoka" sheetId="22" r:id="rId6"/>
    <sheet name="tokyo-east(ota)" sheetId="23" r:id="rId7"/>
    <sheet name="tokyo-west(konishi)" sheetId="24" r:id="rId8"/>
  </sheets>
  <definedNames>
    <definedName name="_xlnm._FilterDatabase" localSheetId="5" hidden="1">fukuoka!$A$1:$BA$112</definedName>
    <definedName name="_xlnm._FilterDatabase" localSheetId="4" hidden="1">hiroshima!$A$1:$BA$1</definedName>
    <definedName name="_xlnm._FilterDatabase" localSheetId="1" hidden="1">miyagi!$A$1:$BA$268</definedName>
    <definedName name="_xlnm._FilterDatabase" localSheetId="2" hidden="1">nagoya!$A$1:$BA$55</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'tokyo-west(konishi)'!$A$1:$BA$149</definedName>
    <definedName name="aaa" localSheetId="0">#REF!</definedName>
    <definedName name="aaa">#REF!</definedName>
    <definedName name="Brand" localSheetId="0">#REF!</definedName>
    <definedName name="Brand">#REF!</definedName>
    <definedName name="District" localSheetId="0">#REF!</definedName>
    <definedName name="District">#REF!</definedName>
    <definedName name="Fruit" localSheetId="0">#REF!</definedName>
    <definedName name="Fruit">#REF!</definedName>
    <definedName name="GoldSIZE" localSheetId="0">#REF!</definedName>
    <definedName name="GoldSIZE">#REF!</definedName>
    <definedName name="GreenSIZE" localSheetId="0">#REF!</definedName>
    <definedName name="GreenSIZE">#REF!</definedName>
    <definedName name="GrowingMethod" localSheetId="0">#REF!</definedName>
    <definedName name="GrowingMethod">#REF!</definedName>
    <definedName name="hiroshima">#REF!</definedName>
    <definedName name="kk">#REF!</definedName>
    <definedName name="ｌｌｌｌｌ">#REF!</definedName>
    <definedName name="miyagi">#REF!</definedName>
    <definedName name="miyagi2">#REF!</definedName>
    <definedName name="Origin" localSheetId="0">#REF!</definedName>
    <definedName name="Origin">#REF!</definedName>
    <definedName name="Shelf" localSheetId="0">#REF!</definedName>
    <definedName name="Shelf">#REF!</definedName>
    <definedName name="Shop" localSheetId="0">#REF!</definedName>
    <definedName name="Shop">#REF!</definedName>
    <definedName name="ShopName1" localSheetId="0">#REF!</definedName>
    <definedName name="ShopName1">#REF!</definedName>
    <definedName name="ShopName2" localSheetId="0">#REF!</definedName>
    <definedName name="ShopName2">#REF!</definedName>
    <definedName name="Variety" localSheetId="0">#REF!</definedName>
    <definedName name="Variety">#REF!</definedName>
    <definedName name="yaginuma">#REF!</definedName>
    <definedName name="検索店舗名" localSheetId="0">#REF!</definedName>
    <definedName name="検索店舗名">#REF!</definedName>
    <definedName name="栽培方法">#REF!</definedName>
    <definedName name="販売ユニット個数" localSheetId="0">#REF!</definedName>
    <definedName name="販売ユニット個数">#REF!</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T55" i="24" l="1"/>
  <c r="V55" i="24" s="1"/>
  <c r="Q55" i="24"/>
  <c r="T54" i="24"/>
  <c r="V54" i="24" s="1"/>
  <c r="Q54" i="24"/>
  <c r="T53" i="24"/>
  <c r="V53" i="24" s="1"/>
  <c r="Q53" i="24"/>
  <c r="T52" i="24"/>
  <c r="V52" i="24" s="1"/>
  <c r="Q52" i="24"/>
  <c r="T51" i="24"/>
  <c r="V51" i="24" s="1"/>
  <c r="Q51" i="24"/>
  <c r="T50" i="24"/>
  <c r="V50" i="24" s="1"/>
  <c r="Q50" i="24"/>
  <c r="T49" i="24"/>
  <c r="V49" i="24" s="1"/>
  <c r="Q49" i="24"/>
  <c r="T48" i="24"/>
  <c r="V48" i="24" s="1"/>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T91" i="23" l="1"/>
  <c r="V91" i="23" s="1"/>
  <c r="Q91" i="23"/>
  <c r="T90" i="23"/>
  <c r="V90" i="23" s="1"/>
  <c r="Q90" i="23"/>
  <c r="T89" i="23"/>
  <c r="V89" i="23" s="1"/>
  <c r="Q89" i="23"/>
  <c r="T88" i="23"/>
  <c r="V88" i="23" s="1"/>
  <c r="Q88" i="23"/>
  <c r="T87" i="23"/>
  <c r="V87" i="23" s="1"/>
  <c r="Q87" i="23"/>
  <c r="T86" i="23"/>
  <c r="V86" i="23" s="1"/>
  <c r="Q86" i="23"/>
  <c r="T85" i="23"/>
  <c r="V85" i="23" s="1"/>
  <c r="Q85" i="23"/>
  <c r="T84" i="23"/>
  <c r="V84" i="23" s="1"/>
  <c r="Q84" i="23"/>
  <c r="T83" i="23"/>
  <c r="V83" i="23" s="1"/>
  <c r="Q83" i="23"/>
  <c r="T82" i="23"/>
  <c r="V82" i="23" s="1"/>
  <c r="Q82" i="23"/>
  <c r="T81" i="23"/>
  <c r="V81" i="23" s="1"/>
  <c r="Q81" i="23"/>
  <c r="T80" i="23"/>
  <c r="V80" i="23" s="1"/>
  <c r="Q80" i="23"/>
  <c r="T79" i="23"/>
  <c r="V79" i="23" s="1"/>
  <c r="Q79" i="23"/>
  <c r="T78" i="23"/>
  <c r="V78" i="23" s="1"/>
  <c r="Q78" i="23"/>
  <c r="T77" i="23"/>
  <c r="V77" i="23" s="1"/>
  <c r="Q77" i="23"/>
  <c r="T76" i="23"/>
  <c r="V76" i="23" s="1"/>
  <c r="Q76" i="23"/>
  <c r="T75" i="23"/>
  <c r="V75" i="23" s="1"/>
  <c r="Q75" i="23"/>
  <c r="T74" i="23"/>
  <c r="V74" i="23" s="1"/>
  <c r="Q74" i="23"/>
  <c r="T73" i="23"/>
  <c r="V73" i="23" s="1"/>
  <c r="Q73" i="23"/>
  <c r="T72" i="23"/>
  <c r="V72" i="23" s="1"/>
  <c r="Q72" i="23"/>
  <c r="T71" i="23"/>
  <c r="V71" i="23" s="1"/>
  <c r="Q71" i="23"/>
  <c r="T70" i="23"/>
  <c r="V70" i="23" s="1"/>
  <c r="Q70" i="23"/>
  <c r="T69" i="23"/>
  <c r="V69" i="23" s="1"/>
  <c r="Q69" i="23"/>
  <c r="T68" i="23"/>
  <c r="V68" i="23" s="1"/>
  <c r="Q68" i="23"/>
  <c r="T67" i="23"/>
  <c r="V67" i="23" s="1"/>
  <c r="Q67" i="23"/>
  <c r="T66" i="23"/>
  <c r="V66" i="23" s="1"/>
  <c r="Q66" i="23"/>
  <c r="T65" i="23"/>
  <c r="V65" i="23" s="1"/>
  <c r="Q65" i="23"/>
  <c r="T64" i="23"/>
  <c r="V64" i="23" s="1"/>
  <c r="Q64" i="23"/>
  <c r="T63" i="23"/>
  <c r="V63" i="23" s="1"/>
  <c r="Q63" i="23"/>
  <c r="T62" i="23"/>
  <c r="V62" i="23" s="1"/>
  <c r="Q62" i="23"/>
  <c r="T43" i="23"/>
  <c r="V43" i="23" s="1"/>
  <c r="Q43" i="23"/>
  <c r="T42" i="23"/>
  <c r="V42" i="23" s="1"/>
  <c r="Q42" i="23"/>
  <c r="T41" i="23"/>
  <c r="V41" i="23" s="1"/>
  <c r="Q41" i="23"/>
  <c r="T31" i="23"/>
  <c r="V31" i="23" s="1"/>
  <c r="Q31" i="23"/>
  <c r="T30" i="23"/>
  <c r="V30" i="23" s="1"/>
  <c r="Q30" i="23"/>
  <c r="T29" i="23"/>
  <c r="V29" i="23" s="1"/>
  <c r="Q29" i="23"/>
  <c r="T28" i="23"/>
  <c r="V28" i="23" s="1"/>
  <c r="Q28" i="23"/>
  <c r="T27" i="23"/>
  <c r="V27" i="23" s="1"/>
  <c r="Q27" i="23"/>
  <c r="T26" i="23"/>
  <c r="V26" i="23" s="1"/>
  <c r="Q26" i="23"/>
  <c r="T25" i="23"/>
  <c r="V25" i="23" s="1"/>
  <c r="Q25" i="23"/>
  <c r="T24" i="23"/>
  <c r="V24" i="23" s="1"/>
  <c r="Q24" i="23"/>
  <c r="T23" i="23"/>
  <c r="V23" i="23" s="1"/>
  <c r="Q23" i="23"/>
  <c r="T22" i="23"/>
  <c r="V22" i="23" s="1"/>
  <c r="Q22" i="23"/>
  <c r="T21" i="23"/>
  <c r="V21" i="23" s="1"/>
  <c r="Q21" i="23"/>
  <c r="T20" i="23"/>
  <c r="V20" i="23" s="1"/>
  <c r="Q20" i="23"/>
  <c r="T19" i="23"/>
  <c r="V19" i="23" s="1"/>
  <c r="Q19" i="23"/>
  <c r="T18" i="23"/>
  <c r="V18" i="23" s="1"/>
  <c r="Q18" i="23"/>
  <c r="T17" i="23"/>
  <c r="V17" i="23" s="1"/>
  <c r="Q17" i="23"/>
  <c r="T16" i="23"/>
  <c r="V16" i="23" s="1"/>
  <c r="Q16" i="23"/>
  <c r="T15" i="23"/>
  <c r="V15" i="23" s="1"/>
  <c r="Q15" i="23"/>
  <c r="T14" i="23"/>
  <c r="V14" i="23" s="1"/>
  <c r="Q14" i="23"/>
  <c r="T13" i="23"/>
  <c r="V13" i="23" s="1"/>
  <c r="Q13" i="23"/>
  <c r="T12" i="23"/>
  <c r="V12" i="23" s="1"/>
  <c r="Q12" i="23"/>
  <c r="T11" i="23"/>
  <c r="V11" i="23" s="1"/>
  <c r="Q11" i="23"/>
  <c r="T10" i="23"/>
  <c r="V10" i="23" s="1"/>
  <c r="Q10" i="23"/>
  <c r="T9" i="23"/>
  <c r="V9" i="23" s="1"/>
  <c r="Q9" i="23"/>
  <c r="T8" i="23"/>
  <c r="V8" i="23" s="1"/>
  <c r="Q8" i="23"/>
  <c r="T7" i="23"/>
  <c r="V7" i="23" s="1"/>
  <c r="Q7" i="23"/>
  <c r="T6" i="23"/>
  <c r="V6" i="23" s="1"/>
  <c r="Q6" i="23"/>
  <c r="T5" i="23"/>
  <c r="V5" i="23" s="1"/>
  <c r="Q5" i="23"/>
  <c r="T4" i="23"/>
  <c r="V4" i="23" s="1"/>
  <c r="Q4" i="23"/>
  <c r="T3" i="23"/>
  <c r="V3" i="23" s="1"/>
  <c r="Q3" i="23"/>
  <c r="T2" i="23"/>
  <c r="V2" i="23" s="1"/>
  <c r="Q2" i="23"/>
  <c r="V112" i="22" l="1"/>
  <c r="T112" i="22"/>
  <c r="Q112" i="22"/>
  <c r="V111" i="22"/>
  <c r="T111" i="22"/>
  <c r="Q111" i="22"/>
  <c r="V110" i="22"/>
  <c r="T110" i="22"/>
  <c r="Q110" i="22"/>
  <c r="V109" i="22"/>
  <c r="T109" i="22"/>
  <c r="Q109" i="22"/>
  <c r="V108" i="22"/>
  <c r="T108" i="22"/>
  <c r="Q108" i="22"/>
  <c r="V107" i="22"/>
  <c r="T107" i="22"/>
  <c r="Q107" i="22"/>
  <c r="V106" i="22"/>
  <c r="T106" i="22"/>
  <c r="Q106" i="22"/>
  <c r="V105" i="22"/>
  <c r="T105" i="22"/>
  <c r="Q105" i="22"/>
  <c r="V104" i="22"/>
  <c r="T104" i="22"/>
  <c r="Q104" i="22"/>
  <c r="V103" i="22"/>
  <c r="T103" i="22"/>
  <c r="Q103" i="22"/>
  <c r="V102" i="22"/>
  <c r="T102" i="22"/>
  <c r="Q102" i="22"/>
  <c r="V101" i="22"/>
  <c r="T101" i="22"/>
  <c r="Q101" i="22"/>
  <c r="V100" i="22"/>
  <c r="T100" i="22"/>
  <c r="Q100" i="22"/>
  <c r="V99" i="22"/>
  <c r="T99" i="22"/>
  <c r="Q99" i="22"/>
  <c r="V98" i="22"/>
  <c r="T98" i="22"/>
  <c r="Q98" i="22"/>
  <c r="V97" i="22"/>
  <c r="T97" i="22"/>
  <c r="Q97" i="22"/>
  <c r="V96" i="22"/>
  <c r="T96" i="22"/>
  <c r="Q96" i="22"/>
  <c r="V95" i="22"/>
  <c r="T95" i="22"/>
  <c r="Q95" i="22"/>
  <c r="V94" i="22"/>
  <c r="T94" i="22"/>
  <c r="Q94" i="22"/>
  <c r="V93" i="22"/>
  <c r="T93" i="22"/>
  <c r="Q93" i="22"/>
  <c r="V92" i="22"/>
  <c r="T92" i="22"/>
  <c r="Q92" i="22"/>
  <c r="V91" i="22"/>
  <c r="T91" i="22"/>
  <c r="Q91" i="22"/>
  <c r="V90" i="22"/>
  <c r="T90" i="22"/>
  <c r="Q90" i="22"/>
  <c r="V89" i="22"/>
  <c r="T89" i="22"/>
  <c r="Q89" i="22"/>
  <c r="V88" i="22"/>
  <c r="T88" i="22"/>
  <c r="Q88" i="22"/>
  <c r="V87" i="22"/>
  <c r="T87" i="22"/>
  <c r="Q87" i="22"/>
  <c r="V86" i="22"/>
  <c r="T86" i="22"/>
  <c r="Q86" i="22"/>
  <c r="V85" i="22"/>
  <c r="T85" i="22"/>
  <c r="Q85" i="22"/>
  <c r="V84" i="22"/>
  <c r="T84" i="22"/>
  <c r="Q84" i="22"/>
  <c r="V83" i="22"/>
  <c r="T83" i="22"/>
  <c r="Q83" i="22"/>
  <c r="V82" i="22"/>
  <c r="T82" i="22"/>
  <c r="Q82" i="22"/>
  <c r="V81" i="22"/>
  <c r="T81" i="22"/>
  <c r="Q81" i="22"/>
  <c r="V80" i="22"/>
  <c r="T80" i="22"/>
  <c r="Q80" i="22"/>
  <c r="V79" i="22"/>
  <c r="T79" i="22"/>
  <c r="Q79" i="22"/>
  <c r="V78" i="22"/>
  <c r="T78" i="22"/>
  <c r="Q78" i="22"/>
  <c r="V77" i="22"/>
  <c r="T77" i="22"/>
  <c r="Q77" i="22"/>
  <c r="V76" i="22"/>
  <c r="T76" i="22"/>
  <c r="Q76" i="22"/>
  <c r="V75" i="22"/>
  <c r="T75" i="22"/>
  <c r="Q75" i="22"/>
  <c r="V74" i="22"/>
  <c r="T74" i="22"/>
  <c r="Q74" i="22"/>
  <c r="V73" i="22"/>
  <c r="T73" i="22"/>
  <c r="Q73" i="22"/>
  <c r="V72" i="22"/>
  <c r="T72" i="22"/>
  <c r="Q72" i="22"/>
  <c r="V71" i="22"/>
  <c r="T71" i="22"/>
  <c r="Q71" i="22"/>
  <c r="V70" i="22"/>
  <c r="T70" i="22"/>
  <c r="Q70" i="22"/>
  <c r="V69" i="22"/>
  <c r="T69" i="22"/>
  <c r="Q69" i="22"/>
  <c r="V68" i="22"/>
  <c r="T68" i="22"/>
  <c r="Q68" i="22"/>
  <c r="V67" i="22"/>
  <c r="T67" i="22"/>
  <c r="Q67" i="22"/>
  <c r="V66" i="22"/>
  <c r="T66" i="22"/>
  <c r="Q66" i="22"/>
  <c r="V65" i="22"/>
  <c r="T65" i="22"/>
  <c r="Q65" i="22"/>
  <c r="V64" i="22"/>
  <c r="T64" i="22"/>
  <c r="Q64" i="22"/>
  <c r="V63" i="22"/>
  <c r="T63" i="22"/>
  <c r="Q63" i="22"/>
  <c r="V62" i="22"/>
  <c r="T62" i="22"/>
  <c r="Q62" i="22"/>
  <c r="V61" i="22"/>
  <c r="T61" i="22"/>
  <c r="Q61" i="22"/>
  <c r="V43" i="22"/>
  <c r="T43" i="22"/>
  <c r="Q43" i="22"/>
  <c r="V42" i="22"/>
  <c r="T42" i="22"/>
  <c r="Q42" i="22"/>
  <c r="V41" i="22"/>
  <c r="T41" i="22"/>
  <c r="Q41" i="22"/>
  <c r="V40" i="22"/>
  <c r="T40" i="22"/>
  <c r="Q40" i="22"/>
  <c r="V39" i="22"/>
  <c r="T39" i="22"/>
  <c r="Q39" i="22"/>
  <c r="V38" i="22"/>
  <c r="T38" i="22"/>
  <c r="Q38" i="22"/>
  <c r="V37" i="22"/>
  <c r="T37" i="22"/>
  <c r="Q37" i="22"/>
  <c r="V36" i="22"/>
  <c r="T36" i="22"/>
  <c r="Q36" i="22"/>
  <c r="V35" i="22"/>
  <c r="T35" i="22"/>
  <c r="Q35" i="22"/>
  <c r="V34" i="22"/>
  <c r="T34" i="22"/>
  <c r="Q34" i="22"/>
  <c r="V33" i="22"/>
  <c r="T33" i="22"/>
  <c r="Q33" i="22"/>
  <c r="V32" i="22"/>
  <c r="T32" i="22"/>
  <c r="Q32" i="22"/>
  <c r="V31" i="22"/>
  <c r="T31" i="22"/>
  <c r="Q31" i="22"/>
  <c r="V30" i="22"/>
  <c r="T30" i="22"/>
  <c r="Q30" i="22"/>
  <c r="V29" i="22"/>
  <c r="T29" i="22"/>
  <c r="Q29" i="22"/>
  <c r="V28" i="22"/>
  <c r="T28" i="22"/>
  <c r="Q28" i="22"/>
  <c r="V27" i="22"/>
  <c r="T27" i="22"/>
  <c r="Q27" i="22"/>
  <c r="V26" i="22"/>
  <c r="T26" i="22"/>
  <c r="Q26" i="22"/>
  <c r="V25" i="22"/>
  <c r="T25" i="22"/>
  <c r="Q25" i="22"/>
  <c r="V24" i="22"/>
  <c r="T24" i="22"/>
  <c r="Q24" i="22"/>
  <c r="V23" i="22"/>
  <c r="T23" i="22"/>
  <c r="Q23" i="22"/>
  <c r="V22" i="22"/>
  <c r="T22" i="22"/>
  <c r="Q22" i="22"/>
  <c r="V21" i="22"/>
  <c r="T21" i="22"/>
  <c r="Q21" i="22"/>
  <c r="V20" i="22"/>
  <c r="T20" i="22"/>
  <c r="Q20" i="22"/>
  <c r="V19" i="22"/>
  <c r="T19" i="22"/>
  <c r="Q19" i="22"/>
  <c r="V18" i="22"/>
  <c r="T18" i="22"/>
  <c r="Q18" i="22"/>
  <c r="V17" i="22"/>
  <c r="T17" i="22"/>
  <c r="Q17" i="22"/>
  <c r="V16" i="22"/>
  <c r="T16" i="22"/>
  <c r="Q16" i="22"/>
  <c r="V15" i="22"/>
  <c r="T15" i="22"/>
  <c r="Q15" i="22"/>
  <c r="V14" i="22"/>
  <c r="T14" i="22"/>
  <c r="Q14" i="22"/>
  <c r="V13" i="22"/>
  <c r="T13" i="22"/>
  <c r="Q13" i="22"/>
  <c r="V12" i="22"/>
  <c r="T12" i="22"/>
  <c r="Q12" i="22"/>
  <c r="V11" i="22"/>
  <c r="T11" i="22"/>
  <c r="Q11" i="22"/>
  <c r="V10" i="22"/>
  <c r="T10" i="22"/>
  <c r="Q10" i="22"/>
  <c r="V9" i="22"/>
  <c r="T9" i="22"/>
  <c r="Q9" i="22"/>
  <c r="V8" i="22"/>
  <c r="T8" i="22"/>
  <c r="Q8" i="22"/>
  <c r="V7" i="22"/>
  <c r="T7" i="22"/>
  <c r="Q7" i="22"/>
  <c r="V6" i="22"/>
  <c r="T6" i="22"/>
  <c r="Q6" i="22"/>
  <c r="V5" i="22"/>
  <c r="T5" i="22"/>
  <c r="Q5" i="22"/>
  <c r="V4" i="22"/>
  <c r="T4" i="22"/>
  <c r="Q4" i="22"/>
  <c r="V3" i="22"/>
  <c r="T3" i="22"/>
  <c r="Q3" i="22"/>
  <c r="V2" i="22"/>
  <c r="T2" i="22"/>
  <c r="Q2" i="22"/>
  <c r="T79" i="21" l="1"/>
  <c r="V79" i="21" s="1"/>
  <c r="Q79" i="21"/>
  <c r="T78" i="21"/>
  <c r="V78" i="21" s="1"/>
  <c r="Q78" i="21"/>
  <c r="T77" i="21"/>
  <c r="V77" i="21" s="1"/>
  <c r="Q77" i="21"/>
  <c r="T73" i="21"/>
  <c r="V73" i="21" s="1"/>
  <c r="Q73" i="21"/>
  <c r="T72" i="21"/>
  <c r="V72" i="21" s="1"/>
  <c r="Q72" i="21"/>
  <c r="T71" i="21"/>
  <c r="V71" i="21" s="1"/>
  <c r="Q71" i="21"/>
  <c r="T70" i="21"/>
  <c r="V70" i="21" s="1"/>
  <c r="Q70" i="21"/>
  <c r="T69" i="21"/>
  <c r="V69" i="21" s="1"/>
  <c r="Q69" i="21"/>
  <c r="T68" i="21"/>
  <c r="V68" i="21" s="1"/>
  <c r="Q68" i="21"/>
  <c r="T67" i="21"/>
  <c r="V67" i="21" s="1"/>
  <c r="Q67" i="21"/>
  <c r="T66" i="21"/>
  <c r="V66" i="21" s="1"/>
  <c r="Q66" i="21"/>
  <c r="T65" i="21"/>
  <c r="V65" i="21" s="1"/>
  <c r="Q65" i="21"/>
  <c r="T64" i="21"/>
  <c r="V64" i="21" s="1"/>
  <c r="Q64" i="21"/>
  <c r="T63" i="21"/>
  <c r="V63" i="21" s="1"/>
  <c r="Q63" i="21"/>
  <c r="T62" i="21"/>
  <c r="V62" i="21" s="1"/>
  <c r="Q62" i="21"/>
  <c r="T61" i="21"/>
  <c r="V61" i="21" s="1"/>
  <c r="Q61" i="21"/>
  <c r="T60" i="21"/>
  <c r="V60" i="21" s="1"/>
  <c r="Q60" i="21"/>
  <c r="T59" i="21"/>
  <c r="V59" i="21" s="1"/>
  <c r="Q59" i="21"/>
  <c r="T58" i="21"/>
  <c r="V58" i="21" s="1"/>
  <c r="Q58" i="21"/>
  <c r="T57" i="21"/>
  <c r="V57" i="21" s="1"/>
  <c r="Q57" i="21"/>
  <c r="T56" i="21"/>
  <c r="V56" i="21" s="1"/>
  <c r="Q56" i="21"/>
  <c r="T55" i="21"/>
  <c r="V55" i="21" s="1"/>
  <c r="Q55" i="21"/>
  <c r="T54" i="21"/>
  <c r="V54" i="21" s="1"/>
  <c r="Q54" i="21"/>
  <c r="T53" i="21"/>
  <c r="V53" i="21" s="1"/>
  <c r="Q53" i="21"/>
  <c r="T52" i="21"/>
  <c r="V52" i="21" s="1"/>
  <c r="Q52" i="21"/>
  <c r="T51" i="21"/>
  <c r="V51" i="21" s="1"/>
  <c r="Q51" i="21"/>
  <c r="T50" i="21"/>
  <c r="V50" i="21" s="1"/>
  <c r="Q50" i="21"/>
  <c r="T49" i="21"/>
  <c r="V49" i="21" s="1"/>
  <c r="Q49" i="21"/>
  <c r="T48" i="21"/>
  <c r="V48" i="21" s="1"/>
  <c r="Q48" i="21"/>
  <c r="T47" i="21"/>
  <c r="V47" i="21" s="1"/>
  <c r="Q47" i="21"/>
  <c r="T46" i="21"/>
  <c r="V46" i="21" s="1"/>
  <c r="Q46" i="21"/>
  <c r="T45" i="21"/>
  <c r="V45" i="21" s="1"/>
  <c r="Q45" i="21"/>
  <c r="T44" i="21"/>
  <c r="V44" i="21" s="1"/>
  <c r="Q44" i="21"/>
  <c r="T43" i="21"/>
  <c r="V43" i="21" s="1"/>
  <c r="Q43" i="21"/>
  <c r="T42" i="21"/>
  <c r="V42" i="21" s="1"/>
  <c r="Q42" i="21"/>
  <c r="T41" i="21"/>
  <c r="V41" i="21" s="1"/>
  <c r="Q41" i="21"/>
  <c r="T40" i="21"/>
  <c r="V40" i="21" s="1"/>
  <c r="Q40" i="21"/>
  <c r="T39" i="21"/>
  <c r="V39" i="21" s="1"/>
  <c r="Q39" i="21"/>
  <c r="T38" i="21"/>
  <c r="V38" i="21" s="1"/>
  <c r="Q38" i="21"/>
  <c r="T37" i="21"/>
  <c r="V37" i="21" s="1"/>
  <c r="Q37" i="21"/>
  <c r="T36" i="21"/>
  <c r="V36" i="21" s="1"/>
  <c r="Q36" i="21"/>
  <c r="T35" i="21"/>
  <c r="V35" i="21" s="1"/>
  <c r="Q35" i="21"/>
  <c r="T34" i="21"/>
  <c r="V34" i="21" s="1"/>
  <c r="Q34" i="21"/>
  <c r="T33" i="21"/>
  <c r="V33" i="21" s="1"/>
  <c r="Q33" i="21"/>
  <c r="T32" i="21"/>
  <c r="V32" i="21" s="1"/>
  <c r="Q32" i="21"/>
  <c r="T31" i="21"/>
  <c r="V31" i="21" s="1"/>
  <c r="Q31" i="21"/>
  <c r="T30" i="21"/>
  <c r="V30" i="21" s="1"/>
  <c r="Q30" i="21"/>
  <c r="T29" i="21"/>
  <c r="V29" i="21" s="1"/>
  <c r="Q29" i="21"/>
  <c r="T28" i="21"/>
  <c r="V28" i="21" s="1"/>
  <c r="Q28" i="21"/>
  <c r="T27" i="21"/>
  <c r="V27" i="21" s="1"/>
  <c r="Q27" i="21"/>
  <c r="T26" i="21"/>
  <c r="V26" i="21" s="1"/>
  <c r="Q26" i="21"/>
  <c r="T25" i="21"/>
  <c r="V25" i="21" s="1"/>
  <c r="Q25" i="21"/>
  <c r="T24" i="21"/>
  <c r="V24" i="21" s="1"/>
  <c r="Q24" i="21"/>
  <c r="T23" i="21"/>
  <c r="V23" i="21" s="1"/>
  <c r="Q23" i="21"/>
  <c r="T22" i="21"/>
  <c r="V22" i="21" s="1"/>
  <c r="Q22" i="21"/>
  <c r="T21" i="21"/>
  <c r="V21" i="21" s="1"/>
  <c r="Q21" i="21"/>
  <c r="T20" i="21"/>
  <c r="V20" i="21" s="1"/>
  <c r="Q20" i="21"/>
  <c r="T19" i="21"/>
  <c r="V19" i="21" s="1"/>
  <c r="Q19" i="21"/>
  <c r="T18" i="21"/>
  <c r="V18" i="21" s="1"/>
  <c r="Q18" i="21"/>
  <c r="T17" i="21"/>
  <c r="V17" i="21" s="1"/>
  <c r="Q17" i="21"/>
  <c r="T16" i="21"/>
  <c r="V16" i="21" s="1"/>
  <c r="Q16" i="21"/>
  <c r="T15" i="21"/>
  <c r="V15" i="21" s="1"/>
  <c r="Q15" i="21"/>
  <c r="T14" i="21"/>
  <c r="V14" i="21" s="1"/>
  <c r="Q14" i="21"/>
  <c r="T13" i="21"/>
  <c r="V13" i="21" s="1"/>
  <c r="Q13" i="21"/>
  <c r="T12" i="21"/>
  <c r="V12" i="21" s="1"/>
  <c r="Q12" i="21"/>
  <c r="T11" i="21"/>
  <c r="V11" i="21" s="1"/>
  <c r="Q11" i="21"/>
  <c r="T10" i="21"/>
  <c r="V10" i="21" s="1"/>
  <c r="Q10" i="21"/>
  <c r="T9" i="21"/>
  <c r="V9" i="21" s="1"/>
  <c r="Q9" i="21"/>
  <c r="T8" i="21"/>
  <c r="V8" i="21" s="1"/>
  <c r="Q8" i="21"/>
  <c r="T7" i="21"/>
  <c r="V7" i="21" s="1"/>
  <c r="Q7" i="21"/>
  <c r="T6" i="21"/>
  <c r="V6" i="21" s="1"/>
  <c r="Q6" i="21"/>
  <c r="T5" i="21"/>
  <c r="V5" i="21" s="1"/>
  <c r="Q5" i="21"/>
  <c r="T4" i="21"/>
  <c r="V4" i="21" s="1"/>
  <c r="Q4" i="21"/>
  <c r="T3" i="21"/>
  <c r="V3" i="21" s="1"/>
  <c r="Q3" i="21"/>
  <c r="T2" i="21"/>
  <c r="V2" i="21" s="1"/>
  <c r="Q2" i="21"/>
  <c r="T85" i="20" l="1"/>
  <c r="V85" i="20" s="1"/>
  <c r="Q85" i="20"/>
  <c r="T84" i="20"/>
  <c r="V84" i="20" s="1"/>
  <c r="Q84" i="20"/>
  <c r="T83" i="20"/>
  <c r="V83" i="20" s="1"/>
  <c r="Q83" i="20"/>
  <c r="T82" i="20"/>
  <c r="V82" i="20" s="1"/>
  <c r="Q82" i="20"/>
  <c r="T81" i="20"/>
  <c r="V81" i="20" s="1"/>
  <c r="Q81" i="20"/>
  <c r="T80" i="20"/>
  <c r="V80" i="20" s="1"/>
  <c r="Q80" i="20"/>
  <c r="T79" i="20"/>
  <c r="V79" i="20" s="1"/>
  <c r="Q79" i="20"/>
  <c r="T78" i="20"/>
  <c r="V78" i="20" s="1"/>
  <c r="Q78" i="20"/>
  <c r="T77" i="20"/>
  <c r="V77" i="20" s="1"/>
  <c r="Q77" i="20"/>
  <c r="T76" i="20"/>
  <c r="V76" i="20" s="1"/>
  <c r="Q76" i="20"/>
  <c r="T75" i="20"/>
  <c r="V75" i="20" s="1"/>
  <c r="Q75" i="20"/>
  <c r="T74" i="20"/>
  <c r="V74" i="20" s="1"/>
  <c r="Q74" i="20"/>
  <c r="T73" i="20"/>
  <c r="V73" i="20" s="1"/>
  <c r="Q73" i="20"/>
  <c r="T72" i="20"/>
  <c r="V72" i="20" s="1"/>
  <c r="Q72" i="20"/>
  <c r="T71" i="20"/>
  <c r="V71" i="20" s="1"/>
  <c r="Q71" i="20"/>
  <c r="T70" i="20"/>
  <c r="V70" i="20" s="1"/>
  <c r="Q70" i="20"/>
  <c r="T69" i="20"/>
  <c r="V69" i="20" s="1"/>
  <c r="Q69" i="20"/>
  <c r="T68" i="20"/>
  <c r="V68" i="20" s="1"/>
  <c r="Q68" i="20"/>
  <c r="T67" i="20"/>
  <c r="V67" i="20" s="1"/>
  <c r="Q67" i="20"/>
  <c r="T66" i="20"/>
  <c r="V66" i="20" s="1"/>
  <c r="Q66" i="20"/>
  <c r="T65" i="20"/>
  <c r="V65" i="20" s="1"/>
  <c r="Q65" i="20"/>
  <c r="T64" i="20"/>
  <c r="V64" i="20" s="1"/>
  <c r="Q64" i="20"/>
  <c r="T63" i="20"/>
  <c r="V63" i="20" s="1"/>
  <c r="Q63" i="20"/>
  <c r="T62" i="20"/>
  <c r="V62" i="20" s="1"/>
  <c r="Q62" i="20"/>
  <c r="T61" i="20"/>
  <c r="V61" i="20" s="1"/>
  <c r="Q61" i="20"/>
  <c r="T60" i="20"/>
  <c r="V60" i="20" s="1"/>
  <c r="Q60" i="20"/>
  <c r="T59" i="20"/>
  <c r="V59" i="20" s="1"/>
  <c r="Q59" i="20"/>
  <c r="T58" i="20"/>
  <c r="V58" i="20" s="1"/>
  <c r="Q58" i="20"/>
  <c r="T57" i="20"/>
  <c r="V57" i="20" s="1"/>
  <c r="Q57" i="20"/>
  <c r="T56" i="20"/>
  <c r="V56" i="20" s="1"/>
  <c r="Q56" i="20"/>
  <c r="T55" i="20"/>
  <c r="V55" i="20" s="1"/>
  <c r="Q55" i="20"/>
  <c r="T54" i="20"/>
  <c r="V54" i="20" s="1"/>
  <c r="Q54" i="20"/>
  <c r="T53" i="20"/>
  <c r="V53" i="20" s="1"/>
  <c r="Q53" i="20"/>
  <c r="T52" i="20"/>
  <c r="V52" i="20" s="1"/>
  <c r="Q52" i="20"/>
  <c r="T51" i="20"/>
  <c r="V51" i="20" s="1"/>
  <c r="Q51" i="20"/>
  <c r="T50" i="20"/>
  <c r="V50" i="20" s="1"/>
  <c r="Q50" i="20"/>
  <c r="T49" i="20"/>
  <c r="V49" i="20" s="1"/>
  <c r="Q49" i="20"/>
  <c r="T48" i="20"/>
  <c r="V48" i="20" s="1"/>
  <c r="Q48" i="20"/>
  <c r="T47" i="20"/>
  <c r="V47" i="20" s="1"/>
  <c r="Q47" i="20"/>
  <c r="T46" i="20"/>
  <c r="V46" i="20" s="1"/>
  <c r="Q46" i="20"/>
  <c r="T45" i="20"/>
  <c r="V45" i="20" s="1"/>
  <c r="Q45" i="20"/>
  <c r="T44" i="20"/>
  <c r="V44" i="20" s="1"/>
  <c r="Q44" i="20"/>
  <c r="T43" i="20"/>
  <c r="V43" i="20" s="1"/>
  <c r="Q43" i="20"/>
  <c r="T42" i="20"/>
  <c r="V42" i="20" s="1"/>
  <c r="Q42" i="20"/>
  <c r="T41" i="20"/>
  <c r="V41" i="20" s="1"/>
  <c r="Q41" i="20"/>
  <c r="T40" i="20"/>
  <c r="V40" i="20" s="1"/>
  <c r="Q40" i="20"/>
  <c r="T39" i="20"/>
  <c r="V39" i="20" s="1"/>
  <c r="Q39" i="20"/>
  <c r="T38" i="20"/>
  <c r="V38" i="20" s="1"/>
  <c r="Q38" i="20"/>
  <c r="T37" i="20"/>
  <c r="V37" i="20" s="1"/>
  <c r="Q37" i="20"/>
  <c r="T36" i="20"/>
  <c r="V36" i="20" s="1"/>
  <c r="Q36" i="20"/>
  <c r="T35" i="20"/>
  <c r="V35" i="20" s="1"/>
  <c r="Q35" i="20"/>
  <c r="T34" i="20"/>
  <c r="V34" i="20" s="1"/>
  <c r="Q34" i="20"/>
  <c r="T33" i="20"/>
  <c r="V33" i="20" s="1"/>
  <c r="Q33" i="20"/>
  <c r="T32" i="20"/>
  <c r="V32" i="20" s="1"/>
  <c r="Q32" i="20"/>
  <c r="T31" i="20"/>
  <c r="V31" i="20" s="1"/>
  <c r="Q31" i="20"/>
  <c r="T30" i="20"/>
  <c r="V30" i="20" s="1"/>
  <c r="Q30" i="20"/>
  <c r="T29" i="20"/>
  <c r="V29" i="20" s="1"/>
  <c r="Q29" i="20"/>
  <c r="T28" i="20"/>
  <c r="V28" i="20" s="1"/>
  <c r="Q28" i="20"/>
  <c r="T27" i="20"/>
  <c r="V27" i="20" s="1"/>
  <c r="Q27" i="20"/>
  <c r="T26" i="20"/>
  <c r="V26" i="20" s="1"/>
  <c r="Q26" i="20"/>
  <c r="T25" i="20"/>
  <c r="V25" i="20" s="1"/>
  <c r="Q25" i="20"/>
  <c r="T24" i="20"/>
  <c r="V24" i="20" s="1"/>
  <c r="Q24" i="20"/>
  <c r="T23" i="20"/>
  <c r="V23" i="20" s="1"/>
  <c r="Q23" i="20"/>
  <c r="T22" i="20"/>
  <c r="V22" i="20" s="1"/>
  <c r="Q22" i="20"/>
  <c r="T21" i="20"/>
  <c r="V21" i="20" s="1"/>
  <c r="Q21" i="20"/>
  <c r="T20" i="20"/>
  <c r="V20" i="20" s="1"/>
  <c r="Q20" i="20"/>
  <c r="T19" i="20"/>
  <c r="V19" i="20" s="1"/>
  <c r="Q19" i="20"/>
  <c r="T18" i="20"/>
  <c r="V18" i="20" s="1"/>
  <c r="Q18" i="20"/>
  <c r="T17" i="20"/>
  <c r="V17" i="20" s="1"/>
  <c r="Q17" i="20"/>
  <c r="T16" i="20"/>
  <c r="V16" i="20" s="1"/>
  <c r="Q16" i="20"/>
  <c r="T15" i="20"/>
  <c r="V15" i="20" s="1"/>
  <c r="Q15" i="20"/>
  <c r="T14" i="20"/>
  <c r="V14" i="20" s="1"/>
  <c r="Q14" i="20"/>
  <c r="T13" i="20"/>
  <c r="V13" i="20" s="1"/>
  <c r="Q13" i="20"/>
  <c r="T12" i="20"/>
  <c r="V12" i="20" s="1"/>
  <c r="Q12" i="20"/>
  <c r="T11" i="20"/>
  <c r="V11" i="20" s="1"/>
  <c r="Q11" i="20"/>
  <c r="T10" i="20"/>
  <c r="V10" i="20" s="1"/>
  <c r="Q10" i="20"/>
  <c r="T9" i="20"/>
  <c r="V9" i="20" s="1"/>
  <c r="Q9" i="20"/>
  <c r="T8" i="20"/>
  <c r="V8" i="20" s="1"/>
  <c r="Q8" i="20"/>
  <c r="T7" i="20"/>
  <c r="V7" i="20" s="1"/>
  <c r="Q7" i="20"/>
  <c r="T6" i="20"/>
  <c r="V6" i="20" s="1"/>
  <c r="Q6" i="20"/>
  <c r="T5" i="20"/>
  <c r="V5" i="20" s="1"/>
  <c r="Q5" i="20"/>
  <c r="T4" i="20"/>
  <c r="V4" i="20" s="1"/>
  <c r="Q4" i="20"/>
  <c r="T3" i="20"/>
  <c r="V3" i="20" s="1"/>
  <c r="Q3" i="20"/>
  <c r="T2" i="20"/>
  <c r="V2" i="20" s="1"/>
  <c r="Q2" i="20"/>
  <c r="T55" i="19"/>
  <c r="V55" i="19" s="1"/>
  <c r="Q55" i="19"/>
  <c r="T54" i="19"/>
  <c r="V54" i="19" s="1"/>
  <c r="Q54" i="19"/>
  <c r="T53" i="19"/>
  <c r="V53" i="19" s="1"/>
  <c r="Q53" i="19"/>
  <c r="T52" i="19"/>
  <c r="V52" i="19" s="1"/>
  <c r="Q52" i="19"/>
  <c r="T51" i="19"/>
  <c r="V51" i="19" s="1"/>
  <c r="Q51" i="19"/>
  <c r="T50" i="19"/>
  <c r="V50" i="19" s="1"/>
  <c r="Q50" i="19"/>
  <c r="T49" i="19"/>
  <c r="V49" i="19" s="1"/>
  <c r="Q49" i="19"/>
  <c r="T48" i="19"/>
  <c r="V48" i="19" s="1"/>
  <c r="Q48" i="19"/>
  <c r="T47" i="19"/>
  <c r="V47" i="19" s="1"/>
  <c r="Q47" i="19"/>
  <c r="T46" i="19"/>
  <c r="V46" i="19" s="1"/>
  <c r="Q46" i="19"/>
  <c r="T45" i="19"/>
  <c r="V45" i="19" s="1"/>
  <c r="Q45" i="19"/>
  <c r="T44" i="19"/>
  <c r="V44" i="19" s="1"/>
  <c r="Q44" i="19"/>
  <c r="T43" i="19"/>
  <c r="V43" i="19" s="1"/>
  <c r="Q43" i="19"/>
  <c r="T42" i="19"/>
  <c r="V42" i="19" s="1"/>
  <c r="Q42" i="19"/>
  <c r="T41" i="19"/>
  <c r="V41" i="19" s="1"/>
  <c r="Q41" i="19"/>
  <c r="T40" i="19"/>
  <c r="V40" i="19" s="1"/>
  <c r="Q40" i="19"/>
  <c r="T39" i="19"/>
  <c r="V39" i="19" s="1"/>
  <c r="Q39" i="19"/>
  <c r="T38" i="19"/>
  <c r="V38" i="19" s="1"/>
  <c r="Q38" i="19"/>
  <c r="T37" i="19"/>
  <c r="V37" i="19" s="1"/>
  <c r="Q37" i="19"/>
  <c r="T36" i="19"/>
  <c r="V36" i="19" s="1"/>
  <c r="Q36" i="19"/>
  <c r="T35" i="19"/>
  <c r="V35" i="19" s="1"/>
  <c r="Q35" i="19"/>
  <c r="T34" i="19"/>
  <c r="V34" i="19" s="1"/>
  <c r="Q34" i="19"/>
  <c r="T33" i="19"/>
  <c r="V33" i="19" s="1"/>
  <c r="Q33" i="19"/>
  <c r="T32" i="19"/>
  <c r="V32" i="19" s="1"/>
  <c r="Q32" i="19"/>
  <c r="T31" i="19"/>
  <c r="V31" i="19" s="1"/>
  <c r="Q31" i="19"/>
  <c r="T30" i="19"/>
  <c r="V30" i="19" s="1"/>
  <c r="Q30" i="19"/>
  <c r="T29" i="19"/>
  <c r="V29" i="19" s="1"/>
  <c r="Q29" i="19"/>
  <c r="T28" i="19"/>
  <c r="V28" i="19" s="1"/>
  <c r="Q28" i="19"/>
  <c r="T27" i="19"/>
  <c r="V27" i="19" s="1"/>
  <c r="Q27" i="19"/>
  <c r="T26" i="19"/>
  <c r="V26" i="19" s="1"/>
  <c r="Q26" i="19"/>
  <c r="T25" i="19"/>
  <c r="V25" i="19" s="1"/>
  <c r="Q25" i="19"/>
  <c r="T24" i="19"/>
  <c r="V24" i="19" s="1"/>
  <c r="Q24" i="19"/>
  <c r="T23" i="19"/>
  <c r="V23" i="19" s="1"/>
  <c r="Q23" i="19"/>
  <c r="T22" i="19"/>
  <c r="V22" i="19" s="1"/>
  <c r="Q22" i="19"/>
  <c r="T21" i="19"/>
  <c r="V21" i="19" s="1"/>
  <c r="Q21" i="19"/>
  <c r="T20" i="19"/>
  <c r="V20" i="19" s="1"/>
  <c r="Q20" i="19"/>
  <c r="T19" i="19"/>
  <c r="V19" i="19" s="1"/>
  <c r="Q19" i="19"/>
  <c r="T18" i="19"/>
  <c r="V18" i="19" s="1"/>
  <c r="Q18" i="19"/>
  <c r="T17" i="19"/>
  <c r="V17" i="19" s="1"/>
  <c r="Q17" i="19"/>
  <c r="T16" i="19"/>
  <c r="V16" i="19" s="1"/>
  <c r="Q16" i="19"/>
  <c r="T15" i="19"/>
  <c r="V15" i="19" s="1"/>
  <c r="Q15" i="19"/>
  <c r="T14" i="19"/>
  <c r="V14" i="19" s="1"/>
  <c r="Q14" i="19"/>
  <c r="T13" i="19"/>
  <c r="V13" i="19" s="1"/>
  <c r="Q13" i="19"/>
  <c r="T12" i="19"/>
  <c r="V12" i="19" s="1"/>
  <c r="Q12" i="19"/>
  <c r="T11" i="19"/>
  <c r="V11" i="19" s="1"/>
  <c r="Q11" i="19"/>
  <c r="T10" i="19"/>
  <c r="V10" i="19" s="1"/>
  <c r="Q10" i="19"/>
  <c r="T9" i="19"/>
  <c r="V9" i="19" s="1"/>
  <c r="Q9" i="19"/>
  <c r="T8" i="19"/>
  <c r="V8" i="19" s="1"/>
  <c r="Q8" i="19"/>
  <c r="T7" i="19"/>
  <c r="V7" i="19" s="1"/>
  <c r="Q7" i="19"/>
  <c r="T6" i="19"/>
  <c r="V6" i="19" s="1"/>
  <c r="Q6" i="19"/>
  <c r="T5" i="19"/>
  <c r="V5" i="19" s="1"/>
  <c r="Q5" i="19"/>
  <c r="T4" i="19"/>
  <c r="V4" i="19" s="1"/>
  <c r="Q4" i="19"/>
  <c r="T3" i="19"/>
  <c r="V3" i="19" s="1"/>
  <c r="Q3" i="19"/>
  <c r="T2" i="19"/>
  <c r="V2" i="19" s="1"/>
  <c r="Q2" i="19"/>
  <c r="T268" i="18" l="1"/>
  <c r="T267" i="18"/>
  <c r="T266" i="18"/>
  <c r="T265" i="18"/>
  <c r="T264" i="18"/>
  <c r="T263" i="18"/>
  <c r="T262" i="18"/>
  <c r="T261" i="18"/>
  <c r="T260" i="18"/>
  <c r="T259" i="18"/>
  <c r="T258" i="18"/>
  <c r="T257" i="18"/>
  <c r="T256" i="18"/>
  <c r="T255" i="18"/>
  <c r="T254" i="18"/>
  <c r="T253" i="18"/>
  <c r="T252" i="18"/>
  <c r="T251" i="18"/>
  <c r="T250" i="18"/>
  <c r="T249" i="18"/>
  <c r="T248" i="18"/>
  <c r="V248" i="18" s="1"/>
  <c r="T247" i="18"/>
  <c r="V247" i="18" s="1"/>
  <c r="T246" i="18"/>
  <c r="V246" i="18" s="1"/>
  <c r="T245" i="18"/>
  <c r="V245" i="18" s="1"/>
  <c r="T244" i="18"/>
  <c r="V244" i="18" s="1"/>
  <c r="T243" i="18"/>
  <c r="V243" i="18" s="1"/>
  <c r="T242" i="18"/>
  <c r="V242" i="18" s="1"/>
  <c r="T241" i="18"/>
  <c r="V241" i="18" s="1"/>
  <c r="T240" i="18"/>
  <c r="V240" i="18" s="1"/>
  <c r="Q240" i="18"/>
  <c r="T239" i="18"/>
  <c r="V239" i="18" s="1"/>
  <c r="Q239" i="18"/>
  <c r="T238" i="18"/>
  <c r="V238" i="18" s="1"/>
  <c r="Q238" i="18"/>
  <c r="T237" i="18"/>
  <c r="V237" i="18" s="1"/>
  <c r="Q237" i="18"/>
  <c r="T236" i="18"/>
  <c r="V236" i="18" s="1"/>
  <c r="Q236" i="18"/>
  <c r="T235" i="18"/>
  <c r="V235" i="18" s="1"/>
  <c r="Q235" i="18"/>
  <c r="T234" i="18"/>
  <c r="V234" i="18" s="1"/>
  <c r="Q234" i="18"/>
  <c r="T233" i="18"/>
  <c r="V233" i="18" s="1"/>
  <c r="Q233" i="18"/>
  <c r="T232" i="18"/>
  <c r="V232" i="18" s="1"/>
  <c r="Q232" i="18"/>
  <c r="T231" i="18"/>
  <c r="V231" i="18" s="1"/>
  <c r="Q231" i="18"/>
  <c r="T230" i="18"/>
  <c r="V230" i="18" s="1"/>
  <c r="Q230" i="18"/>
  <c r="T229" i="18"/>
  <c r="V229" i="18" s="1"/>
  <c r="Q229" i="18"/>
  <c r="T228" i="18"/>
  <c r="V228" i="18" s="1"/>
  <c r="Q228" i="18"/>
  <c r="T227" i="18"/>
  <c r="V227" i="18" s="1"/>
  <c r="Q227" i="18"/>
  <c r="T226" i="18"/>
  <c r="V226" i="18" s="1"/>
  <c r="Q226" i="18"/>
  <c r="T225" i="18"/>
  <c r="V225" i="18" s="1"/>
  <c r="Q225" i="18"/>
  <c r="T224" i="18"/>
  <c r="V224" i="18" s="1"/>
  <c r="Q224" i="18"/>
  <c r="T223" i="18"/>
  <c r="V223" i="18" s="1"/>
  <c r="Q223" i="18"/>
  <c r="T222" i="18"/>
  <c r="V222" i="18" s="1"/>
  <c r="Q222" i="18"/>
  <c r="T221" i="18"/>
  <c r="V221" i="18" s="1"/>
  <c r="Q221" i="18"/>
  <c r="T220" i="18"/>
  <c r="V220" i="18" s="1"/>
  <c r="Q220" i="18"/>
  <c r="T219" i="18"/>
  <c r="V219" i="18" s="1"/>
  <c r="Q219" i="18"/>
  <c r="T218" i="18"/>
  <c r="V218" i="18" s="1"/>
  <c r="Q218" i="18"/>
  <c r="T217" i="18"/>
  <c r="V217" i="18" s="1"/>
  <c r="Q217" i="18"/>
  <c r="T216" i="18"/>
  <c r="V216" i="18" s="1"/>
  <c r="Q216" i="18"/>
  <c r="T215" i="18"/>
  <c r="V215" i="18" s="1"/>
  <c r="Q215" i="18"/>
  <c r="T214" i="18"/>
  <c r="V214" i="18" s="1"/>
  <c r="Q214" i="18"/>
  <c r="T213" i="18"/>
  <c r="V213" i="18" s="1"/>
  <c r="Q213" i="18"/>
  <c r="T212" i="18"/>
  <c r="V212" i="18" s="1"/>
  <c r="Q212" i="18"/>
  <c r="T211" i="18"/>
  <c r="V211" i="18" s="1"/>
  <c r="Q211" i="18"/>
  <c r="T210" i="18"/>
  <c r="V210" i="18" s="1"/>
  <c r="Q210" i="18"/>
  <c r="T209" i="18"/>
  <c r="V209" i="18" s="1"/>
  <c r="Q209" i="18"/>
  <c r="T208" i="18"/>
  <c r="V208" i="18" s="1"/>
  <c r="Q208" i="18"/>
  <c r="T207" i="18"/>
  <c r="V207" i="18" s="1"/>
  <c r="Q207" i="18"/>
  <c r="T206" i="18"/>
  <c r="V206" i="18" s="1"/>
  <c r="Q206" i="18"/>
  <c r="T205" i="18"/>
  <c r="V205" i="18" s="1"/>
  <c r="Q205" i="18"/>
  <c r="T204" i="18"/>
  <c r="V204" i="18" s="1"/>
  <c r="Q204" i="18"/>
  <c r="T203" i="18"/>
  <c r="V203" i="18" s="1"/>
  <c r="Q203" i="18"/>
  <c r="T202" i="18"/>
  <c r="V202" i="18" s="1"/>
  <c r="Q202" i="18"/>
  <c r="T201" i="18"/>
  <c r="V201" i="18" s="1"/>
  <c r="Q201" i="18"/>
  <c r="T200" i="18"/>
  <c r="V200" i="18" s="1"/>
  <c r="Q200" i="18"/>
  <c r="T199" i="18"/>
  <c r="V199" i="18" s="1"/>
  <c r="Q199" i="18"/>
  <c r="T198" i="18"/>
  <c r="V198" i="18" s="1"/>
  <c r="Q198" i="18"/>
  <c r="T197" i="18"/>
  <c r="V197" i="18" s="1"/>
  <c r="Q197" i="18"/>
  <c r="T196" i="18"/>
  <c r="V196" i="18" s="1"/>
  <c r="Q196" i="18"/>
  <c r="T195" i="18"/>
  <c r="V195" i="18" s="1"/>
  <c r="Q195" i="18"/>
  <c r="T194" i="18"/>
  <c r="V194" i="18" s="1"/>
  <c r="Q194" i="18"/>
  <c r="T193" i="18"/>
  <c r="V193" i="18" s="1"/>
  <c r="Q193" i="18"/>
  <c r="T192" i="18"/>
  <c r="V192" i="18" s="1"/>
  <c r="Q192" i="18"/>
  <c r="T191" i="18"/>
  <c r="V191" i="18" s="1"/>
  <c r="Q191" i="18"/>
  <c r="T190" i="18"/>
  <c r="V190" i="18" s="1"/>
  <c r="Q190" i="18"/>
  <c r="T189" i="18"/>
  <c r="V189" i="18" s="1"/>
  <c r="Q189" i="18"/>
  <c r="T188" i="18"/>
  <c r="V188" i="18" s="1"/>
  <c r="Q188" i="18"/>
  <c r="T187" i="18"/>
  <c r="V187" i="18" s="1"/>
  <c r="Q187" i="18"/>
  <c r="T186" i="18"/>
  <c r="V186" i="18" s="1"/>
  <c r="Q186" i="18"/>
  <c r="T185" i="18"/>
  <c r="V185" i="18" s="1"/>
  <c r="Q185" i="18"/>
  <c r="T184" i="18"/>
  <c r="V184" i="18" s="1"/>
  <c r="Q184" i="18"/>
  <c r="T183" i="18"/>
  <c r="V183" i="18" s="1"/>
  <c r="Q183" i="18"/>
  <c r="T182" i="18"/>
  <c r="V182" i="18" s="1"/>
  <c r="Q182" i="18"/>
  <c r="T181" i="18"/>
  <c r="V181" i="18" s="1"/>
  <c r="Q181" i="18"/>
  <c r="T180" i="18"/>
  <c r="V180" i="18" s="1"/>
  <c r="Q180" i="18"/>
  <c r="T179" i="18"/>
  <c r="V179" i="18" s="1"/>
  <c r="Q179" i="18"/>
  <c r="T178" i="18"/>
  <c r="V178" i="18" s="1"/>
  <c r="Q178" i="18"/>
  <c r="T177" i="18"/>
  <c r="V177" i="18" s="1"/>
  <c r="Q177" i="18"/>
  <c r="T176" i="18"/>
  <c r="V176" i="18" s="1"/>
  <c r="Q176" i="18"/>
  <c r="T175" i="18"/>
  <c r="V175" i="18" s="1"/>
  <c r="Q175" i="18"/>
  <c r="T174" i="18"/>
  <c r="V174" i="18" s="1"/>
  <c r="Q174" i="18"/>
  <c r="T173" i="18"/>
  <c r="V173" i="18" s="1"/>
  <c r="Q173" i="18"/>
  <c r="T172" i="18"/>
  <c r="V172" i="18" s="1"/>
  <c r="Q172" i="18"/>
  <c r="T171" i="18"/>
  <c r="V171" i="18" s="1"/>
  <c r="Q171" i="18"/>
  <c r="T170" i="18"/>
  <c r="V170" i="18" s="1"/>
  <c r="Q170" i="18"/>
  <c r="T169" i="18"/>
  <c r="V169" i="18" s="1"/>
  <c r="Q169" i="18"/>
  <c r="T168" i="18"/>
  <c r="V168" i="18" s="1"/>
  <c r="Q168" i="18"/>
  <c r="T167" i="18"/>
  <c r="V167" i="18" s="1"/>
  <c r="Q167" i="18"/>
  <c r="T166" i="18"/>
  <c r="V166" i="18" s="1"/>
  <c r="Q166" i="18"/>
  <c r="T165" i="18"/>
  <c r="V165" i="18" s="1"/>
  <c r="Q165" i="18"/>
  <c r="T164" i="18"/>
  <c r="V164" i="18" s="1"/>
  <c r="Q164" i="18"/>
  <c r="T163" i="18"/>
  <c r="V163" i="18" s="1"/>
  <c r="Q163" i="18"/>
  <c r="T162" i="18"/>
  <c r="V162" i="18" s="1"/>
  <c r="Q162" i="18"/>
  <c r="T161" i="18"/>
  <c r="V161" i="18" s="1"/>
  <c r="Q161" i="18"/>
  <c r="T160" i="18"/>
  <c r="V160" i="18" s="1"/>
  <c r="Q160" i="18"/>
  <c r="T159" i="18"/>
  <c r="V159" i="18" s="1"/>
  <c r="Q159" i="18"/>
  <c r="T158" i="18"/>
  <c r="V158" i="18" s="1"/>
  <c r="Q158" i="18"/>
  <c r="T157" i="18"/>
  <c r="V157" i="18" s="1"/>
  <c r="Q157" i="18"/>
  <c r="T156" i="18"/>
  <c r="V156" i="18" s="1"/>
  <c r="Q156" i="18"/>
  <c r="T155" i="18"/>
  <c r="V155" i="18" s="1"/>
  <c r="Q155" i="18"/>
  <c r="T154" i="18"/>
  <c r="V154" i="18" s="1"/>
  <c r="Q154" i="18"/>
  <c r="T153" i="18"/>
  <c r="V153" i="18" s="1"/>
  <c r="Q153" i="18"/>
  <c r="T152" i="18"/>
  <c r="V152" i="18" s="1"/>
  <c r="Q152" i="18"/>
  <c r="T151" i="18"/>
  <c r="V151" i="18" s="1"/>
  <c r="Q151" i="18"/>
  <c r="T150" i="18"/>
  <c r="V150" i="18" s="1"/>
  <c r="Q150" i="18"/>
  <c r="T149" i="18"/>
  <c r="V149" i="18" s="1"/>
  <c r="Q149" i="18"/>
  <c r="T148" i="18"/>
  <c r="V148" i="18" s="1"/>
  <c r="Q148" i="18"/>
  <c r="T147" i="18"/>
  <c r="V147" i="18" s="1"/>
  <c r="Q147" i="18"/>
  <c r="T146" i="18"/>
  <c r="V146" i="18" s="1"/>
  <c r="Q146" i="18"/>
  <c r="T145" i="18"/>
  <c r="V145" i="18" s="1"/>
  <c r="Q145" i="18"/>
  <c r="T144" i="18"/>
  <c r="V144" i="18" s="1"/>
  <c r="Q144" i="18"/>
  <c r="T143" i="18"/>
  <c r="V143" i="18" s="1"/>
  <c r="Q143" i="18"/>
  <c r="T142" i="18"/>
  <c r="V142" i="18" s="1"/>
  <c r="Q142" i="18"/>
  <c r="T141" i="18"/>
  <c r="V141" i="18" s="1"/>
  <c r="Q141" i="18"/>
  <c r="T140" i="18"/>
  <c r="V140" i="18" s="1"/>
  <c r="Q140" i="18"/>
  <c r="T139" i="18"/>
  <c r="V139" i="18" s="1"/>
  <c r="Q139" i="18"/>
  <c r="T138" i="18"/>
  <c r="V138" i="18" s="1"/>
  <c r="Q138" i="18"/>
  <c r="T137" i="18"/>
  <c r="V137" i="18" s="1"/>
  <c r="Q137" i="18"/>
  <c r="T136" i="18"/>
  <c r="V136" i="18" s="1"/>
  <c r="Q136" i="18"/>
  <c r="T135" i="18"/>
  <c r="V135" i="18" s="1"/>
  <c r="Q135" i="18"/>
  <c r="T134" i="18"/>
  <c r="V134" i="18" s="1"/>
  <c r="Q134" i="18"/>
  <c r="T133" i="18"/>
  <c r="V133" i="18" s="1"/>
  <c r="Q133" i="18"/>
  <c r="T132" i="18"/>
  <c r="V132" i="18" s="1"/>
  <c r="Q132" i="18"/>
  <c r="T131" i="18"/>
  <c r="V131" i="18" s="1"/>
  <c r="Q131" i="18"/>
  <c r="T130" i="18"/>
  <c r="V130" i="18" s="1"/>
  <c r="Q130" i="18"/>
  <c r="T129" i="18"/>
  <c r="V129" i="18" s="1"/>
  <c r="Q129" i="18"/>
  <c r="T128" i="18"/>
  <c r="V128" i="18" s="1"/>
  <c r="Q128" i="18"/>
  <c r="T127" i="18"/>
  <c r="V127" i="18" s="1"/>
  <c r="Q127" i="18"/>
  <c r="T126" i="18"/>
  <c r="V126" i="18" s="1"/>
  <c r="Q126" i="18"/>
  <c r="T125" i="18"/>
  <c r="V125" i="18" s="1"/>
  <c r="Q125" i="18"/>
  <c r="T124" i="18"/>
  <c r="V124" i="18" s="1"/>
  <c r="Q124" i="18"/>
  <c r="T123" i="18"/>
  <c r="V123" i="18" s="1"/>
  <c r="Q123" i="18"/>
  <c r="T122" i="18"/>
  <c r="V122" i="18" s="1"/>
  <c r="Q122" i="18"/>
  <c r="T121" i="18"/>
  <c r="V121" i="18" s="1"/>
  <c r="Q121" i="18"/>
  <c r="T120" i="18"/>
  <c r="V120" i="18" s="1"/>
  <c r="Q120" i="18"/>
  <c r="T119" i="18"/>
  <c r="V119" i="18" s="1"/>
  <c r="Q119" i="18"/>
  <c r="T118" i="18"/>
  <c r="V118" i="18" s="1"/>
  <c r="Q118" i="18"/>
  <c r="T117" i="18"/>
  <c r="V117" i="18" s="1"/>
  <c r="Q117" i="18"/>
  <c r="T116" i="18"/>
  <c r="V116" i="18" s="1"/>
  <c r="Q116" i="18"/>
  <c r="T115" i="18"/>
  <c r="V115" i="18" s="1"/>
  <c r="Q115" i="18"/>
  <c r="T114" i="18"/>
  <c r="V114" i="18" s="1"/>
  <c r="Q114" i="18"/>
  <c r="T113" i="18"/>
  <c r="V113" i="18" s="1"/>
  <c r="Q113" i="18"/>
  <c r="T112" i="18"/>
  <c r="V112" i="18" s="1"/>
  <c r="Q112" i="18"/>
  <c r="T111" i="18"/>
  <c r="V111" i="18" s="1"/>
  <c r="Q111" i="18"/>
  <c r="T110" i="18"/>
  <c r="V110" i="18" s="1"/>
  <c r="Q110" i="18"/>
  <c r="T109" i="18"/>
  <c r="V109" i="18" s="1"/>
  <c r="Q109" i="18"/>
  <c r="T108" i="18"/>
  <c r="V108" i="18" s="1"/>
  <c r="Q108" i="18"/>
  <c r="T107" i="18"/>
  <c r="V107" i="18" s="1"/>
  <c r="Q107" i="18"/>
  <c r="T106" i="18"/>
  <c r="V106" i="18" s="1"/>
  <c r="Q106" i="18"/>
  <c r="T105" i="18"/>
  <c r="V105" i="18" s="1"/>
  <c r="Q105" i="18"/>
  <c r="T104" i="18"/>
  <c r="V104" i="18" s="1"/>
  <c r="Q104" i="18"/>
  <c r="T103" i="18"/>
  <c r="V103" i="18" s="1"/>
  <c r="Q103" i="18"/>
  <c r="T102" i="18"/>
  <c r="V102" i="18" s="1"/>
  <c r="Q102" i="18"/>
  <c r="T101" i="18"/>
  <c r="V101" i="18" s="1"/>
  <c r="Q101" i="18"/>
  <c r="T100" i="18"/>
  <c r="V100" i="18" s="1"/>
  <c r="Q100" i="18"/>
  <c r="T99" i="18"/>
  <c r="V99" i="18" s="1"/>
  <c r="Q99" i="18"/>
  <c r="T98" i="18"/>
  <c r="V98" i="18" s="1"/>
  <c r="Q98" i="18"/>
  <c r="T97" i="18"/>
  <c r="V97" i="18" s="1"/>
  <c r="Q97" i="18"/>
  <c r="T96" i="18"/>
  <c r="V96" i="18" s="1"/>
  <c r="Q96" i="18"/>
  <c r="T95" i="18"/>
  <c r="V95" i="18" s="1"/>
  <c r="Q95" i="18"/>
  <c r="T94" i="18"/>
  <c r="V94" i="18" s="1"/>
  <c r="Q94" i="18"/>
  <c r="T93" i="18"/>
  <c r="V93" i="18" s="1"/>
  <c r="Q93" i="18"/>
  <c r="T92" i="18"/>
  <c r="V92" i="18" s="1"/>
  <c r="Q92" i="18"/>
  <c r="T91" i="18"/>
  <c r="V91" i="18" s="1"/>
  <c r="Q91" i="18"/>
  <c r="T90" i="18"/>
  <c r="V90" i="18" s="1"/>
  <c r="Q90" i="18"/>
  <c r="T89" i="18"/>
  <c r="V89" i="18" s="1"/>
  <c r="Q89" i="18"/>
  <c r="T88" i="18"/>
  <c r="V88" i="18" s="1"/>
  <c r="Q88" i="18"/>
  <c r="T87" i="18"/>
  <c r="V87" i="18" s="1"/>
  <c r="Q87" i="18"/>
  <c r="T86" i="18"/>
  <c r="V86" i="18" s="1"/>
  <c r="Q86" i="18"/>
  <c r="T85" i="18"/>
  <c r="V85" i="18" s="1"/>
  <c r="Q85" i="18"/>
  <c r="T84" i="18"/>
  <c r="V84" i="18" s="1"/>
  <c r="Q84" i="18"/>
  <c r="T83" i="18"/>
  <c r="V83" i="18" s="1"/>
  <c r="Q83" i="18"/>
  <c r="T82" i="18"/>
  <c r="V82" i="18" s="1"/>
  <c r="Q82" i="18"/>
  <c r="T81" i="18"/>
  <c r="V81" i="18" s="1"/>
  <c r="Q81" i="18"/>
  <c r="T80" i="18"/>
  <c r="V80" i="18" s="1"/>
  <c r="Q80" i="18"/>
  <c r="T79" i="18"/>
  <c r="V79" i="18" s="1"/>
  <c r="Q79" i="18"/>
  <c r="T78" i="18"/>
  <c r="V78" i="18" s="1"/>
  <c r="Q78" i="18"/>
  <c r="T77" i="18"/>
  <c r="V77" i="18" s="1"/>
  <c r="Q77" i="18"/>
  <c r="T76" i="18"/>
  <c r="V76" i="18" s="1"/>
  <c r="Q76" i="18"/>
  <c r="T75" i="18"/>
  <c r="V75" i="18" s="1"/>
  <c r="Q75" i="18"/>
  <c r="T74" i="18"/>
  <c r="V74" i="18" s="1"/>
  <c r="Q74" i="18"/>
  <c r="T73" i="18"/>
  <c r="V73" i="18" s="1"/>
  <c r="Q73" i="18"/>
  <c r="T72" i="18"/>
  <c r="V72" i="18" s="1"/>
  <c r="Q72" i="18"/>
  <c r="T71" i="18"/>
  <c r="V71" i="18" s="1"/>
  <c r="Q71" i="18"/>
  <c r="T70" i="18"/>
  <c r="V70" i="18" s="1"/>
  <c r="Q70" i="18"/>
  <c r="T69" i="18"/>
  <c r="V69" i="18" s="1"/>
  <c r="Q69" i="18"/>
  <c r="T68" i="18"/>
  <c r="V68" i="18" s="1"/>
  <c r="Q68" i="18"/>
  <c r="T67" i="18"/>
  <c r="V67" i="18" s="1"/>
  <c r="Q67" i="18"/>
  <c r="T66" i="18"/>
  <c r="V66" i="18" s="1"/>
  <c r="Q66" i="18"/>
  <c r="T65" i="18"/>
  <c r="V65" i="18" s="1"/>
  <c r="Q65" i="18"/>
  <c r="T64" i="18"/>
  <c r="V64" i="18" s="1"/>
  <c r="Q64" i="18"/>
  <c r="T63" i="18"/>
  <c r="V63" i="18" s="1"/>
  <c r="Q63" i="18"/>
  <c r="T62" i="18"/>
  <c r="V62" i="18" s="1"/>
  <c r="Q62" i="18"/>
  <c r="T61" i="18"/>
  <c r="V61" i="18" s="1"/>
  <c r="Q61" i="18"/>
  <c r="T60" i="18"/>
  <c r="V60" i="18" s="1"/>
  <c r="Q60" i="18"/>
  <c r="T59" i="18"/>
  <c r="V59" i="18" s="1"/>
  <c r="Q59" i="18"/>
  <c r="T58" i="18"/>
  <c r="V58" i="18" s="1"/>
  <c r="Q58" i="18"/>
  <c r="T57" i="18"/>
  <c r="V57" i="18" s="1"/>
  <c r="Q57" i="18"/>
  <c r="T56" i="18"/>
  <c r="V56" i="18" s="1"/>
  <c r="Q56" i="18"/>
  <c r="T55" i="18"/>
  <c r="V55" i="18" s="1"/>
  <c r="Q55" i="18"/>
  <c r="T54" i="18"/>
  <c r="V54" i="18" s="1"/>
  <c r="Q54" i="18"/>
  <c r="T53" i="18"/>
  <c r="V53" i="18" s="1"/>
  <c r="Q53" i="18"/>
  <c r="T52" i="18"/>
  <c r="V52" i="18" s="1"/>
  <c r="Q52" i="18"/>
  <c r="T51" i="18"/>
  <c r="V51" i="18" s="1"/>
  <c r="Q51" i="18"/>
  <c r="T50" i="18"/>
  <c r="V50" i="18" s="1"/>
  <c r="Q50" i="18"/>
  <c r="T49" i="18"/>
  <c r="V49" i="18" s="1"/>
  <c r="Q49" i="18"/>
  <c r="T48" i="18"/>
  <c r="V48" i="18" s="1"/>
  <c r="Q48" i="18"/>
  <c r="T47" i="18"/>
  <c r="V47" i="18" s="1"/>
  <c r="Q47" i="18"/>
  <c r="T46" i="18"/>
  <c r="Q46" i="18"/>
  <c r="T45" i="18"/>
  <c r="Q45" i="18"/>
  <c r="T44" i="18"/>
  <c r="Q44" i="18"/>
  <c r="T43" i="18"/>
  <c r="Q43" i="18"/>
  <c r="T42" i="18"/>
  <c r="Q42" i="18"/>
  <c r="T41" i="18"/>
  <c r="Q41" i="18"/>
  <c r="T40" i="18"/>
  <c r="V40" i="18" s="1"/>
  <c r="Q40" i="18"/>
  <c r="T39" i="18"/>
  <c r="V39" i="18" s="1"/>
  <c r="Q39" i="18"/>
  <c r="T38" i="18"/>
  <c r="V38" i="18" s="1"/>
  <c r="Q38" i="18"/>
  <c r="T37" i="18"/>
  <c r="V37" i="18" s="1"/>
  <c r="Q37" i="18"/>
  <c r="T36" i="18"/>
  <c r="V36" i="18" s="1"/>
  <c r="Q36" i="18"/>
  <c r="T35" i="18"/>
  <c r="V35" i="18" s="1"/>
  <c r="Q35" i="18"/>
  <c r="T34" i="18"/>
  <c r="V34" i="18" s="1"/>
  <c r="Q34" i="18"/>
  <c r="T33" i="18"/>
  <c r="V33" i="18" s="1"/>
  <c r="Q33" i="18"/>
  <c r="T32" i="18"/>
  <c r="V32" i="18" s="1"/>
  <c r="Q32" i="18"/>
  <c r="T31" i="18"/>
  <c r="V31" i="18" s="1"/>
  <c r="Q31" i="18"/>
  <c r="T30" i="18"/>
  <c r="V30" i="18" s="1"/>
  <c r="Q30" i="18"/>
  <c r="T29" i="18"/>
  <c r="V29" i="18" s="1"/>
  <c r="Q29" i="18"/>
  <c r="T28" i="18"/>
  <c r="V28" i="18" s="1"/>
  <c r="Q28" i="18"/>
  <c r="T27" i="18"/>
  <c r="V27" i="18" s="1"/>
  <c r="Q27" i="18"/>
  <c r="T26" i="18"/>
  <c r="V26" i="18" s="1"/>
  <c r="Q26" i="18"/>
  <c r="T25" i="18"/>
  <c r="V25" i="18" s="1"/>
  <c r="Q25" i="18"/>
  <c r="T24" i="18"/>
  <c r="V24" i="18" s="1"/>
  <c r="Q24" i="18"/>
  <c r="T23" i="18"/>
  <c r="V23" i="18" s="1"/>
  <c r="Q23" i="18"/>
  <c r="T22" i="18"/>
  <c r="V22" i="18" s="1"/>
  <c r="Q22" i="18"/>
  <c r="T21" i="18"/>
  <c r="V21" i="18" s="1"/>
  <c r="Q21" i="18"/>
  <c r="T20" i="18"/>
  <c r="V20" i="18" s="1"/>
  <c r="Q20" i="18"/>
  <c r="T19" i="18"/>
  <c r="V19" i="18" s="1"/>
  <c r="Q19" i="18"/>
  <c r="T18" i="18"/>
  <c r="V18" i="18" s="1"/>
  <c r="Q18" i="18"/>
  <c r="T17" i="18"/>
  <c r="V17" i="18" s="1"/>
  <c r="Q17" i="18"/>
  <c r="T16" i="18"/>
  <c r="V16" i="18" s="1"/>
  <c r="Q16" i="18"/>
  <c r="T15" i="18"/>
  <c r="V15" i="18" s="1"/>
  <c r="Q15" i="18"/>
  <c r="T14" i="18"/>
  <c r="V14" i="18" s="1"/>
  <c r="Q14" i="18"/>
  <c r="T13" i="18"/>
  <c r="V13" i="18" s="1"/>
  <c r="Q13" i="18"/>
  <c r="T12" i="18"/>
  <c r="V12" i="18" s="1"/>
  <c r="Q12" i="18"/>
  <c r="T11" i="18"/>
  <c r="V11" i="18" s="1"/>
  <c r="Q11" i="18"/>
  <c r="T10" i="18"/>
  <c r="V10" i="18" s="1"/>
  <c r="Q10" i="18"/>
  <c r="T9" i="18"/>
  <c r="V9" i="18" s="1"/>
  <c r="Q9" i="18"/>
  <c r="T8" i="18"/>
  <c r="V8" i="18" s="1"/>
  <c r="Q8" i="18"/>
  <c r="T7" i="18"/>
  <c r="V7" i="18" s="1"/>
  <c r="Q7" i="18"/>
  <c r="T6" i="18"/>
  <c r="V6" i="18" s="1"/>
  <c r="Q6" i="18"/>
  <c r="T5" i="18"/>
  <c r="V5" i="18" s="1"/>
  <c r="Q5" i="18"/>
  <c r="T4" i="18"/>
  <c r="V4" i="18" s="1"/>
  <c r="Q4" i="18"/>
  <c r="T3" i="18"/>
  <c r="V3" i="18" s="1"/>
  <c r="Q3" i="18"/>
  <c r="T2" i="18"/>
  <c r="V2" i="18" s="1"/>
  <c r="Q2" i="18"/>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s="1"/>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<sst xmlns="http://schemas.openxmlformats.org/spreadsheetml/2006/main" count="7441" uniqueCount="380">
  <si>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</si>
  <si>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</si>
  <si>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</si>
  <si>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</si>
  <si>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</si>
  <si>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</si>
  <si>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</si>
  <si>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</si>
  <si>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</si>
  <si>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</si>
  <si>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</si>
  <si>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</si>
  <si>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</si>
  <si>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</si>
  <si>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</si>
  <si>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</si>
  <si>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</si>
  <si>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</si>
  <si>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</si>
  <si>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</si>
  <si>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</si>
  <si>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</si>
  <si>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</si>
  <si>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</si>
  <si>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</si>
  <si>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</si>
  <si>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</si>
  <si>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</si>
  <si>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</si>
  <si>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</si>
  <si>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</si>
  <si>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</si>
  <si>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</si>
  <si>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</si>
  <si>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</si>
  <si>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</si>
  <si>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</si>
  <si>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</si>
  <si>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</si>
  <si>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</si>
  <si>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</si>
  <si>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</si>
  <si>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</si>
  <si>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</si>
  <si>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</si>
  <si>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</si>
  <si>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</si>
  <si>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</si>
  <si>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</si>
  <si>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</si>
  <si>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</si>
  <si>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</si>
  <si>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</si>
  <si>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</si>
  <si>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</si>
  <si>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</si>
  <si>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</si>
  <si>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</si>
  <si>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</si>
  <si>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</si>
  <si>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</si>
  <si>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</si>
  <si>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</si>
  <si>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</si>
  <si>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</si>
  <si>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</si>
  <si>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</si>
  <si>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</si>
  <si>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</si>
  <si>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</si>
  <si>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</si>
  <si>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</si>
  <si>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</si>
  <si>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</si>
  <si>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</si>
  <si>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</si>
  <si>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</si>
  <si>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</si>
  <si>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</si>
  <si>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</si>
  <si>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</si>
  <si>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</si>
  <si>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</si>
  <si>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</si>
  <si>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</si>
  <si>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</si>
  <si>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</si>
  <si>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</si>
  <si>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</si>
  <si>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</si>
  <si>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</si>
  <si>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</si>
  <si>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</si>
  <si>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</si>
  <si>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</si>
  <si>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</si>
  <si>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</si>
  <si>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</si>
  <si>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</si>
  <si>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</si>
  <si>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</si>
  <si>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</si>
  <si>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</si>
  <si>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</si>
  <si>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</si>
  <si>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</si>
  <si>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</si>
  <si>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</si>
  <si>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</si>
  <si>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</si>
  <si>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</si>
  <si>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</si>
  <si>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</si>
  <si>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</si>
  <si>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</si>
  <si>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</si>
  <si>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</si>
  <si>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</si>
  <si>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</si>
  <si>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</si>
  <si>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</si>
  <si>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</si>
  <si>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</si>
  <si>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</si>
  <si>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</si>
  <si>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</si>
  <si>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</si>
  <si>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</si>
  <si>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</si>
  <si>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</si>
  <si>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</si>
  <si>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</si>
  <si>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</si>
  <si>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</si>
  <si>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</si>
  <si>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</si>
  <si>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</si>
  <si>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</si>
  <si>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</si>
  <si>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</si>
  <si>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</si>
  <si>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</si>
  <si>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</si>
  <si>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</si>
  <si>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</si>
  <si>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</si>
  <si>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</si>
  <si>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</si>
  <si>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</si>
  <si>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</si>
  <si>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</si>
  <si>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</si>
  <si>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</si>
  <si>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宮崎</t>
    <rPh sb="0" eb="2">
      <t>ミヤザキ</t>
    </rPh>
    <phoneticPr fontId="3"/>
  </si>
  <si>
    <t>マックスバリュ</t>
    <phoneticPr fontId="3"/>
  </si>
  <si>
    <t>北40条</t>
    <phoneticPr fontId="3"/>
  </si>
  <si>
    <t>北海道</t>
    <rPh sb="0" eb="3">
      <t>ホッカイドウ</t>
    </rPh>
    <phoneticPr fontId="3"/>
  </si>
  <si>
    <t>JP</t>
  </si>
  <si>
    <t>JPY</t>
  </si>
  <si>
    <t>CK</t>
  </si>
  <si>
    <t>ﾆｭｰｼﾞｰﾗﾝﾄﾞ</t>
  </si>
  <si>
    <t>マックスバリュ</t>
  </si>
  <si>
    <t>北40条</t>
  </si>
  <si>
    <t>HW</t>
  </si>
  <si>
    <t>GK</t>
  </si>
  <si>
    <t>北25条店</t>
    <rPh sb="4" eb="5">
      <t>テン</t>
    </rPh>
    <phoneticPr fontId="3"/>
  </si>
  <si>
    <t>北26条店</t>
    <rPh sb="4" eb="5">
      <t>テン</t>
    </rPh>
    <phoneticPr fontId="3"/>
  </si>
  <si>
    <t>北27条店</t>
    <rPh sb="4" eb="5">
      <t>テン</t>
    </rPh>
    <phoneticPr fontId="3"/>
  </si>
  <si>
    <t>15.01.2020</t>
  </si>
  <si>
    <t>15.01.2020</t>
    <phoneticPr fontId="3"/>
  </si>
  <si>
    <t>OB</t>
  </si>
  <si>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</si>
  <si>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</si>
  <si>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</si>
  <si>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</si>
  <si>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</si>
  <si>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</si>
  <si>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</si>
  <si>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</si>
  <si>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</si>
  <si>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</si>
  <si>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</si>
  <si>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</si>
  <si>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t xml:space="preserve">Green
Other
</t>
    </r>
    <r>
      <rPr>
        <b/>
        <sz val="8"/>
        <rFont val="ＭＳ Ｐゴシック"/>
        <family val="3"/>
        <charset val="128"/>
      </rPr>
      <t>最低重量</t>
    </r>
  </si>
  <si>
    <t>Green
Other
SIZE</t>
  </si>
  <si>
    <r>
      <t xml:space="preserve">Gold
</t>
    </r>
    <r>
      <rPr>
        <b/>
        <sz val="8"/>
        <rFont val="ＭＳ Ｐゴシック"/>
        <family val="3"/>
        <charset val="128"/>
      </rPr>
      <t>最低重量</t>
    </r>
  </si>
  <si>
    <t>Gold
SIZE</t>
  </si>
  <si>
    <t>14.01.2020</t>
    <phoneticPr fontId="16"/>
  </si>
  <si>
    <t>利府店</t>
  </si>
  <si>
    <t>その他グリーン</t>
  </si>
  <si>
    <t>みやぎ生協</t>
  </si>
  <si>
    <t>その他ゴールド</t>
  </si>
  <si>
    <t>14.01.2020</t>
  </si>
  <si>
    <t>杉の入店</t>
  </si>
  <si>
    <t>その他レッド</t>
  </si>
  <si>
    <t>減農薬栽培</t>
  </si>
  <si>
    <t>D'lish</t>
  </si>
  <si>
    <t>中国</t>
  </si>
  <si>
    <t>ウジエ</t>
  </si>
  <si>
    <t>Del Monte</t>
  </si>
  <si>
    <t>塩釜店</t>
  </si>
  <si>
    <t>ザ・ビッグ</t>
  </si>
  <si>
    <t>HE</t>
  </si>
  <si>
    <t>長野</t>
  </si>
  <si>
    <t>ヤマザワ</t>
  </si>
  <si>
    <t>多賀城店</t>
  </si>
  <si>
    <t>GA</t>
  </si>
  <si>
    <t>岩手</t>
  </si>
  <si>
    <t>ヨークベニマル</t>
  </si>
  <si>
    <t>塩釜北浜店</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</si>
  <si>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</si>
  <si>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</si>
  <si>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</si>
  <si>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</si>
  <si>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</si>
  <si>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</si>
  <si>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</si>
  <si>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</si>
  <si>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</si>
  <si>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</si>
  <si>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</si>
  <si>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</si>
  <si>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</si>
  <si>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</si>
  <si>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</si>
  <si>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</si>
  <si>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</si>
  <si>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</si>
  <si>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</si>
  <si>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</si>
  <si>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</si>
  <si>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</si>
  <si>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</si>
  <si>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</si>
  <si>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</si>
  <si>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</si>
  <si>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</si>
  <si>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</si>
  <si>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旬楽膳</t>
  </si>
  <si>
    <t>日進店</t>
  </si>
  <si>
    <t>フェルナ</t>
  </si>
  <si>
    <t>段の上店</t>
  </si>
  <si>
    <t>アオキスーパー</t>
  </si>
  <si>
    <t>ピアゴ</t>
  </si>
  <si>
    <t>長久手南店</t>
  </si>
  <si>
    <t>カネスエ</t>
  </si>
  <si>
    <t>長久手店</t>
  </si>
  <si>
    <t>アピタ</t>
  </si>
  <si>
    <t>藤が丘店</t>
  </si>
  <si>
    <t>カネトク</t>
  </si>
  <si>
    <t>キラキラ</t>
  </si>
  <si>
    <t>グリーンアイ</t>
  </si>
  <si>
    <t>ＪＡ大阪</t>
  </si>
  <si>
    <t>17.01.2020</t>
  </si>
  <si>
    <t>コノミヤ</t>
  </si>
  <si>
    <t>深井店</t>
  </si>
  <si>
    <t>上野芝店</t>
  </si>
  <si>
    <t>デイリーカナート</t>
  </si>
  <si>
    <t>向ヶ丘店</t>
  </si>
  <si>
    <t>松源</t>
  </si>
  <si>
    <t>北条店</t>
  </si>
  <si>
    <t>ライフ</t>
  </si>
  <si>
    <t>キンショー</t>
  </si>
  <si>
    <t>東湊店</t>
  </si>
  <si>
    <t>万代</t>
  </si>
  <si>
    <t>イズミヤ</t>
  </si>
  <si>
    <t>泉北店</t>
  </si>
  <si>
    <t>ダイエーグルメシティ</t>
  </si>
  <si>
    <t>津久野店</t>
  </si>
  <si>
    <t>県名</t>
    <phoneticPr fontId="3"/>
  </si>
  <si>
    <t>チェーン名</t>
    <phoneticPr fontId="3"/>
  </si>
  <si>
    <t>品種</t>
    <phoneticPr fontId="3"/>
  </si>
  <si>
    <t>福や</t>
  </si>
  <si>
    <t>鉄砲町店</t>
    <rPh sb="3" eb="4">
      <t>テン</t>
    </rPh>
    <phoneticPr fontId="3"/>
  </si>
  <si>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</si>
  <si>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</si>
  <si>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</si>
  <si>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</si>
  <si>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</si>
  <si>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</si>
  <si>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</si>
  <si>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</si>
  <si>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</si>
  <si>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</si>
  <si>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</si>
  <si>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</si>
  <si>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</si>
  <si>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</si>
  <si>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</si>
  <si>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</si>
  <si>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バナナ</t>
    <phoneticPr fontId="4"/>
  </si>
  <si>
    <t>パパイヤ</t>
    <phoneticPr fontId="4"/>
  </si>
  <si>
    <t>びわ</t>
    <phoneticPr fontId="4"/>
  </si>
  <si>
    <t>メロン</t>
    <phoneticPr fontId="4"/>
  </si>
  <si>
    <t>桃</t>
    <phoneticPr fontId="4"/>
  </si>
  <si>
    <t>ブドウ</t>
    <phoneticPr fontId="4"/>
  </si>
  <si>
    <t>ラフランス</t>
    <phoneticPr fontId="4"/>
  </si>
  <si>
    <t>りんご</t>
    <phoneticPr fontId="4"/>
  </si>
  <si>
    <t>みかん</t>
    <phoneticPr fontId="4"/>
  </si>
  <si>
    <t>マンゴー</t>
    <phoneticPr fontId="3"/>
  </si>
  <si>
    <t>13.01.2020</t>
    <phoneticPr fontId="3"/>
  </si>
  <si>
    <t>JPY</t>
    <phoneticPr fontId="3"/>
  </si>
  <si>
    <t>販売
ユニット
個数</t>
    <phoneticPr fontId="4"/>
  </si>
  <si>
    <t>U/P JPY</t>
    <phoneticPr fontId="4"/>
  </si>
  <si>
    <t>JP</t>
    <phoneticPr fontId="3"/>
  </si>
  <si>
    <t>マルショク</t>
    <phoneticPr fontId="3"/>
  </si>
  <si>
    <t>野間大池</t>
    <rPh sb="0" eb="2">
      <t>ノマ</t>
    </rPh>
    <rPh sb="2" eb="4">
      <t>オオイケ</t>
    </rPh>
    <phoneticPr fontId="3"/>
  </si>
  <si>
    <t>福岡</t>
    <rPh sb="0" eb="2">
      <t>フクオカ</t>
    </rPh>
    <phoneticPr fontId="4"/>
  </si>
  <si>
    <t>JPY</t>
    <phoneticPr fontId="4"/>
  </si>
  <si>
    <t>サニー</t>
  </si>
  <si>
    <t>野間</t>
    <rPh sb="0" eb="2">
      <t>ノマ</t>
    </rPh>
    <phoneticPr fontId="3"/>
  </si>
  <si>
    <t>一般栽培</t>
    <phoneticPr fontId="4"/>
  </si>
  <si>
    <t>マルショク</t>
  </si>
  <si>
    <t>バナナ</t>
    <phoneticPr fontId="3"/>
  </si>
  <si>
    <t>CK</t>
    <phoneticPr fontId="3"/>
  </si>
  <si>
    <t>マミーズ</t>
  </si>
  <si>
    <t>美野島</t>
    <rPh sb="0" eb="1">
      <t>ミ</t>
    </rPh>
    <rPh sb="1" eb="2">
      <t>ノ</t>
    </rPh>
    <rPh sb="2" eb="3">
      <t>シマ</t>
    </rPh>
    <phoneticPr fontId="3"/>
  </si>
  <si>
    <t>りんご</t>
    <phoneticPr fontId="3"/>
  </si>
  <si>
    <t>西鉄ストア</t>
    <rPh sb="0" eb="2">
      <t>ニシテツ</t>
    </rPh>
    <phoneticPr fontId="3"/>
  </si>
  <si>
    <t>高宮</t>
    <rPh sb="0" eb="2">
      <t>タカミヤ</t>
    </rPh>
    <phoneticPr fontId="3"/>
  </si>
  <si>
    <t>Del Monte</t>
    <phoneticPr fontId="4"/>
  </si>
  <si>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</si>
  <si>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</si>
  <si>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</si>
  <si>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</si>
  <si>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</si>
  <si>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</si>
  <si>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</si>
  <si>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大橋</t>
    <rPh sb="0" eb="2">
      <t>オオハシ</t>
    </rPh>
    <phoneticPr fontId="3"/>
  </si>
  <si>
    <t>ダイキョーバリュー</t>
  </si>
  <si>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</si>
  <si>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</si>
  <si>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</si>
  <si>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</si>
  <si>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</si>
  <si>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</si>
  <si>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</si>
  <si>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</si>
  <si>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</si>
  <si>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</si>
  <si>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</si>
  <si>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</si>
  <si>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</si>
  <si>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</si>
  <si>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</si>
  <si>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</si>
  <si>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</si>
  <si>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</si>
  <si>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店舗名</t>
    <phoneticPr fontId="3"/>
  </si>
  <si>
    <t>16.01.2020</t>
    <phoneticPr fontId="3"/>
  </si>
  <si>
    <t>サミット</t>
  </si>
  <si>
    <t>久が原食品館</t>
  </si>
  <si>
    <t>16.01.2020</t>
  </si>
  <si>
    <t>東急ストア</t>
  </si>
  <si>
    <t>蒲田</t>
  </si>
  <si>
    <t>マルエツ</t>
  </si>
  <si>
    <t>大森西</t>
  </si>
  <si>
    <t>大森</t>
  </si>
  <si>
    <t>カドヤ</t>
  </si>
  <si>
    <t>大井町</t>
  </si>
  <si>
    <t>品川シーサイド</t>
  </si>
  <si>
    <t>大崎ニューシティ</t>
  </si>
  <si>
    <t>２番人気
果実</t>
    <phoneticPr fontId="3"/>
  </si>
  <si>
    <t>ビッグ・エー</t>
  </si>
  <si>
    <t>江戸川本一色店</t>
  </si>
  <si>
    <t>松江店</t>
  </si>
  <si>
    <t>マックスバリュエクスプレス</t>
  </si>
  <si>
    <t>松島店</t>
    <rPh sb="1" eb="2">
      <t>シマ</t>
    </rPh>
    <phoneticPr fontId="3"/>
  </si>
  <si>
    <t>ヤマイチ</t>
  </si>
  <si>
    <t>中央店</t>
    <rPh sb="0" eb="2">
      <t>チュウオウ</t>
    </rPh>
    <phoneticPr fontId="3"/>
  </si>
  <si>
    <t>東武ストア</t>
  </si>
  <si>
    <t>新小岩店</t>
  </si>
  <si>
    <t>コモディイイダ</t>
  </si>
  <si>
    <t>西瑞江店</t>
  </si>
  <si>
    <t>いなげや</t>
  </si>
  <si>
    <t>江戸川春江店</t>
  </si>
  <si>
    <t>鹿骨店</t>
  </si>
  <si>
    <t>サミットストア</t>
  </si>
  <si>
    <t>江戸川区役所前店</t>
    <rPh sb="0" eb="6">
      <t>エドガワクヤクショ</t>
    </rPh>
    <rPh sb="6" eb="7">
      <t>マエ</t>
    </rPh>
    <rPh sb="7" eb="8">
      <t>ミセ</t>
    </rPh>
    <phoneticPr fontId="3"/>
  </si>
  <si>
    <t>江戸川中央店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</si>
</sst>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21"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color theme="1"/>
      <name val="ＭＳ Ｐゴシック"/>
      <family val="2"/>
      <scheme val="minor"/>
    </font>
    <font>
      <sz val="11"/>
      <name val="ＭＳ Ｐゴシック"/>
      <family val="3"/>
      <charset val="128"/>
      <scheme val="minor"/>
    </font>
    <font>
      <sz val="6"/>
      <name val="ＭＳ Ｐゴシック"/>
      <family val="3"/>
      <charset val="128"/>
      <scheme val="minor"/>
    </font>
    <font>
      <sz val="11"/>
      <color theme="1"/>
      <name val="ＭＳ Ｐゴシック"/>
      <charset val="128"/>
      <scheme val="minor"/>
    </font>
    <font>
      <sz val="10"/>
      <name val="ＭＳ ゴシック"/>
      <family val="3"/>
      <charset val="128"/>
    </font>
    <font>
      <sz val="11"/>
      <color indexed="8"/>
      <name val="ＭＳ Ｐゴシック"/>
      <family val="3"/>
      <charset val="128"/>
    </font>
    <font>
      <sz val="11"/>
      <name val="ＭＳ Ｐゴシック"/>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auto="1"/>
      </left>
      <right/>
      <top/>
      <bottom/>
      <diagonal/>
    </border>
    <border>
      <left style="hair">
        <color auto="1"/>
      </left>
      <right style="thin">
        <color auto="1"/>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s>
  <cellStyleXfs count="10">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4" fillId="0" borderId="0"/>
    <xf numFmtId="0" fontId="17" fillId="0" borderId="0">
      <alignment vertical="center"/>
    </xf>
  </cellStyleXfs>
  <cellXfs count="181">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0" fontId="1" fillId="0" borderId="0" xfId="1"/>
    <xf numFmtId="0" fontId="1" fillId="0" borderId="0" xfId="1" applyFill="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49" fontId="5" fillId="0" borderId="3" xfId="1" applyNumberFormat="1" applyFont="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0" fontId="1" fillId="0" borderId="0" xfId="1" applyAlignment="1">
      <alignment horizontal="center"/>
    </xf>
    <xf numFmtId="14" fontId="15" fillId="0" borderId="0" xfId="1" applyNumberFormat="1" applyFont="1" applyAlignment="1">
      <alignment horizontal="right"/>
    </xf>
    <xf numFmtId="0" fontId="10" fillId="0" borderId="7" xfId="1" applyFont="1" applyBorder="1"/>
    <xf numFmtId="0" fontId="18" fillId="0" borderId="22" xfId="9" applyFont="1" applyBorder="1" applyAlignment="1">
      <alignment horizontal="center" vertical="center"/>
    </xf>
    <xf numFmtId="0" fontId="18" fillId="0" borderId="23" xfId="9" applyFont="1" applyBorder="1" applyAlignment="1">
      <alignment horizontal="center" vertical="center"/>
    </xf>
    <xf numFmtId="0" fontId="1" fillId="0" borderId="8"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8" fillId="0" borderId="12" xfId="9" applyFont="1" applyBorder="1" applyAlignment="1">
      <alignment horizontal="center" vertical="center"/>
    </xf>
    <xf numFmtId="178" fontId="1" fillId="3" borderId="0" xfId="1" applyNumberFormat="1" applyFill="1"/>
    <xf numFmtId="0" fontId="1" fillId="0" borderId="18" xfId="1" applyBorder="1"/>
    <xf numFmtId="0" fontId="15" fillId="0" borderId="0" xfId="1" applyFont="1"/>
    <xf numFmtId="0" fontId="15" fillId="0" borderId="0" xfId="9" applyFont="1">
      <alignment vertical="center"/>
    </xf>
    <xf numFmtId="178" fontId="1" fillId="2" borderId="0" xfId="1" applyNumberFormat="1" applyFill="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49" fontId="7" fillId="0" borderId="5" xfId="1" applyNumberFormat="1" applyFont="1" applyBorder="1" applyAlignment="1">
      <alignment horizontal="center" vertical="center" wrapText="1"/>
    </xf>
    <xf numFmtId="14" fontId="19" fillId="0" borderId="0" xfId="1" applyNumberFormat="1" applyFont="1"/>
    <xf numFmtId="0" fontId="1" fillId="0" borderId="12" xfId="1" applyBorder="1" applyAlignment="1">
      <alignment shrinkToFit="1"/>
    </xf>
    <xf numFmtId="0" fontId="19" fillId="0" borderId="0" xfId="1" applyFont="1"/>
    <xf numFmtId="0" fontId="11" fillId="0" borderId="0" xfId="2">
      <alignment vertical="center"/>
    </xf>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0" fontId="1" fillId="0" borderId="0" xfId="5" applyAlignment="1"/>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Alignment="1"/>
    <xf numFmtId="177"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4" fontId="0" fillId="0" borderId="0" xfId="5" applyNumberFormat="1" applyFont="1" applyAlignment="1"/>
    <xf numFmtId="49" fontId="2" fillId="0" borderId="1" xfId="1" applyNumberFormat="1" applyFont="1" applyBorder="1" applyAlignment="1">
      <alignment horizontal="center" vertical="center" wrapText="1"/>
    </xf>
    <xf numFmtId="49" fontId="2" fillId="0" borderId="4" xfId="1" applyNumberFormat="1" applyFont="1" applyBorder="1" applyAlignment="1">
      <alignment horizontal="center" vertical="center" wrapText="1"/>
    </xf>
    <xf numFmtId="49" fontId="7" fillId="0" borderId="6" xfId="1" applyNumberFormat="1" applyFont="1" applyBorder="1" applyAlignment="1">
      <alignment horizontal="center" vertical="center" wrapText="1"/>
    </xf>
    <xf numFmtId="0" fontId="10" fillId="0" borderId="24" xfId="1" applyFont="1" applyBorder="1" applyAlignment="1">
      <alignment horizontal="left" wrapText="1"/>
    </xf>
    <xf numFmtId="0" fontId="1" fillId="4" borderId="0" xfId="1" applyFill="1"/>
    <xf numFmtId="14" fontId="1" fillId="4" borderId="0" xfId="1" applyNumberFormat="1" applyFill="1"/>
    <xf numFmtId="1" fontId="1" fillId="2" borderId="0" xfId="1" applyNumberFormat="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2" xfId="1" applyFont="1" applyBorder="1"/>
    <xf numFmtId="0" fontId="0" fillId="0" borderId="17" xfId="1" applyFont="1" applyBorder="1"/>
    <xf numFmtId="14" fontId="19" fillId="0" borderId="0" xfId="1" applyNumberFormat="1" applyFont="1" applyAlignment="1">
      <alignment horizontal="center"/>
    </xf>
    <xf numFmtId="0" fontId="20" fillId="0" borderId="1" xfId="0" applyFont="1" applyBorder="1">
      <alignment vertical="center"/>
    </xf>
    <xf numFmtId="0" fontId="15" fillId="0" borderId="4" xfId="0" applyFont="1" applyBorder="1">
      <alignment vertical="center"/>
    </xf>
    <xf numFmtId="0" fontId="15" fillId="0" borderId="1" xfId="0" applyFont="1" applyBorder="1">
      <alignment vertical="center"/>
    </xf>
    <xf numFmtId="0" fontId="15" fillId="0" borderId="6" xfId="0" applyFont="1" applyBorder="1">
      <alignment vertical="center"/>
    </xf>
    <xf numFmtId="49" fontId="2" fillId="5" borderId="25" xfId="1" applyNumberFormat="1" applyFont="1" applyFill="1" applyBorder="1" applyAlignment="1">
      <alignment horizontal="center" vertical="center" wrapText="1"/>
    </xf>
    <xf numFmtId="49" fontId="7" fillId="4" borderId="0" xfId="1" applyNumberFormat="1" applyFont="1" applyFill="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6" xfId="1" applyFill="1" applyBorder="1"/>
    <xf numFmtId="14" fontId="0" fillId="4" borderId="27" xfId="1" applyNumberFormat="1" applyFont="1" applyFill="1" applyBorder="1"/>
    <xf numFmtId="0" fontId="1" fillId="4" borderId="28" xfId="1" applyFill="1" applyBorder="1"/>
    <xf numFmtId="0" fontId="1" fillId="4" borderId="29" xfId="1" applyFill="1" applyBorder="1"/>
    <xf numFmtId="0" fontId="1" fillId="4" borderId="30" xfId="1" applyFill="1" applyBorder="1"/>
    <xf numFmtId="0" fontId="1" fillId="4" borderId="31" xfId="1" applyFill="1" applyBorder="1"/>
    <xf numFmtId="0" fontId="1" fillId="4" borderId="32" xfId="1" applyFill="1" applyBorder="1"/>
    <xf numFmtId="178" fontId="1" fillId="3" borderId="29" xfId="1" applyNumberFormat="1" applyFill="1" applyBorder="1"/>
    <xf numFmtId="0" fontId="1" fillId="4" borderId="33" xfId="1" applyFill="1" applyBorder="1"/>
    <xf numFmtId="0" fontId="1" fillId="3" borderId="30" xfId="1" applyFill="1" applyBorder="1"/>
    <xf numFmtId="0" fontId="1" fillId="4" borderId="34" xfId="1" applyFill="1" applyBorder="1"/>
    <xf numFmtId="0" fontId="1" fillId="4" borderId="35" xfId="1" applyFill="1" applyBorder="1"/>
    <xf numFmtId="0" fontId="1" fillId="4" borderId="36" xfId="1" applyFill="1" applyBorder="1"/>
    <xf numFmtId="0" fontId="1" fillId="0" borderId="36" xfId="1" applyBorder="1"/>
    <xf numFmtId="14" fontId="0" fillId="4" borderId="37" xfId="1" applyNumberFormat="1" applyFont="1" applyFill="1" applyBorder="1"/>
    <xf numFmtId="0" fontId="1" fillId="4" borderId="38" xfId="1" applyFill="1" applyBorder="1"/>
    <xf numFmtId="178" fontId="1" fillId="3" borderId="39" xfId="1" applyNumberFormat="1" applyFill="1" applyBorder="1"/>
    <xf numFmtId="0" fontId="1" fillId="0" borderId="40" xfId="1" applyBorder="1"/>
    <xf numFmtId="0" fontId="1" fillId="0" borderId="41" xfId="1" applyBorder="1"/>
    <xf numFmtId="0" fontId="1" fillId="0" borderId="42" xfId="1" applyBorder="1"/>
    <xf numFmtId="0" fontId="1" fillId="4" borderId="43" xfId="1" applyFill="1" applyBorder="1"/>
    <xf numFmtId="0" fontId="1" fillId="4" borderId="12" xfId="1" applyFill="1" applyBorder="1"/>
    <xf numFmtId="0" fontId="1" fillId="0" borderId="44" xfId="1" applyBorder="1"/>
    <xf numFmtId="0" fontId="1" fillId="4" borderId="41" xfId="1" applyFill="1" applyBorder="1"/>
    <xf numFmtId="0" fontId="1" fillId="4" borderId="16" xfId="1" applyFill="1" applyBorder="1"/>
    <xf numFmtId="0" fontId="1" fillId="4" borderId="17" xfId="1" applyFill="1" applyBorder="1"/>
    <xf numFmtId="0" fontId="1" fillId="0" borderId="43" xfId="1" applyBorder="1"/>
    <xf numFmtId="0" fontId="1" fillId="0" borderId="35" xfId="1" applyBorder="1"/>
    <xf numFmtId="14" fontId="0" fillId="0" borderId="0" xfId="1" applyNumberFormat="1" applyFont="1"/>
    <xf numFmtId="49" fontId="8" fillId="0" borderId="24"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cellXfs>
  <cellStyles count="10">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00000000-0005-0000-0000-000008000000}"/>
    <cellStyle name="標準 6" xfId="9" xr:uid="{EE66A8A0-793C-437B-A6CA-D61D1288485B}"/>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20"/>
  <sheetViews>
    <sheetView tabSelected="1" zoomScale="85" zoomScaleNormal="85" workbookViewId="0">
      <selection activeCell="C53" sqref="C53"/>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156</v>
      </c>
      <c r="B2" s="15" t="s">
        <v>157</v>
      </c>
      <c r="C2" s="15">
        <v>2019</v>
      </c>
      <c r="D2" s="50" t="s">
        <v>169</v>
      </c>
      <c r="E2" s="15" t="s">
        <v>141</v>
      </c>
      <c r="F2" s="15" t="s">
        <v>149</v>
      </c>
      <c r="G2" s="15" t="s">
        <v>36</v>
      </c>
      <c r="H2" s="15" t="s">
        <v>163</v>
      </c>
      <c r="I2" s="15" t="s">
        <v>159</v>
      </c>
      <c r="J2" s="15" t="s">
        <v>38</v>
      </c>
      <c r="K2" s="7" t="s">
        <v>160</v>
      </c>
      <c r="L2" s="7">
        <v>1</v>
      </c>
      <c r="N2" s="47">
        <v>5</v>
      </c>
      <c r="O2" s="15">
        <v>0.5</v>
      </c>
      <c r="P2" s="15">
        <v>0.5</v>
      </c>
      <c r="Q2" s="51">
        <f t="shared" ref="Q2:Q65" si="0">IF(OR(O2="",P2=""),"",AVERAGE(O2,P2))</f>
        <v>0.5</v>
      </c>
      <c r="R2" s="15">
        <v>12.8</v>
      </c>
      <c r="S2" s="15">
        <v>99</v>
      </c>
      <c r="T2" s="38">
        <f t="shared" ref="T2:T59" si="1">IF(H2="","",IF(OR(H2="GREEN",H2="GK"),IF(S2&gt;=$AX$2,VLOOKUP(S2,$AX$2:$AY$12,2,1),""),IF(S2&gt;=$AZ$2,VLOOKUP(S2,$AZ$2:$BA$12,2,1),"")))</f>
        <v>33</v>
      </c>
      <c r="U2" s="15">
        <v>395</v>
      </c>
      <c r="V2" s="38">
        <f t="shared" ref="V2:V65" si="2">IF(OR(N2="",U2="",T2=""),"",U2/N2*T2)</f>
        <v>2607</v>
      </c>
      <c r="W2" s="15">
        <v>6</v>
      </c>
      <c r="X2" s="15" t="s">
        <v>39</v>
      </c>
      <c r="Y2" s="15" t="s">
        <v>84</v>
      </c>
      <c r="Z2" s="15" t="s">
        <v>40</v>
      </c>
      <c r="AA2" s="15" t="s">
        <v>69</v>
      </c>
      <c r="AB2" s="39" t="s">
        <v>158</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156</v>
      </c>
      <c r="B3" s="15" t="s">
        <v>157</v>
      </c>
      <c r="C3" s="54">
        <v>2019</v>
      </c>
      <c r="D3" s="37" t="s">
        <v>168</v>
      </c>
      <c r="E3" s="15" t="s">
        <v>141</v>
      </c>
      <c r="F3" s="7" t="s">
        <v>149</v>
      </c>
      <c r="G3" s="7" t="s">
        <v>36</v>
      </c>
      <c r="H3" s="15" t="s">
        <v>163</v>
      </c>
      <c r="I3" s="7" t="s">
        <v>159</v>
      </c>
      <c r="J3" s="15" t="s">
        <v>38</v>
      </c>
      <c r="K3" s="7" t="s">
        <v>160</v>
      </c>
      <c r="L3" s="7">
        <v>2</v>
      </c>
      <c r="N3" s="7">
        <v>5</v>
      </c>
      <c r="O3" s="34">
        <v>0.5</v>
      </c>
      <c r="P3" s="7">
        <v>0.5</v>
      </c>
      <c r="Q3" s="52">
        <f t="shared" si="0"/>
        <v>0.5</v>
      </c>
      <c r="R3" s="7">
        <v>12.8</v>
      </c>
      <c r="S3" s="7">
        <v>97</v>
      </c>
      <c r="T3" s="16">
        <f t="shared" si="1"/>
        <v>36</v>
      </c>
      <c r="U3" s="15">
        <v>395</v>
      </c>
      <c r="V3" s="16">
        <f t="shared" si="2"/>
        <v>2844</v>
      </c>
      <c r="W3" s="15">
        <v>6</v>
      </c>
      <c r="X3" s="15" t="s">
        <v>39</v>
      </c>
      <c r="Y3" s="54" t="s">
        <v>84</v>
      </c>
      <c r="Z3" s="54" t="s">
        <v>40</v>
      </c>
      <c r="AA3" s="54" t="s">
        <v>69</v>
      </c>
      <c r="AB3" s="39" t="s">
        <v>158</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156</v>
      </c>
      <c r="B4" s="15" t="s">
        <v>157</v>
      </c>
      <c r="C4" s="54">
        <v>2019</v>
      </c>
      <c r="D4" s="37" t="s">
        <v>168</v>
      </c>
      <c r="E4" s="15" t="s">
        <v>141</v>
      </c>
      <c r="F4" s="7" t="s">
        <v>149</v>
      </c>
      <c r="G4" s="7" t="s">
        <v>36</v>
      </c>
      <c r="H4" s="15" t="s">
        <v>163</v>
      </c>
      <c r="I4" s="7" t="s">
        <v>159</v>
      </c>
      <c r="J4" s="15" t="s">
        <v>38</v>
      </c>
      <c r="K4" s="7" t="s">
        <v>160</v>
      </c>
      <c r="L4" s="7">
        <v>3</v>
      </c>
      <c r="N4" s="7">
        <v>5</v>
      </c>
      <c r="O4" s="7">
        <v>0.6</v>
      </c>
      <c r="P4" s="7">
        <v>0.6</v>
      </c>
      <c r="Q4" s="52">
        <f t="shared" si="0"/>
        <v>0.6</v>
      </c>
      <c r="R4" s="7">
        <v>16.899999999999999</v>
      </c>
      <c r="S4" s="7">
        <v>86</v>
      </c>
      <c r="T4" s="16">
        <f t="shared" si="1"/>
        <v>36</v>
      </c>
      <c r="U4" s="15">
        <v>395</v>
      </c>
      <c r="V4" s="16">
        <f t="shared" si="2"/>
        <v>2844</v>
      </c>
      <c r="W4" s="15">
        <v>6</v>
      </c>
      <c r="X4" s="54" t="s">
        <v>39</v>
      </c>
      <c r="Y4" s="54" t="s">
        <v>84</v>
      </c>
      <c r="Z4" s="54" t="s">
        <v>40</v>
      </c>
      <c r="AA4" s="54" t="s">
        <v>69</v>
      </c>
      <c r="AB4" s="39" t="s">
        <v>158</v>
      </c>
      <c r="AE4" s="22" t="s">
        <v>34</v>
      </c>
      <c r="AG4" s="49" t="s">
        <v>154</v>
      </c>
      <c r="AH4" s="49" t="s">
        <v>155</v>
      </c>
      <c r="AJ4" s="27" t="s">
        <v>48</v>
      </c>
      <c r="AL4" s="27" t="s">
        <v>129</v>
      </c>
      <c r="AN4" s="28" t="s">
        <v>49</v>
      </c>
      <c r="AP4" s="23" t="s">
        <v>93</v>
      </c>
      <c r="AR4" s="41" t="s">
        <v>121</v>
      </c>
      <c r="AT4" s="28"/>
      <c r="AV4" s="23" t="s">
        <v>50</v>
      </c>
      <c r="AX4" s="24">
        <v>75</v>
      </c>
      <c r="AY4" s="25">
        <v>42</v>
      </c>
      <c r="AZ4" s="25">
        <v>76</v>
      </c>
      <c r="BA4" s="26">
        <v>39</v>
      </c>
    </row>
    <row r="5" spans="1:53" x14ac:dyDescent="0.15">
      <c r="A5" s="15" t="s">
        <v>156</v>
      </c>
      <c r="B5" s="15" t="s">
        <v>157</v>
      </c>
      <c r="C5" s="54">
        <v>2019</v>
      </c>
      <c r="D5" s="37" t="s">
        <v>168</v>
      </c>
      <c r="E5" s="54" t="s">
        <v>141</v>
      </c>
      <c r="F5" s="53" t="s">
        <v>165</v>
      </c>
      <c r="G5" s="53" t="s">
        <v>36</v>
      </c>
      <c r="H5" s="54" t="s">
        <v>164</v>
      </c>
      <c r="I5" s="7" t="s">
        <v>159</v>
      </c>
      <c r="J5" s="15" t="s">
        <v>38</v>
      </c>
      <c r="K5" s="7" t="s">
        <v>54</v>
      </c>
      <c r="L5" s="7">
        <v>1</v>
      </c>
      <c r="N5" s="53">
        <v>4</v>
      </c>
      <c r="O5" s="7">
        <v>0.8</v>
      </c>
      <c r="P5" s="7">
        <v>0.9</v>
      </c>
      <c r="Q5" s="52">
        <f t="shared" si="0"/>
        <v>0.85000000000000009</v>
      </c>
      <c r="R5" s="7">
        <v>15.6</v>
      </c>
      <c r="S5" s="7">
        <v>76</v>
      </c>
      <c r="T5" s="16">
        <f t="shared" si="1"/>
        <v>42</v>
      </c>
      <c r="U5" s="15">
        <v>495</v>
      </c>
      <c r="V5" s="16">
        <f t="shared" si="2"/>
        <v>5197.5</v>
      </c>
      <c r="W5" s="15">
        <v>2</v>
      </c>
      <c r="X5" s="54" t="s">
        <v>39</v>
      </c>
      <c r="Y5" s="54" t="s">
        <v>84</v>
      </c>
      <c r="Z5" s="54" t="s">
        <v>40</v>
      </c>
      <c r="AA5" s="54" t="s">
        <v>69</v>
      </c>
      <c r="AB5" s="39" t="s">
        <v>158</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156</v>
      </c>
      <c r="B6" s="15" t="s">
        <v>157</v>
      </c>
      <c r="C6" s="54">
        <v>2019</v>
      </c>
      <c r="D6" s="37" t="s">
        <v>168</v>
      </c>
      <c r="E6" s="54" t="s">
        <v>141</v>
      </c>
      <c r="F6" s="53" t="s">
        <v>166</v>
      </c>
      <c r="G6" s="53" t="s">
        <v>36</v>
      </c>
      <c r="H6" s="54" t="s">
        <v>164</v>
      </c>
      <c r="I6" s="53" t="s">
        <v>159</v>
      </c>
      <c r="J6" s="54" t="s">
        <v>38</v>
      </c>
      <c r="K6" s="53" t="s">
        <v>54</v>
      </c>
      <c r="L6" s="7">
        <v>2</v>
      </c>
      <c r="N6" s="53">
        <v>4</v>
      </c>
      <c r="O6" s="7">
        <v>0.6</v>
      </c>
      <c r="P6" s="7">
        <v>0.75</v>
      </c>
      <c r="Q6" s="52">
        <f t="shared" si="0"/>
        <v>0.67500000000000004</v>
      </c>
      <c r="R6" s="7">
        <v>12.4</v>
      </c>
      <c r="S6" s="7">
        <v>73</v>
      </c>
      <c r="T6" s="16">
        <f t="shared" si="1"/>
        <v>46</v>
      </c>
      <c r="U6" s="15">
        <v>495</v>
      </c>
      <c r="V6" s="16">
        <f t="shared" si="2"/>
        <v>5692.5</v>
      </c>
      <c r="W6" s="15">
        <v>2</v>
      </c>
      <c r="X6" s="54" t="s">
        <v>39</v>
      </c>
      <c r="Y6" s="54" t="s">
        <v>84</v>
      </c>
      <c r="Z6" s="54" t="s">
        <v>40</v>
      </c>
      <c r="AA6" s="54" t="s">
        <v>69</v>
      </c>
      <c r="AB6" s="39" t="s">
        <v>158</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156</v>
      </c>
      <c r="B7" s="15" t="s">
        <v>157</v>
      </c>
      <c r="C7" s="54">
        <v>2019</v>
      </c>
      <c r="D7" s="37" t="s">
        <v>168</v>
      </c>
      <c r="E7" s="54" t="s">
        <v>141</v>
      </c>
      <c r="F7" s="53" t="s">
        <v>167</v>
      </c>
      <c r="G7" s="53" t="s">
        <v>36</v>
      </c>
      <c r="H7" s="54" t="s">
        <v>164</v>
      </c>
      <c r="I7" s="53" t="s">
        <v>159</v>
      </c>
      <c r="J7" s="54" t="s">
        <v>38</v>
      </c>
      <c r="K7" s="53" t="s">
        <v>54</v>
      </c>
      <c r="L7" s="7">
        <v>3</v>
      </c>
      <c r="N7" s="53">
        <v>4</v>
      </c>
      <c r="O7" s="7">
        <v>0.55000000000000004</v>
      </c>
      <c r="P7" s="7">
        <v>0.75</v>
      </c>
      <c r="Q7" s="52">
        <f t="shared" si="0"/>
        <v>0.65</v>
      </c>
      <c r="R7" s="34">
        <v>13.4</v>
      </c>
      <c r="S7" s="7">
        <v>85</v>
      </c>
      <c r="T7" s="16">
        <f t="shared" si="1"/>
        <v>39</v>
      </c>
      <c r="U7" s="15">
        <v>495</v>
      </c>
      <c r="V7" s="16">
        <f t="shared" si="2"/>
        <v>4826.25</v>
      </c>
      <c r="W7" s="15">
        <v>2</v>
      </c>
      <c r="X7" s="54" t="s">
        <v>39</v>
      </c>
      <c r="Y7" s="54" t="s">
        <v>84</v>
      </c>
      <c r="Z7" s="54" t="s">
        <v>40</v>
      </c>
      <c r="AA7" s="54" t="s">
        <v>69</v>
      </c>
      <c r="AB7" s="39" t="s">
        <v>158</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156</v>
      </c>
      <c r="B8" s="15" t="s">
        <v>157</v>
      </c>
      <c r="C8" s="54">
        <v>2019</v>
      </c>
      <c r="D8" s="37" t="s">
        <v>168</v>
      </c>
      <c r="E8" s="15" t="s">
        <v>133</v>
      </c>
      <c r="F8" s="7" t="s">
        <v>150</v>
      </c>
      <c r="G8" s="7" t="s">
        <v>36</v>
      </c>
      <c r="H8" s="15" t="s">
        <v>163</v>
      </c>
      <c r="I8" s="7" t="s">
        <v>159</v>
      </c>
      <c r="J8" s="15" t="s">
        <v>38</v>
      </c>
      <c r="K8" s="7" t="s">
        <v>160</v>
      </c>
      <c r="L8" s="7">
        <v>1</v>
      </c>
      <c r="N8" s="53">
        <v>1</v>
      </c>
      <c r="O8" s="7">
        <v>0.75</v>
      </c>
      <c r="P8" s="7">
        <v>0.85</v>
      </c>
      <c r="Q8" s="52">
        <f t="shared" si="0"/>
        <v>0.8</v>
      </c>
      <c r="R8" s="34">
        <v>12.4</v>
      </c>
      <c r="S8" s="7">
        <v>108</v>
      </c>
      <c r="T8" s="16">
        <f t="shared" si="1"/>
        <v>33</v>
      </c>
      <c r="U8" s="15">
        <v>98</v>
      </c>
      <c r="V8" s="16">
        <f t="shared" si="2"/>
        <v>3234</v>
      </c>
      <c r="W8" s="15">
        <v>12</v>
      </c>
      <c r="X8" s="54" t="s">
        <v>46</v>
      </c>
      <c r="Y8" s="54" t="s">
        <v>84</v>
      </c>
      <c r="Z8" s="54" t="s">
        <v>90</v>
      </c>
      <c r="AA8" s="54" t="s">
        <v>40</v>
      </c>
      <c r="AB8" s="39" t="s">
        <v>158</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156</v>
      </c>
      <c r="B9" s="15" t="s">
        <v>157</v>
      </c>
      <c r="C9" s="54">
        <v>2019</v>
      </c>
      <c r="D9" s="37" t="s">
        <v>168</v>
      </c>
      <c r="E9" s="15" t="s">
        <v>133</v>
      </c>
      <c r="F9" s="7" t="s">
        <v>150</v>
      </c>
      <c r="G9" s="7" t="s">
        <v>36</v>
      </c>
      <c r="H9" s="54" t="s">
        <v>163</v>
      </c>
      <c r="I9" s="53" t="s">
        <v>159</v>
      </c>
      <c r="J9" s="54" t="s">
        <v>38</v>
      </c>
      <c r="K9" s="53" t="s">
        <v>160</v>
      </c>
      <c r="L9" s="7">
        <v>2</v>
      </c>
      <c r="N9" s="7">
        <v>1</v>
      </c>
      <c r="O9" s="7">
        <v>0.5</v>
      </c>
      <c r="P9" s="7">
        <v>0.5</v>
      </c>
      <c r="Q9" s="52">
        <f t="shared" si="0"/>
        <v>0.5</v>
      </c>
      <c r="R9" s="7">
        <v>12.7</v>
      </c>
      <c r="S9" s="7">
        <v>107</v>
      </c>
      <c r="T9" s="16">
        <f t="shared" si="1"/>
        <v>33</v>
      </c>
      <c r="U9" s="15">
        <v>98</v>
      </c>
      <c r="V9" s="16">
        <f t="shared" si="2"/>
        <v>3234</v>
      </c>
      <c r="W9" s="15">
        <v>12</v>
      </c>
      <c r="X9" s="54" t="s">
        <v>46</v>
      </c>
      <c r="Y9" s="54" t="s">
        <v>84</v>
      </c>
      <c r="Z9" s="54" t="s">
        <v>90</v>
      </c>
      <c r="AA9" s="54" t="s">
        <v>40</v>
      </c>
      <c r="AB9" s="39" t="s">
        <v>158</v>
      </c>
      <c r="AE9" s="22" t="s">
        <v>98</v>
      </c>
      <c r="AG9" s="49" t="s">
        <v>133</v>
      </c>
      <c r="AH9" s="49" t="s">
        <v>150</v>
      </c>
      <c r="AL9" s="34"/>
      <c r="AP9" s="23" t="s">
        <v>95</v>
      </c>
      <c r="AR9" s="30" t="s">
        <v>89</v>
      </c>
      <c r="AV9" s="23" t="s">
        <v>102</v>
      </c>
      <c r="AX9" s="24">
        <v>128</v>
      </c>
      <c r="AY9" s="25">
        <v>27</v>
      </c>
      <c r="AZ9" s="25">
        <v>129</v>
      </c>
      <c r="BA9" s="26">
        <v>25</v>
      </c>
    </row>
    <row r="10" spans="1:53" x14ac:dyDescent="0.15">
      <c r="A10" s="15" t="s">
        <v>156</v>
      </c>
      <c r="B10" s="15" t="s">
        <v>157</v>
      </c>
      <c r="C10" s="54">
        <v>2019</v>
      </c>
      <c r="D10" s="37" t="s">
        <v>168</v>
      </c>
      <c r="E10" s="15" t="s">
        <v>133</v>
      </c>
      <c r="F10" s="7" t="s">
        <v>150</v>
      </c>
      <c r="G10" s="7" t="s">
        <v>36</v>
      </c>
      <c r="H10" s="54" t="s">
        <v>163</v>
      </c>
      <c r="I10" s="53" t="s">
        <v>159</v>
      </c>
      <c r="J10" s="54" t="s">
        <v>38</v>
      </c>
      <c r="K10" s="53" t="s">
        <v>160</v>
      </c>
      <c r="L10" s="7">
        <v>3</v>
      </c>
      <c r="N10" s="53">
        <v>1</v>
      </c>
      <c r="O10" s="7">
        <v>0.5</v>
      </c>
      <c r="P10" s="7">
        <v>0.5</v>
      </c>
      <c r="Q10" s="52">
        <f t="shared" si="0"/>
        <v>0.5</v>
      </c>
      <c r="R10" s="7">
        <v>12.6</v>
      </c>
      <c r="S10" s="7">
        <v>101</v>
      </c>
      <c r="T10" s="16">
        <f t="shared" si="1"/>
        <v>33</v>
      </c>
      <c r="U10" s="15">
        <v>98</v>
      </c>
      <c r="V10" s="16">
        <f t="shared" si="2"/>
        <v>3234</v>
      </c>
      <c r="W10" s="15">
        <v>12</v>
      </c>
      <c r="X10" s="54" t="s">
        <v>46</v>
      </c>
      <c r="Y10" s="54" t="s">
        <v>84</v>
      </c>
      <c r="Z10" s="54" t="s">
        <v>90</v>
      </c>
      <c r="AA10" s="54" t="s">
        <v>40</v>
      </c>
      <c r="AB10" s="39" t="s">
        <v>158</v>
      </c>
      <c r="AE10" s="22" t="s">
        <v>103</v>
      </c>
      <c r="AG10" s="49" t="s">
        <v>142</v>
      </c>
      <c r="AH10" s="49" t="s">
        <v>151</v>
      </c>
      <c r="AP10" s="23" t="s">
        <v>100</v>
      </c>
      <c r="AR10" s="30" t="s">
        <v>123</v>
      </c>
      <c r="AV10" s="23" t="s">
        <v>106</v>
      </c>
      <c r="AX10" s="24">
        <v>138</v>
      </c>
      <c r="AY10" s="25">
        <v>25</v>
      </c>
      <c r="AZ10" s="25">
        <v>138</v>
      </c>
      <c r="BA10" s="26">
        <v>22</v>
      </c>
    </row>
    <row r="11" spans="1:53" x14ac:dyDescent="0.15">
      <c r="A11" s="15" t="s">
        <v>156</v>
      </c>
      <c r="B11" s="15" t="s">
        <v>157</v>
      </c>
      <c r="C11" s="54">
        <v>2019</v>
      </c>
      <c r="D11" s="37" t="s">
        <v>168</v>
      </c>
      <c r="E11" s="15" t="s">
        <v>142</v>
      </c>
      <c r="F11" s="7" t="s">
        <v>151</v>
      </c>
      <c r="G11" s="7" t="s">
        <v>36</v>
      </c>
      <c r="H11" s="15" t="s">
        <v>163</v>
      </c>
      <c r="I11" s="7" t="s">
        <v>159</v>
      </c>
      <c r="J11" s="15" t="s">
        <v>38</v>
      </c>
      <c r="K11" s="7" t="s">
        <v>160</v>
      </c>
      <c r="L11" s="7">
        <v>1</v>
      </c>
      <c r="N11" s="53">
        <v>1</v>
      </c>
      <c r="O11" s="7">
        <v>0.5</v>
      </c>
      <c r="P11" s="7">
        <v>0.5</v>
      </c>
      <c r="Q11" s="52">
        <f t="shared" si="0"/>
        <v>0.5</v>
      </c>
      <c r="R11" s="7">
        <v>12.8</v>
      </c>
      <c r="S11" s="7">
        <v>122</v>
      </c>
      <c r="T11" s="16">
        <f t="shared" si="1"/>
        <v>27</v>
      </c>
      <c r="U11" s="7">
        <v>138</v>
      </c>
      <c r="V11" s="16">
        <f t="shared" si="2"/>
        <v>3726</v>
      </c>
      <c r="W11" s="7">
        <v>3</v>
      </c>
      <c r="X11" s="54" t="s">
        <v>46</v>
      </c>
      <c r="Y11" s="54" t="s">
        <v>84</v>
      </c>
      <c r="Z11" s="54" t="s">
        <v>69</v>
      </c>
      <c r="AA11" s="54" t="s">
        <v>40</v>
      </c>
      <c r="AB11" s="39" t="s">
        <v>158</v>
      </c>
      <c r="AE11" s="22" t="s">
        <v>65</v>
      </c>
      <c r="AG11" s="49" t="s">
        <v>143</v>
      </c>
      <c r="AH11" s="49" t="s">
        <v>152</v>
      </c>
      <c r="AP11" s="23" t="s">
        <v>104</v>
      </c>
      <c r="AR11" s="30" t="s">
        <v>87</v>
      </c>
      <c r="AV11" s="23" t="s">
        <v>69</v>
      </c>
      <c r="AX11" s="24">
        <v>151</v>
      </c>
      <c r="AY11" s="25">
        <v>22</v>
      </c>
      <c r="AZ11" s="25">
        <v>152</v>
      </c>
      <c r="BA11" s="26">
        <v>18</v>
      </c>
    </row>
    <row r="12" spans="1:53" x14ac:dyDescent="0.15">
      <c r="A12" s="15" t="s">
        <v>156</v>
      </c>
      <c r="B12" s="15" t="s">
        <v>157</v>
      </c>
      <c r="C12" s="54">
        <v>2019</v>
      </c>
      <c r="D12" s="37" t="s">
        <v>168</v>
      </c>
      <c r="E12" s="15" t="s">
        <v>142</v>
      </c>
      <c r="F12" s="7" t="s">
        <v>151</v>
      </c>
      <c r="G12" s="7" t="s">
        <v>36</v>
      </c>
      <c r="H12" s="54" t="s">
        <v>163</v>
      </c>
      <c r="I12" s="53" t="s">
        <v>159</v>
      </c>
      <c r="J12" s="54" t="s">
        <v>38</v>
      </c>
      <c r="K12" s="53" t="s">
        <v>160</v>
      </c>
      <c r="L12" s="7">
        <v>2</v>
      </c>
      <c r="N12" s="53">
        <v>1</v>
      </c>
      <c r="O12" s="7">
        <v>0.5</v>
      </c>
      <c r="P12" s="7">
        <v>0.55000000000000004</v>
      </c>
      <c r="Q12" s="52">
        <f t="shared" si="0"/>
        <v>0.52500000000000002</v>
      </c>
      <c r="R12" s="34">
        <v>13.6</v>
      </c>
      <c r="S12" s="7">
        <v>125</v>
      </c>
      <c r="T12" s="16">
        <f t="shared" si="1"/>
        <v>27</v>
      </c>
      <c r="U12" s="7">
        <v>138</v>
      </c>
      <c r="V12" s="16">
        <f t="shared" si="2"/>
        <v>3726</v>
      </c>
      <c r="W12" s="7">
        <v>3</v>
      </c>
      <c r="X12" s="54" t="s">
        <v>46</v>
      </c>
      <c r="Y12" s="54" t="s">
        <v>84</v>
      </c>
      <c r="Z12" s="54" t="s">
        <v>69</v>
      </c>
      <c r="AA12" s="54" t="s">
        <v>40</v>
      </c>
      <c r="AB12" s="39" t="s">
        <v>158</v>
      </c>
      <c r="AE12" s="22" t="s">
        <v>70</v>
      </c>
      <c r="AG12" s="40"/>
      <c r="AH12" s="40"/>
      <c r="AP12" s="23" t="s">
        <v>67</v>
      </c>
      <c r="AR12" s="30" t="s">
        <v>124</v>
      </c>
      <c r="AV12" s="23" t="s">
        <v>72</v>
      </c>
      <c r="AX12" s="31">
        <v>180</v>
      </c>
      <c r="AY12" s="32">
        <v>18</v>
      </c>
      <c r="AZ12" s="32">
        <v>181</v>
      </c>
      <c r="BA12" s="33">
        <v>16</v>
      </c>
    </row>
    <row r="13" spans="1:53" x14ac:dyDescent="0.15">
      <c r="A13" s="15" t="s">
        <v>156</v>
      </c>
      <c r="B13" s="15" t="s">
        <v>157</v>
      </c>
      <c r="C13" s="54">
        <v>2019</v>
      </c>
      <c r="D13" s="37" t="s">
        <v>168</v>
      </c>
      <c r="E13" s="15" t="s">
        <v>142</v>
      </c>
      <c r="F13" s="7" t="s">
        <v>151</v>
      </c>
      <c r="G13" s="7" t="s">
        <v>36</v>
      </c>
      <c r="H13" s="54" t="s">
        <v>163</v>
      </c>
      <c r="I13" s="53" t="s">
        <v>159</v>
      </c>
      <c r="J13" s="54" t="s">
        <v>38</v>
      </c>
      <c r="K13" s="53" t="s">
        <v>160</v>
      </c>
      <c r="L13" s="7">
        <v>3</v>
      </c>
      <c r="N13" s="53">
        <v>1</v>
      </c>
      <c r="O13" s="7">
        <v>0.6</v>
      </c>
      <c r="P13" s="7">
        <v>0.7</v>
      </c>
      <c r="Q13" s="52">
        <f t="shared" si="0"/>
        <v>0.64999999999999991</v>
      </c>
      <c r="R13" s="7">
        <v>14</v>
      </c>
      <c r="S13" s="7">
        <v>116</v>
      </c>
      <c r="T13" s="16">
        <f t="shared" si="1"/>
        <v>30</v>
      </c>
      <c r="U13" s="7">
        <v>138</v>
      </c>
      <c r="V13" s="16">
        <f t="shared" si="2"/>
        <v>4140</v>
      </c>
      <c r="W13" s="7">
        <v>3</v>
      </c>
      <c r="X13" s="54" t="s">
        <v>46</v>
      </c>
      <c r="Y13" s="54" t="s">
        <v>84</v>
      </c>
      <c r="Z13" s="54" t="s">
        <v>69</v>
      </c>
      <c r="AA13" s="54" t="s">
        <v>40</v>
      </c>
      <c r="AB13" s="39" t="s">
        <v>158</v>
      </c>
      <c r="AE13" s="22" t="s">
        <v>73</v>
      </c>
      <c r="AG13" s="23"/>
      <c r="AH13" s="23"/>
      <c r="AP13" s="23" t="s">
        <v>71</v>
      </c>
      <c r="AR13" s="30" t="s">
        <v>103</v>
      </c>
      <c r="AV13" s="23" t="s">
        <v>75</v>
      </c>
    </row>
    <row r="14" spans="1:53" x14ac:dyDescent="0.15">
      <c r="A14" s="15" t="s">
        <v>156</v>
      </c>
      <c r="B14" s="15" t="s">
        <v>157</v>
      </c>
      <c r="C14" s="54">
        <v>2019</v>
      </c>
      <c r="D14" s="37" t="s">
        <v>168</v>
      </c>
      <c r="E14" s="15" t="s">
        <v>143</v>
      </c>
      <c r="F14" s="7" t="s">
        <v>152</v>
      </c>
      <c r="G14" s="7" t="s">
        <v>36</v>
      </c>
      <c r="H14" s="15" t="s">
        <v>163</v>
      </c>
      <c r="I14" s="7" t="s">
        <v>159</v>
      </c>
      <c r="J14" s="15" t="s">
        <v>38</v>
      </c>
      <c r="K14" s="7" t="s">
        <v>160</v>
      </c>
      <c r="L14" s="7">
        <v>1</v>
      </c>
      <c r="N14" s="53">
        <v>1</v>
      </c>
      <c r="O14" s="7">
        <v>0.5</v>
      </c>
      <c r="P14" s="7">
        <v>0.5</v>
      </c>
      <c r="Q14" s="52">
        <f t="shared" si="0"/>
        <v>0.5</v>
      </c>
      <c r="R14" s="7">
        <v>14.2</v>
      </c>
      <c r="S14" s="7">
        <v>114</v>
      </c>
      <c r="T14" s="16">
        <f t="shared" si="1"/>
        <v>30</v>
      </c>
      <c r="U14" s="7">
        <v>98</v>
      </c>
      <c r="V14" s="16">
        <f t="shared" si="2"/>
        <v>2940</v>
      </c>
      <c r="W14" s="7">
        <v>2</v>
      </c>
      <c r="X14" s="54" t="s">
        <v>39</v>
      </c>
      <c r="Y14" s="54" t="s">
        <v>40</v>
      </c>
      <c r="Z14" s="54" t="s">
        <v>84</v>
      </c>
      <c r="AA14" s="54" t="s">
        <v>90</v>
      </c>
      <c r="AB14" s="39" t="s">
        <v>158</v>
      </c>
      <c r="AE14" s="22" t="s">
        <v>76</v>
      </c>
      <c r="AG14" s="23"/>
      <c r="AH14" s="23"/>
      <c r="AP14" s="23" t="s">
        <v>74</v>
      </c>
      <c r="AR14" s="30" t="s">
        <v>125</v>
      </c>
      <c r="AV14" s="23" t="s">
        <v>78</v>
      </c>
    </row>
    <row r="15" spans="1:53" x14ac:dyDescent="0.15">
      <c r="A15" s="15" t="s">
        <v>156</v>
      </c>
      <c r="B15" s="15" t="s">
        <v>157</v>
      </c>
      <c r="C15" s="54">
        <v>2019</v>
      </c>
      <c r="D15" s="37" t="s">
        <v>168</v>
      </c>
      <c r="E15" s="15" t="s">
        <v>143</v>
      </c>
      <c r="F15" s="7" t="s">
        <v>152</v>
      </c>
      <c r="G15" s="7" t="s">
        <v>36</v>
      </c>
      <c r="H15" s="15" t="s">
        <v>163</v>
      </c>
      <c r="I15" s="7" t="s">
        <v>159</v>
      </c>
      <c r="J15" s="15" t="s">
        <v>38</v>
      </c>
      <c r="K15" s="7" t="s">
        <v>160</v>
      </c>
      <c r="L15" s="7">
        <v>2</v>
      </c>
      <c r="N15" s="53">
        <v>1</v>
      </c>
      <c r="O15" s="7">
        <v>0.5</v>
      </c>
      <c r="P15" s="7">
        <v>0.5</v>
      </c>
      <c r="Q15" s="52">
        <f t="shared" si="0"/>
        <v>0.5</v>
      </c>
      <c r="R15" s="7">
        <v>13.9</v>
      </c>
      <c r="S15" s="7">
        <v>106</v>
      </c>
      <c r="T15" s="16">
        <f t="shared" si="1"/>
        <v>33</v>
      </c>
      <c r="U15" s="7">
        <v>98</v>
      </c>
      <c r="V15" s="16">
        <f t="shared" si="2"/>
        <v>3234</v>
      </c>
      <c r="W15" s="7">
        <v>2</v>
      </c>
      <c r="X15" s="54" t="s">
        <v>39</v>
      </c>
      <c r="Y15" s="54" t="s">
        <v>40</v>
      </c>
      <c r="Z15" s="54" t="s">
        <v>84</v>
      </c>
      <c r="AA15" s="54" t="s">
        <v>90</v>
      </c>
      <c r="AB15" s="39" t="s">
        <v>158</v>
      </c>
      <c r="AE15" s="22" t="s">
        <v>79</v>
      </c>
      <c r="AG15" s="23"/>
      <c r="AH15" s="23"/>
      <c r="AP15" s="23" t="s">
        <v>77</v>
      </c>
      <c r="AR15" s="30" t="s">
        <v>94</v>
      </c>
      <c r="AV15" s="23" t="s">
        <v>107</v>
      </c>
    </row>
    <row r="16" spans="1:53" x14ac:dyDescent="0.15">
      <c r="A16" s="15" t="s">
        <v>156</v>
      </c>
      <c r="B16" s="15" t="s">
        <v>157</v>
      </c>
      <c r="C16" s="54">
        <v>2019</v>
      </c>
      <c r="D16" s="37" t="s">
        <v>168</v>
      </c>
      <c r="E16" s="15" t="s">
        <v>143</v>
      </c>
      <c r="F16" s="7" t="s">
        <v>152</v>
      </c>
      <c r="G16" s="7" t="s">
        <v>36</v>
      </c>
      <c r="H16" s="15" t="s">
        <v>163</v>
      </c>
      <c r="I16" s="7" t="s">
        <v>159</v>
      </c>
      <c r="J16" s="15" t="s">
        <v>38</v>
      </c>
      <c r="K16" s="7" t="s">
        <v>160</v>
      </c>
      <c r="L16" s="7">
        <v>3</v>
      </c>
      <c r="N16" s="53">
        <v>1</v>
      </c>
      <c r="O16" s="7">
        <v>0.5</v>
      </c>
      <c r="P16" s="7">
        <v>0.5</v>
      </c>
      <c r="Q16" s="52">
        <f t="shared" si="0"/>
        <v>0.5</v>
      </c>
      <c r="R16" s="7">
        <v>14.1</v>
      </c>
      <c r="S16" s="7">
        <v>112</v>
      </c>
      <c r="T16" s="16">
        <f t="shared" si="1"/>
        <v>33</v>
      </c>
      <c r="U16" s="7">
        <v>98</v>
      </c>
      <c r="V16" s="16">
        <f t="shared" si="2"/>
        <v>3234</v>
      </c>
      <c r="W16" s="7">
        <v>2</v>
      </c>
      <c r="X16" s="54" t="s">
        <v>39</v>
      </c>
      <c r="Y16" s="54" t="s">
        <v>40</v>
      </c>
      <c r="Z16" s="54" t="s">
        <v>84</v>
      </c>
      <c r="AA16" s="54" t="s">
        <v>90</v>
      </c>
      <c r="AB16" s="39" t="s">
        <v>158</v>
      </c>
      <c r="AE16" s="22" t="s">
        <v>82</v>
      </c>
      <c r="AG16" s="28"/>
      <c r="AH16" s="28"/>
      <c r="AP16" s="23" t="s">
        <v>80</v>
      </c>
      <c r="AR16" s="41" t="s">
        <v>63</v>
      </c>
      <c r="AV16" s="23" t="s">
        <v>84</v>
      </c>
    </row>
    <row r="17" spans="1:48" x14ac:dyDescent="0.15">
      <c r="A17" s="15" t="s">
        <v>156</v>
      </c>
      <c r="B17" s="15" t="s">
        <v>157</v>
      </c>
      <c r="C17" s="54">
        <v>2019</v>
      </c>
      <c r="D17" s="37" t="s">
        <v>168</v>
      </c>
      <c r="E17" s="15" t="s">
        <v>131</v>
      </c>
      <c r="F17" s="7" t="s">
        <v>144</v>
      </c>
      <c r="G17" s="7" t="s">
        <v>36</v>
      </c>
      <c r="H17" s="15" t="s">
        <v>163</v>
      </c>
      <c r="I17" s="7" t="s">
        <v>170</v>
      </c>
      <c r="J17" s="15" t="s">
        <v>38</v>
      </c>
      <c r="K17" s="7" t="s">
        <v>160</v>
      </c>
      <c r="L17" s="7">
        <v>1</v>
      </c>
      <c r="N17" s="53">
        <v>4</v>
      </c>
      <c r="O17" s="7">
        <v>0.5</v>
      </c>
      <c r="P17" s="7">
        <v>0.5</v>
      </c>
      <c r="Q17" s="52">
        <f t="shared" si="0"/>
        <v>0.5</v>
      </c>
      <c r="R17" s="7">
        <v>13.5</v>
      </c>
      <c r="S17" s="7">
        <v>87</v>
      </c>
      <c r="T17" s="16">
        <f t="shared" si="1"/>
        <v>36</v>
      </c>
      <c r="U17" s="7">
        <v>430</v>
      </c>
      <c r="V17" s="16">
        <f t="shared" si="2"/>
        <v>3870</v>
      </c>
      <c r="W17" s="7">
        <v>2</v>
      </c>
      <c r="X17" s="54" t="s">
        <v>39</v>
      </c>
      <c r="Y17" s="54" t="s">
        <v>40</v>
      </c>
      <c r="Z17" s="54" t="s">
        <v>84</v>
      </c>
      <c r="AA17" s="54" t="s">
        <v>90</v>
      </c>
      <c r="AB17" s="39" t="s">
        <v>158</v>
      </c>
      <c r="AE17" s="22" t="s">
        <v>85</v>
      </c>
      <c r="AP17" s="43" t="s">
        <v>110</v>
      </c>
      <c r="AR17" s="41" t="s">
        <v>96</v>
      </c>
      <c r="AV17" s="23" t="s">
        <v>86</v>
      </c>
    </row>
    <row r="18" spans="1:48" x14ac:dyDescent="0.15">
      <c r="A18" s="15" t="s">
        <v>156</v>
      </c>
      <c r="B18" s="15" t="s">
        <v>157</v>
      </c>
      <c r="C18" s="54">
        <v>2019</v>
      </c>
      <c r="D18" s="37" t="s">
        <v>168</v>
      </c>
      <c r="E18" s="15" t="s">
        <v>131</v>
      </c>
      <c r="F18" s="7" t="s">
        <v>144</v>
      </c>
      <c r="G18" s="7" t="s">
        <v>36</v>
      </c>
      <c r="H18" s="15" t="s">
        <v>163</v>
      </c>
      <c r="I18" s="7" t="s">
        <v>170</v>
      </c>
      <c r="J18" s="15" t="s">
        <v>38</v>
      </c>
      <c r="K18" s="7" t="s">
        <v>160</v>
      </c>
      <c r="L18" s="7">
        <v>2</v>
      </c>
      <c r="N18" s="53">
        <v>4</v>
      </c>
      <c r="O18" s="7">
        <v>0.5</v>
      </c>
      <c r="P18" s="7">
        <v>0.5</v>
      </c>
      <c r="Q18" s="52">
        <f t="shared" si="0"/>
        <v>0.5</v>
      </c>
      <c r="R18" s="7">
        <v>13.8</v>
      </c>
      <c r="S18" s="7">
        <v>89</v>
      </c>
      <c r="T18" s="16">
        <f t="shared" si="1"/>
        <v>36</v>
      </c>
      <c r="U18" s="7">
        <v>430</v>
      </c>
      <c r="V18" s="16">
        <f t="shared" si="2"/>
        <v>3870</v>
      </c>
      <c r="W18" s="7">
        <v>2</v>
      </c>
      <c r="X18" s="54" t="s">
        <v>39</v>
      </c>
      <c r="Y18" s="54" t="s">
        <v>40</v>
      </c>
      <c r="Z18" s="54" t="s">
        <v>84</v>
      </c>
      <c r="AA18" s="54" t="s">
        <v>90</v>
      </c>
      <c r="AB18" s="39" t="s">
        <v>158</v>
      </c>
      <c r="AE18" s="22" t="s">
        <v>87</v>
      </c>
      <c r="AP18" s="43" t="s">
        <v>111</v>
      </c>
      <c r="AR18" s="41" t="s">
        <v>101</v>
      </c>
      <c r="AV18" s="23" t="s">
        <v>88</v>
      </c>
    </row>
    <row r="19" spans="1:48" x14ac:dyDescent="0.15">
      <c r="A19" s="15" t="s">
        <v>156</v>
      </c>
      <c r="B19" s="15" t="s">
        <v>157</v>
      </c>
      <c r="C19" s="54">
        <v>2019</v>
      </c>
      <c r="D19" s="37" t="s">
        <v>168</v>
      </c>
      <c r="E19" s="15" t="s">
        <v>131</v>
      </c>
      <c r="F19" s="7" t="s">
        <v>144</v>
      </c>
      <c r="G19" s="7" t="s">
        <v>36</v>
      </c>
      <c r="H19" s="15" t="s">
        <v>163</v>
      </c>
      <c r="I19" s="7" t="s">
        <v>170</v>
      </c>
      <c r="J19" s="15" t="s">
        <v>38</v>
      </c>
      <c r="K19" s="7" t="s">
        <v>160</v>
      </c>
      <c r="L19" s="7">
        <v>3</v>
      </c>
      <c r="N19" s="53">
        <v>4</v>
      </c>
      <c r="O19" s="7">
        <v>0.5</v>
      </c>
      <c r="P19" s="7">
        <v>0.5</v>
      </c>
      <c r="Q19" s="52">
        <f t="shared" si="0"/>
        <v>0.5</v>
      </c>
      <c r="R19" s="7">
        <v>13</v>
      </c>
      <c r="S19" s="7">
        <v>90</v>
      </c>
      <c r="T19" s="16">
        <f t="shared" si="1"/>
        <v>36</v>
      </c>
      <c r="U19" s="7">
        <v>430</v>
      </c>
      <c r="V19" s="16">
        <f t="shared" si="2"/>
        <v>3870</v>
      </c>
      <c r="W19" s="7">
        <v>2</v>
      </c>
      <c r="X19" s="54" t="s">
        <v>39</v>
      </c>
      <c r="Y19" s="54" t="s">
        <v>40</v>
      </c>
      <c r="Z19" s="54" t="s">
        <v>84</v>
      </c>
      <c r="AA19" s="54" t="s">
        <v>90</v>
      </c>
      <c r="AB19" s="39" t="s">
        <v>158</v>
      </c>
      <c r="AE19" s="35" t="s">
        <v>89</v>
      </c>
      <c r="AP19" s="43" t="s">
        <v>112</v>
      </c>
      <c r="AR19" s="30" t="s">
        <v>126</v>
      </c>
      <c r="AV19" s="23" t="s">
        <v>90</v>
      </c>
    </row>
    <row r="20" spans="1:48" x14ac:dyDescent="0.15">
      <c r="A20" s="15" t="s">
        <v>156</v>
      </c>
      <c r="B20" s="15" t="s">
        <v>157</v>
      </c>
      <c r="C20" s="54">
        <v>2019</v>
      </c>
      <c r="D20" s="37" t="s">
        <v>168</v>
      </c>
      <c r="E20" s="15" t="s">
        <v>139</v>
      </c>
      <c r="F20" s="7" t="s">
        <v>145</v>
      </c>
      <c r="G20" s="7" t="s">
        <v>36</v>
      </c>
      <c r="H20" s="15" t="s">
        <v>163</v>
      </c>
      <c r="I20" s="7" t="s">
        <v>159</v>
      </c>
      <c r="J20" s="15" t="s">
        <v>38</v>
      </c>
      <c r="K20" s="7" t="s">
        <v>160</v>
      </c>
      <c r="L20" s="7">
        <v>1</v>
      </c>
      <c r="N20" s="53">
        <v>6</v>
      </c>
      <c r="O20" s="7">
        <v>0.5</v>
      </c>
      <c r="P20" s="34">
        <v>0.5</v>
      </c>
      <c r="Q20" s="52">
        <f t="shared" si="0"/>
        <v>0.5</v>
      </c>
      <c r="R20" s="7">
        <v>12</v>
      </c>
      <c r="S20" s="7">
        <v>84</v>
      </c>
      <c r="T20" s="16">
        <f t="shared" si="1"/>
        <v>36</v>
      </c>
      <c r="U20" s="7">
        <v>321</v>
      </c>
      <c r="V20" s="16">
        <f t="shared" si="2"/>
        <v>1926</v>
      </c>
      <c r="W20" s="7">
        <v>2</v>
      </c>
      <c r="X20" s="54" t="s">
        <v>46</v>
      </c>
      <c r="Y20" s="54" t="s">
        <v>84</v>
      </c>
      <c r="Z20" s="54" t="s">
        <v>40</v>
      </c>
      <c r="AA20" s="54" t="s">
        <v>90</v>
      </c>
      <c r="AB20" s="39" t="s">
        <v>158</v>
      </c>
      <c r="AE20" s="22"/>
      <c r="AP20" s="43" t="s">
        <v>113</v>
      </c>
      <c r="AR20" s="41" t="s">
        <v>105</v>
      </c>
      <c r="AV20" s="27" t="s">
        <v>135</v>
      </c>
    </row>
    <row r="21" spans="1:48" x14ac:dyDescent="0.15">
      <c r="A21" s="15" t="s">
        <v>156</v>
      </c>
      <c r="B21" s="15" t="s">
        <v>157</v>
      </c>
      <c r="C21" s="54">
        <v>2019</v>
      </c>
      <c r="D21" s="37" t="s">
        <v>168</v>
      </c>
      <c r="E21" s="15" t="s">
        <v>139</v>
      </c>
      <c r="F21" s="7" t="s">
        <v>145</v>
      </c>
      <c r="G21" s="7" t="s">
        <v>36</v>
      </c>
      <c r="H21" s="54" t="s">
        <v>163</v>
      </c>
      <c r="I21" s="7" t="s">
        <v>159</v>
      </c>
      <c r="J21" s="15" t="s">
        <v>38</v>
      </c>
      <c r="K21" s="53" t="s">
        <v>160</v>
      </c>
      <c r="L21" s="7">
        <v>2</v>
      </c>
      <c r="N21" s="53">
        <v>6</v>
      </c>
      <c r="O21" s="7">
        <v>0.6</v>
      </c>
      <c r="P21" s="7">
        <v>0.7</v>
      </c>
      <c r="Q21" s="52">
        <f t="shared" si="0"/>
        <v>0.64999999999999991</v>
      </c>
      <c r="R21" s="7">
        <v>12.1</v>
      </c>
      <c r="S21" s="7">
        <v>82</v>
      </c>
      <c r="T21" s="16">
        <f t="shared" si="1"/>
        <v>39</v>
      </c>
      <c r="U21" s="7">
        <v>321</v>
      </c>
      <c r="V21" s="16">
        <f t="shared" si="2"/>
        <v>2086.5</v>
      </c>
      <c r="W21" s="7">
        <v>2</v>
      </c>
      <c r="X21" s="54" t="s">
        <v>46</v>
      </c>
      <c r="Y21" s="54" t="s">
        <v>84</v>
      </c>
      <c r="Z21" s="54" t="s">
        <v>40</v>
      </c>
      <c r="AA21" s="54" t="s">
        <v>90</v>
      </c>
      <c r="AB21" s="39" t="s">
        <v>158</v>
      </c>
      <c r="AE21" s="22"/>
      <c r="AP21" s="43" t="s">
        <v>114</v>
      </c>
      <c r="AR21" s="41" t="s">
        <v>68</v>
      </c>
      <c r="AV21" s="27" t="s">
        <v>136</v>
      </c>
    </row>
    <row r="22" spans="1:48" x14ac:dyDescent="0.15">
      <c r="A22" s="15" t="s">
        <v>156</v>
      </c>
      <c r="B22" s="15" t="s">
        <v>157</v>
      </c>
      <c r="C22" s="54">
        <v>2019</v>
      </c>
      <c r="D22" s="37" t="s">
        <v>168</v>
      </c>
      <c r="E22" s="15" t="s">
        <v>139</v>
      </c>
      <c r="F22" s="7" t="s">
        <v>145</v>
      </c>
      <c r="G22" s="7" t="s">
        <v>36</v>
      </c>
      <c r="H22" s="54" t="s">
        <v>163</v>
      </c>
      <c r="I22" s="7" t="s">
        <v>159</v>
      </c>
      <c r="J22" s="15" t="s">
        <v>38</v>
      </c>
      <c r="K22" s="53" t="s">
        <v>160</v>
      </c>
      <c r="L22" s="7">
        <v>3</v>
      </c>
      <c r="N22" s="7">
        <v>6</v>
      </c>
      <c r="O22" s="34">
        <v>0.5</v>
      </c>
      <c r="P22" s="7">
        <v>0.5</v>
      </c>
      <c r="Q22" s="52">
        <f t="shared" si="0"/>
        <v>0.5</v>
      </c>
      <c r="R22" s="7">
        <v>11.8</v>
      </c>
      <c r="S22" s="7">
        <v>91</v>
      </c>
      <c r="T22" s="16">
        <f t="shared" si="1"/>
        <v>36</v>
      </c>
      <c r="U22" s="7">
        <v>321</v>
      </c>
      <c r="V22" s="16">
        <f t="shared" si="2"/>
        <v>1926</v>
      </c>
      <c r="W22" s="7">
        <v>2</v>
      </c>
      <c r="X22" s="54" t="s">
        <v>46</v>
      </c>
      <c r="Y22" s="54" t="s">
        <v>84</v>
      </c>
      <c r="Z22" s="54" t="s">
        <v>40</v>
      </c>
      <c r="AA22" s="54" t="s">
        <v>90</v>
      </c>
      <c r="AB22" s="39" t="s">
        <v>158</v>
      </c>
      <c r="AE22" s="35"/>
      <c r="AP22" s="43" t="s">
        <v>115</v>
      </c>
      <c r="AR22" s="41" t="s">
        <v>83</v>
      </c>
      <c r="AV22" s="27"/>
    </row>
    <row r="23" spans="1:48" x14ac:dyDescent="0.15">
      <c r="A23" s="15" t="s">
        <v>156</v>
      </c>
      <c r="B23" s="15" t="s">
        <v>157</v>
      </c>
      <c r="C23" s="54">
        <v>2019</v>
      </c>
      <c r="D23" s="37" t="s">
        <v>168</v>
      </c>
      <c r="E23" s="7" t="s">
        <v>139</v>
      </c>
      <c r="F23" s="7" t="s">
        <v>145</v>
      </c>
      <c r="G23" s="7" t="s">
        <v>36</v>
      </c>
      <c r="H23" s="15" t="s">
        <v>127</v>
      </c>
      <c r="I23" s="7" t="s">
        <v>159</v>
      </c>
      <c r="J23" s="15" t="s">
        <v>53</v>
      </c>
      <c r="K23" s="7" t="s">
        <v>54</v>
      </c>
      <c r="L23" s="7">
        <v>1</v>
      </c>
      <c r="N23" s="7">
        <v>1</v>
      </c>
      <c r="O23" s="34">
        <v>0.65</v>
      </c>
      <c r="P23" s="7">
        <v>0.75</v>
      </c>
      <c r="Q23" s="52">
        <f t="shared" si="0"/>
        <v>0.7</v>
      </c>
      <c r="R23" s="7">
        <v>13.7</v>
      </c>
      <c r="S23" s="7">
        <v>97</v>
      </c>
      <c r="T23" s="16">
        <f t="shared" si="1"/>
        <v>36</v>
      </c>
      <c r="U23" s="7">
        <v>108</v>
      </c>
      <c r="V23" s="16">
        <f t="shared" si="2"/>
        <v>3888</v>
      </c>
      <c r="W23" s="7">
        <v>3</v>
      </c>
      <c r="X23" s="54" t="s">
        <v>46</v>
      </c>
      <c r="Y23" s="54" t="s">
        <v>84</v>
      </c>
      <c r="Z23" s="54" t="s">
        <v>40</v>
      </c>
      <c r="AA23" s="54" t="s">
        <v>90</v>
      </c>
      <c r="AB23" s="39" t="s">
        <v>158</v>
      </c>
      <c r="AE23" s="22"/>
      <c r="AP23" s="43" t="s">
        <v>137</v>
      </c>
      <c r="AR23" s="41" t="s">
        <v>61</v>
      </c>
      <c r="AV23" s="27"/>
    </row>
    <row r="24" spans="1:48" x14ac:dyDescent="0.15">
      <c r="A24" s="15" t="s">
        <v>156</v>
      </c>
      <c r="B24" s="15" t="s">
        <v>157</v>
      </c>
      <c r="C24" s="54">
        <v>2019</v>
      </c>
      <c r="D24" s="37" t="s">
        <v>168</v>
      </c>
      <c r="E24" s="7" t="s">
        <v>139</v>
      </c>
      <c r="F24" s="7" t="s">
        <v>145</v>
      </c>
      <c r="G24" s="7" t="s">
        <v>36</v>
      </c>
      <c r="H24" s="54" t="s">
        <v>127</v>
      </c>
      <c r="I24" s="53" t="s">
        <v>159</v>
      </c>
      <c r="J24" s="54" t="s">
        <v>53</v>
      </c>
      <c r="K24" s="53" t="s">
        <v>54</v>
      </c>
      <c r="L24" s="7">
        <v>2</v>
      </c>
      <c r="N24" s="7">
        <v>1</v>
      </c>
      <c r="O24" s="7">
        <v>0.65</v>
      </c>
      <c r="P24" s="7">
        <v>0.85</v>
      </c>
      <c r="Q24" s="52">
        <f t="shared" si="0"/>
        <v>0.75</v>
      </c>
      <c r="R24" s="7">
        <v>11.6</v>
      </c>
      <c r="S24" s="7">
        <v>108</v>
      </c>
      <c r="T24" s="16">
        <f t="shared" si="1"/>
        <v>33</v>
      </c>
      <c r="U24" s="7">
        <v>108</v>
      </c>
      <c r="V24" s="16">
        <f t="shared" si="2"/>
        <v>3564</v>
      </c>
      <c r="W24" s="7">
        <v>3</v>
      </c>
      <c r="X24" s="54" t="s">
        <v>46</v>
      </c>
      <c r="Y24" s="54" t="s">
        <v>84</v>
      </c>
      <c r="Z24" s="54" t="s">
        <v>40</v>
      </c>
      <c r="AA24" s="54" t="s">
        <v>90</v>
      </c>
      <c r="AB24" s="39" t="s">
        <v>158</v>
      </c>
      <c r="AE24" s="22"/>
      <c r="AP24" s="43" t="s">
        <v>138</v>
      </c>
      <c r="AR24" s="41" t="s">
        <v>91</v>
      </c>
      <c r="AV24" s="27"/>
    </row>
    <row r="25" spans="1:48" x14ac:dyDescent="0.15">
      <c r="A25" s="15" t="s">
        <v>156</v>
      </c>
      <c r="B25" s="15" t="s">
        <v>157</v>
      </c>
      <c r="C25" s="54">
        <v>2019</v>
      </c>
      <c r="D25" s="37" t="s">
        <v>168</v>
      </c>
      <c r="E25" s="7" t="s">
        <v>139</v>
      </c>
      <c r="F25" s="7" t="s">
        <v>145</v>
      </c>
      <c r="G25" s="7" t="s">
        <v>36</v>
      </c>
      <c r="H25" s="54" t="s">
        <v>127</v>
      </c>
      <c r="I25" s="53" t="s">
        <v>159</v>
      </c>
      <c r="J25" s="54" t="s">
        <v>53</v>
      </c>
      <c r="K25" s="53" t="s">
        <v>54</v>
      </c>
      <c r="L25" s="7">
        <v>3</v>
      </c>
      <c r="N25" s="7">
        <v>1</v>
      </c>
      <c r="O25" s="7">
        <v>1.1499999999999999</v>
      </c>
      <c r="P25" s="7">
        <v>1.3</v>
      </c>
      <c r="Q25" s="52">
        <f t="shared" si="0"/>
        <v>1.2250000000000001</v>
      </c>
      <c r="R25" s="7">
        <v>13.1</v>
      </c>
      <c r="S25" s="7">
        <v>100</v>
      </c>
      <c r="T25" s="16">
        <f t="shared" si="1"/>
        <v>33</v>
      </c>
      <c r="U25" s="7">
        <v>108</v>
      </c>
      <c r="V25" s="16">
        <f t="shared" si="2"/>
        <v>3564</v>
      </c>
      <c r="W25" s="7">
        <v>3</v>
      </c>
      <c r="X25" s="54" t="s">
        <v>46</v>
      </c>
      <c r="Y25" s="54" t="s">
        <v>84</v>
      </c>
      <c r="Z25" s="54" t="s">
        <v>40</v>
      </c>
      <c r="AA25" s="54" t="s">
        <v>90</v>
      </c>
      <c r="AB25" s="39" t="s">
        <v>158</v>
      </c>
      <c r="AE25" s="35"/>
      <c r="AP25" s="43" t="s">
        <v>116</v>
      </c>
      <c r="AR25" s="42" t="s">
        <v>92</v>
      </c>
      <c r="AV25" s="27"/>
    </row>
    <row r="26" spans="1:48" x14ac:dyDescent="0.15">
      <c r="A26" s="15" t="s">
        <v>156</v>
      </c>
      <c r="B26" s="15" t="s">
        <v>157</v>
      </c>
      <c r="C26" s="54">
        <v>2019</v>
      </c>
      <c r="D26" s="37" t="s">
        <v>168</v>
      </c>
      <c r="E26" s="7" t="s">
        <v>161</v>
      </c>
      <c r="F26" s="7" t="s">
        <v>162</v>
      </c>
      <c r="G26" s="7" t="s">
        <v>36</v>
      </c>
      <c r="H26" s="15" t="s">
        <v>163</v>
      </c>
      <c r="I26" s="7" t="s">
        <v>159</v>
      </c>
      <c r="J26" s="15" t="s">
        <v>38</v>
      </c>
      <c r="K26" s="7" t="s">
        <v>160</v>
      </c>
      <c r="L26" s="7">
        <v>1</v>
      </c>
      <c r="N26" s="53">
        <v>1</v>
      </c>
      <c r="O26" s="7">
        <v>0.5</v>
      </c>
      <c r="P26" s="7">
        <v>0.6</v>
      </c>
      <c r="Q26" s="52">
        <f t="shared" si="0"/>
        <v>0.55000000000000004</v>
      </c>
      <c r="R26" s="7">
        <v>12.5</v>
      </c>
      <c r="S26" s="7">
        <v>107</v>
      </c>
      <c r="T26" s="16">
        <f t="shared" si="1"/>
        <v>33</v>
      </c>
      <c r="U26" s="7">
        <v>98</v>
      </c>
      <c r="V26" s="16">
        <f t="shared" si="2"/>
        <v>3234</v>
      </c>
      <c r="W26" s="7">
        <v>7</v>
      </c>
      <c r="X26" s="54" t="s">
        <v>46</v>
      </c>
      <c r="Y26" s="54" t="s">
        <v>84</v>
      </c>
      <c r="Z26" s="54" t="s">
        <v>40</v>
      </c>
      <c r="AA26" s="54" t="s">
        <v>69</v>
      </c>
      <c r="AB26" s="39" t="s">
        <v>158</v>
      </c>
      <c r="AE26" s="35"/>
      <c r="AP26" s="43" t="s">
        <v>117</v>
      </c>
      <c r="AR26" s="23" t="s">
        <v>153</v>
      </c>
      <c r="AV26" s="28"/>
    </row>
    <row r="27" spans="1:48" x14ac:dyDescent="0.15">
      <c r="A27" s="15" t="s">
        <v>156</v>
      </c>
      <c r="B27" s="15" t="s">
        <v>157</v>
      </c>
      <c r="C27" s="54">
        <v>2019</v>
      </c>
      <c r="D27" s="37" t="s">
        <v>168</v>
      </c>
      <c r="E27" s="7" t="s">
        <v>161</v>
      </c>
      <c r="F27" s="7" t="s">
        <v>162</v>
      </c>
      <c r="G27" s="7" t="s">
        <v>36</v>
      </c>
      <c r="H27" s="54" t="s">
        <v>163</v>
      </c>
      <c r="I27" s="53" t="s">
        <v>159</v>
      </c>
      <c r="J27" s="54" t="s">
        <v>38</v>
      </c>
      <c r="K27" s="53" t="s">
        <v>160</v>
      </c>
      <c r="L27" s="7">
        <v>2</v>
      </c>
      <c r="N27" s="53">
        <v>1</v>
      </c>
      <c r="O27" s="7">
        <v>0.6</v>
      </c>
      <c r="P27" s="7">
        <v>0.5</v>
      </c>
      <c r="Q27" s="52">
        <f t="shared" si="0"/>
        <v>0.55000000000000004</v>
      </c>
      <c r="R27" s="7">
        <v>12.2</v>
      </c>
      <c r="S27" s="7">
        <v>106</v>
      </c>
      <c r="T27" s="16">
        <f t="shared" si="1"/>
        <v>33</v>
      </c>
      <c r="U27" s="7">
        <v>98</v>
      </c>
      <c r="V27" s="16">
        <f t="shared" si="2"/>
        <v>3234</v>
      </c>
      <c r="W27" s="7">
        <v>7</v>
      </c>
      <c r="X27" s="54" t="s">
        <v>46</v>
      </c>
      <c r="Y27" s="54" t="s">
        <v>84</v>
      </c>
      <c r="Z27" s="54" t="s">
        <v>40</v>
      </c>
      <c r="AA27" s="54" t="s">
        <v>69</v>
      </c>
      <c r="AB27" s="39" t="s">
        <v>158</v>
      </c>
      <c r="AE27" s="28"/>
      <c r="AP27" s="43" t="s">
        <v>118</v>
      </c>
      <c r="AR27" s="23"/>
    </row>
    <row r="28" spans="1:48" x14ac:dyDescent="0.15">
      <c r="A28" s="15" t="s">
        <v>156</v>
      </c>
      <c r="B28" s="15" t="s">
        <v>157</v>
      </c>
      <c r="C28" s="54">
        <v>2019</v>
      </c>
      <c r="D28" s="37" t="s">
        <v>168</v>
      </c>
      <c r="E28" s="7" t="s">
        <v>161</v>
      </c>
      <c r="F28" s="7" t="s">
        <v>162</v>
      </c>
      <c r="G28" s="7" t="s">
        <v>36</v>
      </c>
      <c r="H28" s="54" t="s">
        <v>163</v>
      </c>
      <c r="I28" s="53" t="s">
        <v>159</v>
      </c>
      <c r="J28" s="54" t="s">
        <v>38</v>
      </c>
      <c r="K28" s="53" t="s">
        <v>160</v>
      </c>
      <c r="L28" s="7">
        <v>3</v>
      </c>
      <c r="N28" s="53">
        <v>1</v>
      </c>
      <c r="O28" s="7">
        <v>0.6</v>
      </c>
      <c r="P28" s="7">
        <v>0.55000000000000004</v>
      </c>
      <c r="Q28" s="52">
        <f t="shared" si="0"/>
        <v>0.57499999999999996</v>
      </c>
      <c r="R28" s="7">
        <v>12.4</v>
      </c>
      <c r="S28" s="7">
        <v>111</v>
      </c>
      <c r="T28" s="16">
        <f t="shared" si="1"/>
        <v>33</v>
      </c>
      <c r="U28" s="7">
        <v>98</v>
      </c>
      <c r="V28" s="16">
        <f t="shared" si="2"/>
        <v>3234</v>
      </c>
      <c r="W28" s="7">
        <v>7</v>
      </c>
      <c r="X28" s="54" t="s">
        <v>46</v>
      </c>
      <c r="Y28" s="54" t="s">
        <v>84</v>
      </c>
      <c r="Z28" s="54" t="s">
        <v>40</v>
      </c>
      <c r="AA28" s="54" t="s">
        <v>69</v>
      </c>
      <c r="AB28" s="39" t="s">
        <v>158</v>
      </c>
      <c r="AP28" s="27"/>
      <c r="AR28" s="23"/>
    </row>
    <row r="29" spans="1:48" x14ac:dyDescent="0.15">
      <c r="A29" s="15" t="s">
        <v>156</v>
      </c>
      <c r="B29" s="15" t="s">
        <v>157</v>
      </c>
      <c r="C29" s="54">
        <v>2019</v>
      </c>
      <c r="D29" s="37" t="s">
        <v>168</v>
      </c>
      <c r="E29" s="7" t="s">
        <v>130</v>
      </c>
      <c r="F29" s="7" t="s">
        <v>146</v>
      </c>
      <c r="G29" s="7" t="s">
        <v>36</v>
      </c>
      <c r="H29" s="54" t="s">
        <v>163</v>
      </c>
      <c r="I29" s="7" t="s">
        <v>159</v>
      </c>
      <c r="J29" s="15" t="s">
        <v>38</v>
      </c>
      <c r="K29" s="7" t="s">
        <v>160</v>
      </c>
      <c r="L29" s="7">
        <v>1</v>
      </c>
      <c r="N29" s="53">
        <v>5</v>
      </c>
      <c r="O29" s="7">
        <v>0.5</v>
      </c>
      <c r="P29" s="7">
        <v>0.5</v>
      </c>
      <c r="Q29" s="52">
        <f t="shared" si="0"/>
        <v>0.5</v>
      </c>
      <c r="R29" s="7">
        <v>12.5</v>
      </c>
      <c r="S29" s="7">
        <v>105</v>
      </c>
      <c r="T29" s="16">
        <f t="shared" si="1"/>
        <v>33</v>
      </c>
      <c r="U29" s="7">
        <v>395</v>
      </c>
      <c r="V29" s="16">
        <f t="shared" si="2"/>
        <v>2607</v>
      </c>
      <c r="W29" s="7">
        <v>6</v>
      </c>
      <c r="X29" s="54" t="s">
        <v>46</v>
      </c>
      <c r="Y29" s="54" t="s">
        <v>84</v>
      </c>
      <c r="Z29" s="54" t="s">
        <v>40</v>
      </c>
      <c r="AA29" s="54" t="s">
        <v>90</v>
      </c>
      <c r="AB29" s="39" t="s">
        <v>158</v>
      </c>
      <c r="AP29" s="27"/>
      <c r="AR29" s="27"/>
      <c r="AV29" s="28"/>
    </row>
    <row r="30" spans="1:48" x14ac:dyDescent="0.15">
      <c r="A30" s="15" t="s">
        <v>156</v>
      </c>
      <c r="B30" s="15" t="s">
        <v>157</v>
      </c>
      <c r="C30" s="54">
        <v>2019</v>
      </c>
      <c r="D30" s="37" t="s">
        <v>168</v>
      </c>
      <c r="E30" s="7" t="s">
        <v>130</v>
      </c>
      <c r="F30" s="7" t="s">
        <v>146</v>
      </c>
      <c r="G30" s="7" t="s">
        <v>36</v>
      </c>
      <c r="H30" s="54" t="s">
        <v>163</v>
      </c>
      <c r="I30" s="53" t="s">
        <v>159</v>
      </c>
      <c r="J30" s="54" t="s">
        <v>38</v>
      </c>
      <c r="K30" s="53" t="s">
        <v>160</v>
      </c>
      <c r="L30" s="7">
        <v>2</v>
      </c>
      <c r="N30" s="53">
        <v>5</v>
      </c>
      <c r="O30" s="7">
        <v>0.7</v>
      </c>
      <c r="P30" s="7">
        <v>0.75</v>
      </c>
      <c r="Q30" s="52">
        <f t="shared" si="0"/>
        <v>0.72499999999999998</v>
      </c>
      <c r="R30" s="7">
        <v>15.9</v>
      </c>
      <c r="S30" s="7">
        <v>84</v>
      </c>
      <c r="T30" s="16">
        <f t="shared" si="1"/>
        <v>36</v>
      </c>
      <c r="U30" s="7">
        <v>395</v>
      </c>
      <c r="V30" s="16">
        <f t="shared" si="2"/>
        <v>2844</v>
      </c>
      <c r="W30" s="7">
        <v>6</v>
      </c>
      <c r="X30" s="54" t="s">
        <v>46</v>
      </c>
      <c r="Y30" s="54" t="s">
        <v>84</v>
      </c>
      <c r="Z30" s="54" t="s">
        <v>40</v>
      </c>
      <c r="AA30" s="54" t="s">
        <v>90</v>
      </c>
      <c r="AB30" s="39" t="s">
        <v>158</v>
      </c>
      <c r="AP30" s="27"/>
      <c r="AR30" s="27"/>
    </row>
    <row r="31" spans="1:48" x14ac:dyDescent="0.15">
      <c r="A31" s="15" t="s">
        <v>156</v>
      </c>
      <c r="B31" s="15" t="s">
        <v>157</v>
      </c>
      <c r="C31" s="54">
        <v>2019</v>
      </c>
      <c r="D31" s="37" t="s">
        <v>168</v>
      </c>
      <c r="E31" s="7" t="s">
        <v>130</v>
      </c>
      <c r="F31" s="7" t="s">
        <v>146</v>
      </c>
      <c r="G31" s="7" t="s">
        <v>36</v>
      </c>
      <c r="H31" s="54" t="s">
        <v>163</v>
      </c>
      <c r="I31" s="53" t="s">
        <v>159</v>
      </c>
      <c r="J31" s="54" t="s">
        <v>38</v>
      </c>
      <c r="K31" s="53" t="s">
        <v>160</v>
      </c>
      <c r="L31" s="7">
        <v>3</v>
      </c>
      <c r="N31" s="53">
        <v>5</v>
      </c>
      <c r="O31" s="7">
        <v>0.5</v>
      </c>
      <c r="P31" s="7">
        <v>0.5</v>
      </c>
      <c r="Q31" s="52">
        <f t="shared" si="0"/>
        <v>0.5</v>
      </c>
      <c r="R31" s="7">
        <v>13.1</v>
      </c>
      <c r="S31" s="7">
        <v>106</v>
      </c>
      <c r="T31" s="16">
        <f t="shared" si="1"/>
        <v>33</v>
      </c>
      <c r="U31" s="7">
        <v>395</v>
      </c>
      <c r="V31" s="16">
        <f t="shared" si="2"/>
        <v>2607</v>
      </c>
      <c r="W31" s="7">
        <v>6</v>
      </c>
      <c r="X31" s="54" t="s">
        <v>46</v>
      </c>
      <c r="Y31" s="54" t="s">
        <v>84</v>
      </c>
      <c r="Z31" s="54" t="s">
        <v>40</v>
      </c>
      <c r="AA31" s="54" t="s">
        <v>90</v>
      </c>
      <c r="AB31" s="39" t="s">
        <v>158</v>
      </c>
      <c r="AP31" s="27"/>
      <c r="AR31" s="27"/>
    </row>
    <row r="32" spans="1:48" x14ac:dyDescent="0.15">
      <c r="A32" s="15" t="s">
        <v>156</v>
      </c>
      <c r="B32" s="15" t="s">
        <v>157</v>
      </c>
      <c r="C32" s="54">
        <v>2019</v>
      </c>
      <c r="D32" s="37" t="s">
        <v>168</v>
      </c>
      <c r="E32" s="7" t="s">
        <v>130</v>
      </c>
      <c r="F32" s="7" t="s">
        <v>146</v>
      </c>
      <c r="G32" s="7" t="s">
        <v>36</v>
      </c>
      <c r="H32" s="15" t="s">
        <v>164</v>
      </c>
      <c r="I32" s="7" t="s">
        <v>159</v>
      </c>
      <c r="J32" s="15" t="s">
        <v>38</v>
      </c>
      <c r="K32" s="7" t="s">
        <v>54</v>
      </c>
      <c r="L32" s="7">
        <v>1</v>
      </c>
      <c r="N32" s="53">
        <v>4</v>
      </c>
      <c r="O32" s="7">
        <v>0.75</v>
      </c>
      <c r="P32" s="7">
        <v>0.75</v>
      </c>
      <c r="Q32" s="52">
        <f t="shared" si="0"/>
        <v>0.75</v>
      </c>
      <c r="R32" s="7">
        <v>16.3</v>
      </c>
      <c r="S32" s="7">
        <v>78</v>
      </c>
      <c r="T32" s="16">
        <f t="shared" si="1"/>
        <v>42</v>
      </c>
      <c r="U32" s="7">
        <v>495</v>
      </c>
      <c r="V32" s="16">
        <f t="shared" si="2"/>
        <v>5197.5</v>
      </c>
      <c r="W32" s="7">
        <v>4</v>
      </c>
      <c r="X32" s="54" t="s">
        <v>46</v>
      </c>
      <c r="Y32" s="54" t="s">
        <v>84</v>
      </c>
      <c r="Z32" s="54" t="s">
        <v>40</v>
      </c>
      <c r="AA32" s="54" t="s">
        <v>90</v>
      </c>
      <c r="AB32" s="39" t="s">
        <v>158</v>
      </c>
      <c r="AP32" s="28"/>
      <c r="AR32" s="28"/>
    </row>
    <row r="33" spans="1:44" x14ac:dyDescent="0.15">
      <c r="A33" s="15" t="s">
        <v>156</v>
      </c>
      <c r="B33" s="15" t="s">
        <v>157</v>
      </c>
      <c r="C33" s="54">
        <v>2019</v>
      </c>
      <c r="D33" s="37" t="s">
        <v>168</v>
      </c>
      <c r="E33" s="7" t="s">
        <v>130</v>
      </c>
      <c r="F33" s="7" t="s">
        <v>146</v>
      </c>
      <c r="G33" s="7" t="s">
        <v>36</v>
      </c>
      <c r="H33" s="54" t="s">
        <v>164</v>
      </c>
      <c r="I33" s="53" t="s">
        <v>159</v>
      </c>
      <c r="J33" s="54" t="s">
        <v>38</v>
      </c>
      <c r="K33" s="53" t="s">
        <v>54</v>
      </c>
      <c r="L33" s="7">
        <v>2</v>
      </c>
      <c r="N33" s="53">
        <v>4</v>
      </c>
      <c r="O33" s="7">
        <v>0.6</v>
      </c>
      <c r="P33" s="7">
        <v>0.55000000000000004</v>
      </c>
      <c r="Q33" s="52">
        <f t="shared" si="0"/>
        <v>0.57499999999999996</v>
      </c>
      <c r="R33" s="7">
        <v>12.5</v>
      </c>
      <c r="S33" s="7">
        <v>74</v>
      </c>
      <c r="T33" s="16">
        <f t="shared" si="1"/>
        <v>46</v>
      </c>
      <c r="U33" s="7">
        <v>495</v>
      </c>
      <c r="V33" s="16">
        <f t="shared" si="2"/>
        <v>5692.5</v>
      </c>
      <c r="W33" s="7">
        <v>4</v>
      </c>
      <c r="X33" s="54" t="s">
        <v>46</v>
      </c>
      <c r="Y33" s="54" t="s">
        <v>84</v>
      </c>
      <c r="Z33" s="54" t="s">
        <v>40</v>
      </c>
      <c r="AA33" s="54" t="s">
        <v>90</v>
      </c>
      <c r="AB33" s="39" t="s">
        <v>158</v>
      </c>
    </row>
    <row r="34" spans="1:44" x14ac:dyDescent="0.15">
      <c r="A34" s="15" t="s">
        <v>156</v>
      </c>
      <c r="B34" s="15" t="s">
        <v>157</v>
      </c>
      <c r="C34" s="54">
        <v>2019</v>
      </c>
      <c r="D34" s="37" t="s">
        <v>168</v>
      </c>
      <c r="E34" s="7" t="s">
        <v>130</v>
      </c>
      <c r="F34" s="7" t="s">
        <v>146</v>
      </c>
      <c r="G34" s="7" t="s">
        <v>36</v>
      </c>
      <c r="H34" s="54" t="s">
        <v>164</v>
      </c>
      <c r="I34" s="53" t="s">
        <v>159</v>
      </c>
      <c r="J34" s="54" t="s">
        <v>38</v>
      </c>
      <c r="K34" s="53" t="s">
        <v>54</v>
      </c>
      <c r="L34" s="7">
        <v>3</v>
      </c>
      <c r="N34" s="53">
        <v>4</v>
      </c>
      <c r="O34" s="7">
        <v>0.75</v>
      </c>
      <c r="P34" s="7">
        <v>0.8</v>
      </c>
      <c r="Q34" s="52">
        <f t="shared" si="0"/>
        <v>0.77500000000000002</v>
      </c>
      <c r="R34" s="7">
        <v>11.4</v>
      </c>
      <c r="S34" s="7">
        <v>94</v>
      </c>
      <c r="T34" s="16">
        <f t="shared" si="1"/>
        <v>39</v>
      </c>
      <c r="U34" s="7">
        <v>495</v>
      </c>
      <c r="V34" s="16">
        <f t="shared" si="2"/>
        <v>4826.25</v>
      </c>
      <c r="W34" s="7">
        <v>4</v>
      </c>
      <c r="X34" s="54" t="s">
        <v>46</v>
      </c>
      <c r="Y34" s="54" t="s">
        <v>84</v>
      </c>
      <c r="Z34" s="54" t="s">
        <v>40</v>
      </c>
      <c r="AA34" s="54" t="s">
        <v>90</v>
      </c>
      <c r="AB34" s="39" t="s">
        <v>158</v>
      </c>
    </row>
    <row r="35" spans="1:44" x14ac:dyDescent="0.15">
      <c r="A35" s="15" t="s">
        <v>156</v>
      </c>
      <c r="B35" s="15" t="s">
        <v>157</v>
      </c>
      <c r="C35" s="54">
        <v>2019</v>
      </c>
      <c r="D35" s="37" t="s">
        <v>168</v>
      </c>
      <c r="E35" s="7" t="s">
        <v>132</v>
      </c>
      <c r="F35" s="7" t="s">
        <v>147</v>
      </c>
      <c r="G35" s="7" t="s">
        <v>36</v>
      </c>
      <c r="H35" s="15" t="s">
        <v>163</v>
      </c>
      <c r="I35" s="7" t="s">
        <v>159</v>
      </c>
      <c r="J35" s="15" t="s">
        <v>38</v>
      </c>
      <c r="K35" s="7" t="s">
        <v>160</v>
      </c>
      <c r="L35" s="7">
        <v>1</v>
      </c>
      <c r="N35" s="53">
        <v>1</v>
      </c>
      <c r="O35" s="7">
        <v>0.7</v>
      </c>
      <c r="P35" s="7">
        <v>0.6</v>
      </c>
      <c r="Q35" s="52">
        <f t="shared" si="0"/>
        <v>0.64999999999999991</v>
      </c>
      <c r="R35" s="7">
        <v>14.2</v>
      </c>
      <c r="S35" s="7">
        <v>122</v>
      </c>
      <c r="T35" s="16">
        <f t="shared" si="1"/>
        <v>27</v>
      </c>
      <c r="U35" s="7">
        <v>108</v>
      </c>
      <c r="V35" s="16">
        <f t="shared" si="2"/>
        <v>2916</v>
      </c>
      <c r="W35" s="7">
        <v>2</v>
      </c>
      <c r="X35" s="54" t="s">
        <v>39</v>
      </c>
      <c r="Y35" s="54" t="s">
        <v>84</v>
      </c>
      <c r="Z35" s="54" t="s">
        <v>40</v>
      </c>
      <c r="AA35" s="54" t="s">
        <v>90</v>
      </c>
      <c r="AB35" s="39" t="s">
        <v>158</v>
      </c>
      <c r="AP35" s="28"/>
      <c r="AR35" s="28"/>
    </row>
    <row r="36" spans="1:44" x14ac:dyDescent="0.15">
      <c r="A36" s="15" t="s">
        <v>156</v>
      </c>
      <c r="B36" s="15" t="s">
        <v>157</v>
      </c>
      <c r="C36" s="54">
        <v>2019</v>
      </c>
      <c r="D36" s="37" t="s">
        <v>168</v>
      </c>
      <c r="E36" s="7" t="s">
        <v>132</v>
      </c>
      <c r="F36" s="7" t="s">
        <v>147</v>
      </c>
      <c r="G36" s="7" t="s">
        <v>36</v>
      </c>
      <c r="H36" s="54" t="s">
        <v>163</v>
      </c>
      <c r="I36" s="7" t="s">
        <v>159</v>
      </c>
      <c r="J36" s="15" t="s">
        <v>38</v>
      </c>
      <c r="K36" s="7" t="s">
        <v>160</v>
      </c>
      <c r="L36" s="7">
        <v>2</v>
      </c>
      <c r="N36" s="53">
        <v>1</v>
      </c>
      <c r="O36" s="7">
        <v>0.5</v>
      </c>
      <c r="P36" s="7">
        <v>0.5</v>
      </c>
      <c r="Q36" s="52">
        <f t="shared" si="0"/>
        <v>0.5</v>
      </c>
      <c r="R36" s="7">
        <v>13.9</v>
      </c>
      <c r="S36" s="7">
        <v>117</v>
      </c>
      <c r="T36" s="16">
        <f t="shared" si="1"/>
        <v>30</v>
      </c>
      <c r="U36" s="7">
        <v>108</v>
      </c>
      <c r="V36" s="16">
        <f t="shared" si="2"/>
        <v>3240</v>
      </c>
      <c r="W36" s="7">
        <v>2</v>
      </c>
      <c r="X36" s="54" t="s">
        <v>39</v>
      </c>
      <c r="Y36" s="54" t="s">
        <v>84</v>
      </c>
      <c r="Z36" s="54" t="s">
        <v>40</v>
      </c>
      <c r="AA36" s="54" t="s">
        <v>90</v>
      </c>
      <c r="AB36" s="39" t="s">
        <v>158</v>
      </c>
    </row>
    <row r="37" spans="1:44" x14ac:dyDescent="0.15">
      <c r="A37" s="15" t="s">
        <v>156</v>
      </c>
      <c r="B37" s="15" t="s">
        <v>157</v>
      </c>
      <c r="C37" s="54">
        <v>2019</v>
      </c>
      <c r="D37" s="37" t="s">
        <v>168</v>
      </c>
      <c r="E37" s="7" t="s">
        <v>132</v>
      </c>
      <c r="F37" s="7" t="s">
        <v>147</v>
      </c>
      <c r="G37" s="7" t="s">
        <v>36</v>
      </c>
      <c r="H37" s="54" t="s">
        <v>163</v>
      </c>
      <c r="I37" s="7" t="s">
        <v>159</v>
      </c>
      <c r="J37" s="15" t="s">
        <v>38</v>
      </c>
      <c r="K37" s="7" t="s">
        <v>160</v>
      </c>
      <c r="L37" s="7">
        <v>3</v>
      </c>
      <c r="N37" s="53">
        <v>1</v>
      </c>
      <c r="O37" s="34">
        <v>0.5</v>
      </c>
      <c r="P37" s="34">
        <v>0.5</v>
      </c>
      <c r="Q37" s="52">
        <f t="shared" si="0"/>
        <v>0.5</v>
      </c>
      <c r="R37" s="7">
        <v>13.3</v>
      </c>
      <c r="S37" s="7">
        <v>122</v>
      </c>
      <c r="T37" s="16">
        <f t="shared" si="1"/>
        <v>27</v>
      </c>
      <c r="U37" s="7">
        <v>108</v>
      </c>
      <c r="V37" s="16">
        <f t="shared" si="2"/>
        <v>2916</v>
      </c>
      <c r="W37" s="7">
        <v>2</v>
      </c>
      <c r="X37" s="54" t="s">
        <v>39</v>
      </c>
      <c r="Y37" s="54" t="s">
        <v>84</v>
      </c>
      <c r="Z37" s="54" t="s">
        <v>40</v>
      </c>
      <c r="AA37" s="54" t="s">
        <v>90</v>
      </c>
      <c r="AB37" s="39" t="s">
        <v>158</v>
      </c>
    </row>
    <row r="38" spans="1:44" x14ac:dyDescent="0.15">
      <c r="A38" s="15" t="s">
        <v>156</v>
      </c>
      <c r="B38" s="15" t="s">
        <v>157</v>
      </c>
      <c r="C38" s="54">
        <v>2019</v>
      </c>
      <c r="D38" s="37" t="s">
        <v>168</v>
      </c>
      <c r="E38" s="7" t="s">
        <v>140</v>
      </c>
      <c r="F38" s="7" t="s">
        <v>148</v>
      </c>
      <c r="G38" s="7" t="s">
        <v>36</v>
      </c>
      <c r="H38" s="15" t="s">
        <v>163</v>
      </c>
      <c r="I38" s="7" t="s">
        <v>159</v>
      </c>
      <c r="J38" s="15" t="s">
        <v>38</v>
      </c>
      <c r="K38" s="7" t="s">
        <v>160</v>
      </c>
      <c r="L38" s="7">
        <v>1</v>
      </c>
      <c r="N38" s="53">
        <v>4</v>
      </c>
      <c r="O38" s="34">
        <v>0.7</v>
      </c>
      <c r="P38" s="34">
        <v>0.7</v>
      </c>
      <c r="Q38" s="52">
        <f t="shared" si="0"/>
        <v>0.7</v>
      </c>
      <c r="R38" s="7">
        <v>13.6</v>
      </c>
      <c r="S38" s="7">
        <v>87</v>
      </c>
      <c r="T38" s="16">
        <f t="shared" si="1"/>
        <v>36</v>
      </c>
      <c r="U38" s="7">
        <v>321</v>
      </c>
      <c r="V38" s="16">
        <f t="shared" si="2"/>
        <v>2889</v>
      </c>
      <c r="W38" s="7">
        <v>2</v>
      </c>
      <c r="X38" s="54" t="s">
        <v>46</v>
      </c>
      <c r="Y38" s="54" t="s">
        <v>84</v>
      </c>
      <c r="Z38" s="54" t="s">
        <v>90</v>
      </c>
      <c r="AA38" s="54" t="s">
        <v>69</v>
      </c>
      <c r="AB38" s="39" t="s">
        <v>158</v>
      </c>
    </row>
    <row r="39" spans="1:44" x14ac:dyDescent="0.15">
      <c r="A39" s="15" t="s">
        <v>156</v>
      </c>
      <c r="B39" s="15" t="s">
        <v>157</v>
      </c>
      <c r="C39" s="54">
        <v>2019</v>
      </c>
      <c r="D39" s="37" t="s">
        <v>168</v>
      </c>
      <c r="E39" s="7" t="s">
        <v>140</v>
      </c>
      <c r="F39" s="7" t="s">
        <v>148</v>
      </c>
      <c r="G39" s="7" t="s">
        <v>36</v>
      </c>
      <c r="H39" s="54" t="s">
        <v>163</v>
      </c>
      <c r="I39" s="7" t="s">
        <v>159</v>
      </c>
      <c r="J39" s="15" t="s">
        <v>38</v>
      </c>
      <c r="K39" s="7" t="s">
        <v>160</v>
      </c>
      <c r="L39" s="7">
        <v>2</v>
      </c>
      <c r="N39" s="53">
        <v>4</v>
      </c>
      <c r="O39" s="7">
        <v>0.85</v>
      </c>
      <c r="P39" s="7">
        <v>0.95</v>
      </c>
      <c r="Q39" s="52">
        <f t="shared" si="0"/>
        <v>0.89999999999999991</v>
      </c>
      <c r="R39" s="34">
        <v>14</v>
      </c>
      <c r="S39" s="7">
        <v>90</v>
      </c>
      <c r="T39" s="16">
        <f t="shared" si="1"/>
        <v>36</v>
      </c>
      <c r="U39" s="7">
        <v>321</v>
      </c>
      <c r="V39" s="16">
        <f t="shared" si="2"/>
        <v>2889</v>
      </c>
      <c r="W39" s="7">
        <v>2</v>
      </c>
      <c r="X39" s="54" t="s">
        <v>46</v>
      </c>
      <c r="Y39" s="54" t="s">
        <v>84</v>
      </c>
      <c r="Z39" s="54" t="s">
        <v>90</v>
      </c>
      <c r="AA39" s="54" t="s">
        <v>69</v>
      </c>
      <c r="AB39" s="39" t="s">
        <v>158</v>
      </c>
    </row>
    <row r="40" spans="1:44" x14ac:dyDescent="0.15">
      <c r="A40" s="15" t="s">
        <v>156</v>
      </c>
      <c r="B40" s="15" t="s">
        <v>157</v>
      </c>
      <c r="C40" s="54">
        <v>2019</v>
      </c>
      <c r="D40" s="37" t="s">
        <v>168</v>
      </c>
      <c r="E40" s="7" t="s">
        <v>140</v>
      </c>
      <c r="F40" s="7" t="s">
        <v>148</v>
      </c>
      <c r="G40" s="7" t="s">
        <v>36</v>
      </c>
      <c r="H40" s="54" t="s">
        <v>163</v>
      </c>
      <c r="I40" s="7" t="s">
        <v>159</v>
      </c>
      <c r="J40" s="15" t="s">
        <v>38</v>
      </c>
      <c r="K40" s="7" t="s">
        <v>160</v>
      </c>
      <c r="L40" s="7">
        <v>3</v>
      </c>
      <c r="N40" s="53">
        <v>4</v>
      </c>
      <c r="O40" s="7">
        <v>0.7</v>
      </c>
      <c r="P40" s="7">
        <v>0.85</v>
      </c>
      <c r="Q40" s="52">
        <f t="shared" si="0"/>
        <v>0.77499999999999991</v>
      </c>
      <c r="R40" s="7">
        <v>12.2</v>
      </c>
      <c r="S40" s="7">
        <v>84</v>
      </c>
      <c r="T40" s="16">
        <f t="shared" si="1"/>
        <v>36</v>
      </c>
      <c r="U40" s="7">
        <v>321</v>
      </c>
      <c r="V40" s="16">
        <f t="shared" si="2"/>
        <v>2889</v>
      </c>
      <c r="W40" s="7">
        <v>2</v>
      </c>
      <c r="X40" s="54" t="s">
        <v>46</v>
      </c>
      <c r="Y40" s="54" t="s">
        <v>84</v>
      </c>
      <c r="Z40" s="54" t="s">
        <v>90</v>
      </c>
      <c r="AA40" s="54" t="s">
        <v>69</v>
      </c>
      <c r="AB40" s="39" t="s">
        <v>158</v>
      </c>
    </row>
    <row r="41" spans="1:44" ht="12.75" customHeight="1" x14ac:dyDescent="0.15">
      <c r="A41" s="15" t="s">
        <v>156</v>
      </c>
      <c r="B41" s="15" t="s">
        <v>157</v>
      </c>
      <c r="C41" s="54">
        <v>2019</v>
      </c>
      <c r="D41" s="37" t="s">
        <v>168</v>
      </c>
      <c r="E41" s="7" t="s">
        <v>140</v>
      </c>
      <c r="F41" s="7" t="s">
        <v>148</v>
      </c>
      <c r="G41" s="7" t="s">
        <v>36</v>
      </c>
      <c r="H41" s="15" t="s">
        <v>127</v>
      </c>
      <c r="I41" s="7" t="s">
        <v>159</v>
      </c>
      <c r="J41" s="15" t="s">
        <v>53</v>
      </c>
      <c r="K41" s="7" t="s">
        <v>54</v>
      </c>
      <c r="L41" s="7">
        <v>1</v>
      </c>
      <c r="N41" s="53">
        <v>1</v>
      </c>
      <c r="O41" s="7">
        <v>1.1000000000000001</v>
      </c>
      <c r="P41" s="7">
        <v>1.1000000000000001</v>
      </c>
      <c r="Q41" s="52">
        <f t="shared" si="0"/>
        <v>1.1000000000000001</v>
      </c>
      <c r="R41" s="7">
        <v>14</v>
      </c>
      <c r="S41" s="7">
        <v>123</v>
      </c>
      <c r="T41" s="16">
        <f t="shared" si="1"/>
        <v>27</v>
      </c>
      <c r="U41" s="7">
        <v>138</v>
      </c>
      <c r="V41" s="16">
        <f t="shared" si="2"/>
        <v>3726</v>
      </c>
      <c r="W41" s="7">
        <v>2</v>
      </c>
      <c r="X41" s="54" t="s">
        <v>46</v>
      </c>
      <c r="Y41" s="54" t="s">
        <v>84</v>
      </c>
      <c r="Z41" s="54" t="s">
        <v>90</v>
      </c>
      <c r="AA41" s="54" t="s">
        <v>69</v>
      </c>
      <c r="AB41" s="39" t="s">
        <v>158</v>
      </c>
    </row>
    <row r="42" spans="1:44" x14ac:dyDescent="0.15">
      <c r="A42" s="15" t="s">
        <v>156</v>
      </c>
      <c r="B42" s="15" t="s">
        <v>157</v>
      </c>
      <c r="C42" s="54">
        <v>2019</v>
      </c>
      <c r="D42" s="37" t="s">
        <v>168</v>
      </c>
      <c r="E42" s="7" t="s">
        <v>140</v>
      </c>
      <c r="F42" s="7" t="s">
        <v>148</v>
      </c>
      <c r="G42" s="7" t="s">
        <v>36</v>
      </c>
      <c r="H42" s="54" t="s">
        <v>127</v>
      </c>
      <c r="I42" s="7" t="s">
        <v>159</v>
      </c>
      <c r="J42" s="15" t="s">
        <v>53</v>
      </c>
      <c r="K42" s="53" t="s">
        <v>54</v>
      </c>
      <c r="L42" s="7">
        <v>2</v>
      </c>
      <c r="N42" s="53">
        <v>1</v>
      </c>
      <c r="O42" s="7">
        <v>1.3</v>
      </c>
      <c r="P42" s="7">
        <v>1.45</v>
      </c>
      <c r="Q42" s="52">
        <f t="shared" si="0"/>
        <v>1.375</v>
      </c>
      <c r="R42" s="7">
        <v>14.5</v>
      </c>
      <c r="S42" s="7">
        <v>126</v>
      </c>
      <c r="T42" s="16">
        <f t="shared" si="1"/>
        <v>27</v>
      </c>
      <c r="U42" s="7">
        <v>138</v>
      </c>
      <c r="V42" s="16">
        <f t="shared" si="2"/>
        <v>3726</v>
      </c>
      <c r="W42" s="7">
        <v>2</v>
      </c>
      <c r="X42" s="54" t="s">
        <v>46</v>
      </c>
      <c r="Y42" s="54" t="s">
        <v>84</v>
      </c>
      <c r="Z42" s="54" t="s">
        <v>90</v>
      </c>
      <c r="AA42" s="54" t="s">
        <v>69</v>
      </c>
      <c r="AB42" s="39" t="s">
        <v>158</v>
      </c>
    </row>
    <row r="43" spans="1:44" x14ac:dyDescent="0.15">
      <c r="A43" s="15" t="s">
        <v>156</v>
      </c>
      <c r="B43" s="15" t="s">
        <v>157</v>
      </c>
      <c r="C43" s="54">
        <v>2019</v>
      </c>
      <c r="D43" s="37" t="s">
        <v>168</v>
      </c>
      <c r="E43" s="7" t="s">
        <v>140</v>
      </c>
      <c r="F43" s="7" t="s">
        <v>148</v>
      </c>
      <c r="G43" s="7" t="s">
        <v>36</v>
      </c>
      <c r="H43" s="54" t="s">
        <v>127</v>
      </c>
      <c r="I43" s="7" t="s">
        <v>159</v>
      </c>
      <c r="J43" s="15" t="s">
        <v>53</v>
      </c>
      <c r="K43" s="53" t="s">
        <v>54</v>
      </c>
      <c r="L43" s="7">
        <v>3</v>
      </c>
      <c r="N43" s="7">
        <v>1</v>
      </c>
      <c r="O43" s="7">
        <v>1.2</v>
      </c>
      <c r="P43" s="7">
        <v>1.3</v>
      </c>
      <c r="Q43" s="52">
        <f t="shared" si="0"/>
        <v>1.25</v>
      </c>
      <c r="R43" s="7">
        <v>11.9</v>
      </c>
      <c r="S43" s="7">
        <v>115</v>
      </c>
      <c r="T43" s="16">
        <f t="shared" si="1"/>
        <v>30</v>
      </c>
      <c r="U43" s="7">
        <v>138</v>
      </c>
      <c r="V43" s="16">
        <f t="shared" si="2"/>
        <v>4140</v>
      </c>
      <c r="W43" s="7">
        <v>2</v>
      </c>
      <c r="X43" s="54" t="s">
        <v>46</v>
      </c>
      <c r="Y43" s="54" t="s">
        <v>84</v>
      </c>
      <c r="Z43" s="54" t="s">
        <v>90</v>
      </c>
      <c r="AA43" s="54" t="s">
        <v>69</v>
      </c>
      <c r="AB43" s="39" t="s">
        <v>158</v>
      </c>
    </row>
    <row r="44" spans="1:44" x14ac:dyDescent="0.15">
      <c r="A44" s="15"/>
      <c r="B44" s="15"/>
      <c r="C44" s="15"/>
      <c r="D44" s="37"/>
      <c r="H44" s="15"/>
      <c r="J44" s="15"/>
      <c r="Q44" s="52" t="str">
        <f t="shared" si="0"/>
        <v/>
      </c>
      <c r="T44" s="16" t="str">
        <f t="shared" si="1"/>
        <v/>
      </c>
      <c r="V44" s="16" t="str">
        <f t="shared" si="2"/>
        <v/>
      </c>
      <c r="X44" s="54"/>
      <c r="Y44" s="54"/>
      <c r="Z44" s="54"/>
      <c r="AA44" s="54"/>
      <c r="AB44" s="39"/>
    </row>
    <row r="45" spans="1:44" x14ac:dyDescent="0.15">
      <c r="A45" s="15"/>
      <c r="B45" s="15"/>
      <c r="C45" s="15"/>
      <c r="D45" s="37"/>
      <c r="H45" s="54"/>
      <c r="J45" s="15"/>
      <c r="Q45" s="52" t="str">
        <f t="shared" si="0"/>
        <v/>
      </c>
      <c r="T45" s="16" t="str">
        <f t="shared" si="1"/>
        <v/>
      </c>
      <c r="V45" s="16" t="str">
        <f t="shared" si="2"/>
        <v/>
      </c>
      <c r="X45" s="54"/>
      <c r="Y45" s="54"/>
      <c r="Z45" s="54"/>
      <c r="AA45" s="54"/>
      <c r="AB45" s="39"/>
    </row>
    <row r="46" spans="1:44" x14ac:dyDescent="0.15">
      <c r="A46" s="15"/>
      <c r="B46" s="15"/>
      <c r="C46" s="15"/>
      <c r="D46" s="37"/>
      <c r="H46" s="54"/>
      <c r="J46" s="15"/>
      <c r="P46" s="34"/>
      <c r="Q46" s="52" t="str">
        <f t="shared" si="0"/>
        <v/>
      </c>
      <c r="T46" s="16" t="str">
        <f t="shared" si="1"/>
        <v/>
      </c>
      <c r="V46" s="16" t="str">
        <f t="shared" si="2"/>
        <v/>
      </c>
      <c r="X46" s="54"/>
      <c r="Y46" s="54"/>
      <c r="Z46" s="54"/>
      <c r="AA46" s="54"/>
      <c r="AB46" s="39"/>
    </row>
    <row r="47" spans="1:44" x14ac:dyDescent="0.15">
      <c r="A47" s="15"/>
      <c r="B47" s="15"/>
      <c r="C47" s="15"/>
      <c r="D47" s="37"/>
      <c r="H47" s="15"/>
      <c r="J47" s="15"/>
      <c r="Q47" s="52" t="str">
        <f t="shared" si="0"/>
        <v/>
      </c>
      <c r="T47" s="16" t="str">
        <f t="shared" si="1"/>
        <v/>
      </c>
      <c r="V47" s="16" t="str">
        <f t="shared" si="2"/>
        <v/>
      </c>
      <c r="X47" s="54"/>
      <c r="Y47" s="54"/>
      <c r="Z47" s="54"/>
      <c r="AA47" s="54"/>
      <c r="AB47" s="39"/>
    </row>
    <row r="48" spans="1:44" x14ac:dyDescent="0.15">
      <c r="A48" s="15"/>
      <c r="B48" s="15"/>
      <c r="C48" s="15"/>
      <c r="D48" s="37"/>
      <c r="H48" s="54"/>
      <c r="J48" s="15"/>
      <c r="K48" s="53"/>
      <c r="Q48" s="52" t="str">
        <f t="shared" si="0"/>
        <v/>
      </c>
      <c r="T48" s="16" t="str">
        <f t="shared" si="1"/>
        <v/>
      </c>
      <c r="V48" s="16" t="str">
        <f t="shared" si="2"/>
        <v/>
      </c>
      <c r="X48" s="54"/>
      <c r="Y48" s="54"/>
      <c r="Z48" s="54"/>
      <c r="AA48" s="54"/>
      <c r="AB48" s="39"/>
    </row>
    <row r="49" spans="1:29" x14ac:dyDescent="0.15">
      <c r="A49" s="15"/>
      <c r="B49" s="15"/>
      <c r="C49" s="15"/>
      <c r="D49" s="37"/>
      <c r="H49" s="54"/>
      <c r="J49" s="15"/>
      <c r="K49" s="53"/>
      <c r="P49" s="34"/>
      <c r="Q49" s="52" t="str">
        <f t="shared" si="0"/>
        <v/>
      </c>
      <c r="T49" s="16" t="str">
        <f t="shared" si="1"/>
        <v/>
      </c>
      <c r="V49" s="16" t="str">
        <f t="shared" si="2"/>
        <v/>
      </c>
      <c r="X49" s="54"/>
      <c r="Y49" s="54"/>
      <c r="Z49" s="54"/>
      <c r="AA49" s="54"/>
      <c r="AB49" s="39"/>
    </row>
    <row r="50" spans="1:29" x14ac:dyDescent="0.15">
      <c r="A50" s="15"/>
      <c r="B50" s="15"/>
      <c r="C50" s="15"/>
      <c r="D50" s="37"/>
      <c r="H50" s="15"/>
      <c r="J50" s="15"/>
      <c r="Q50" s="52" t="str">
        <f t="shared" si="0"/>
        <v/>
      </c>
      <c r="T50" s="16" t="str">
        <f t="shared" si="1"/>
        <v/>
      </c>
      <c r="V50" s="16" t="str">
        <f t="shared" si="2"/>
        <v/>
      </c>
      <c r="X50" s="54"/>
      <c r="Y50" s="54"/>
      <c r="Z50" s="54"/>
      <c r="AA50" s="54"/>
      <c r="AB50" s="39"/>
    </row>
    <row r="51" spans="1:29" x14ac:dyDescent="0.15">
      <c r="A51" s="15"/>
      <c r="B51" s="15"/>
      <c r="C51" s="15"/>
      <c r="D51" s="37"/>
      <c r="H51" s="54"/>
      <c r="J51" s="15"/>
      <c r="Q51" s="52" t="str">
        <f t="shared" si="0"/>
        <v/>
      </c>
      <c r="T51" s="16" t="str">
        <f t="shared" si="1"/>
        <v/>
      </c>
      <c r="V51" s="16" t="str">
        <f t="shared" si="2"/>
        <v/>
      </c>
      <c r="X51" s="54"/>
      <c r="Y51" s="54"/>
      <c r="Z51" s="54"/>
      <c r="AA51" s="54"/>
      <c r="AB51" s="39"/>
    </row>
    <row r="52" spans="1:29" x14ac:dyDescent="0.15">
      <c r="A52" s="15"/>
      <c r="B52" s="15"/>
      <c r="C52" s="15"/>
      <c r="D52" s="37"/>
      <c r="H52" s="54"/>
      <c r="J52" s="15"/>
      <c r="Q52" s="52" t="str">
        <f t="shared" si="0"/>
        <v/>
      </c>
      <c r="T52" s="16" t="str">
        <f t="shared" si="1"/>
        <v/>
      </c>
      <c r="V52" s="16" t="str">
        <f t="shared" si="2"/>
        <v/>
      </c>
      <c r="X52" s="54"/>
      <c r="Y52" s="54"/>
      <c r="Z52" s="54"/>
      <c r="AA52" s="54"/>
      <c r="AB52" s="39"/>
    </row>
    <row r="53" spans="1:29" x14ac:dyDescent="0.15">
      <c r="A53" s="15"/>
      <c r="B53" s="15"/>
      <c r="C53" s="15"/>
      <c r="D53" s="37"/>
      <c r="H53" s="15"/>
      <c r="J53" s="15"/>
      <c r="Q53" s="52" t="str">
        <f t="shared" si="0"/>
        <v/>
      </c>
      <c r="T53" s="16" t="str">
        <f t="shared" si="1"/>
        <v/>
      </c>
      <c r="V53" s="16" t="str">
        <f t="shared" si="2"/>
        <v/>
      </c>
      <c r="X53" s="54"/>
      <c r="Y53" s="54"/>
      <c r="Z53" s="54"/>
      <c r="AA53" s="54"/>
      <c r="AB53" s="39"/>
      <c r="AC53" s="36"/>
    </row>
    <row r="54" spans="1:29" x14ac:dyDescent="0.15">
      <c r="A54" s="15"/>
      <c r="B54" s="15"/>
      <c r="C54" s="15"/>
      <c r="D54" s="37"/>
      <c r="H54" s="15"/>
      <c r="J54" s="15"/>
      <c r="K54" s="53"/>
      <c r="Q54" s="52" t="str">
        <f t="shared" si="0"/>
        <v/>
      </c>
      <c r="T54" s="16" t="str">
        <f t="shared" si="1"/>
        <v/>
      </c>
      <c r="V54" s="16" t="str">
        <f t="shared" si="2"/>
        <v/>
      </c>
      <c r="X54" s="54"/>
      <c r="Y54" s="54"/>
      <c r="Z54" s="54"/>
      <c r="AA54" s="54"/>
      <c r="AB54" s="39"/>
      <c r="AC54" s="36"/>
    </row>
    <row r="55" spans="1:29" x14ac:dyDescent="0.15">
      <c r="A55" s="15"/>
      <c r="B55" s="15"/>
      <c r="C55" s="15"/>
      <c r="D55" s="37"/>
      <c r="H55" s="15"/>
      <c r="J55" s="15"/>
      <c r="K55" s="53"/>
      <c r="Q55" s="52" t="str">
        <f t="shared" si="0"/>
        <v/>
      </c>
      <c r="T55" s="16" t="str">
        <f t="shared" si="1"/>
        <v/>
      </c>
      <c r="V55" s="16" t="str">
        <f t="shared" si="2"/>
        <v/>
      </c>
      <c r="X55" s="54"/>
      <c r="Y55" s="54"/>
      <c r="Z55" s="54"/>
      <c r="AA55" s="54"/>
      <c r="AB55" s="39"/>
      <c r="AC55" s="36"/>
    </row>
    <row r="56" spans="1:29" x14ac:dyDescent="0.15">
      <c r="A56" s="15"/>
      <c r="B56" s="15"/>
      <c r="C56" s="15"/>
      <c r="D56" s="37"/>
      <c r="H56" s="15"/>
      <c r="J56" s="15"/>
      <c r="Q56" s="52" t="str">
        <f t="shared" si="0"/>
        <v/>
      </c>
      <c r="T56" s="16" t="str">
        <f t="shared" si="1"/>
        <v/>
      </c>
      <c r="V56" s="16" t="str">
        <f t="shared" si="2"/>
        <v/>
      </c>
      <c r="X56" s="54"/>
      <c r="Y56" s="54"/>
      <c r="Z56" s="54"/>
      <c r="AA56" s="54"/>
      <c r="AB56" s="39"/>
    </row>
    <row r="57" spans="1:29" x14ac:dyDescent="0.15">
      <c r="A57" s="15"/>
      <c r="B57" s="15"/>
      <c r="C57" s="15"/>
      <c r="D57" s="37"/>
      <c r="H57" s="54"/>
      <c r="I57" s="53"/>
      <c r="J57" s="54"/>
      <c r="K57" s="53"/>
      <c r="Q57" s="52" t="str">
        <f t="shared" si="0"/>
        <v/>
      </c>
      <c r="T57" s="16" t="str">
        <f t="shared" si="1"/>
        <v/>
      </c>
      <c r="V57" s="16" t="str">
        <f t="shared" si="2"/>
        <v/>
      </c>
      <c r="X57" s="54"/>
      <c r="Y57" s="54"/>
      <c r="Z57" s="54"/>
      <c r="AA57" s="54"/>
      <c r="AB57" s="39"/>
    </row>
    <row r="58" spans="1:29" x14ac:dyDescent="0.15">
      <c r="A58" s="15"/>
      <c r="B58" s="15"/>
      <c r="C58" s="15"/>
      <c r="D58" s="37"/>
      <c r="H58" s="54"/>
      <c r="I58" s="53"/>
      <c r="J58" s="54"/>
      <c r="K58" s="53"/>
      <c r="Q58" s="52" t="str">
        <f t="shared" si="0"/>
        <v/>
      </c>
      <c r="T58" s="16" t="str">
        <f t="shared" si="1"/>
        <v/>
      </c>
      <c r="V58" s="16" t="str">
        <f t="shared" si="2"/>
        <v/>
      </c>
      <c r="X58" s="54"/>
      <c r="Y58" s="54"/>
      <c r="Z58" s="54"/>
      <c r="AA58" s="54"/>
      <c r="AB58" s="39"/>
    </row>
    <row r="59" spans="1:29" x14ac:dyDescent="0.15">
      <c r="A59" s="15"/>
      <c r="B59" s="15"/>
      <c r="C59" s="15"/>
      <c r="D59" s="37"/>
      <c r="H59" s="15"/>
      <c r="J59" s="15"/>
      <c r="Q59" s="52" t="str">
        <f t="shared" si="0"/>
        <v/>
      </c>
      <c r="T59" s="16" t="str">
        <f t="shared" si="1"/>
        <v/>
      </c>
      <c r="V59" s="16" t="str">
        <f t="shared" si="2"/>
        <v/>
      </c>
      <c r="X59" s="54"/>
      <c r="Y59" s="54"/>
      <c r="Z59" s="54"/>
      <c r="AA59" s="54"/>
      <c r="AB59" s="39"/>
    </row>
    <row r="60" spans="1:29" x14ac:dyDescent="0.15">
      <c r="A60" s="15"/>
      <c r="B60" s="15"/>
      <c r="C60" s="15"/>
      <c r="D60" s="37"/>
      <c r="H60" s="15"/>
      <c r="J60" s="15"/>
      <c r="Q60" s="52" t="str">
        <f t="shared" si="0"/>
        <v/>
      </c>
      <c r="T60" s="16" t="str">
        <f>IF(H60="","",IF(OR(H60="GREEN",H60="GK"),IF(S60&gt;=$AX$2,VLOOKUP(S60,$AX$2:$AY$12,2,1),""),IF(S60&gt;=$AZ$2,VLOOKUP(S60,$AZ$2:$BA$12,2,1),"")))</f>
        <v/>
      </c>
      <c r="V60" s="16" t="str">
        <f t="shared" si="2"/>
        <v/>
      </c>
      <c r="X60" s="54"/>
      <c r="Y60" s="54"/>
      <c r="Z60" s="54"/>
      <c r="AA60" s="54"/>
      <c r="AB60" s="39"/>
    </row>
    <row r="61" spans="1:29" x14ac:dyDescent="0.15">
      <c r="A61" s="15"/>
      <c r="B61" s="15"/>
      <c r="C61" s="15"/>
      <c r="D61" s="37"/>
      <c r="H61" s="15"/>
      <c r="J61" s="15"/>
      <c r="N61" s="53"/>
      <c r="Q61" s="52" t="str">
        <f t="shared" si="0"/>
        <v/>
      </c>
      <c r="T61" s="16" t="str">
        <f>IF(H61="","",IF(OR(H61="GREEN",H61="GK"),IF(S61&gt;=$AX$2,VLOOKUP(S61,$AX$2:$AY$12,2,1),""),IF(S61&gt;=$AZ$2,VLOOKUP(S61,$AZ$2:$BA$12,2,1),"")))</f>
        <v/>
      </c>
      <c r="V61" s="16" t="str">
        <f t="shared" si="2"/>
        <v/>
      </c>
      <c r="X61" s="54"/>
      <c r="Y61" s="54"/>
      <c r="Z61" s="54"/>
      <c r="AA61" s="54"/>
      <c r="AB61" s="39"/>
    </row>
    <row r="62" spans="1:29" x14ac:dyDescent="0.15">
      <c r="A62" s="15"/>
      <c r="B62" s="15"/>
      <c r="C62" s="15"/>
      <c r="D62" s="37"/>
      <c r="H62" s="15"/>
      <c r="J62" s="15"/>
      <c r="N62" s="53"/>
      <c r="Q62" s="52" t="str">
        <f t="shared" si="0"/>
        <v/>
      </c>
      <c r="T62" s="16" t="str">
        <f t="shared" ref="T62:T120" si="3">IF(H62="","",IF(OR(H62="GREEN",H62="GK"),IF(S62&gt;=$AX$2,VLOOKUP(S62,$AX$2:$AY$12,2,1),""),IF(S62&gt;=$AZ$2,VLOOKUP(S62,$AZ$2:$BA$12,2,1),"")))</f>
        <v/>
      </c>
      <c r="V62" s="16" t="str">
        <f t="shared" si="2"/>
        <v/>
      </c>
      <c r="X62" s="54"/>
      <c r="Y62" s="54"/>
      <c r="Z62" s="54"/>
      <c r="AA62" s="54"/>
      <c r="AB62" s="39"/>
    </row>
    <row r="63" spans="1:29" x14ac:dyDescent="0.15">
      <c r="A63" s="15"/>
      <c r="B63" s="15"/>
      <c r="C63" s="15"/>
      <c r="D63" s="37"/>
      <c r="H63" s="15"/>
      <c r="J63" s="15"/>
      <c r="N63" s="53"/>
      <c r="Q63" s="52" t="str">
        <f t="shared" si="0"/>
        <v/>
      </c>
      <c r="T63" s="16" t="str">
        <f t="shared" si="3"/>
        <v/>
      </c>
      <c r="V63" s="16" t="str">
        <f t="shared" si="2"/>
        <v/>
      </c>
      <c r="X63" s="54"/>
      <c r="Y63" s="54"/>
      <c r="Z63" s="54"/>
      <c r="AA63" s="54"/>
      <c r="AB63" s="39"/>
    </row>
    <row r="64" spans="1:29" x14ac:dyDescent="0.15">
      <c r="A64" s="15"/>
      <c r="B64" s="15"/>
      <c r="C64" s="15"/>
      <c r="D64" s="37"/>
      <c r="H64" s="15"/>
      <c r="J64" s="15"/>
      <c r="N64" s="53"/>
      <c r="Q64" s="52" t="str">
        <f t="shared" si="0"/>
        <v/>
      </c>
      <c r="T64" s="16" t="str">
        <f t="shared" si="3"/>
        <v/>
      </c>
      <c r="V64" s="16" t="str">
        <f t="shared" si="2"/>
        <v/>
      </c>
      <c r="X64" s="54"/>
      <c r="Y64" s="54"/>
      <c r="Z64" s="54"/>
      <c r="AA64" s="54"/>
      <c r="AB64" s="39"/>
    </row>
    <row r="65" spans="1:28" x14ac:dyDescent="0.15">
      <c r="A65" s="15"/>
      <c r="B65" s="15"/>
      <c r="C65" s="15"/>
      <c r="D65" s="37"/>
      <c r="H65" s="15"/>
      <c r="J65" s="15"/>
      <c r="L65" s="53"/>
      <c r="N65" s="53"/>
      <c r="Q65" s="52" t="str">
        <f t="shared" si="0"/>
        <v/>
      </c>
      <c r="T65" s="16" t="str">
        <f t="shared" si="3"/>
        <v/>
      </c>
      <c r="V65" s="16" t="str">
        <f t="shared" si="2"/>
        <v/>
      </c>
      <c r="X65" s="54"/>
      <c r="Y65" s="54"/>
      <c r="Z65" s="54"/>
      <c r="AA65" s="54"/>
      <c r="AB65" s="39"/>
    </row>
    <row r="66" spans="1:28" x14ac:dyDescent="0.15">
      <c r="A66" s="15"/>
      <c r="B66" s="15"/>
      <c r="C66" s="15"/>
      <c r="D66" s="37"/>
      <c r="H66" s="54"/>
      <c r="I66" s="53"/>
      <c r="J66" s="54"/>
      <c r="K66" s="53"/>
      <c r="L66" s="53"/>
      <c r="Q66" s="52" t="str">
        <f t="shared" ref="Q66:Q77" si="4">IF(OR(O66="",P66=""),"",AVERAGE(O66,P66))</f>
        <v/>
      </c>
      <c r="T66" s="16" t="str">
        <f t="shared" si="3"/>
        <v/>
      </c>
      <c r="V66" s="16" t="str">
        <f t="shared" ref="V66:V70" si="5">IF(OR(N66="",U66="",T66=""),"",U66/N66*T66)</f>
        <v/>
      </c>
      <c r="X66" s="54"/>
      <c r="Y66" s="54"/>
      <c r="Z66" s="54"/>
      <c r="AA66" s="54"/>
      <c r="AB66" s="39"/>
    </row>
    <row r="67" spans="1:28" x14ac:dyDescent="0.15">
      <c r="A67" s="15"/>
      <c r="B67" s="15"/>
      <c r="C67" s="15"/>
      <c r="D67" s="37"/>
      <c r="H67" s="54"/>
      <c r="I67" s="53"/>
      <c r="J67" s="54"/>
      <c r="K67" s="53"/>
      <c r="L67" s="53"/>
      <c r="Q67" s="52" t="str">
        <f t="shared" si="4"/>
        <v/>
      </c>
      <c r="T67" s="16" t="str">
        <f t="shared" si="3"/>
        <v/>
      </c>
      <c r="V67" s="16" t="str">
        <f t="shared" si="5"/>
        <v/>
      </c>
      <c r="X67" s="54"/>
      <c r="Y67" s="54"/>
      <c r="Z67" s="54"/>
      <c r="AA67" s="54"/>
      <c r="AB67" s="39"/>
    </row>
    <row r="68" spans="1:28" x14ac:dyDescent="0.15">
      <c r="A68" s="15"/>
      <c r="B68" s="15"/>
      <c r="C68" s="15"/>
      <c r="D68" s="37"/>
      <c r="H68" s="15"/>
      <c r="J68" s="15"/>
      <c r="Q68" s="52" t="str">
        <f t="shared" si="4"/>
        <v/>
      </c>
      <c r="T68" s="16" t="str">
        <f t="shared" si="3"/>
        <v/>
      </c>
      <c r="V68" s="16" t="str">
        <f t="shared" si="5"/>
        <v/>
      </c>
      <c r="X68" s="54"/>
      <c r="Y68" s="54"/>
      <c r="Z68" s="54"/>
      <c r="AA68" s="54"/>
      <c r="AB68" s="39"/>
    </row>
    <row r="69" spans="1:28" x14ac:dyDescent="0.15">
      <c r="A69" s="15"/>
      <c r="B69" s="15"/>
      <c r="C69" s="15"/>
      <c r="D69" s="37"/>
      <c r="H69" s="54"/>
      <c r="J69" s="15"/>
      <c r="Q69" s="52" t="str">
        <f t="shared" si="4"/>
        <v/>
      </c>
      <c r="T69" s="16" t="str">
        <f t="shared" si="3"/>
        <v/>
      </c>
      <c r="V69" s="16" t="str">
        <f t="shared" si="5"/>
        <v/>
      </c>
      <c r="X69" s="54"/>
      <c r="Y69" s="54"/>
      <c r="Z69" s="54"/>
      <c r="AA69" s="54"/>
      <c r="AB69" s="39"/>
    </row>
    <row r="70" spans="1:28" x14ac:dyDescent="0.15">
      <c r="A70" s="15"/>
      <c r="B70" s="15"/>
      <c r="C70" s="15"/>
      <c r="D70" s="37"/>
      <c r="H70" s="54"/>
      <c r="J70" s="15"/>
      <c r="Q70" s="52" t="str">
        <f t="shared" si="4"/>
        <v/>
      </c>
      <c r="T70" s="16" t="str">
        <f t="shared" si="3"/>
        <v/>
      </c>
      <c r="V70" s="16" t="str">
        <f t="shared" si="5"/>
        <v/>
      </c>
      <c r="X70" s="54"/>
      <c r="Y70" s="54"/>
      <c r="Z70" s="54"/>
      <c r="AA70" s="54"/>
      <c r="AB70" s="39"/>
    </row>
    <row r="71" spans="1:28" x14ac:dyDescent="0.15">
      <c r="A71" s="15"/>
      <c r="B71" s="15"/>
      <c r="C71" s="15"/>
      <c r="D71" s="37"/>
      <c r="H71" s="15"/>
      <c r="J71" s="15"/>
      <c r="Q71" s="52" t="str">
        <f t="shared" si="4"/>
        <v/>
      </c>
      <c r="T71" s="16" t="str">
        <f t="shared" si="3"/>
        <v/>
      </c>
      <c r="V71" s="16" t="str">
        <f>IF(OR(N71="",U71="",T71=""),"",U71/N71*T71)</f>
        <v/>
      </c>
      <c r="X71" s="15"/>
      <c r="Y71" s="15"/>
      <c r="Z71" s="15"/>
      <c r="AA71" s="15"/>
      <c r="AB71" s="39"/>
    </row>
    <row r="72" spans="1:28" x14ac:dyDescent="0.15">
      <c r="A72" s="15"/>
      <c r="B72" s="15"/>
      <c r="C72" s="15"/>
      <c r="D72" s="37"/>
      <c r="H72" s="15"/>
      <c r="J72" s="15"/>
      <c r="Q72" s="52" t="str">
        <f t="shared" si="4"/>
        <v/>
      </c>
      <c r="T72" s="16" t="str">
        <f t="shared" si="3"/>
        <v/>
      </c>
      <c r="V72" s="16" t="str">
        <f t="shared" ref="V72:V74" si="6">IF(OR(N72="",U72="",T72=""),"",U72/N72*T72)</f>
        <v/>
      </c>
      <c r="X72" s="15"/>
      <c r="Y72" s="15"/>
      <c r="Z72" s="15"/>
      <c r="AA72" s="15"/>
      <c r="AB72" s="39"/>
    </row>
    <row r="73" spans="1:28" x14ac:dyDescent="0.15">
      <c r="A73" s="15"/>
      <c r="B73" s="15"/>
      <c r="C73" s="15"/>
      <c r="D73" s="37"/>
      <c r="H73" s="15"/>
      <c r="J73" s="15"/>
      <c r="Q73" s="52" t="str">
        <f t="shared" si="4"/>
        <v/>
      </c>
      <c r="T73" s="16" t="str">
        <f t="shared" si="3"/>
        <v/>
      </c>
      <c r="V73" s="16" t="str">
        <f>IF(OR(N73="",U73="",T73=""),"",U73/N73*T73)</f>
        <v/>
      </c>
      <c r="X73" s="15"/>
      <c r="Y73" s="15"/>
      <c r="Z73" s="15"/>
      <c r="AA73" s="15"/>
      <c r="AB73" s="39"/>
    </row>
    <row r="74" spans="1:28" x14ac:dyDescent="0.15">
      <c r="A74" s="15"/>
      <c r="B74" s="15"/>
      <c r="C74" s="15"/>
      <c r="D74" s="37"/>
      <c r="H74" s="15"/>
      <c r="J74" s="15"/>
      <c r="Q74" s="52" t="str">
        <f t="shared" si="4"/>
        <v/>
      </c>
      <c r="T74" s="16" t="str">
        <f t="shared" si="3"/>
        <v/>
      </c>
      <c r="V74" s="16" t="str">
        <f t="shared" si="6"/>
        <v/>
      </c>
      <c r="X74" s="15"/>
      <c r="Y74" s="15"/>
      <c r="Z74" s="15"/>
      <c r="AA74" s="15"/>
      <c r="AB74" s="39"/>
    </row>
    <row r="75" spans="1:28" x14ac:dyDescent="0.15">
      <c r="A75" s="15"/>
      <c r="B75" s="15"/>
      <c r="C75" s="15"/>
      <c r="D75" s="37"/>
      <c r="H75" s="15"/>
      <c r="J75" s="15"/>
      <c r="Q75" s="52" t="str">
        <f t="shared" si="4"/>
        <v/>
      </c>
      <c r="T75" s="16" t="str">
        <f t="shared" si="3"/>
        <v/>
      </c>
      <c r="V75" s="16" t="str">
        <f>IF(OR(N75="",U75="",T75=""),"",U75/N75*T75)</f>
        <v/>
      </c>
      <c r="X75" s="15"/>
      <c r="Y75" s="15"/>
      <c r="Z75" s="15"/>
      <c r="AA75" s="15"/>
      <c r="AB75" s="39"/>
    </row>
    <row r="76" spans="1:28" x14ac:dyDescent="0.15">
      <c r="A76" s="15"/>
      <c r="B76" s="15"/>
      <c r="C76" s="15"/>
      <c r="D76" s="37"/>
      <c r="H76" s="15"/>
      <c r="J76" s="15"/>
      <c r="Q76" s="52" t="str">
        <f t="shared" si="4"/>
        <v/>
      </c>
      <c r="T76" s="16" t="str">
        <f t="shared" si="3"/>
        <v/>
      </c>
      <c r="V76" s="16" t="str">
        <f>IF(OR(N76="",U76="",T76=""),"",U76/N76*T76)</f>
        <v/>
      </c>
      <c r="X76" s="15"/>
      <c r="Y76" s="15"/>
      <c r="Z76" s="15"/>
      <c r="AA76" s="15"/>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xr:uid="{00000000-0009-0000-0000-00000000000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xr:uid="{00000000-0002-0000-0000-000002000000}">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xr:uid="{00000000-0002-0000-0000-000003000000}">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H2:H497" xr:uid="{00000000-0002-0000-0000-00000A000000}">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J2:J497" xr:uid="{00000000-0002-0000-0000-00000C000000}">
      <formula1>$AP$2:$AP$27</formula1>
    </dataValidation>
    <dataValidation type="list" allowBlank="1" showInputMessage="1" showErrorMessage="1" sqref="A3:A497" xr:uid="{00000000-0002-0000-0000-00000D000000}">
      <formula1>$AE$2:$AE$19</formula1>
    </dataValidation>
    <dataValidation type="list" allowBlank="1" showInputMessage="1" showErrorMessage="1" sqref="K127:K497" xr:uid="{00000000-0002-0000-0000-00000E000000}">
      <formula1>$AR$2:$AR$25</formula1>
    </dataValidation>
    <dataValidation type="list" allowBlank="1" showInputMessage="1" showErrorMessage="1" sqref="Y2:AA497" xr:uid="{00000000-0002-0000-0000-00000F000000}">
      <formula1>$AV$2:$AV$21</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F1:F1048576" xr:uid="{00000000-0002-0000-0000-000011000000}">
      <formula1>$AH$2:$AH$11</formula1>
    </dataValidation>
    <dataValidation type="list" allowBlank="1" showInputMessage="1" showErrorMessage="1" sqref="K2:K126" xr:uid="{00000000-0002-0000-0000-000012000000}">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FFFA9-288E-4CB7-AB4D-F8102EB3DC97}">
  <dimension ref="A1:BA268"/>
  <sheetViews>
    <sheetView zoomScale="70" zoomScaleNormal="70" workbookViewId="0">
      <selection activeCell="C8" sqref="C8"/>
    </sheetView>
  </sheetViews>
  <sheetFormatPr defaultColWidth="9" defaultRowHeight="13.5" x14ac:dyDescent="0.15"/>
  <cols>
    <col min="1" max="3" width="9" style="53"/>
    <col min="4" max="4" width="11" style="53" customWidth="1"/>
    <col min="5" max="5" width="10.875" style="53" customWidth="1"/>
    <col min="6" max="16" width="9" style="53"/>
    <col min="17" max="17" width="9" style="16"/>
    <col min="18" max="18" width="9" style="53"/>
    <col min="19" max="19" width="11.625" style="53" customWidth="1"/>
    <col min="20" max="20" width="9" style="16"/>
    <col min="21" max="21" width="9" style="53"/>
    <col min="22" max="22" width="9" style="16"/>
    <col min="23" max="32" width="9" style="53"/>
    <col min="33" max="33" width="14.375" style="53" customWidth="1"/>
    <col min="34" max="34" width="11.375" style="53" customWidth="1"/>
    <col min="35" max="16384" width="9" style="53"/>
  </cols>
  <sheetData>
    <row r="1" spans="1:53" ht="45" x14ac:dyDescent="0.15">
      <c r="A1" s="44" t="s">
        <v>0</v>
      </c>
      <c r="B1" s="55" t="s">
        <v>171</v>
      </c>
      <c r="C1" s="55" t="s">
        <v>172</v>
      </c>
      <c r="D1" s="56" t="s">
        <v>3</v>
      </c>
      <c r="E1" s="45" t="s">
        <v>4</v>
      </c>
      <c r="F1" s="45" t="s">
        <v>5</v>
      </c>
      <c r="G1" s="45" t="s">
        <v>6</v>
      </c>
      <c r="H1" s="45" t="s">
        <v>7</v>
      </c>
      <c r="I1" s="45" t="s">
        <v>8</v>
      </c>
      <c r="J1" s="45" t="s">
        <v>9</v>
      </c>
      <c r="K1" s="45" t="s">
        <v>10</v>
      </c>
      <c r="L1" s="56" t="s">
        <v>173</v>
      </c>
      <c r="M1" s="56" t="s">
        <v>174</v>
      </c>
      <c r="N1" s="56" t="s">
        <v>13</v>
      </c>
      <c r="O1" s="56" t="s">
        <v>175</v>
      </c>
      <c r="P1" s="56" t="s">
        <v>176</v>
      </c>
      <c r="Q1" s="57" t="s">
        <v>177</v>
      </c>
      <c r="R1" s="56" t="s">
        <v>178</v>
      </c>
      <c r="S1" s="56" t="s">
        <v>179</v>
      </c>
      <c r="T1" s="57" t="s">
        <v>19</v>
      </c>
      <c r="U1" s="58" t="s">
        <v>108</v>
      </c>
      <c r="V1" s="59" t="s">
        <v>20</v>
      </c>
      <c r="W1" s="56" t="s">
        <v>180</v>
      </c>
      <c r="X1" s="45" t="s">
        <v>22</v>
      </c>
      <c r="Y1" s="45" t="s">
        <v>23</v>
      </c>
      <c r="Z1" s="45" t="s">
        <v>24</v>
      </c>
      <c r="AA1" s="45" t="s">
        <v>25</v>
      </c>
      <c r="AB1" s="46" t="s">
        <v>181</v>
      </c>
      <c r="AE1" s="60" t="s">
        <v>0</v>
      </c>
      <c r="AF1" s="61"/>
      <c r="AG1" s="60" t="s">
        <v>4</v>
      </c>
      <c r="AH1" s="60" t="s">
        <v>5</v>
      </c>
      <c r="AI1" s="61"/>
      <c r="AJ1" s="60" t="s">
        <v>6</v>
      </c>
      <c r="AK1" s="61"/>
      <c r="AL1" s="10" t="s">
        <v>7</v>
      </c>
      <c r="AM1" s="61"/>
      <c r="AN1" s="10" t="s">
        <v>8</v>
      </c>
      <c r="AO1" s="61"/>
      <c r="AP1" s="10" t="s">
        <v>27</v>
      </c>
      <c r="AQ1" s="61"/>
      <c r="AR1" s="10" t="s">
        <v>10</v>
      </c>
      <c r="AS1" s="61"/>
      <c r="AT1" s="11" t="s">
        <v>182</v>
      </c>
      <c r="AU1" s="61"/>
      <c r="AV1" s="10" t="s">
        <v>29</v>
      </c>
      <c r="AX1" s="12" t="s">
        <v>183</v>
      </c>
      <c r="AY1" s="13" t="s">
        <v>184</v>
      </c>
      <c r="AZ1" s="13" t="s">
        <v>185</v>
      </c>
      <c r="BA1" s="14" t="s">
        <v>186</v>
      </c>
    </row>
    <row r="2" spans="1:53" x14ac:dyDescent="0.15">
      <c r="A2" s="53" t="s">
        <v>41</v>
      </c>
      <c r="B2" s="53" t="s">
        <v>157</v>
      </c>
      <c r="C2" s="62">
        <v>2019</v>
      </c>
      <c r="D2" s="63" t="s">
        <v>187</v>
      </c>
      <c r="E2" s="53" t="s">
        <v>133</v>
      </c>
      <c r="F2" s="53" t="s">
        <v>188</v>
      </c>
      <c r="G2" s="53" t="s">
        <v>42</v>
      </c>
      <c r="H2" s="53" t="s">
        <v>163</v>
      </c>
      <c r="I2" s="53" t="s">
        <v>159</v>
      </c>
      <c r="J2" s="53" t="s">
        <v>38</v>
      </c>
      <c r="K2" s="53" t="s">
        <v>160</v>
      </c>
      <c r="L2" s="53">
        <v>1</v>
      </c>
      <c r="N2" s="53">
        <v>1</v>
      </c>
      <c r="O2" s="53">
        <v>0.6</v>
      </c>
      <c r="P2" s="53">
        <v>0.7</v>
      </c>
      <c r="Q2" s="16">
        <f t="shared" ref="Q2:Q34" si="0">IF(OR(O2="",P2=""),"",AVERAGE(O2,P2))</f>
        <v>0.64999999999999991</v>
      </c>
      <c r="R2" s="53">
        <v>11.2</v>
      </c>
      <c r="S2" s="53">
        <v>129</v>
      </c>
      <c r="T2" s="16">
        <f t="shared" ref="T2:T65" si="1">IF(H2="","",IF(OR(H2="GREEN",H2="GK"),IF(S2&gt;=$AX$2,VLOOKUP(S2,$AX$2:$AY$10,2,1),""),IF(S2&gt;=$AZ$2,VLOOKUP(S2,$AZ$2:$BA$10,2,1),"")))</f>
        <v>25</v>
      </c>
      <c r="U2" s="53">
        <v>105</v>
      </c>
      <c r="V2" s="16">
        <f t="shared" ref="V2:V40" si="2">IF(OR(N2="",U2="",T2=""),"",U2/N2*T2)</f>
        <v>2625</v>
      </c>
      <c r="W2" s="53">
        <v>3</v>
      </c>
      <c r="X2" s="53" t="s">
        <v>46</v>
      </c>
      <c r="Y2" s="53" t="s">
        <v>84</v>
      </c>
      <c r="Z2" s="53" t="s">
        <v>69</v>
      </c>
      <c r="AA2" s="53" t="s">
        <v>40</v>
      </c>
      <c r="AB2" s="53" t="s">
        <v>158</v>
      </c>
      <c r="AE2" s="64" t="s">
        <v>35</v>
      </c>
      <c r="AG2" s="65" t="s">
        <v>133</v>
      </c>
      <c r="AH2" s="66" t="s">
        <v>188</v>
      </c>
      <c r="AJ2" s="67" t="s">
        <v>36</v>
      </c>
      <c r="AL2" s="67" t="s">
        <v>189</v>
      </c>
      <c r="AN2" s="67" t="s">
        <v>37</v>
      </c>
      <c r="AP2" s="67" t="s">
        <v>38</v>
      </c>
      <c r="AR2" s="67" t="s">
        <v>160</v>
      </c>
      <c r="AT2" s="67" t="s">
        <v>39</v>
      </c>
      <c r="AV2" s="67" t="s">
        <v>40</v>
      </c>
      <c r="AX2" s="68">
        <v>1</v>
      </c>
      <c r="AY2" s="69">
        <v>50</v>
      </c>
      <c r="AZ2" s="69">
        <v>1</v>
      </c>
      <c r="BA2" s="70">
        <v>50</v>
      </c>
    </row>
    <row r="3" spans="1:53" x14ac:dyDescent="0.15">
      <c r="A3" s="53" t="s">
        <v>41</v>
      </c>
      <c r="B3" s="53" t="s">
        <v>157</v>
      </c>
      <c r="C3" s="62">
        <v>2019</v>
      </c>
      <c r="D3" s="63" t="s">
        <v>187</v>
      </c>
      <c r="E3" s="53" t="s">
        <v>133</v>
      </c>
      <c r="F3" s="53" t="s">
        <v>188</v>
      </c>
      <c r="G3" s="53" t="s">
        <v>42</v>
      </c>
      <c r="H3" s="53" t="s">
        <v>163</v>
      </c>
      <c r="I3" s="53" t="s">
        <v>159</v>
      </c>
      <c r="J3" s="53" t="s">
        <v>38</v>
      </c>
      <c r="K3" s="53" t="s">
        <v>160</v>
      </c>
      <c r="L3" s="53">
        <v>2</v>
      </c>
      <c r="N3" s="53">
        <v>1</v>
      </c>
      <c r="O3" s="53">
        <v>0.5</v>
      </c>
      <c r="P3" s="53">
        <v>0.45</v>
      </c>
      <c r="Q3" s="16">
        <f t="shared" si="0"/>
        <v>0.47499999999999998</v>
      </c>
      <c r="R3" s="53">
        <v>15.2</v>
      </c>
      <c r="S3" s="53">
        <v>131</v>
      </c>
      <c r="T3" s="16">
        <f t="shared" si="1"/>
        <v>25</v>
      </c>
      <c r="U3" s="53">
        <v>105</v>
      </c>
      <c r="V3" s="16">
        <f t="shared" si="2"/>
        <v>2625</v>
      </c>
      <c r="W3" s="53">
        <v>3</v>
      </c>
      <c r="X3" s="53" t="s">
        <v>46</v>
      </c>
      <c r="Y3" s="53" t="s">
        <v>84</v>
      </c>
      <c r="Z3" s="53" t="s">
        <v>69</v>
      </c>
      <c r="AA3" s="53" t="s">
        <v>40</v>
      </c>
      <c r="AB3" s="53" t="s">
        <v>158</v>
      </c>
      <c r="AE3" s="22" t="s">
        <v>41</v>
      </c>
      <c r="AG3" s="71" t="s">
        <v>190</v>
      </c>
      <c r="AH3" s="71" t="s">
        <v>188</v>
      </c>
      <c r="AJ3" s="23" t="s">
        <v>42</v>
      </c>
      <c r="AL3" s="23" t="s">
        <v>191</v>
      </c>
      <c r="AN3" s="23" t="s">
        <v>43</v>
      </c>
      <c r="AP3" s="23" t="s">
        <v>44</v>
      </c>
      <c r="AR3" s="23" t="s">
        <v>45</v>
      </c>
      <c r="AT3" s="23" t="s">
        <v>46</v>
      </c>
      <c r="AV3" s="23" t="s">
        <v>47</v>
      </c>
      <c r="AX3" s="24">
        <v>72</v>
      </c>
      <c r="AY3" s="25">
        <v>46</v>
      </c>
      <c r="AZ3" s="25">
        <v>71</v>
      </c>
      <c r="BA3" s="26">
        <v>42</v>
      </c>
    </row>
    <row r="4" spans="1:53" x14ac:dyDescent="0.15">
      <c r="A4" s="53" t="s">
        <v>41</v>
      </c>
      <c r="B4" s="53" t="s">
        <v>157</v>
      </c>
      <c r="C4" s="62">
        <v>2019</v>
      </c>
      <c r="D4" s="63" t="s">
        <v>192</v>
      </c>
      <c r="E4" s="53" t="s">
        <v>133</v>
      </c>
      <c r="F4" s="53" t="s">
        <v>188</v>
      </c>
      <c r="G4" s="53" t="s">
        <v>42</v>
      </c>
      <c r="H4" s="53" t="s">
        <v>163</v>
      </c>
      <c r="I4" s="53" t="s">
        <v>159</v>
      </c>
      <c r="J4" s="53" t="s">
        <v>38</v>
      </c>
      <c r="K4" s="53" t="s">
        <v>160</v>
      </c>
      <c r="L4" s="53">
        <v>3</v>
      </c>
      <c r="N4" s="53">
        <v>1</v>
      </c>
      <c r="O4" s="53">
        <v>0.4</v>
      </c>
      <c r="P4" s="53">
        <v>0.45</v>
      </c>
      <c r="Q4" s="16">
        <f t="shared" si="0"/>
        <v>0.42500000000000004</v>
      </c>
      <c r="R4" s="53">
        <v>16</v>
      </c>
      <c r="S4" s="53">
        <v>130</v>
      </c>
      <c r="T4" s="16">
        <f t="shared" si="1"/>
        <v>25</v>
      </c>
      <c r="U4" s="53">
        <v>105</v>
      </c>
      <c r="V4" s="16">
        <f t="shared" si="2"/>
        <v>2625</v>
      </c>
      <c r="W4" s="53">
        <v>3</v>
      </c>
      <c r="X4" s="53" t="s">
        <v>46</v>
      </c>
      <c r="Y4" s="53" t="s">
        <v>84</v>
      </c>
      <c r="Z4" s="53" t="s">
        <v>69</v>
      </c>
      <c r="AA4" s="53" t="s">
        <v>40</v>
      </c>
      <c r="AB4" s="53" t="s">
        <v>158</v>
      </c>
      <c r="AE4" s="22" t="s">
        <v>34</v>
      </c>
      <c r="AG4" s="71" t="s">
        <v>190</v>
      </c>
      <c r="AH4" s="71" t="s">
        <v>193</v>
      </c>
      <c r="AJ4" s="27" t="s">
        <v>48</v>
      </c>
      <c r="AL4" s="27" t="s">
        <v>194</v>
      </c>
      <c r="AN4" s="28" t="s">
        <v>195</v>
      </c>
      <c r="AP4" s="23" t="s">
        <v>196</v>
      </c>
      <c r="AR4" s="23" t="s">
        <v>197</v>
      </c>
      <c r="AT4" s="28"/>
      <c r="AV4" s="23" t="s">
        <v>50</v>
      </c>
      <c r="AX4" s="24">
        <v>75</v>
      </c>
      <c r="AY4" s="25">
        <v>42</v>
      </c>
      <c r="AZ4" s="25">
        <v>76</v>
      </c>
      <c r="BA4" s="26">
        <v>39</v>
      </c>
    </row>
    <row r="5" spans="1:53" ht="13.5" customHeight="1" x14ac:dyDescent="0.15">
      <c r="A5" s="53" t="s">
        <v>41</v>
      </c>
      <c r="B5" s="53" t="s">
        <v>157</v>
      </c>
      <c r="C5" s="62">
        <v>2019</v>
      </c>
      <c r="D5" s="63" t="s">
        <v>192</v>
      </c>
      <c r="E5" s="53" t="s">
        <v>133</v>
      </c>
      <c r="F5" s="53" t="s">
        <v>188</v>
      </c>
      <c r="G5" s="53" t="s">
        <v>42</v>
      </c>
      <c r="H5" s="53" t="s">
        <v>163</v>
      </c>
      <c r="I5" s="53" t="s">
        <v>159</v>
      </c>
      <c r="J5" s="53" t="s">
        <v>38</v>
      </c>
      <c r="K5" s="53" t="s">
        <v>160</v>
      </c>
      <c r="L5" s="53">
        <v>1</v>
      </c>
      <c r="N5" s="53">
        <v>8</v>
      </c>
      <c r="O5" s="53">
        <v>0.25</v>
      </c>
      <c r="P5" s="53">
        <v>0.25</v>
      </c>
      <c r="Q5" s="72">
        <f t="shared" si="0"/>
        <v>0.25</v>
      </c>
      <c r="R5" s="53">
        <v>12.7</v>
      </c>
      <c r="S5" s="53">
        <v>101</v>
      </c>
      <c r="T5" s="16">
        <f t="shared" si="1"/>
        <v>33</v>
      </c>
      <c r="U5" s="53">
        <v>645</v>
      </c>
      <c r="V5" s="16">
        <f t="shared" si="2"/>
        <v>2660.625</v>
      </c>
      <c r="W5" s="53">
        <v>2</v>
      </c>
      <c r="X5" s="53" t="s">
        <v>46</v>
      </c>
      <c r="Y5" s="53" t="s">
        <v>84</v>
      </c>
      <c r="Z5" s="53" t="s">
        <v>69</v>
      </c>
      <c r="AA5" s="53" t="s">
        <v>40</v>
      </c>
      <c r="AB5" s="53" t="s">
        <v>158</v>
      </c>
      <c r="AE5" s="22" t="s">
        <v>51</v>
      </c>
      <c r="AG5" s="71" t="s">
        <v>198</v>
      </c>
      <c r="AH5" s="71" t="s">
        <v>188</v>
      </c>
      <c r="AJ5" s="28"/>
      <c r="AL5" s="73" t="s">
        <v>163</v>
      </c>
      <c r="AN5" s="73" t="s">
        <v>159</v>
      </c>
      <c r="AP5" s="23" t="s">
        <v>199</v>
      </c>
      <c r="AR5" s="23" t="s">
        <v>54</v>
      </c>
      <c r="AV5" s="23" t="s">
        <v>55</v>
      </c>
      <c r="AX5" s="24">
        <v>84</v>
      </c>
      <c r="AY5" s="25">
        <v>39</v>
      </c>
      <c r="AZ5" s="25">
        <v>84</v>
      </c>
      <c r="BA5" s="26">
        <v>36</v>
      </c>
    </row>
    <row r="6" spans="1:53" x14ac:dyDescent="0.15">
      <c r="A6" s="53" t="s">
        <v>41</v>
      </c>
      <c r="B6" s="53" t="s">
        <v>157</v>
      </c>
      <c r="C6" s="62">
        <v>2019</v>
      </c>
      <c r="D6" s="63" t="s">
        <v>192</v>
      </c>
      <c r="E6" s="53" t="s">
        <v>133</v>
      </c>
      <c r="F6" s="53" t="s">
        <v>188</v>
      </c>
      <c r="G6" s="53" t="s">
        <v>42</v>
      </c>
      <c r="H6" s="53" t="s">
        <v>163</v>
      </c>
      <c r="I6" s="53" t="s">
        <v>159</v>
      </c>
      <c r="J6" s="53" t="s">
        <v>38</v>
      </c>
      <c r="K6" s="53" t="s">
        <v>160</v>
      </c>
      <c r="L6" s="53">
        <v>2</v>
      </c>
      <c r="N6" s="53">
        <v>8</v>
      </c>
      <c r="O6" s="53">
        <v>0.4</v>
      </c>
      <c r="P6" s="53">
        <v>0.3</v>
      </c>
      <c r="Q6" s="72">
        <f t="shared" si="0"/>
        <v>0.35</v>
      </c>
      <c r="R6" s="53">
        <v>14.7</v>
      </c>
      <c r="S6" s="53">
        <v>101</v>
      </c>
      <c r="T6" s="16">
        <f t="shared" si="1"/>
        <v>33</v>
      </c>
      <c r="U6" s="53">
        <v>645</v>
      </c>
      <c r="V6" s="16">
        <f t="shared" si="2"/>
        <v>2660.625</v>
      </c>
      <c r="W6" s="53">
        <v>2</v>
      </c>
      <c r="X6" s="53" t="s">
        <v>46</v>
      </c>
      <c r="Y6" s="53" t="s">
        <v>84</v>
      </c>
      <c r="Z6" s="53" t="s">
        <v>69</v>
      </c>
      <c r="AA6" s="53" t="s">
        <v>40</v>
      </c>
      <c r="AB6" s="53" t="s">
        <v>158</v>
      </c>
      <c r="AE6" s="22" t="s">
        <v>56</v>
      </c>
      <c r="AG6" s="71" t="s">
        <v>198</v>
      </c>
      <c r="AH6" s="71" t="s">
        <v>200</v>
      </c>
      <c r="AL6" s="73" t="s">
        <v>164</v>
      </c>
      <c r="AN6" s="73" t="s">
        <v>170</v>
      </c>
      <c r="AP6" s="23" t="s">
        <v>53</v>
      </c>
      <c r="AR6" s="23" t="s">
        <v>59</v>
      </c>
      <c r="AV6" s="23" t="s">
        <v>60</v>
      </c>
      <c r="AX6" s="24">
        <v>97</v>
      </c>
      <c r="AY6" s="25">
        <v>36</v>
      </c>
      <c r="AZ6" s="25">
        <v>99</v>
      </c>
      <c r="BA6" s="26">
        <v>33</v>
      </c>
    </row>
    <row r="7" spans="1:53" x14ac:dyDescent="0.15">
      <c r="A7" s="53" t="s">
        <v>41</v>
      </c>
      <c r="B7" s="53" t="s">
        <v>157</v>
      </c>
      <c r="C7" s="62">
        <v>2019</v>
      </c>
      <c r="D7" s="63" t="s">
        <v>192</v>
      </c>
      <c r="E7" s="53" t="s">
        <v>133</v>
      </c>
      <c r="F7" s="53" t="s">
        <v>188</v>
      </c>
      <c r="G7" s="53" t="s">
        <v>42</v>
      </c>
      <c r="H7" s="53" t="s">
        <v>163</v>
      </c>
      <c r="I7" s="53" t="s">
        <v>159</v>
      </c>
      <c r="J7" s="53" t="s">
        <v>38</v>
      </c>
      <c r="K7" s="53" t="s">
        <v>160</v>
      </c>
      <c r="L7" s="53">
        <v>3</v>
      </c>
      <c r="N7" s="53">
        <v>8</v>
      </c>
      <c r="O7" s="53">
        <v>0.3</v>
      </c>
      <c r="P7" s="53">
        <v>0.3</v>
      </c>
      <c r="Q7" s="72">
        <f t="shared" si="0"/>
        <v>0.3</v>
      </c>
      <c r="R7" s="53">
        <v>14.2</v>
      </c>
      <c r="S7" s="53">
        <v>107</v>
      </c>
      <c r="T7" s="16">
        <f t="shared" si="1"/>
        <v>33</v>
      </c>
      <c r="U7" s="53">
        <v>645</v>
      </c>
      <c r="V7" s="16">
        <f t="shared" si="2"/>
        <v>2660.625</v>
      </c>
      <c r="W7" s="53">
        <v>2</v>
      </c>
      <c r="X7" s="53" t="s">
        <v>46</v>
      </c>
      <c r="Y7" s="53" t="s">
        <v>84</v>
      </c>
      <c r="Z7" s="53" t="s">
        <v>69</v>
      </c>
      <c r="AA7" s="53" t="s">
        <v>40</v>
      </c>
      <c r="AB7" s="53" t="s">
        <v>158</v>
      </c>
      <c r="AE7" s="22" t="s">
        <v>61</v>
      </c>
      <c r="AG7" s="71" t="s">
        <v>201</v>
      </c>
      <c r="AH7" s="71" t="s">
        <v>200</v>
      </c>
      <c r="AL7" s="74" t="s">
        <v>202</v>
      </c>
      <c r="AP7" s="23" t="s">
        <v>58</v>
      </c>
      <c r="AR7" s="23" t="s">
        <v>203</v>
      </c>
      <c r="AV7" s="23" t="s">
        <v>64</v>
      </c>
      <c r="AX7" s="24">
        <v>109</v>
      </c>
      <c r="AY7" s="25">
        <v>33</v>
      </c>
      <c r="AZ7" s="25">
        <v>113</v>
      </c>
      <c r="BA7" s="26">
        <v>30</v>
      </c>
    </row>
    <row r="8" spans="1:53" x14ac:dyDescent="0.15">
      <c r="A8" s="53" t="s">
        <v>41</v>
      </c>
      <c r="B8" s="53" t="s">
        <v>157</v>
      </c>
      <c r="C8" s="62">
        <v>2019</v>
      </c>
      <c r="D8" s="63" t="s">
        <v>192</v>
      </c>
      <c r="E8" s="53" t="s">
        <v>133</v>
      </c>
      <c r="F8" s="53" t="s">
        <v>188</v>
      </c>
      <c r="G8" s="53" t="s">
        <v>42</v>
      </c>
      <c r="H8" s="53" t="s">
        <v>164</v>
      </c>
      <c r="I8" s="53" t="s">
        <v>159</v>
      </c>
      <c r="J8" s="53" t="s">
        <v>38</v>
      </c>
      <c r="K8" s="53" t="s">
        <v>54</v>
      </c>
      <c r="L8" s="53">
        <v>1</v>
      </c>
      <c r="M8" s="75"/>
      <c r="N8" s="53">
        <v>4</v>
      </c>
      <c r="O8" s="53">
        <v>0.25</v>
      </c>
      <c r="P8" s="53">
        <v>0.25</v>
      </c>
      <c r="Q8" s="76">
        <f t="shared" si="0"/>
        <v>0.25</v>
      </c>
      <c r="R8" s="53">
        <v>15.2</v>
      </c>
      <c r="S8" s="53">
        <v>114</v>
      </c>
      <c r="T8" s="16">
        <f t="shared" si="1"/>
        <v>33</v>
      </c>
      <c r="U8" s="53">
        <v>645</v>
      </c>
      <c r="V8" s="16">
        <f t="shared" si="2"/>
        <v>5321.25</v>
      </c>
      <c r="W8" s="53">
        <v>1</v>
      </c>
      <c r="X8" s="53" t="s">
        <v>46</v>
      </c>
      <c r="Y8" s="53" t="s">
        <v>84</v>
      </c>
      <c r="Z8" s="53" t="s">
        <v>69</v>
      </c>
      <c r="AA8" s="53" t="s">
        <v>40</v>
      </c>
      <c r="AB8" s="53" t="s">
        <v>158</v>
      </c>
      <c r="AE8" s="22" t="s">
        <v>59</v>
      </c>
      <c r="AG8" s="71" t="s">
        <v>204</v>
      </c>
      <c r="AH8" s="71" t="s">
        <v>205</v>
      </c>
      <c r="AL8" s="74" t="s">
        <v>206</v>
      </c>
      <c r="AP8" s="23" t="s">
        <v>62</v>
      </c>
      <c r="AR8" s="23" t="s">
        <v>81</v>
      </c>
      <c r="AV8" s="23" t="s">
        <v>97</v>
      </c>
      <c r="AX8" s="24">
        <v>119</v>
      </c>
      <c r="AY8" s="25">
        <v>30</v>
      </c>
      <c r="AZ8" s="25">
        <v>121</v>
      </c>
      <c r="BA8" s="26">
        <v>27</v>
      </c>
    </row>
    <row r="9" spans="1:53" x14ac:dyDescent="0.15">
      <c r="A9" s="53" t="s">
        <v>41</v>
      </c>
      <c r="B9" s="53" t="s">
        <v>157</v>
      </c>
      <c r="C9" s="62">
        <v>2019</v>
      </c>
      <c r="D9" s="63" t="s">
        <v>192</v>
      </c>
      <c r="E9" s="53" t="s">
        <v>133</v>
      </c>
      <c r="F9" s="53" t="s">
        <v>188</v>
      </c>
      <c r="G9" s="53" t="s">
        <v>42</v>
      </c>
      <c r="H9" s="53" t="s">
        <v>164</v>
      </c>
      <c r="I9" s="53" t="s">
        <v>159</v>
      </c>
      <c r="J9" s="53" t="s">
        <v>38</v>
      </c>
      <c r="K9" s="53" t="s">
        <v>54</v>
      </c>
      <c r="L9" s="53">
        <v>2</v>
      </c>
      <c r="M9" s="75"/>
      <c r="N9" s="53">
        <v>4</v>
      </c>
      <c r="O9" s="53">
        <v>0.25</v>
      </c>
      <c r="P9" s="53">
        <v>0.25</v>
      </c>
      <c r="Q9" s="76">
        <f t="shared" si="0"/>
        <v>0.25</v>
      </c>
      <c r="R9" s="53">
        <v>16.2</v>
      </c>
      <c r="S9" s="53">
        <v>113</v>
      </c>
      <c r="T9" s="16">
        <f t="shared" si="1"/>
        <v>33</v>
      </c>
      <c r="U9" s="53">
        <v>645</v>
      </c>
      <c r="V9" s="16">
        <f t="shared" si="2"/>
        <v>5321.25</v>
      </c>
      <c r="W9" s="53">
        <v>1</v>
      </c>
      <c r="X9" s="53" t="s">
        <v>46</v>
      </c>
      <c r="Y9" s="53" t="s">
        <v>84</v>
      </c>
      <c r="Z9" s="53" t="s">
        <v>69</v>
      </c>
      <c r="AA9" s="53" t="s">
        <v>40</v>
      </c>
      <c r="AB9" s="53" t="s">
        <v>158</v>
      </c>
      <c r="AE9" s="22" t="s">
        <v>207</v>
      </c>
      <c r="AG9" s="71" t="s">
        <v>208</v>
      </c>
      <c r="AH9" s="71" t="s">
        <v>209</v>
      </c>
      <c r="AL9" s="73"/>
      <c r="AP9" s="23" t="s">
        <v>95</v>
      </c>
      <c r="AR9" s="23" t="s">
        <v>210</v>
      </c>
      <c r="AV9" s="23" t="s">
        <v>102</v>
      </c>
      <c r="AX9" s="24">
        <v>128</v>
      </c>
      <c r="AY9" s="25">
        <v>27</v>
      </c>
      <c r="AZ9" s="25">
        <v>129</v>
      </c>
      <c r="BA9" s="26">
        <v>25</v>
      </c>
    </row>
    <row r="10" spans="1:53" x14ac:dyDescent="0.15">
      <c r="A10" s="53" t="s">
        <v>41</v>
      </c>
      <c r="B10" s="53" t="s">
        <v>157</v>
      </c>
      <c r="C10" s="62">
        <v>2019</v>
      </c>
      <c r="D10" s="63" t="s">
        <v>192</v>
      </c>
      <c r="E10" s="53" t="s">
        <v>133</v>
      </c>
      <c r="F10" s="53" t="s">
        <v>188</v>
      </c>
      <c r="G10" s="53" t="s">
        <v>42</v>
      </c>
      <c r="H10" s="53" t="s">
        <v>164</v>
      </c>
      <c r="I10" s="53" t="s">
        <v>159</v>
      </c>
      <c r="J10" s="53" t="s">
        <v>38</v>
      </c>
      <c r="K10" s="53" t="s">
        <v>54</v>
      </c>
      <c r="L10" s="53">
        <v>3</v>
      </c>
      <c r="M10" s="75"/>
      <c r="N10" s="53">
        <v>4</v>
      </c>
      <c r="O10" s="53">
        <v>0.25</v>
      </c>
      <c r="P10" s="53">
        <v>0.25</v>
      </c>
      <c r="Q10" s="76">
        <f t="shared" si="0"/>
        <v>0.25</v>
      </c>
      <c r="R10" s="53">
        <v>15.3</v>
      </c>
      <c r="S10" s="53">
        <v>111</v>
      </c>
      <c r="T10" s="16">
        <f t="shared" si="1"/>
        <v>33</v>
      </c>
      <c r="U10" s="53">
        <v>645</v>
      </c>
      <c r="V10" s="16">
        <f t="shared" si="2"/>
        <v>5321.25</v>
      </c>
      <c r="W10" s="53">
        <v>1</v>
      </c>
      <c r="X10" s="53" t="s">
        <v>46</v>
      </c>
      <c r="Y10" s="53" t="s">
        <v>84</v>
      </c>
      <c r="Z10" s="53" t="s">
        <v>69</v>
      </c>
      <c r="AA10" s="53" t="s">
        <v>40</v>
      </c>
      <c r="AB10" s="53" t="s">
        <v>158</v>
      </c>
      <c r="AE10" s="22" t="s">
        <v>211</v>
      </c>
      <c r="AG10" s="71" t="s">
        <v>204</v>
      </c>
      <c r="AH10" s="71" t="s">
        <v>212</v>
      </c>
      <c r="AL10" s="74"/>
      <c r="AP10" s="23" t="s">
        <v>100</v>
      </c>
      <c r="AR10" s="23" t="s">
        <v>213</v>
      </c>
      <c r="AV10" s="23" t="s">
        <v>106</v>
      </c>
      <c r="AX10" s="24">
        <v>138</v>
      </c>
      <c r="AY10" s="25">
        <v>25</v>
      </c>
      <c r="AZ10" s="25">
        <v>138</v>
      </c>
      <c r="BA10" s="26">
        <v>22</v>
      </c>
    </row>
    <row r="11" spans="1:53" x14ac:dyDescent="0.15">
      <c r="A11" s="53" t="s">
        <v>41</v>
      </c>
      <c r="B11" s="53" t="s">
        <v>157</v>
      </c>
      <c r="C11" s="62">
        <v>2019</v>
      </c>
      <c r="D11" s="63" t="s">
        <v>192</v>
      </c>
      <c r="E11" s="53" t="s">
        <v>190</v>
      </c>
      <c r="F11" s="53" t="s">
        <v>188</v>
      </c>
      <c r="G11" s="53" t="s">
        <v>42</v>
      </c>
      <c r="H11" s="53" t="s">
        <v>189</v>
      </c>
      <c r="I11" s="53" t="s">
        <v>159</v>
      </c>
      <c r="J11" s="53" t="s">
        <v>80</v>
      </c>
      <c r="K11" s="53" t="s">
        <v>68</v>
      </c>
      <c r="L11" s="53">
        <v>1</v>
      </c>
      <c r="M11" s="75"/>
      <c r="N11" s="53">
        <v>1</v>
      </c>
      <c r="O11" s="53">
        <v>1</v>
      </c>
      <c r="P11" s="53">
        <v>1.1000000000000001</v>
      </c>
      <c r="Q11" s="76">
        <f t="shared" si="0"/>
        <v>1.05</v>
      </c>
      <c r="R11" s="53">
        <v>10.3</v>
      </c>
      <c r="S11" s="53">
        <v>124</v>
      </c>
      <c r="T11" s="16">
        <f t="shared" si="1"/>
        <v>27</v>
      </c>
      <c r="U11" s="53">
        <v>105</v>
      </c>
      <c r="V11" s="16">
        <f t="shared" si="2"/>
        <v>2835</v>
      </c>
      <c r="W11" s="53">
        <v>1</v>
      </c>
      <c r="X11" s="53" t="s">
        <v>46</v>
      </c>
      <c r="Y11" s="53" t="s">
        <v>84</v>
      </c>
      <c r="Z11" s="53" t="s">
        <v>69</v>
      </c>
      <c r="AA11" s="53" t="s">
        <v>40</v>
      </c>
      <c r="AB11" s="53" t="s">
        <v>158</v>
      </c>
      <c r="AE11" s="22" t="s">
        <v>68</v>
      </c>
      <c r="AG11" s="71" t="s">
        <v>214</v>
      </c>
      <c r="AH11" s="71" t="s">
        <v>215</v>
      </c>
      <c r="AL11" s="74"/>
      <c r="AP11" s="23" t="s">
        <v>104</v>
      </c>
      <c r="AR11" s="23" t="s">
        <v>216</v>
      </c>
      <c r="AV11" s="23" t="s">
        <v>69</v>
      </c>
      <c r="AX11" s="24">
        <v>151</v>
      </c>
      <c r="AY11" s="25">
        <v>22</v>
      </c>
      <c r="AZ11" s="25">
        <v>152</v>
      </c>
      <c r="BA11" s="26">
        <v>18</v>
      </c>
    </row>
    <row r="12" spans="1:53" x14ac:dyDescent="0.15">
      <c r="A12" s="53" t="s">
        <v>41</v>
      </c>
      <c r="B12" s="53" t="s">
        <v>157</v>
      </c>
      <c r="C12" s="62">
        <v>2019</v>
      </c>
      <c r="D12" s="63" t="s">
        <v>192</v>
      </c>
      <c r="E12" s="53" t="s">
        <v>190</v>
      </c>
      <c r="F12" s="53" t="s">
        <v>188</v>
      </c>
      <c r="G12" s="53" t="s">
        <v>42</v>
      </c>
      <c r="H12" s="53" t="s">
        <v>189</v>
      </c>
      <c r="I12" s="53" t="s">
        <v>159</v>
      </c>
      <c r="J12" s="53" t="s">
        <v>80</v>
      </c>
      <c r="K12" s="53" t="s">
        <v>68</v>
      </c>
      <c r="L12" s="53">
        <v>2</v>
      </c>
      <c r="M12" s="75"/>
      <c r="N12" s="53">
        <v>1</v>
      </c>
      <c r="O12" s="53">
        <v>0.9</v>
      </c>
      <c r="P12" s="53">
        <v>1.05</v>
      </c>
      <c r="Q12" s="76">
        <f t="shared" si="0"/>
        <v>0.97500000000000009</v>
      </c>
      <c r="R12" s="53">
        <v>12.5</v>
      </c>
      <c r="S12" s="53">
        <v>129</v>
      </c>
      <c r="T12" s="16">
        <f t="shared" si="1"/>
        <v>25</v>
      </c>
      <c r="U12" s="53">
        <v>105</v>
      </c>
      <c r="V12" s="16">
        <f t="shared" si="2"/>
        <v>2625</v>
      </c>
      <c r="W12" s="53">
        <v>1</v>
      </c>
      <c r="X12" s="53" t="s">
        <v>46</v>
      </c>
      <c r="Y12" s="53" t="s">
        <v>84</v>
      </c>
      <c r="Z12" s="53" t="s">
        <v>69</v>
      </c>
      <c r="AA12" s="53" t="s">
        <v>40</v>
      </c>
      <c r="AB12" s="53" t="s">
        <v>158</v>
      </c>
      <c r="AE12" s="22" t="s">
        <v>217</v>
      </c>
      <c r="AG12" s="22"/>
      <c r="AH12" s="22"/>
      <c r="AL12" s="74"/>
      <c r="AP12" s="23" t="s">
        <v>67</v>
      </c>
      <c r="AR12" s="23" t="s">
        <v>218</v>
      </c>
      <c r="AV12" s="23" t="s">
        <v>72</v>
      </c>
      <c r="AX12" s="31">
        <v>180</v>
      </c>
      <c r="AY12" s="32">
        <v>18</v>
      </c>
      <c r="AZ12" s="32">
        <v>181</v>
      </c>
      <c r="BA12" s="33">
        <v>16</v>
      </c>
    </row>
    <row r="13" spans="1:53" x14ac:dyDescent="0.15">
      <c r="A13" s="53" t="s">
        <v>41</v>
      </c>
      <c r="B13" s="53" t="s">
        <v>157</v>
      </c>
      <c r="C13" s="62">
        <v>2019</v>
      </c>
      <c r="D13" s="63" t="s">
        <v>192</v>
      </c>
      <c r="E13" s="53" t="s">
        <v>190</v>
      </c>
      <c r="F13" s="53" t="s">
        <v>188</v>
      </c>
      <c r="G13" s="53" t="s">
        <v>42</v>
      </c>
      <c r="H13" s="53" t="s">
        <v>189</v>
      </c>
      <c r="I13" s="53" t="s">
        <v>159</v>
      </c>
      <c r="J13" s="53" t="s">
        <v>80</v>
      </c>
      <c r="K13" s="53" t="s">
        <v>68</v>
      </c>
      <c r="L13" s="53">
        <v>3</v>
      </c>
      <c r="M13" s="75"/>
      <c r="N13" s="53">
        <v>1</v>
      </c>
      <c r="O13" s="53">
        <v>1</v>
      </c>
      <c r="P13" s="53">
        <v>0.85</v>
      </c>
      <c r="Q13" s="76">
        <f t="shared" si="0"/>
        <v>0.92500000000000004</v>
      </c>
      <c r="R13" s="53">
        <v>11.8</v>
      </c>
      <c r="S13" s="53">
        <v>133</v>
      </c>
      <c r="T13" s="16">
        <f t="shared" si="1"/>
        <v>25</v>
      </c>
      <c r="U13" s="53">
        <v>105</v>
      </c>
      <c r="V13" s="16">
        <f t="shared" si="2"/>
        <v>2625</v>
      </c>
      <c r="W13" s="53">
        <v>1</v>
      </c>
      <c r="X13" s="53" t="s">
        <v>46</v>
      </c>
      <c r="Y13" s="53" t="s">
        <v>84</v>
      </c>
      <c r="Z13" s="53" t="s">
        <v>69</v>
      </c>
      <c r="AA13" s="53" t="s">
        <v>40</v>
      </c>
      <c r="AB13" s="53" t="s">
        <v>158</v>
      </c>
      <c r="AE13" s="22" t="s">
        <v>219</v>
      </c>
      <c r="AG13" s="23"/>
      <c r="AH13" s="23"/>
      <c r="AP13" s="23" t="s">
        <v>71</v>
      </c>
      <c r="AR13" s="23" t="s">
        <v>211</v>
      </c>
      <c r="AV13" s="23" t="s">
        <v>75</v>
      </c>
    </row>
    <row r="14" spans="1:53" x14ac:dyDescent="0.15">
      <c r="A14" s="53" t="s">
        <v>41</v>
      </c>
      <c r="B14" s="53" t="s">
        <v>157</v>
      </c>
      <c r="C14" s="62">
        <v>2019</v>
      </c>
      <c r="D14" s="63" t="s">
        <v>192</v>
      </c>
      <c r="E14" s="53" t="s">
        <v>190</v>
      </c>
      <c r="F14" s="53" t="s">
        <v>188</v>
      </c>
      <c r="G14" s="53" t="s">
        <v>42</v>
      </c>
      <c r="H14" s="53" t="s">
        <v>189</v>
      </c>
      <c r="I14" s="53" t="s">
        <v>159</v>
      </c>
      <c r="J14" s="53" t="s">
        <v>80</v>
      </c>
      <c r="K14" s="53" t="s">
        <v>68</v>
      </c>
      <c r="L14" s="53">
        <v>1</v>
      </c>
      <c r="M14" s="75"/>
      <c r="N14" s="53">
        <v>5</v>
      </c>
      <c r="O14" s="53">
        <v>1.2</v>
      </c>
      <c r="P14" s="53">
        <v>0.95</v>
      </c>
      <c r="Q14" s="76">
        <f t="shared" si="0"/>
        <v>1.075</v>
      </c>
      <c r="R14" s="53">
        <v>13.1</v>
      </c>
      <c r="S14" s="53">
        <v>100</v>
      </c>
      <c r="T14" s="16">
        <f t="shared" si="1"/>
        <v>33</v>
      </c>
      <c r="U14" s="53">
        <v>389</v>
      </c>
      <c r="V14" s="16">
        <f t="shared" si="2"/>
        <v>2567.4</v>
      </c>
      <c r="W14" s="53">
        <v>1</v>
      </c>
      <c r="X14" s="53" t="s">
        <v>46</v>
      </c>
      <c r="Y14" s="53" t="s">
        <v>84</v>
      </c>
      <c r="Z14" s="53" t="s">
        <v>69</v>
      </c>
      <c r="AA14" s="53" t="s">
        <v>40</v>
      </c>
      <c r="AB14" s="53" t="s">
        <v>158</v>
      </c>
      <c r="AE14" s="22" t="s">
        <v>96</v>
      </c>
      <c r="AG14" s="23"/>
      <c r="AH14" s="23"/>
      <c r="AP14" s="23" t="s">
        <v>74</v>
      </c>
      <c r="AR14" s="23" t="s">
        <v>220</v>
      </c>
      <c r="AV14" s="23" t="s">
        <v>78</v>
      </c>
    </row>
    <row r="15" spans="1:53" x14ac:dyDescent="0.15">
      <c r="A15" s="53" t="s">
        <v>41</v>
      </c>
      <c r="B15" s="53" t="s">
        <v>157</v>
      </c>
      <c r="C15" s="62">
        <v>2019</v>
      </c>
      <c r="D15" s="63" t="s">
        <v>192</v>
      </c>
      <c r="E15" s="53" t="s">
        <v>190</v>
      </c>
      <c r="F15" s="53" t="s">
        <v>188</v>
      </c>
      <c r="G15" s="53" t="s">
        <v>42</v>
      </c>
      <c r="H15" s="53" t="s">
        <v>189</v>
      </c>
      <c r="I15" s="53" t="s">
        <v>159</v>
      </c>
      <c r="J15" s="53" t="s">
        <v>80</v>
      </c>
      <c r="K15" s="53" t="s">
        <v>68</v>
      </c>
      <c r="L15" s="53">
        <v>2</v>
      </c>
      <c r="M15" s="75"/>
      <c r="N15" s="53">
        <v>5</v>
      </c>
      <c r="O15" s="53">
        <v>1</v>
      </c>
      <c r="P15" s="53">
        <v>1</v>
      </c>
      <c r="Q15" s="76">
        <f t="shared" si="0"/>
        <v>1</v>
      </c>
      <c r="R15" s="53">
        <v>12</v>
      </c>
      <c r="S15" s="53">
        <v>95</v>
      </c>
      <c r="T15" s="16">
        <f t="shared" si="1"/>
        <v>36</v>
      </c>
      <c r="U15" s="53">
        <v>389</v>
      </c>
      <c r="V15" s="16">
        <f t="shared" si="2"/>
        <v>2800.7999999999997</v>
      </c>
      <c r="W15" s="53">
        <v>1</v>
      </c>
      <c r="X15" s="53" t="s">
        <v>46</v>
      </c>
      <c r="Y15" s="53" t="s">
        <v>84</v>
      </c>
      <c r="Z15" s="53" t="s">
        <v>69</v>
      </c>
      <c r="AA15" s="53" t="s">
        <v>40</v>
      </c>
      <c r="AB15" s="53" t="s">
        <v>158</v>
      </c>
      <c r="AE15" s="22" t="s">
        <v>221</v>
      </c>
      <c r="AG15" s="23"/>
      <c r="AH15" s="23"/>
      <c r="AP15" s="23" t="s">
        <v>77</v>
      </c>
      <c r="AR15" s="23" t="s">
        <v>80</v>
      </c>
      <c r="AV15" s="23" t="s">
        <v>107</v>
      </c>
    </row>
    <row r="16" spans="1:53" x14ac:dyDescent="0.15">
      <c r="A16" s="53" t="s">
        <v>41</v>
      </c>
      <c r="B16" s="53" t="s">
        <v>157</v>
      </c>
      <c r="C16" s="62">
        <v>2019</v>
      </c>
      <c r="D16" s="63" t="s">
        <v>192</v>
      </c>
      <c r="E16" s="53" t="s">
        <v>190</v>
      </c>
      <c r="F16" s="53" t="s">
        <v>188</v>
      </c>
      <c r="G16" s="53" t="s">
        <v>42</v>
      </c>
      <c r="H16" s="53" t="s">
        <v>189</v>
      </c>
      <c r="I16" s="53" t="s">
        <v>159</v>
      </c>
      <c r="J16" s="53" t="s">
        <v>80</v>
      </c>
      <c r="K16" s="53" t="s">
        <v>68</v>
      </c>
      <c r="L16" s="53">
        <v>3</v>
      </c>
      <c r="M16" s="75"/>
      <c r="N16" s="53">
        <v>5</v>
      </c>
      <c r="O16" s="53">
        <v>0.9</v>
      </c>
      <c r="P16" s="53">
        <v>0.85</v>
      </c>
      <c r="Q16" s="76">
        <f t="shared" si="0"/>
        <v>0.875</v>
      </c>
      <c r="R16" s="53">
        <v>10.4</v>
      </c>
      <c r="S16" s="53">
        <v>97</v>
      </c>
      <c r="T16" s="16">
        <f t="shared" si="1"/>
        <v>36</v>
      </c>
      <c r="U16" s="53">
        <v>389</v>
      </c>
      <c r="V16" s="16">
        <f t="shared" si="2"/>
        <v>2800.7999999999997</v>
      </c>
      <c r="W16" s="53">
        <v>1</v>
      </c>
      <c r="X16" s="53" t="s">
        <v>46</v>
      </c>
      <c r="Y16" s="53" t="s">
        <v>84</v>
      </c>
      <c r="Z16" s="53" t="s">
        <v>69</v>
      </c>
      <c r="AA16" s="53" t="s">
        <v>40</v>
      </c>
      <c r="AB16" s="53" t="s">
        <v>158</v>
      </c>
      <c r="AE16" s="22" t="s">
        <v>222</v>
      </c>
      <c r="AG16" s="28"/>
      <c r="AH16" s="28"/>
      <c r="AP16" s="23" t="s">
        <v>80</v>
      </c>
      <c r="AR16" s="23" t="s">
        <v>63</v>
      </c>
      <c r="AV16" s="23" t="s">
        <v>84</v>
      </c>
    </row>
    <row r="17" spans="1:48" x14ac:dyDescent="0.15">
      <c r="A17" s="53" t="s">
        <v>41</v>
      </c>
      <c r="B17" s="53" t="s">
        <v>157</v>
      </c>
      <c r="C17" s="62">
        <v>2019</v>
      </c>
      <c r="D17" s="63" t="s">
        <v>192</v>
      </c>
      <c r="E17" s="53" t="s">
        <v>190</v>
      </c>
      <c r="F17" s="53" t="s">
        <v>193</v>
      </c>
      <c r="G17" s="53" t="s">
        <v>42</v>
      </c>
      <c r="H17" s="53" t="s">
        <v>189</v>
      </c>
      <c r="I17" s="53" t="s">
        <v>159</v>
      </c>
      <c r="J17" s="53" t="s">
        <v>58</v>
      </c>
      <c r="K17" s="53" t="s">
        <v>59</v>
      </c>
      <c r="L17" s="53">
        <v>1</v>
      </c>
      <c r="M17" s="75"/>
      <c r="N17" s="53">
        <v>1</v>
      </c>
      <c r="O17" s="53">
        <v>0.75</v>
      </c>
      <c r="P17" s="53">
        <v>0.65</v>
      </c>
      <c r="Q17" s="76">
        <f t="shared" si="0"/>
        <v>0.7</v>
      </c>
      <c r="R17" s="53">
        <v>14.2</v>
      </c>
      <c r="S17" s="53">
        <v>124</v>
      </c>
      <c r="T17" s="16">
        <f t="shared" si="1"/>
        <v>27</v>
      </c>
      <c r="U17" s="53">
        <v>105</v>
      </c>
      <c r="V17" s="16">
        <f t="shared" si="2"/>
        <v>2835</v>
      </c>
      <c r="W17" s="53">
        <v>2</v>
      </c>
      <c r="X17" s="53" t="s">
        <v>46</v>
      </c>
      <c r="Y17" s="53" t="s">
        <v>84</v>
      </c>
      <c r="Z17" s="53" t="s">
        <v>90</v>
      </c>
      <c r="AA17" s="53" t="s">
        <v>40</v>
      </c>
      <c r="AB17" s="53" t="s">
        <v>158</v>
      </c>
      <c r="AE17" s="22" t="s">
        <v>223</v>
      </c>
      <c r="AP17" s="27" t="s">
        <v>224</v>
      </c>
      <c r="AR17" s="23" t="s">
        <v>96</v>
      </c>
      <c r="AV17" s="23" t="s">
        <v>86</v>
      </c>
    </row>
    <row r="18" spans="1:48" x14ac:dyDescent="0.15">
      <c r="A18" s="53" t="s">
        <v>41</v>
      </c>
      <c r="B18" s="53" t="s">
        <v>157</v>
      </c>
      <c r="C18" s="62">
        <v>2019</v>
      </c>
      <c r="D18" s="63" t="s">
        <v>192</v>
      </c>
      <c r="E18" s="53" t="s">
        <v>190</v>
      </c>
      <c r="F18" s="53" t="s">
        <v>193</v>
      </c>
      <c r="G18" s="53" t="s">
        <v>42</v>
      </c>
      <c r="H18" s="53" t="s">
        <v>189</v>
      </c>
      <c r="I18" s="53" t="s">
        <v>159</v>
      </c>
      <c r="J18" s="53" t="s">
        <v>58</v>
      </c>
      <c r="K18" s="53" t="s">
        <v>59</v>
      </c>
      <c r="L18" s="53">
        <v>2</v>
      </c>
      <c r="M18" s="75"/>
      <c r="N18" s="53">
        <v>1</v>
      </c>
      <c r="O18" s="53">
        <v>0.9</v>
      </c>
      <c r="P18" s="53">
        <v>0.8</v>
      </c>
      <c r="Q18" s="76">
        <f t="shared" si="0"/>
        <v>0.85000000000000009</v>
      </c>
      <c r="R18" s="53">
        <v>13.5</v>
      </c>
      <c r="S18" s="53">
        <v>128</v>
      </c>
      <c r="T18" s="16">
        <f t="shared" si="1"/>
        <v>27</v>
      </c>
      <c r="U18" s="53">
        <v>105</v>
      </c>
      <c r="V18" s="16">
        <f t="shared" si="2"/>
        <v>2835</v>
      </c>
      <c r="W18" s="53">
        <v>2</v>
      </c>
      <c r="X18" s="53" t="s">
        <v>46</v>
      </c>
      <c r="Y18" s="53" t="s">
        <v>84</v>
      </c>
      <c r="Z18" s="53" t="s">
        <v>90</v>
      </c>
      <c r="AA18" s="53" t="s">
        <v>40</v>
      </c>
      <c r="AB18" s="53" t="s">
        <v>158</v>
      </c>
      <c r="AE18" s="22" t="s">
        <v>216</v>
      </c>
      <c r="AP18" s="27" t="s">
        <v>225</v>
      </c>
      <c r="AR18" s="23" t="s">
        <v>101</v>
      </c>
      <c r="AV18" s="23" t="s">
        <v>88</v>
      </c>
    </row>
    <row r="19" spans="1:48" x14ac:dyDescent="0.15">
      <c r="A19" s="53" t="s">
        <v>41</v>
      </c>
      <c r="B19" s="53" t="s">
        <v>157</v>
      </c>
      <c r="C19" s="62">
        <v>2019</v>
      </c>
      <c r="D19" s="63" t="s">
        <v>192</v>
      </c>
      <c r="E19" s="53" t="s">
        <v>190</v>
      </c>
      <c r="F19" s="53" t="s">
        <v>193</v>
      </c>
      <c r="G19" s="53" t="s">
        <v>42</v>
      </c>
      <c r="H19" s="53" t="s">
        <v>189</v>
      </c>
      <c r="I19" s="53" t="s">
        <v>159</v>
      </c>
      <c r="J19" s="53" t="s">
        <v>58</v>
      </c>
      <c r="K19" s="53" t="s">
        <v>59</v>
      </c>
      <c r="L19" s="53">
        <v>3</v>
      </c>
      <c r="M19" s="75"/>
      <c r="N19" s="53">
        <v>1</v>
      </c>
      <c r="O19" s="53">
        <v>0.85</v>
      </c>
      <c r="P19" s="53">
        <v>0.85</v>
      </c>
      <c r="Q19" s="76">
        <f t="shared" si="0"/>
        <v>0.85</v>
      </c>
      <c r="R19" s="53">
        <v>12</v>
      </c>
      <c r="S19" s="53">
        <v>129</v>
      </c>
      <c r="T19" s="16">
        <f t="shared" si="1"/>
        <v>25</v>
      </c>
      <c r="U19" s="53">
        <v>105</v>
      </c>
      <c r="V19" s="16">
        <f t="shared" si="2"/>
        <v>2625</v>
      </c>
      <c r="W19" s="53">
        <v>2</v>
      </c>
      <c r="X19" s="53" t="s">
        <v>46</v>
      </c>
      <c r="Y19" s="53" t="s">
        <v>84</v>
      </c>
      <c r="Z19" s="53" t="s">
        <v>90</v>
      </c>
      <c r="AA19" s="53" t="s">
        <v>40</v>
      </c>
      <c r="AB19" s="53" t="s">
        <v>158</v>
      </c>
      <c r="AE19" s="35" t="s">
        <v>210</v>
      </c>
      <c r="AP19" s="27" t="s">
        <v>226</v>
      </c>
      <c r="AR19" s="23" t="s">
        <v>227</v>
      </c>
      <c r="AV19" s="23" t="s">
        <v>90</v>
      </c>
    </row>
    <row r="20" spans="1:48" x14ac:dyDescent="0.15">
      <c r="A20" s="53" t="s">
        <v>41</v>
      </c>
      <c r="B20" s="53" t="s">
        <v>157</v>
      </c>
      <c r="C20" s="62">
        <v>2019</v>
      </c>
      <c r="D20" s="63" t="s">
        <v>192</v>
      </c>
      <c r="E20" s="53" t="s">
        <v>190</v>
      </c>
      <c r="F20" s="53" t="s">
        <v>193</v>
      </c>
      <c r="G20" s="53" t="s">
        <v>42</v>
      </c>
      <c r="H20" s="53" t="s">
        <v>189</v>
      </c>
      <c r="I20" s="53" t="s">
        <v>159</v>
      </c>
      <c r="J20" s="53" t="s">
        <v>58</v>
      </c>
      <c r="K20" s="53" t="s">
        <v>59</v>
      </c>
      <c r="L20" s="53">
        <v>1</v>
      </c>
      <c r="M20" s="75"/>
      <c r="N20" s="53">
        <v>6</v>
      </c>
      <c r="O20" s="53">
        <v>0.6</v>
      </c>
      <c r="P20" s="53">
        <v>0.7</v>
      </c>
      <c r="Q20" s="76">
        <f t="shared" si="0"/>
        <v>0.64999999999999991</v>
      </c>
      <c r="R20" s="53">
        <v>13.2</v>
      </c>
      <c r="S20" s="53">
        <v>110</v>
      </c>
      <c r="T20" s="16">
        <f t="shared" si="1"/>
        <v>33</v>
      </c>
      <c r="U20" s="53">
        <v>429</v>
      </c>
      <c r="V20" s="16">
        <f t="shared" si="2"/>
        <v>2359.5</v>
      </c>
      <c r="W20" s="53">
        <v>2</v>
      </c>
      <c r="X20" s="53" t="s">
        <v>46</v>
      </c>
      <c r="Y20" s="53" t="s">
        <v>84</v>
      </c>
      <c r="Z20" s="53" t="s">
        <v>90</v>
      </c>
      <c r="AA20" s="53" t="s">
        <v>40</v>
      </c>
      <c r="AB20" s="53" t="s">
        <v>158</v>
      </c>
      <c r="AE20" s="35"/>
      <c r="AP20" s="27" t="s">
        <v>228</v>
      </c>
      <c r="AR20" s="23" t="s">
        <v>105</v>
      </c>
      <c r="AV20" s="27" t="s">
        <v>229</v>
      </c>
    </row>
    <row r="21" spans="1:48" x14ac:dyDescent="0.15">
      <c r="A21" s="53" t="s">
        <v>41</v>
      </c>
      <c r="B21" s="53" t="s">
        <v>157</v>
      </c>
      <c r="C21" s="62">
        <v>2019</v>
      </c>
      <c r="D21" s="63" t="s">
        <v>192</v>
      </c>
      <c r="E21" s="53" t="s">
        <v>190</v>
      </c>
      <c r="F21" s="53" t="s">
        <v>193</v>
      </c>
      <c r="G21" s="53" t="s">
        <v>42</v>
      </c>
      <c r="H21" s="53" t="s">
        <v>189</v>
      </c>
      <c r="I21" s="53" t="s">
        <v>159</v>
      </c>
      <c r="J21" s="53" t="s">
        <v>58</v>
      </c>
      <c r="K21" s="53" t="s">
        <v>59</v>
      </c>
      <c r="L21" s="53">
        <v>2</v>
      </c>
      <c r="M21" s="75"/>
      <c r="N21" s="53">
        <v>6</v>
      </c>
      <c r="O21" s="53">
        <v>0.9</v>
      </c>
      <c r="P21" s="53">
        <v>0.85</v>
      </c>
      <c r="Q21" s="76">
        <f t="shared" si="0"/>
        <v>0.875</v>
      </c>
      <c r="R21" s="53">
        <v>11.1</v>
      </c>
      <c r="S21" s="53">
        <v>101</v>
      </c>
      <c r="T21" s="16">
        <f t="shared" si="1"/>
        <v>33</v>
      </c>
      <c r="U21" s="53">
        <v>429</v>
      </c>
      <c r="V21" s="16">
        <f t="shared" si="2"/>
        <v>2359.5</v>
      </c>
      <c r="W21" s="53">
        <v>2</v>
      </c>
      <c r="X21" s="53" t="s">
        <v>46</v>
      </c>
      <c r="Y21" s="53" t="s">
        <v>84</v>
      </c>
      <c r="Z21" s="53" t="s">
        <v>90</v>
      </c>
      <c r="AA21" s="53" t="s">
        <v>40</v>
      </c>
      <c r="AB21" s="53" t="s">
        <v>158</v>
      </c>
      <c r="AE21" s="28"/>
      <c r="AP21" s="27" t="s">
        <v>230</v>
      </c>
      <c r="AR21" s="23" t="s">
        <v>68</v>
      </c>
      <c r="AV21" s="27" t="s">
        <v>231</v>
      </c>
    </row>
    <row r="22" spans="1:48" x14ac:dyDescent="0.15">
      <c r="A22" s="53" t="s">
        <v>41</v>
      </c>
      <c r="B22" s="53" t="s">
        <v>157</v>
      </c>
      <c r="C22" s="62">
        <v>2019</v>
      </c>
      <c r="D22" s="63" t="s">
        <v>192</v>
      </c>
      <c r="E22" s="53" t="s">
        <v>190</v>
      </c>
      <c r="F22" s="53" t="s">
        <v>193</v>
      </c>
      <c r="G22" s="53" t="s">
        <v>42</v>
      </c>
      <c r="H22" s="53" t="s">
        <v>189</v>
      </c>
      <c r="I22" s="53" t="s">
        <v>159</v>
      </c>
      <c r="J22" s="53" t="s">
        <v>58</v>
      </c>
      <c r="K22" s="53" t="s">
        <v>59</v>
      </c>
      <c r="L22" s="53">
        <v>3</v>
      </c>
      <c r="M22" s="75"/>
      <c r="N22" s="53">
        <v>6</v>
      </c>
      <c r="O22" s="53">
        <v>0.8</v>
      </c>
      <c r="P22" s="53">
        <v>0.95</v>
      </c>
      <c r="Q22" s="76">
        <f t="shared" si="0"/>
        <v>0.875</v>
      </c>
      <c r="R22" s="53">
        <v>11.1</v>
      </c>
      <c r="S22" s="53">
        <v>103</v>
      </c>
      <c r="T22" s="16">
        <f t="shared" si="1"/>
        <v>33</v>
      </c>
      <c r="U22" s="53">
        <v>429</v>
      </c>
      <c r="V22" s="16">
        <f t="shared" si="2"/>
        <v>2359.5</v>
      </c>
      <c r="W22" s="53">
        <v>2</v>
      </c>
      <c r="X22" s="53" t="s">
        <v>46</v>
      </c>
      <c r="Y22" s="53" t="s">
        <v>84</v>
      </c>
      <c r="Z22" s="53" t="s">
        <v>90</v>
      </c>
      <c r="AA22" s="53" t="s">
        <v>40</v>
      </c>
      <c r="AB22" s="53" t="s">
        <v>158</v>
      </c>
      <c r="AP22" s="27" t="s">
        <v>232</v>
      </c>
      <c r="AR22" s="23" t="s">
        <v>83</v>
      </c>
      <c r="AV22" s="27"/>
    </row>
    <row r="23" spans="1:48" x14ac:dyDescent="0.15">
      <c r="A23" s="53" t="s">
        <v>41</v>
      </c>
      <c r="B23" s="53" t="s">
        <v>157</v>
      </c>
      <c r="C23" s="62">
        <v>2019</v>
      </c>
      <c r="D23" s="63" t="s">
        <v>192</v>
      </c>
      <c r="E23" s="53" t="s">
        <v>198</v>
      </c>
      <c r="F23" s="53" t="s">
        <v>188</v>
      </c>
      <c r="G23" s="53" t="s">
        <v>42</v>
      </c>
      <c r="H23" s="53" t="s">
        <v>163</v>
      </c>
      <c r="I23" s="53" t="s">
        <v>159</v>
      </c>
      <c r="J23" s="53" t="s">
        <v>38</v>
      </c>
      <c r="K23" s="53" t="s">
        <v>160</v>
      </c>
      <c r="L23" s="53">
        <v>1</v>
      </c>
      <c r="N23" s="53">
        <v>1</v>
      </c>
      <c r="O23" s="53">
        <v>0.6</v>
      </c>
      <c r="P23" s="53">
        <v>0.45</v>
      </c>
      <c r="Q23" s="76">
        <f t="shared" si="0"/>
        <v>0.52500000000000002</v>
      </c>
      <c r="R23" s="53">
        <v>11.3</v>
      </c>
      <c r="S23" s="53">
        <v>75</v>
      </c>
      <c r="T23" s="16">
        <f t="shared" si="1"/>
        <v>42</v>
      </c>
      <c r="U23" s="53">
        <v>63</v>
      </c>
      <c r="V23" s="16">
        <f t="shared" si="2"/>
        <v>2646</v>
      </c>
      <c r="W23" s="53">
        <v>1</v>
      </c>
      <c r="X23" s="53" t="s">
        <v>46</v>
      </c>
      <c r="Y23" s="53" t="s">
        <v>84</v>
      </c>
      <c r="Z23" s="53" t="s">
        <v>69</v>
      </c>
      <c r="AA23" s="53" t="s">
        <v>40</v>
      </c>
      <c r="AB23" s="53" t="s">
        <v>158</v>
      </c>
      <c r="AP23" s="27" t="s">
        <v>233</v>
      </c>
      <c r="AR23" s="28" t="s">
        <v>234</v>
      </c>
      <c r="AV23" s="28"/>
    </row>
    <row r="24" spans="1:48" x14ac:dyDescent="0.15">
      <c r="A24" s="53" t="s">
        <v>41</v>
      </c>
      <c r="B24" s="53" t="s">
        <v>157</v>
      </c>
      <c r="C24" s="62">
        <v>2019</v>
      </c>
      <c r="D24" s="63" t="s">
        <v>192</v>
      </c>
      <c r="E24" s="53" t="s">
        <v>198</v>
      </c>
      <c r="F24" s="53" t="s">
        <v>188</v>
      </c>
      <c r="G24" s="53" t="s">
        <v>42</v>
      </c>
      <c r="H24" s="53" t="s">
        <v>163</v>
      </c>
      <c r="I24" s="53" t="s">
        <v>159</v>
      </c>
      <c r="J24" s="53" t="s">
        <v>38</v>
      </c>
      <c r="K24" s="53" t="s">
        <v>160</v>
      </c>
      <c r="L24" s="53">
        <v>2</v>
      </c>
      <c r="M24" s="75"/>
      <c r="N24" s="53">
        <v>1</v>
      </c>
      <c r="O24" s="53">
        <v>0.8</v>
      </c>
      <c r="P24" s="53">
        <v>0.65</v>
      </c>
      <c r="Q24" s="76">
        <f t="shared" si="0"/>
        <v>0.72500000000000009</v>
      </c>
      <c r="R24" s="53">
        <v>13.2</v>
      </c>
      <c r="S24" s="53">
        <v>65</v>
      </c>
      <c r="T24" s="16">
        <f t="shared" si="1"/>
        <v>50</v>
      </c>
      <c r="U24" s="53">
        <v>63</v>
      </c>
      <c r="V24" s="16">
        <f t="shared" si="2"/>
        <v>3150</v>
      </c>
      <c r="W24" s="53">
        <v>1</v>
      </c>
      <c r="X24" s="53" t="s">
        <v>46</v>
      </c>
      <c r="Y24" s="53" t="s">
        <v>84</v>
      </c>
      <c r="Z24" s="53" t="s">
        <v>69</v>
      </c>
      <c r="AA24" s="53" t="s">
        <v>40</v>
      </c>
      <c r="AB24" s="53" t="s">
        <v>158</v>
      </c>
      <c r="AP24" s="27" t="s">
        <v>235</v>
      </c>
    </row>
    <row r="25" spans="1:48" x14ac:dyDescent="0.15">
      <c r="A25" s="53" t="s">
        <v>41</v>
      </c>
      <c r="B25" s="53" t="s">
        <v>157</v>
      </c>
      <c r="C25" s="62">
        <v>2019</v>
      </c>
      <c r="D25" s="63" t="s">
        <v>192</v>
      </c>
      <c r="E25" s="53" t="s">
        <v>198</v>
      </c>
      <c r="F25" s="53" t="s">
        <v>188</v>
      </c>
      <c r="G25" s="53" t="s">
        <v>42</v>
      </c>
      <c r="H25" s="53" t="s">
        <v>163</v>
      </c>
      <c r="I25" s="53" t="s">
        <v>159</v>
      </c>
      <c r="J25" s="53" t="s">
        <v>38</v>
      </c>
      <c r="K25" s="53" t="s">
        <v>160</v>
      </c>
      <c r="L25" s="53">
        <v>3</v>
      </c>
      <c r="M25" s="75"/>
      <c r="N25" s="53">
        <v>1</v>
      </c>
      <c r="O25" s="53">
        <v>0.45</v>
      </c>
      <c r="P25" s="53">
        <v>0.45</v>
      </c>
      <c r="Q25" s="76">
        <f t="shared" si="0"/>
        <v>0.45</v>
      </c>
      <c r="R25" s="53">
        <v>15.2</v>
      </c>
      <c r="S25" s="53">
        <v>70</v>
      </c>
      <c r="T25" s="16">
        <f t="shared" si="1"/>
        <v>50</v>
      </c>
      <c r="U25" s="53">
        <v>63</v>
      </c>
      <c r="V25" s="16">
        <f t="shared" si="2"/>
        <v>3150</v>
      </c>
      <c r="W25" s="53">
        <v>1</v>
      </c>
      <c r="X25" s="53" t="s">
        <v>46</v>
      </c>
      <c r="Y25" s="53" t="s">
        <v>84</v>
      </c>
      <c r="Z25" s="53" t="s">
        <v>69</v>
      </c>
      <c r="AA25" s="53" t="s">
        <v>40</v>
      </c>
      <c r="AB25" s="53" t="s">
        <v>158</v>
      </c>
    </row>
    <row r="26" spans="1:48" x14ac:dyDescent="0.15">
      <c r="A26" s="53" t="s">
        <v>41</v>
      </c>
      <c r="B26" s="53" t="s">
        <v>157</v>
      </c>
      <c r="C26" s="62">
        <v>2019</v>
      </c>
      <c r="D26" s="63" t="s">
        <v>192</v>
      </c>
      <c r="E26" s="53" t="s">
        <v>198</v>
      </c>
      <c r="F26" s="53" t="s">
        <v>188</v>
      </c>
      <c r="G26" s="53" t="s">
        <v>42</v>
      </c>
      <c r="H26" s="53" t="s">
        <v>163</v>
      </c>
      <c r="I26" s="53" t="s">
        <v>159</v>
      </c>
      <c r="J26" s="53" t="s">
        <v>38</v>
      </c>
      <c r="K26" s="53" t="s">
        <v>160</v>
      </c>
      <c r="L26" s="53">
        <v>1</v>
      </c>
      <c r="N26" s="53">
        <v>5</v>
      </c>
      <c r="O26" s="53">
        <v>0.35</v>
      </c>
      <c r="P26" s="53">
        <v>0.35</v>
      </c>
      <c r="Q26" s="76">
        <f t="shared" si="0"/>
        <v>0.35</v>
      </c>
      <c r="R26" s="53">
        <v>14.2</v>
      </c>
      <c r="S26" s="53">
        <v>110</v>
      </c>
      <c r="T26" s="16">
        <f t="shared" si="1"/>
        <v>33</v>
      </c>
      <c r="U26" s="53">
        <v>429</v>
      </c>
      <c r="V26" s="16">
        <f t="shared" si="2"/>
        <v>2831.4</v>
      </c>
      <c r="W26" s="53">
        <v>2</v>
      </c>
      <c r="X26" s="53" t="s">
        <v>46</v>
      </c>
      <c r="Y26" s="53" t="s">
        <v>84</v>
      </c>
      <c r="Z26" s="53" t="s">
        <v>69</v>
      </c>
      <c r="AA26" s="53" t="s">
        <v>40</v>
      </c>
      <c r="AB26" s="53" t="s">
        <v>158</v>
      </c>
    </row>
    <row r="27" spans="1:48" x14ac:dyDescent="0.15">
      <c r="A27" s="53" t="s">
        <v>41</v>
      </c>
      <c r="B27" s="53" t="s">
        <v>157</v>
      </c>
      <c r="C27" s="62">
        <v>2019</v>
      </c>
      <c r="D27" s="63" t="s">
        <v>192</v>
      </c>
      <c r="E27" s="53" t="s">
        <v>198</v>
      </c>
      <c r="F27" s="53" t="s">
        <v>188</v>
      </c>
      <c r="G27" s="53" t="s">
        <v>42</v>
      </c>
      <c r="H27" s="53" t="s">
        <v>163</v>
      </c>
      <c r="I27" s="53" t="s">
        <v>159</v>
      </c>
      <c r="J27" s="53" t="s">
        <v>38</v>
      </c>
      <c r="K27" s="53" t="s">
        <v>160</v>
      </c>
      <c r="L27" s="53">
        <v>2</v>
      </c>
      <c r="M27" s="75"/>
      <c r="N27" s="53">
        <v>5</v>
      </c>
      <c r="O27" s="53">
        <v>0.25</v>
      </c>
      <c r="P27" s="53">
        <v>0.3</v>
      </c>
      <c r="Q27" s="76">
        <f t="shared" si="0"/>
        <v>0.27500000000000002</v>
      </c>
      <c r="R27" s="53">
        <v>12.9</v>
      </c>
      <c r="S27" s="53">
        <v>111</v>
      </c>
      <c r="T27" s="16">
        <f t="shared" si="1"/>
        <v>33</v>
      </c>
      <c r="U27" s="53">
        <v>429</v>
      </c>
      <c r="V27" s="16">
        <f t="shared" si="2"/>
        <v>2831.4</v>
      </c>
      <c r="W27" s="53">
        <v>2</v>
      </c>
      <c r="X27" s="53" t="s">
        <v>46</v>
      </c>
      <c r="Y27" s="53" t="s">
        <v>84</v>
      </c>
      <c r="Z27" s="53" t="s">
        <v>69</v>
      </c>
      <c r="AA27" s="53" t="s">
        <v>40</v>
      </c>
      <c r="AB27" s="53" t="s">
        <v>158</v>
      </c>
    </row>
    <row r="28" spans="1:48" x14ac:dyDescent="0.15">
      <c r="A28" s="53" t="s">
        <v>41</v>
      </c>
      <c r="B28" s="53" t="s">
        <v>157</v>
      </c>
      <c r="C28" s="62">
        <v>2019</v>
      </c>
      <c r="D28" s="63" t="s">
        <v>192</v>
      </c>
      <c r="E28" s="53" t="s">
        <v>198</v>
      </c>
      <c r="F28" s="53" t="s">
        <v>188</v>
      </c>
      <c r="G28" s="53" t="s">
        <v>42</v>
      </c>
      <c r="H28" s="53" t="s">
        <v>163</v>
      </c>
      <c r="I28" s="53" t="s">
        <v>159</v>
      </c>
      <c r="J28" s="53" t="s">
        <v>38</v>
      </c>
      <c r="K28" s="53" t="s">
        <v>160</v>
      </c>
      <c r="L28" s="53">
        <v>3</v>
      </c>
      <c r="M28" s="75"/>
      <c r="N28" s="53">
        <v>5</v>
      </c>
      <c r="O28" s="53">
        <v>0.3</v>
      </c>
      <c r="P28" s="53">
        <v>0.35</v>
      </c>
      <c r="Q28" s="76">
        <f t="shared" si="0"/>
        <v>0.32499999999999996</v>
      </c>
      <c r="R28" s="53">
        <v>12.1</v>
      </c>
      <c r="S28" s="53">
        <v>104</v>
      </c>
      <c r="T28" s="16">
        <f t="shared" si="1"/>
        <v>33</v>
      </c>
      <c r="U28" s="53">
        <v>429</v>
      </c>
      <c r="V28" s="16">
        <f t="shared" si="2"/>
        <v>2831.4</v>
      </c>
      <c r="W28" s="53">
        <v>2</v>
      </c>
      <c r="X28" s="53" t="s">
        <v>46</v>
      </c>
      <c r="Y28" s="53" t="s">
        <v>84</v>
      </c>
      <c r="Z28" s="53" t="s">
        <v>69</v>
      </c>
      <c r="AA28" s="53" t="s">
        <v>40</v>
      </c>
      <c r="AB28" s="53" t="s">
        <v>158</v>
      </c>
    </row>
    <row r="29" spans="1:48" x14ac:dyDescent="0.15">
      <c r="A29" s="53" t="s">
        <v>41</v>
      </c>
      <c r="B29" s="53" t="s">
        <v>157</v>
      </c>
      <c r="C29" s="62">
        <v>2019</v>
      </c>
      <c r="D29" s="63" t="s">
        <v>192</v>
      </c>
      <c r="E29" s="53" t="s">
        <v>198</v>
      </c>
      <c r="F29" s="53" t="s">
        <v>200</v>
      </c>
      <c r="G29" s="53" t="s">
        <v>42</v>
      </c>
      <c r="H29" s="53" t="s">
        <v>163</v>
      </c>
      <c r="I29" s="53" t="s">
        <v>159</v>
      </c>
      <c r="J29" s="53" t="s">
        <v>38</v>
      </c>
      <c r="K29" s="53" t="s">
        <v>160</v>
      </c>
      <c r="L29" s="53">
        <v>1</v>
      </c>
      <c r="N29" s="53">
        <v>1</v>
      </c>
      <c r="O29" s="53">
        <v>0.7</v>
      </c>
      <c r="P29" s="53">
        <v>0.85</v>
      </c>
      <c r="Q29" s="76">
        <f t="shared" si="0"/>
        <v>0.77499999999999991</v>
      </c>
      <c r="R29" s="53">
        <v>13.8</v>
      </c>
      <c r="S29" s="53">
        <v>74</v>
      </c>
      <c r="T29" s="16">
        <f t="shared" si="1"/>
        <v>42</v>
      </c>
      <c r="U29" s="53">
        <v>63</v>
      </c>
      <c r="V29" s="16">
        <f t="shared" si="2"/>
        <v>2646</v>
      </c>
      <c r="W29" s="53">
        <v>1</v>
      </c>
      <c r="X29" s="53" t="s">
        <v>46</v>
      </c>
      <c r="Y29" s="53" t="s">
        <v>84</v>
      </c>
      <c r="Z29" s="53" t="s">
        <v>40</v>
      </c>
      <c r="AA29" s="53" t="s">
        <v>90</v>
      </c>
      <c r="AB29" s="53" t="s">
        <v>158</v>
      </c>
    </row>
    <row r="30" spans="1:48" x14ac:dyDescent="0.15">
      <c r="A30" s="53" t="s">
        <v>41</v>
      </c>
      <c r="B30" s="53" t="s">
        <v>157</v>
      </c>
      <c r="C30" s="62">
        <v>2019</v>
      </c>
      <c r="D30" s="63" t="s">
        <v>192</v>
      </c>
      <c r="E30" s="53" t="s">
        <v>198</v>
      </c>
      <c r="F30" s="53" t="s">
        <v>200</v>
      </c>
      <c r="G30" s="53" t="s">
        <v>42</v>
      </c>
      <c r="H30" s="53" t="s">
        <v>163</v>
      </c>
      <c r="I30" s="53" t="s">
        <v>159</v>
      </c>
      <c r="J30" s="53" t="s">
        <v>38</v>
      </c>
      <c r="K30" s="53" t="s">
        <v>160</v>
      </c>
      <c r="L30" s="53">
        <v>2</v>
      </c>
      <c r="M30" s="75"/>
      <c r="N30" s="53">
        <v>1</v>
      </c>
      <c r="O30" s="53">
        <v>0.65</v>
      </c>
      <c r="P30" s="53">
        <v>0.7</v>
      </c>
      <c r="Q30" s="76">
        <f t="shared" si="0"/>
        <v>0.67500000000000004</v>
      </c>
      <c r="R30" s="53">
        <v>14.1</v>
      </c>
      <c r="S30" s="53">
        <v>80</v>
      </c>
      <c r="T30" s="16">
        <f t="shared" si="1"/>
        <v>39</v>
      </c>
      <c r="U30" s="53">
        <v>63</v>
      </c>
      <c r="V30" s="16">
        <f t="shared" si="2"/>
        <v>2457</v>
      </c>
      <c r="W30" s="53">
        <v>1</v>
      </c>
      <c r="X30" s="53" t="s">
        <v>46</v>
      </c>
      <c r="Y30" s="53" t="s">
        <v>84</v>
      </c>
      <c r="Z30" s="53" t="s">
        <v>40</v>
      </c>
      <c r="AA30" s="53" t="s">
        <v>90</v>
      </c>
      <c r="AB30" s="53" t="s">
        <v>158</v>
      </c>
    </row>
    <row r="31" spans="1:48" x14ac:dyDescent="0.15">
      <c r="A31" s="53" t="s">
        <v>41</v>
      </c>
      <c r="B31" s="53" t="s">
        <v>157</v>
      </c>
      <c r="C31" s="62">
        <v>2019</v>
      </c>
      <c r="D31" s="63" t="s">
        <v>192</v>
      </c>
      <c r="E31" s="53" t="s">
        <v>198</v>
      </c>
      <c r="F31" s="53" t="s">
        <v>200</v>
      </c>
      <c r="G31" s="53" t="s">
        <v>42</v>
      </c>
      <c r="H31" s="53" t="s">
        <v>163</v>
      </c>
      <c r="I31" s="53" t="s">
        <v>159</v>
      </c>
      <c r="J31" s="53" t="s">
        <v>38</v>
      </c>
      <c r="K31" s="53" t="s">
        <v>160</v>
      </c>
      <c r="L31" s="53">
        <v>3</v>
      </c>
      <c r="M31" s="75"/>
      <c r="N31" s="53">
        <v>1</v>
      </c>
      <c r="O31" s="53">
        <v>0.8</v>
      </c>
      <c r="P31" s="53">
        <v>0.95</v>
      </c>
      <c r="Q31" s="76">
        <f t="shared" si="0"/>
        <v>0.875</v>
      </c>
      <c r="R31" s="53">
        <v>12.5</v>
      </c>
      <c r="S31" s="53">
        <v>71</v>
      </c>
      <c r="T31" s="16">
        <f t="shared" si="1"/>
        <v>42</v>
      </c>
      <c r="U31" s="53">
        <v>63</v>
      </c>
      <c r="V31" s="16">
        <f t="shared" si="2"/>
        <v>2646</v>
      </c>
      <c r="W31" s="53">
        <v>1</v>
      </c>
      <c r="X31" s="53" t="s">
        <v>46</v>
      </c>
      <c r="Y31" s="53" t="s">
        <v>84</v>
      </c>
      <c r="Z31" s="53" t="s">
        <v>40</v>
      </c>
      <c r="AA31" s="53" t="s">
        <v>90</v>
      </c>
      <c r="AB31" s="53" t="s">
        <v>158</v>
      </c>
    </row>
    <row r="32" spans="1:48" x14ac:dyDescent="0.15">
      <c r="A32" s="53" t="s">
        <v>41</v>
      </c>
      <c r="B32" s="53" t="s">
        <v>157</v>
      </c>
      <c r="C32" s="62">
        <v>2019</v>
      </c>
      <c r="D32" s="63" t="s">
        <v>192</v>
      </c>
      <c r="E32" s="53" t="s">
        <v>198</v>
      </c>
      <c r="F32" s="53" t="s">
        <v>200</v>
      </c>
      <c r="G32" s="53" t="s">
        <v>42</v>
      </c>
      <c r="H32" s="53" t="s">
        <v>163</v>
      </c>
      <c r="I32" s="53" t="s">
        <v>159</v>
      </c>
      <c r="J32" s="53" t="s">
        <v>38</v>
      </c>
      <c r="K32" s="53" t="s">
        <v>160</v>
      </c>
      <c r="L32" s="53">
        <v>1</v>
      </c>
      <c r="N32" s="53">
        <v>10</v>
      </c>
      <c r="O32" s="53">
        <v>0.35</v>
      </c>
      <c r="P32" s="53">
        <v>0.35</v>
      </c>
      <c r="Q32" s="76">
        <f t="shared" si="0"/>
        <v>0.35</v>
      </c>
      <c r="R32" s="53">
        <v>14.2</v>
      </c>
      <c r="S32" s="53">
        <v>91</v>
      </c>
      <c r="T32" s="16">
        <f t="shared" si="1"/>
        <v>36</v>
      </c>
      <c r="U32" s="53">
        <v>734</v>
      </c>
      <c r="V32" s="16">
        <f t="shared" si="2"/>
        <v>2642.4</v>
      </c>
      <c r="W32" s="53">
        <v>2</v>
      </c>
      <c r="X32" s="53" t="s">
        <v>46</v>
      </c>
      <c r="Y32" s="53" t="s">
        <v>84</v>
      </c>
      <c r="Z32" s="53" t="s">
        <v>40</v>
      </c>
      <c r="AA32" s="53" t="s">
        <v>90</v>
      </c>
      <c r="AB32" s="53" t="s">
        <v>158</v>
      </c>
      <c r="AC32" s="75"/>
      <c r="AD32" s="75"/>
      <c r="AE32" s="75"/>
      <c r="AF32" s="75"/>
      <c r="AG32" s="75"/>
      <c r="AH32" s="75"/>
    </row>
    <row r="33" spans="1:34" x14ac:dyDescent="0.15">
      <c r="A33" s="53" t="s">
        <v>41</v>
      </c>
      <c r="B33" s="53" t="s">
        <v>157</v>
      </c>
      <c r="C33" s="62">
        <v>2019</v>
      </c>
      <c r="D33" s="63" t="s">
        <v>192</v>
      </c>
      <c r="E33" s="53" t="s">
        <v>198</v>
      </c>
      <c r="F33" s="53" t="s">
        <v>200</v>
      </c>
      <c r="G33" s="53" t="s">
        <v>42</v>
      </c>
      <c r="H33" s="53" t="s">
        <v>163</v>
      </c>
      <c r="I33" s="53" t="s">
        <v>159</v>
      </c>
      <c r="J33" s="53" t="s">
        <v>38</v>
      </c>
      <c r="K33" s="53" t="s">
        <v>160</v>
      </c>
      <c r="L33" s="53">
        <v>2</v>
      </c>
      <c r="M33" s="75"/>
      <c r="N33" s="53">
        <v>10</v>
      </c>
      <c r="O33" s="53">
        <v>0.45</v>
      </c>
      <c r="P33" s="53">
        <v>0.4</v>
      </c>
      <c r="Q33" s="76">
        <f t="shared" si="0"/>
        <v>0.42500000000000004</v>
      </c>
      <c r="R33" s="53">
        <v>13.9</v>
      </c>
      <c r="S33" s="53">
        <v>98</v>
      </c>
      <c r="T33" s="16">
        <f t="shared" si="1"/>
        <v>36</v>
      </c>
      <c r="U33" s="53">
        <v>734</v>
      </c>
      <c r="V33" s="16">
        <f t="shared" si="2"/>
        <v>2642.4</v>
      </c>
      <c r="W33" s="53">
        <v>2</v>
      </c>
      <c r="X33" s="53" t="s">
        <v>46</v>
      </c>
      <c r="Y33" s="53" t="s">
        <v>84</v>
      </c>
      <c r="Z33" s="53" t="s">
        <v>40</v>
      </c>
      <c r="AA33" s="53" t="s">
        <v>90</v>
      </c>
      <c r="AB33" s="53" t="s">
        <v>158</v>
      </c>
      <c r="AC33" s="75"/>
      <c r="AD33" s="75"/>
      <c r="AE33" s="75"/>
      <c r="AF33" s="75"/>
      <c r="AG33" s="75"/>
      <c r="AH33" s="75"/>
    </row>
    <row r="34" spans="1:34" x14ac:dyDescent="0.15">
      <c r="A34" s="53" t="s">
        <v>41</v>
      </c>
      <c r="B34" s="53" t="s">
        <v>157</v>
      </c>
      <c r="C34" s="62">
        <v>2019</v>
      </c>
      <c r="D34" s="63" t="s">
        <v>192</v>
      </c>
      <c r="E34" s="53" t="s">
        <v>198</v>
      </c>
      <c r="F34" s="53" t="s">
        <v>200</v>
      </c>
      <c r="G34" s="53" t="s">
        <v>42</v>
      </c>
      <c r="H34" s="53" t="s">
        <v>163</v>
      </c>
      <c r="I34" s="53" t="s">
        <v>159</v>
      </c>
      <c r="J34" s="53" t="s">
        <v>38</v>
      </c>
      <c r="K34" s="53" t="s">
        <v>160</v>
      </c>
      <c r="L34" s="53">
        <v>3</v>
      </c>
      <c r="M34" s="75"/>
      <c r="N34" s="53">
        <v>10</v>
      </c>
      <c r="O34" s="53">
        <v>0.5</v>
      </c>
      <c r="P34" s="53">
        <v>0.55000000000000004</v>
      </c>
      <c r="Q34" s="76">
        <f t="shared" si="0"/>
        <v>0.52500000000000002</v>
      </c>
      <c r="R34" s="53">
        <v>11.7</v>
      </c>
      <c r="S34" s="53">
        <v>89</v>
      </c>
      <c r="T34" s="16">
        <f t="shared" si="1"/>
        <v>36</v>
      </c>
      <c r="U34" s="53">
        <v>734</v>
      </c>
      <c r="V34" s="16">
        <f t="shared" si="2"/>
        <v>2642.4</v>
      </c>
      <c r="W34" s="53">
        <v>2</v>
      </c>
      <c r="X34" s="53" t="s">
        <v>46</v>
      </c>
      <c r="Y34" s="53" t="s">
        <v>84</v>
      </c>
      <c r="Z34" s="53" t="s">
        <v>40</v>
      </c>
      <c r="AA34" s="53" t="s">
        <v>90</v>
      </c>
      <c r="AB34" s="53" t="s">
        <v>158</v>
      </c>
      <c r="AC34" s="75"/>
      <c r="AD34" s="75"/>
      <c r="AE34" s="75"/>
      <c r="AF34" s="75"/>
      <c r="AG34" s="75"/>
      <c r="AH34" s="75"/>
    </row>
    <row r="35" spans="1:34" x14ac:dyDescent="0.15">
      <c r="A35" s="53" t="s">
        <v>41</v>
      </c>
      <c r="B35" s="53" t="s">
        <v>157</v>
      </c>
      <c r="C35" s="62">
        <v>2019</v>
      </c>
      <c r="D35" s="63" t="s">
        <v>192</v>
      </c>
      <c r="E35" s="53" t="s">
        <v>201</v>
      </c>
      <c r="F35" s="53" t="s">
        <v>200</v>
      </c>
      <c r="G35" s="53" t="s">
        <v>42</v>
      </c>
      <c r="H35" s="53" t="s">
        <v>189</v>
      </c>
      <c r="I35" s="53" t="s">
        <v>159</v>
      </c>
      <c r="J35" s="53" t="s">
        <v>80</v>
      </c>
      <c r="K35" s="53" t="s">
        <v>63</v>
      </c>
      <c r="L35" s="53">
        <v>1</v>
      </c>
      <c r="N35" s="53">
        <v>1</v>
      </c>
      <c r="O35" s="53">
        <v>1.3</v>
      </c>
      <c r="P35" s="53">
        <v>1.5</v>
      </c>
      <c r="Q35" s="16">
        <f>IF(OR(O35="",P35=""),"",AVERAGE(O35,P35))</f>
        <v>1.4</v>
      </c>
      <c r="R35" s="53">
        <v>9.6</v>
      </c>
      <c r="S35" s="53">
        <v>75</v>
      </c>
      <c r="T35" s="38">
        <f t="shared" si="1"/>
        <v>42</v>
      </c>
      <c r="U35" s="53">
        <v>105</v>
      </c>
      <c r="V35" s="16">
        <f t="shared" si="2"/>
        <v>4410</v>
      </c>
      <c r="W35" s="53">
        <v>4</v>
      </c>
      <c r="X35" s="53" t="s">
        <v>46</v>
      </c>
      <c r="Y35" s="53" t="s">
        <v>84</v>
      </c>
      <c r="Z35" s="53" t="s">
        <v>69</v>
      </c>
      <c r="AA35" s="53" t="s">
        <v>40</v>
      </c>
      <c r="AB35" s="53" t="s">
        <v>158</v>
      </c>
      <c r="AC35" s="75"/>
      <c r="AD35" s="75"/>
      <c r="AE35" s="75"/>
      <c r="AF35" s="75"/>
      <c r="AG35" s="75"/>
      <c r="AH35" s="75"/>
    </row>
    <row r="36" spans="1:34" x14ac:dyDescent="0.15">
      <c r="A36" s="53" t="s">
        <v>41</v>
      </c>
      <c r="B36" s="53" t="s">
        <v>157</v>
      </c>
      <c r="C36" s="62">
        <v>2019</v>
      </c>
      <c r="D36" s="63" t="s">
        <v>192</v>
      </c>
      <c r="E36" s="53" t="s">
        <v>201</v>
      </c>
      <c r="F36" s="53" t="s">
        <v>200</v>
      </c>
      <c r="G36" s="53" t="s">
        <v>42</v>
      </c>
      <c r="H36" s="53" t="s">
        <v>189</v>
      </c>
      <c r="I36" s="53" t="s">
        <v>159</v>
      </c>
      <c r="J36" s="53" t="s">
        <v>80</v>
      </c>
      <c r="K36" s="53" t="s">
        <v>63</v>
      </c>
      <c r="L36" s="53">
        <v>2</v>
      </c>
      <c r="M36" s="75"/>
      <c r="N36" s="53">
        <v>1</v>
      </c>
      <c r="O36" s="53">
        <v>1.5</v>
      </c>
      <c r="P36" s="53">
        <v>1.35</v>
      </c>
      <c r="Q36" s="16">
        <f t="shared" ref="Q36:Q99" si="3">IF(OR(O36="",P36=""),"",AVERAGE(O36,P36))</f>
        <v>1.425</v>
      </c>
      <c r="R36" s="53">
        <v>10.8</v>
      </c>
      <c r="S36" s="53">
        <v>65</v>
      </c>
      <c r="T36" s="38">
        <f t="shared" si="1"/>
        <v>50</v>
      </c>
      <c r="U36" s="53">
        <v>105</v>
      </c>
      <c r="V36" s="16">
        <f t="shared" si="2"/>
        <v>5250</v>
      </c>
      <c r="W36" s="53">
        <v>4</v>
      </c>
      <c r="X36" s="53" t="s">
        <v>46</v>
      </c>
      <c r="Y36" s="53" t="s">
        <v>84</v>
      </c>
      <c r="Z36" s="53" t="s">
        <v>69</v>
      </c>
      <c r="AA36" s="53" t="s">
        <v>40</v>
      </c>
      <c r="AB36" s="53" t="s">
        <v>158</v>
      </c>
      <c r="AC36" s="75"/>
      <c r="AD36" s="75"/>
      <c r="AE36" s="75"/>
      <c r="AF36" s="75"/>
      <c r="AG36" s="75"/>
      <c r="AH36" s="75"/>
    </row>
    <row r="37" spans="1:34" x14ac:dyDescent="0.15">
      <c r="A37" s="53" t="s">
        <v>41</v>
      </c>
      <c r="B37" s="53" t="s">
        <v>157</v>
      </c>
      <c r="C37" s="62">
        <v>2019</v>
      </c>
      <c r="D37" s="63" t="s">
        <v>192</v>
      </c>
      <c r="E37" s="53" t="s">
        <v>201</v>
      </c>
      <c r="F37" s="53" t="s">
        <v>200</v>
      </c>
      <c r="G37" s="53" t="s">
        <v>42</v>
      </c>
      <c r="H37" s="53" t="s">
        <v>189</v>
      </c>
      <c r="I37" s="53" t="s">
        <v>159</v>
      </c>
      <c r="J37" s="53" t="s">
        <v>80</v>
      </c>
      <c r="K37" s="53" t="s">
        <v>63</v>
      </c>
      <c r="L37" s="53">
        <v>3</v>
      </c>
      <c r="M37" s="75"/>
      <c r="N37" s="53">
        <v>1</v>
      </c>
      <c r="O37" s="53">
        <v>1.4</v>
      </c>
      <c r="P37" s="53">
        <v>1.5</v>
      </c>
      <c r="Q37" s="16">
        <f t="shared" si="3"/>
        <v>1.45</v>
      </c>
      <c r="R37" s="53">
        <v>11.1</v>
      </c>
      <c r="S37" s="53">
        <v>71</v>
      </c>
      <c r="T37" s="38">
        <f t="shared" si="1"/>
        <v>42</v>
      </c>
      <c r="U37" s="53">
        <v>105</v>
      </c>
      <c r="V37" s="38">
        <f t="shared" si="2"/>
        <v>4410</v>
      </c>
      <c r="W37" s="53">
        <v>4</v>
      </c>
      <c r="X37" s="53" t="s">
        <v>46</v>
      </c>
      <c r="Y37" s="53" t="s">
        <v>84</v>
      </c>
      <c r="Z37" s="53" t="s">
        <v>69</v>
      </c>
      <c r="AA37" s="53" t="s">
        <v>40</v>
      </c>
      <c r="AB37" s="53" t="s">
        <v>158</v>
      </c>
      <c r="AC37" s="75"/>
      <c r="AD37" s="75"/>
      <c r="AE37" s="75"/>
      <c r="AF37" s="75"/>
      <c r="AG37" s="75"/>
      <c r="AH37" s="75"/>
    </row>
    <row r="38" spans="1:34" x14ac:dyDescent="0.15">
      <c r="A38" s="53" t="s">
        <v>41</v>
      </c>
      <c r="B38" s="53" t="s">
        <v>157</v>
      </c>
      <c r="C38" s="62">
        <v>2019</v>
      </c>
      <c r="D38" s="63" t="s">
        <v>192</v>
      </c>
      <c r="E38" s="53" t="s">
        <v>201</v>
      </c>
      <c r="F38" s="53" t="s">
        <v>200</v>
      </c>
      <c r="G38" s="53" t="s">
        <v>42</v>
      </c>
      <c r="H38" s="53" t="s">
        <v>163</v>
      </c>
      <c r="I38" s="53" t="s">
        <v>159</v>
      </c>
      <c r="J38" s="53" t="s">
        <v>38</v>
      </c>
      <c r="K38" s="53" t="s">
        <v>160</v>
      </c>
      <c r="L38" s="53">
        <v>1</v>
      </c>
      <c r="N38" s="53">
        <v>6</v>
      </c>
      <c r="O38" s="53">
        <v>0.65</v>
      </c>
      <c r="P38" s="53">
        <v>0.45</v>
      </c>
      <c r="Q38" s="76">
        <f t="shared" si="3"/>
        <v>0.55000000000000004</v>
      </c>
      <c r="R38" s="53">
        <v>10.5</v>
      </c>
      <c r="S38" s="53">
        <v>112</v>
      </c>
      <c r="T38" s="16">
        <f t="shared" si="1"/>
        <v>33</v>
      </c>
      <c r="U38" s="53">
        <v>429</v>
      </c>
      <c r="V38" s="16">
        <f t="shared" si="2"/>
        <v>2359.5</v>
      </c>
      <c r="W38" s="53">
        <v>1</v>
      </c>
      <c r="X38" s="53" t="s">
        <v>46</v>
      </c>
      <c r="Y38" s="53" t="s">
        <v>84</v>
      </c>
      <c r="Z38" s="53" t="s">
        <v>69</v>
      </c>
      <c r="AA38" s="53" t="s">
        <v>40</v>
      </c>
      <c r="AB38" s="53" t="s">
        <v>158</v>
      </c>
      <c r="AC38" s="75"/>
      <c r="AD38" s="75"/>
      <c r="AE38" s="75"/>
      <c r="AF38" s="75"/>
      <c r="AG38" s="75"/>
      <c r="AH38" s="75"/>
    </row>
    <row r="39" spans="1:34" x14ac:dyDescent="0.15">
      <c r="A39" s="53" t="s">
        <v>41</v>
      </c>
      <c r="B39" s="53" t="s">
        <v>157</v>
      </c>
      <c r="C39" s="62">
        <v>2019</v>
      </c>
      <c r="D39" s="63" t="s">
        <v>192</v>
      </c>
      <c r="E39" s="53" t="s">
        <v>201</v>
      </c>
      <c r="F39" s="53" t="s">
        <v>200</v>
      </c>
      <c r="G39" s="53" t="s">
        <v>42</v>
      </c>
      <c r="H39" s="53" t="s">
        <v>163</v>
      </c>
      <c r="I39" s="53" t="s">
        <v>159</v>
      </c>
      <c r="J39" s="53" t="s">
        <v>38</v>
      </c>
      <c r="K39" s="53" t="s">
        <v>160</v>
      </c>
      <c r="L39" s="53">
        <v>2</v>
      </c>
      <c r="M39" s="75"/>
      <c r="N39" s="53">
        <v>6</v>
      </c>
      <c r="O39" s="53">
        <v>0.45</v>
      </c>
      <c r="P39" s="53">
        <v>0.5</v>
      </c>
      <c r="Q39" s="76">
        <f t="shared" si="3"/>
        <v>0.47499999999999998</v>
      </c>
      <c r="R39" s="53">
        <v>13.1</v>
      </c>
      <c r="S39" s="53">
        <v>111</v>
      </c>
      <c r="T39" s="16">
        <f t="shared" si="1"/>
        <v>33</v>
      </c>
      <c r="U39" s="53">
        <v>429</v>
      </c>
      <c r="V39" s="16">
        <f t="shared" si="2"/>
        <v>2359.5</v>
      </c>
      <c r="W39" s="53">
        <v>1</v>
      </c>
      <c r="X39" s="53" t="s">
        <v>46</v>
      </c>
      <c r="Y39" s="53" t="s">
        <v>84</v>
      </c>
      <c r="Z39" s="53" t="s">
        <v>69</v>
      </c>
      <c r="AA39" s="53" t="s">
        <v>40</v>
      </c>
      <c r="AB39" s="53" t="s">
        <v>158</v>
      </c>
      <c r="AC39" s="75"/>
      <c r="AD39" s="75"/>
      <c r="AE39" s="75"/>
      <c r="AF39" s="75"/>
      <c r="AG39" s="75"/>
      <c r="AH39" s="75"/>
    </row>
    <row r="40" spans="1:34" x14ac:dyDescent="0.15">
      <c r="A40" s="53" t="s">
        <v>41</v>
      </c>
      <c r="B40" s="53" t="s">
        <v>157</v>
      </c>
      <c r="C40" s="62">
        <v>2019</v>
      </c>
      <c r="D40" s="63" t="s">
        <v>192</v>
      </c>
      <c r="E40" s="53" t="s">
        <v>201</v>
      </c>
      <c r="F40" s="53" t="s">
        <v>200</v>
      </c>
      <c r="G40" s="53" t="s">
        <v>42</v>
      </c>
      <c r="H40" s="53" t="s">
        <v>163</v>
      </c>
      <c r="I40" s="53" t="s">
        <v>159</v>
      </c>
      <c r="J40" s="53" t="s">
        <v>38</v>
      </c>
      <c r="K40" s="53" t="s">
        <v>160</v>
      </c>
      <c r="L40" s="53">
        <v>3</v>
      </c>
      <c r="M40" s="75"/>
      <c r="N40" s="53">
        <v>6</v>
      </c>
      <c r="O40" s="53">
        <v>0.5</v>
      </c>
      <c r="P40" s="53">
        <v>0.55000000000000004</v>
      </c>
      <c r="Q40" s="76">
        <f t="shared" si="3"/>
        <v>0.52500000000000002</v>
      </c>
      <c r="R40" s="53">
        <v>12.9</v>
      </c>
      <c r="S40" s="53">
        <v>108</v>
      </c>
      <c r="T40" s="16">
        <f t="shared" si="1"/>
        <v>33</v>
      </c>
      <c r="U40" s="53">
        <v>429</v>
      </c>
      <c r="V40" s="16">
        <f t="shared" si="2"/>
        <v>2359.5</v>
      </c>
      <c r="W40" s="53">
        <v>1</v>
      </c>
      <c r="X40" s="53" t="s">
        <v>46</v>
      </c>
      <c r="Y40" s="53" t="s">
        <v>84</v>
      </c>
      <c r="Z40" s="53" t="s">
        <v>69</v>
      </c>
      <c r="AA40" s="53" t="s">
        <v>40</v>
      </c>
      <c r="AB40" s="53" t="s">
        <v>158</v>
      </c>
      <c r="AC40" s="75"/>
      <c r="AD40" s="75"/>
      <c r="AE40" s="75"/>
      <c r="AF40" s="75"/>
      <c r="AG40" s="75"/>
      <c r="AH40" s="75"/>
    </row>
    <row r="41" spans="1:34" x14ac:dyDescent="0.15">
      <c r="A41" s="53" t="s">
        <v>41</v>
      </c>
      <c r="B41" s="53" t="s">
        <v>157</v>
      </c>
      <c r="C41" s="62">
        <v>2019</v>
      </c>
      <c r="D41" s="63" t="s">
        <v>192</v>
      </c>
      <c r="E41" s="53" t="s">
        <v>204</v>
      </c>
      <c r="F41" s="53" t="s">
        <v>205</v>
      </c>
      <c r="G41" s="53" t="s">
        <v>42</v>
      </c>
      <c r="H41" s="53" t="s">
        <v>163</v>
      </c>
      <c r="I41" s="53" t="s">
        <v>159</v>
      </c>
      <c r="J41" s="53" t="s">
        <v>38</v>
      </c>
      <c r="K41" s="53" t="s">
        <v>160</v>
      </c>
      <c r="L41" s="53">
        <v>1</v>
      </c>
      <c r="N41" s="53">
        <v>1</v>
      </c>
      <c r="O41" s="53">
        <v>1</v>
      </c>
      <c r="P41" s="53">
        <v>0.85</v>
      </c>
      <c r="Q41" s="72">
        <f t="shared" si="3"/>
        <v>0.92500000000000004</v>
      </c>
      <c r="R41" s="53">
        <v>15.2</v>
      </c>
      <c r="S41" s="53">
        <v>124</v>
      </c>
      <c r="T41" s="38">
        <f t="shared" si="1"/>
        <v>27</v>
      </c>
      <c r="U41" s="53">
        <v>105</v>
      </c>
      <c r="V41" s="38">
        <v>3146</v>
      </c>
      <c r="W41" s="53">
        <v>1</v>
      </c>
      <c r="X41" s="53" t="s">
        <v>46</v>
      </c>
      <c r="Y41" s="53" t="s">
        <v>84</v>
      </c>
      <c r="Z41" s="53" t="s">
        <v>69</v>
      </c>
      <c r="AA41" s="53" t="s">
        <v>90</v>
      </c>
      <c r="AB41" s="53" t="s">
        <v>158</v>
      </c>
      <c r="AC41" s="75"/>
      <c r="AD41" s="75"/>
      <c r="AE41" s="75"/>
      <c r="AF41" s="75"/>
      <c r="AG41" s="75"/>
      <c r="AH41" s="75"/>
    </row>
    <row r="42" spans="1:34" x14ac:dyDescent="0.15">
      <c r="A42" s="53" t="s">
        <v>41</v>
      </c>
      <c r="B42" s="53" t="s">
        <v>157</v>
      </c>
      <c r="C42" s="62">
        <v>2019</v>
      </c>
      <c r="D42" s="63" t="s">
        <v>192</v>
      </c>
      <c r="E42" s="53" t="s">
        <v>204</v>
      </c>
      <c r="F42" s="53" t="s">
        <v>205</v>
      </c>
      <c r="G42" s="53" t="s">
        <v>42</v>
      </c>
      <c r="H42" s="53" t="s">
        <v>163</v>
      </c>
      <c r="I42" s="53" t="s">
        <v>159</v>
      </c>
      <c r="J42" s="53" t="s">
        <v>38</v>
      </c>
      <c r="K42" s="53" t="s">
        <v>160</v>
      </c>
      <c r="L42" s="53">
        <v>2</v>
      </c>
      <c r="N42" s="53">
        <v>1</v>
      </c>
      <c r="O42" s="53">
        <v>0.85</v>
      </c>
      <c r="P42" s="53">
        <v>0.9</v>
      </c>
      <c r="Q42" s="72">
        <f t="shared" si="3"/>
        <v>0.875</v>
      </c>
      <c r="R42" s="53">
        <v>13.9</v>
      </c>
      <c r="S42" s="53">
        <v>128</v>
      </c>
      <c r="T42" s="38">
        <f t="shared" si="1"/>
        <v>27</v>
      </c>
      <c r="U42" s="53">
        <v>105</v>
      </c>
      <c r="V42" s="38">
        <v>3146</v>
      </c>
      <c r="W42" s="53">
        <v>1</v>
      </c>
      <c r="X42" s="53" t="s">
        <v>46</v>
      </c>
      <c r="Y42" s="53" t="s">
        <v>84</v>
      </c>
      <c r="Z42" s="53" t="s">
        <v>69</v>
      </c>
      <c r="AA42" s="53" t="s">
        <v>90</v>
      </c>
      <c r="AB42" s="53" t="s">
        <v>158</v>
      </c>
      <c r="AC42" s="75"/>
      <c r="AD42" s="75"/>
      <c r="AE42" s="75"/>
      <c r="AF42" s="75"/>
      <c r="AG42" s="75"/>
      <c r="AH42" s="75"/>
    </row>
    <row r="43" spans="1:34" x14ac:dyDescent="0.15">
      <c r="A43" s="53" t="s">
        <v>41</v>
      </c>
      <c r="B43" s="53" t="s">
        <v>157</v>
      </c>
      <c r="C43" s="62">
        <v>2019</v>
      </c>
      <c r="D43" s="63" t="s">
        <v>192</v>
      </c>
      <c r="E43" s="53" t="s">
        <v>204</v>
      </c>
      <c r="F43" s="53" t="s">
        <v>205</v>
      </c>
      <c r="G43" s="53" t="s">
        <v>42</v>
      </c>
      <c r="H43" s="53" t="s">
        <v>163</v>
      </c>
      <c r="I43" s="53" t="s">
        <v>159</v>
      </c>
      <c r="J43" s="53" t="s">
        <v>38</v>
      </c>
      <c r="K43" s="53" t="s">
        <v>160</v>
      </c>
      <c r="L43" s="53">
        <v>3</v>
      </c>
      <c r="N43" s="53">
        <v>1</v>
      </c>
      <c r="O43" s="53">
        <v>0.9</v>
      </c>
      <c r="P43" s="53">
        <v>0.8</v>
      </c>
      <c r="Q43" s="72">
        <f t="shared" si="3"/>
        <v>0.85000000000000009</v>
      </c>
      <c r="R43" s="53">
        <v>12.1</v>
      </c>
      <c r="S43" s="53">
        <v>125</v>
      </c>
      <c r="T43" s="38">
        <f t="shared" si="1"/>
        <v>27</v>
      </c>
      <c r="U43" s="53">
        <v>105</v>
      </c>
      <c r="V43" s="38">
        <v>3146</v>
      </c>
      <c r="W43" s="53">
        <v>1</v>
      </c>
      <c r="X43" s="53" t="s">
        <v>46</v>
      </c>
      <c r="Y43" s="53" t="s">
        <v>84</v>
      </c>
      <c r="Z43" s="53" t="s">
        <v>69</v>
      </c>
      <c r="AA43" s="53" t="s">
        <v>90</v>
      </c>
      <c r="AB43" s="53" t="s">
        <v>158</v>
      </c>
      <c r="AC43" s="75"/>
      <c r="AD43" s="75"/>
      <c r="AE43" s="75"/>
      <c r="AF43" s="75"/>
      <c r="AG43" s="75"/>
      <c r="AH43" s="75"/>
    </row>
    <row r="44" spans="1:34" x14ac:dyDescent="0.15">
      <c r="A44" s="53" t="s">
        <v>41</v>
      </c>
      <c r="B44" s="53" t="s">
        <v>157</v>
      </c>
      <c r="C44" s="62">
        <v>2019</v>
      </c>
      <c r="D44" s="63" t="s">
        <v>192</v>
      </c>
      <c r="E44" s="53" t="s">
        <v>204</v>
      </c>
      <c r="F44" s="53" t="s">
        <v>205</v>
      </c>
      <c r="G44" s="53" t="s">
        <v>42</v>
      </c>
      <c r="H44" s="53" t="s">
        <v>163</v>
      </c>
      <c r="I44" s="53" t="s">
        <v>159</v>
      </c>
      <c r="J44" s="53" t="s">
        <v>38</v>
      </c>
      <c r="K44" s="53" t="s">
        <v>160</v>
      </c>
      <c r="L44" s="53">
        <v>1</v>
      </c>
      <c r="N44" s="53">
        <v>6</v>
      </c>
      <c r="O44" s="53">
        <v>0.3</v>
      </c>
      <c r="P44" s="53">
        <v>0.3</v>
      </c>
      <c r="Q44" s="76">
        <f t="shared" si="3"/>
        <v>0.3</v>
      </c>
      <c r="R44" s="53">
        <v>11.4</v>
      </c>
      <c r="S44" s="53">
        <v>110</v>
      </c>
      <c r="T44" s="16">
        <f t="shared" si="1"/>
        <v>33</v>
      </c>
      <c r="U44" s="53">
        <v>429</v>
      </c>
      <c r="V44" s="38">
        <v>3670</v>
      </c>
      <c r="W44" s="53">
        <v>2</v>
      </c>
      <c r="X44" s="53" t="s">
        <v>46</v>
      </c>
      <c r="Y44" s="53" t="s">
        <v>84</v>
      </c>
      <c r="Z44" s="53" t="s">
        <v>69</v>
      </c>
      <c r="AA44" s="53" t="s">
        <v>90</v>
      </c>
      <c r="AB44" s="53" t="s">
        <v>158</v>
      </c>
      <c r="AC44" s="75"/>
      <c r="AD44" s="75"/>
      <c r="AE44" s="75"/>
      <c r="AF44" s="75"/>
      <c r="AG44" s="75"/>
      <c r="AH44" s="75"/>
    </row>
    <row r="45" spans="1:34" x14ac:dyDescent="0.15">
      <c r="A45" s="53" t="s">
        <v>41</v>
      </c>
      <c r="B45" s="53" t="s">
        <v>157</v>
      </c>
      <c r="C45" s="62">
        <v>2019</v>
      </c>
      <c r="D45" s="63" t="s">
        <v>192</v>
      </c>
      <c r="E45" s="53" t="s">
        <v>204</v>
      </c>
      <c r="F45" s="53" t="s">
        <v>205</v>
      </c>
      <c r="G45" s="53" t="s">
        <v>42</v>
      </c>
      <c r="H45" s="53" t="s">
        <v>163</v>
      </c>
      <c r="I45" s="53" t="s">
        <v>159</v>
      </c>
      <c r="J45" s="53" t="s">
        <v>38</v>
      </c>
      <c r="K45" s="53" t="s">
        <v>160</v>
      </c>
      <c r="L45" s="53">
        <v>2</v>
      </c>
      <c r="N45" s="53">
        <v>6</v>
      </c>
      <c r="O45" s="53">
        <v>0.25</v>
      </c>
      <c r="P45" s="53">
        <v>0.25</v>
      </c>
      <c r="Q45" s="76">
        <f t="shared" si="3"/>
        <v>0.25</v>
      </c>
      <c r="R45" s="53">
        <v>12.1</v>
      </c>
      <c r="S45" s="53">
        <v>108</v>
      </c>
      <c r="T45" s="16">
        <f t="shared" si="1"/>
        <v>33</v>
      </c>
      <c r="U45" s="53">
        <v>429</v>
      </c>
      <c r="V45" s="38">
        <v>3303</v>
      </c>
      <c r="W45" s="53">
        <v>2</v>
      </c>
      <c r="X45" s="53" t="s">
        <v>46</v>
      </c>
      <c r="Y45" s="53" t="s">
        <v>84</v>
      </c>
      <c r="Z45" s="53" t="s">
        <v>69</v>
      </c>
      <c r="AA45" s="53" t="s">
        <v>90</v>
      </c>
      <c r="AB45" s="53" t="s">
        <v>158</v>
      </c>
      <c r="AC45" s="75"/>
      <c r="AD45" s="75"/>
      <c r="AE45" s="75"/>
      <c r="AF45" s="75"/>
      <c r="AG45" s="75"/>
      <c r="AH45" s="75"/>
    </row>
    <row r="46" spans="1:34" x14ac:dyDescent="0.15">
      <c r="A46" s="53" t="s">
        <v>41</v>
      </c>
      <c r="B46" s="53" t="s">
        <v>157</v>
      </c>
      <c r="C46" s="62">
        <v>2019</v>
      </c>
      <c r="D46" s="63" t="s">
        <v>192</v>
      </c>
      <c r="E46" s="53" t="s">
        <v>204</v>
      </c>
      <c r="F46" s="53" t="s">
        <v>205</v>
      </c>
      <c r="G46" s="53" t="s">
        <v>42</v>
      </c>
      <c r="H46" s="53" t="s">
        <v>163</v>
      </c>
      <c r="I46" s="53" t="s">
        <v>159</v>
      </c>
      <c r="J46" s="53" t="s">
        <v>38</v>
      </c>
      <c r="K46" s="53" t="s">
        <v>160</v>
      </c>
      <c r="L46" s="53">
        <v>3</v>
      </c>
      <c r="N46" s="53">
        <v>6</v>
      </c>
      <c r="O46" s="53">
        <v>0.3</v>
      </c>
      <c r="P46" s="53">
        <v>0.25</v>
      </c>
      <c r="Q46" s="76">
        <f t="shared" si="3"/>
        <v>0.27500000000000002</v>
      </c>
      <c r="R46" s="53">
        <v>13.4</v>
      </c>
      <c r="S46" s="53">
        <v>113</v>
      </c>
      <c r="T46" s="16">
        <f t="shared" si="1"/>
        <v>30</v>
      </c>
      <c r="U46" s="53">
        <v>429</v>
      </c>
      <c r="V46" s="38">
        <v>3670</v>
      </c>
      <c r="W46" s="53">
        <v>2</v>
      </c>
      <c r="X46" s="53" t="s">
        <v>46</v>
      </c>
      <c r="Y46" s="53" t="s">
        <v>84</v>
      </c>
      <c r="Z46" s="53" t="s">
        <v>69</v>
      </c>
      <c r="AA46" s="53" t="s">
        <v>90</v>
      </c>
      <c r="AB46" s="53" t="s">
        <v>158</v>
      </c>
      <c r="AC46" s="75"/>
      <c r="AD46" s="75"/>
      <c r="AE46" s="75"/>
      <c r="AF46" s="75"/>
      <c r="AG46" s="75"/>
      <c r="AH46" s="75"/>
    </row>
    <row r="47" spans="1:34" x14ac:dyDescent="0.15">
      <c r="A47" s="53" t="s">
        <v>41</v>
      </c>
      <c r="B47" s="53" t="s">
        <v>157</v>
      </c>
      <c r="C47" s="62">
        <v>2019</v>
      </c>
      <c r="D47" s="63" t="s">
        <v>192</v>
      </c>
      <c r="E47" s="53" t="s">
        <v>204</v>
      </c>
      <c r="F47" s="53" t="s">
        <v>212</v>
      </c>
      <c r="G47" s="53" t="s">
        <v>42</v>
      </c>
      <c r="H47" s="53" t="s">
        <v>163</v>
      </c>
      <c r="I47" s="53" t="s">
        <v>159</v>
      </c>
      <c r="J47" s="53" t="s">
        <v>38</v>
      </c>
      <c r="K47" s="53" t="s">
        <v>160</v>
      </c>
      <c r="L47" s="53">
        <v>1</v>
      </c>
      <c r="N47" s="53">
        <v>1</v>
      </c>
      <c r="O47" s="53">
        <v>0.6</v>
      </c>
      <c r="P47" s="53">
        <v>0.65</v>
      </c>
      <c r="Q47" s="76">
        <f t="shared" si="3"/>
        <v>0.625</v>
      </c>
      <c r="R47" s="53">
        <v>12</v>
      </c>
      <c r="S47" s="53">
        <v>127</v>
      </c>
      <c r="T47" s="16">
        <f t="shared" si="1"/>
        <v>27</v>
      </c>
      <c r="U47" s="53">
        <v>105</v>
      </c>
      <c r="V47" s="16">
        <f t="shared" ref="V47:V110" si="4">IF(OR(N47="",U47="",T47=""),"",U47/N47*T47)</f>
        <v>2835</v>
      </c>
      <c r="W47" s="53">
        <v>1</v>
      </c>
      <c r="X47" s="53" t="s">
        <v>46</v>
      </c>
      <c r="Y47" s="53" t="s">
        <v>84</v>
      </c>
      <c r="Z47" s="53" t="s">
        <v>69</v>
      </c>
      <c r="AA47" s="53" t="s">
        <v>40</v>
      </c>
      <c r="AB47" s="53" t="s">
        <v>158</v>
      </c>
      <c r="AC47" s="75"/>
      <c r="AD47" s="75"/>
      <c r="AE47" s="75"/>
      <c r="AF47" s="75"/>
      <c r="AG47" s="75"/>
      <c r="AH47" s="75"/>
    </row>
    <row r="48" spans="1:34" x14ac:dyDescent="0.15">
      <c r="A48" s="53" t="s">
        <v>41</v>
      </c>
      <c r="B48" s="53" t="s">
        <v>157</v>
      </c>
      <c r="C48" s="62">
        <v>2019</v>
      </c>
      <c r="D48" s="63" t="s">
        <v>192</v>
      </c>
      <c r="E48" s="53" t="s">
        <v>204</v>
      </c>
      <c r="F48" s="53" t="s">
        <v>212</v>
      </c>
      <c r="G48" s="53" t="s">
        <v>42</v>
      </c>
      <c r="H48" s="53" t="s">
        <v>163</v>
      </c>
      <c r="I48" s="53" t="s">
        <v>159</v>
      </c>
      <c r="J48" s="53" t="s">
        <v>38</v>
      </c>
      <c r="K48" s="53" t="s">
        <v>160</v>
      </c>
      <c r="L48" s="53">
        <v>2</v>
      </c>
      <c r="M48" s="75"/>
      <c r="N48" s="53">
        <v>1</v>
      </c>
      <c r="O48" s="53">
        <v>0.45</v>
      </c>
      <c r="P48" s="53">
        <v>0.5</v>
      </c>
      <c r="Q48" s="76">
        <f t="shared" si="3"/>
        <v>0.47499999999999998</v>
      </c>
      <c r="R48" s="53">
        <v>14.2</v>
      </c>
      <c r="S48" s="53">
        <v>125</v>
      </c>
      <c r="T48" s="16">
        <f t="shared" si="1"/>
        <v>27</v>
      </c>
      <c r="U48" s="53">
        <v>105</v>
      </c>
      <c r="V48" s="16">
        <f t="shared" si="4"/>
        <v>2835</v>
      </c>
      <c r="W48" s="53">
        <v>1</v>
      </c>
      <c r="X48" s="53" t="s">
        <v>46</v>
      </c>
      <c r="Y48" s="53" t="s">
        <v>84</v>
      </c>
      <c r="Z48" s="53" t="s">
        <v>69</v>
      </c>
      <c r="AA48" s="53" t="s">
        <v>40</v>
      </c>
      <c r="AB48" s="53" t="s">
        <v>158</v>
      </c>
      <c r="AC48" s="75"/>
      <c r="AD48" s="75"/>
      <c r="AE48" s="75"/>
      <c r="AF48" s="75"/>
      <c r="AG48" s="75"/>
      <c r="AH48" s="75"/>
    </row>
    <row r="49" spans="1:34" x14ac:dyDescent="0.15">
      <c r="A49" s="53" t="s">
        <v>41</v>
      </c>
      <c r="B49" s="53" t="s">
        <v>157</v>
      </c>
      <c r="C49" s="62">
        <v>2019</v>
      </c>
      <c r="D49" s="63" t="s">
        <v>192</v>
      </c>
      <c r="E49" s="53" t="s">
        <v>204</v>
      </c>
      <c r="F49" s="53" t="s">
        <v>212</v>
      </c>
      <c r="G49" s="53" t="s">
        <v>42</v>
      </c>
      <c r="H49" s="53" t="s">
        <v>163</v>
      </c>
      <c r="I49" s="53" t="s">
        <v>159</v>
      </c>
      <c r="J49" s="53" t="s">
        <v>38</v>
      </c>
      <c r="K49" s="53" t="s">
        <v>160</v>
      </c>
      <c r="L49" s="53">
        <v>3</v>
      </c>
      <c r="M49" s="75"/>
      <c r="N49" s="53">
        <v>1</v>
      </c>
      <c r="O49" s="53">
        <v>0.5</v>
      </c>
      <c r="P49" s="53">
        <v>0.45</v>
      </c>
      <c r="Q49" s="72">
        <f t="shared" si="3"/>
        <v>0.47499999999999998</v>
      </c>
      <c r="R49" s="53">
        <v>11.2</v>
      </c>
      <c r="S49" s="53">
        <v>128</v>
      </c>
      <c r="T49" s="38">
        <f t="shared" si="1"/>
        <v>27</v>
      </c>
      <c r="U49" s="53">
        <v>105</v>
      </c>
      <c r="V49" s="16">
        <f t="shared" si="4"/>
        <v>2835</v>
      </c>
      <c r="W49" s="53">
        <v>1</v>
      </c>
      <c r="X49" s="53" t="s">
        <v>46</v>
      </c>
      <c r="Y49" s="53" t="s">
        <v>84</v>
      </c>
      <c r="Z49" s="53" t="s">
        <v>69</v>
      </c>
      <c r="AA49" s="53" t="s">
        <v>40</v>
      </c>
      <c r="AB49" s="53" t="s">
        <v>158</v>
      </c>
      <c r="AC49" s="75"/>
      <c r="AD49" s="75"/>
      <c r="AE49" s="75"/>
      <c r="AF49" s="75"/>
      <c r="AG49" s="75"/>
      <c r="AH49" s="75"/>
    </row>
    <row r="50" spans="1:34" x14ac:dyDescent="0.15">
      <c r="A50" s="53" t="s">
        <v>41</v>
      </c>
      <c r="B50" s="53" t="s">
        <v>157</v>
      </c>
      <c r="C50" s="62">
        <v>2019</v>
      </c>
      <c r="D50" s="63" t="s">
        <v>192</v>
      </c>
      <c r="E50" s="53" t="s">
        <v>204</v>
      </c>
      <c r="F50" s="53" t="s">
        <v>212</v>
      </c>
      <c r="G50" s="53" t="s">
        <v>42</v>
      </c>
      <c r="H50" s="53" t="s">
        <v>163</v>
      </c>
      <c r="I50" s="53" t="s">
        <v>159</v>
      </c>
      <c r="J50" s="53" t="s">
        <v>38</v>
      </c>
      <c r="K50" s="53" t="s">
        <v>160</v>
      </c>
      <c r="L50" s="53">
        <v>1</v>
      </c>
      <c r="N50" s="53">
        <v>5</v>
      </c>
      <c r="O50" s="53">
        <v>0.25</v>
      </c>
      <c r="P50" s="53">
        <v>0.25</v>
      </c>
      <c r="Q50" s="76">
        <f t="shared" si="3"/>
        <v>0.25</v>
      </c>
      <c r="R50" s="53">
        <v>13.2</v>
      </c>
      <c r="S50" s="53">
        <v>114</v>
      </c>
      <c r="T50" s="16">
        <f t="shared" si="1"/>
        <v>30</v>
      </c>
      <c r="U50" s="53">
        <v>429</v>
      </c>
      <c r="V50" s="16">
        <f t="shared" si="4"/>
        <v>2574</v>
      </c>
      <c r="W50" s="53">
        <v>1</v>
      </c>
      <c r="X50" s="53" t="s">
        <v>46</v>
      </c>
      <c r="Y50" s="53" t="s">
        <v>84</v>
      </c>
      <c r="Z50" s="53" t="s">
        <v>69</v>
      </c>
      <c r="AA50" s="53" t="s">
        <v>40</v>
      </c>
      <c r="AB50" s="53" t="s">
        <v>158</v>
      </c>
      <c r="AC50" s="75"/>
      <c r="AD50" s="75"/>
      <c r="AE50" s="75"/>
      <c r="AF50" s="75"/>
      <c r="AG50" s="75"/>
      <c r="AH50" s="75"/>
    </row>
    <row r="51" spans="1:34" x14ac:dyDescent="0.15">
      <c r="A51" s="53" t="s">
        <v>41</v>
      </c>
      <c r="B51" s="53" t="s">
        <v>157</v>
      </c>
      <c r="C51" s="62">
        <v>2019</v>
      </c>
      <c r="D51" s="63" t="s">
        <v>192</v>
      </c>
      <c r="E51" s="53" t="s">
        <v>204</v>
      </c>
      <c r="F51" s="53" t="s">
        <v>212</v>
      </c>
      <c r="G51" s="53" t="s">
        <v>42</v>
      </c>
      <c r="H51" s="53" t="s">
        <v>163</v>
      </c>
      <c r="I51" s="53" t="s">
        <v>159</v>
      </c>
      <c r="J51" s="53" t="s">
        <v>38</v>
      </c>
      <c r="K51" s="53" t="s">
        <v>160</v>
      </c>
      <c r="L51" s="53">
        <v>2</v>
      </c>
      <c r="M51" s="75"/>
      <c r="N51" s="53">
        <v>5</v>
      </c>
      <c r="O51" s="53">
        <v>0.3</v>
      </c>
      <c r="P51" s="53">
        <v>0.3</v>
      </c>
      <c r="Q51" s="76">
        <f t="shared" si="3"/>
        <v>0.3</v>
      </c>
      <c r="R51" s="53">
        <v>13</v>
      </c>
      <c r="S51" s="53">
        <v>114</v>
      </c>
      <c r="T51" s="16">
        <f t="shared" si="1"/>
        <v>30</v>
      </c>
      <c r="U51" s="53">
        <v>429</v>
      </c>
      <c r="V51" s="16">
        <f t="shared" si="4"/>
        <v>2574</v>
      </c>
      <c r="W51" s="53">
        <v>1</v>
      </c>
      <c r="X51" s="53" t="s">
        <v>46</v>
      </c>
      <c r="Y51" s="53" t="s">
        <v>84</v>
      </c>
      <c r="Z51" s="53" t="s">
        <v>69</v>
      </c>
      <c r="AA51" s="53" t="s">
        <v>40</v>
      </c>
      <c r="AB51" s="53" t="s">
        <v>158</v>
      </c>
      <c r="AC51" s="75"/>
      <c r="AD51" s="75"/>
      <c r="AE51" s="75"/>
      <c r="AF51" s="75"/>
      <c r="AG51" s="75"/>
      <c r="AH51" s="75"/>
    </row>
    <row r="52" spans="1:34" x14ac:dyDescent="0.15">
      <c r="A52" s="53" t="s">
        <v>41</v>
      </c>
      <c r="B52" s="53" t="s">
        <v>157</v>
      </c>
      <c r="C52" s="62">
        <v>2019</v>
      </c>
      <c r="D52" s="63" t="s">
        <v>192</v>
      </c>
      <c r="E52" s="53" t="s">
        <v>204</v>
      </c>
      <c r="F52" s="53" t="s">
        <v>212</v>
      </c>
      <c r="G52" s="53" t="s">
        <v>42</v>
      </c>
      <c r="H52" s="53" t="s">
        <v>163</v>
      </c>
      <c r="I52" s="53" t="s">
        <v>159</v>
      </c>
      <c r="J52" s="53" t="s">
        <v>38</v>
      </c>
      <c r="K52" s="53" t="s">
        <v>160</v>
      </c>
      <c r="L52" s="53">
        <v>3</v>
      </c>
      <c r="M52" s="75"/>
      <c r="N52" s="53">
        <v>5</v>
      </c>
      <c r="O52" s="53">
        <v>0.25</v>
      </c>
      <c r="P52" s="53">
        <v>0.35</v>
      </c>
      <c r="Q52" s="72">
        <f t="shared" si="3"/>
        <v>0.3</v>
      </c>
      <c r="R52" s="53">
        <v>12.7</v>
      </c>
      <c r="S52" s="53">
        <v>112</v>
      </c>
      <c r="T52" s="38">
        <f t="shared" si="1"/>
        <v>33</v>
      </c>
      <c r="U52" s="53">
        <v>429</v>
      </c>
      <c r="V52" s="16">
        <f t="shared" si="4"/>
        <v>2831.4</v>
      </c>
      <c r="W52" s="53">
        <v>1</v>
      </c>
      <c r="X52" s="53" t="s">
        <v>46</v>
      </c>
      <c r="Y52" s="53" t="s">
        <v>84</v>
      </c>
      <c r="Z52" s="53" t="s">
        <v>69</v>
      </c>
      <c r="AA52" s="53" t="s">
        <v>40</v>
      </c>
      <c r="AB52" s="53" t="s">
        <v>158</v>
      </c>
      <c r="AC52" s="75"/>
      <c r="AD52" s="75"/>
      <c r="AE52" s="75"/>
      <c r="AF52" s="75"/>
      <c r="AG52" s="75"/>
      <c r="AH52" s="75"/>
    </row>
    <row r="53" spans="1:34" x14ac:dyDescent="0.15">
      <c r="A53" s="53" t="s">
        <v>41</v>
      </c>
      <c r="B53" s="53" t="s">
        <v>157</v>
      </c>
      <c r="C53" s="62">
        <v>2019</v>
      </c>
      <c r="D53" s="63" t="s">
        <v>192</v>
      </c>
      <c r="E53" s="53" t="s">
        <v>208</v>
      </c>
      <c r="F53" s="53" t="s">
        <v>209</v>
      </c>
      <c r="G53" s="53" t="s">
        <v>42</v>
      </c>
      <c r="H53" s="53" t="s">
        <v>189</v>
      </c>
      <c r="I53" s="53" t="s">
        <v>159</v>
      </c>
      <c r="J53" s="53" t="s">
        <v>80</v>
      </c>
      <c r="K53" s="53" t="s">
        <v>63</v>
      </c>
      <c r="L53" s="53">
        <v>1</v>
      </c>
      <c r="N53" s="53">
        <v>1</v>
      </c>
      <c r="O53" s="53">
        <v>0.6</v>
      </c>
      <c r="P53" s="53">
        <v>0.55000000000000004</v>
      </c>
      <c r="Q53" s="72">
        <f t="shared" si="3"/>
        <v>0.57499999999999996</v>
      </c>
      <c r="R53" s="53">
        <v>10.199999999999999</v>
      </c>
      <c r="S53" s="53">
        <v>55</v>
      </c>
      <c r="T53" s="38">
        <f t="shared" si="1"/>
        <v>50</v>
      </c>
      <c r="U53" s="53">
        <v>55</v>
      </c>
      <c r="V53" s="16">
        <f t="shared" si="4"/>
        <v>2750</v>
      </c>
      <c r="W53" s="53">
        <v>1</v>
      </c>
      <c r="X53" s="53" t="s">
        <v>46</v>
      </c>
      <c r="Y53" s="53" t="s">
        <v>84</v>
      </c>
      <c r="Z53" s="53" t="s">
        <v>69</v>
      </c>
      <c r="AA53" s="53" t="s">
        <v>40</v>
      </c>
      <c r="AB53" s="53" t="s">
        <v>158</v>
      </c>
      <c r="AC53" s="75"/>
      <c r="AD53" s="75"/>
      <c r="AE53" s="75"/>
      <c r="AF53" s="75"/>
      <c r="AG53" s="75"/>
      <c r="AH53" s="75"/>
    </row>
    <row r="54" spans="1:34" x14ac:dyDescent="0.15">
      <c r="A54" s="53" t="s">
        <v>41</v>
      </c>
      <c r="B54" s="53" t="s">
        <v>157</v>
      </c>
      <c r="C54" s="62">
        <v>2019</v>
      </c>
      <c r="D54" s="63" t="s">
        <v>192</v>
      </c>
      <c r="E54" s="53" t="s">
        <v>208</v>
      </c>
      <c r="F54" s="53" t="s">
        <v>209</v>
      </c>
      <c r="G54" s="53" t="s">
        <v>42</v>
      </c>
      <c r="H54" s="53" t="s">
        <v>189</v>
      </c>
      <c r="I54" s="53" t="s">
        <v>159</v>
      </c>
      <c r="J54" s="53" t="s">
        <v>80</v>
      </c>
      <c r="K54" s="53" t="s">
        <v>63</v>
      </c>
      <c r="L54" s="53">
        <v>2</v>
      </c>
      <c r="N54" s="53">
        <v>1</v>
      </c>
      <c r="O54" s="53">
        <v>0.7</v>
      </c>
      <c r="P54" s="53">
        <v>0.75</v>
      </c>
      <c r="Q54" s="72">
        <f t="shared" si="3"/>
        <v>0.72499999999999998</v>
      </c>
      <c r="R54" s="53">
        <v>9</v>
      </c>
      <c r="S54" s="53">
        <v>45</v>
      </c>
      <c r="T54" s="38">
        <f t="shared" si="1"/>
        <v>50</v>
      </c>
      <c r="U54" s="53">
        <v>55</v>
      </c>
      <c r="V54" s="16">
        <f t="shared" si="4"/>
        <v>2750</v>
      </c>
      <c r="W54" s="53">
        <v>1</v>
      </c>
      <c r="X54" s="53" t="s">
        <v>46</v>
      </c>
      <c r="Y54" s="53" t="s">
        <v>84</v>
      </c>
      <c r="Z54" s="53" t="s">
        <v>69</v>
      </c>
      <c r="AA54" s="53" t="s">
        <v>40</v>
      </c>
      <c r="AB54" s="53" t="s">
        <v>158</v>
      </c>
      <c r="AC54" s="75"/>
      <c r="AD54" s="75"/>
      <c r="AE54" s="75"/>
      <c r="AF54" s="75"/>
      <c r="AG54" s="75"/>
      <c r="AH54" s="75"/>
    </row>
    <row r="55" spans="1:34" x14ac:dyDescent="0.15">
      <c r="A55" s="53" t="s">
        <v>41</v>
      </c>
      <c r="B55" s="53" t="s">
        <v>157</v>
      </c>
      <c r="C55" s="62">
        <v>2019</v>
      </c>
      <c r="D55" s="63" t="s">
        <v>192</v>
      </c>
      <c r="E55" s="53" t="s">
        <v>208</v>
      </c>
      <c r="F55" s="53" t="s">
        <v>209</v>
      </c>
      <c r="G55" s="53" t="s">
        <v>42</v>
      </c>
      <c r="H55" s="53" t="s">
        <v>189</v>
      </c>
      <c r="I55" s="53" t="s">
        <v>159</v>
      </c>
      <c r="J55" s="53" t="s">
        <v>80</v>
      </c>
      <c r="K55" s="53" t="s">
        <v>63</v>
      </c>
      <c r="L55" s="53">
        <v>3</v>
      </c>
      <c r="N55" s="53">
        <v>1</v>
      </c>
      <c r="O55" s="53">
        <v>0.55000000000000004</v>
      </c>
      <c r="P55" s="53">
        <v>0.45</v>
      </c>
      <c r="Q55" s="72">
        <f t="shared" si="3"/>
        <v>0.5</v>
      </c>
      <c r="R55" s="53">
        <v>11</v>
      </c>
      <c r="S55" s="53">
        <v>50</v>
      </c>
      <c r="T55" s="38">
        <f t="shared" si="1"/>
        <v>50</v>
      </c>
      <c r="U55" s="53">
        <v>55</v>
      </c>
      <c r="V55" s="38">
        <f t="shared" si="4"/>
        <v>2750</v>
      </c>
      <c r="W55" s="53">
        <v>1</v>
      </c>
      <c r="X55" s="53" t="s">
        <v>46</v>
      </c>
      <c r="Y55" s="53" t="s">
        <v>84</v>
      </c>
      <c r="Z55" s="53" t="s">
        <v>69</v>
      </c>
      <c r="AA55" s="53" t="s">
        <v>40</v>
      </c>
      <c r="AB55" s="53" t="s">
        <v>158</v>
      </c>
      <c r="AC55" s="75"/>
      <c r="AD55" s="75"/>
      <c r="AE55" s="75"/>
      <c r="AF55" s="75"/>
      <c r="AG55" s="75"/>
      <c r="AH55" s="75"/>
    </row>
    <row r="56" spans="1:34" x14ac:dyDescent="0.15">
      <c r="A56" s="53" t="s">
        <v>41</v>
      </c>
      <c r="B56" s="53" t="s">
        <v>157</v>
      </c>
      <c r="C56" s="62">
        <v>2019</v>
      </c>
      <c r="D56" s="63" t="s">
        <v>192</v>
      </c>
      <c r="E56" s="53" t="s">
        <v>214</v>
      </c>
      <c r="F56" s="53" t="s">
        <v>215</v>
      </c>
      <c r="G56" s="53" t="s">
        <v>42</v>
      </c>
      <c r="H56" s="53" t="s">
        <v>163</v>
      </c>
      <c r="I56" s="53" t="s">
        <v>159</v>
      </c>
      <c r="J56" s="53" t="s">
        <v>38</v>
      </c>
      <c r="K56" s="53" t="s">
        <v>160</v>
      </c>
      <c r="L56" s="53">
        <v>1</v>
      </c>
      <c r="N56" s="53">
        <v>5</v>
      </c>
      <c r="O56" s="53">
        <v>0.25</v>
      </c>
      <c r="P56" s="53">
        <v>0.25</v>
      </c>
      <c r="Q56" s="16">
        <f t="shared" si="3"/>
        <v>0.25</v>
      </c>
      <c r="R56" s="53">
        <v>14.2</v>
      </c>
      <c r="S56" s="53">
        <v>115</v>
      </c>
      <c r="T56" s="38">
        <f t="shared" si="1"/>
        <v>30</v>
      </c>
      <c r="U56" s="53">
        <v>407</v>
      </c>
      <c r="V56" s="38">
        <f t="shared" si="4"/>
        <v>2442</v>
      </c>
      <c r="W56" s="53">
        <v>1</v>
      </c>
      <c r="X56" s="53" t="s">
        <v>39</v>
      </c>
      <c r="Y56" s="53" t="s">
        <v>84</v>
      </c>
      <c r="Z56" s="53" t="s">
        <v>69</v>
      </c>
      <c r="AA56" s="53" t="s">
        <v>40</v>
      </c>
      <c r="AB56" s="53" t="s">
        <v>158</v>
      </c>
    </row>
    <row r="57" spans="1:34" x14ac:dyDescent="0.15">
      <c r="A57" s="53" t="s">
        <v>41</v>
      </c>
      <c r="B57" s="53" t="s">
        <v>157</v>
      </c>
      <c r="C57" s="62">
        <v>2019</v>
      </c>
      <c r="D57" s="63" t="s">
        <v>192</v>
      </c>
      <c r="E57" s="53" t="s">
        <v>214</v>
      </c>
      <c r="F57" s="53" t="s">
        <v>215</v>
      </c>
      <c r="G57" s="53" t="s">
        <v>42</v>
      </c>
      <c r="H57" s="53" t="s">
        <v>163</v>
      </c>
      <c r="I57" s="53" t="s">
        <v>159</v>
      </c>
      <c r="J57" s="53" t="s">
        <v>38</v>
      </c>
      <c r="K57" s="53" t="s">
        <v>160</v>
      </c>
      <c r="L57" s="53">
        <v>2</v>
      </c>
      <c r="N57" s="53">
        <v>5</v>
      </c>
      <c r="O57" s="53">
        <v>0.3</v>
      </c>
      <c r="P57" s="53">
        <v>0.3</v>
      </c>
      <c r="Q57" s="16">
        <f t="shared" si="3"/>
        <v>0.3</v>
      </c>
      <c r="R57" s="53">
        <v>15</v>
      </c>
      <c r="S57" s="53">
        <v>120</v>
      </c>
      <c r="T57" s="38">
        <f t="shared" si="1"/>
        <v>30</v>
      </c>
      <c r="U57" s="53">
        <v>407</v>
      </c>
      <c r="V57" s="38">
        <f t="shared" si="4"/>
        <v>2442</v>
      </c>
      <c r="W57" s="53">
        <v>1</v>
      </c>
      <c r="X57" s="53" t="s">
        <v>39</v>
      </c>
      <c r="Y57" s="53" t="s">
        <v>84</v>
      </c>
      <c r="Z57" s="53" t="s">
        <v>69</v>
      </c>
      <c r="AA57" s="53" t="s">
        <v>40</v>
      </c>
      <c r="AB57" s="53" t="s">
        <v>158</v>
      </c>
    </row>
    <row r="58" spans="1:34" x14ac:dyDescent="0.15">
      <c r="A58" s="53" t="s">
        <v>41</v>
      </c>
      <c r="B58" s="53" t="s">
        <v>157</v>
      </c>
      <c r="C58" s="62">
        <v>2019</v>
      </c>
      <c r="D58" s="63" t="s">
        <v>192</v>
      </c>
      <c r="E58" s="53" t="s">
        <v>214</v>
      </c>
      <c r="F58" s="53" t="s">
        <v>215</v>
      </c>
      <c r="G58" s="53" t="s">
        <v>42</v>
      </c>
      <c r="H58" s="53" t="s">
        <v>163</v>
      </c>
      <c r="I58" s="53" t="s">
        <v>159</v>
      </c>
      <c r="J58" s="53" t="s">
        <v>38</v>
      </c>
      <c r="K58" s="53" t="s">
        <v>160</v>
      </c>
      <c r="L58" s="53">
        <v>3</v>
      </c>
      <c r="N58" s="53">
        <v>5</v>
      </c>
      <c r="O58" s="53">
        <v>0.25</v>
      </c>
      <c r="P58" s="53">
        <v>0.35</v>
      </c>
      <c r="Q58" s="16">
        <f t="shared" si="3"/>
        <v>0.3</v>
      </c>
      <c r="R58" s="53">
        <v>12.9</v>
      </c>
      <c r="S58" s="53">
        <v>117</v>
      </c>
      <c r="T58" s="38">
        <f t="shared" si="1"/>
        <v>30</v>
      </c>
      <c r="U58" s="53">
        <v>407</v>
      </c>
      <c r="V58" s="38">
        <f t="shared" si="4"/>
        <v>2442</v>
      </c>
      <c r="W58" s="53">
        <v>1</v>
      </c>
      <c r="X58" s="53" t="s">
        <v>39</v>
      </c>
      <c r="Y58" s="53" t="s">
        <v>84</v>
      </c>
      <c r="Z58" s="53" t="s">
        <v>69</v>
      </c>
      <c r="AA58" s="53" t="s">
        <v>40</v>
      </c>
      <c r="AB58" s="53" t="s">
        <v>158</v>
      </c>
    </row>
    <row r="59" spans="1:34" x14ac:dyDescent="0.15">
      <c r="Q59" s="76" t="str">
        <f t="shared" si="3"/>
        <v/>
      </c>
      <c r="T59" s="16" t="str">
        <f t="shared" si="1"/>
        <v/>
      </c>
      <c r="V59" s="16" t="str">
        <f t="shared" si="4"/>
        <v/>
      </c>
    </row>
    <row r="60" spans="1:34" x14ac:dyDescent="0.15">
      <c r="Q60" s="76" t="str">
        <f t="shared" si="3"/>
        <v/>
      </c>
      <c r="T60" s="16" t="str">
        <f t="shared" si="1"/>
        <v/>
      </c>
      <c r="V60" s="16" t="str">
        <f t="shared" si="4"/>
        <v/>
      </c>
    </row>
    <row r="61" spans="1:34" x14ac:dyDescent="0.15">
      <c r="Q61" s="76" t="str">
        <f t="shared" si="3"/>
        <v/>
      </c>
      <c r="T61" s="16" t="str">
        <f t="shared" si="1"/>
        <v/>
      </c>
      <c r="V61" s="16" t="str">
        <f t="shared" si="4"/>
        <v/>
      </c>
    </row>
    <row r="62" spans="1:34" x14ac:dyDescent="0.15">
      <c r="Q62" s="76" t="str">
        <f t="shared" si="3"/>
        <v/>
      </c>
      <c r="T62" s="16" t="str">
        <f t="shared" si="1"/>
        <v/>
      </c>
      <c r="V62" s="16" t="str">
        <f t="shared" si="4"/>
        <v/>
      </c>
    </row>
    <row r="63" spans="1:34" x14ac:dyDescent="0.15">
      <c r="Q63" s="76" t="str">
        <f t="shared" si="3"/>
        <v/>
      </c>
      <c r="T63" s="16" t="str">
        <f t="shared" si="1"/>
        <v/>
      </c>
      <c r="V63" s="16" t="str">
        <f t="shared" si="4"/>
        <v/>
      </c>
    </row>
    <row r="64" spans="1:34" x14ac:dyDescent="0.15">
      <c r="Q64" s="76" t="str">
        <f t="shared" si="3"/>
        <v/>
      </c>
      <c r="T64" s="16" t="str">
        <f t="shared" si="1"/>
        <v/>
      </c>
      <c r="V64" s="16" t="str">
        <f t="shared" si="4"/>
        <v/>
      </c>
    </row>
    <row r="65" spans="17:22" x14ac:dyDescent="0.15">
      <c r="Q65" s="76" t="str">
        <f t="shared" si="3"/>
        <v/>
      </c>
      <c r="T65" s="16" t="str">
        <f t="shared" si="1"/>
        <v/>
      </c>
      <c r="V65" s="16" t="str">
        <f t="shared" si="4"/>
        <v/>
      </c>
    </row>
    <row r="66" spans="17:22" x14ac:dyDescent="0.15">
      <c r="Q66" s="76" t="str">
        <f t="shared" si="3"/>
        <v/>
      </c>
      <c r="T66" s="16" t="str">
        <f t="shared" ref="T66:T129" si="5">IF(H66="","",IF(OR(H66="GREEN",H66="GK"),IF(S66&gt;=$AX$2,VLOOKUP(S66,$AX$2:$AY$10,2,1),""),IF(S66&gt;=$AZ$2,VLOOKUP(S66,$AZ$2:$BA$10,2,1),"")))</f>
        <v/>
      </c>
      <c r="V66" s="16" t="str">
        <f t="shared" si="4"/>
        <v/>
      </c>
    </row>
    <row r="67" spans="17:22" x14ac:dyDescent="0.15">
      <c r="Q67" s="76" t="str">
        <f t="shared" si="3"/>
        <v/>
      </c>
      <c r="T67" s="16" t="str">
        <f t="shared" si="5"/>
        <v/>
      </c>
      <c r="V67" s="16" t="str">
        <f t="shared" si="4"/>
        <v/>
      </c>
    </row>
    <row r="68" spans="17:22" x14ac:dyDescent="0.15">
      <c r="Q68" s="76" t="str">
        <f t="shared" si="3"/>
        <v/>
      </c>
      <c r="T68" s="16" t="str">
        <f t="shared" si="5"/>
        <v/>
      </c>
      <c r="V68" s="16" t="str">
        <f t="shared" si="4"/>
        <v/>
      </c>
    </row>
    <row r="69" spans="17:22" x14ac:dyDescent="0.15">
      <c r="Q69" s="76" t="str">
        <f t="shared" si="3"/>
        <v/>
      </c>
      <c r="T69" s="16" t="str">
        <f t="shared" si="5"/>
        <v/>
      </c>
      <c r="V69" s="16" t="str">
        <f t="shared" si="4"/>
        <v/>
      </c>
    </row>
    <row r="70" spans="17:22" x14ac:dyDescent="0.15">
      <c r="Q70" s="76" t="str">
        <f t="shared" si="3"/>
        <v/>
      </c>
      <c r="T70" s="16" t="str">
        <f t="shared" si="5"/>
        <v/>
      </c>
      <c r="V70" s="16" t="str">
        <f t="shared" si="4"/>
        <v/>
      </c>
    </row>
    <row r="71" spans="17:22" x14ac:dyDescent="0.15">
      <c r="Q71" s="76" t="str">
        <f t="shared" si="3"/>
        <v/>
      </c>
      <c r="T71" s="16" t="str">
        <f t="shared" si="5"/>
        <v/>
      </c>
      <c r="V71" s="16" t="str">
        <f t="shared" si="4"/>
        <v/>
      </c>
    </row>
    <row r="72" spans="17:22" x14ac:dyDescent="0.15">
      <c r="Q72" s="76" t="str">
        <f t="shared" si="3"/>
        <v/>
      </c>
      <c r="T72" s="16" t="str">
        <f t="shared" si="5"/>
        <v/>
      </c>
      <c r="V72" s="16" t="str">
        <f t="shared" si="4"/>
        <v/>
      </c>
    </row>
    <row r="73" spans="17:22" x14ac:dyDescent="0.15">
      <c r="Q73" s="76" t="str">
        <f t="shared" si="3"/>
        <v/>
      </c>
      <c r="T73" s="16" t="str">
        <f t="shared" si="5"/>
        <v/>
      </c>
      <c r="V73" s="16" t="str">
        <f t="shared" si="4"/>
        <v/>
      </c>
    </row>
    <row r="74" spans="17:22" x14ac:dyDescent="0.15">
      <c r="Q74" s="76" t="str">
        <f t="shared" si="3"/>
        <v/>
      </c>
      <c r="T74" s="16" t="str">
        <f t="shared" si="5"/>
        <v/>
      </c>
      <c r="V74" s="16" t="str">
        <f t="shared" si="4"/>
        <v/>
      </c>
    </row>
    <row r="75" spans="17:22" x14ac:dyDescent="0.15">
      <c r="Q75" s="76" t="str">
        <f t="shared" si="3"/>
        <v/>
      </c>
      <c r="T75" s="16" t="str">
        <f t="shared" si="5"/>
        <v/>
      </c>
      <c r="V75" s="16" t="str">
        <f t="shared" si="4"/>
        <v/>
      </c>
    </row>
    <row r="76" spans="17:22" x14ac:dyDescent="0.15">
      <c r="Q76" s="76" t="str">
        <f t="shared" si="3"/>
        <v/>
      </c>
      <c r="T76" s="16" t="str">
        <f t="shared" si="5"/>
        <v/>
      </c>
      <c r="V76" s="16" t="str">
        <f t="shared" si="4"/>
        <v/>
      </c>
    </row>
    <row r="77" spans="17:22" x14ac:dyDescent="0.15">
      <c r="Q77" s="76" t="str">
        <f t="shared" si="3"/>
        <v/>
      </c>
      <c r="T77" s="16" t="str">
        <f t="shared" si="5"/>
        <v/>
      </c>
      <c r="V77" s="16" t="str">
        <f t="shared" si="4"/>
        <v/>
      </c>
    </row>
    <row r="78" spans="17:22" x14ac:dyDescent="0.15">
      <c r="Q78" s="76" t="str">
        <f t="shared" si="3"/>
        <v/>
      </c>
      <c r="T78" s="16" t="str">
        <f t="shared" si="5"/>
        <v/>
      </c>
      <c r="V78" s="16" t="str">
        <f t="shared" si="4"/>
        <v/>
      </c>
    </row>
    <row r="79" spans="17:22" x14ac:dyDescent="0.15">
      <c r="Q79" s="76" t="str">
        <f t="shared" si="3"/>
        <v/>
      </c>
      <c r="T79" s="16" t="str">
        <f t="shared" si="5"/>
        <v/>
      </c>
      <c r="V79" s="16" t="str">
        <f t="shared" si="4"/>
        <v/>
      </c>
    </row>
    <row r="80" spans="17:22" x14ac:dyDescent="0.15">
      <c r="Q80" s="76" t="str">
        <f t="shared" si="3"/>
        <v/>
      </c>
      <c r="T80" s="16" t="str">
        <f t="shared" si="5"/>
        <v/>
      </c>
      <c r="V80" s="16" t="str">
        <f t="shared" si="4"/>
        <v/>
      </c>
    </row>
    <row r="81" spans="17:22" x14ac:dyDescent="0.15">
      <c r="Q81" s="76" t="str">
        <f t="shared" si="3"/>
        <v/>
      </c>
      <c r="T81" s="16" t="str">
        <f t="shared" si="5"/>
        <v/>
      </c>
      <c r="V81" s="16" t="str">
        <f t="shared" si="4"/>
        <v/>
      </c>
    </row>
    <row r="82" spans="17:22" x14ac:dyDescent="0.15">
      <c r="Q82" s="76" t="str">
        <f t="shared" si="3"/>
        <v/>
      </c>
      <c r="T82" s="16" t="str">
        <f t="shared" si="5"/>
        <v/>
      </c>
      <c r="V82" s="16" t="str">
        <f t="shared" si="4"/>
        <v/>
      </c>
    </row>
    <row r="83" spans="17:22" x14ac:dyDescent="0.15">
      <c r="Q83" s="76" t="str">
        <f t="shared" si="3"/>
        <v/>
      </c>
      <c r="T83" s="16" t="str">
        <f t="shared" si="5"/>
        <v/>
      </c>
      <c r="V83" s="16" t="str">
        <f t="shared" si="4"/>
        <v/>
      </c>
    </row>
    <row r="84" spans="17:22" x14ac:dyDescent="0.15">
      <c r="Q84" s="76" t="str">
        <f t="shared" si="3"/>
        <v/>
      </c>
      <c r="T84" s="16" t="str">
        <f t="shared" si="5"/>
        <v/>
      </c>
      <c r="V84" s="16" t="str">
        <f t="shared" si="4"/>
        <v/>
      </c>
    </row>
    <row r="85" spans="17:22" x14ac:dyDescent="0.15">
      <c r="Q85" s="76" t="str">
        <f t="shared" si="3"/>
        <v/>
      </c>
      <c r="T85" s="16" t="str">
        <f t="shared" si="5"/>
        <v/>
      </c>
      <c r="V85" s="16" t="str">
        <f t="shared" si="4"/>
        <v/>
      </c>
    </row>
    <row r="86" spans="17:22" x14ac:dyDescent="0.15">
      <c r="Q86" s="76" t="str">
        <f t="shared" si="3"/>
        <v/>
      </c>
      <c r="T86" s="16" t="str">
        <f t="shared" si="5"/>
        <v/>
      </c>
      <c r="V86" s="16" t="str">
        <f t="shared" si="4"/>
        <v/>
      </c>
    </row>
    <row r="87" spans="17:22" x14ac:dyDescent="0.15">
      <c r="Q87" s="76" t="str">
        <f t="shared" si="3"/>
        <v/>
      </c>
      <c r="T87" s="16" t="str">
        <f t="shared" si="5"/>
        <v/>
      </c>
      <c r="V87" s="16" t="str">
        <f t="shared" si="4"/>
        <v/>
      </c>
    </row>
    <row r="88" spans="17:22" x14ac:dyDescent="0.15">
      <c r="Q88" s="76" t="str">
        <f t="shared" si="3"/>
        <v/>
      </c>
      <c r="T88" s="16" t="str">
        <f t="shared" si="5"/>
        <v/>
      </c>
      <c r="V88" s="16" t="str">
        <f t="shared" si="4"/>
        <v/>
      </c>
    </row>
    <row r="89" spans="17:22" x14ac:dyDescent="0.15">
      <c r="Q89" s="76" t="str">
        <f t="shared" si="3"/>
        <v/>
      </c>
      <c r="T89" s="16" t="str">
        <f t="shared" si="5"/>
        <v/>
      </c>
      <c r="V89" s="16" t="str">
        <f t="shared" si="4"/>
        <v/>
      </c>
    </row>
    <row r="90" spans="17:22" x14ac:dyDescent="0.15">
      <c r="Q90" s="76" t="str">
        <f t="shared" si="3"/>
        <v/>
      </c>
      <c r="T90" s="16" t="str">
        <f t="shared" si="5"/>
        <v/>
      </c>
      <c r="V90" s="16" t="str">
        <f t="shared" si="4"/>
        <v/>
      </c>
    </row>
    <row r="91" spans="17:22" x14ac:dyDescent="0.15">
      <c r="Q91" s="76" t="str">
        <f t="shared" si="3"/>
        <v/>
      </c>
      <c r="T91" s="16" t="str">
        <f t="shared" si="5"/>
        <v/>
      </c>
      <c r="V91" s="16" t="str">
        <f t="shared" si="4"/>
        <v/>
      </c>
    </row>
    <row r="92" spans="17:22" x14ac:dyDescent="0.15">
      <c r="Q92" s="76" t="str">
        <f t="shared" si="3"/>
        <v/>
      </c>
      <c r="T92" s="16" t="str">
        <f t="shared" si="5"/>
        <v/>
      </c>
      <c r="V92" s="16" t="str">
        <f t="shared" si="4"/>
        <v/>
      </c>
    </row>
    <row r="93" spans="17:22" x14ac:dyDescent="0.15">
      <c r="Q93" s="76" t="str">
        <f t="shared" si="3"/>
        <v/>
      </c>
      <c r="T93" s="16" t="str">
        <f t="shared" si="5"/>
        <v/>
      </c>
      <c r="V93" s="16" t="str">
        <f t="shared" si="4"/>
        <v/>
      </c>
    </row>
    <row r="94" spans="17:22" x14ac:dyDescent="0.15">
      <c r="Q94" s="76" t="str">
        <f t="shared" si="3"/>
        <v/>
      </c>
      <c r="T94" s="16" t="str">
        <f t="shared" si="5"/>
        <v/>
      </c>
      <c r="V94" s="16" t="str">
        <f t="shared" si="4"/>
        <v/>
      </c>
    </row>
    <row r="95" spans="17:22" x14ac:dyDescent="0.15">
      <c r="Q95" s="76" t="str">
        <f t="shared" si="3"/>
        <v/>
      </c>
      <c r="T95" s="16" t="str">
        <f t="shared" si="5"/>
        <v/>
      </c>
      <c r="V95" s="16" t="str">
        <f t="shared" si="4"/>
        <v/>
      </c>
    </row>
    <row r="96" spans="17:22" x14ac:dyDescent="0.15">
      <c r="Q96" s="76" t="str">
        <f t="shared" si="3"/>
        <v/>
      </c>
      <c r="T96" s="16" t="str">
        <f t="shared" si="5"/>
        <v/>
      </c>
      <c r="V96" s="16" t="str">
        <f t="shared" si="4"/>
        <v/>
      </c>
    </row>
    <row r="97" spans="17:22" x14ac:dyDescent="0.15">
      <c r="Q97" s="76" t="str">
        <f t="shared" si="3"/>
        <v/>
      </c>
      <c r="T97" s="16" t="str">
        <f t="shared" si="5"/>
        <v/>
      </c>
      <c r="V97" s="16" t="str">
        <f t="shared" si="4"/>
        <v/>
      </c>
    </row>
    <row r="98" spans="17:22" x14ac:dyDescent="0.15">
      <c r="Q98" s="76" t="str">
        <f t="shared" si="3"/>
        <v/>
      </c>
      <c r="T98" s="16" t="str">
        <f t="shared" si="5"/>
        <v/>
      </c>
      <c r="V98" s="16" t="str">
        <f t="shared" si="4"/>
        <v/>
      </c>
    </row>
    <row r="99" spans="17:22" x14ac:dyDescent="0.15">
      <c r="Q99" s="76" t="str">
        <f t="shared" si="3"/>
        <v/>
      </c>
      <c r="T99" s="16" t="str">
        <f t="shared" si="5"/>
        <v/>
      </c>
      <c r="V99" s="16" t="str">
        <f t="shared" si="4"/>
        <v/>
      </c>
    </row>
    <row r="100" spans="17:22" x14ac:dyDescent="0.15">
      <c r="Q100" s="76" t="str">
        <f t="shared" ref="Q100:Q163" si="6">IF(OR(O100="",P100=""),"",AVERAGE(O100,P100))</f>
        <v/>
      </c>
      <c r="T100" s="16" t="str">
        <f t="shared" si="5"/>
        <v/>
      </c>
      <c r="V100" s="16" t="str">
        <f t="shared" si="4"/>
        <v/>
      </c>
    </row>
    <row r="101" spans="17:22" x14ac:dyDescent="0.15">
      <c r="Q101" s="76" t="str">
        <f t="shared" si="6"/>
        <v/>
      </c>
      <c r="T101" s="16" t="str">
        <f t="shared" si="5"/>
        <v/>
      </c>
      <c r="V101" s="16" t="str">
        <f t="shared" si="4"/>
        <v/>
      </c>
    </row>
    <row r="102" spans="17:22" x14ac:dyDescent="0.15">
      <c r="Q102" s="76" t="str">
        <f t="shared" si="6"/>
        <v/>
      </c>
      <c r="T102" s="16" t="str">
        <f t="shared" si="5"/>
        <v/>
      </c>
      <c r="V102" s="16" t="str">
        <f t="shared" si="4"/>
        <v/>
      </c>
    </row>
    <row r="103" spans="17:22" x14ac:dyDescent="0.15">
      <c r="Q103" s="76" t="str">
        <f t="shared" si="6"/>
        <v/>
      </c>
      <c r="T103" s="16" t="str">
        <f t="shared" si="5"/>
        <v/>
      </c>
      <c r="V103" s="16" t="str">
        <f t="shared" si="4"/>
        <v/>
      </c>
    </row>
    <row r="104" spans="17:22" x14ac:dyDescent="0.15">
      <c r="Q104" s="76" t="str">
        <f t="shared" si="6"/>
        <v/>
      </c>
      <c r="T104" s="16" t="str">
        <f t="shared" si="5"/>
        <v/>
      </c>
      <c r="V104" s="16" t="str">
        <f t="shared" si="4"/>
        <v/>
      </c>
    </row>
    <row r="105" spans="17:22" x14ac:dyDescent="0.15">
      <c r="Q105" s="76" t="str">
        <f t="shared" si="6"/>
        <v/>
      </c>
      <c r="T105" s="16" t="str">
        <f t="shared" si="5"/>
        <v/>
      </c>
      <c r="V105" s="16" t="str">
        <f t="shared" si="4"/>
        <v/>
      </c>
    </row>
    <row r="106" spans="17:22" x14ac:dyDescent="0.15">
      <c r="Q106" s="76" t="str">
        <f t="shared" si="6"/>
        <v/>
      </c>
      <c r="T106" s="16" t="str">
        <f t="shared" si="5"/>
        <v/>
      </c>
      <c r="V106" s="16" t="str">
        <f t="shared" si="4"/>
        <v/>
      </c>
    </row>
    <row r="107" spans="17:22" x14ac:dyDescent="0.15">
      <c r="Q107" s="76" t="str">
        <f t="shared" si="6"/>
        <v/>
      </c>
      <c r="T107" s="16" t="str">
        <f t="shared" si="5"/>
        <v/>
      </c>
      <c r="V107" s="16" t="str">
        <f t="shared" si="4"/>
        <v/>
      </c>
    </row>
    <row r="108" spans="17:22" x14ac:dyDescent="0.15">
      <c r="Q108" s="76" t="str">
        <f t="shared" si="6"/>
        <v/>
      </c>
      <c r="T108" s="16" t="str">
        <f t="shared" si="5"/>
        <v/>
      </c>
      <c r="V108" s="16" t="str">
        <f t="shared" si="4"/>
        <v/>
      </c>
    </row>
    <row r="109" spans="17:22" x14ac:dyDescent="0.15">
      <c r="Q109" s="76" t="str">
        <f t="shared" si="6"/>
        <v/>
      </c>
      <c r="T109" s="16" t="str">
        <f t="shared" si="5"/>
        <v/>
      </c>
      <c r="V109" s="16" t="str">
        <f t="shared" si="4"/>
        <v/>
      </c>
    </row>
    <row r="110" spans="17:22" x14ac:dyDescent="0.15">
      <c r="Q110" s="76" t="str">
        <f t="shared" si="6"/>
        <v/>
      </c>
      <c r="T110" s="16" t="str">
        <f t="shared" si="5"/>
        <v/>
      </c>
      <c r="V110" s="16" t="str">
        <f t="shared" si="4"/>
        <v/>
      </c>
    </row>
    <row r="111" spans="17:22" x14ac:dyDescent="0.15">
      <c r="Q111" s="76" t="str">
        <f t="shared" si="6"/>
        <v/>
      </c>
      <c r="T111" s="16" t="str">
        <f t="shared" si="5"/>
        <v/>
      </c>
      <c r="V111" s="16" t="str">
        <f t="shared" ref="V111:V174" si="7">IF(OR(N111="",U111="",T111=""),"",U111/N111*T111)</f>
        <v/>
      </c>
    </row>
    <row r="112" spans="17:22" x14ac:dyDescent="0.15">
      <c r="Q112" s="76" t="str">
        <f t="shared" si="6"/>
        <v/>
      </c>
      <c r="T112" s="16" t="str">
        <f t="shared" si="5"/>
        <v/>
      </c>
      <c r="V112" s="16" t="str">
        <f t="shared" si="7"/>
        <v/>
      </c>
    </row>
    <row r="113" spans="17:22" x14ac:dyDescent="0.15">
      <c r="Q113" s="76" t="str">
        <f t="shared" si="6"/>
        <v/>
      </c>
      <c r="T113" s="16" t="str">
        <f t="shared" si="5"/>
        <v/>
      </c>
      <c r="V113" s="16" t="str">
        <f t="shared" si="7"/>
        <v/>
      </c>
    </row>
    <row r="114" spans="17:22" x14ac:dyDescent="0.15">
      <c r="Q114" s="76" t="str">
        <f t="shared" si="6"/>
        <v/>
      </c>
      <c r="T114" s="16" t="str">
        <f t="shared" si="5"/>
        <v/>
      </c>
      <c r="V114" s="16" t="str">
        <f t="shared" si="7"/>
        <v/>
      </c>
    </row>
    <row r="115" spans="17:22" x14ac:dyDescent="0.15">
      <c r="Q115" s="76" t="str">
        <f t="shared" si="6"/>
        <v/>
      </c>
      <c r="T115" s="16" t="str">
        <f t="shared" si="5"/>
        <v/>
      </c>
      <c r="V115" s="16" t="str">
        <f t="shared" si="7"/>
        <v/>
      </c>
    </row>
    <row r="116" spans="17:22" x14ac:dyDescent="0.15">
      <c r="Q116" s="76" t="str">
        <f t="shared" si="6"/>
        <v/>
      </c>
      <c r="T116" s="16" t="str">
        <f t="shared" si="5"/>
        <v/>
      </c>
      <c r="V116" s="16" t="str">
        <f t="shared" si="7"/>
        <v/>
      </c>
    </row>
    <row r="117" spans="17:22" x14ac:dyDescent="0.15">
      <c r="Q117" s="76" t="str">
        <f t="shared" si="6"/>
        <v/>
      </c>
      <c r="T117" s="16" t="str">
        <f t="shared" si="5"/>
        <v/>
      </c>
      <c r="V117" s="16" t="str">
        <f t="shared" si="7"/>
        <v/>
      </c>
    </row>
    <row r="118" spans="17:22" x14ac:dyDescent="0.15">
      <c r="Q118" s="76" t="str">
        <f t="shared" si="6"/>
        <v/>
      </c>
      <c r="T118" s="16" t="str">
        <f t="shared" si="5"/>
        <v/>
      </c>
      <c r="V118" s="16" t="str">
        <f t="shared" si="7"/>
        <v/>
      </c>
    </row>
    <row r="119" spans="17:22" x14ac:dyDescent="0.15">
      <c r="Q119" s="76" t="str">
        <f t="shared" si="6"/>
        <v/>
      </c>
      <c r="T119" s="16" t="str">
        <f t="shared" si="5"/>
        <v/>
      </c>
      <c r="V119" s="16" t="str">
        <f t="shared" si="7"/>
        <v/>
      </c>
    </row>
    <row r="120" spans="17:22" x14ac:dyDescent="0.15">
      <c r="Q120" s="76" t="str">
        <f t="shared" si="6"/>
        <v/>
      </c>
      <c r="T120" s="16" t="str">
        <f t="shared" si="5"/>
        <v/>
      </c>
      <c r="V120" s="16" t="str">
        <f t="shared" si="7"/>
        <v/>
      </c>
    </row>
    <row r="121" spans="17:22" x14ac:dyDescent="0.15">
      <c r="Q121" s="76" t="str">
        <f t="shared" si="6"/>
        <v/>
      </c>
      <c r="T121" s="16" t="str">
        <f t="shared" si="5"/>
        <v/>
      </c>
      <c r="V121" s="16" t="str">
        <f t="shared" si="7"/>
        <v/>
      </c>
    </row>
    <row r="122" spans="17:22" x14ac:dyDescent="0.15">
      <c r="Q122" s="76" t="str">
        <f t="shared" si="6"/>
        <v/>
      </c>
      <c r="T122" s="16" t="str">
        <f t="shared" si="5"/>
        <v/>
      </c>
      <c r="V122" s="16" t="str">
        <f t="shared" si="7"/>
        <v/>
      </c>
    </row>
    <row r="123" spans="17:22" x14ac:dyDescent="0.15">
      <c r="Q123" s="76" t="str">
        <f t="shared" si="6"/>
        <v/>
      </c>
      <c r="T123" s="16" t="str">
        <f t="shared" si="5"/>
        <v/>
      </c>
      <c r="V123" s="16" t="str">
        <f t="shared" si="7"/>
        <v/>
      </c>
    </row>
    <row r="124" spans="17:22" x14ac:dyDescent="0.15">
      <c r="Q124" s="76" t="str">
        <f t="shared" si="6"/>
        <v/>
      </c>
      <c r="T124" s="16" t="str">
        <f t="shared" si="5"/>
        <v/>
      </c>
      <c r="V124" s="16" t="str">
        <f t="shared" si="7"/>
        <v/>
      </c>
    </row>
    <row r="125" spans="17:22" x14ac:dyDescent="0.15">
      <c r="Q125" s="76" t="str">
        <f t="shared" si="6"/>
        <v/>
      </c>
      <c r="T125" s="16" t="str">
        <f t="shared" si="5"/>
        <v/>
      </c>
      <c r="V125" s="16" t="str">
        <f t="shared" si="7"/>
        <v/>
      </c>
    </row>
    <row r="126" spans="17:22" x14ac:dyDescent="0.15">
      <c r="Q126" s="76" t="str">
        <f t="shared" si="6"/>
        <v/>
      </c>
      <c r="T126" s="16" t="str">
        <f t="shared" si="5"/>
        <v/>
      </c>
      <c r="V126" s="16" t="str">
        <f t="shared" si="7"/>
        <v/>
      </c>
    </row>
    <row r="127" spans="17:22" x14ac:dyDescent="0.15">
      <c r="Q127" s="76" t="str">
        <f t="shared" si="6"/>
        <v/>
      </c>
      <c r="T127" s="16" t="str">
        <f t="shared" si="5"/>
        <v/>
      </c>
      <c r="V127" s="16" t="str">
        <f t="shared" si="7"/>
        <v/>
      </c>
    </row>
    <row r="128" spans="17:22" x14ac:dyDescent="0.15">
      <c r="Q128" s="76" t="str">
        <f t="shared" si="6"/>
        <v/>
      </c>
      <c r="T128" s="16" t="str">
        <f t="shared" si="5"/>
        <v/>
      </c>
      <c r="V128" s="16" t="str">
        <f t="shared" si="7"/>
        <v/>
      </c>
    </row>
    <row r="129" spans="17:22" x14ac:dyDescent="0.15">
      <c r="Q129" s="76" t="str">
        <f t="shared" si="6"/>
        <v/>
      </c>
      <c r="T129" s="16" t="str">
        <f t="shared" si="5"/>
        <v/>
      </c>
      <c r="V129" s="16" t="str">
        <f t="shared" si="7"/>
        <v/>
      </c>
    </row>
    <row r="130" spans="17:22" x14ac:dyDescent="0.15">
      <c r="Q130" s="76" t="str">
        <f t="shared" si="6"/>
        <v/>
      </c>
      <c r="T130" s="16" t="str">
        <f t="shared" ref="T130:T193" si="8">IF(H130="","",IF(OR(H130="GREEN",H130="GK"),IF(S130&gt;=$AX$2,VLOOKUP(S130,$AX$2:$AY$10,2,1),""),IF(S130&gt;=$AZ$2,VLOOKUP(S130,$AZ$2:$BA$10,2,1),"")))</f>
        <v/>
      </c>
      <c r="V130" s="16" t="str">
        <f t="shared" si="7"/>
        <v/>
      </c>
    </row>
    <row r="131" spans="17:22" x14ac:dyDescent="0.15">
      <c r="Q131" s="76" t="str">
        <f t="shared" si="6"/>
        <v/>
      </c>
      <c r="T131" s="16" t="str">
        <f t="shared" si="8"/>
        <v/>
      </c>
      <c r="V131" s="16" t="str">
        <f t="shared" si="7"/>
        <v/>
      </c>
    </row>
    <row r="132" spans="17:22" x14ac:dyDescent="0.15">
      <c r="Q132" s="76" t="str">
        <f t="shared" si="6"/>
        <v/>
      </c>
      <c r="T132" s="16" t="str">
        <f t="shared" si="8"/>
        <v/>
      </c>
      <c r="V132" s="16" t="str">
        <f t="shared" si="7"/>
        <v/>
      </c>
    </row>
    <row r="133" spans="17:22" x14ac:dyDescent="0.15">
      <c r="Q133" s="76" t="str">
        <f t="shared" si="6"/>
        <v/>
      </c>
      <c r="T133" s="16" t="str">
        <f t="shared" si="8"/>
        <v/>
      </c>
      <c r="V133" s="16" t="str">
        <f t="shared" si="7"/>
        <v/>
      </c>
    </row>
    <row r="134" spans="17:22" x14ac:dyDescent="0.15">
      <c r="Q134" s="76" t="str">
        <f t="shared" si="6"/>
        <v/>
      </c>
      <c r="T134" s="16" t="str">
        <f t="shared" si="8"/>
        <v/>
      </c>
      <c r="V134" s="16" t="str">
        <f t="shared" si="7"/>
        <v/>
      </c>
    </row>
    <row r="135" spans="17:22" x14ac:dyDescent="0.15">
      <c r="Q135" s="76" t="str">
        <f t="shared" si="6"/>
        <v/>
      </c>
      <c r="T135" s="16" t="str">
        <f t="shared" si="8"/>
        <v/>
      </c>
      <c r="V135" s="16" t="str">
        <f t="shared" si="7"/>
        <v/>
      </c>
    </row>
    <row r="136" spans="17:22" x14ac:dyDescent="0.15">
      <c r="Q136" s="76" t="str">
        <f t="shared" si="6"/>
        <v/>
      </c>
      <c r="T136" s="16" t="str">
        <f t="shared" si="8"/>
        <v/>
      </c>
      <c r="V136" s="16" t="str">
        <f t="shared" si="7"/>
        <v/>
      </c>
    </row>
    <row r="137" spans="17:22" x14ac:dyDescent="0.15">
      <c r="Q137" s="76" t="str">
        <f t="shared" si="6"/>
        <v/>
      </c>
      <c r="T137" s="16" t="str">
        <f t="shared" si="8"/>
        <v/>
      </c>
      <c r="V137" s="16" t="str">
        <f t="shared" si="7"/>
        <v/>
      </c>
    </row>
    <row r="138" spans="17:22" x14ac:dyDescent="0.15">
      <c r="Q138" s="76" t="str">
        <f t="shared" si="6"/>
        <v/>
      </c>
      <c r="T138" s="16" t="str">
        <f t="shared" si="8"/>
        <v/>
      </c>
      <c r="V138" s="16" t="str">
        <f t="shared" si="7"/>
        <v/>
      </c>
    </row>
    <row r="139" spans="17:22" x14ac:dyDescent="0.15">
      <c r="Q139" s="76" t="str">
        <f t="shared" si="6"/>
        <v/>
      </c>
      <c r="T139" s="16" t="str">
        <f t="shared" si="8"/>
        <v/>
      </c>
      <c r="V139" s="16" t="str">
        <f t="shared" si="7"/>
        <v/>
      </c>
    </row>
    <row r="140" spans="17:22" x14ac:dyDescent="0.15">
      <c r="Q140" s="76" t="str">
        <f t="shared" si="6"/>
        <v/>
      </c>
      <c r="T140" s="16" t="str">
        <f t="shared" si="8"/>
        <v/>
      </c>
      <c r="V140" s="16" t="str">
        <f t="shared" si="7"/>
        <v/>
      </c>
    </row>
    <row r="141" spans="17:22" x14ac:dyDescent="0.15">
      <c r="Q141" s="76" t="str">
        <f t="shared" si="6"/>
        <v/>
      </c>
      <c r="T141" s="16" t="str">
        <f t="shared" si="8"/>
        <v/>
      </c>
      <c r="V141" s="16" t="str">
        <f t="shared" si="7"/>
        <v/>
      </c>
    </row>
    <row r="142" spans="17:22" x14ac:dyDescent="0.15">
      <c r="Q142" s="76" t="str">
        <f t="shared" si="6"/>
        <v/>
      </c>
      <c r="T142" s="16" t="str">
        <f t="shared" si="8"/>
        <v/>
      </c>
      <c r="V142" s="16" t="str">
        <f t="shared" si="7"/>
        <v/>
      </c>
    </row>
    <row r="143" spans="17:22" x14ac:dyDescent="0.15">
      <c r="Q143" s="76" t="str">
        <f t="shared" si="6"/>
        <v/>
      </c>
      <c r="T143" s="16" t="str">
        <f t="shared" si="8"/>
        <v/>
      </c>
      <c r="V143" s="16" t="str">
        <f t="shared" si="7"/>
        <v/>
      </c>
    </row>
    <row r="144" spans="17:22" x14ac:dyDescent="0.15">
      <c r="Q144" s="76" t="str">
        <f t="shared" si="6"/>
        <v/>
      </c>
      <c r="T144" s="16" t="str">
        <f t="shared" si="8"/>
        <v/>
      </c>
      <c r="V144" s="16" t="str">
        <f t="shared" si="7"/>
        <v/>
      </c>
    </row>
    <row r="145" spans="17:22" x14ac:dyDescent="0.15">
      <c r="Q145" s="76" t="str">
        <f t="shared" si="6"/>
        <v/>
      </c>
      <c r="T145" s="16" t="str">
        <f t="shared" si="8"/>
        <v/>
      </c>
      <c r="V145" s="16" t="str">
        <f t="shared" si="7"/>
        <v/>
      </c>
    </row>
    <row r="146" spans="17:22" x14ac:dyDescent="0.15">
      <c r="Q146" s="76" t="str">
        <f t="shared" si="6"/>
        <v/>
      </c>
      <c r="T146" s="16" t="str">
        <f t="shared" si="8"/>
        <v/>
      </c>
      <c r="V146" s="16" t="str">
        <f t="shared" si="7"/>
        <v/>
      </c>
    </row>
    <row r="147" spans="17:22" x14ac:dyDescent="0.15">
      <c r="Q147" s="76" t="str">
        <f t="shared" si="6"/>
        <v/>
      </c>
      <c r="T147" s="16" t="str">
        <f t="shared" si="8"/>
        <v/>
      </c>
      <c r="V147" s="16" t="str">
        <f t="shared" si="7"/>
        <v/>
      </c>
    </row>
    <row r="148" spans="17:22" x14ac:dyDescent="0.15">
      <c r="Q148" s="76" t="str">
        <f t="shared" si="6"/>
        <v/>
      </c>
      <c r="T148" s="16" t="str">
        <f t="shared" si="8"/>
        <v/>
      </c>
      <c r="V148" s="16" t="str">
        <f t="shared" si="7"/>
        <v/>
      </c>
    </row>
    <row r="149" spans="17:22" x14ac:dyDescent="0.15">
      <c r="Q149" s="76" t="str">
        <f t="shared" si="6"/>
        <v/>
      </c>
      <c r="T149" s="16" t="str">
        <f t="shared" si="8"/>
        <v/>
      </c>
      <c r="V149" s="16" t="str">
        <f t="shared" si="7"/>
        <v/>
      </c>
    </row>
    <row r="150" spans="17:22" x14ac:dyDescent="0.15">
      <c r="Q150" s="76" t="str">
        <f t="shared" si="6"/>
        <v/>
      </c>
      <c r="T150" s="16" t="str">
        <f t="shared" si="8"/>
        <v/>
      </c>
      <c r="V150" s="16" t="str">
        <f t="shared" si="7"/>
        <v/>
      </c>
    </row>
    <row r="151" spans="17:22" x14ac:dyDescent="0.15">
      <c r="Q151" s="76" t="str">
        <f t="shared" si="6"/>
        <v/>
      </c>
      <c r="T151" s="16" t="str">
        <f t="shared" si="8"/>
        <v/>
      </c>
      <c r="V151" s="16" t="str">
        <f t="shared" si="7"/>
        <v/>
      </c>
    </row>
    <row r="152" spans="17:22" x14ac:dyDescent="0.15">
      <c r="Q152" s="76" t="str">
        <f t="shared" si="6"/>
        <v/>
      </c>
      <c r="T152" s="16" t="str">
        <f t="shared" si="8"/>
        <v/>
      </c>
      <c r="V152" s="16" t="str">
        <f t="shared" si="7"/>
        <v/>
      </c>
    </row>
    <row r="153" spans="17:22" x14ac:dyDescent="0.15">
      <c r="Q153" s="76" t="str">
        <f t="shared" si="6"/>
        <v/>
      </c>
      <c r="T153" s="16" t="str">
        <f t="shared" si="8"/>
        <v/>
      </c>
      <c r="V153" s="16" t="str">
        <f t="shared" si="7"/>
        <v/>
      </c>
    </row>
    <row r="154" spans="17:22" x14ac:dyDescent="0.15">
      <c r="Q154" s="76" t="str">
        <f t="shared" si="6"/>
        <v/>
      </c>
      <c r="T154" s="16" t="str">
        <f t="shared" si="8"/>
        <v/>
      </c>
      <c r="V154" s="16" t="str">
        <f t="shared" si="7"/>
        <v/>
      </c>
    </row>
    <row r="155" spans="17:22" x14ac:dyDescent="0.15">
      <c r="Q155" s="76" t="str">
        <f t="shared" si="6"/>
        <v/>
      </c>
      <c r="T155" s="16" t="str">
        <f t="shared" si="8"/>
        <v/>
      </c>
      <c r="V155" s="16" t="str">
        <f t="shared" si="7"/>
        <v/>
      </c>
    </row>
    <row r="156" spans="17:22" x14ac:dyDescent="0.15">
      <c r="Q156" s="76" t="str">
        <f t="shared" si="6"/>
        <v/>
      </c>
      <c r="T156" s="16" t="str">
        <f t="shared" si="8"/>
        <v/>
      </c>
      <c r="V156" s="16" t="str">
        <f t="shared" si="7"/>
        <v/>
      </c>
    </row>
    <row r="157" spans="17:22" x14ac:dyDescent="0.15">
      <c r="Q157" s="76" t="str">
        <f t="shared" si="6"/>
        <v/>
      </c>
      <c r="T157" s="16" t="str">
        <f t="shared" si="8"/>
        <v/>
      </c>
      <c r="V157" s="16" t="str">
        <f t="shared" si="7"/>
        <v/>
      </c>
    </row>
    <row r="158" spans="17:22" x14ac:dyDescent="0.15">
      <c r="Q158" s="76" t="str">
        <f t="shared" si="6"/>
        <v/>
      </c>
      <c r="T158" s="16" t="str">
        <f t="shared" si="8"/>
        <v/>
      </c>
      <c r="V158" s="16" t="str">
        <f t="shared" si="7"/>
        <v/>
      </c>
    </row>
    <row r="159" spans="17:22" x14ac:dyDescent="0.15">
      <c r="Q159" s="76" t="str">
        <f t="shared" si="6"/>
        <v/>
      </c>
      <c r="T159" s="16" t="str">
        <f t="shared" si="8"/>
        <v/>
      </c>
      <c r="V159" s="16" t="str">
        <f t="shared" si="7"/>
        <v/>
      </c>
    </row>
    <row r="160" spans="17:22" x14ac:dyDescent="0.15">
      <c r="Q160" s="76" t="str">
        <f t="shared" si="6"/>
        <v/>
      </c>
      <c r="T160" s="16" t="str">
        <f t="shared" si="8"/>
        <v/>
      </c>
      <c r="V160" s="16" t="str">
        <f t="shared" si="7"/>
        <v/>
      </c>
    </row>
    <row r="161" spans="17:22" x14ac:dyDescent="0.15">
      <c r="Q161" s="76" t="str">
        <f t="shared" si="6"/>
        <v/>
      </c>
      <c r="T161" s="16" t="str">
        <f t="shared" si="8"/>
        <v/>
      </c>
      <c r="V161" s="16" t="str">
        <f t="shared" si="7"/>
        <v/>
      </c>
    </row>
    <row r="162" spans="17:22" x14ac:dyDescent="0.15">
      <c r="Q162" s="76" t="str">
        <f t="shared" si="6"/>
        <v/>
      </c>
      <c r="T162" s="16" t="str">
        <f t="shared" si="8"/>
        <v/>
      </c>
      <c r="V162" s="16" t="str">
        <f t="shared" si="7"/>
        <v/>
      </c>
    </row>
    <row r="163" spans="17:22" x14ac:dyDescent="0.15">
      <c r="Q163" s="76" t="str">
        <f t="shared" si="6"/>
        <v/>
      </c>
      <c r="T163" s="16" t="str">
        <f t="shared" si="8"/>
        <v/>
      </c>
      <c r="V163" s="16" t="str">
        <f t="shared" si="7"/>
        <v/>
      </c>
    </row>
    <row r="164" spans="17:22" x14ac:dyDescent="0.15">
      <c r="Q164" s="76" t="str">
        <f t="shared" ref="Q164:Q227" si="9">IF(OR(O164="",P164=""),"",AVERAGE(O164,P164))</f>
        <v/>
      </c>
      <c r="T164" s="16" t="str">
        <f t="shared" si="8"/>
        <v/>
      </c>
      <c r="V164" s="16" t="str">
        <f t="shared" si="7"/>
        <v/>
      </c>
    </row>
    <row r="165" spans="17:22" x14ac:dyDescent="0.15">
      <c r="Q165" s="76" t="str">
        <f t="shared" si="9"/>
        <v/>
      </c>
      <c r="T165" s="16" t="str">
        <f t="shared" si="8"/>
        <v/>
      </c>
      <c r="V165" s="16" t="str">
        <f t="shared" si="7"/>
        <v/>
      </c>
    </row>
    <row r="166" spans="17:22" x14ac:dyDescent="0.15">
      <c r="Q166" s="76" t="str">
        <f t="shared" si="9"/>
        <v/>
      </c>
      <c r="T166" s="16" t="str">
        <f t="shared" si="8"/>
        <v/>
      </c>
      <c r="V166" s="16" t="str">
        <f t="shared" si="7"/>
        <v/>
      </c>
    </row>
    <row r="167" spans="17:22" x14ac:dyDescent="0.15">
      <c r="Q167" s="76" t="str">
        <f t="shared" si="9"/>
        <v/>
      </c>
      <c r="T167" s="16" t="str">
        <f t="shared" si="8"/>
        <v/>
      </c>
      <c r="V167" s="16" t="str">
        <f t="shared" si="7"/>
        <v/>
      </c>
    </row>
    <row r="168" spans="17:22" x14ac:dyDescent="0.15">
      <c r="Q168" s="76" t="str">
        <f t="shared" si="9"/>
        <v/>
      </c>
      <c r="T168" s="16" t="str">
        <f t="shared" si="8"/>
        <v/>
      </c>
      <c r="V168" s="16" t="str">
        <f t="shared" si="7"/>
        <v/>
      </c>
    </row>
    <row r="169" spans="17:22" x14ac:dyDescent="0.15">
      <c r="Q169" s="76" t="str">
        <f t="shared" si="9"/>
        <v/>
      </c>
      <c r="T169" s="16" t="str">
        <f t="shared" si="8"/>
        <v/>
      </c>
      <c r="V169" s="16" t="str">
        <f t="shared" si="7"/>
        <v/>
      </c>
    </row>
    <row r="170" spans="17:22" x14ac:dyDescent="0.15">
      <c r="Q170" s="76" t="str">
        <f t="shared" si="9"/>
        <v/>
      </c>
      <c r="T170" s="16" t="str">
        <f t="shared" si="8"/>
        <v/>
      </c>
      <c r="V170" s="16" t="str">
        <f t="shared" si="7"/>
        <v/>
      </c>
    </row>
    <row r="171" spans="17:22" x14ac:dyDescent="0.15">
      <c r="Q171" s="76" t="str">
        <f t="shared" si="9"/>
        <v/>
      </c>
      <c r="T171" s="16" t="str">
        <f t="shared" si="8"/>
        <v/>
      </c>
      <c r="V171" s="16" t="str">
        <f t="shared" si="7"/>
        <v/>
      </c>
    </row>
    <row r="172" spans="17:22" x14ac:dyDescent="0.15">
      <c r="Q172" s="76" t="str">
        <f t="shared" si="9"/>
        <v/>
      </c>
      <c r="T172" s="16" t="str">
        <f t="shared" si="8"/>
        <v/>
      </c>
      <c r="V172" s="16" t="str">
        <f t="shared" si="7"/>
        <v/>
      </c>
    </row>
    <row r="173" spans="17:22" x14ac:dyDescent="0.15">
      <c r="Q173" s="76" t="str">
        <f t="shared" si="9"/>
        <v/>
      </c>
      <c r="T173" s="16" t="str">
        <f t="shared" si="8"/>
        <v/>
      </c>
      <c r="V173" s="16" t="str">
        <f t="shared" si="7"/>
        <v/>
      </c>
    </row>
    <row r="174" spans="17:22" x14ac:dyDescent="0.15">
      <c r="Q174" s="76" t="str">
        <f t="shared" si="9"/>
        <v/>
      </c>
      <c r="T174" s="16" t="str">
        <f t="shared" si="8"/>
        <v/>
      </c>
      <c r="V174" s="16" t="str">
        <f t="shared" si="7"/>
        <v/>
      </c>
    </row>
    <row r="175" spans="17:22" x14ac:dyDescent="0.15">
      <c r="Q175" s="76" t="str">
        <f t="shared" si="9"/>
        <v/>
      </c>
      <c r="T175" s="16" t="str">
        <f t="shared" si="8"/>
        <v/>
      </c>
      <c r="V175" s="16" t="str">
        <f t="shared" ref="V175:V238" si="10">IF(OR(N175="",U175="",T175=""),"",U175/N175*T175)</f>
        <v/>
      </c>
    </row>
    <row r="176" spans="17:22" x14ac:dyDescent="0.15">
      <c r="Q176" s="76" t="str">
        <f t="shared" si="9"/>
        <v/>
      </c>
      <c r="T176" s="16" t="str">
        <f t="shared" si="8"/>
        <v/>
      </c>
      <c r="V176" s="16" t="str">
        <f t="shared" si="10"/>
        <v/>
      </c>
    </row>
    <row r="177" spans="17:22" x14ac:dyDescent="0.15">
      <c r="Q177" s="76" t="str">
        <f t="shared" si="9"/>
        <v/>
      </c>
      <c r="T177" s="16" t="str">
        <f t="shared" si="8"/>
        <v/>
      </c>
      <c r="V177" s="16" t="str">
        <f t="shared" si="10"/>
        <v/>
      </c>
    </row>
    <row r="178" spans="17:22" x14ac:dyDescent="0.15">
      <c r="Q178" s="76" t="str">
        <f t="shared" si="9"/>
        <v/>
      </c>
      <c r="T178" s="16" t="str">
        <f t="shared" si="8"/>
        <v/>
      </c>
      <c r="V178" s="16" t="str">
        <f t="shared" si="10"/>
        <v/>
      </c>
    </row>
    <row r="179" spans="17:22" x14ac:dyDescent="0.15">
      <c r="Q179" s="76" t="str">
        <f t="shared" si="9"/>
        <v/>
      </c>
      <c r="T179" s="16" t="str">
        <f t="shared" si="8"/>
        <v/>
      </c>
      <c r="V179" s="16" t="str">
        <f t="shared" si="10"/>
        <v/>
      </c>
    </row>
    <row r="180" spans="17:22" x14ac:dyDescent="0.15">
      <c r="Q180" s="76" t="str">
        <f t="shared" si="9"/>
        <v/>
      </c>
      <c r="T180" s="16" t="str">
        <f t="shared" si="8"/>
        <v/>
      </c>
      <c r="V180" s="16" t="str">
        <f t="shared" si="10"/>
        <v/>
      </c>
    </row>
    <row r="181" spans="17:22" x14ac:dyDescent="0.15">
      <c r="Q181" s="76" t="str">
        <f t="shared" si="9"/>
        <v/>
      </c>
      <c r="T181" s="16" t="str">
        <f t="shared" si="8"/>
        <v/>
      </c>
      <c r="V181" s="16" t="str">
        <f t="shared" si="10"/>
        <v/>
      </c>
    </row>
    <row r="182" spans="17:22" x14ac:dyDescent="0.15">
      <c r="Q182" s="76" t="str">
        <f t="shared" si="9"/>
        <v/>
      </c>
      <c r="T182" s="16" t="str">
        <f t="shared" si="8"/>
        <v/>
      </c>
      <c r="V182" s="16" t="str">
        <f t="shared" si="10"/>
        <v/>
      </c>
    </row>
    <row r="183" spans="17:22" x14ac:dyDescent="0.15">
      <c r="Q183" s="76" t="str">
        <f t="shared" si="9"/>
        <v/>
      </c>
      <c r="T183" s="16" t="str">
        <f t="shared" si="8"/>
        <v/>
      </c>
      <c r="V183" s="16" t="str">
        <f t="shared" si="10"/>
        <v/>
      </c>
    </row>
    <row r="184" spans="17:22" x14ac:dyDescent="0.15">
      <c r="Q184" s="76" t="str">
        <f t="shared" si="9"/>
        <v/>
      </c>
      <c r="T184" s="16" t="str">
        <f t="shared" si="8"/>
        <v/>
      </c>
      <c r="V184" s="16" t="str">
        <f t="shared" si="10"/>
        <v/>
      </c>
    </row>
    <row r="185" spans="17:22" x14ac:dyDescent="0.15">
      <c r="Q185" s="76" t="str">
        <f t="shared" si="9"/>
        <v/>
      </c>
      <c r="T185" s="16" t="str">
        <f t="shared" si="8"/>
        <v/>
      </c>
      <c r="V185" s="16" t="str">
        <f t="shared" si="10"/>
        <v/>
      </c>
    </row>
    <row r="186" spans="17:22" x14ac:dyDescent="0.15">
      <c r="Q186" s="76" t="str">
        <f t="shared" si="9"/>
        <v/>
      </c>
      <c r="T186" s="16" t="str">
        <f t="shared" si="8"/>
        <v/>
      </c>
      <c r="V186" s="16" t="str">
        <f t="shared" si="10"/>
        <v/>
      </c>
    </row>
    <row r="187" spans="17:22" x14ac:dyDescent="0.15">
      <c r="Q187" s="76" t="str">
        <f t="shared" si="9"/>
        <v/>
      </c>
      <c r="T187" s="16" t="str">
        <f t="shared" si="8"/>
        <v/>
      </c>
      <c r="V187" s="16" t="str">
        <f t="shared" si="10"/>
        <v/>
      </c>
    </row>
    <row r="188" spans="17:22" x14ac:dyDescent="0.15">
      <c r="Q188" s="76" t="str">
        <f t="shared" si="9"/>
        <v/>
      </c>
      <c r="T188" s="16" t="str">
        <f t="shared" si="8"/>
        <v/>
      </c>
      <c r="V188" s="16" t="str">
        <f t="shared" si="10"/>
        <v/>
      </c>
    </row>
    <row r="189" spans="17:22" x14ac:dyDescent="0.15">
      <c r="Q189" s="76" t="str">
        <f t="shared" si="9"/>
        <v/>
      </c>
      <c r="T189" s="16" t="str">
        <f t="shared" si="8"/>
        <v/>
      </c>
      <c r="V189" s="16" t="str">
        <f t="shared" si="10"/>
        <v/>
      </c>
    </row>
    <row r="190" spans="17:22" x14ac:dyDescent="0.15">
      <c r="Q190" s="76" t="str">
        <f t="shared" si="9"/>
        <v/>
      </c>
      <c r="T190" s="16" t="str">
        <f t="shared" si="8"/>
        <v/>
      </c>
      <c r="V190" s="16" t="str">
        <f t="shared" si="10"/>
        <v/>
      </c>
    </row>
    <row r="191" spans="17:22" x14ac:dyDescent="0.15">
      <c r="Q191" s="76" t="str">
        <f t="shared" si="9"/>
        <v/>
      </c>
      <c r="T191" s="16" t="str">
        <f t="shared" si="8"/>
        <v/>
      </c>
      <c r="V191" s="16" t="str">
        <f t="shared" si="10"/>
        <v/>
      </c>
    </row>
    <row r="192" spans="17:22" x14ac:dyDescent="0.15">
      <c r="Q192" s="76" t="str">
        <f t="shared" si="9"/>
        <v/>
      </c>
      <c r="T192" s="16" t="str">
        <f t="shared" si="8"/>
        <v/>
      </c>
      <c r="V192" s="16" t="str">
        <f t="shared" si="10"/>
        <v/>
      </c>
    </row>
    <row r="193" spans="17:22" x14ac:dyDescent="0.15">
      <c r="Q193" s="76" t="str">
        <f t="shared" si="9"/>
        <v/>
      </c>
      <c r="T193" s="16" t="str">
        <f t="shared" si="8"/>
        <v/>
      </c>
      <c r="V193" s="16" t="str">
        <f t="shared" si="10"/>
        <v/>
      </c>
    </row>
    <row r="194" spans="17:22" x14ac:dyDescent="0.15">
      <c r="Q194" s="76" t="str">
        <f t="shared" si="9"/>
        <v/>
      </c>
      <c r="T194" s="16" t="str">
        <f t="shared" ref="T194:T257" si="11">IF(H194="","",IF(OR(H194="GREEN",H194="GK"),IF(S194&gt;=$AX$2,VLOOKUP(S194,$AX$2:$AY$10,2,1),""),IF(S194&gt;=$AZ$2,VLOOKUP(S194,$AZ$2:$BA$10,2,1),"")))</f>
        <v/>
      </c>
      <c r="V194" s="16" t="str">
        <f t="shared" si="10"/>
        <v/>
      </c>
    </row>
    <row r="195" spans="17:22" x14ac:dyDescent="0.15">
      <c r="Q195" s="76" t="str">
        <f t="shared" si="9"/>
        <v/>
      </c>
      <c r="T195" s="16" t="str">
        <f t="shared" si="11"/>
        <v/>
      </c>
      <c r="V195" s="16" t="str">
        <f t="shared" si="10"/>
        <v/>
      </c>
    </row>
    <row r="196" spans="17:22" x14ac:dyDescent="0.15">
      <c r="Q196" s="76" t="str">
        <f t="shared" si="9"/>
        <v/>
      </c>
      <c r="T196" s="16" t="str">
        <f t="shared" si="11"/>
        <v/>
      </c>
      <c r="V196" s="16" t="str">
        <f t="shared" si="10"/>
        <v/>
      </c>
    </row>
    <row r="197" spans="17:22" x14ac:dyDescent="0.15">
      <c r="Q197" s="76" t="str">
        <f t="shared" si="9"/>
        <v/>
      </c>
      <c r="T197" s="16" t="str">
        <f t="shared" si="11"/>
        <v/>
      </c>
      <c r="V197" s="16" t="str">
        <f t="shared" si="10"/>
        <v/>
      </c>
    </row>
    <row r="198" spans="17:22" x14ac:dyDescent="0.15">
      <c r="Q198" s="76" t="str">
        <f t="shared" si="9"/>
        <v/>
      </c>
      <c r="T198" s="16" t="str">
        <f t="shared" si="11"/>
        <v/>
      </c>
      <c r="V198" s="16" t="str">
        <f t="shared" si="10"/>
        <v/>
      </c>
    </row>
    <row r="199" spans="17:22" x14ac:dyDescent="0.15">
      <c r="Q199" s="76" t="str">
        <f t="shared" si="9"/>
        <v/>
      </c>
      <c r="T199" s="16" t="str">
        <f t="shared" si="11"/>
        <v/>
      </c>
      <c r="V199" s="16" t="str">
        <f t="shared" si="10"/>
        <v/>
      </c>
    </row>
    <row r="200" spans="17:22" x14ac:dyDescent="0.15">
      <c r="Q200" s="76" t="str">
        <f t="shared" si="9"/>
        <v/>
      </c>
      <c r="T200" s="16" t="str">
        <f t="shared" si="11"/>
        <v/>
      </c>
      <c r="V200" s="16" t="str">
        <f t="shared" si="10"/>
        <v/>
      </c>
    </row>
    <row r="201" spans="17:22" x14ac:dyDescent="0.15">
      <c r="Q201" s="76" t="str">
        <f t="shared" si="9"/>
        <v/>
      </c>
      <c r="T201" s="16" t="str">
        <f t="shared" si="11"/>
        <v/>
      </c>
      <c r="V201" s="16" t="str">
        <f t="shared" si="10"/>
        <v/>
      </c>
    </row>
    <row r="202" spans="17:22" x14ac:dyDescent="0.15">
      <c r="Q202" s="76" t="str">
        <f t="shared" si="9"/>
        <v/>
      </c>
      <c r="T202" s="16" t="str">
        <f t="shared" si="11"/>
        <v/>
      </c>
      <c r="V202" s="16" t="str">
        <f t="shared" si="10"/>
        <v/>
      </c>
    </row>
    <row r="203" spans="17:22" x14ac:dyDescent="0.15">
      <c r="Q203" s="76" t="str">
        <f t="shared" si="9"/>
        <v/>
      </c>
      <c r="T203" s="16" t="str">
        <f t="shared" si="11"/>
        <v/>
      </c>
      <c r="V203" s="16" t="str">
        <f t="shared" si="10"/>
        <v/>
      </c>
    </row>
    <row r="204" spans="17:22" x14ac:dyDescent="0.15">
      <c r="Q204" s="76" t="str">
        <f t="shared" si="9"/>
        <v/>
      </c>
      <c r="T204" s="16" t="str">
        <f t="shared" si="11"/>
        <v/>
      </c>
      <c r="V204" s="16" t="str">
        <f t="shared" si="10"/>
        <v/>
      </c>
    </row>
    <row r="205" spans="17:22" x14ac:dyDescent="0.15">
      <c r="Q205" s="76" t="str">
        <f t="shared" si="9"/>
        <v/>
      </c>
      <c r="T205" s="16" t="str">
        <f t="shared" si="11"/>
        <v/>
      </c>
      <c r="V205" s="16" t="str">
        <f t="shared" si="10"/>
        <v/>
      </c>
    </row>
    <row r="206" spans="17:22" x14ac:dyDescent="0.15">
      <c r="Q206" s="76" t="str">
        <f t="shared" si="9"/>
        <v/>
      </c>
      <c r="T206" s="16" t="str">
        <f t="shared" si="11"/>
        <v/>
      </c>
      <c r="V206" s="16" t="str">
        <f t="shared" si="10"/>
        <v/>
      </c>
    </row>
    <row r="207" spans="17:22" x14ac:dyDescent="0.15">
      <c r="Q207" s="76" t="str">
        <f t="shared" si="9"/>
        <v/>
      </c>
      <c r="T207" s="16" t="str">
        <f t="shared" si="11"/>
        <v/>
      </c>
      <c r="V207" s="16" t="str">
        <f t="shared" si="10"/>
        <v/>
      </c>
    </row>
    <row r="208" spans="17:22" x14ac:dyDescent="0.15">
      <c r="Q208" s="76" t="str">
        <f t="shared" si="9"/>
        <v/>
      </c>
      <c r="T208" s="16" t="str">
        <f t="shared" si="11"/>
        <v/>
      </c>
      <c r="V208" s="16" t="str">
        <f t="shared" si="10"/>
        <v/>
      </c>
    </row>
    <row r="209" spans="17:22" x14ac:dyDescent="0.15">
      <c r="Q209" s="76" t="str">
        <f t="shared" si="9"/>
        <v/>
      </c>
      <c r="T209" s="16" t="str">
        <f t="shared" si="11"/>
        <v/>
      </c>
      <c r="V209" s="16" t="str">
        <f t="shared" si="10"/>
        <v/>
      </c>
    </row>
    <row r="210" spans="17:22" x14ac:dyDescent="0.15">
      <c r="Q210" s="76" t="str">
        <f t="shared" si="9"/>
        <v/>
      </c>
      <c r="T210" s="16" t="str">
        <f t="shared" si="11"/>
        <v/>
      </c>
      <c r="V210" s="16" t="str">
        <f t="shared" si="10"/>
        <v/>
      </c>
    </row>
    <row r="211" spans="17:22" x14ac:dyDescent="0.15">
      <c r="Q211" s="76" t="str">
        <f t="shared" si="9"/>
        <v/>
      </c>
      <c r="T211" s="16" t="str">
        <f t="shared" si="11"/>
        <v/>
      </c>
      <c r="V211" s="16" t="str">
        <f t="shared" si="10"/>
        <v/>
      </c>
    </row>
    <row r="212" spans="17:22" x14ac:dyDescent="0.15">
      <c r="Q212" s="76" t="str">
        <f t="shared" si="9"/>
        <v/>
      </c>
      <c r="T212" s="16" t="str">
        <f t="shared" si="11"/>
        <v/>
      </c>
      <c r="V212" s="16" t="str">
        <f t="shared" si="10"/>
        <v/>
      </c>
    </row>
    <row r="213" spans="17:22" x14ac:dyDescent="0.15">
      <c r="Q213" s="76" t="str">
        <f t="shared" si="9"/>
        <v/>
      </c>
      <c r="T213" s="16" t="str">
        <f t="shared" si="11"/>
        <v/>
      </c>
      <c r="V213" s="16" t="str">
        <f t="shared" si="10"/>
        <v/>
      </c>
    </row>
    <row r="214" spans="17:22" x14ac:dyDescent="0.15">
      <c r="Q214" s="76" t="str">
        <f t="shared" si="9"/>
        <v/>
      </c>
      <c r="T214" s="16" t="str">
        <f t="shared" si="11"/>
        <v/>
      </c>
      <c r="V214" s="16" t="str">
        <f t="shared" si="10"/>
        <v/>
      </c>
    </row>
    <row r="215" spans="17:22" x14ac:dyDescent="0.15">
      <c r="Q215" s="76" t="str">
        <f t="shared" si="9"/>
        <v/>
      </c>
      <c r="T215" s="16" t="str">
        <f t="shared" si="11"/>
        <v/>
      </c>
      <c r="V215" s="16" t="str">
        <f t="shared" si="10"/>
        <v/>
      </c>
    </row>
    <row r="216" spans="17:22" x14ac:dyDescent="0.15">
      <c r="Q216" s="76" t="str">
        <f t="shared" si="9"/>
        <v/>
      </c>
      <c r="T216" s="16" t="str">
        <f t="shared" si="11"/>
        <v/>
      </c>
      <c r="V216" s="16" t="str">
        <f t="shared" si="10"/>
        <v/>
      </c>
    </row>
    <row r="217" spans="17:22" x14ac:dyDescent="0.15">
      <c r="Q217" s="76" t="str">
        <f t="shared" si="9"/>
        <v/>
      </c>
      <c r="T217" s="16" t="str">
        <f t="shared" si="11"/>
        <v/>
      </c>
      <c r="V217" s="16" t="str">
        <f t="shared" si="10"/>
        <v/>
      </c>
    </row>
    <row r="218" spans="17:22" x14ac:dyDescent="0.15">
      <c r="Q218" s="76" t="str">
        <f t="shared" si="9"/>
        <v/>
      </c>
      <c r="T218" s="16" t="str">
        <f t="shared" si="11"/>
        <v/>
      </c>
      <c r="V218" s="16" t="str">
        <f t="shared" si="10"/>
        <v/>
      </c>
    </row>
    <row r="219" spans="17:22" x14ac:dyDescent="0.15">
      <c r="Q219" s="76" t="str">
        <f t="shared" si="9"/>
        <v/>
      </c>
      <c r="T219" s="16" t="str">
        <f t="shared" si="11"/>
        <v/>
      </c>
      <c r="V219" s="16" t="str">
        <f t="shared" si="10"/>
        <v/>
      </c>
    </row>
    <row r="220" spans="17:22" x14ac:dyDescent="0.15">
      <c r="Q220" s="76" t="str">
        <f t="shared" si="9"/>
        <v/>
      </c>
      <c r="T220" s="16" t="str">
        <f t="shared" si="11"/>
        <v/>
      </c>
      <c r="V220" s="16" t="str">
        <f t="shared" si="10"/>
        <v/>
      </c>
    </row>
    <row r="221" spans="17:22" x14ac:dyDescent="0.15">
      <c r="Q221" s="76" t="str">
        <f t="shared" si="9"/>
        <v/>
      </c>
      <c r="T221" s="16" t="str">
        <f t="shared" si="11"/>
        <v/>
      </c>
      <c r="V221" s="16" t="str">
        <f t="shared" si="10"/>
        <v/>
      </c>
    </row>
    <row r="222" spans="17:22" x14ac:dyDescent="0.15">
      <c r="Q222" s="76" t="str">
        <f t="shared" si="9"/>
        <v/>
      </c>
      <c r="T222" s="16" t="str">
        <f t="shared" si="11"/>
        <v/>
      </c>
      <c r="V222" s="16" t="str">
        <f t="shared" si="10"/>
        <v/>
      </c>
    </row>
    <row r="223" spans="17:22" x14ac:dyDescent="0.15">
      <c r="Q223" s="76" t="str">
        <f t="shared" si="9"/>
        <v/>
      </c>
      <c r="T223" s="16" t="str">
        <f t="shared" si="11"/>
        <v/>
      </c>
      <c r="V223" s="16" t="str">
        <f t="shared" si="10"/>
        <v/>
      </c>
    </row>
    <row r="224" spans="17:22" x14ac:dyDescent="0.15">
      <c r="Q224" s="76" t="str">
        <f t="shared" si="9"/>
        <v/>
      </c>
      <c r="T224" s="16" t="str">
        <f t="shared" si="11"/>
        <v/>
      </c>
      <c r="V224" s="16" t="str">
        <f t="shared" si="10"/>
        <v/>
      </c>
    </row>
    <row r="225" spans="17:22" x14ac:dyDescent="0.15">
      <c r="Q225" s="76" t="str">
        <f t="shared" si="9"/>
        <v/>
      </c>
      <c r="T225" s="16" t="str">
        <f t="shared" si="11"/>
        <v/>
      </c>
      <c r="V225" s="16" t="str">
        <f t="shared" si="10"/>
        <v/>
      </c>
    </row>
    <row r="226" spans="17:22" x14ac:dyDescent="0.15">
      <c r="Q226" s="76" t="str">
        <f t="shared" si="9"/>
        <v/>
      </c>
      <c r="T226" s="16" t="str">
        <f t="shared" si="11"/>
        <v/>
      </c>
      <c r="V226" s="16" t="str">
        <f t="shared" si="10"/>
        <v/>
      </c>
    </row>
    <row r="227" spans="17:22" x14ac:dyDescent="0.15">
      <c r="Q227" s="76" t="str">
        <f t="shared" si="9"/>
        <v/>
      </c>
      <c r="T227" s="16" t="str">
        <f t="shared" si="11"/>
        <v/>
      </c>
      <c r="V227" s="16" t="str">
        <f t="shared" si="10"/>
        <v/>
      </c>
    </row>
    <row r="228" spans="17:22" x14ac:dyDescent="0.15">
      <c r="Q228" s="76" t="str">
        <f t="shared" ref="Q228:Q286" si="12">IF(OR(O228="",P228=""),"",AVERAGE(O228,P228))</f>
        <v/>
      </c>
      <c r="T228" s="16" t="str">
        <f t="shared" si="11"/>
        <v/>
      </c>
      <c r="V228" s="16" t="str">
        <f t="shared" si="10"/>
        <v/>
      </c>
    </row>
    <row r="229" spans="17:22" x14ac:dyDescent="0.15">
      <c r="Q229" s="76" t="str">
        <f t="shared" si="12"/>
        <v/>
      </c>
      <c r="T229" s="16" t="str">
        <f t="shared" si="11"/>
        <v/>
      </c>
      <c r="V229" s="16" t="str">
        <f t="shared" si="10"/>
        <v/>
      </c>
    </row>
    <row r="230" spans="17:22" x14ac:dyDescent="0.15">
      <c r="Q230" s="76" t="str">
        <f t="shared" si="12"/>
        <v/>
      </c>
      <c r="T230" s="16" t="str">
        <f t="shared" si="11"/>
        <v/>
      </c>
      <c r="V230" s="16" t="str">
        <f t="shared" si="10"/>
        <v/>
      </c>
    </row>
    <row r="231" spans="17:22" x14ac:dyDescent="0.15">
      <c r="Q231" s="76" t="str">
        <f t="shared" si="12"/>
        <v/>
      </c>
      <c r="T231" s="16" t="str">
        <f t="shared" si="11"/>
        <v/>
      </c>
      <c r="V231" s="16" t="str">
        <f t="shared" si="10"/>
        <v/>
      </c>
    </row>
    <row r="232" spans="17:22" x14ac:dyDescent="0.15">
      <c r="Q232" s="76" t="str">
        <f t="shared" si="12"/>
        <v/>
      </c>
      <c r="T232" s="16" t="str">
        <f t="shared" si="11"/>
        <v/>
      </c>
      <c r="V232" s="16" t="str">
        <f t="shared" si="10"/>
        <v/>
      </c>
    </row>
    <row r="233" spans="17:22" x14ac:dyDescent="0.15">
      <c r="Q233" s="76" t="str">
        <f t="shared" si="12"/>
        <v/>
      </c>
      <c r="T233" s="16" t="str">
        <f t="shared" si="11"/>
        <v/>
      </c>
      <c r="V233" s="16" t="str">
        <f t="shared" si="10"/>
        <v/>
      </c>
    </row>
    <row r="234" spans="17:22" x14ac:dyDescent="0.15">
      <c r="Q234" s="76" t="str">
        <f t="shared" si="12"/>
        <v/>
      </c>
      <c r="T234" s="16" t="str">
        <f t="shared" si="11"/>
        <v/>
      </c>
      <c r="V234" s="16" t="str">
        <f t="shared" si="10"/>
        <v/>
      </c>
    </row>
    <row r="235" spans="17:22" x14ac:dyDescent="0.15">
      <c r="Q235" s="76" t="str">
        <f t="shared" si="12"/>
        <v/>
      </c>
      <c r="T235" s="16" t="str">
        <f t="shared" si="11"/>
        <v/>
      </c>
      <c r="V235" s="16" t="str">
        <f t="shared" si="10"/>
        <v/>
      </c>
    </row>
    <row r="236" spans="17:22" x14ac:dyDescent="0.15">
      <c r="Q236" s="76" t="str">
        <f t="shared" si="12"/>
        <v/>
      </c>
      <c r="T236" s="16" t="str">
        <f t="shared" si="11"/>
        <v/>
      </c>
      <c r="V236" s="16" t="str">
        <f t="shared" si="10"/>
        <v/>
      </c>
    </row>
    <row r="237" spans="17:22" x14ac:dyDescent="0.15">
      <c r="Q237" s="76" t="str">
        <f t="shared" si="12"/>
        <v/>
      </c>
      <c r="T237" s="16" t="str">
        <f t="shared" si="11"/>
        <v/>
      </c>
      <c r="V237" s="16" t="str">
        <f t="shared" si="10"/>
        <v/>
      </c>
    </row>
    <row r="238" spans="17:22" x14ac:dyDescent="0.15">
      <c r="Q238" s="76" t="str">
        <f t="shared" si="12"/>
        <v/>
      </c>
      <c r="T238" s="16" t="str">
        <f t="shared" si="11"/>
        <v/>
      </c>
      <c r="V238" s="16" t="str">
        <f t="shared" si="10"/>
        <v/>
      </c>
    </row>
    <row r="239" spans="17:22" x14ac:dyDescent="0.15">
      <c r="Q239" s="76" t="str">
        <f t="shared" si="12"/>
        <v/>
      </c>
      <c r="T239" s="16" t="str">
        <f t="shared" si="11"/>
        <v/>
      </c>
      <c r="V239" s="16" t="str">
        <f t="shared" ref="V239:V302" si="13">IF(OR(N239="",U239="",T239=""),"",U239/N239*T239)</f>
        <v/>
      </c>
    </row>
    <row r="240" spans="17:22" x14ac:dyDescent="0.15">
      <c r="Q240" s="76" t="str">
        <f t="shared" si="12"/>
        <v/>
      </c>
      <c r="T240" s="16" t="str">
        <f t="shared" si="11"/>
        <v/>
      </c>
      <c r="V240" s="16" t="str">
        <f t="shared" si="13"/>
        <v/>
      </c>
    </row>
    <row r="241" spans="20:22" x14ac:dyDescent="0.15">
      <c r="T241" s="16" t="str">
        <f t="shared" si="11"/>
        <v/>
      </c>
      <c r="V241" s="16" t="str">
        <f t="shared" si="13"/>
        <v/>
      </c>
    </row>
    <row r="242" spans="20:22" x14ac:dyDescent="0.15">
      <c r="T242" s="16" t="str">
        <f t="shared" si="11"/>
        <v/>
      </c>
      <c r="V242" s="16" t="str">
        <f t="shared" si="13"/>
        <v/>
      </c>
    </row>
    <row r="243" spans="20:22" x14ac:dyDescent="0.15">
      <c r="T243" s="16" t="str">
        <f t="shared" si="11"/>
        <v/>
      </c>
      <c r="V243" s="16" t="str">
        <f t="shared" si="13"/>
        <v/>
      </c>
    </row>
    <row r="244" spans="20:22" x14ac:dyDescent="0.15">
      <c r="T244" s="16" t="str">
        <f t="shared" si="11"/>
        <v/>
      </c>
      <c r="V244" s="16" t="str">
        <f t="shared" si="13"/>
        <v/>
      </c>
    </row>
    <row r="245" spans="20:22" x14ac:dyDescent="0.15">
      <c r="T245" s="16" t="str">
        <f t="shared" si="11"/>
        <v/>
      </c>
      <c r="V245" s="16" t="str">
        <f t="shared" si="13"/>
        <v/>
      </c>
    </row>
    <row r="246" spans="20:22" x14ac:dyDescent="0.15">
      <c r="T246" s="16" t="str">
        <f t="shared" si="11"/>
        <v/>
      </c>
      <c r="V246" s="16" t="str">
        <f t="shared" si="13"/>
        <v/>
      </c>
    </row>
    <row r="247" spans="20:22" x14ac:dyDescent="0.15">
      <c r="T247" s="16" t="str">
        <f t="shared" si="11"/>
        <v/>
      </c>
      <c r="V247" s="16" t="str">
        <f t="shared" si="13"/>
        <v/>
      </c>
    </row>
    <row r="248" spans="20:22" x14ac:dyDescent="0.15">
      <c r="T248" s="16" t="str">
        <f t="shared" si="11"/>
        <v/>
      </c>
      <c r="V248" s="16" t="str">
        <f t="shared" si="13"/>
        <v/>
      </c>
    </row>
    <row r="249" spans="20:22" x14ac:dyDescent="0.15">
      <c r="T249" s="16" t="str">
        <f t="shared" si="11"/>
        <v/>
      </c>
    </row>
    <row r="250" spans="20:22" x14ac:dyDescent="0.15">
      <c r="T250" s="16" t="str">
        <f t="shared" si="11"/>
        <v/>
      </c>
    </row>
    <row r="251" spans="20:22" x14ac:dyDescent="0.15">
      <c r="T251" s="16" t="str">
        <f t="shared" si="11"/>
        <v/>
      </c>
    </row>
    <row r="252" spans="20:22" x14ac:dyDescent="0.15">
      <c r="T252" s="16" t="str">
        <f t="shared" si="11"/>
        <v/>
      </c>
    </row>
    <row r="253" spans="20:22" x14ac:dyDescent="0.15">
      <c r="T253" s="16" t="str">
        <f t="shared" si="11"/>
        <v/>
      </c>
    </row>
    <row r="254" spans="20:22" x14ac:dyDescent="0.15">
      <c r="T254" s="16" t="str">
        <f t="shared" si="11"/>
        <v/>
      </c>
    </row>
    <row r="255" spans="20:22" x14ac:dyDescent="0.15">
      <c r="T255" s="16" t="str">
        <f t="shared" si="11"/>
        <v/>
      </c>
    </row>
    <row r="256" spans="20:22" x14ac:dyDescent="0.15">
      <c r="T256" s="16" t="str">
        <f t="shared" si="11"/>
        <v/>
      </c>
    </row>
    <row r="257" spans="20:20" x14ac:dyDescent="0.15">
      <c r="T257" s="16" t="str">
        <f t="shared" si="11"/>
        <v/>
      </c>
    </row>
    <row r="258" spans="20:20" x14ac:dyDescent="0.15">
      <c r="T258" s="16" t="str">
        <f t="shared" ref="T258:T316" si="14">IF(H258="","",IF(OR(H258="GREEN",H258="GK"),IF(S258&gt;=$AX$2,VLOOKUP(S258,$AX$2:$AY$10,2,1),""),IF(S258&gt;=$AZ$2,VLOOKUP(S258,$AZ$2:$BA$10,2,1),"")))</f>
        <v/>
      </c>
    </row>
    <row r="259" spans="20:20" x14ac:dyDescent="0.15">
      <c r="T259" s="16" t="str">
        <f t="shared" si="14"/>
        <v/>
      </c>
    </row>
    <row r="260" spans="20:20" x14ac:dyDescent="0.15">
      <c r="T260" s="16" t="str">
        <f t="shared" si="14"/>
        <v/>
      </c>
    </row>
    <row r="261" spans="20:20" x14ac:dyDescent="0.15">
      <c r="T261" s="16" t="str">
        <f t="shared" si="14"/>
        <v/>
      </c>
    </row>
    <row r="262" spans="20:20" x14ac:dyDescent="0.15">
      <c r="T262" s="16" t="str">
        <f t="shared" si="14"/>
        <v/>
      </c>
    </row>
    <row r="263" spans="20:20" x14ac:dyDescent="0.15">
      <c r="T263" s="16" t="str">
        <f t="shared" si="14"/>
        <v/>
      </c>
    </row>
    <row r="264" spans="20:20" x14ac:dyDescent="0.15">
      <c r="T264" s="16" t="str">
        <f t="shared" si="14"/>
        <v/>
      </c>
    </row>
    <row r="265" spans="20:20" x14ac:dyDescent="0.15">
      <c r="T265" s="16" t="str">
        <f t="shared" si="14"/>
        <v/>
      </c>
    </row>
    <row r="266" spans="20:20" x14ac:dyDescent="0.15">
      <c r="T266" s="16" t="str">
        <f t="shared" si="14"/>
        <v/>
      </c>
    </row>
    <row r="267" spans="20:20" x14ac:dyDescent="0.15">
      <c r="T267" s="16" t="str">
        <f t="shared" si="14"/>
        <v/>
      </c>
    </row>
    <row r="268" spans="20:20" x14ac:dyDescent="0.15">
      <c r="T268" s="16" t="str">
        <f t="shared" si="14"/>
        <v/>
      </c>
    </row>
  </sheetData>
  <autoFilter ref="A1:BA268" xr:uid="{00000000-0009-0000-0000-000001000000}"/>
  <phoneticPr fontId="3"/>
  <dataValidations count="14">
    <dataValidation type="list" allowBlank="1" showInputMessage="1" showErrorMessage="1" sqref="X2:X224" xr:uid="{C74812BA-4227-4B95-AECD-70EF2A8B214F}">
      <formula1>$AT$2:$AT$3</formula1>
    </dataValidation>
    <dataValidation type="decimal" allowBlank="1" showInputMessage="1" showErrorMessage="1" error="硬度を正しく入力して下さい。" sqref="O2:P224" xr:uid="{1ABC92AB-ABCC-422B-8D32-A9CE876C84BA}">
      <formula1>0</formula1>
      <formula2>7</formula2>
    </dataValidation>
    <dataValidation type="list" allowBlank="1" showInputMessage="1" showErrorMessage="1" sqref="I2:I224" xr:uid="{EE184AEE-C054-4E2B-855F-1D3B1FD0A70F}">
      <formula1>$AN$5:$AN$6</formula1>
    </dataValidation>
    <dataValidation type="list" allowBlank="1" showInputMessage="1" showErrorMessage="1" sqref="G2:G224" xr:uid="{FB2EE26F-216F-4E69-B57E-097C61FC5FA1}">
      <formula1>$AJ$2:$AJ$4</formula1>
    </dataValidation>
    <dataValidation type="list" allowBlank="1" showInputMessage="1" showErrorMessage="1" sqref="F1:F65378" xr:uid="{A830BD38-DEE0-4069-8EE1-5FB346AD6F44}">
      <formula1>$AH$2:$AH$11</formula1>
    </dataValidation>
    <dataValidation type="list" allowBlank="1" showInputMessage="1" showErrorMessage="1" sqref="J2:J224" xr:uid="{3BADAF20-D8BB-4BBD-9E15-84D8E8DF5970}">
      <formula1>$AP$2:$AP$19</formula1>
    </dataValidation>
    <dataValidation allowBlank="1" showInputMessage="1" showErrorMessage="1" sqref="B2:B58" xr:uid="{7E8CED1D-C5F6-41C2-93D6-8120B35DFCD1}"/>
    <dataValidation type="list" allowBlank="1" showInputMessage="1" showErrorMessage="1" sqref="E1:E65378" xr:uid="{FE04B77E-0AA4-436F-BAB5-3AEB7E261246}">
      <formula1>$AG$2:$AG$11</formula1>
    </dataValidation>
    <dataValidation type="list" allowBlank="1" showInputMessage="1" showErrorMessage="1" sqref="H2:H224" xr:uid="{07B2EE0C-CEE7-453C-9818-78212960115C}">
      <formula1>$AL$2:$AL$8</formula1>
    </dataValidation>
    <dataValidation type="list" allowBlank="1" showInputMessage="1" showErrorMessage="1" sqref="Y2:AA58" xr:uid="{AEE733AE-7896-4F91-A2B5-C7DA3002727F}">
      <formula1>$AV$2:$AV$23</formula1>
    </dataValidation>
    <dataValidation type="list" allowBlank="1" showInputMessage="1" showErrorMessage="1" sqref="K2:K58" xr:uid="{3B1870F7-1971-487C-9281-C1548B507F70}">
      <formula1>$AR$2:$AR$23</formula1>
    </dataValidation>
    <dataValidation type="list" allowBlank="1" showInputMessage="1" showErrorMessage="1" sqref="A2:A224" xr:uid="{26011FB1-0E55-41F6-965C-23EAAC46F2F6}">
      <formula1>$AE$2:$AE$16</formula1>
    </dataValidation>
    <dataValidation type="list" allowBlank="1" showInputMessage="1" showErrorMessage="1" sqref="Y59:AA224" xr:uid="{BB6BABCC-4488-49F5-992B-0F8CF1C1F7BC}">
      <formula1>$AV$2:$AV$16</formula1>
    </dataValidation>
    <dataValidation type="list" allowBlank="1" showInputMessage="1" showErrorMessage="1" sqref="K59:K224" xr:uid="{29183142-7E39-47A5-ABBC-ADE3327F7CD1}">
      <formula1>$AR$2:$AR$19</formula1>
    </dataValidation>
  </dataValidations>
  <pageMargins left="0.69930555555555596" right="0.69930555555555596"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C8E04-2446-452C-BAF1-43B8BC1CB51F}">
  <dimension ref="A1:BA82"/>
  <sheetViews>
    <sheetView zoomScale="85" zoomScaleNormal="85" workbookViewId="0">
      <selection activeCell="L61" sqref="L61"/>
    </sheetView>
  </sheetViews>
  <sheetFormatPr defaultColWidth="9" defaultRowHeight="13.5" x14ac:dyDescent="0.15"/>
  <cols>
    <col min="1" max="3" width="9" style="53"/>
    <col min="4" max="4" width="10.5" style="53" customWidth="1"/>
    <col min="5" max="13" width="9" style="53"/>
    <col min="14" max="14" width="9.5" style="53" customWidth="1"/>
    <col min="15" max="16" width="9" style="53"/>
    <col min="17" max="17" width="9" style="16"/>
    <col min="18" max="19" width="9" style="53"/>
    <col min="20" max="20" width="9" style="16"/>
    <col min="21" max="21" width="9" style="53"/>
    <col min="22" max="22" width="9" style="16"/>
    <col min="23" max="32" width="9" style="53"/>
    <col min="33" max="33" width="15.875" style="53" customWidth="1"/>
    <col min="34" max="34" width="11.375" style="53" customWidth="1"/>
    <col min="35" max="259" width="9" style="53"/>
    <col min="260" max="260" width="10.5" style="53" customWidth="1"/>
    <col min="261" max="269" width="9" style="53"/>
    <col min="270" max="270" width="9.5" style="53" customWidth="1"/>
    <col min="271" max="288" width="9" style="53"/>
    <col min="289" max="289" width="15.875" style="53" customWidth="1"/>
    <col min="290" max="290" width="11.375" style="53" customWidth="1"/>
    <col min="291" max="515" width="9" style="53"/>
    <col min="516" max="516" width="10.5" style="53" customWidth="1"/>
    <col min="517" max="525" width="9" style="53"/>
    <col min="526" max="526" width="9.5" style="53" customWidth="1"/>
    <col min="527" max="544" width="9" style="53"/>
    <col min="545" max="545" width="15.875" style="53" customWidth="1"/>
    <col min="546" max="546" width="11.375" style="53" customWidth="1"/>
    <col min="547" max="771" width="9" style="53"/>
    <col min="772" max="772" width="10.5" style="53" customWidth="1"/>
    <col min="773" max="781" width="9" style="53"/>
    <col min="782" max="782" width="9.5" style="53" customWidth="1"/>
    <col min="783" max="800" width="9" style="53"/>
    <col min="801" max="801" width="15.875" style="53" customWidth="1"/>
    <col min="802" max="802" width="11.375" style="53" customWidth="1"/>
    <col min="803" max="1027" width="9" style="53"/>
    <col min="1028" max="1028" width="10.5" style="53" customWidth="1"/>
    <col min="1029" max="1037" width="9" style="53"/>
    <col min="1038" max="1038" width="9.5" style="53" customWidth="1"/>
    <col min="1039" max="1056" width="9" style="53"/>
    <col min="1057" max="1057" width="15.875" style="53" customWidth="1"/>
    <col min="1058" max="1058" width="11.375" style="53" customWidth="1"/>
    <col min="1059" max="1283" width="9" style="53"/>
    <col min="1284" max="1284" width="10.5" style="53" customWidth="1"/>
    <col min="1285" max="1293" width="9" style="53"/>
    <col min="1294" max="1294" width="9.5" style="53" customWidth="1"/>
    <col min="1295" max="1312" width="9" style="53"/>
    <col min="1313" max="1313" width="15.875" style="53" customWidth="1"/>
    <col min="1314" max="1314" width="11.375" style="53" customWidth="1"/>
    <col min="1315" max="1539" width="9" style="53"/>
    <col min="1540" max="1540" width="10.5" style="53" customWidth="1"/>
    <col min="1541" max="1549" width="9" style="53"/>
    <col min="1550" max="1550" width="9.5" style="53" customWidth="1"/>
    <col min="1551" max="1568" width="9" style="53"/>
    <col min="1569" max="1569" width="15.875" style="53" customWidth="1"/>
    <col min="1570" max="1570" width="11.375" style="53" customWidth="1"/>
    <col min="1571" max="1795" width="9" style="53"/>
    <col min="1796" max="1796" width="10.5" style="53" customWidth="1"/>
    <col min="1797" max="1805" width="9" style="53"/>
    <col min="1806" max="1806" width="9.5" style="53" customWidth="1"/>
    <col min="1807" max="1824" width="9" style="53"/>
    <col min="1825" max="1825" width="15.875" style="53" customWidth="1"/>
    <col min="1826" max="1826" width="11.375" style="53" customWidth="1"/>
    <col min="1827" max="2051" width="9" style="53"/>
    <col min="2052" max="2052" width="10.5" style="53" customWidth="1"/>
    <col min="2053" max="2061" width="9" style="53"/>
    <col min="2062" max="2062" width="9.5" style="53" customWidth="1"/>
    <col min="2063" max="2080" width="9" style="53"/>
    <col min="2081" max="2081" width="15.875" style="53" customWidth="1"/>
    <col min="2082" max="2082" width="11.375" style="53" customWidth="1"/>
    <col min="2083" max="2307" width="9" style="53"/>
    <col min="2308" max="2308" width="10.5" style="53" customWidth="1"/>
    <col min="2309" max="2317" width="9" style="53"/>
    <col min="2318" max="2318" width="9.5" style="53" customWidth="1"/>
    <col min="2319" max="2336" width="9" style="53"/>
    <col min="2337" max="2337" width="15.875" style="53" customWidth="1"/>
    <col min="2338" max="2338" width="11.375" style="53" customWidth="1"/>
    <col min="2339" max="2563" width="9" style="53"/>
    <col min="2564" max="2564" width="10.5" style="53" customWidth="1"/>
    <col min="2565" max="2573" width="9" style="53"/>
    <col min="2574" max="2574" width="9.5" style="53" customWidth="1"/>
    <col min="2575" max="2592" width="9" style="53"/>
    <col min="2593" max="2593" width="15.875" style="53" customWidth="1"/>
    <col min="2594" max="2594" width="11.375" style="53" customWidth="1"/>
    <col min="2595" max="2819" width="9" style="53"/>
    <col min="2820" max="2820" width="10.5" style="53" customWidth="1"/>
    <col min="2821" max="2829" width="9" style="53"/>
    <col min="2830" max="2830" width="9.5" style="53" customWidth="1"/>
    <col min="2831" max="2848" width="9" style="53"/>
    <col min="2849" max="2849" width="15.875" style="53" customWidth="1"/>
    <col min="2850" max="2850" width="11.375" style="53" customWidth="1"/>
    <col min="2851" max="3075" width="9" style="53"/>
    <col min="3076" max="3076" width="10.5" style="53" customWidth="1"/>
    <col min="3077" max="3085" width="9" style="53"/>
    <col min="3086" max="3086" width="9.5" style="53" customWidth="1"/>
    <col min="3087" max="3104" width="9" style="53"/>
    <col min="3105" max="3105" width="15.875" style="53" customWidth="1"/>
    <col min="3106" max="3106" width="11.375" style="53" customWidth="1"/>
    <col min="3107" max="3331" width="9" style="53"/>
    <col min="3332" max="3332" width="10.5" style="53" customWidth="1"/>
    <col min="3333" max="3341" width="9" style="53"/>
    <col min="3342" max="3342" width="9.5" style="53" customWidth="1"/>
    <col min="3343" max="3360" width="9" style="53"/>
    <col min="3361" max="3361" width="15.875" style="53" customWidth="1"/>
    <col min="3362" max="3362" width="11.375" style="53" customWidth="1"/>
    <col min="3363" max="3587" width="9" style="53"/>
    <col min="3588" max="3588" width="10.5" style="53" customWidth="1"/>
    <col min="3589" max="3597" width="9" style="53"/>
    <col min="3598" max="3598" width="9.5" style="53" customWidth="1"/>
    <col min="3599" max="3616" width="9" style="53"/>
    <col min="3617" max="3617" width="15.875" style="53" customWidth="1"/>
    <col min="3618" max="3618" width="11.375" style="53" customWidth="1"/>
    <col min="3619" max="3843" width="9" style="53"/>
    <col min="3844" max="3844" width="10.5" style="53" customWidth="1"/>
    <col min="3845" max="3853" width="9" style="53"/>
    <col min="3854" max="3854" width="9.5" style="53" customWidth="1"/>
    <col min="3855" max="3872" width="9" style="53"/>
    <col min="3873" max="3873" width="15.875" style="53" customWidth="1"/>
    <col min="3874" max="3874" width="11.375" style="53" customWidth="1"/>
    <col min="3875" max="4099" width="9" style="53"/>
    <col min="4100" max="4100" width="10.5" style="53" customWidth="1"/>
    <col min="4101" max="4109" width="9" style="53"/>
    <col min="4110" max="4110" width="9.5" style="53" customWidth="1"/>
    <col min="4111" max="4128" width="9" style="53"/>
    <col min="4129" max="4129" width="15.875" style="53" customWidth="1"/>
    <col min="4130" max="4130" width="11.375" style="53" customWidth="1"/>
    <col min="4131" max="4355" width="9" style="53"/>
    <col min="4356" max="4356" width="10.5" style="53" customWidth="1"/>
    <col min="4357" max="4365" width="9" style="53"/>
    <col min="4366" max="4366" width="9.5" style="53" customWidth="1"/>
    <col min="4367" max="4384" width="9" style="53"/>
    <col min="4385" max="4385" width="15.875" style="53" customWidth="1"/>
    <col min="4386" max="4386" width="11.375" style="53" customWidth="1"/>
    <col min="4387" max="4611" width="9" style="53"/>
    <col min="4612" max="4612" width="10.5" style="53" customWidth="1"/>
    <col min="4613" max="4621" width="9" style="53"/>
    <col min="4622" max="4622" width="9.5" style="53" customWidth="1"/>
    <col min="4623" max="4640" width="9" style="53"/>
    <col min="4641" max="4641" width="15.875" style="53" customWidth="1"/>
    <col min="4642" max="4642" width="11.375" style="53" customWidth="1"/>
    <col min="4643" max="4867" width="9" style="53"/>
    <col min="4868" max="4868" width="10.5" style="53" customWidth="1"/>
    <col min="4869" max="4877" width="9" style="53"/>
    <col min="4878" max="4878" width="9.5" style="53" customWidth="1"/>
    <col min="4879" max="4896" width="9" style="53"/>
    <col min="4897" max="4897" width="15.875" style="53" customWidth="1"/>
    <col min="4898" max="4898" width="11.375" style="53" customWidth="1"/>
    <col min="4899" max="5123" width="9" style="53"/>
    <col min="5124" max="5124" width="10.5" style="53" customWidth="1"/>
    <col min="5125" max="5133" width="9" style="53"/>
    <col min="5134" max="5134" width="9.5" style="53" customWidth="1"/>
    <col min="5135" max="5152" width="9" style="53"/>
    <col min="5153" max="5153" width="15.875" style="53" customWidth="1"/>
    <col min="5154" max="5154" width="11.375" style="53" customWidth="1"/>
    <col min="5155" max="5379" width="9" style="53"/>
    <col min="5380" max="5380" width="10.5" style="53" customWidth="1"/>
    <col min="5381" max="5389" width="9" style="53"/>
    <col min="5390" max="5390" width="9.5" style="53" customWidth="1"/>
    <col min="5391" max="5408" width="9" style="53"/>
    <col min="5409" max="5409" width="15.875" style="53" customWidth="1"/>
    <col min="5410" max="5410" width="11.375" style="53" customWidth="1"/>
    <col min="5411" max="5635" width="9" style="53"/>
    <col min="5636" max="5636" width="10.5" style="53" customWidth="1"/>
    <col min="5637" max="5645" width="9" style="53"/>
    <col min="5646" max="5646" width="9.5" style="53" customWidth="1"/>
    <col min="5647" max="5664" width="9" style="53"/>
    <col min="5665" max="5665" width="15.875" style="53" customWidth="1"/>
    <col min="5666" max="5666" width="11.375" style="53" customWidth="1"/>
    <col min="5667" max="5891" width="9" style="53"/>
    <col min="5892" max="5892" width="10.5" style="53" customWidth="1"/>
    <col min="5893" max="5901" width="9" style="53"/>
    <col min="5902" max="5902" width="9.5" style="53" customWidth="1"/>
    <col min="5903" max="5920" width="9" style="53"/>
    <col min="5921" max="5921" width="15.875" style="53" customWidth="1"/>
    <col min="5922" max="5922" width="11.375" style="53" customWidth="1"/>
    <col min="5923" max="6147" width="9" style="53"/>
    <col min="6148" max="6148" width="10.5" style="53" customWidth="1"/>
    <col min="6149" max="6157" width="9" style="53"/>
    <col min="6158" max="6158" width="9.5" style="53" customWidth="1"/>
    <col min="6159" max="6176" width="9" style="53"/>
    <col min="6177" max="6177" width="15.875" style="53" customWidth="1"/>
    <col min="6178" max="6178" width="11.375" style="53" customWidth="1"/>
    <col min="6179" max="6403" width="9" style="53"/>
    <col min="6404" max="6404" width="10.5" style="53" customWidth="1"/>
    <col min="6405" max="6413" width="9" style="53"/>
    <col min="6414" max="6414" width="9.5" style="53" customWidth="1"/>
    <col min="6415" max="6432" width="9" style="53"/>
    <col min="6433" max="6433" width="15.875" style="53" customWidth="1"/>
    <col min="6434" max="6434" width="11.375" style="53" customWidth="1"/>
    <col min="6435" max="6659" width="9" style="53"/>
    <col min="6660" max="6660" width="10.5" style="53" customWidth="1"/>
    <col min="6661" max="6669" width="9" style="53"/>
    <col min="6670" max="6670" width="9.5" style="53" customWidth="1"/>
    <col min="6671" max="6688" width="9" style="53"/>
    <col min="6689" max="6689" width="15.875" style="53" customWidth="1"/>
    <col min="6690" max="6690" width="11.375" style="53" customWidth="1"/>
    <col min="6691" max="6915" width="9" style="53"/>
    <col min="6916" max="6916" width="10.5" style="53" customWidth="1"/>
    <col min="6917" max="6925" width="9" style="53"/>
    <col min="6926" max="6926" width="9.5" style="53" customWidth="1"/>
    <col min="6927" max="6944" width="9" style="53"/>
    <col min="6945" max="6945" width="15.875" style="53" customWidth="1"/>
    <col min="6946" max="6946" width="11.375" style="53" customWidth="1"/>
    <col min="6947" max="7171" width="9" style="53"/>
    <col min="7172" max="7172" width="10.5" style="53" customWidth="1"/>
    <col min="7173" max="7181" width="9" style="53"/>
    <col min="7182" max="7182" width="9.5" style="53" customWidth="1"/>
    <col min="7183" max="7200" width="9" style="53"/>
    <col min="7201" max="7201" width="15.875" style="53" customWidth="1"/>
    <col min="7202" max="7202" width="11.375" style="53" customWidth="1"/>
    <col min="7203" max="7427" width="9" style="53"/>
    <col min="7428" max="7428" width="10.5" style="53" customWidth="1"/>
    <col min="7429" max="7437" width="9" style="53"/>
    <col min="7438" max="7438" width="9.5" style="53" customWidth="1"/>
    <col min="7439" max="7456" width="9" style="53"/>
    <col min="7457" max="7457" width="15.875" style="53" customWidth="1"/>
    <col min="7458" max="7458" width="11.375" style="53" customWidth="1"/>
    <col min="7459" max="7683" width="9" style="53"/>
    <col min="7684" max="7684" width="10.5" style="53" customWidth="1"/>
    <col min="7685" max="7693" width="9" style="53"/>
    <col min="7694" max="7694" width="9.5" style="53" customWidth="1"/>
    <col min="7695" max="7712" width="9" style="53"/>
    <col min="7713" max="7713" width="15.875" style="53" customWidth="1"/>
    <col min="7714" max="7714" width="11.375" style="53" customWidth="1"/>
    <col min="7715" max="7939" width="9" style="53"/>
    <col min="7940" max="7940" width="10.5" style="53" customWidth="1"/>
    <col min="7941" max="7949" width="9" style="53"/>
    <col min="7950" max="7950" width="9.5" style="53" customWidth="1"/>
    <col min="7951" max="7968" width="9" style="53"/>
    <col min="7969" max="7969" width="15.875" style="53" customWidth="1"/>
    <col min="7970" max="7970" width="11.375" style="53" customWidth="1"/>
    <col min="7971" max="8195" width="9" style="53"/>
    <col min="8196" max="8196" width="10.5" style="53" customWidth="1"/>
    <col min="8197" max="8205" width="9" style="53"/>
    <col min="8206" max="8206" width="9.5" style="53" customWidth="1"/>
    <col min="8207" max="8224" width="9" style="53"/>
    <col min="8225" max="8225" width="15.875" style="53" customWidth="1"/>
    <col min="8226" max="8226" width="11.375" style="53" customWidth="1"/>
    <col min="8227" max="8451" width="9" style="53"/>
    <col min="8452" max="8452" width="10.5" style="53" customWidth="1"/>
    <col min="8453" max="8461" width="9" style="53"/>
    <col min="8462" max="8462" width="9.5" style="53" customWidth="1"/>
    <col min="8463" max="8480" width="9" style="53"/>
    <col min="8481" max="8481" width="15.875" style="53" customWidth="1"/>
    <col min="8482" max="8482" width="11.375" style="53" customWidth="1"/>
    <col min="8483" max="8707" width="9" style="53"/>
    <col min="8708" max="8708" width="10.5" style="53" customWidth="1"/>
    <col min="8709" max="8717" width="9" style="53"/>
    <col min="8718" max="8718" width="9.5" style="53" customWidth="1"/>
    <col min="8719" max="8736" width="9" style="53"/>
    <col min="8737" max="8737" width="15.875" style="53" customWidth="1"/>
    <col min="8738" max="8738" width="11.375" style="53" customWidth="1"/>
    <col min="8739" max="8963" width="9" style="53"/>
    <col min="8964" max="8964" width="10.5" style="53" customWidth="1"/>
    <col min="8965" max="8973" width="9" style="53"/>
    <col min="8974" max="8974" width="9.5" style="53" customWidth="1"/>
    <col min="8975" max="8992" width="9" style="53"/>
    <col min="8993" max="8993" width="15.875" style="53" customWidth="1"/>
    <col min="8994" max="8994" width="11.375" style="53" customWidth="1"/>
    <col min="8995" max="9219" width="9" style="53"/>
    <col min="9220" max="9220" width="10.5" style="53" customWidth="1"/>
    <col min="9221" max="9229" width="9" style="53"/>
    <col min="9230" max="9230" width="9.5" style="53" customWidth="1"/>
    <col min="9231" max="9248" width="9" style="53"/>
    <col min="9249" max="9249" width="15.875" style="53" customWidth="1"/>
    <col min="9250" max="9250" width="11.375" style="53" customWidth="1"/>
    <col min="9251" max="9475" width="9" style="53"/>
    <col min="9476" max="9476" width="10.5" style="53" customWidth="1"/>
    <col min="9477" max="9485" width="9" style="53"/>
    <col min="9486" max="9486" width="9.5" style="53" customWidth="1"/>
    <col min="9487" max="9504" width="9" style="53"/>
    <col min="9505" max="9505" width="15.875" style="53" customWidth="1"/>
    <col min="9506" max="9506" width="11.375" style="53" customWidth="1"/>
    <col min="9507" max="9731" width="9" style="53"/>
    <col min="9732" max="9732" width="10.5" style="53" customWidth="1"/>
    <col min="9733" max="9741" width="9" style="53"/>
    <col min="9742" max="9742" width="9.5" style="53" customWidth="1"/>
    <col min="9743" max="9760" width="9" style="53"/>
    <col min="9761" max="9761" width="15.875" style="53" customWidth="1"/>
    <col min="9762" max="9762" width="11.375" style="53" customWidth="1"/>
    <col min="9763" max="9987" width="9" style="53"/>
    <col min="9988" max="9988" width="10.5" style="53" customWidth="1"/>
    <col min="9989" max="9997" width="9" style="53"/>
    <col min="9998" max="9998" width="9.5" style="53" customWidth="1"/>
    <col min="9999" max="10016" width="9" style="53"/>
    <col min="10017" max="10017" width="15.875" style="53" customWidth="1"/>
    <col min="10018" max="10018" width="11.375" style="53" customWidth="1"/>
    <col min="10019" max="10243" width="9" style="53"/>
    <col min="10244" max="10244" width="10.5" style="53" customWidth="1"/>
    <col min="10245" max="10253" width="9" style="53"/>
    <col min="10254" max="10254" width="9.5" style="53" customWidth="1"/>
    <col min="10255" max="10272" width="9" style="53"/>
    <col min="10273" max="10273" width="15.875" style="53" customWidth="1"/>
    <col min="10274" max="10274" width="11.375" style="53" customWidth="1"/>
    <col min="10275" max="10499" width="9" style="53"/>
    <col min="10500" max="10500" width="10.5" style="53" customWidth="1"/>
    <col min="10501" max="10509" width="9" style="53"/>
    <col min="10510" max="10510" width="9.5" style="53" customWidth="1"/>
    <col min="10511" max="10528" width="9" style="53"/>
    <col min="10529" max="10529" width="15.875" style="53" customWidth="1"/>
    <col min="10530" max="10530" width="11.375" style="53" customWidth="1"/>
    <col min="10531" max="10755" width="9" style="53"/>
    <col min="10756" max="10756" width="10.5" style="53" customWidth="1"/>
    <col min="10757" max="10765" width="9" style="53"/>
    <col min="10766" max="10766" width="9.5" style="53" customWidth="1"/>
    <col min="10767" max="10784" width="9" style="53"/>
    <col min="10785" max="10785" width="15.875" style="53" customWidth="1"/>
    <col min="10786" max="10786" width="11.375" style="53" customWidth="1"/>
    <col min="10787" max="11011" width="9" style="53"/>
    <col min="11012" max="11012" width="10.5" style="53" customWidth="1"/>
    <col min="11013" max="11021" width="9" style="53"/>
    <col min="11022" max="11022" width="9.5" style="53" customWidth="1"/>
    <col min="11023" max="11040" width="9" style="53"/>
    <col min="11041" max="11041" width="15.875" style="53" customWidth="1"/>
    <col min="11042" max="11042" width="11.375" style="53" customWidth="1"/>
    <col min="11043" max="11267" width="9" style="53"/>
    <col min="11268" max="11268" width="10.5" style="53" customWidth="1"/>
    <col min="11269" max="11277" width="9" style="53"/>
    <col min="11278" max="11278" width="9.5" style="53" customWidth="1"/>
    <col min="11279" max="11296" width="9" style="53"/>
    <col min="11297" max="11297" width="15.875" style="53" customWidth="1"/>
    <col min="11298" max="11298" width="11.375" style="53" customWidth="1"/>
    <col min="11299" max="11523" width="9" style="53"/>
    <col min="11524" max="11524" width="10.5" style="53" customWidth="1"/>
    <col min="11525" max="11533" width="9" style="53"/>
    <col min="11534" max="11534" width="9.5" style="53" customWidth="1"/>
    <col min="11535" max="11552" width="9" style="53"/>
    <col min="11553" max="11553" width="15.875" style="53" customWidth="1"/>
    <col min="11554" max="11554" width="11.375" style="53" customWidth="1"/>
    <col min="11555" max="11779" width="9" style="53"/>
    <col min="11780" max="11780" width="10.5" style="53" customWidth="1"/>
    <col min="11781" max="11789" width="9" style="53"/>
    <col min="11790" max="11790" width="9.5" style="53" customWidth="1"/>
    <col min="11791" max="11808" width="9" style="53"/>
    <col min="11809" max="11809" width="15.875" style="53" customWidth="1"/>
    <col min="11810" max="11810" width="11.375" style="53" customWidth="1"/>
    <col min="11811" max="12035" width="9" style="53"/>
    <col min="12036" max="12036" width="10.5" style="53" customWidth="1"/>
    <col min="12037" max="12045" width="9" style="53"/>
    <col min="12046" max="12046" width="9.5" style="53" customWidth="1"/>
    <col min="12047" max="12064" width="9" style="53"/>
    <col min="12065" max="12065" width="15.875" style="53" customWidth="1"/>
    <col min="12066" max="12066" width="11.375" style="53" customWidth="1"/>
    <col min="12067" max="12291" width="9" style="53"/>
    <col min="12292" max="12292" width="10.5" style="53" customWidth="1"/>
    <col min="12293" max="12301" width="9" style="53"/>
    <col min="12302" max="12302" width="9.5" style="53" customWidth="1"/>
    <col min="12303" max="12320" width="9" style="53"/>
    <col min="12321" max="12321" width="15.875" style="53" customWidth="1"/>
    <col min="12322" max="12322" width="11.375" style="53" customWidth="1"/>
    <col min="12323" max="12547" width="9" style="53"/>
    <col min="12548" max="12548" width="10.5" style="53" customWidth="1"/>
    <col min="12549" max="12557" width="9" style="53"/>
    <col min="12558" max="12558" width="9.5" style="53" customWidth="1"/>
    <col min="12559" max="12576" width="9" style="53"/>
    <col min="12577" max="12577" width="15.875" style="53" customWidth="1"/>
    <col min="12578" max="12578" width="11.375" style="53" customWidth="1"/>
    <col min="12579" max="12803" width="9" style="53"/>
    <col min="12804" max="12804" width="10.5" style="53" customWidth="1"/>
    <col min="12805" max="12813" width="9" style="53"/>
    <col min="12814" max="12814" width="9.5" style="53" customWidth="1"/>
    <col min="12815" max="12832" width="9" style="53"/>
    <col min="12833" max="12833" width="15.875" style="53" customWidth="1"/>
    <col min="12834" max="12834" width="11.375" style="53" customWidth="1"/>
    <col min="12835" max="13059" width="9" style="53"/>
    <col min="13060" max="13060" width="10.5" style="53" customWidth="1"/>
    <col min="13061" max="13069" width="9" style="53"/>
    <col min="13070" max="13070" width="9.5" style="53" customWidth="1"/>
    <col min="13071" max="13088" width="9" style="53"/>
    <col min="13089" max="13089" width="15.875" style="53" customWidth="1"/>
    <col min="13090" max="13090" width="11.375" style="53" customWidth="1"/>
    <col min="13091" max="13315" width="9" style="53"/>
    <col min="13316" max="13316" width="10.5" style="53" customWidth="1"/>
    <col min="13317" max="13325" width="9" style="53"/>
    <col min="13326" max="13326" width="9.5" style="53" customWidth="1"/>
    <col min="13327" max="13344" width="9" style="53"/>
    <col min="13345" max="13345" width="15.875" style="53" customWidth="1"/>
    <col min="13346" max="13346" width="11.375" style="53" customWidth="1"/>
    <col min="13347" max="13571" width="9" style="53"/>
    <col min="13572" max="13572" width="10.5" style="53" customWidth="1"/>
    <col min="13573" max="13581" width="9" style="53"/>
    <col min="13582" max="13582" width="9.5" style="53" customWidth="1"/>
    <col min="13583" max="13600" width="9" style="53"/>
    <col min="13601" max="13601" width="15.875" style="53" customWidth="1"/>
    <col min="13602" max="13602" width="11.375" style="53" customWidth="1"/>
    <col min="13603" max="13827" width="9" style="53"/>
    <col min="13828" max="13828" width="10.5" style="53" customWidth="1"/>
    <col min="13829" max="13837" width="9" style="53"/>
    <col min="13838" max="13838" width="9.5" style="53" customWidth="1"/>
    <col min="13839" max="13856" width="9" style="53"/>
    <col min="13857" max="13857" width="15.875" style="53" customWidth="1"/>
    <col min="13858" max="13858" width="11.375" style="53" customWidth="1"/>
    <col min="13859" max="14083" width="9" style="53"/>
    <col min="14084" max="14084" width="10.5" style="53" customWidth="1"/>
    <col min="14085" max="14093" width="9" style="53"/>
    <col min="14094" max="14094" width="9.5" style="53" customWidth="1"/>
    <col min="14095" max="14112" width="9" style="53"/>
    <col min="14113" max="14113" width="15.875" style="53" customWidth="1"/>
    <col min="14114" max="14114" width="11.375" style="53" customWidth="1"/>
    <col min="14115" max="14339" width="9" style="53"/>
    <col min="14340" max="14340" width="10.5" style="53" customWidth="1"/>
    <col min="14341" max="14349" width="9" style="53"/>
    <col min="14350" max="14350" width="9.5" style="53" customWidth="1"/>
    <col min="14351" max="14368" width="9" style="53"/>
    <col min="14369" max="14369" width="15.875" style="53" customWidth="1"/>
    <col min="14370" max="14370" width="11.375" style="53" customWidth="1"/>
    <col min="14371" max="14595" width="9" style="53"/>
    <col min="14596" max="14596" width="10.5" style="53" customWidth="1"/>
    <col min="14597" max="14605" width="9" style="53"/>
    <col min="14606" max="14606" width="9.5" style="53" customWidth="1"/>
    <col min="14607" max="14624" width="9" style="53"/>
    <col min="14625" max="14625" width="15.875" style="53" customWidth="1"/>
    <col min="14626" max="14626" width="11.375" style="53" customWidth="1"/>
    <col min="14627" max="14851" width="9" style="53"/>
    <col min="14852" max="14852" width="10.5" style="53" customWidth="1"/>
    <col min="14853" max="14861" width="9" style="53"/>
    <col min="14862" max="14862" width="9.5" style="53" customWidth="1"/>
    <col min="14863" max="14880" width="9" style="53"/>
    <col min="14881" max="14881" width="15.875" style="53" customWidth="1"/>
    <col min="14882" max="14882" width="11.375" style="53" customWidth="1"/>
    <col min="14883" max="15107" width="9" style="53"/>
    <col min="15108" max="15108" width="10.5" style="53" customWidth="1"/>
    <col min="15109" max="15117" width="9" style="53"/>
    <col min="15118" max="15118" width="9.5" style="53" customWidth="1"/>
    <col min="15119" max="15136" width="9" style="53"/>
    <col min="15137" max="15137" width="15.875" style="53" customWidth="1"/>
    <col min="15138" max="15138" width="11.375" style="53" customWidth="1"/>
    <col min="15139" max="15363" width="9" style="53"/>
    <col min="15364" max="15364" width="10.5" style="53" customWidth="1"/>
    <col min="15365" max="15373" width="9" style="53"/>
    <col min="15374" max="15374" width="9.5" style="53" customWidth="1"/>
    <col min="15375" max="15392" width="9" style="53"/>
    <col min="15393" max="15393" width="15.875" style="53" customWidth="1"/>
    <col min="15394" max="15394" width="11.375" style="53" customWidth="1"/>
    <col min="15395" max="15619" width="9" style="53"/>
    <col min="15620" max="15620" width="10.5" style="53" customWidth="1"/>
    <col min="15621" max="15629" width="9" style="53"/>
    <col min="15630" max="15630" width="9.5" style="53" customWidth="1"/>
    <col min="15631" max="15648" width="9" style="53"/>
    <col min="15649" max="15649" width="15.875" style="53" customWidth="1"/>
    <col min="15650" max="15650" width="11.375" style="53" customWidth="1"/>
    <col min="15651" max="15875" width="9" style="53"/>
    <col min="15876" max="15876" width="10.5" style="53" customWidth="1"/>
    <col min="15877" max="15885" width="9" style="53"/>
    <col min="15886" max="15886" width="9.5" style="53" customWidth="1"/>
    <col min="15887" max="15904" width="9" style="53"/>
    <col min="15905" max="15905" width="15.875" style="53" customWidth="1"/>
    <col min="15906" max="15906" width="11.375" style="53" customWidth="1"/>
    <col min="15907" max="16131" width="9" style="53"/>
    <col min="16132" max="16132" width="10.5" style="53" customWidth="1"/>
    <col min="16133" max="16141" width="9" style="53"/>
    <col min="16142" max="16142" width="9.5" style="53" customWidth="1"/>
    <col min="16143" max="16160" width="9" style="53"/>
    <col min="16161" max="16161" width="15.875" style="53" customWidth="1"/>
    <col min="16162" max="16162" width="11.375" style="53" customWidth="1"/>
    <col min="16163" max="16384" width="9" style="53"/>
  </cols>
  <sheetData>
    <row r="1" spans="1:53" ht="45" x14ac:dyDescent="0.15">
      <c r="A1" s="77" t="s">
        <v>0</v>
      </c>
      <c r="B1" s="55" t="s">
        <v>171</v>
      </c>
      <c r="C1" s="55" t="s">
        <v>172</v>
      </c>
      <c r="D1" s="56" t="s">
        <v>3</v>
      </c>
      <c r="E1" s="78" t="s">
        <v>4</v>
      </c>
      <c r="F1" s="78" t="s">
        <v>5</v>
      </c>
      <c r="G1" s="78" t="s">
        <v>6</v>
      </c>
      <c r="H1" s="78" t="s">
        <v>7</v>
      </c>
      <c r="I1" s="78" t="s">
        <v>8</v>
      </c>
      <c r="J1" s="78" t="s">
        <v>9</v>
      </c>
      <c r="K1" s="78" t="s">
        <v>10</v>
      </c>
      <c r="L1" s="56" t="s">
        <v>173</v>
      </c>
      <c r="M1" s="56" t="s">
        <v>174</v>
      </c>
      <c r="N1" s="56" t="s">
        <v>13</v>
      </c>
      <c r="O1" s="56" t="s">
        <v>175</v>
      </c>
      <c r="P1" s="56" t="s">
        <v>176</v>
      </c>
      <c r="Q1" s="3" t="s">
        <v>177</v>
      </c>
      <c r="R1" s="56" t="s">
        <v>178</v>
      </c>
      <c r="S1" s="56" t="s">
        <v>179</v>
      </c>
      <c r="T1" s="3" t="s">
        <v>19</v>
      </c>
      <c r="U1" s="58" t="s">
        <v>108</v>
      </c>
      <c r="V1" s="5" t="s">
        <v>20</v>
      </c>
      <c r="W1" s="56" t="s">
        <v>180</v>
      </c>
      <c r="X1" s="78" t="s">
        <v>22</v>
      </c>
      <c r="Y1" s="78" t="s">
        <v>23</v>
      </c>
      <c r="Z1" s="78" t="s">
        <v>24</v>
      </c>
      <c r="AA1" s="79" t="s">
        <v>25</v>
      </c>
      <c r="AB1" s="80" t="s">
        <v>181</v>
      </c>
      <c r="AE1" s="60" t="s">
        <v>0</v>
      </c>
      <c r="AF1" s="61"/>
      <c r="AG1" s="60" t="s">
        <v>4</v>
      </c>
      <c r="AH1" s="60" t="s">
        <v>5</v>
      </c>
      <c r="AI1" s="61"/>
      <c r="AJ1" s="60" t="s">
        <v>6</v>
      </c>
      <c r="AK1" s="61"/>
      <c r="AL1" s="10" t="s">
        <v>7</v>
      </c>
      <c r="AM1" s="61"/>
      <c r="AN1" s="10" t="s">
        <v>8</v>
      </c>
      <c r="AO1" s="61"/>
      <c r="AP1" s="10" t="s">
        <v>27</v>
      </c>
      <c r="AQ1" s="61"/>
      <c r="AR1" s="10" t="s">
        <v>10</v>
      </c>
      <c r="AS1" s="61"/>
      <c r="AT1" s="11" t="s">
        <v>182</v>
      </c>
      <c r="AU1" s="61"/>
      <c r="AV1" s="10" t="s">
        <v>29</v>
      </c>
      <c r="AX1" s="12" t="s">
        <v>236</v>
      </c>
      <c r="AY1" s="13" t="s">
        <v>184</v>
      </c>
      <c r="AZ1" s="13" t="s">
        <v>237</v>
      </c>
      <c r="BA1" s="14" t="s">
        <v>186</v>
      </c>
    </row>
    <row r="2" spans="1:53" x14ac:dyDescent="0.15">
      <c r="A2" s="53" t="s">
        <v>56</v>
      </c>
      <c r="B2" s="53" t="s">
        <v>157</v>
      </c>
      <c r="C2" s="53">
        <v>2019</v>
      </c>
      <c r="D2" s="81" t="s">
        <v>168</v>
      </c>
      <c r="E2" s="53" t="s">
        <v>238</v>
      </c>
      <c r="F2" s="53" t="s">
        <v>239</v>
      </c>
      <c r="G2" s="53" t="s">
        <v>42</v>
      </c>
      <c r="H2" s="53" t="s">
        <v>163</v>
      </c>
      <c r="I2" s="53" t="s">
        <v>170</v>
      </c>
      <c r="J2" s="53" t="s">
        <v>38</v>
      </c>
      <c r="K2" s="53" t="s">
        <v>160</v>
      </c>
      <c r="L2" s="53">
        <v>1</v>
      </c>
      <c r="N2" s="53">
        <v>4</v>
      </c>
      <c r="O2" s="53">
        <v>0.5</v>
      </c>
      <c r="P2" s="53">
        <v>0.5</v>
      </c>
      <c r="Q2" s="76">
        <f t="shared" ref="Q2:Q55" si="0">IF(OR(O2="",P2=""),"",AVERAGE(O2,P2))</f>
        <v>0.5</v>
      </c>
      <c r="R2" s="53">
        <v>14.5</v>
      </c>
      <c r="S2" s="53">
        <v>97</v>
      </c>
      <c r="T2" s="16">
        <f t="shared" ref="T2:T55" si="1">IF(H2="","",IF(OR(H2="GREEN",H2="GK"),IF(S2&gt;=$AX$2,VLOOKUP(S2,$AX$2:$AY$10,2,1),""),IF(S2&gt;=$AZ$2,VLOOKUP(S2,$AZ$2:$BA$10,2,1),"")))</f>
        <v>36</v>
      </c>
      <c r="U2" s="53">
        <v>539</v>
      </c>
      <c r="V2" s="16">
        <f t="shared" ref="V2:V55" si="2">IF(OR(N2="",U2="",T2=""),"",U2/N2*T2)</f>
        <v>4851</v>
      </c>
      <c r="W2" s="53">
        <v>1</v>
      </c>
      <c r="X2" s="53" t="s">
        <v>39</v>
      </c>
      <c r="Y2" s="53" t="s">
        <v>90</v>
      </c>
      <c r="Z2" s="53" t="s">
        <v>84</v>
      </c>
      <c r="AA2" s="53" t="s">
        <v>40</v>
      </c>
      <c r="AB2" s="53" t="s">
        <v>158</v>
      </c>
      <c r="AE2" s="64" t="s">
        <v>35</v>
      </c>
      <c r="AG2" s="23" t="s">
        <v>240</v>
      </c>
      <c r="AH2" s="82" t="s">
        <v>241</v>
      </c>
      <c r="AJ2" s="67" t="s">
        <v>36</v>
      </c>
      <c r="AL2" s="67" t="s">
        <v>189</v>
      </c>
      <c r="AN2" s="67" t="s">
        <v>37</v>
      </c>
      <c r="AP2" s="67" t="s">
        <v>38</v>
      </c>
      <c r="AR2" s="67" t="s">
        <v>160</v>
      </c>
      <c r="AT2" s="67" t="s">
        <v>39</v>
      </c>
      <c r="AV2" s="67" t="s">
        <v>40</v>
      </c>
      <c r="AX2" s="68">
        <v>1</v>
      </c>
      <c r="AY2" s="69">
        <v>50</v>
      </c>
      <c r="AZ2" s="69">
        <v>1</v>
      </c>
      <c r="BA2" s="70">
        <v>50</v>
      </c>
    </row>
    <row r="3" spans="1:53" x14ac:dyDescent="0.15">
      <c r="A3" s="53" t="s">
        <v>56</v>
      </c>
      <c r="B3" s="53" t="s">
        <v>157</v>
      </c>
      <c r="C3" s="53">
        <v>2019</v>
      </c>
      <c r="D3" s="81" t="s">
        <v>168</v>
      </c>
      <c r="E3" s="53" t="s">
        <v>238</v>
      </c>
      <c r="F3" s="53" t="s">
        <v>239</v>
      </c>
      <c r="G3" s="53" t="s">
        <v>42</v>
      </c>
      <c r="H3" s="53" t="s">
        <v>163</v>
      </c>
      <c r="I3" s="53" t="s">
        <v>170</v>
      </c>
      <c r="J3" s="53" t="s">
        <v>38</v>
      </c>
      <c r="K3" s="53" t="s">
        <v>160</v>
      </c>
      <c r="L3" s="53">
        <v>2</v>
      </c>
      <c r="N3" s="53">
        <v>4</v>
      </c>
      <c r="O3" s="53">
        <v>0.5</v>
      </c>
      <c r="P3" s="53">
        <v>0.5</v>
      </c>
      <c r="Q3" s="76">
        <f t="shared" si="0"/>
        <v>0.5</v>
      </c>
      <c r="R3" s="53">
        <v>15.3</v>
      </c>
      <c r="S3" s="53">
        <v>97</v>
      </c>
      <c r="T3" s="16">
        <f t="shared" si="1"/>
        <v>36</v>
      </c>
      <c r="U3" s="53">
        <v>539</v>
      </c>
      <c r="V3" s="16">
        <f t="shared" si="2"/>
        <v>4851</v>
      </c>
      <c r="W3" s="53">
        <v>1</v>
      </c>
      <c r="X3" s="53" t="s">
        <v>39</v>
      </c>
      <c r="Y3" s="53" t="s">
        <v>90</v>
      </c>
      <c r="Z3" s="53" t="s">
        <v>84</v>
      </c>
      <c r="AA3" s="53" t="s">
        <v>40</v>
      </c>
      <c r="AB3" s="53" t="s">
        <v>158</v>
      </c>
      <c r="AE3" s="22" t="s">
        <v>41</v>
      </c>
      <c r="AG3" s="23" t="s">
        <v>242</v>
      </c>
      <c r="AH3" s="82" t="s">
        <v>239</v>
      </c>
      <c r="AJ3" s="23" t="s">
        <v>42</v>
      </c>
      <c r="AL3" s="23" t="s">
        <v>191</v>
      </c>
      <c r="AN3" s="23" t="s">
        <v>43</v>
      </c>
      <c r="AP3" s="23" t="s">
        <v>44</v>
      </c>
      <c r="AR3" s="23" t="s">
        <v>45</v>
      </c>
      <c r="AT3" s="23" t="s">
        <v>46</v>
      </c>
      <c r="AV3" s="23" t="s">
        <v>47</v>
      </c>
      <c r="AX3" s="24">
        <v>72</v>
      </c>
      <c r="AY3" s="25">
        <v>46</v>
      </c>
      <c r="AZ3" s="25">
        <v>71</v>
      </c>
      <c r="BA3" s="26">
        <v>42</v>
      </c>
    </row>
    <row r="4" spans="1:53" x14ac:dyDescent="0.15">
      <c r="A4" s="53" t="s">
        <v>56</v>
      </c>
      <c r="B4" s="53" t="s">
        <v>157</v>
      </c>
      <c r="C4" s="53">
        <v>2019</v>
      </c>
      <c r="D4" s="81" t="s">
        <v>168</v>
      </c>
      <c r="E4" s="53" t="s">
        <v>238</v>
      </c>
      <c r="F4" s="53" t="s">
        <v>239</v>
      </c>
      <c r="G4" s="53" t="s">
        <v>42</v>
      </c>
      <c r="H4" s="53" t="s">
        <v>163</v>
      </c>
      <c r="I4" s="53" t="s">
        <v>170</v>
      </c>
      <c r="J4" s="53" t="s">
        <v>38</v>
      </c>
      <c r="K4" s="53" t="s">
        <v>160</v>
      </c>
      <c r="L4" s="53">
        <v>3</v>
      </c>
      <c r="N4" s="53">
        <v>4</v>
      </c>
      <c r="O4" s="53">
        <v>0.6</v>
      </c>
      <c r="P4" s="53">
        <v>0.6</v>
      </c>
      <c r="Q4" s="76">
        <f t="shared" si="0"/>
        <v>0.6</v>
      </c>
      <c r="R4" s="53">
        <v>15.7</v>
      </c>
      <c r="S4" s="53">
        <v>98</v>
      </c>
      <c r="T4" s="16">
        <f t="shared" si="1"/>
        <v>36</v>
      </c>
      <c r="U4" s="53">
        <v>539</v>
      </c>
      <c r="V4" s="16">
        <f t="shared" si="2"/>
        <v>4851</v>
      </c>
      <c r="W4" s="53">
        <v>1</v>
      </c>
      <c r="X4" s="53" t="s">
        <v>39</v>
      </c>
      <c r="Y4" s="53" t="s">
        <v>90</v>
      </c>
      <c r="Z4" s="53" t="s">
        <v>84</v>
      </c>
      <c r="AA4" s="53" t="s">
        <v>40</v>
      </c>
      <c r="AB4" s="53" t="s">
        <v>158</v>
      </c>
      <c r="AE4" s="22" t="s">
        <v>34</v>
      </c>
      <c r="AG4" s="23" t="s">
        <v>243</v>
      </c>
      <c r="AH4" s="82" t="s">
        <v>244</v>
      </c>
      <c r="AJ4" s="27" t="s">
        <v>48</v>
      </c>
      <c r="AL4" s="27" t="s">
        <v>194</v>
      </c>
      <c r="AN4" s="28" t="s">
        <v>195</v>
      </c>
      <c r="AP4" s="23" t="s">
        <v>196</v>
      </c>
      <c r="AR4" s="23" t="s">
        <v>197</v>
      </c>
      <c r="AT4" s="28"/>
      <c r="AV4" s="23" t="s">
        <v>50</v>
      </c>
      <c r="AX4" s="24">
        <v>75</v>
      </c>
      <c r="AY4" s="25">
        <v>42</v>
      </c>
      <c r="AZ4" s="25">
        <v>76</v>
      </c>
      <c r="BA4" s="26">
        <v>39</v>
      </c>
    </row>
    <row r="5" spans="1:53" x14ac:dyDescent="0.15">
      <c r="A5" s="53" t="s">
        <v>56</v>
      </c>
      <c r="B5" s="53" t="s">
        <v>157</v>
      </c>
      <c r="C5" s="53">
        <v>2019</v>
      </c>
      <c r="D5" s="81" t="s">
        <v>168</v>
      </c>
      <c r="E5" s="53" t="s">
        <v>238</v>
      </c>
      <c r="F5" s="53" t="s">
        <v>239</v>
      </c>
      <c r="G5" s="53" t="s">
        <v>42</v>
      </c>
      <c r="H5" s="53" t="s">
        <v>189</v>
      </c>
      <c r="I5" s="53" t="s">
        <v>170</v>
      </c>
      <c r="J5" s="53" t="s">
        <v>80</v>
      </c>
      <c r="K5" s="53" t="s">
        <v>227</v>
      </c>
      <c r="L5" s="53">
        <v>1</v>
      </c>
      <c r="N5" s="53">
        <v>9</v>
      </c>
      <c r="O5" s="53">
        <v>0.55000000000000004</v>
      </c>
      <c r="P5" s="53">
        <v>0.6</v>
      </c>
      <c r="Q5" s="76">
        <f t="shared" si="0"/>
        <v>0.57499999999999996</v>
      </c>
      <c r="R5" s="53">
        <v>14</v>
      </c>
      <c r="S5" s="53">
        <v>58</v>
      </c>
      <c r="T5" s="16">
        <f t="shared" si="1"/>
        <v>50</v>
      </c>
      <c r="U5" s="53">
        <v>971</v>
      </c>
      <c r="V5" s="16">
        <f t="shared" si="2"/>
        <v>5394.4444444444443</v>
      </c>
      <c r="W5" s="53">
        <v>1</v>
      </c>
      <c r="X5" s="53" t="s">
        <v>39</v>
      </c>
      <c r="Y5" s="53" t="s">
        <v>90</v>
      </c>
      <c r="Z5" s="53" t="s">
        <v>84</v>
      </c>
      <c r="AA5" s="53" t="s">
        <v>40</v>
      </c>
      <c r="AB5" s="53" t="s">
        <v>158</v>
      </c>
      <c r="AE5" s="22" t="s">
        <v>51</v>
      </c>
      <c r="AG5" s="23" t="s">
        <v>245</v>
      </c>
      <c r="AH5" s="82" t="s">
        <v>246</v>
      </c>
      <c r="AJ5" s="28"/>
      <c r="AL5" s="73" t="s">
        <v>163</v>
      </c>
      <c r="AN5" s="73" t="s">
        <v>159</v>
      </c>
      <c r="AP5" s="23" t="s">
        <v>199</v>
      </c>
      <c r="AR5" s="23" t="s">
        <v>54</v>
      </c>
      <c r="AV5" s="23" t="s">
        <v>55</v>
      </c>
      <c r="AX5" s="24">
        <v>84</v>
      </c>
      <c r="AY5" s="25">
        <v>39</v>
      </c>
      <c r="AZ5" s="25">
        <v>84</v>
      </c>
      <c r="BA5" s="26">
        <v>36</v>
      </c>
    </row>
    <row r="6" spans="1:53" x14ac:dyDescent="0.15">
      <c r="A6" s="53" t="s">
        <v>56</v>
      </c>
      <c r="B6" s="53" t="s">
        <v>157</v>
      </c>
      <c r="C6" s="53">
        <v>2019</v>
      </c>
      <c r="D6" s="81" t="s">
        <v>168</v>
      </c>
      <c r="E6" s="53" t="s">
        <v>238</v>
      </c>
      <c r="F6" s="53" t="s">
        <v>239</v>
      </c>
      <c r="G6" s="53" t="s">
        <v>42</v>
      </c>
      <c r="H6" s="53" t="s">
        <v>189</v>
      </c>
      <c r="I6" s="53" t="s">
        <v>170</v>
      </c>
      <c r="J6" s="53" t="s">
        <v>80</v>
      </c>
      <c r="K6" s="53" t="s">
        <v>227</v>
      </c>
      <c r="L6" s="53">
        <v>2</v>
      </c>
      <c r="N6" s="53">
        <v>9</v>
      </c>
      <c r="O6" s="53">
        <v>0.5</v>
      </c>
      <c r="P6" s="53">
        <v>0.55000000000000004</v>
      </c>
      <c r="Q6" s="76">
        <f t="shared" si="0"/>
        <v>0.52500000000000002</v>
      </c>
      <c r="R6" s="53">
        <v>13.6</v>
      </c>
      <c r="S6" s="53">
        <v>56</v>
      </c>
      <c r="T6" s="16">
        <f t="shared" si="1"/>
        <v>50</v>
      </c>
      <c r="U6" s="53">
        <v>971</v>
      </c>
      <c r="V6" s="16">
        <f t="shared" si="2"/>
        <v>5394.4444444444443</v>
      </c>
      <c r="W6" s="53">
        <v>1</v>
      </c>
      <c r="X6" s="53" t="s">
        <v>39</v>
      </c>
      <c r="Y6" s="53" t="s">
        <v>90</v>
      </c>
      <c r="Z6" s="53" t="s">
        <v>84</v>
      </c>
      <c r="AA6" s="53" t="s">
        <v>40</v>
      </c>
      <c r="AB6" s="53" t="s">
        <v>158</v>
      </c>
      <c r="AE6" s="22" t="s">
        <v>56</v>
      </c>
      <c r="AG6" s="23" t="s">
        <v>247</v>
      </c>
      <c r="AH6" s="82" t="s">
        <v>246</v>
      </c>
      <c r="AL6" s="73" t="s">
        <v>164</v>
      </c>
      <c r="AN6" s="73" t="s">
        <v>170</v>
      </c>
      <c r="AP6" s="23" t="s">
        <v>53</v>
      </c>
      <c r="AR6" s="23" t="s">
        <v>59</v>
      </c>
      <c r="AV6" s="23" t="s">
        <v>60</v>
      </c>
      <c r="AX6" s="24">
        <v>97</v>
      </c>
      <c r="AY6" s="25">
        <v>36</v>
      </c>
      <c r="AZ6" s="25">
        <v>99</v>
      </c>
      <c r="BA6" s="26">
        <v>33</v>
      </c>
    </row>
    <row r="7" spans="1:53" x14ac:dyDescent="0.15">
      <c r="A7" s="53" t="s">
        <v>56</v>
      </c>
      <c r="B7" s="53" t="s">
        <v>157</v>
      </c>
      <c r="C7" s="53">
        <v>2019</v>
      </c>
      <c r="D7" s="81" t="s">
        <v>168</v>
      </c>
      <c r="E7" s="53" t="s">
        <v>238</v>
      </c>
      <c r="F7" s="53" t="s">
        <v>239</v>
      </c>
      <c r="G7" s="53" t="s">
        <v>42</v>
      </c>
      <c r="H7" s="53" t="s">
        <v>189</v>
      </c>
      <c r="I7" s="53" t="s">
        <v>170</v>
      </c>
      <c r="J7" s="53" t="s">
        <v>80</v>
      </c>
      <c r="K7" s="53" t="s">
        <v>227</v>
      </c>
      <c r="L7" s="53">
        <v>3</v>
      </c>
      <c r="N7" s="53">
        <v>9</v>
      </c>
      <c r="O7" s="53">
        <v>0.7</v>
      </c>
      <c r="P7" s="53">
        <v>0.65</v>
      </c>
      <c r="Q7" s="76">
        <f t="shared" si="0"/>
        <v>0.67500000000000004</v>
      </c>
      <c r="R7" s="53">
        <v>11.6</v>
      </c>
      <c r="S7" s="53">
        <v>58</v>
      </c>
      <c r="T7" s="16">
        <f t="shared" si="1"/>
        <v>50</v>
      </c>
      <c r="U7" s="53">
        <v>971</v>
      </c>
      <c r="V7" s="16">
        <f t="shared" si="2"/>
        <v>5394.4444444444443</v>
      </c>
      <c r="W7" s="53">
        <v>1</v>
      </c>
      <c r="X7" s="53" t="s">
        <v>39</v>
      </c>
      <c r="Y7" s="53" t="s">
        <v>90</v>
      </c>
      <c r="Z7" s="53" t="s">
        <v>84</v>
      </c>
      <c r="AA7" s="53" t="s">
        <v>40</v>
      </c>
      <c r="AB7" s="53" t="s">
        <v>158</v>
      </c>
      <c r="AE7" s="22" t="s">
        <v>61</v>
      </c>
      <c r="AG7" s="23" t="s">
        <v>161</v>
      </c>
      <c r="AH7" s="82" t="s">
        <v>248</v>
      </c>
      <c r="AL7" s="83" t="s">
        <v>202</v>
      </c>
      <c r="AP7" s="23" t="s">
        <v>58</v>
      </c>
      <c r="AR7" s="23" t="s">
        <v>203</v>
      </c>
      <c r="AV7" s="23" t="s">
        <v>64</v>
      </c>
      <c r="AX7" s="24">
        <v>109</v>
      </c>
      <c r="AY7" s="25">
        <v>33</v>
      </c>
      <c r="AZ7" s="25">
        <v>113</v>
      </c>
      <c r="BA7" s="26">
        <v>30</v>
      </c>
    </row>
    <row r="8" spans="1:53" x14ac:dyDescent="0.15">
      <c r="A8" s="53" t="s">
        <v>56</v>
      </c>
      <c r="B8" s="53" t="s">
        <v>157</v>
      </c>
      <c r="C8" s="53">
        <v>2019</v>
      </c>
      <c r="D8" s="81" t="s">
        <v>168</v>
      </c>
      <c r="E8" s="53" t="s">
        <v>242</v>
      </c>
      <c r="F8" s="53" t="s">
        <v>239</v>
      </c>
      <c r="G8" s="53" t="s">
        <v>42</v>
      </c>
      <c r="H8" s="53" t="s">
        <v>163</v>
      </c>
      <c r="I8" s="53" t="s">
        <v>159</v>
      </c>
      <c r="J8" s="53" t="s">
        <v>38</v>
      </c>
      <c r="K8" s="53" t="s">
        <v>160</v>
      </c>
      <c r="L8" s="53">
        <v>1</v>
      </c>
      <c r="N8" s="53">
        <v>7</v>
      </c>
      <c r="O8" s="53">
        <v>0.8</v>
      </c>
      <c r="P8" s="53">
        <v>0.75</v>
      </c>
      <c r="Q8" s="76">
        <f t="shared" si="0"/>
        <v>0.77500000000000002</v>
      </c>
      <c r="R8" s="53">
        <v>14.4</v>
      </c>
      <c r="S8" s="53">
        <v>104</v>
      </c>
      <c r="T8" s="16">
        <f t="shared" si="1"/>
        <v>33</v>
      </c>
      <c r="U8" s="53">
        <v>518</v>
      </c>
      <c r="V8" s="16">
        <f t="shared" si="2"/>
        <v>2442</v>
      </c>
      <c r="W8" s="53">
        <v>8</v>
      </c>
      <c r="X8" s="53" t="s">
        <v>46</v>
      </c>
      <c r="Y8" s="53" t="s">
        <v>84</v>
      </c>
      <c r="Z8" s="53" t="s">
        <v>40</v>
      </c>
      <c r="AA8" s="53" t="s">
        <v>90</v>
      </c>
      <c r="AB8" s="53" t="s">
        <v>158</v>
      </c>
      <c r="AE8" s="22" t="s">
        <v>59</v>
      </c>
      <c r="AG8" s="23" t="s">
        <v>249</v>
      </c>
      <c r="AH8" s="82" t="s">
        <v>248</v>
      </c>
      <c r="AL8" s="83" t="s">
        <v>206</v>
      </c>
      <c r="AP8" s="23" t="s">
        <v>62</v>
      </c>
      <c r="AR8" s="23" t="s">
        <v>81</v>
      </c>
      <c r="AV8" s="23" t="s">
        <v>97</v>
      </c>
      <c r="AX8" s="24">
        <v>119</v>
      </c>
      <c r="AY8" s="25">
        <v>30</v>
      </c>
      <c r="AZ8" s="25">
        <v>121</v>
      </c>
      <c r="BA8" s="26">
        <v>27</v>
      </c>
    </row>
    <row r="9" spans="1:53" x14ac:dyDescent="0.15">
      <c r="A9" s="53" t="s">
        <v>56</v>
      </c>
      <c r="B9" s="53" t="s">
        <v>157</v>
      </c>
      <c r="C9" s="53">
        <v>2019</v>
      </c>
      <c r="D9" s="81" t="s">
        <v>168</v>
      </c>
      <c r="E9" s="53" t="s">
        <v>242</v>
      </c>
      <c r="F9" s="53" t="s">
        <v>239</v>
      </c>
      <c r="G9" s="53" t="s">
        <v>42</v>
      </c>
      <c r="H9" s="53" t="s">
        <v>163</v>
      </c>
      <c r="I9" s="53" t="s">
        <v>159</v>
      </c>
      <c r="J9" s="53" t="s">
        <v>38</v>
      </c>
      <c r="K9" s="53" t="s">
        <v>160</v>
      </c>
      <c r="L9" s="53">
        <v>2</v>
      </c>
      <c r="N9" s="53">
        <v>7</v>
      </c>
      <c r="O9" s="53">
        <v>0.65</v>
      </c>
      <c r="P9" s="53">
        <v>0.7</v>
      </c>
      <c r="Q9" s="76">
        <f t="shared" si="0"/>
        <v>0.67500000000000004</v>
      </c>
      <c r="R9" s="53">
        <v>12.2</v>
      </c>
      <c r="S9" s="53">
        <v>99</v>
      </c>
      <c r="T9" s="16">
        <f t="shared" si="1"/>
        <v>33</v>
      </c>
      <c r="U9" s="53">
        <v>518</v>
      </c>
      <c r="V9" s="16">
        <f t="shared" si="2"/>
        <v>2442</v>
      </c>
      <c r="W9" s="53">
        <v>8</v>
      </c>
      <c r="X9" s="53" t="s">
        <v>46</v>
      </c>
      <c r="Y9" s="53" t="s">
        <v>84</v>
      </c>
      <c r="Z9" s="53" t="s">
        <v>40</v>
      </c>
      <c r="AA9" s="53" t="s">
        <v>90</v>
      </c>
      <c r="AB9" s="53" t="s">
        <v>158</v>
      </c>
      <c r="AE9" s="22" t="s">
        <v>207</v>
      </c>
      <c r="AG9" s="23" t="s">
        <v>238</v>
      </c>
      <c r="AH9" s="23" t="s">
        <v>239</v>
      </c>
      <c r="AL9" s="73"/>
      <c r="AP9" s="23" t="s">
        <v>95</v>
      </c>
      <c r="AR9" s="23" t="s">
        <v>210</v>
      </c>
      <c r="AV9" s="23" t="s">
        <v>102</v>
      </c>
      <c r="AX9" s="24">
        <v>128</v>
      </c>
      <c r="AY9" s="25">
        <v>27</v>
      </c>
      <c r="AZ9" s="25">
        <v>129</v>
      </c>
      <c r="BA9" s="26">
        <v>25</v>
      </c>
    </row>
    <row r="10" spans="1:53" x14ac:dyDescent="0.15">
      <c r="A10" s="53" t="s">
        <v>56</v>
      </c>
      <c r="B10" s="53" t="s">
        <v>157</v>
      </c>
      <c r="C10" s="53">
        <v>2019</v>
      </c>
      <c r="D10" s="81" t="s">
        <v>168</v>
      </c>
      <c r="E10" s="53" t="s">
        <v>242</v>
      </c>
      <c r="F10" s="53" t="s">
        <v>239</v>
      </c>
      <c r="G10" s="53" t="s">
        <v>42</v>
      </c>
      <c r="H10" s="53" t="s">
        <v>163</v>
      </c>
      <c r="I10" s="53" t="s">
        <v>159</v>
      </c>
      <c r="J10" s="53" t="s">
        <v>38</v>
      </c>
      <c r="K10" s="53" t="s">
        <v>160</v>
      </c>
      <c r="L10" s="53">
        <v>3</v>
      </c>
      <c r="N10" s="53">
        <v>7</v>
      </c>
      <c r="O10" s="53">
        <v>0.7</v>
      </c>
      <c r="P10" s="53">
        <v>0.75</v>
      </c>
      <c r="Q10" s="76">
        <f t="shared" si="0"/>
        <v>0.72499999999999998</v>
      </c>
      <c r="R10" s="53">
        <v>13.8</v>
      </c>
      <c r="S10" s="53">
        <v>103</v>
      </c>
      <c r="T10" s="16">
        <f t="shared" si="1"/>
        <v>33</v>
      </c>
      <c r="U10" s="53">
        <v>518</v>
      </c>
      <c r="V10" s="16">
        <f t="shared" si="2"/>
        <v>2442</v>
      </c>
      <c r="W10" s="53">
        <v>8</v>
      </c>
      <c r="X10" s="53" t="s">
        <v>46</v>
      </c>
      <c r="Y10" s="53" t="s">
        <v>84</v>
      </c>
      <c r="Z10" s="53" t="s">
        <v>40</v>
      </c>
      <c r="AA10" s="53" t="s">
        <v>90</v>
      </c>
      <c r="AB10" s="53" t="s">
        <v>158</v>
      </c>
      <c r="AE10" s="22" t="s">
        <v>211</v>
      </c>
      <c r="AG10" s="23" t="s">
        <v>161</v>
      </c>
      <c r="AH10" s="82" t="s">
        <v>246</v>
      </c>
      <c r="AL10" s="83"/>
      <c r="AP10" s="23" t="s">
        <v>100</v>
      </c>
      <c r="AR10" s="23" t="s">
        <v>213</v>
      </c>
      <c r="AV10" s="23" t="s">
        <v>106</v>
      </c>
      <c r="AX10" s="24">
        <v>138</v>
      </c>
      <c r="AY10" s="25">
        <v>25</v>
      </c>
      <c r="AZ10" s="25">
        <v>138</v>
      </c>
      <c r="BA10" s="26">
        <v>22</v>
      </c>
    </row>
    <row r="11" spans="1:53" x14ac:dyDescent="0.15">
      <c r="A11" s="53" t="s">
        <v>56</v>
      </c>
      <c r="B11" s="53" t="s">
        <v>157</v>
      </c>
      <c r="C11" s="53">
        <v>2019</v>
      </c>
      <c r="D11" s="81" t="s">
        <v>168</v>
      </c>
      <c r="E11" s="53" t="s">
        <v>242</v>
      </c>
      <c r="F11" s="53" t="s">
        <v>239</v>
      </c>
      <c r="G11" s="53" t="s">
        <v>42</v>
      </c>
      <c r="H11" s="53" t="s">
        <v>189</v>
      </c>
      <c r="I11" s="53" t="s">
        <v>159</v>
      </c>
      <c r="J11" s="53" t="s">
        <v>53</v>
      </c>
      <c r="K11" s="53" t="s">
        <v>54</v>
      </c>
      <c r="L11" s="53">
        <v>1</v>
      </c>
      <c r="N11" s="53">
        <v>1</v>
      </c>
      <c r="O11" s="53">
        <v>0.7</v>
      </c>
      <c r="P11" s="53">
        <v>0.7</v>
      </c>
      <c r="Q11" s="76">
        <f t="shared" si="0"/>
        <v>0.7</v>
      </c>
      <c r="R11" s="53">
        <v>13.7</v>
      </c>
      <c r="S11" s="53">
        <v>109</v>
      </c>
      <c r="T11" s="16">
        <f t="shared" si="1"/>
        <v>33</v>
      </c>
      <c r="U11" s="53">
        <v>108</v>
      </c>
      <c r="V11" s="16">
        <f t="shared" si="2"/>
        <v>3564</v>
      </c>
      <c r="W11" s="53">
        <v>2</v>
      </c>
      <c r="X11" s="53" t="s">
        <v>46</v>
      </c>
      <c r="Y11" s="53" t="s">
        <v>84</v>
      </c>
      <c r="Z11" s="53" t="s">
        <v>40</v>
      </c>
      <c r="AA11" s="53" t="s">
        <v>90</v>
      </c>
      <c r="AB11" s="53" t="s">
        <v>158</v>
      </c>
      <c r="AE11" s="22" t="s">
        <v>68</v>
      </c>
      <c r="AG11" s="23" t="s">
        <v>247</v>
      </c>
      <c r="AH11" s="82" t="s">
        <v>246</v>
      </c>
      <c r="AJ11" s="83"/>
      <c r="AP11" s="23" t="s">
        <v>104</v>
      </c>
      <c r="AR11" s="23" t="s">
        <v>216</v>
      </c>
      <c r="AV11" s="23" t="s">
        <v>69</v>
      </c>
    </row>
    <row r="12" spans="1:53" x14ac:dyDescent="0.15">
      <c r="A12" s="53" t="s">
        <v>56</v>
      </c>
      <c r="B12" s="53" t="s">
        <v>157</v>
      </c>
      <c r="C12" s="53">
        <v>2019</v>
      </c>
      <c r="D12" s="81" t="s">
        <v>168</v>
      </c>
      <c r="E12" s="53" t="s">
        <v>242</v>
      </c>
      <c r="F12" s="53" t="s">
        <v>239</v>
      </c>
      <c r="G12" s="53" t="s">
        <v>42</v>
      </c>
      <c r="H12" s="53" t="s">
        <v>189</v>
      </c>
      <c r="I12" s="53" t="s">
        <v>159</v>
      </c>
      <c r="J12" s="53" t="s">
        <v>53</v>
      </c>
      <c r="K12" s="53" t="s">
        <v>54</v>
      </c>
      <c r="L12" s="53">
        <v>2</v>
      </c>
      <c r="N12" s="53">
        <v>1</v>
      </c>
      <c r="O12" s="53">
        <v>0.7</v>
      </c>
      <c r="P12" s="53">
        <v>0.75</v>
      </c>
      <c r="Q12" s="76">
        <f t="shared" si="0"/>
        <v>0.72499999999999998</v>
      </c>
      <c r="R12" s="53">
        <v>13.2</v>
      </c>
      <c r="S12" s="53">
        <v>116</v>
      </c>
      <c r="T12" s="16">
        <f t="shared" si="1"/>
        <v>30</v>
      </c>
      <c r="U12" s="53">
        <v>108</v>
      </c>
      <c r="V12" s="16">
        <f t="shared" si="2"/>
        <v>3240</v>
      </c>
      <c r="W12" s="53">
        <v>2</v>
      </c>
      <c r="X12" s="53" t="s">
        <v>46</v>
      </c>
      <c r="Y12" s="53" t="s">
        <v>84</v>
      </c>
      <c r="Z12" s="53" t="s">
        <v>40</v>
      </c>
      <c r="AA12" s="53" t="s">
        <v>90</v>
      </c>
      <c r="AB12" s="53" t="s">
        <v>158</v>
      </c>
      <c r="AE12" s="22" t="s">
        <v>217</v>
      </c>
      <c r="AG12" s="23" t="s">
        <v>242</v>
      </c>
      <c r="AH12" s="82" t="s">
        <v>246</v>
      </c>
      <c r="AJ12" s="83"/>
      <c r="AP12" s="23" t="s">
        <v>67</v>
      </c>
      <c r="AR12" s="23" t="s">
        <v>218</v>
      </c>
      <c r="AV12" s="23" t="s">
        <v>72</v>
      </c>
    </row>
    <row r="13" spans="1:53" x14ac:dyDescent="0.15">
      <c r="A13" s="53" t="s">
        <v>56</v>
      </c>
      <c r="B13" s="53" t="s">
        <v>157</v>
      </c>
      <c r="C13" s="53">
        <v>2019</v>
      </c>
      <c r="D13" s="81" t="s">
        <v>168</v>
      </c>
      <c r="E13" s="53" t="s">
        <v>242</v>
      </c>
      <c r="F13" s="53" t="s">
        <v>239</v>
      </c>
      <c r="G13" s="53" t="s">
        <v>42</v>
      </c>
      <c r="H13" s="53" t="s">
        <v>189</v>
      </c>
      <c r="I13" s="53" t="s">
        <v>159</v>
      </c>
      <c r="J13" s="53" t="s">
        <v>53</v>
      </c>
      <c r="K13" s="53" t="s">
        <v>54</v>
      </c>
      <c r="L13" s="53">
        <v>3</v>
      </c>
      <c r="N13" s="53">
        <v>1</v>
      </c>
      <c r="O13" s="53">
        <v>1.1499999999999999</v>
      </c>
      <c r="P13" s="53">
        <v>1.2</v>
      </c>
      <c r="Q13" s="76">
        <f t="shared" si="0"/>
        <v>1.1749999999999998</v>
      </c>
      <c r="R13" s="53">
        <v>13.2</v>
      </c>
      <c r="S13" s="53">
        <v>118</v>
      </c>
      <c r="T13" s="16">
        <f t="shared" si="1"/>
        <v>30</v>
      </c>
      <c r="U13" s="53">
        <v>108</v>
      </c>
      <c r="V13" s="16">
        <f t="shared" si="2"/>
        <v>3240</v>
      </c>
      <c r="W13" s="53">
        <v>2</v>
      </c>
      <c r="X13" s="53" t="s">
        <v>46</v>
      </c>
      <c r="Y13" s="53" t="s">
        <v>84</v>
      </c>
      <c r="Z13" s="53" t="s">
        <v>40</v>
      </c>
      <c r="AA13" s="53" t="s">
        <v>90</v>
      </c>
      <c r="AB13" s="53" t="s">
        <v>158</v>
      </c>
      <c r="AE13" s="22" t="s">
        <v>219</v>
      </c>
      <c r="AP13" s="23" t="s">
        <v>71</v>
      </c>
      <c r="AR13" s="23" t="s">
        <v>211</v>
      </c>
      <c r="AV13" s="23" t="s">
        <v>75</v>
      </c>
    </row>
    <row r="14" spans="1:53" x14ac:dyDescent="0.15">
      <c r="A14" s="53" t="s">
        <v>56</v>
      </c>
      <c r="B14" s="53" t="s">
        <v>157</v>
      </c>
      <c r="C14" s="53">
        <v>2019</v>
      </c>
      <c r="D14" s="81" t="s">
        <v>168</v>
      </c>
      <c r="E14" s="53" t="s">
        <v>161</v>
      </c>
      <c r="F14" s="53" t="s">
        <v>246</v>
      </c>
      <c r="G14" s="53" t="s">
        <v>42</v>
      </c>
      <c r="H14" s="53" t="s">
        <v>163</v>
      </c>
      <c r="I14" s="53" t="s">
        <v>159</v>
      </c>
      <c r="J14" s="53" t="s">
        <v>38</v>
      </c>
      <c r="K14" s="53" t="s">
        <v>160</v>
      </c>
      <c r="L14" s="53">
        <v>1</v>
      </c>
      <c r="N14" s="53">
        <v>8</v>
      </c>
      <c r="O14" s="53">
        <v>0.5</v>
      </c>
      <c r="P14" s="53">
        <v>0.5</v>
      </c>
      <c r="Q14" s="76">
        <f t="shared" si="0"/>
        <v>0.5</v>
      </c>
      <c r="R14" s="53">
        <v>13.7</v>
      </c>
      <c r="S14" s="53">
        <v>93</v>
      </c>
      <c r="T14" s="16">
        <f t="shared" si="1"/>
        <v>36</v>
      </c>
      <c r="U14" s="53">
        <v>646</v>
      </c>
      <c r="V14" s="16">
        <f t="shared" si="2"/>
        <v>2907</v>
      </c>
      <c r="W14" s="53">
        <v>4</v>
      </c>
      <c r="X14" s="53" t="s">
        <v>46</v>
      </c>
      <c r="Y14" s="53" t="s">
        <v>40</v>
      </c>
      <c r="Z14" s="53" t="s">
        <v>84</v>
      </c>
      <c r="AA14" s="53" t="s">
        <v>90</v>
      </c>
      <c r="AB14" s="53" t="s">
        <v>158</v>
      </c>
      <c r="AE14" s="22" t="s">
        <v>96</v>
      </c>
      <c r="AP14" s="23" t="s">
        <v>74</v>
      </c>
      <c r="AR14" s="23" t="s">
        <v>220</v>
      </c>
      <c r="AV14" s="23" t="s">
        <v>78</v>
      </c>
    </row>
    <row r="15" spans="1:53" x14ac:dyDescent="0.15">
      <c r="A15" s="53" t="s">
        <v>56</v>
      </c>
      <c r="B15" s="53" t="s">
        <v>157</v>
      </c>
      <c r="C15" s="53">
        <v>2019</v>
      </c>
      <c r="D15" s="81" t="s">
        <v>168</v>
      </c>
      <c r="E15" s="53" t="s">
        <v>161</v>
      </c>
      <c r="F15" s="53" t="s">
        <v>246</v>
      </c>
      <c r="G15" s="53" t="s">
        <v>42</v>
      </c>
      <c r="H15" s="53" t="s">
        <v>163</v>
      </c>
      <c r="I15" s="53" t="s">
        <v>159</v>
      </c>
      <c r="J15" s="53" t="s">
        <v>38</v>
      </c>
      <c r="K15" s="53" t="s">
        <v>160</v>
      </c>
      <c r="L15" s="53">
        <v>2</v>
      </c>
      <c r="N15" s="53">
        <v>8</v>
      </c>
      <c r="O15" s="53">
        <v>0.55000000000000004</v>
      </c>
      <c r="P15" s="53">
        <v>0.55000000000000004</v>
      </c>
      <c r="Q15" s="76">
        <f t="shared" si="0"/>
        <v>0.55000000000000004</v>
      </c>
      <c r="R15" s="53">
        <v>15.5</v>
      </c>
      <c r="S15" s="53">
        <v>100</v>
      </c>
      <c r="T15" s="16">
        <f t="shared" si="1"/>
        <v>33</v>
      </c>
      <c r="U15" s="53">
        <v>646</v>
      </c>
      <c r="V15" s="16">
        <f t="shared" si="2"/>
        <v>2664.75</v>
      </c>
      <c r="W15" s="53">
        <v>4</v>
      </c>
      <c r="X15" s="53" t="s">
        <v>46</v>
      </c>
      <c r="Y15" s="53" t="s">
        <v>40</v>
      </c>
      <c r="Z15" s="53" t="s">
        <v>84</v>
      </c>
      <c r="AA15" s="53" t="s">
        <v>90</v>
      </c>
      <c r="AB15" s="53" t="s">
        <v>158</v>
      </c>
      <c r="AE15" s="22" t="s">
        <v>221</v>
      </c>
      <c r="AP15" s="23" t="s">
        <v>77</v>
      </c>
      <c r="AR15" s="23" t="s">
        <v>80</v>
      </c>
      <c r="AV15" s="23" t="s">
        <v>107</v>
      </c>
    </row>
    <row r="16" spans="1:53" x14ac:dyDescent="0.15">
      <c r="A16" s="53" t="s">
        <v>56</v>
      </c>
      <c r="B16" s="53" t="s">
        <v>157</v>
      </c>
      <c r="C16" s="53">
        <v>2019</v>
      </c>
      <c r="D16" s="81" t="s">
        <v>168</v>
      </c>
      <c r="E16" s="53" t="s">
        <v>161</v>
      </c>
      <c r="F16" s="53" t="s">
        <v>246</v>
      </c>
      <c r="G16" s="53" t="s">
        <v>42</v>
      </c>
      <c r="H16" s="53" t="s">
        <v>163</v>
      </c>
      <c r="I16" s="53" t="s">
        <v>159</v>
      </c>
      <c r="J16" s="53" t="s">
        <v>38</v>
      </c>
      <c r="K16" s="53" t="s">
        <v>160</v>
      </c>
      <c r="L16" s="53">
        <v>3</v>
      </c>
      <c r="N16" s="53">
        <v>8</v>
      </c>
      <c r="O16" s="53">
        <v>0.65</v>
      </c>
      <c r="P16" s="53">
        <v>0.65</v>
      </c>
      <c r="Q16" s="76">
        <f t="shared" si="0"/>
        <v>0.65</v>
      </c>
      <c r="R16" s="53">
        <v>14.1</v>
      </c>
      <c r="S16" s="53">
        <v>97</v>
      </c>
      <c r="T16" s="16">
        <f t="shared" si="1"/>
        <v>36</v>
      </c>
      <c r="U16" s="53">
        <v>646</v>
      </c>
      <c r="V16" s="16">
        <f t="shared" si="2"/>
        <v>2907</v>
      </c>
      <c r="W16" s="53">
        <v>4</v>
      </c>
      <c r="X16" s="53" t="s">
        <v>46</v>
      </c>
      <c r="Y16" s="53" t="s">
        <v>40</v>
      </c>
      <c r="Z16" s="53" t="s">
        <v>84</v>
      </c>
      <c r="AA16" s="53" t="s">
        <v>90</v>
      </c>
      <c r="AB16" s="53" t="s">
        <v>158</v>
      </c>
      <c r="AE16" s="22" t="s">
        <v>222</v>
      </c>
      <c r="AP16" s="23" t="s">
        <v>80</v>
      </c>
      <c r="AR16" s="23" t="s">
        <v>63</v>
      </c>
      <c r="AV16" s="23" t="s">
        <v>84</v>
      </c>
    </row>
    <row r="17" spans="1:48" x14ac:dyDescent="0.15">
      <c r="A17" s="53" t="s">
        <v>56</v>
      </c>
      <c r="B17" s="53" t="s">
        <v>157</v>
      </c>
      <c r="C17" s="53">
        <v>2019</v>
      </c>
      <c r="D17" s="81" t="s">
        <v>168</v>
      </c>
      <c r="E17" s="53" t="s">
        <v>161</v>
      </c>
      <c r="F17" s="53" t="s">
        <v>246</v>
      </c>
      <c r="G17" s="53" t="s">
        <v>42</v>
      </c>
      <c r="H17" s="53" t="s">
        <v>191</v>
      </c>
      <c r="I17" s="53" t="s">
        <v>159</v>
      </c>
      <c r="J17" s="53" t="s">
        <v>80</v>
      </c>
      <c r="K17" s="53" t="s">
        <v>63</v>
      </c>
      <c r="L17" s="53">
        <v>1</v>
      </c>
      <c r="N17" s="53">
        <v>1</v>
      </c>
      <c r="O17" s="53">
        <v>1</v>
      </c>
      <c r="P17" s="53">
        <v>0.8</v>
      </c>
      <c r="Q17" s="76">
        <f t="shared" si="0"/>
        <v>0.9</v>
      </c>
      <c r="R17" s="53">
        <v>16.8</v>
      </c>
      <c r="S17" s="53">
        <v>115</v>
      </c>
      <c r="T17" s="16">
        <f t="shared" si="1"/>
        <v>30</v>
      </c>
      <c r="U17" s="53">
        <v>106</v>
      </c>
      <c r="V17" s="16">
        <f t="shared" si="2"/>
        <v>3180</v>
      </c>
      <c r="W17" s="53">
        <v>2</v>
      </c>
      <c r="X17" s="53" t="s">
        <v>46</v>
      </c>
      <c r="Y17" s="53" t="s">
        <v>40</v>
      </c>
      <c r="Z17" s="53" t="s">
        <v>84</v>
      </c>
      <c r="AA17" s="53" t="s">
        <v>90</v>
      </c>
      <c r="AB17" s="53" t="s">
        <v>158</v>
      </c>
      <c r="AE17" s="22" t="s">
        <v>223</v>
      </c>
      <c r="AP17" s="27" t="s">
        <v>224</v>
      </c>
      <c r="AR17" s="23" t="s">
        <v>96</v>
      </c>
      <c r="AV17" s="23" t="s">
        <v>86</v>
      </c>
    </row>
    <row r="18" spans="1:48" x14ac:dyDescent="0.15">
      <c r="A18" s="53" t="s">
        <v>56</v>
      </c>
      <c r="B18" s="53" t="s">
        <v>157</v>
      </c>
      <c r="C18" s="53">
        <v>2019</v>
      </c>
      <c r="D18" s="81" t="s">
        <v>168</v>
      </c>
      <c r="E18" s="53" t="s">
        <v>161</v>
      </c>
      <c r="F18" s="53" t="s">
        <v>246</v>
      </c>
      <c r="G18" s="53" t="s">
        <v>42</v>
      </c>
      <c r="H18" s="53" t="s">
        <v>191</v>
      </c>
      <c r="I18" s="53" t="s">
        <v>159</v>
      </c>
      <c r="J18" s="53" t="s">
        <v>80</v>
      </c>
      <c r="K18" s="53" t="s">
        <v>63</v>
      </c>
      <c r="L18" s="53">
        <v>2</v>
      </c>
      <c r="N18" s="53">
        <v>1</v>
      </c>
      <c r="O18" s="53">
        <v>0.8</v>
      </c>
      <c r="P18" s="53">
        <v>0.8</v>
      </c>
      <c r="Q18" s="76">
        <f t="shared" si="0"/>
        <v>0.8</v>
      </c>
      <c r="R18" s="53">
        <v>16.899999999999999</v>
      </c>
      <c r="S18" s="53">
        <v>104</v>
      </c>
      <c r="T18" s="16">
        <f t="shared" si="1"/>
        <v>33</v>
      </c>
      <c r="U18" s="53">
        <v>106</v>
      </c>
      <c r="V18" s="16">
        <f t="shared" si="2"/>
        <v>3498</v>
      </c>
      <c r="W18" s="53">
        <v>2</v>
      </c>
      <c r="X18" s="53" t="s">
        <v>46</v>
      </c>
      <c r="Y18" s="53" t="s">
        <v>40</v>
      </c>
      <c r="Z18" s="53" t="s">
        <v>84</v>
      </c>
      <c r="AA18" s="53" t="s">
        <v>90</v>
      </c>
      <c r="AB18" s="53" t="s">
        <v>158</v>
      </c>
      <c r="AE18" s="22" t="s">
        <v>216</v>
      </c>
      <c r="AP18" s="27" t="s">
        <v>225</v>
      </c>
      <c r="AR18" s="23" t="s">
        <v>101</v>
      </c>
      <c r="AV18" s="23" t="s">
        <v>88</v>
      </c>
    </row>
    <row r="19" spans="1:48" x14ac:dyDescent="0.15">
      <c r="A19" s="53" t="s">
        <v>56</v>
      </c>
      <c r="B19" s="53" t="s">
        <v>157</v>
      </c>
      <c r="C19" s="53">
        <v>2019</v>
      </c>
      <c r="D19" s="81" t="s">
        <v>168</v>
      </c>
      <c r="E19" s="53" t="s">
        <v>161</v>
      </c>
      <c r="F19" s="53" t="s">
        <v>246</v>
      </c>
      <c r="G19" s="53" t="s">
        <v>42</v>
      </c>
      <c r="H19" s="53" t="s">
        <v>191</v>
      </c>
      <c r="I19" s="53" t="s">
        <v>159</v>
      </c>
      <c r="J19" s="53" t="s">
        <v>80</v>
      </c>
      <c r="K19" s="53" t="s">
        <v>63</v>
      </c>
      <c r="L19" s="53">
        <v>3</v>
      </c>
      <c r="N19" s="53">
        <v>1</v>
      </c>
      <c r="O19" s="53">
        <v>0.8</v>
      </c>
      <c r="P19" s="53">
        <v>0.8</v>
      </c>
      <c r="Q19" s="76">
        <f t="shared" si="0"/>
        <v>0.8</v>
      </c>
      <c r="R19" s="53">
        <v>16.8</v>
      </c>
      <c r="S19" s="53">
        <v>101</v>
      </c>
      <c r="T19" s="16">
        <f t="shared" si="1"/>
        <v>33</v>
      </c>
      <c r="U19" s="53">
        <v>106</v>
      </c>
      <c r="V19" s="16">
        <f t="shared" si="2"/>
        <v>3498</v>
      </c>
      <c r="W19" s="53">
        <v>2</v>
      </c>
      <c r="X19" s="53" t="s">
        <v>46</v>
      </c>
      <c r="Y19" s="53" t="s">
        <v>40</v>
      </c>
      <c r="Z19" s="53" t="s">
        <v>84</v>
      </c>
      <c r="AA19" s="53" t="s">
        <v>90</v>
      </c>
      <c r="AB19" s="53" t="s">
        <v>158</v>
      </c>
      <c r="AE19" s="35" t="s">
        <v>210</v>
      </c>
      <c r="AP19" s="27" t="s">
        <v>226</v>
      </c>
      <c r="AR19" s="23" t="s">
        <v>227</v>
      </c>
      <c r="AV19" s="23" t="s">
        <v>90</v>
      </c>
    </row>
    <row r="20" spans="1:48" x14ac:dyDescent="0.15">
      <c r="A20" s="53" t="s">
        <v>56</v>
      </c>
      <c r="B20" s="53" t="s">
        <v>157</v>
      </c>
      <c r="C20" s="53">
        <v>2019</v>
      </c>
      <c r="D20" s="81" t="s">
        <v>168</v>
      </c>
      <c r="E20" s="53" t="s">
        <v>243</v>
      </c>
      <c r="F20" s="53" t="s">
        <v>244</v>
      </c>
      <c r="G20" s="53" t="s">
        <v>42</v>
      </c>
      <c r="H20" s="53" t="s">
        <v>163</v>
      </c>
      <c r="I20" s="53" t="s">
        <v>159</v>
      </c>
      <c r="J20" s="53" t="s">
        <v>38</v>
      </c>
      <c r="K20" s="53" t="s">
        <v>160</v>
      </c>
      <c r="L20" s="53">
        <v>1</v>
      </c>
      <c r="N20" s="53">
        <v>5</v>
      </c>
      <c r="O20" s="53">
        <v>0.75</v>
      </c>
      <c r="P20" s="53">
        <v>0.75</v>
      </c>
      <c r="Q20" s="76">
        <f t="shared" si="0"/>
        <v>0.75</v>
      </c>
      <c r="R20" s="53">
        <v>13.9</v>
      </c>
      <c r="S20" s="53">
        <v>92</v>
      </c>
      <c r="T20" s="16">
        <f t="shared" si="1"/>
        <v>36</v>
      </c>
      <c r="U20" s="53">
        <v>429</v>
      </c>
      <c r="V20" s="16">
        <f t="shared" si="2"/>
        <v>3088.7999999999997</v>
      </c>
      <c r="W20" s="53">
        <v>4</v>
      </c>
      <c r="X20" s="53" t="s">
        <v>46</v>
      </c>
      <c r="Y20" s="53" t="s">
        <v>40</v>
      </c>
      <c r="Z20" s="53" t="s">
        <v>84</v>
      </c>
      <c r="AA20" s="53" t="s">
        <v>90</v>
      </c>
      <c r="AB20" s="53" t="s">
        <v>158</v>
      </c>
      <c r="AP20" s="27" t="s">
        <v>228</v>
      </c>
      <c r="AR20" s="23" t="s">
        <v>105</v>
      </c>
      <c r="AV20" s="27" t="s">
        <v>229</v>
      </c>
    </row>
    <row r="21" spans="1:48" x14ac:dyDescent="0.15">
      <c r="A21" s="53" t="s">
        <v>56</v>
      </c>
      <c r="B21" s="53" t="s">
        <v>157</v>
      </c>
      <c r="C21" s="53">
        <v>2019</v>
      </c>
      <c r="D21" s="81" t="s">
        <v>168</v>
      </c>
      <c r="E21" s="53" t="s">
        <v>243</v>
      </c>
      <c r="F21" s="53" t="s">
        <v>244</v>
      </c>
      <c r="G21" s="53" t="s">
        <v>42</v>
      </c>
      <c r="H21" s="53" t="s">
        <v>163</v>
      </c>
      <c r="I21" s="53" t="s">
        <v>159</v>
      </c>
      <c r="J21" s="53" t="s">
        <v>38</v>
      </c>
      <c r="K21" s="53" t="s">
        <v>160</v>
      </c>
      <c r="L21" s="53">
        <v>2</v>
      </c>
      <c r="N21" s="53">
        <v>5</v>
      </c>
      <c r="O21" s="53">
        <v>0.7</v>
      </c>
      <c r="P21" s="53">
        <v>0.7</v>
      </c>
      <c r="Q21" s="76">
        <f t="shared" si="0"/>
        <v>0.7</v>
      </c>
      <c r="R21" s="53">
        <v>14.7</v>
      </c>
      <c r="S21" s="53">
        <v>83</v>
      </c>
      <c r="T21" s="16">
        <f t="shared" si="1"/>
        <v>39</v>
      </c>
      <c r="U21" s="53">
        <v>429</v>
      </c>
      <c r="V21" s="16">
        <f t="shared" si="2"/>
        <v>3346.2</v>
      </c>
      <c r="W21" s="53">
        <v>4</v>
      </c>
      <c r="X21" s="53" t="s">
        <v>46</v>
      </c>
      <c r="Y21" s="53" t="s">
        <v>40</v>
      </c>
      <c r="Z21" s="53" t="s">
        <v>84</v>
      </c>
      <c r="AA21" s="53" t="s">
        <v>90</v>
      </c>
      <c r="AB21" s="53" t="s">
        <v>158</v>
      </c>
      <c r="AP21" s="27" t="s">
        <v>230</v>
      </c>
      <c r="AR21" s="23" t="s">
        <v>68</v>
      </c>
      <c r="AV21" s="28" t="s">
        <v>231</v>
      </c>
    </row>
    <row r="22" spans="1:48" x14ac:dyDescent="0.15">
      <c r="A22" s="53" t="s">
        <v>56</v>
      </c>
      <c r="B22" s="53" t="s">
        <v>157</v>
      </c>
      <c r="C22" s="53">
        <v>2019</v>
      </c>
      <c r="D22" s="81" t="s">
        <v>168</v>
      </c>
      <c r="E22" s="53" t="s">
        <v>243</v>
      </c>
      <c r="F22" s="53" t="s">
        <v>244</v>
      </c>
      <c r="G22" s="53" t="s">
        <v>42</v>
      </c>
      <c r="H22" s="53" t="s">
        <v>163</v>
      </c>
      <c r="I22" s="53" t="s">
        <v>159</v>
      </c>
      <c r="J22" s="53" t="s">
        <v>38</v>
      </c>
      <c r="K22" s="53" t="s">
        <v>160</v>
      </c>
      <c r="L22" s="53">
        <v>3</v>
      </c>
      <c r="N22" s="53">
        <v>5</v>
      </c>
      <c r="O22" s="53">
        <v>0.7</v>
      </c>
      <c r="P22" s="53">
        <v>0.75</v>
      </c>
      <c r="Q22" s="76">
        <f t="shared" si="0"/>
        <v>0.72499999999999998</v>
      </c>
      <c r="R22" s="53">
        <v>14.5</v>
      </c>
      <c r="S22" s="53">
        <v>93</v>
      </c>
      <c r="T22" s="16">
        <f t="shared" si="1"/>
        <v>36</v>
      </c>
      <c r="U22" s="53">
        <v>429</v>
      </c>
      <c r="V22" s="16">
        <f t="shared" si="2"/>
        <v>3088.7999999999997</v>
      </c>
      <c r="W22" s="53">
        <v>4</v>
      </c>
      <c r="X22" s="53" t="s">
        <v>46</v>
      </c>
      <c r="Y22" s="53" t="s">
        <v>40</v>
      </c>
      <c r="Z22" s="53" t="s">
        <v>84</v>
      </c>
      <c r="AA22" s="53" t="s">
        <v>90</v>
      </c>
      <c r="AB22" s="53" t="s">
        <v>158</v>
      </c>
      <c r="AP22" s="27" t="s">
        <v>232</v>
      </c>
      <c r="AR22" s="23" t="s">
        <v>83</v>
      </c>
    </row>
    <row r="23" spans="1:48" x14ac:dyDescent="0.15">
      <c r="A23" s="53" t="s">
        <v>56</v>
      </c>
      <c r="B23" s="53" t="s">
        <v>157</v>
      </c>
      <c r="C23" s="53">
        <v>2019</v>
      </c>
      <c r="D23" s="81" t="s">
        <v>168</v>
      </c>
      <c r="E23" s="53" t="s">
        <v>245</v>
      </c>
      <c r="F23" s="53" t="s">
        <v>246</v>
      </c>
      <c r="G23" s="53" t="s">
        <v>42</v>
      </c>
      <c r="H23" s="53" t="s">
        <v>163</v>
      </c>
      <c r="I23" s="53" t="s">
        <v>159</v>
      </c>
      <c r="J23" s="53" t="s">
        <v>38</v>
      </c>
      <c r="K23" s="53" t="s">
        <v>160</v>
      </c>
      <c r="L23" s="53">
        <v>1</v>
      </c>
      <c r="N23" s="53">
        <v>7</v>
      </c>
      <c r="O23" s="53">
        <v>0.55000000000000004</v>
      </c>
      <c r="P23" s="53">
        <v>0.55000000000000004</v>
      </c>
      <c r="Q23" s="16">
        <f t="shared" si="0"/>
        <v>0.55000000000000004</v>
      </c>
      <c r="R23" s="53">
        <v>13.8</v>
      </c>
      <c r="S23" s="53">
        <v>94</v>
      </c>
      <c r="T23" s="16">
        <f t="shared" si="1"/>
        <v>36</v>
      </c>
      <c r="U23" s="53">
        <v>429</v>
      </c>
      <c r="V23" s="16">
        <f t="shared" si="2"/>
        <v>2206.2857142857142</v>
      </c>
      <c r="W23" s="53">
        <v>2</v>
      </c>
      <c r="X23" s="53" t="s">
        <v>39</v>
      </c>
      <c r="Y23" s="53" t="s">
        <v>40</v>
      </c>
      <c r="Z23" s="53" t="s">
        <v>84</v>
      </c>
      <c r="AA23" s="53" t="s">
        <v>90</v>
      </c>
      <c r="AB23" s="53" t="s">
        <v>158</v>
      </c>
      <c r="AP23" s="27" t="s">
        <v>250</v>
      </c>
      <c r="AR23" s="23" t="s">
        <v>61</v>
      </c>
    </row>
    <row r="24" spans="1:48" x14ac:dyDescent="0.15">
      <c r="A24" s="53" t="s">
        <v>56</v>
      </c>
      <c r="B24" s="53" t="s">
        <v>157</v>
      </c>
      <c r="C24" s="53">
        <v>2019</v>
      </c>
      <c r="D24" s="81" t="s">
        <v>168</v>
      </c>
      <c r="E24" s="53" t="s">
        <v>245</v>
      </c>
      <c r="F24" s="53" t="s">
        <v>246</v>
      </c>
      <c r="G24" s="53" t="s">
        <v>42</v>
      </c>
      <c r="H24" s="53" t="s">
        <v>163</v>
      </c>
      <c r="I24" s="53" t="s">
        <v>159</v>
      </c>
      <c r="J24" s="53" t="s">
        <v>38</v>
      </c>
      <c r="K24" s="53" t="s">
        <v>160</v>
      </c>
      <c r="L24" s="53">
        <v>2</v>
      </c>
      <c r="N24" s="53">
        <v>7</v>
      </c>
      <c r="O24" s="53">
        <v>0.6</v>
      </c>
      <c r="P24" s="53">
        <v>0.55000000000000004</v>
      </c>
      <c r="Q24" s="16">
        <f t="shared" si="0"/>
        <v>0.57499999999999996</v>
      </c>
      <c r="R24" s="53">
        <v>13.6</v>
      </c>
      <c r="S24" s="53">
        <v>98</v>
      </c>
      <c r="T24" s="16">
        <f t="shared" si="1"/>
        <v>36</v>
      </c>
      <c r="U24" s="53">
        <v>429</v>
      </c>
      <c r="V24" s="16">
        <f t="shared" si="2"/>
        <v>2206.2857142857142</v>
      </c>
      <c r="W24" s="53">
        <v>2</v>
      </c>
      <c r="X24" s="53" t="s">
        <v>39</v>
      </c>
      <c r="Y24" s="53" t="s">
        <v>40</v>
      </c>
      <c r="Z24" s="53" t="s">
        <v>84</v>
      </c>
      <c r="AA24" s="53" t="s">
        <v>90</v>
      </c>
      <c r="AB24" s="53" t="s">
        <v>158</v>
      </c>
      <c r="AP24" s="27" t="s">
        <v>251</v>
      </c>
      <c r="AR24" s="23" t="s">
        <v>91</v>
      </c>
    </row>
    <row r="25" spans="1:48" x14ac:dyDescent="0.15">
      <c r="A25" s="53" t="s">
        <v>56</v>
      </c>
      <c r="B25" s="53" t="s">
        <v>157</v>
      </c>
      <c r="C25" s="53">
        <v>2019</v>
      </c>
      <c r="D25" s="81" t="s">
        <v>168</v>
      </c>
      <c r="E25" s="53" t="s">
        <v>245</v>
      </c>
      <c r="F25" s="53" t="s">
        <v>246</v>
      </c>
      <c r="G25" s="53" t="s">
        <v>42</v>
      </c>
      <c r="H25" s="53" t="s">
        <v>163</v>
      </c>
      <c r="I25" s="53" t="s">
        <v>159</v>
      </c>
      <c r="J25" s="53" t="s">
        <v>38</v>
      </c>
      <c r="K25" s="53" t="s">
        <v>160</v>
      </c>
      <c r="L25" s="53">
        <v>3</v>
      </c>
      <c r="N25" s="53">
        <v>7</v>
      </c>
      <c r="O25" s="53">
        <v>0.5</v>
      </c>
      <c r="P25" s="53">
        <v>0.5</v>
      </c>
      <c r="Q25" s="16">
        <f t="shared" si="0"/>
        <v>0.5</v>
      </c>
      <c r="R25" s="53">
        <v>13.7</v>
      </c>
      <c r="S25" s="53">
        <v>96</v>
      </c>
      <c r="T25" s="16">
        <f t="shared" si="1"/>
        <v>36</v>
      </c>
      <c r="U25" s="53">
        <v>429</v>
      </c>
      <c r="V25" s="16">
        <f t="shared" si="2"/>
        <v>2206.2857142857142</v>
      </c>
      <c r="W25" s="53">
        <v>2</v>
      </c>
      <c r="X25" s="53" t="s">
        <v>39</v>
      </c>
      <c r="Y25" s="53" t="s">
        <v>40</v>
      </c>
      <c r="Z25" s="53" t="s">
        <v>84</v>
      </c>
      <c r="AA25" s="53" t="s">
        <v>90</v>
      </c>
      <c r="AB25" s="53" t="s">
        <v>158</v>
      </c>
      <c r="AP25" s="27" t="s">
        <v>252</v>
      </c>
      <c r="AR25" s="27" t="s">
        <v>51</v>
      </c>
    </row>
    <row r="26" spans="1:48" x14ac:dyDescent="0.15">
      <c r="A26" s="53" t="s">
        <v>56</v>
      </c>
      <c r="B26" s="53" t="s">
        <v>157</v>
      </c>
      <c r="C26" s="53">
        <v>2019</v>
      </c>
      <c r="D26" s="81" t="s">
        <v>168</v>
      </c>
      <c r="E26" s="53" t="s">
        <v>245</v>
      </c>
      <c r="F26" s="53" t="s">
        <v>246</v>
      </c>
      <c r="G26" s="53" t="s">
        <v>42</v>
      </c>
      <c r="H26" s="53" t="s">
        <v>191</v>
      </c>
      <c r="I26" s="53" t="s">
        <v>159</v>
      </c>
      <c r="J26" s="53" t="s">
        <v>80</v>
      </c>
      <c r="K26" s="53" t="s">
        <v>63</v>
      </c>
      <c r="L26" s="53">
        <v>1</v>
      </c>
      <c r="N26" s="53">
        <v>10</v>
      </c>
      <c r="O26" s="53">
        <v>0.7</v>
      </c>
      <c r="P26" s="53">
        <v>0.7</v>
      </c>
      <c r="Q26" s="16">
        <f t="shared" si="0"/>
        <v>0.7</v>
      </c>
      <c r="R26" s="53">
        <v>16.5</v>
      </c>
      <c r="S26" s="53">
        <v>83</v>
      </c>
      <c r="T26" s="16">
        <f t="shared" si="1"/>
        <v>39</v>
      </c>
      <c r="U26" s="53">
        <v>429</v>
      </c>
      <c r="V26" s="16">
        <f t="shared" si="2"/>
        <v>1673.1</v>
      </c>
      <c r="W26" s="53">
        <v>2</v>
      </c>
      <c r="X26" s="53" t="s">
        <v>39</v>
      </c>
      <c r="Y26" s="53" t="s">
        <v>40</v>
      </c>
      <c r="Z26" s="53" t="s">
        <v>84</v>
      </c>
      <c r="AA26" s="53" t="s">
        <v>90</v>
      </c>
      <c r="AB26" s="53" t="s">
        <v>158</v>
      </c>
      <c r="AP26" s="27" t="s">
        <v>233</v>
      </c>
      <c r="AR26" s="53" t="s">
        <v>234</v>
      </c>
    </row>
    <row r="27" spans="1:48" x14ac:dyDescent="0.15">
      <c r="A27" s="53" t="s">
        <v>56</v>
      </c>
      <c r="B27" s="53" t="s">
        <v>157</v>
      </c>
      <c r="C27" s="53">
        <v>2019</v>
      </c>
      <c r="D27" s="81" t="s">
        <v>168</v>
      </c>
      <c r="E27" s="53" t="s">
        <v>245</v>
      </c>
      <c r="F27" s="53" t="s">
        <v>246</v>
      </c>
      <c r="G27" s="53" t="s">
        <v>42</v>
      </c>
      <c r="H27" s="53" t="s">
        <v>191</v>
      </c>
      <c r="I27" s="53" t="s">
        <v>159</v>
      </c>
      <c r="J27" s="53" t="s">
        <v>80</v>
      </c>
      <c r="K27" s="53" t="s">
        <v>63</v>
      </c>
      <c r="L27" s="53">
        <v>2</v>
      </c>
      <c r="N27" s="53">
        <v>10</v>
      </c>
      <c r="O27" s="53">
        <v>0.75</v>
      </c>
      <c r="P27" s="53">
        <v>0.75</v>
      </c>
      <c r="Q27" s="16">
        <f t="shared" si="0"/>
        <v>0.75</v>
      </c>
      <c r="R27" s="53">
        <v>15.7</v>
      </c>
      <c r="S27" s="53">
        <v>89</v>
      </c>
      <c r="T27" s="16">
        <f t="shared" si="1"/>
        <v>36</v>
      </c>
      <c r="U27" s="53">
        <v>429</v>
      </c>
      <c r="V27" s="16">
        <f t="shared" si="2"/>
        <v>1544.3999999999999</v>
      </c>
      <c r="W27" s="53">
        <v>2</v>
      </c>
      <c r="X27" s="53" t="s">
        <v>39</v>
      </c>
      <c r="Y27" s="53" t="s">
        <v>40</v>
      </c>
      <c r="Z27" s="53" t="s">
        <v>84</v>
      </c>
      <c r="AA27" s="53" t="s">
        <v>90</v>
      </c>
      <c r="AB27" s="53" t="s">
        <v>158</v>
      </c>
      <c r="AP27" s="27" t="s">
        <v>235</v>
      </c>
    </row>
    <row r="28" spans="1:48" x14ac:dyDescent="0.15">
      <c r="A28" s="53" t="s">
        <v>56</v>
      </c>
      <c r="B28" s="53" t="s">
        <v>157</v>
      </c>
      <c r="C28" s="53">
        <v>2019</v>
      </c>
      <c r="D28" s="81" t="s">
        <v>168</v>
      </c>
      <c r="E28" s="53" t="s">
        <v>245</v>
      </c>
      <c r="F28" s="53" t="s">
        <v>246</v>
      </c>
      <c r="G28" s="53" t="s">
        <v>42</v>
      </c>
      <c r="H28" s="53" t="s">
        <v>191</v>
      </c>
      <c r="I28" s="53" t="s">
        <v>159</v>
      </c>
      <c r="J28" s="53" t="s">
        <v>80</v>
      </c>
      <c r="K28" s="53" t="s">
        <v>63</v>
      </c>
      <c r="L28" s="53">
        <v>3</v>
      </c>
      <c r="N28" s="53">
        <v>10</v>
      </c>
      <c r="O28" s="53">
        <v>0.65</v>
      </c>
      <c r="P28" s="53">
        <v>0.6</v>
      </c>
      <c r="Q28" s="16">
        <f t="shared" si="0"/>
        <v>0.625</v>
      </c>
      <c r="R28" s="53">
        <v>15.5</v>
      </c>
      <c r="S28" s="53">
        <v>86</v>
      </c>
      <c r="T28" s="16">
        <f t="shared" si="1"/>
        <v>36</v>
      </c>
      <c r="U28" s="53">
        <v>429</v>
      </c>
      <c r="V28" s="16">
        <f t="shared" si="2"/>
        <v>1544.3999999999999</v>
      </c>
      <c r="W28" s="53">
        <v>2</v>
      </c>
      <c r="X28" s="53" t="s">
        <v>39</v>
      </c>
      <c r="Y28" s="53" t="s">
        <v>40</v>
      </c>
      <c r="Z28" s="53" t="s">
        <v>84</v>
      </c>
      <c r="AA28" s="53" t="s">
        <v>90</v>
      </c>
      <c r="AB28" s="53" t="s">
        <v>158</v>
      </c>
    </row>
    <row r="29" spans="1:48" x14ac:dyDescent="0.15">
      <c r="A29" s="53" t="s">
        <v>56</v>
      </c>
      <c r="B29" s="53" t="s">
        <v>157</v>
      </c>
      <c r="C29" s="53">
        <v>2019</v>
      </c>
      <c r="D29" s="81" t="s">
        <v>168</v>
      </c>
      <c r="E29" s="53" t="s">
        <v>161</v>
      </c>
      <c r="F29" s="53" t="s">
        <v>248</v>
      </c>
      <c r="G29" s="53" t="s">
        <v>42</v>
      </c>
      <c r="H29" s="53" t="s">
        <v>163</v>
      </c>
      <c r="I29" s="53" t="s">
        <v>159</v>
      </c>
      <c r="J29" s="53" t="s">
        <v>38</v>
      </c>
      <c r="K29" s="53" t="s">
        <v>160</v>
      </c>
      <c r="L29" s="53">
        <v>1</v>
      </c>
      <c r="N29" s="53">
        <v>8</v>
      </c>
      <c r="O29" s="53">
        <v>0.55000000000000004</v>
      </c>
      <c r="P29" s="53">
        <v>0.6</v>
      </c>
      <c r="Q29" s="16">
        <f t="shared" si="0"/>
        <v>0.57499999999999996</v>
      </c>
      <c r="R29" s="53">
        <v>14.4</v>
      </c>
      <c r="S29" s="53">
        <v>91</v>
      </c>
      <c r="T29" s="16">
        <f t="shared" si="1"/>
        <v>36</v>
      </c>
      <c r="U29" s="53">
        <v>538</v>
      </c>
      <c r="V29" s="16">
        <f t="shared" si="2"/>
        <v>2421</v>
      </c>
      <c r="W29" s="53">
        <v>4</v>
      </c>
      <c r="X29" s="53" t="s">
        <v>46</v>
      </c>
      <c r="Y29" s="53" t="s">
        <v>84</v>
      </c>
      <c r="Z29" s="53" t="s">
        <v>40</v>
      </c>
      <c r="AA29" s="53" t="s">
        <v>90</v>
      </c>
      <c r="AB29" s="53" t="s">
        <v>158</v>
      </c>
    </row>
    <row r="30" spans="1:48" x14ac:dyDescent="0.15">
      <c r="A30" s="53" t="s">
        <v>56</v>
      </c>
      <c r="B30" s="53" t="s">
        <v>157</v>
      </c>
      <c r="C30" s="53">
        <v>2019</v>
      </c>
      <c r="D30" s="81" t="s">
        <v>168</v>
      </c>
      <c r="E30" s="53" t="s">
        <v>161</v>
      </c>
      <c r="F30" s="53" t="s">
        <v>248</v>
      </c>
      <c r="G30" s="53" t="s">
        <v>42</v>
      </c>
      <c r="H30" s="53" t="s">
        <v>163</v>
      </c>
      <c r="I30" s="53" t="s">
        <v>159</v>
      </c>
      <c r="J30" s="53" t="s">
        <v>38</v>
      </c>
      <c r="K30" s="53" t="s">
        <v>160</v>
      </c>
      <c r="L30" s="53">
        <v>2</v>
      </c>
      <c r="N30" s="53">
        <v>8</v>
      </c>
      <c r="O30" s="53">
        <v>0.55000000000000004</v>
      </c>
      <c r="P30" s="53">
        <v>0.55000000000000004</v>
      </c>
      <c r="Q30" s="16">
        <f t="shared" si="0"/>
        <v>0.55000000000000004</v>
      </c>
      <c r="R30" s="53">
        <v>13.9</v>
      </c>
      <c r="S30" s="53">
        <v>95</v>
      </c>
      <c r="T30" s="16">
        <f t="shared" si="1"/>
        <v>36</v>
      </c>
      <c r="U30" s="53">
        <v>538</v>
      </c>
      <c r="V30" s="16">
        <f t="shared" si="2"/>
        <v>2421</v>
      </c>
      <c r="W30" s="53">
        <v>4</v>
      </c>
      <c r="X30" s="53" t="s">
        <v>46</v>
      </c>
      <c r="Y30" s="53" t="s">
        <v>84</v>
      </c>
      <c r="Z30" s="53" t="s">
        <v>40</v>
      </c>
      <c r="AA30" s="53" t="s">
        <v>90</v>
      </c>
      <c r="AB30" s="53" t="s">
        <v>158</v>
      </c>
    </row>
    <row r="31" spans="1:48" x14ac:dyDescent="0.15">
      <c r="A31" s="53" t="s">
        <v>56</v>
      </c>
      <c r="B31" s="53" t="s">
        <v>157</v>
      </c>
      <c r="C31" s="53">
        <v>2019</v>
      </c>
      <c r="D31" s="81" t="s">
        <v>168</v>
      </c>
      <c r="E31" s="53" t="s">
        <v>161</v>
      </c>
      <c r="F31" s="53" t="s">
        <v>248</v>
      </c>
      <c r="G31" s="53" t="s">
        <v>42</v>
      </c>
      <c r="H31" s="53" t="s">
        <v>163</v>
      </c>
      <c r="I31" s="53" t="s">
        <v>159</v>
      </c>
      <c r="J31" s="53" t="s">
        <v>38</v>
      </c>
      <c r="K31" s="53" t="s">
        <v>160</v>
      </c>
      <c r="L31" s="53">
        <v>3</v>
      </c>
      <c r="N31" s="53">
        <v>8</v>
      </c>
      <c r="O31" s="53">
        <v>0.5</v>
      </c>
      <c r="P31" s="53">
        <v>0.6</v>
      </c>
      <c r="Q31" s="16">
        <f t="shared" si="0"/>
        <v>0.55000000000000004</v>
      </c>
      <c r="R31" s="53">
        <v>14.4</v>
      </c>
      <c r="S31" s="53">
        <v>101</v>
      </c>
      <c r="T31" s="16">
        <f t="shared" si="1"/>
        <v>33</v>
      </c>
      <c r="U31" s="53">
        <v>538</v>
      </c>
      <c r="V31" s="16">
        <f t="shared" si="2"/>
        <v>2219.25</v>
      </c>
      <c r="W31" s="53">
        <v>4</v>
      </c>
      <c r="X31" s="53" t="s">
        <v>46</v>
      </c>
      <c r="Y31" s="53" t="s">
        <v>84</v>
      </c>
      <c r="Z31" s="53" t="s">
        <v>40</v>
      </c>
      <c r="AA31" s="53" t="s">
        <v>90</v>
      </c>
      <c r="AB31" s="53" t="s">
        <v>158</v>
      </c>
    </row>
    <row r="32" spans="1:48" x14ac:dyDescent="0.15">
      <c r="A32" s="53" t="s">
        <v>56</v>
      </c>
      <c r="B32" s="53" t="s">
        <v>157</v>
      </c>
      <c r="C32" s="53">
        <v>2019</v>
      </c>
      <c r="D32" s="81" t="s">
        <v>168</v>
      </c>
      <c r="E32" s="53" t="s">
        <v>161</v>
      </c>
      <c r="F32" s="53" t="s">
        <v>248</v>
      </c>
      <c r="G32" s="53" t="s">
        <v>42</v>
      </c>
      <c r="H32" s="53" t="s">
        <v>191</v>
      </c>
      <c r="I32" s="53" t="s">
        <v>159</v>
      </c>
      <c r="J32" s="53" t="s">
        <v>80</v>
      </c>
      <c r="K32" s="53" t="s">
        <v>63</v>
      </c>
      <c r="L32" s="53">
        <v>1</v>
      </c>
      <c r="N32" s="53">
        <v>1</v>
      </c>
      <c r="O32" s="53">
        <v>1.2</v>
      </c>
      <c r="P32" s="53">
        <v>1.05</v>
      </c>
      <c r="Q32" s="16">
        <f t="shared" si="0"/>
        <v>1.125</v>
      </c>
      <c r="R32" s="53">
        <v>16.600000000000001</v>
      </c>
      <c r="S32" s="53">
        <v>114</v>
      </c>
      <c r="T32" s="16">
        <f t="shared" si="1"/>
        <v>30</v>
      </c>
      <c r="U32" s="53">
        <v>106</v>
      </c>
      <c r="V32" s="16">
        <f t="shared" si="2"/>
        <v>3180</v>
      </c>
      <c r="W32" s="53">
        <v>2</v>
      </c>
      <c r="X32" s="53" t="s">
        <v>46</v>
      </c>
      <c r="Y32" s="53" t="s">
        <v>84</v>
      </c>
      <c r="Z32" s="53" t="s">
        <v>40</v>
      </c>
      <c r="AA32" s="53" t="s">
        <v>90</v>
      </c>
      <c r="AB32" s="53" t="s">
        <v>158</v>
      </c>
    </row>
    <row r="33" spans="1:28" x14ac:dyDescent="0.15">
      <c r="A33" s="53" t="s">
        <v>56</v>
      </c>
      <c r="B33" s="53" t="s">
        <v>157</v>
      </c>
      <c r="C33" s="53">
        <v>2019</v>
      </c>
      <c r="D33" s="81" t="s">
        <v>168</v>
      </c>
      <c r="E33" s="53" t="s">
        <v>161</v>
      </c>
      <c r="F33" s="53" t="s">
        <v>248</v>
      </c>
      <c r="G33" s="53" t="s">
        <v>42</v>
      </c>
      <c r="H33" s="53" t="s">
        <v>191</v>
      </c>
      <c r="I33" s="53" t="s">
        <v>159</v>
      </c>
      <c r="J33" s="53" t="s">
        <v>80</v>
      </c>
      <c r="K33" s="53" t="s">
        <v>63</v>
      </c>
      <c r="L33" s="53">
        <v>2</v>
      </c>
      <c r="N33" s="53">
        <v>1</v>
      </c>
      <c r="O33" s="53">
        <v>0.75</v>
      </c>
      <c r="P33" s="53">
        <v>0.9</v>
      </c>
      <c r="Q33" s="16">
        <f t="shared" si="0"/>
        <v>0.82499999999999996</v>
      </c>
      <c r="R33" s="53">
        <v>16.2</v>
      </c>
      <c r="S33" s="53">
        <v>116</v>
      </c>
      <c r="T33" s="16">
        <f t="shared" si="1"/>
        <v>30</v>
      </c>
      <c r="U33" s="53">
        <v>106</v>
      </c>
      <c r="V33" s="16">
        <f t="shared" si="2"/>
        <v>3180</v>
      </c>
      <c r="W33" s="53">
        <v>2</v>
      </c>
      <c r="X33" s="53" t="s">
        <v>46</v>
      </c>
      <c r="Y33" s="53" t="s">
        <v>84</v>
      </c>
      <c r="Z33" s="53" t="s">
        <v>40</v>
      </c>
      <c r="AA33" s="53" t="s">
        <v>90</v>
      </c>
      <c r="AB33" s="53" t="s">
        <v>158</v>
      </c>
    </row>
    <row r="34" spans="1:28" x14ac:dyDescent="0.15">
      <c r="A34" s="53" t="s">
        <v>56</v>
      </c>
      <c r="B34" s="53" t="s">
        <v>157</v>
      </c>
      <c r="C34" s="53">
        <v>2019</v>
      </c>
      <c r="D34" s="81" t="s">
        <v>168</v>
      </c>
      <c r="E34" s="53" t="s">
        <v>161</v>
      </c>
      <c r="F34" s="53" t="s">
        <v>248</v>
      </c>
      <c r="G34" s="53" t="s">
        <v>42</v>
      </c>
      <c r="H34" s="53" t="s">
        <v>191</v>
      </c>
      <c r="I34" s="53" t="s">
        <v>159</v>
      </c>
      <c r="J34" s="53" t="s">
        <v>80</v>
      </c>
      <c r="K34" s="53" t="s">
        <v>63</v>
      </c>
      <c r="L34" s="53">
        <v>3</v>
      </c>
      <c r="N34" s="53">
        <v>1</v>
      </c>
      <c r="O34" s="53">
        <v>0.8</v>
      </c>
      <c r="P34" s="53">
        <v>0.75</v>
      </c>
      <c r="Q34" s="16">
        <f t="shared" si="0"/>
        <v>0.77500000000000002</v>
      </c>
      <c r="R34" s="53">
        <v>16</v>
      </c>
      <c r="S34" s="53">
        <v>114</v>
      </c>
      <c r="T34" s="16">
        <f t="shared" si="1"/>
        <v>30</v>
      </c>
      <c r="U34" s="53">
        <v>106</v>
      </c>
      <c r="V34" s="16">
        <f t="shared" si="2"/>
        <v>3180</v>
      </c>
      <c r="W34" s="53">
        <v>2</v>
      </c>
      <c r="X34" s="53" t="s">
        <v>46</v>
      </c>
      <c r="Y34" s="53" t="s">
        <v>84</v>
      </c>
      <c r="Z34" s="53" t="s">
        <v>40</v>
      </c>
      <c r="AA34" s="53" t="s">
        <v>90</v>
      </c>
      <c r="AB34" s="53" t="s">
        <v>158</v>
      </c>
    </row>
    <row r="35" spans="1:28" x14ac:dyDescent="0.15">
      <c r="A35" s="53" t="s">
        <v>56</v>
      </c>
      <c r="B35" s="53" t="s">
        <v>157</v>
      </c>
      <c r="C35" s="53">
        <v>2019</v>
      </c>
      <c r="D35" s="81" t="s">
        <v>168</v>
      </c>
      <c r="E35" s="53" t="s">
        <v>249</v>
      </c>
      <c r="F35" s="53" t="s">
        <v>248</v>
      </c>
      <c r="G35" s="53" t="s">
        <v>42</v>
      </c>
      <c r="H35" s="53" t="s">
        <v>189</v>
      </c>
      <c r="I35" s="53" t="s">
        <v>159</v>
      </c>
      <c r="J35" s="53" t="s">
        <v>53</v>
      </c>
      <c r="K35" s="53" t="s">
        <v>54</v>
      </c>
      <c r="L35" s="53">
        <v>1</v>
      </c>
      <c r="M35" s="84"/>
      <c r="N35" s="53">
        <v>1</v>
      </c>
      <c r="O35" s="53">
        <v>1.2</v>
      </c>
      <c r="P35" s="53">
        <v>1.05</v>
      </c>
      <c r="Q35" s="16">
        <f t="shared" si="0"/>
        <v>1.125</v>
      </c>
      <c r="R35" s="53">
        <v>14.6</v>
      </c>
      <c r="S35" s="53">
        <v>141</v>
      </c>
      <c r="T35" s="16">
        <f t="shared" si="1"/>
        <v>22</v>
      </c>
      <c r="U35" s="53">
        <v>138</v>
      </c>
      <c r="V35" s="16">
        <f t="shared" si="2"/>
        <v>3036</v>
      </c>
      <c r="W35" s="53">
        <v>1</v>
      </c>
      <c r="X35" s="53" t="s">
        <v>39</v>
      </c>
      <c r="Y35" s="53" t="s">
        <v>40</v>
      </c>
      <c r="Z35" s="53" t="s">
        <v>84</v>
      </c>
      <c r="AA35" s="53" t="s">
        <v>90</v>
      </c>
      <c r="AB35" s="53" t="s">
        <v>158</v>
      </c>
    </row>
    <row r="36" spans="1:28" x14ac:dyDescent="0.15">
      <c r="A36" s="53" t="s">
        <v>56</v>
      </c>
      <c r="B36" s="53" t="s">
        <v>157</v>
      </c>
      <c r="C36" s="53">
        <v>2019</v>
      </c>
      <c r="D36" s="81" t="s">
        <v>168</v>
      </c>
      <c r="E36" s="53" t="s">
        <v>249</v>
      </c>
      <c r="F36" s="53" t="s">
        <v>248</v>
      </c>
      <c r="G36" s="53" t="s">
        <v>42</v>
      </c>
      <c r="H36" s="53" t="s">
        <v>189</v>
      </c>
      <c r="I36" s="53" t="s">
        <v>159</v>
      </c>
      <c r="J36" s="53" t="s">
        <v>53</v>
      </c>
      <c r="K36" s="53" t="s">
        <v>54</v>
      </c>
      <c r="L36" s="53">
        <v>2</v>
      </c>
      <c r="M36" s="84"/>
      <c r="N36" s="53">
        <v>1</v>
      </c>
      <c r="O36" s="53">
        <v>0.95</v>
      </c>
      <c r="P36" s="53">
        <v>1.05</v>
      </c>
      <c r="Q36" s="16">
        <f t="shared" si="0"/>
        <v>1</v>
      </c>
      <c r="R36" s="53">
        <v>14.9</v>
      </c>
      <c r="S36" s="53">
        <v>124</v>
      </c>
      <c r="T36" s="16">
        <f t="shared" si="1"/>
        <v>27</v>
      </c>
      <c r="U36" s="53">
        <v>138</v>
      </c>
      <c r="V36" s="16">
        <f t="shared" si="2"/>
        <v>3726</v>
      </c>
      <c r="W36" s="53">
        <v>1</v>
      </c>
      <c r="X36" s="53" t="s">
        <v>39</v>
      </c>
      <c r="Y36" s="53" t="s">
        <v>40</v>
      </c>
      <c r="Z36" s="53" t="s">
        <v>84</v>
      </c>
      <c r="AA36" s="53" t="s">
        <v>90</v>
      </c>
      <c r="AB36" s="53" t="s">
        <v>158</v>
      </c>
    </row>
    <row r="37" spans="1:28" x14ac:dyDescent="0.15">
      <c r="A37" s="53" t="s">
        <v>56</v>
      </c>
      <c r="B37" s="53" t="s">
        <v>157</v>
      </c>
      <c r="C37" s="53">
        <v>2019</v>
      </c>
      <c r="D37" s="81" t="s">
        <v>168</v>
      </c>
      <c r="E37" s="53" t="s">
        <v>249</v>
      </c>
      <c r="F37" s="53" t="s">
        <v>248</v>
      </c>
      <c r="G37" s="53" t="s">
        <v>42</v>
      </c>
      <c r="H37" s="53" t="s">
        <v>189</v>
      </c>
      <c r="I37" s="53" t="s">
        <v>159</v>
      </c>
      <c r="J37" s="53" t="s">
        <v>53</v>
      </c>
      <c r="K37" s="53" t="s">
        <v>54</v>
      </c>
      <c r="L37" s="53">
        <v>3</v>
      </c>
      <c r="M37" s="84"/>
      <c r="N37" s="53">
        <v>1</v>
      </c>
      <c r="O37" s="53">
        <v>1.3</v>
      </c>
      <c r="P37" s="53">
        <v>1.5</v>
      </c>
      <c r="Q37" s="16">
        <f t="shared" si="0"/>
        <v>1.4</v>
      </c>
      <c r="R37" s="53">
        <v>13.2</v>
      </c>
      <c r="S37" s="53">
        <v>120</v>
      </c>
      <c r="T37" s="16">
        <f t="shared" si="1"/>
        <v>30</v>
      </c>
      <c r="U37" s="53">
        <v>138</v>
      </c>
      <c r="V37" s="16">
        <f t="shared" si="2"/>
        <v>4140</v>
      </c>
      <c r="W37" s="53">
        <v>1</v>
      </c>
      <c r="X37" s="53" t="s">
        <v>39</v>
      </c>
      <c r="Y37" s="53" t="s">
        <v>40</v>
      </c>
      <c r="Z37" s="53" t="s">
        <v>84</v>
      </c>
      <c r="AA37" s="53" t="s">
        <v>90</v>
      </c>
      <c r="AB37" s="53" t="s">
        <v>158</v>
      </c>
    </row>
    <row r="38" spans="1:28" x14ac:dyDescent="0.15">
      <c r="A38" s="53" t="s">
        <v>56</v>
      </c>
      <c r="B38" s="53" t="s">
        <v>157</v>
      </c>
      <c r="C38" s="53">
        <v>2019</v>
      </c>
      <c r="D38" s="81" t="s">
        <v>168</v>
      </c>
      <c r="E38" s="53" t="s">
        <v>249</v>
      </c>
      <c r="F38" s="53" t="s">
        <v>248</v>
      </c>
      <c r="G38" s="53" t="s">
        <v>42</v>
      </c>
      <c r="H38" s="53" t="s">
        <v>189</v>
      </c>
      <c r="I38" s="53" t="s">
        <v>159</v>
      </c>
      <c r="J38" s="53" t="s">
        <v>80</v>
      </c>
      <c r="K38" s="53" t="s">
        <v>80</v>
      </c>
      <c r="L38" s="53">
        <v>1</v>
      </c>
      <c r="M38" s="84"/>
      <c r="N38" s="53">
        <v>4</v>
      </c>
      <c r="O38" s="53">
        <v>1.4</v>
      </c>
      <c r="P38" s="53">
        <v>1.6</v>
      </c>
      <c r="Q38" s="16">
        <f t="shared" si="0"/>
        <v>1.5</v>
      </c>
      <c r="R38" s="53">
        <v>13.8</v>
      </c>
      <c r="S38" s="53">
        <v>121</v>
      </c>
      <c r="T38" s="16">
        <f t="shared" si="1"/>
        <v>27</v>
      </c>
      <c r="U38" s="53">
        <v>257</v>
      </c>
      <c r="V38" s="16">
        <f t="shared" si="2"/>
        <v>1734.75</v>
      </c>
      <c r="W38" s="53">
        <v>1</v>
      </c>
      <c r="X38" s="53" t="s">
        <v>39</v>
      </c>
      <c r="Y38" s="53" t="s">
        <v>40</v>
      </c>
      <c r="Z38" s="53" t="s">
        <v>84</v>
      </c>
      <c r="AA38" s="53" t="s">
        <v>90</v>
      </c>
      <c r="AB38" s="53" t="s">
        <v>158</v>
      </c>
    </row>
    <row r="39" spans="1:28" x14ac:dyDescent="0.15">
      <c r="A39" s="53" t="s">
        <v>56</v>
      </c>
      <c r="B39" s="53" t="s">
        <v>157</v>
      </c>
      <c r="C39" s="53">
        <v>2019</v>
      </c>
      <c r="D39" s="81" t="s">
        <v>168</v>
      </c>
      <c r="E39" s="53" t="s">
        <v>249</v>
      </c>
      <c r="F39" s="53" t="s">
        <v>248</v>
      </c>
      <c r="G39" s="53" t="s">
        <v>42</v>
      </c>
      <c r="H39" s="53" t="s">
        <v>189</v>
      </c>
      <c r="I39" s="53" t="s">
        <v>159</v>
      </c>
      <c r="J39" s="53" t="s">
        <v>80</v>
      </c>
      <c r="K39" s="53" t="s">
        <v>80</v>
      </c>
      <c r="L39" s="53">
        <v>2</v>
      </c>
      <c r="M39" s="84"/>
      <c r="N39" s="53">
        <v>4</v>
      </c>
      <c r="O39" s="53">
        <v>1.3</v>
      </c>
      <c r="P39" s="53">
        <v>1.25</v>
      </c>
      <c r="Q39" s="16">
        <f t="shared" si="0"/>
        <v>1.2749999999999999</v>
      </c>
      <c r="R39" s="53">
        <v>14.9</v>
      </c>
      <c r="S39" s="53">
        <v>126</v>
      </c>
      <c r="T39" s="16">
        <f t="shared" si="1"/>
        <v>27</v>
      </c>
      <c r="U39" s="53">
        <v>257</v>
      </c>
      <c r="V39" s="16">
        <f t="shared" si="2"/>
        <v>1734.75</v>
      </c>
      <c r="W39" s="53">
        <v>1</v>
      </c>
      <c r="X39" s="53" t="s">
        <v>39</v>
      </c>
      <c r="Y39" s="53" t="s">
        <v>40</v>
      </c>
      <c r="Z39" s="53" t="s">
        <v>84</v>
      </c>
      <c r="AA39" s="53" t="s">
        <v>90</v>
      </c>
      <c r="AB39" s="53" t="s">
        <v>158</v>
      </c>
    </row>
    <row r="40" spans="1:28" x14ac:dyDescent="0.15">
      <c r="A40" s="53" t="s">
        <v>56</v>
      </c>
      <c r="B40" s="53" t="s">
        <v>157</v>
      </c>
      <c r="C40" s="53">
        <v>2019</v>
      </c>
      <c r="D40" s="81" t="s">
        <v>168</v>
      </c>
      <c r="E40" s="53" t="s">
        <v>249</v>
      </c>
      <c r="F40" s="53" t="s">
        <v>248</v>
      </c>
      <c r="G40" s="53" t="s">
        <v>42</v>
      </c>
      <c r="H40" s="53" t="s">
        <v>189</v>
      </c>
      <c r="I40" s="53" t="s">
        <v>159</v>
      </c>
      <c r="J40" s="53" t="s">
        <v>80</v>
      </c>
      <c r="K40" s="53" t="s">
        <v>80</v>
      </c>
      <c r="L40" s="53">
        <v>3</v>
      </c>
      <c r="M40" s="84"/>
      <c r="N40" s="53">
        <v>4</v>
      </c>
      <c r="O40" s="53">
        <v>2.0499999999999998</v>
      </c>
      <c r="P40" s="53">
        <v>1.6</v>
      </c>
      <c r="Q40" s="16">
        <f t="shared" si="0"/>
        <v>1.825</v>
      </c>
      <c r="R40" s="53">
        <v>12.9</v>
      </c>
      <c r="S40" s="53">
        <v>125</v>
      </c>
      <c r="T40" s="16">
        <f t="shared" si="1"/>
        <v>27</v>
      </c>
      <c r="U40" s="53">
        <v>257</v>
      </c>
      <c r="V40" s="16">
        <f t="shared" si="2"/>
        <v>1734.75</v>
      </c>
      <c r="W40" s="53">
        <v>1</v>
      </c>
      <c r="X40" s="53" t="s">
        <v>39</v>
      </c>
      <c r="Y40" s="53" t="s">
        <v>40</v>
      </c>
      <c r="Z40" s="53" t="s">
        <v>84</v>
      </c>
      <c r="AA40" s="53" t="s">
        <v>90</v>
      </c>
      <c r="AB40" s="53" t="s">
        <v>158</v>
      </c>
    </row>
    <row r="41" spans="1:28" x14ac:dyDescent="0.15">
      <c r="A41" s="53" t="s">
        <v>56</v>
      </c>
      <c r="B41" s="53" t="s">
        <v>157</v>
      </c>
      <c r="C41" s="53">
        <v>2019</v>
      </c>
      <c r="D41" s="81" t="s">
        <v>168</v>
      </c>
      <c r="E41" s="53" t="s">
        <v>240</v>
      </c>
      <c r="F41" s="53" t="s">
        <v>241</v>
      </c>
      <c r="G41" s="53" t="s">
        <v>42</v>
      </c>
      <c r="H41" s="53" t="s">
        <v>163</v>
      </c>
      <c r="I41" s="53" t="s">
        <v>159</v>
      </c>
      <c r="J41" s="53" t="s">
        <v>38</v>
      </c>
      <c r="K41" s="53" t="s">
        <v>160</v>
      </c>
      <c r="L41" s="53">
        <v>1</v>
      </c>
      <c r="M41" s="84"/>
      <c r="N41" s="53">
        <v>5</v>
      </c>
      <c r="O41" s="53">
        <v>0.65</v>
      </c>
      <c r="P41" s="53">
        <v>0.75</v>
      </c>
      <c r="Q41" s="16">
        <f t="shared" si="0"/>
        <v>0.7</v>
      </c>
      <c r="R41" s="53">
        <v>13.9</v>
      </c>
      <c r="S41" s="53">
        <v>93</v>
      </c>
      <c r="T41" s="16">
        <f t="shared" si="1"/>
        <v>36</v>
      </c>
      <c r="U41" s="53">
        <v>386</v>
      </c>
      <c r="V41" s="16">
        <f t="shared" si="2"/>
        <v>2779.2000000000003</v>
      </c>
      <c r="W41" s="53">
        <v>1</v>
      </c>
      <c r="X41" s="53" t="s">
        <v>39</v>
      </c>
      <c r="Y41" s="53" t="s">
        <v>40</v>
      </c>
      <c r="Z41" s="53" t="s">
        <v>84</v>
      </c>
      <c r="AA41" s="53" t="s">
        <v>90</v>
      </c>
      <c r="AB41" s="53" t="s">
        <v>158</v>
      </c>
    </row>
    <row r="42" spans="1:28" x14ac:dyDescent="0.15">
      <c r="A42" s="53" t="s">
        <v>56</v>
      </c>
      <c r="B42" s="53" t="s">
        <v>157</v>
      </c>
      <c r="C42" s="53">
        <v>2019</v>
      </c>
      <c r="D42" s="81" t="s">
        <v>168</v>
      </c>
      <c r="E42" s="53" t="s">
        <v>240</v>
      </c>
      <c r="F42" s="53" t="s">
        <v>241</v>
      </c>
      <c r="G42" s="53" t="s">
        <v>42</v>
      </c>
      <c r="H42" s="53" t="s">
        <v>163</v>
      </c>
      <c r="I42" s="53" t="s">
        <v>159</v>
      </c>
      <c r="J42" s="53" t="s">
        <v>38</v>
      </c>
      <c r="K42" s="53" t="s">
        <v>160</v>
      </c>
      <c r="L42" s="53">
        <v>2</v>
      </c>
      <c r="M42" s="84"/>
      <c r="N42" s="53">
        <v>5</v>
      </c>
      <c r="O42" s="53">
        <v>0.7</v>
      </c>
      <c r="P42" s="53">
        <v>0.7</v>
      </c>
      <c r="Q42" s="16">
        <f t="shared" si="0"/>
        <v>0.7</v>
      </c>
      <c r="R42" s="53">
        <v>12.7</v>
      </c>
      <c r="S42" s="53">
        <v>99</v>
      </c>
      <c r="T42" s="16">
        <f t="shared" si="1"/>
        <v>33</v>
      </c>
      <c r="U42" s="53">
        <v>386</v>
      </c>
      <c r="V42" s="16">
        <f t="shared" si="2"/>
        <v>2547.6</v>
      </c>
      <c r="W42" s="53">
        <v>1</v>
      </c>
      <c r="X42" s="53" t="s">
        <v>39</v>
      </c>
      <c r="Y42" s="53" t="s">
        <v>40</v>
      </c>
      <c r="Z42" s="53" t="s">
        <v>84</v>
      </c>
      <c r="AA42" s="53" t="s">
        <v>90</v>
      </c>
      <c r="AB42" s="53" t="s">
        <v>158</v>
      </c>
    </row>
    <row r="43" spans="1:28" x14ac:dyDescent="0.15">
      <c r="A43" s="53" t="s">
        <v>56</v>
      </c>
      <c r="B43" s="53" t="s">
        <v>157</v>
      </c>
      <c r="C43" s="53">
        <v>2019</v>
      </c>
      <c r="D43" s="81" t="s">
        <v>168</v>
      </c>
      <c r="E43" s="53" t="s">
        <v>240</v>
      </c>
      <c r="F43" s="53" t="s">
        <v>241</v>
      </c>
      <c r="G43" s="53" t="s">
        <v>42</v>
      </c>
      <c r="H43" s="53" t="s">
        <v>163</v>
      </c>
      <c r="I43" s="53" t="s">
        <v>159</v>
      </c>
      <c r="J43" s="53" t="s">
        <v>38</v>
      </c>
      <c r="K43" s="53" t="s">
        <v>160</v>
      </c>
      <c r="L43" s="53">
        <v>3</v>
      </c>
      <c r="M43" s="84"/>
      <c r="N43" s="53">
        <v>5</v>
      </c>
      <c r="O43" s="53">
        <v>0.7</v>
      </c>
      <c r="P43" s="53">
        <v>0.55000000000000004</v>
      </c>
      <c r="Q43" s="16">
        <f t="shared" si="0"/>
        <v>0.625</v>
      </c>
      <c r="R43" s="53">
        <v>12.4</v>
      </c>
      <c r="S43" s="53">
        <v>94</v>
      </c>
      <c r="T43" s="16">
        <f t="shared" si="1"/>
        <v>36</v>
      </c>
      <c r="U43" s="53">
        <v>386</v>
      </c>
      <c r="V43" s="16">
        <f t="shared" si="2"/>
        <v>2779.2000000000003</v>
      </c>
      <c r="W43" s="53">
        <v>1</v>
      </c>
      <c r="X43" s="53" t="s">
        <v>39</v>
      </c>
      <c r="Y43" s="53" t="s">
        <v>40</v>
      </c>
      <c r="Z43" s="53" t="s">
        <v>84</v>
      </c>
      <c r="AA43" s="53" t="s">
        <v>90</v>
      </c>
      <c r="AB43" s="53" t="s">
        <v>158</v>
      </c>
    </row>
    <row r="44" spans="1:28" x14ac:dyDescent="0.15">
      <c r="A44" s="53" t="s">
        <v>56</v>
      </c>
      <c r="B44" s="53" t="s">
        <v>157</v>
      </c>
      <c r="C44" s="53">
        <v>2019</v>
      </c>
      <c r="D44" s="81" t="s">
        <v>168</v>
      </c>
      <c r="E44" s="53" t="s">
        <v>240</v>
      </c>
      <c r="F44" s="53" t="s">
        <v>241</v>
      </c>
      <c r="G44" s="53" t="s">
        <v>42</v>
      </c>
      <c r="H44" s="53" t="s">
        <v>191</v>
      </c>
      <c r="I44" s="53" t="s">
        <v>159</v>
      </c>
      <c r="J44" s="53" t="s">
        <v>80</v>
      </c>
      <c r="K44" s="53" t="s">
        <v>63</v>
      </c>
      <c r="L44" s="53">
        <v>1</v>
      </c>
      <c r="M44" s="84"/>
      <c r="N44" s="53">
        <v>4</v>
      </c>
      <c r="O44" s="53">
        <v>0.75</v>
      </c>
      <c r="P44" s="53">
        <v>0.8</v>
      </c>
      <c r="Q44" s="16">
        <f t="shared" si="0"/>
        <v>0.77500000000000002</v>
      </c>
      <c r="R44" s="53">
        <v>16.600000000000001</v>
      </c>
      <c r="S44" s="53">
        <v>95</v>
      </c>
      <c r="T44" s="16">
        <f t="shared" si="1"/>
        <v>36</v>
      </c>
      <c r="U44" s="53">
        <v>386</v>
      </c>
      <c r="V44" s="16">
        <f t="shared" si="2"/>
        <v>3474</v>
      </c>
      <c r="W44" s="53">
        <v>1</v>
      </c>
      <c r="X44" s="53" t="s">
        <v>39</v>
      </c>
      <c r="Y44" s="53" t="s">
        <v>40</v>
      </c>
      <c r="Z44" s="53" t="s">
        <v>84</v>
      </c>
      <c r="AA44" s="53" t="s">
        <v>90</v>
      </c>
      <c r="AB44" s="53" t="s">
        <v>158</v>
      </c>
    </row>
    <row r="45" spans="1:28" x14ac:dyDescent="0.15">
      <c r="A45" s="53" t="s">
        <v>56</v>
      </c>
      <c r="B45" s="53" t="s">
        <v>157</v>
      </c>
      <c r="C45" s="53">
        <v>2019</v>
      </c>
      <c r="D45" s="81" t="s">
        <v>168</v>
      </c>
      <c r="E45" s="53" t="s">
        <v>240</v>
      </c>
      <c r="F45" s="53" t="s">
        <v>241</v>
      </c>
      <c r="G45" s="53" t="s">
        <v>42</v>
      </c>
      <c r="H45" s="53" t="s">
        <v>191</v>
      </c>
      <c r="I45" s="53" t="s">
        <v>159</v>
      </c>
      <c r="J45" s="53" t="s">
        <v>80</v>
      </c>
      <c r="K45" s="53" t="s">
        <v>63</v>
      </c>
      <c r="L45" s="53">
        <v>2</v>
      </c>
      <c r="M45" s="84"/>
      <c r="N45" s="53">
        <v>4</v>
      </c>
      <c r="O45" s="53">
        <v>0.7</v>
      </c>
      <c r="P45" s="53">
        <v>0.65</v>
      </c>
      <c r="Q45" s="16">
        <f t="shared" si="0"/>
        <v>0.67500000000000004</v>
      </c>
      <c r="R45" s="53">
        <v>16.899999999999999</v>
      </c>
      <c r="S45" s="53">
        <v>97</v>
      </c>
      <c r="T45" s="16">
        <f t="shared" si="1"/>
        <v>36</v>
      </c>
      <c r="U45" s="53">
        <v>386</v>
      </c>
      <c r="V45" s="16">
        <f t="shared" si="2"/>
        <v>3474</v>
      </c>
      <c r="W45" s="53">
        <v>1</v>
      </c>
      <c r="X45" s="53" t="s">
        <v>39</v>
      </c>
      <c r="Y45" s="53" t="s">
        <v>40</v>
      </c>
      <c r="Z45" s="53" t="s">
        <v>84</v>
      </c>
      <c r="AA45" s="53" t="s">
        <v>90</v>
      </c>
      <c r="AB45" s="53" t="s">
        <v>158</v>
      </c>
    </row>
    <row r="46" spans="1:28" x14ac:dyDescent="0.15">
      <c r="A46" s="53" t="s">
        <v>56</v>
      </c>
      <c r="B46" s="53" t="s">
        <v>157</v>
      </c>
      <c r="C46" s="53">
        <v>2019</v>
      </c>
      <c r="D46" s="81" t="s">
        <v>168</v>
      </c>
      <c r="E46" s="53" t="s">
        <v>240</v>
      </c>
      <c r="F46" s="53" t="s">
        <v>241</v>
      </c>
      <c r="G46" s="53" t="s">
        <v>42</v>
      </c>
      <c r="H46" s="53" t="s">
        <v>191</v>
      </c>
      <c r="I46" s="53" t="s">
        <v>159</v>
      </c>
      <c r="J46" s="53" t="s">
        <v>80</v>
      </c>
      <c r="K46" s="53" t="s">
        <v>63</v>
      </c>
      <c r="L46" s="53">
        <v>3</v>
      </c>
      <c r="M46" s="84"/>
      <c r="N46" s="53">
        <v>4</v>
      </c>
      <c r="O46" s="53">
        <v>0.65</v>
      </c>
      <c r="P46" s="53">
        <v>0.55000000000000004</v>
      </c>
      <c r="Q46" s="16">
        <f t="shared" si="0"/>
        <v>0.60000000000000009</v>
      </c>
      <c r="R46" s="53">
        <v>16.3</v>
      </c>
      <c r="S46" s="53">
        <v>97</v>
      </c>
      <c r="T46" s="16">
        <f t="shared" si="1"/>
        <v>36</v>
      </c>
      <c r="U46" s="53">
        <v>386</v>
      </c>
      <c r="V46" s="16">
        <f t="shared" si="2"/>
        <v>3474</v>
      </c>
      <c r="W46" s="53">
        <v>1</v>
      </c>
      <c r="X46" s="53" t="s">
        <v>39</v>
      </c>
      <c r="Y46" s="53" t="s">
        <v>40</v>
      </c>
      <c r="Z46" s="53" t="s">
        <v>84</v>
      </c>
      <c r="AA46" s="53" t="s">
        <v>90</v>
      </c>
      <c r="AB46" s="53" t="s">
        <v>158</v>
      </c>
    </row>
    <row r="47" spans="1:28" x14ac:dyDescent="0.15">
      <c r="A47" s="53" t="s">
        <v>56</v>
      </c>
      <c r="B47" s="53" t="s">
        <v>157</v>
      </c>
      <c r="C47" s="53">
        <v>2019</v>
      </c>
      <c r="D47" s="81" t="s">
        <v>168</v>
      </c>
      <c r="E47" s="53" t="s">
        <v>242</v>
      </c>
      <c r="F47" s="53" t="s">
        <v>246</v>
      </c>
      <c r="G47" s="53" t="s">
        <v>42</v>
      </c>
      <c r="H47" s="53" t="s">
        <v>163</v>
      </c>
      <c r="I47" s="53" t="s">
        <v>159</v>
      </c>
      <c r="J47" s="53" t="s">
        <v>38</v>
      </c>
      <c r="K47" s="53" t="s">
        <v>160</v>
      </c>
      <c r="L47" s="53">
        <v>1</v>
      </c>
      <c r="M47" s="84"/>
      <c r="N47" s="53">
        <v>7</v>
      </c>
      <c r="O47" s="53">
        <v>0.7</v>
      </c>
      <c r="P47" s="53">
        <v>0.75</v>
      </c>
      <c r="Q47" s="16">
        <f t="shared" si="0"/>
        <v>0.72499999999999998</v>
      </c>
      <c r="R47" s="53">
        <v>14.5</v>
      </c>
      <c r="S47" s="53">
        <v>99</v>
      </c>
      <c r="T47" s="16">
        <f t="shared" si="1"/>
        <v>33</v>
      </c>
      <c r="U47" s="53">
        <v>410</v>
      </c>
      <c r="V47" s="16">
        <f t="shared" si="2"/>
        <v>1932.8571428571429</v>
      </c>
      <c r="W47" s="53">
        <v>6</v>
      </c>
      <c r="X47" s="53" t="s">
        <v>46</v>
      </c>
      <c r="Y47" s="53" t="s">
        <v>40</v>
      </c>
      <c r="Z47" s="53" t="s">
        <v>90</v>
      </c>
      <c r="AA47" s="53" t="s">
        <v>84</v>
      </c>
      <c r="AB47" s="53" t="s">
        <v>158</v>
      </c>
    </row>
    <row r="48" spans="1:28" x14ac:dyDescent="0.15">
      <c r="A48" s="53" t="s">
        <v>56</v>
      </c>
      <c r="B48" s="53" t="s">
        <v>157</v>
      </c>
      <c r="C48" s="53">
        <v>2019</v>
      </c>
      <c r="D48" s="81" t="s">
        <v>168</v>
      </c>
      <c r="E48" s="53" t="s">
        <v>242</v>
      </c>
      <c r="F48" s="53" t="s">
        <v>246</v>
      </c>
      <c r="G48" s="53" t="s">
        <v>42</v>
      </c>
      <c r="H48" s="53" t="s">
        <v>163</v>
      </c>
      <c r="I48" s="53" t="s">
        <v>159</v>
      </c>
      <c r="J48" s="53" t="s">
        <v>38</v>
      </c>
      <c r="K48" s="53" t="s">
        <v>160</v>
      </c>
      <c r="L48" s="53">
        <v>2</v>
      </c>
      <c r="M48" s="84"/>
      <c r="N48" s="53">
        <v>7</v>
      </c>
      <c r="O48" s="53">
        <v>0.5</v>
      </c>
      <c r="P48" s="53">
        <v>0.5</v>
      </c>
      <c r="Q48" s="16">
        <f t="shared" si="0"/>
        <v>0.5</v>
      </c>
      <c r="R48" s="53">
        <v>14.6</v>
      </c>
      <c r="S48" s="53">
        <v>104</v>
      </c>
      <c r="T48" s="16">
        <f t="shared" si="1"/>
        <v>33</v>
      </c>
      <c r="U48" s="53">
        <v>410</v>
      </c>
      <c r="V48" s="16">
        <f t="shared" si="2"/>
        <v>1932.8571428571429</v>
      </c>
      <c r="W48" s="53">
        <v>6</v>
      </c>
      <c r="X48" s="53" t="s">
        <v>46</v>
      </c>
      <c r="Y48" s="53" t="s">
        <v>40</v>
      </c>
      <c r="Z48" s="53" t="s">
        <v>90</v>
      </c>
      <c r="AA48" s="53" t="s">
        <v>84</v>
      </c>
      <c r="AB48" s="53" t="s">
        <v>158</v>
      </c>
    </row>
    <row r="49" spans="1:28" x14ac:dyDescent="0.15">
      <c r="A49" s="53" t="s">
        <v>56</v>
      </c>
      <c r="B49" s="53" t="s">
        <v>157</v>
      </c>
      <c r="C49" s="53">
        <v>2019</v>
      </c>
      <c r="D49" s="81" t="s">
        <v>168</v>
      </c>
      <c r="E49" s="53" t="s">
        <v>242</v>
      </c>
      <c r="F49" s="53" t="s">
        <v>246</v>
      </c>
      <c r="G49" s="53" t="s">
        <v>42</v>
      </c>
      <c r="H49" s="53" t="s">
        <v>163</v>
      </c>
      <c r="I49" s="53" t="s">
        <v>159</v>
      </c>
      <c r="J49" s="53" t="s">
        <v>38</v>
      </c>
      <c r="K49" s="53" t="s">
        <v>160</v>
      </c>
      <c r="L49" s="53">
        <v>3</v>
      </c>
      <c r="M49" s="84"/>
      <c r="N49" s="53">
        <v>7</v>
      </c>
      <c r="O49" s="53">
        <v>0.6</v>
      </c>
      <c r="P49" s="53">
        <v>0.55000000000000004</v>
      </c>
      <c r="Q49" s="16">
        <f t="shared" si="0"/>
        <v>0.57499999999999996</v>
      </c>
      <c r="R49" s="53">
        <v>14.2</v>
      </c>
      <c r="S49" s="53">
        <v>101</v>
      </c>
      <c r="T49" s="16">
        <f t="shared" si="1"/>
        <v>33</v>
      </c>
      <c r="U49" s="53">
        <v>410</v>
      </c>
      <c r="V49" s="16">
        <f t="shared" si="2"/>
        <v>1932.8571428571429</v>
      </c>
      <c r="W49" s="53">
        <v>6</v>
      </c>
      <c r="X49" s="53" t="s">
        <v>46</v>
      </c>
      <c r="Y49" s="53" t="s">
        <v>40</v>
      </c>
      <c r="Z49" s="53" t="s">
        <v>90</v>
      </c>
      <c r="AA49" s="53" t="s">
        <v>84</v>
      </c>
      <c r="AB49" s="53" t="s">
        <v>158</v>
      </c>
    </row>
    <row r="50" spans="1:28" x14ac:dyDescent="0.15">
      <c r="A50" s="53" t="s">
        <v>56</v>
      </c>
      <c r="B50" s="53" t="s">
        <v>157</v>
      </c>
      <c r="C50" s="53">
        <v>2019</v>
      </c>
      <c r="D50" s="81" t="s">
        <v>168</v>
      </c>
      <c r="E50" s="53" t="s">
        <v>242</v>
      </c>
      <c r="F50" s="53" t="s">
        <v>246</v>
      </c>
      <c r="G50" s="53" t="s">
        <v>42</v>
      </c>
      <c r="H50" s="53" t="s">
        <v>189</v>
      </c>
      <c r="I50" s="53" t="s">
        <v>159</v>
      </c>
      <c r="J50" s="53" t="s">
        <v>53</v>
      </c>
      <c r="K50" s="53" t="s">
        <v>54</v>
      </c>
      <c r="L50" s="53">
        <v>1</v>
      </c>
      <c r="M50" s="84"/>
      <c r="N50" s="53">
        <v>1</v>
      </c>
      <c r="O50" s="53">
        <v>1.1000000000000001</v>
      </c>
      <c r="P50" s="53">
        <v>1.1000000000000001</v>
      </c>
      <c r="Q50" s="16">
        <f t="shared" si="0"/>
        <v>1.1000000000000001</v>
      </c>
      <c r="R50" s="53">
        <v>12.8</v>
      </c>
      <c r="S50" s="53">
        <v>148</v>
      </c>
      <c r="T50" s="16">
        <f t="shared" si="1"/>
        <v>22</v>
      </c>
      <c r="U50" s="53">
        <v>138</v>
      </c>
      <c r="V50" s="16">
        <f t="shared" si="2"/>
        <v>3036</v>
      </c>
      <c r="W50" s="53">
        <v>4</v>
      </c>
      <c r="X50" s="53" t="s">
        <v>46</v>
      </c>
      <c r="Y50" s="53" t="s">
        <v>40</v>
      </c>
      <c r="Z50" s="53" t="s">
        <v>90</v>
      </c>
      <c r="AA50" s="53" t="s">
        <v>84</v>
      </c>
      <c r="AB50" s="53" t="s">
        <v>158</v>
      </c>
    </row>
    <row r="51" spans="1:28" x14ac:dyDescent="0.15">
      <c r="A51" s="53" t="s">
        <v>56</v>
      </c>
      <c r="B51" s="53" t="s">
        <v>157</v>
      </c>
      <c r="C51" s="53">
        <v>2019</v>
      </c>
      <c r="D51" s="81" t="s">
        <v>168</v>
      </c>
      <c r="E51" s="53" t="s">
        <v>242</v>
      </c>
      <c r="F51" s="53" t="s">
        <v>246</v>
      </c>
      <c r="G51" s="53" t="s">
        <v>42</v>
      </c>
      <c r="H51" s="53" t="s">
        <v>189</v>
      </c>
      <c r="I51" s="53" t="s">
        <v>159</v>
      </c>
      <c r="J51" s="53" t="s">
        <v>53</v>
      </c>
      <c r="K51" s="53" t="s">
        <v>54</v>
      </c>
      <c r="L51" s="53">
        <v>2</v>
      </c>
      <c r="M51" s="84"/>
      <c r="N51" s="53">
        <v>1</v>
      </c>
      <c r="O51" s="53">
        <v>1</v>
      </c>
      <c r="P51" s="53">
        <v>1.1499999999999999</v>
      </c>
      <c r="Q51" s="16">
        <f t="shared" si="0"/>
        <v>1.075</v>
      </c>
      <c r="R51" s="53">
        <v>13.7</v>
      </c>
      <c r="S51" s="53">
        <v>153</v>
      </c>
      <c r="T51" s="16">
        <f t="shared" si="1"/>
        <v>22</v>
      </c>
      <c r="U51" s="53">
        <v>138</v>
      </c>
      <c r="V51" s="16">
        <f t="shared" si="2"/>
        <v>3036</v>
      </c>
      <c r="W51" s="53">
        <v>4</v>
      </c>
      <c r="X51" s="53" t="s">
        <v>46</v>
      </c>
      <c r="Y51" s="53" t="s">
        <v>40</v>
      </c>
      <c r="Z51" s="53" t="s">
        <v>90</v>
      </c>
      <c r="AA51" s="53" t="s">
        <v>84</v>
      </c>
      <c r="AB51" s="53" t="s">
        <v>158</v>
      </c>
    </row>
    <row r="52" spans="1:28" x14ac:dyDescent="0.15">
      <c r="A52" s="53" t="s">
        <v>56</v>
      </c>
      <c r="B52" s="53" t="s">
        <v>157</v>
      </c>
      <c r="C52" s="53">
        <v>2019</v>
      </c>
      <c r="D52" s="81" t="s">
        <v>168</v>
      </c>
      <c r="E52" s="53" t="s">
        <v>242</v>
      </c>
      <c r="F52" s="53" t="s">
        <v>246</v>
      </c>
      <c r="G52" s="53" t="s">
        <v>42</v>
      </c>
      <c r="H52" s="53" t="s">
        <v>189</v>
      </c>
      <c r="I52" s="53" t="s">
        <v>159</v>
      </c>
      <c r="J52" s="53" t="s">
        <v>53</v>
      </c>
      <c r="K52" s="53" t="s">
        <v>54</v>
      </c>
      <c r="L52" s="53">
        <v>3</v>
      </c>
      <c r="M52" s="84"/>
      <c r="N52" s="53">
        <v>1</v>
      </c>
      <c r="O52" s="53">
        <v>0.9</v>
      </c>
      <c r="P52" s="53">
        <v>0.8</v>
      </c>
      <c r="Q52" s="16">
        <f t="shared" si="0"/>
        <v>0.85000000000000009</v>
      </c>
      <c r="R52" s="53">
        <v>12.9</v>
      </c>
      <c r="S52" s="53">
        <v>147</v>
      </c>
      <c r="T52" s="16">
        <f t="shared" si="1"/>
        <v>22</v>
      </c>
      <c r="U52" s="53">
        <v>138</v>
      </c>
      <c r="V52" s="16">
        <f t="shared" si="2"/>
        <v>3036</v>
      </c>
      <c r="W52" s="53">
        <v>4</v>
      </c>
      <c r="X52" s="53" t="s">
        <v>46</v>
      </c>
      <c r="Y52" s="53" t="s">
        <v>40</v>
      </c>
      <c r="Z52" s="53" t="s">
        <v>90</v>
      </c>
      <c r="AA52" s="53" t="s">
        <v>84</v>
      </c>
      <c r="AB52" s="53" t="s">
        <v>158</v>
      </c>
    </row>
    <row r="53" spans="1:28" x14ac:dyDescent="0.15">
      <c r="A53" s="53" t="s">
        <v>56</v>
      </c>
      <c r="B53" s="53" t="s">
        <v>157</v>
      </c>
      <c r="C53" s="53">
        <v>2019</v>
      </c>
      <c r="D53" s="81" t="s">
        <v>168</v>
      </c>
      <c r="E53" s="53" t="s">
        <v>247</v>
      </c>
      <c r="F53" s="53" t="s">
        <v>246</v>
      </c>
      <c r="G53" s="53" t="s">
        <v>42</v>
      </c>
      <c r="H53" s="53" t="s">
        <v>163</v>
      </c>
      <c r="I53" s="53" t="s">
        <v>159</v>
      </c>
      <c r="J53" s="53" t="s">
        <v>38</v>
      </c>
      <c r="K53" s="53" t="s">
        <v>160</v>
      </c>
      <c r="L53" s="53">
        <v>1</v>
      </c>
      <c r="M53" s="84"/>
      <c r="N53" s="53">
        <v>5</v>
      </c>
      <c r="O53" s="53">
        <v>0.9</v>
      </c>
      <c r="P53" s="53">
        <v>0.9</v>
      </c>
      <c r="Q53" s="16">
        <f t="shared" si="0"/>
        <v>0.9</v>
      </c>
      <c r="R53" s="53">
        <v>15.3</v>
      </c>
      <c r="S53" s="53">
        <v>89</v>
      </c>
      <c r="T53" s="16">
        <f t="shared" si="1"/>
        <v>36</v>
      </c>
      <c r="U53" s="53">
        <v>429</v>
      </c>
      <c r="V53" s="16">
        <f t="shared" si="2"/>
        <v>3088.7999999999997</v>
      </c>
      <c r="W53" s="53">
        <v>4</v>
      </c>
      <c r="X53" s="53" t="s">
        <v>46</v>
      </c>
      <c r="Y53" s="53" t="s">
        <v>40</v>
      </c>
      <c r="Z53" s="53" t="s">
        <v>84</v>
      </c>
      <c r="AA53" s="53" t="s">
        <v>90</v>
      </c>
      <c r="AB53" s="53" t="s">
        <v>158</v>
      </c>
    </row>
    <row r="54" spans="1:28" x14ac:dyDescent="0.15">
      <c r="A54" s="53" t="s">
        <v>56</v>
      </c>
      <c r="B54" s="53" t="s">
        <v>157</v>
      </c>
      <c r="C54" s="53">
        <v>2019</v>
      </c>
      <c r="D54" s="81" t="s">
        <v>168</v>
      </c>
      <c r="E54" s="53" t="s">
        <v>247</v>
      </c>
      <c r="F54" s="53" t="s">
        <v>246</v>
      </c>
      <c r="G54" s="53" t="s">
        <v>42</v>
      </c>
      <c r="H54" s="53" t="s">
        <v>163</v>
      </c>
      <c r="I54" s="53" t="s">
        <v>159</v>
      </c>
      <c r="J54" s="53" t="s">
        <v>38</v>
      </c>
      <c r="K54" s="53" t="s">
        <v>160</v>
      </c>
      <c r="L54" s="53">
        <v>2</v>
      </c>
      <c r="M54" s="84"/>
      <c r="N54" s="53">
        <v>5</v>
      </c>
      <c r="O54" s="53">
        <v>0.7</v>
      </c>
      <c r="P54" s="53">
        <v>0.55000000000000004</v>
      </c>
      <c r="Q54" s="16">
        <f t="shared" si="0"/>
        <v>0.625</v>
      </c>
      <c r="R54" s="53">
        <v>14.6</v>
      </c>
      <c r="S54" s="53">
        <v>86</v>
      </c>
      <c r="T54" s="16">
        <f t="shared" si="1"/>
        <v>36</v>
      </c>
      <c r="U54" s="53">
        <v>429</v>
      </c>
      <c r="V54" s="16">
        <f t="shared" si="2"/>
        <v>3088.7999999999997</v>
      </c>
      <c r="W54" s="53">
        <v>4</v>
      </c>
      <c r="X54" s="53" t="s">
        <v>46</v>
      </c>
      <c r="Y54" s="53" t="s">
        <v>40</v>
      </c>
      <c r="Z54" s="53" t="s">
        <v>84</v>
      </c>
      <c r="AA54" s="53" t="s">
        <v>90</v>
      </c>
      <c r="AB54" s="53" t="s">
        <v>158</v>
      </c>
    </row>
    <row r="55" spans="1:28" x14ac:dyDescent="0.15">
      <c r="A55" s="53" t="s">
        <v>56</v>
      </c>
      <c r="B55" s="53" t="s">
        <v>157</v>
      </c>
      <c r="C55" s="53">
        <v>2019</v>
      </c>
      <c r="D55" s="81" t="s">
        <v>168</v>
      </c>
      <c r="E55" s="53" t="s">
        <v>247</v>
      </c>
      <c r="F55" s="53" t="s">
        <v>246</v>
      </c>
      <c r="G55" s="53" t="s">
        <v>42</v>
      </c>
      <c r="H55" s="53" t="s">
        <v>163</v>
      </c>
      <c r="I55" s="53" t="s">
        <v>159</v>
      </c>
      <c r="J55" s="53" t="s">
        <v>38</v>
      </c>
      <c r="K55" s="53" t="s">
        <v>160</v>
      </c>
      <c r="L55" s="53">
        <v>3</v>
      </c>
      <c r="M55" s="84"/>
      <c r="N55" s="53">
        <v>5</v>
      </c>
      <c r="O55" s="53">
        <v>0.95</v>
      </c>
      <c r="P55" s="53">
        <v>1</v>
      </c>
      <c r="Q55" s="16">
        <f t="shared" si="0"/>
        <v>0.97499999999999998</v>
      </c>
      <c r="R55" s="53">
        <v>14.6</v>
      </c>
      <c r="S55" s="53">
        <v>84</v>
      </c>
      <c r="T55" s="16">
        <f t="shared" si="1"/>
        <v>36</v>
      </c>
      <c r="U55" s="53">
        <v>429</v>
      </c>
      <c r="V55" s="16">
        <f t="shared" si="2"/>
        <v>3088.7999999999997</v>
      </c>
      <c r="W55" s="53">
        <v>4</v>
      </c>
      <c r="X55" s="53" t="s">
        <v>46</v>
      </c>
      <c r="Y55" s="53" t="s">
        <v>40</v>
      </c>
      <c r="Z55" s="53" t="s">
        <v>84</v>
      </c>
      <c r="AA55" s="53" t="s">
        <v>90</v>
      </c>
      <c r="AB55" s="53" t="s">
        <v>158</v>
      </c>
    </row>
    <row r="56" spans="1:28" x14ac:dyDescent="0.15">
      <c r="D56" s="81"/>
      <c r="M56" s="84"/>
    </row>
    <row r="57" spans="1:28" x14ac:dyDescent="0.15">
      <c r="D57" s="81"/>
      <c r="M57" s="84"/>
    </row>
    <row r="58" spans="1:28" x14ac:dyDescent="0.15">
      <c r="D58" s="81"/>
      <c r="M58" s="84"/>
    </row>
    <row r="59" spans="1:28" x14ac:dyDescent="0.15">
      <c r="D59" s="81"/>
      <c r="M59" s="84"/>
    </row>
    <row r="60" spans="1:28" x14ac:dyDescent="0.15">
      <c r="D60" s="81"/>
      <c r="M60" s="84"/>
    </row>
    <row r="61" spans="1:28" x14ac:dyDescent="0.15">
      <c r="D61" s="81"/>
      <c r="M61" s="84"/>
    </row>
    <row r="62" spans="1:28" x14ac:dyDescent="0.15">
      <c r="D62" s="81"/>
    </row>
    <row r="63" spans="1:28" x14ac:dyDescent="0.15">
      <c r="D63" s="81"/>
    </row>
    <row r="64" spans="1:28" x14ac:dyDescent="0.15">
      <c r="D64" s="81"/>
    </row>
    <row r="65" spans="4:4" x14ac:dyDescent="0.15">
      <c r="D65" s="81"/>
    </row>
    <row r="66" spans="4:4" x14ac:dyDescent="0.15">
      <c r="D66" s="81"/>
    </row>
    <row r="67" spans="4:4" x14ac:dyDescent="0.15">
      <c r="D67" s="81"/>
    </row>
    <row r="68" spans="4:4" x14ac:dyDescent="0.15">
      <c r="D68" s="81"/>
    </row>
    <row r="69" spans="4:4" x14ac:dyDescent="0.15">
      <c r="D69" s="81"/>
    </row>
    <row r="70" spans="4:4" x14ac:dyDescent="0.15">
      <c r="D70" s="81"/>
    </row>
    <row r="71" spans="4:4" x14ac:dyDescent="0.15">
      <c r="D71" s="81"/>
    </row>
    <row r="72" spans="4:4" x14ac:dyDescent="0.15">
      <c r="D72" s="81"/>
    </row>
    <row r="73" spans="4:4" x14ac:dyDescent="0.15">
      <c r="D73" s="81"/>
    </row>
    <row r="74" spans="4:4" x14ac:dyDescent="0.15">
      <c r="D74" s="81"/>
    </row>
    <row r="75" spans="4:4" x14ac:dyDescent="0.15">
      <c r="D75" s="81"/>
    </row>
    <row r="76" spans="4:4" x14ac:dyDescent="0.15">
      <c r="D76" s="81"/>
    </row>
    <row r="77" spans="4:4" x14ac:dyDescent="0.15">
      <c r="D77" s="81"/>
    </row>
    <row r="78" spans="4:4" x14ac:dyDescent="0.15">
      <c r="D78" s="81"/>
    </row>
    <row r="79" spans="4:4" x14ac:dyDescent="0.15">
      <c r="D79" s="81"/>
    </row>
    <row r="80" spans="4:4" x14ac:dyDescent="0.15">
      <c r="D80" s="81"/>
    </row>
    <row r="81" spans="4:4" x14ac:dyDescent="0.15">
      <c r="D81" s="81"/>
    </row>
    <row r="82" spans="4:4" x14ac:dyDescent="0.15">
      <c r="D82" s="81"/>
    </row>
  </sheetData>
  <autoFilter ref="A1:BA55" xr:uid="{00000000-0009-0000-0000-000002000000}"/>
  <phoneticPr fontId="3"/>
  <dataValidations count="18">
    <dataValidation type="list" allowBlank="1" showInputMessage="1" showErrorMessage="1" sqref="Y983042:AA983540 ADM983042:ADO983540 BHA983042:BHC983540 CKO983042:CKQ983540 DOC983042:DOE983540 ERQ983042:ERS983540 FVE983042:FVG983540 GYS983042:GYU983540 ICG983042:ICI983540 JFU983042:JFW983540 KJI983042:KJK983540 LMW983042:LMY983540 MQK983042:MQM983540 NTY983042:NUA983540 OXM983042:OXO983540 QBA983042:QBC983540 REO983042:REQ983540 SIC983042:SIE983540 TLQ983042:TLS983540 UPE983042:UPG983540 VSS983042:VSU983540 WWG983042:WWI983540 JU2:JW500 ANI2:ANK500 BQW2:BQY500 CUK2:CUM500 DXY2:DYA500 FBM2:FBO500 GFA2:GFC500 HIO2:HIQ500 IMC2:IME500 JPQ2:JPS500 KTE2:KTG500 LWS2:LWU500 NAG2:NAI500 ODU2:ODW500 PHI2:PHK500 QKW2:QKY500 ROK2:ROM500 SRY2:SSA500 TVM2:TVO500 UZA2:UZC500 WCO2:WCQ500 TQ2:TS500 AXE2:AXG500 CAS2:CAU500 DEG2:DEI500 EHU2:EHW500 FLI2:FLK500 GOW2:GOY500 HSK2:HSM500 IVY2:IWA500 JZM2:JZO500 LDA2:LDC500 MGO2:MGQ500 NKC2:NKE500 ONQ2:ONS500 PRE2:PRG500 QUS2:QUU500 RYG2:RYI500 TBU2:TBW500 UFI2:UFK500 VIW2:VIY500 WMK2:WMM500 ADM2:ADO500 BHA2:BHC500 CKO2:CKQ500 DOC2:DOE500 ERQ2:ERS500 FVE2:FVG500 GYS2:GYU500 ICG2:ICI500 JFU2:JFW500 KJI2:KJK500 LMW2:LMY500 MQK2:MQM500 NTY2:NUA500 OXM2:OXO500 QBA2:QBC500 REO2:REQ500 SIC2:SIE500 TLQ2:TLS500 UPE2:UPG500 VSS2:VSU500 WWG2:WWI500 Y65538:AA66036 ADM65538:ADO66036 BHA65538:BHC66036 CKO65538:CKQ66036 DOC65538:DOE66036 ERQ65538:ERS66036 FVE65538:FVG66036 GYS65538:GYU66036 ICG65538:ICI66036 JFU65538:JFW66036 KJI65538:KJK66036 LMW65538:LMY66036 MQK65538:MQM66036 NTY65538:NUA66036 OXM65538:OXO66036 QBA65538:QBC66036 REO65538:REQ66036 SIC65538:SIE66036 TLQ65538:TLS66036 UPE65538:UPG66036 VSS65538:VSU66036 WWG65538:WWI66036 JU65538:JW66036 ANI65538:ANK66036 BQW65538:BQY66036 CUK65538:CUM66036 DXY65538:DYA66036 FBM65538:FBO66036 GFA65538:GFC66036 HIO65538:HIQ66036 IMC65538:IME66036 JPQ65538:JPS66036 KTE65538:KTG66036 LWS65538:LWU66036 NAG65538:NAI66036 ODU65538:ODW66036 PHI65538:PHK66036 QKW65538:QKY66036 ROK65538:ROM66036 SRY65538:SSA66036 TVM65538:TVO66036 UZA65538:UZC66036 WCO65538:WCQ66036 TQ65538:TS66036 AXE65538:AXG66036 CAS65538:CAU66036 DEG65538:DEI66036 EHU65538:EHW66036 FLI65538:FLK66036 GOW65538:GOY66036 HSK65538:HSM66036 IVY65538:IWA66036 JZM65538:JZO66036 LDA65538:LDC66036 MGO65538:MGQ66036 NKC65538:NKE66036 ONQ65538:ONS66036 PRE65538:PRG66036 QUS65538:QUU66036 RYG65538:RYI66036 TBU65538:TBW66036 UFI65538:UFK66036 VIW65538:VIY66036 WMK65538:WMM66036 Y131074:AA131572 ADM131074:ADO131572 BHA131074:BHC131572 CKO131074:CKQ131572 DOC131074:DOE131572 ERQ131074:ERS131572 FVE131074:FVG131572 GYS131074:GYU131572 ICG131074:ICI131572 JFU131074:JFW131572 KJI131074:KJK131572 LMW131074:LMY131572 MQK131074:MQM131572 NTY131074:NUA131572 OXM131074:OXO131572 QBA131074:QBC131572 REO131074:REQ131572 SIC131074:SIE131572 TLQ131074:TLS131572 UPE131074:UPG131572 VSS131074:VSU131572 WWG131074:WWI131572 JU131074:JW131572 ANI131074:ANK131572 BQW131074:BQY131572 CUK131074:CUM131572 DXY131074:DYA131572 FBM131074:FBO131572 GFA131074:GFC131572 HIO131074:HIQ131572 IMC131074:IME131572 JPQ131074:JPS131572 KTE131074:KTG131572 LWS131074:LWU131572 NAG131074:NAI131572 ODU131074:ODW131572 PHI131074:PHK131572 QKW131074:QKY131572 ROK131074:ROM131572 SRY131074:SSA131572 TVM131074:TVO131572 UZA131074:UZC131572 WCO131074:WCQ131572 TQ131074:TS131572 AXE131074:AXG131572 CAS131074:CAU131572 DEG131074:DEI131572 EHU131074:EHW131572 FLI131074:FLK131572 GOW131074:GOY131572 HSK131074:HSM131572 IVY131074:IWA131572 JZM131074:JZO131572 LDA131074:LDC131572 MGO131074:MGQ131572 NKC131074:NKE131572 ONQ131074:ONS131572 PRE131074:PRG131572 QUS131074:QUU131572 RYG131074:RYI131572 TBU131074:TBW131572 UFI131074:UFK131572 VIW131074:VIY131572 WMK131074:WMM131572 Y196610:AA197108 ADM196610:ADO197108 BHA196610:BHC197108 CKO196610:CKQ197108 DOC196610:DOE197108 ERQ196610:ERS197108 FVE196610:FVG197108 GYS196610:GYU197108 ICG196610:ICI197108 JFU196610:JFW197108 KJI196610:KJK197108 LMW196610:LMY197108 MQK196610:MQM197108 NTY196610:NUA197108 OXM196610:OXO197108 QBA196610:QBC197108 REO196610:REQ197108 SIC196610:SIE197108 TLQ196610:TLS197108 UPE196610:UPG197108 VSS196610:VSU197108 WWG196610:WWI197108 JU196610:JW197108 ANI196610:ANK197108 BQW196610:BQY197108 CUK196610:CUM197108 DXY196610:DYA197108 FBM196610:FBO197108 GFA196610:GFC197108 HIO196610:HIQ197108 IMC196610:IME197108 JPQ196610:JPS197108 KTE196610:KTG197108 LWS196610:LWU197108 NAG196610:NAI197108 ODU196610:ODW197108 PHI196610:PHK197108 QKW196610:QKY197108 ROK196610:ROM197108 SRY196610:SSA197108 TVM196610:TVO197108 UZA196610:UZC197108 WCO196610:WCQ197108 TQ196610:TS197108 AXE196610:AXG197108 CAS196610:CAU197108 DEG196610:DEI197108 EHU196610:EHW197108 FLI196610:FLK197108 GOW196610:GOY197108 HSK196610:HSM197108 IVY196610:IWA197108 JZM196610:JZO197108 LDA196610:LDC197108 MGO196610:MGQ197108 NKC196610:NKE197108 ONQ196610:ONS197108 PRE196610:PRG197108 QUS196610:QUU197108 RYG196610:RYI197108 TBU196610:TBW197108 UFI196610:UFK197108 VIW196610:VIY197108 WMK196610:WMM197108 Y262146:AA262644 ADM262146:ADO262644 BHA262146:BHC262644 CKO262146:CKQ262644 DOC262146:DOE262644 ERQ262146:ERS262644 FVE262146:FVG262644 GYS262146:GYU262644 ICG262146:ICI262644 JFU262146:JFW262644 KJI262146:KJK262644 LMW262146:LMY262644 MQK262146:MQM262644 NTY262146:NUA262644 OXM262146:OXO262644 QBA262146:QBC262644 REO262146:REQ262644 SIC262146:SIE262644 TLQ262146:TLS262644 UPE262146:UPG262644 VSS262146:VSU262644 WWG262146:WWI262644 JU262146:JW262644 ANI262146:ANK262644 BQW262146:BQY262644 CUK262146:CUM262644 DXY262146:DYA262644 FBM262146:FBO262644 GFA262146:GFC262644 HIO262146:HIQ262644 IMC262146:IME262644 JPQ262146:JPS262644 KTE262146:KTG262644 LWS262146:LWU262644 NAG262146:NAI262644 ODU262146:ODW262644 PHI262146:PHK262644 QKW262146:QKY262644 ROK262146:ROM262644 SRY262146:SSA262644 TVM262146:TVO262644 UZA262146:UZC262644 WCO262146:WCQ262644 TQ262146:TS262644 AXE262146:AXG262644 CAS262146:CAU262644 DEG262146:DEI262644 EHU262146:EHW262644 FLI262146:FLK262644 GOW262146:GOY262644 HSK262146:HSM262644 IVY262146:IWA262644 JZM262146:JZO262644 LDA262146:LDC262644 MGO262146:MGQ262644 NKC262146:NKE262644 ONQ262146:ONS262644 PRE262146:PRG262644 QUS262146:QUU262644 RYG262146:RYI262644 TBU262146:TBW262644 UFI262146:UFK262644 VIW262146:VIY262644 WMK262146:WMM262644 Y327682:AA328180 ADM327682:ADO328180 BHA327682:BHC328180 CKO327682:CKQ328180 DOC327682:DOE328180 ERQ327682:ERS328180 FVE327682:FVG328180 GYS327682:GYU328180 ICG327682:ICI328180 JFU327682:JFW328180 KJI327682:KJK328180 LMW327682:LMY328180 MQK327682:MQM328180 NTY327682:NUA328180 OXM327682:OXO328180 QBA327682:QBC328180 REO327682:REQ328180 SIC327682:SIE328180 TLQ327682:TLS328180 UPE327682:UPG328180 VSS327682:VSU328180 WWG327682:WWI328180 JU327682:JW328180 ANI327682:ANK328180 BQW327682:BQY328180 CUK327682:CUM328180 DXY327682:DYA328180 FBM327682:FBO328180 GFA327682:GFC328180 HIO327682:HIQ328180 IMC327682:IME328180 JPQ327682:JPS328180 KTE327682:KTG328180 LWS327682:LWU328180 NAG327682:NAI328180 ODU327682:ODW328180 PHI327682:PHK328180 QKW327682:QKY328180 ROK327682:ROM328180 SRY327682:SSA328180 TVM327682:TVO328180 UZA327682:UZC328180 WCO327682:WCQ328180 TQ327682:TS328180 AXE327682:AXG328180 CAS327682:CAU328180 DEG327682:DEI328180 EHU327682:EHW328180 FLI327682:FLK328180 GOW327682:GOY328180 HSK327682:HSM328180 IVY327682:IWA328180 JZM327682:JZO328180 LDA327682:LDC328180 MGO327682:MGQ328180 NKC327682:NKE328180 ONQ327682:ONS328180 PRE327682:PRG328180 QUS327682:QUU328180 RYG327682:RYI328180 TBU327682:TBW328180 UFI327682:UFK328180 VIW327682:VIY328180 WMK327682:WMM328180 Y393218:AA393716 ADM393218:ADO393716 BHA393218:BHC393716 CKO393218:CKQ393716 DOC393218:DOE393716 ERQ393218:ERS393716 FVE393218:FVG393716 GYS393218:GYU393716 ICG393218:ICI393716 JFU393218:JFW393716 KJI393218:KJK393716 LMW393218:LMY393716 MQK393218:MQM393716 NTY393218:NUA393716 OXM393218:OXO393716 QBA393218:QBC393716 REO393218:REQ393716 SIC393218:SIE393716 TLQ393218:TLS393716 UPE393218:UPG393716 VSS393218:VSU393716 WWG393218:WWI393716 JU393218:JW393716 ANI393218:ANK393716 BQW393218:BQY393716 CUK393218:CUM393716 DXY393218:DYA393716 FBM393218:FBO393716 GFA393218:GFC393716 HIO393218:HIQ393716 IMC393218:IME393716 JPQ393218:JPS393716 KTE393218:KTG393716 LWS393218:LWU393716 NAG393218:NAI393716 ODU393218:ODW393716 PHI393218:PHK393716 QKW393218:QKY393716 ROK393218:ROM393716 SRY393218:SSA393716 TVM393218:TVO393716 UZA393218:UZC393716 WCO393218:WCQ393716 TQ393218:TS393716 AXE393218:AXG393716 CAS393218:CAU393716 DEG393218:DEI393716 EHU393218:EHW393716 FLI393218:FLK393716 GOW393218:GOY393716 HSK393218:HSM393716 IVY393218:IWA393716 JZM393218:JZO393716 LDA393218:LDC393716 MGO393218:MGQ393716 NKC393218:NKE393716 ONQ393218:ONS393716 PRE393218:PRG393716 QUS393218:QUU393716 RYG393218:RYI393716 TBU393218:TBW393716 UFI393218:UFK393716 VIW393218:VIY393716 WMK393218:WMM393716 Y458754:AA459252 ADM458754:ADO459252 BHA458754:BHC459252 CKO458754:CKQ459252 DOC458754:DOE459252 ERQ458754:ERS459252 FVE458754:FVG459252 GYS458754:GYU459252 ICG458754:ICI459252 JFU458754:JFW459252 KJI458754:KJK459252 LMW458754:LMY459252 MQK458754:MQM459252 NTY458754:NUA459252 OXM458754:OXO459252 QBA458754:QBC459252 REO458754:REQ459252 SIC458754:SIE459252 TLQ458754:TLS459252 UPE458754:UPG459252 VSS458754:VSU459252 WWG458754:WWI459252 JU458754:JW459252 ANI458754:ANK459252 BQW458754:BQY459252 CUK458754:CUM459252 DXY458754:DYA459252 FBM458754:FBO459252 GFA458754:GFC459252 HIO458754:HIQ459252 IMC458754:IME459252 JPQ458754:JPS459252 KTE458754:KTG459252 LWS458754:LWU459252 NAG458754:NAI459252 ODU458754:ODW459252 PHI458754:PHK459252 QKW458754:QKY459252 ROK458754:ROM459252 SRY458754:SSA459252 TVM458754:TVO459252 UZA458754:UZC459252 WCO458754:WCQ459252 TQ458754:TS459252 AXE458754:AXG459252 CAS458754:CAU459252 DEG458754:DEI459252 EHU458754:EHW459252 FLI458754:FLK459252 GOW458754:GOY459252 HSK458754:HSM459252 IVY458754:IWA459252 JZM458754:JZO459252 LDA458754:LDC459252 MGO458754:MGQ459252 NKC458754:NKE459252 ONQ458754:ONS459252 PRE458754:PRG459252 QUS458754:QUU459252 RYG458754:RYI459252 TBU458754:TBW459252 UFI458754:UFK459252 VIW458754:VIY459252 WMK458754:WMM459252 Y524290:AA524788 ADM524290:ADO524788 BHA524290:BHC524788 CKO524290:CKQ524788 DOC524290:DOE524788 ERQ524290:ERS524788 FVE524290:FVG524788 GYS524290:GYU524788 ICG524290:ICI524788 JFU524290:JFW524788 KJI524290:KJK524788 LMW524290:LMY524788 MQK524290:MQM524788 NTY524290:NUA524788 OXM524290:OXO524788 QBA524290:QBC524788 REO524290:REQ524788 SIC524290:SIE524788 TLQ524290:TLS524788 UPE524290:UPG524788 VSS524290:VSU524788 WWG524290:WWI524788 JU524290:JW524788 ANI524290:ANK524788 BQW524290:BQY524788 CUK524290:CUM524788 DXY524290:DYA524788 FBM524290:FBO524788 GFA524290:GFC524788 HIO524290:HIQ524788 IMC524290:IME524788 JPQ524290:JPS524788 KTE524290:KTG524788 LWS524290:LWU524788 NAG524290:NAI524788 ODU524290:ODW524788 PHI524290:PHK524788 QKW524290:QKY524788 ROK524290:ROM524788 SRY524290:SSA524788 TVM524290:TVO524788 UZA524290:UZC524788 WCO524290:WCQ524788 TQ524290:TS524788 AXE524290:AXG524788 CAS524290:CAU524788 DEG524290:DEI524788 EHU524290:EHW524788 FLI524290:FLK524788 GOW524290:GOY524788 HSK524290:HSM524788 IVY524290:IWA524788 JZM524290:JZO524788 LDA524290:LDC524788 MGO524290:MGQ524788 NKC524290:NKE524788 ONQ524290:ONS524788 PRE524290:PRG524788 QUS524290:QUU524788 RYG524290:RYI524788 TBU524290:TBW524788 UFI524290:UFK524788 VIW524290:VIY524788 WMK524290:WMM524788 Y589826:AA590324 ADM589826:ADO590324 BHA589826:BHC590324 CKO589826:CKQ590324 DOC589826:DOE590324 ERQ589826:ERS590324 FVE589826:FVG590324 GYS589826:GYU590324 ICG589826:ICI590324 JFU589826:JFW590324 KJI589826:KJK590324 LMW589826:LMY590324 MQK589826:MQM590324 NTY589826:NUA590324 OXM589826:OXO590324 QBA589826:QBC590324 REO589826:REQ590324 SIC589826:SIE590324 TLQ589826:TLS590324 UPE589826:UPG590324 VSS589826:VSU590324 WWG589826:WWI590324 JU589826:JW590324 ANI589826:ANK590324 BQW589826:BQY590324 CUK589826:CUM590324 DXY589826:DYA590324 FBM589826:FBO590324 GFA589826:GFC590324 HIO589826:HIQ590324 IMC589826:IME590324 JPQ589826:JPS590324 KTE589826:KTG590324 LWS589826:LWU590324 NAG589826:NAI590324 ODU589826:ODW590324 PHI589826:PHK590324 QKW589826:QKY590324 ROK589826:ROM590324 SRY589826:SSA590324 TVM589826:TVO590324 UZA589826:UZC590324 WCO589826:WCQ590324 TQ589826:TS590324 AXE589826:AXG590324 CAS589826:CAU590324 DEG589826:DEI590324 EHU589826:EHW590324 FLI589826:FLK590324 GOW589826:GOY590324 HSK589826:HSM590324 IVY589826:IWA590324 JZM589826:JZO590324 LDA589826:LDC590324 MGO589826:MGQ590324 NKC589826:NKE590324 ONQ589826:ONS590324 PRE589826:PRG590324 QUS589826:QUU590324 RYG589826:RYI590324 TBU589826:TBW590324 UFI589826:UFK590324 VIW589826:VIY590324 WMK589826:WMM590324 Y655362:AA655860 ADM655362:ADO655860 BHA655362:BHC655860 CKO655362:CKQ655860 DOC655362:DOE655860 ERQ655362:ERS655860 FVE655362:FVG655860 GYS655362:GYU655860 ICG655362:ICI655860 JFU655362:JFW655860 KJI655362:KJK655860 LMW655362:LMY655860 MQK655362:MQM655860 NTY655362:NUA655860 OXM655362:OXO655860 QBA655362:QBC655860 REO655362:REQ655860 SIC655362:SIE655860 TLQ655362:TLS655860 UPE655362:UPG655860 VSS655362:VSU655860 WWG655362:WWI655860 JU655362:JW655860 ANI655362:ANK655860 BQW655362:BQY655860 CUK655362:CUM655860 DXY655362:DYA655860 FBM655362:FBO655860 GFA655362:GFC655860 HIO655362:HIQ655860 IMC655362:IME655860 JPQ655362:JPS655860 KTE655362:KTG655860 LWS655362:LWU655860 NAG655362:NAI655860 ODU655362:ODW655860 PHI655362:PHK655860 QKW655362:QKY655860 ROK655362:ROM655860 SRY655362:SSA655860 TVM655362:TVO655860 UZA655362:UZC655860 WCO655362:WCQ655860 TQ655362:TS655860 AXE655362:AXG655860 CAS655362:CAU655860 DEG655362:DEI655860 EHU655362:EHW655860 FLI655362:FLK655860 GOW655362:GOY655860 HSK655362:HSM655860 IVY655362:IWA655860 JZM655362:JZO655860 LDA655362:LDC655860 MGO655362:MGQ655860 NKC655362:NKE655860 ONQ655362:ONS655860 PRE655362:PRG655860 QUS655362:QUU655860 RYG655362:RYI655860 TBU655362:TBW655860 UFI655362:UFK655860 VIW655362:VIY655860 WMK655362:WMM655860 Y720898:AA721396 ADM720898:ADO721396 BHA720898:BHC721396 CKO720898:CKQ721396 DOC720898:DOE721396 ERQ720898:ERS721396 FVE720898:FVG721396 GYS720898:GYU721396 ICG720898:ICI721396 JFU720898:JFW721396 KJI720898:KJK721396 LMW720898:LMY721396 MQK720898:MQM721396 NTY720898:NUA721396 OXM720898:OXO721396 QBA720898:QBC721396 REO720898:REQ721396 SIC720898:SIE721396 TLQ720898:TLS721396 UPE720898:UPG721396 VSS720898:VSU721396 WWG720898:WWI721396 JU720898:JW721396 ANI720898:ANK721396 BQW720898:BQY721396 CUK720898:CUM721396 DXY720898:DYA721396 FBM720898:FBO721396 GFA720898:GFC721396 HIO720898:HIQ721396 IMC720898:IME721396 JPQ720898:JPS721396 KTE720898:KTG721396 LWS720898:LWU721396 NAG720898:NAI721396 ODU720898:ODW721396 PHI720898:PHK721396 QKW720898:QKY721396 ROK720898:ROM721396 SRY720898:SSA721396 TVM720898:TVO721396 UZA720898:UZC721396 WCO720898:WCQ721396 TQ720898:TS721396 AXE720898:AXG721396 CAS720898:CAU721396 DEG720898:DEI721396 EHU720898:EHW721396 FLI720898:FLK721396 GOW720898:GOY721396 HSK720898:HSM721396 IVY720898:IWA721396 JZM720898:JZO721396 LDA720898:LDC721396 MGO720898:MGQ721396 NKC720898:NKE721396 ONQ720898:ONS721396 PRE720898:PRG721396 QUS720898:QUU721396 RYG720898:RYI721396 TBU720898:TBW721396 UFI720898:UFK721396 VIW720898:VIY721396 WMK720898:WMM721396 Y786434:AA786932 ADM786434:ADO786932 BHA786434:BHC786932 CKO786434:CKQ786932 DOC786434:DOE786932 ERQ786434:ERS786932 FVE786434:FVG786932 GYS786434:GYU786932 ICG786434:ICI786932 JFU786434:JFW786932 KJI786434:KJK786932 LMW786434:LMY786932 MQK786434:MQM786932 NTY786434:NUA786932 OXM786434:OXO786932 QBA786434:QBC786932 REO786434:REQ786932 SIC786434:SIE786932 TLQ786434:TLS786932 UPE786434:UPG786932 VSS786434:VSU786932 WWG786434:WWI786932 JU786434:JW786932 ANI786434:ANK786932 BQW786434:BQY786932 CUK786434:CUM786932 DXY786434:DYA786932 FBM786434:FBO786932 GFA786434:GFC786932 HIO786434:HIQ786932 IMC786434:IME786932 JPQ786434:JPS786932 KTE786434:KTG786932 LWS786434:LWU786932 NAG786434:NAI786932 ODU786434:ODW786932 PHI786434:PHK786932 QKW786434:QKY786932 ROK786434:ROM786932 SRY786434:SSA786932 TVM786434:TVO786932 UZA786434:UZC786932 WCO786434:WCQ786932 TQ786434:TS786932 AXE786434:AXG786932 CAS786434:CAU786932 DEG786434:DEI786932 EHU786434:EHW786932 FLI786434:FLK786932 GOW786434:GOY786932 HSK786434:HSM786932 IVY786434:IWA786932 JZM786434:JZO786932 LDA786434:LDC786932 MGO786434:MGQ786932 NKC786434:NKE786932 ONQ786434:ONS786932 PRE786434:PRG786932 QUS786434:QUU786932 RYG786434:RYI786932 TBU786434:TBW786932 UFI786434:UFK786932 VIW786434:VIY786932 WMK786434:WMM786932 Y851970:AA852468 ADM851970:ADO852468 BHA851970:BHC852468 CKO851970:CKQ852468 DOC851970:DOE852468 ERQ851970:ERS852468 FVE851970:FVG852468 GYS851970:GYU852468 ICG851970:ICI852468 JFU851970:JFW852468 KJI851970:KJK852468 LMW851970:LMY852468 MQK851970:MQM852468 NTY851970:NUA852468 OXM851970:OXO852468 QBA851970:QBC852468 REO851970:REQ852468 SIC851970:SIE852468 TLQ851970:TLS852468 UPE851970:UPG852468 VSS851970:VSU852468 WWG851970:WWI852468 JU851970:JW852468 ANI851970:ANK852468 BQW851970:BQY852468 CUK851970:CUM852468 DXY851970:DYA852468 FBM851970:FBO852468 GFA851970:GFC852468 HIO851970:HIQ852468 IMC851970:IME852468 JPQ851970:JPS852468 KTE851970:KTG852468 LWS851970:LWU852468 NAG851970:NAI852468 ODU851970:ODW852468 PHI851970:PHK852468 QKW851970:QKY852468 ROK851970:ROM852468 SRY851970:SSA852468 TVM851970:TVO852468 UZA851970:UZC852468 WCO851970:WCQ852468 TQ851970:TS852468 AXE851970:AXG852468 CAS851970:CAU852468 DEG851970:DEI852468 EHU851970:EHW852468 FLI851970:FLK852468 GOW851970:GOY852468 HSK851970:HSM852468 IVY851970:IWA852468 JZM851970:JZO852468 LDA851970:LDC852468 MGO851970:MGQ852468 NKC851970:NKE852468 ONQ851970:ONS852468 PRE851970:PRG852468 QUS851970:QUU852468 RYG851970:RYI852468 TBU851970:TBW852468 UFI851970:UFK852468 VIW851970:VIY852468 WMK851970:WMM852468 Y917506:AA918004 ADM917506:ADO918004 BHA917506:BHC918004 CKO917506:CKQ918004 DOC917506:DOE918004 ERQ917506:ERS918004 FVE917506:FVG918004 GYS917506:GYU918004 ICG917506:ICI918004 JFU917506:JFW918004 KJI917506:KJK918004 LMW917506:LMY918004 MQK917506:MQM918004 NTY917506:NUA918004 OXM917506:OXO918004 QBA917506:QBC918004 REO917506:REQ918004 SIC917506:SIE918004 TLQ917506:TLS918004 UPE917506:UPG918004 VSS917506:VSU918004 WWG917506:WWI918004 JU917506:JW918004 ANI917506:ANK918004 BQW917506:BQY918004 CUK917506:CUM918004 DXY917506:DYA918004 FBM917506:FBO918004 GFA917506:GFC918004 HIO917506:HIQ918004 IMC917506:IME918004 JPQ917506:JPS918004 KTE917506:KTG918004 LWS917506:LWU918004 NAG917506:NAI918004 ODU917506:ODW918004 PHI917506:PHK918004 QKW917506:QKY918004 ROK917506:ROM918004 SRY917506:SSA918004 TVM917506:TVO918004 UZA917506:UZC918004 WCO917506:WCQ918004 TQ917506:TS918004 AXE917506:AXG918004 CAS917506:CAU918004 DEG917506:DEI918004 EHU917506:EHW918004 FLI917506:FLK918004 GOW917506:GOY918004 HSK917506:HSM918004 IVY917506:IWA918004 JZM917506:JZO918004 LDA917506:LDC918004 MGO917506:MGQ918004 NKC917506:NKE918004 ONQ917506:ONS918004 PRE917506:PRG918004 QUS917506:QUU918004 RYG917506:RYI918004 TBU917506:TBW918004 UFI917506:UFK918004 VIW917506:VIY918004 WMK917506:WMM918004 JU983042:JW983540 ANI983042:ANK983540 BQW983042:BQY983540 CUK983042:CUM983540 DXY983042:DYA983540 FBM983042:FBO983540 GFA983042:GFC983540 HIO983042:HIQ983540 IMC983042:IME983540 JPQ983042:JPS983540 KTE983042:KTG983540 LWS983042:LWU983540 NAG983042:NAI983540 ODU983042:ODW983540 PHI983042:PHK983540 QKW983042:QKY983540 ROK983042:ROM983540 SRY983042:SSA983540 TVM983042:TVO983540 UZA983042:UZC983540 WCO983042:WCQ983540 TQ983042:TS983540 AXE983042:AXG983540 CAS983042:CAU983540 DEG983042:DEI983540 EHU983042:EHW983540 FLI983042:FLK983540 GOW983042:GOY983540 HSK983042:HSM983540 IVY983042:IWA983540 JZM983042:JZO983540 LDA983042:LDC983540 MGO983042:MGQ983540 NKC983042:NKE983540 ONQ983042:ONS983540 PRE983042:PRG983540 QUS983042:QUU983540 RYG983042:RYI983540 TBU983042:TBW983540 UFI983042:UFK983540 VIW983042:VIY983540 WMK983042:WMM983540 Y2:AA500" xr:uid="{E06DB635-55FF-41F3-BB25-6FFF555DE81C}">
      <formula1>$AV$2:$AV$21</formula1>
    </dataValidation>
    <dataValidation type="list" allowBlank="1" showInputMessage="1" showErrorMessage="1" sqref="X1:X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WWF1:WWF1048576" xr:uid="{FCE94F97-B9A3-4BF9-94C5-DB5AC96FAFCF}">
      <formula1>$AT$2:$AT$3</formula1>
    </dataValidation>
    <dataValidation type="decimal" allowBlank="1" showInputMessage="1" showErrorMessage="1" error="硬度を正しく入力して下さい。" sqref="O65:O500 P2:P500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xr:uid="{3E199708-155B-431E-BBCE-6FECB6EAD1FF}">
      <formula1>0</formula1>
      <formula2>7</formula2>
    </dataValidation>
    <dataValidation type="list" allowBlank="1" showInputMessage="1" showErrorMessage="1" sqref="K65538:K65636 K131074:K131172 K196610:K196708 K262146:K262244 K327682:K327780 K393218:K393316 K458754:K458852 K524290:K524388 K589826:K589924 K655362:K655460 K720898:K720996 K786434:K786532 K851970:K852068 K917506:K917604 K983042:K983140 JG2:JG100 JG65538:JG65636 JG131074:JG131172 JG196610:JG196708 JG262146:JG262244 JG327682:JG327780 JG393218:JG393316 JG458754:JG458852 JG524290:JG524388 JG589826:JG589924 JG655362:JG655460 JG720898:JG720996 JG786434:JG786532 JG851970:JG852068 JG917506:JG917604 JG983042:JG983140 TC2:TC100 TC65538:TC65636 TC131074:TC131172 TC196610:TC196708 TC262146:TC262244 TC327682:TC327780 TC393218:TC393316 TC458754:TC458852 TC524290:TC524388 TC589826:TC589924 TC655362:TC655460 TC720898:TC720996 TC786434:TC786532 TC851970:TC852068 TC917506:TC917604 TC983042:TC983140 ACY2:ACY100 ACY65538:ACY65636 ACY131074:ACY131172 ACY196610:ACY196708 ACY262146:ACY262244 ACY327682:ACY327780 ACY393218:ACY393316 ACY458754:ACY458852 ACY524290:ACY524388 ACY589826:ACY589924 ACY655362:ACY655460 ACY720898:ACY720996 ACY786434:ACY786532 ACY851970:ACY852068 ACY917506:ACY917604 ACY983042:ACY983140 AMU2:AMU100 AMU65538:AMU65636 AMU131074:AMU131172 AMU196610:AMU196708 AMU262146:AMU262244 AMU327682:AMU327780 AMU393218:AMU393316 AMU458754:AMU458852 AMU524290:AMU524388 AMU589826:AMU589924 AMU655362:AMU655460 AMU720898:AMU720996 AMU786434:AMU786532 AMU851970:AMU852068 AMU917506:AMU917604 AMU983042:AMU983140 AWQ2:AWQ100 AWQ65538:AWQ65636 AWQ131074:AWQ131172 AWQ196610:AWQ196708 AWQ262146:AWQ262244 AWQ327682:AWQ327780 AWQ393218:AWQ393316 AWQ458754:AWQ458852 AWQ524290:AWQ524388 AWQ589826:AWQ589924 AWQ655362:AWQ655460 AWQ720898:AWQ720996 AWQ786434:AWQ786532 AWQ851970:AWQ852068 AWQ917506:AWQ917604 AWQ983042:AWQ983140 BGM2:BGM100 BGM65538:BGM65636 BGM131074:BGM131172 BGM196610:BGM196708 BGM262146:BGM262244 BGM327682:BGM327780 BGM393218:BGM393316 BGM458754:BGM458852 BGM524290:BGM524388 BGM589826:BGM589924 BGM655362:BGM655460 BGM720898:BGM720996 BGM786434:BGM786532 BGM851970:BGM852068 BGM917506:BGM917604 BGM983042:BGM983140 BQI2:BQI100 BQI65538:BQI65636 BQI131074:BQI131172 BQI196610:BQI196708 BQI262146:BQI262244 BQI327682:BQI327780 BQI393218:BQI393316 BQI458754:BQI458852 BQI524290:BQI524388 BQI589826:BQI589924 BQI655362:BQI655460 BQI720898:BQI720996 BQI786434:BQI786532 BQI851970:BQI852068 BQI917506:BQI917604 BQI983042:BQI983140 CAE2:CAE100 CAE65538:CAE65636 CAE131074:CAE131172 CAE196610:CAE196708 CAE262146:CAE262244 CAE327682:CAE327780 CAE393218:CAE393316 CAE458754:CAE458852 CAE524290:CAE524388 CAE589826:CAE589924 CAE655362:CAE655460 CAE720898:CAE720996 CAE786434:CAE786532 CAE851970:CAE852068 CAE917506:CAE917604 CAE983042:CAE983140 CKA2:CKA100 CKA65538:CKA65636 CKA131074:CKA131172 CKA196610:CKA196708 CKA262146:CKA262244 CKA327682:CKA327780 CKA393218:CKA393316 CKA458754:CKA458852 CKA524290:CKA524388 CKA589826:CKA589924 CKA655362:CKA655460 CKA720898:CKA720996 CKA786434:CKA786532 CKA851970:CKA852068 CKA917506:CKA917604 CKA983042:CKA983140 CTW2:CTW100 CTW65538:CTW65636 CTW131074:CTW131172 CTW196610:CTW196708 CTW262146:CTW262244 CTW327682:CTW327780 CTW393218:CTW393316 CTW458754:CTW458852 CTW524290:CTW524388 CTW589826:CTW589924 CTW655362:CTW655460 CTW720898:CTW720996 CTW786434:CTW786532 CTW851970:CTW852068 CTW917506:CTW917604 CTW983042:CTW983140 DDS2:DDS100 DDS65538:DDS65636 DDS131074:DDS131172 DDS196610:DDS196708 DDS262146:DDS262244 DDS327682:DDS327780 DDS393218:DDS393316 DDS458754:DDS458852 DDS524290:DDS524388 DDS589826:DDS589924 DDS655362:DDS655460 DDS720898:DDS720996 DDS786434:DDS786532 DDS851970:DDS852068 DDS917506:DDS917604 DDS983042:DDS983140 DNO2:DNO100 DNO65538:DNO65636 DNO131074:DNO131172 DNO196610:DNO196708 DNO262146:DNO262244 DNO327682:DNO327780 DNO393218:DNO393316 DNO458754:DNO458852 DNO524290:DNO524388 DNO589826:DNO589924 DNO655362:DNO655460 DNO720898:DNO720996 DNO786434:DNO786532 DNO851970:DNO852068 DNO917506:DNO917604 DNO983042:DNO983140 DXK2:DXK100 DXK65538:DXK65636 DXK131074:DXK131172 DXK196610:DXK196708 DXK262146:DXK262244 DXK327682:DXK327780 DXK393218:DXK393316 DXK458754:DXK458852 DXK524290:DXK524388 DXK589826:DXK589924 DXK655362:DXK655460 DXK720898:DXK720996 DXK786434:DXK786532 DXK851970:DXK852068 DXK917506:DXK917604 DXK983042:DXK983140 EHG2:EHG100 EHG65538:EHG65636 EHG131074:EHG131172 EHG196610:EHG196708 EHG262146:EHG262244 EHG327682:EHG327780 EHG393218:EHG393316 EHG458754:EHG458852 EHG524290:EHG524388 EHG589826:EHG589924 EHG655362:EHG655460 EHG720898:EHG720996 EHG786434:EHG786532 EHG851970:EHG852068 EHG917506:EHG917604 EHG983042:EHG983140 ERC2:ERC100 ERC65538:ERC65636 ERC131074:ERC131172 ERC196610:ERC196708 ERC262146:ERC262244 ERC327682:ERC327780 ERC393218:ERC393316 ERC458754:ERC458852 ERC524290:ERC524388 ERC589826:ERC589924 ERC655362:ERC655460 ERC720898:ERC720996 ERC786434:ERC786532 ERC851970:ERC852068 ERC917506:ERC917604 ERC983042:ERC983140 FAY2:FAY100 FAY65538:FAY65636 FAY131074:FAY131172 FAY196610:FAY196708 FAY262146:FAY262244 FAY327682:FAY327780 FAY393218:FAY393316 FAY458754:FAY458852 FAY524290:FAY524388 FAY589826:FAY589924 FAY655362:FAY655460 FAY720898:FAY720996 FAY786434:FAY786532 FAY851970:FAY852068 FAY917506:FAY917604 FAY983042:FAY983140 FKU2:FKU100 FKU65538:FKU65636 FKU131074:FKU131172 FKU196610:FKU196708 FKU262146:FKU262244 FKU327682:FKU327780 FKU393218:FKU393316 FKU458754:FKU458852 FKU524290:FKU524388 FKU589826:FKU589924 FKU655362:FKU655460 FKU720898:FKU720996 FKU786434:FKU786532 FKU851970:FKU852068 FKU917506:FKU917604 FKU983042:FKU983140 FUQ2:FUQ100 FUQ65538:FUQ65636 FUQ131074:FUQ131172 FUQ196610:FUQ196708 FUQ262146:FUQ262244 FUQ327682:FUQ327780 FUQ393218:FUQ393316 FUQ458754:FUQ458852 FUQ524290:FUQ524388 FUQ589826:FUQ589924 FUQ655362:FUQ655460 FUQ720898:FUQ720996 FUQ786434:FUQ786532 FUQ851970:FUQ852068 FUQ917506:FUQ917604 FUQ983042:FUQ983140 GEM2:GEM100 GEM65538:GEM65636 GEM131074:GEM131172 GEM196610:GEM196708 GEM262146:GEM262244 GEM327682:GEM327780 GEM393218:GEM393316 GEM458754:GEM458852 GEM524290:GEM524388 GEM589826:GEM589924 GEM655362:GEM655460 GEM720898:GEM720996 GEM786434:GEM786532 GEM851970:GEM852068 GEM917506:GEM917604 GEM983042:GEM983140 GOI2:GOI100 GOI65538:GOI65636 GOI131074:GOI131172 GOI196610:GOI196708 GOI262146:GOI262244 GOI327682:GOI327780 GOI393218:GOI393316 GOI458754:GOI458852 GOI524290:GOI524388 GOI589826:GOI589924 GOI655362:GOI655460 GOI720898:GOI720996 GOI786434:GOI786532 GOI851970:GOI852068 GOI917506:GOI917604 GOI983042:GOI983140 GYE2:GYE100 GYE65538:GYE65636 GYE131074:GYE131172 GYE196610:GYE196708 GYE262146:GYE262244 GYE327682:GYE327780 GYE393218:GYE393316 GYE458754:GYE458852 GYE524290:GYE524388 GYE589826:GYE589924 GYE655362:GYE655460 GYE720898:GYE720996 GYE786434:GYE786532 GYE851970:GYE852068 GYE917506:GYE917604 GYE983042:GYE983140 HIA2:HIA100 HIA65538:HIA65636 HIA131074:HIA131172 HIA196610:HIA196708 HIA262146:HIA262244 HIA327682:HIA327780 HIA393218:HIA393316 HIA458754:HIA458852 HIA524290:HIA524388 HIA589826:HIA589924 HIA655362:HIA655460 HIA720898:HIA720996 HIA786434:HIA786532 HIA851970:HIA852068 HIA917506:HIA917604 HIA983042:HIA983140 HRW2:HRW100 HRW65538:HRW65636 HRW131074:HRW131172 HRW196610:HRW196708 HRW262146:HRW262244 HRW327682:HRW327780 HRW393218:HRW393316 HRW458754:HRW458852 HRW524290:HRW524388 HRW589826:HRW589924 HRW655362:HRW655460 HRW720898:HRW720996 HRW786434:HRW786532 HRW851970:HRW852068 HRW917506:HRW917604 HRW983042:HRW983140 IBS2:IBS100 IBS65538:IBS65636 IBS131074:IBS131172 IBS196610:IBS196708 IBS262146:IBS262244 IBS327682:IBS327780 IBS393218:IBS393316 IBS458754:IBS458852 IBS524290:IBS524388 IBS589826:IBS589924 IBS655362:IBS655460 IBS720898:IBS720996 IBS786434:IBS786532 IBS851970:IBS852068 IBS917506:IBS917604 IBS983042:IBS983140 ILO2:ILO100 ILO65538:ILO65636 ILO131074:ILO131172 ILO196610:ILO196708 ILO262146:ILO262244 ILO327682:ILO327780 ILO393218:ILO393316 ILO458754:ILO458852 ILO524290:ILO524388 ILO589826:ILO589924 ILO655362:ILO655460 ILO720898:ILO720996 ILO786434:ILO786532 ILO851970:ILO852068 ILO917506:ILO917604 ILO983042:ILO983140 IVK2:IVK100 IVK65538:IVK65636 IVK131074:IVK131172 IVK196610:IVK196708 IVK262146:IVK262244 IVK327682:IVK327780 IVK393218:IVK393316 IVK458754:IVK458852 IVK524290:IVK524388 IVK589826:IVK589924 IVK655362:IVK655460 IVK720898:IVK720996 IVK786434:IVK786532 IVK851970:IVK852068 IVK917506:IVK917604 IVK983042:IVK983140 JFG2:JFG100 JFG65538:JFG65636 JFG131074:JFG131172 JFG196610:JFG196708 JFG262146:JFG262244 JFG327682:JFG327780 JFG393218:JFG393316 JFG458754:JFG458852 JFG524290:JFG524388 JFG589826:JFG589924 JFG655362:JFG655460 JFG720898:JFG720996 JFG786434:JFG786532 JFG851970:JFG852068 JFG917506:JFG917604 JFG983042:JFG983140 JPC2:JPC100 JPC65538:JPC65636 JPC131074:JPC131172 JPC196610:JPC196708 JPC262146:JPC262244 JPC327682:JPC327780 JPC393218:JPC393316 JPC458754:JPC458852 JPC524290:JPC524388 JPC589826:JPC589924 JPC655362:JPC655460 JPC720898:JPC720996 JPC786434:JPC786532 JPC851970:JPC852068 JPC917506:JPC917604 JPC983042:JPC983140 JYY2:JYY100 JYY65538:JYY65636 JYY131074:JYY131172 JYY196610:JYY196708 JYY262146:JYY262244 JYY327682:JYY327780 JYY393218:JYY393316 JYY458754:JYY458852 JYY524290:JYY524388 JYY589826:JYY589924 JYY655362:JYY655460 JYY720898:JYY720996 JYY786434:JYY786532 JYY851970:JYY852068 JYY917506:JYY917604 JYY983042:JYY983140 KIU2:KIU100 KIU65538:KIU65636 KIU131074:KIU131172 KIU196610:KIU196708 KIU262146:KIU262244 KIU327682:KIU327780 KIU393218:KIU393316 KIU458754:KIU458852 KIU524290:KIU524388 KIU589826:KIU589924 KIU655362:KIU655460 KIU720898:KIU720996 KIU786434:KIU786532 KIU851970:KIU852068 KIU917506:KIU917604 KIU983042:KIU983140 KSQ2:KSQ100 KSQ65538:KSQ65636 KSQ131074:KSQ131172 KSQ196610:KSQ196708 KSQ262146:KSQ262244 KSQ327682:KSQ327780 KSQ393218:KSQ393316 KSQ458754:KSQ458852 KSQ524290:KSQ524388 KSQ589826:KSQ589924 KSQ655362:KSQ655460 KSQ720898:KSQ720996 KSQ786434:KSQ786532 KSQ851970:KSQ852068 KSQ917506:KSQ917604 KSQ983042:KSQ983140 LCM2:LCM100 LCM65538:LCM65636 LCM131074:LCM131172 LCM196610:LCM196708 LCM262146:LCM262244 LCM327682:LCM327780 LCM393218:LCM393316 LCM458754:LCM458852 LCM524290:LCM524388 LCM589826:LCM589924 LCM655362:LCM655460 LCM720898:LCM720996 LCM786434:LCM786532 LCM851970:LCM852068 LCM917506:LCM917604 LCM983042:LCM983140 LMI2:LMI100 LMI65538:LMI65636 LMI131074:LMI131172 LMI196610:LMI196708 LMI262146:LMI262244 LMI327682:LMI327780 LMI393218:LMI393316 LMI458754:LMI458852 LMI524290:LMI524388 LMI589826:LMI589924 LMI655362:LMI655460 LMI720898:LMI720996 LMI786434:LMI786532 LMI851970:LMI852068 LMI917506:LMI917604 LMI983042:LMI983140 LWE2:LWE100 LWE65538:LWE65636 LWE131074:LWE131172 LWE196610:LWE196708 LWE262146:LWE262244 LWE327682:LWE327780 LWE393218:LWE393316 LWE458754:LWE458852 LWE524290:LWE524388 LWE589826:LWE589924 LWE655362:LWE655460 LWE720898:LWE720996 LWE786434:LWE786532 LWE851970:LWE852068 LWE917506:LWE917604 LWE983042:LWE983140 MGA2:MGA100 MGA65538:MGA65636 MGA131074:MGA131172 MGA196610:MGA196708 MGA262146:MGA262244 MGA327682:MGA327780 MGA393218:MGA393316 MGA458754:MGA458852 MGA524290:MGA524388 MGA589826:MGA589924 MGA655362:MGA655460 MGA720898:MGA720996 MGA786434:MGA786532 MGA851970:MGA852068 MGA917506:MGA917604 MGA983042:MGA983140 MPW2:MPW100 MPW65538:MPW65636 MPW131074:MPW131172 MPW196610:MPW196708 MPW262146:MPW262244 MPW327682:MPW327780 MPW393218:MPW393316 MPW458754:MPW458852 MPW524290:MPW524388 MPW589826:MPW589924 MPW655362:MPW655460 MPW720898:MPW720996 MPW786434:MPW786532 MPW851970:MPW852068 MPW917506:MPW917604 MPW983042:MPW983140 MZS2:MZS100 MZS65538:MZS65636 MZS131074:MZS131172 MZS196610:MZS196708 MZS262146:MZS262244 MZS327682:MZS327780 MZS393218:MZS393316 MZS458754:MZS458852 MZS524290:MZS524388 MZS589826:MZS589924 MZS655362:MZS655460 MZS720898:MZS720996 MZS786434:MZS786532 MZS851970:MZS852068 MZS917506:MZS917604 MZS983042:MZS983140 NJO2:NJO100 NJO65538:NJO65636 NJO131074:NJO131172 NJO196610:NJO196708 NJO262146:NJO262244 NJO327682:NJO327780 NJO393218:NJO393316 NJO458754:NJO458852 NJO524290:NJO524388 NJO589826:NJO589924 NJO655362:NJO655460 NJO720898:NJO720996 NJO786434:NJO786532 NJO851970:NJO852068 NJO917506:NJO917604 NJO983042:NJO983140 NTK2:NTK100 NTK65538:NTK65636 NTK131074:NTK131172 NTK196610:NTK196708 NTK262146:NTK262244 NTK327682:NTK327780 NTK393218:NTK393316 NTK458754:NTK458852 NTK524290:NTK524388 NTK589826:NTK589924 NTK655362:NTK655460 NTK720898:NTK720996 NTK786434:NTK786532 NTK851970:NTK852068 NTK917506:NTK917604 NTK983042:NTK983140 ODG2:ODG100 ODG65538:ODG65636 ODG131074:ODG131172 ODG196610:ODG196708 ODG262146:ODG262244 ODG327682:ODG327780 ODG393218:ODG393316 ODG458754:ODG458852 ODG524290:ODG524388 ODG589826:ODG589924 ODG655362:ODG655460 ODG720898:ODG720996 ODG786434:ODG786532 ODG851970:ODG852068 ODG917506:ODG917604 ODG983042:ODG983140 ONC2:ONC100 ONC65538:ONC65636 ONC131074:ONC131172 ONC196610:ONC196708 ONC262146:ONC262244 ONC327682:ONC327780 ONC393218:ONC393316 ONC458754:ONC458852 ONC524290:ONC524388 ONC589826:ONC589924 ONC655362:ONC655460 ONC720898:ONC720996 ONC786434:ONC786532 ONC851970:ONC852068 ONC917506:ONC917604 ONC983042:ONC983140 OWY2:OWY100 OWY65538:OWY65636 OWY131074:OWY131172 OWY196610:OWY196708 OWY262146:OWY262244 OWY327682:OWY327780 OWY393218:OWY393316 OWY458754:OWY458852 OWY524290:OWY524388 OWY589826:OWY589924 OWY655362:OWY655460 OWY720898:OWY720996 OWY786434:OWY786532 OWY851970:OWY852068 OWY917506:OWY917604 OWY983042:OWY983140 PGU2:PGU100 PGU65538:PGU65636 PGU131074:PGU131172 PGU196610:PGU196708 PGU262146:PGU262244 PGU327682:PGU327780 PGU393218:PGU393316 PGU458754:PGU458852 PGU524290:PGU524388 PGU589826:PGU589924 PGU655362:PGU655460 PGU720898:PGU720996 PGU786434:PGU786532 PGU851970:PGU852068 PGU917506:PGU917604 PGU983042:PGU983140 PQQ2:PQQ100 PQQ65538:PQQ65636 PQQ131074:PQQ131172 PQQ196610:PQQ196708 PQQ262146:PQQ262244 PQQ327682:PQQ327780 PQQ393218:PQQ393316 PQQ458754:PQQ458852 PQQ524290:PQQ524388 PQQ589826:PQQ589924 PQQ655362:PQQ655460 PQQ720898:PQQ720996 PQQ786434:PQQ786532 PQQ851970:PQQ852068 PQQ917506:PQQ917604 PQQ983042:PQQ983140 QAM2:QAM100 QAM65538:QAM65636 QAM131074:QAM131172 QAM196610:QAM196708 QAM262146:QAM262244 QAM327682:QAM327780 QAM393218:QAM393316 QAM458754:QAM458852 QAM524290:QAM524388 QAM589826:QAM589924 QAM655362:QAM655460 QAM720898:QAM720996 QAM786434:QAM786532 QAM851970:QAM852068 QAM917506:QAM917604 QAM983042:QAM983140 QKI2:QKI100 QKI65538:QKI65636 QKI131074:QKI131172 QKI196610:QKI196708 QKI262146:QKI262244 QKI327682:QKI327780 QKI393218:QKI393316 QKI458754:QKI458852 QKI524290:QKI524388 QKI589826:QKI589924 QKI655362:QKI655460 QKI720898:QKI720996 QKI786434:QKI786532 QKI851970:QKI852068 QKI917506:QKI917604 QKI983042:QKI983140 QUE2:QUE100 QUE65538:QUE65636 QUE131074:QUE131172 QUE196610:QUE196708 QUE262146:QUE262244 QUE327682:QUE327780 QUE393218:QUE393316 QUE458754:QUE458852 QUE524290:QUE524388 QUE589826:QUE589924 QUE655362:QUE655460 QUE720898:QUE720996 QUE786434:QUE786532 QUE851970:QUE852068 QUE917506:QUE917604 QUE983042:QUE983140 REA2:REA100 REA65538:REA65636 REA131074:REA131172 REA196610:REA196708 REA262146:REA262244 REA327682:REA327780 REA393218:REA393316 REA458754:REA458852 REA524290:REA524388 REA589826:REA589924 REA655362:REA655460 REA720898:REA720996 REA786434:REA786532 REA851970:REA852068 REA917506:REA917604 REA983042:REA983140 RNW2:RNW100 RNW65538:RNW65636 RNW131074:RNW131172 RNW196610:RNW196708 RNW262146:RNW262244 RNW327682:RNW327780 RNW393218:RNW393316 RNW458754:RNW458852 RNW524290:RNW524388 RNW589826:RNW589924 RNW655362:RNW655460 RNW720898:RNW720996 RNW786434:RNW786532 RNW851970:RNW852068 RNW917506:RNW917604 RNW983042:RNW983140 RXS2:RXS100 RXS65538:RXS65636 RXS131074:RXS131172 RXS196610:RXS196708 RXS262146:RXS262244 RXS327682:RXS327780 RXS393218:RXS393316 RXS458754:RXS458852 RXS524290:RXS524388 RXS589826:RXS589924 RXS655362:RXS655460 RXS720898:RXS720996 RXS786434:RXS786532 RXS851970:RXS852068 RXS917506:RXS917604 RXS983042:RXS983140 SHO2:SHO100 SHO65538:SHO65636 SHO131074:SHO131172 SHO196610:SHO196708 SHO262146:SHO262244 SHO327682:SHO327780 SHO393218:SHO393316 SHO458754:SHO458852 SHO524290:SHO524388 SHO589826:SHO589924 SHO655362:SHO655460 SHO720898:SHO720996 SHO786434:SHO786532 SHO851970:SHO852068 SHO917506:SHO917604 SHO983042:SHO983140 SRK2:SRK100 SRK65538:SRK65636 SRK131074:SRK131172 SRK196610:SRK196708 SRK262146:SRK262244 SRK327682:SRK327780 SRK393218:SRK393316 SRK458754:SRK458852 SRK524290:SRK524388 SRK589826:SRK589924 SRK655362:SRK655460 SRK720898:SRK720996 SRK786434:SRK786532 SRK851970:SRK852068 SRK917506:SRK917604 SRK983042:SRK983140 TBG2:TBG100 TBG65538:TBG65636 TBG131074:TBG131172 TBG196610:TBG196708 TBG262146:TBG262244 TBG327682:TBG327780 TBG393218:TBG393316 TBG458754:TBG458852 TBG524290:TBG524388 TBG589826:TBG589924 TBG655362:TBG655460 TBG720898:TBG720996 TBG786434:TBG786532 TBG851970:TBG852068 TBG917506:TBG917604 TBG983042:TBG983140 TLC2:TLC100 TLC65538:TLC65636 TLC131074:TLC131172 TLC196610:TLC196708 TLC262146:TLC262244 TLC327682:TLC327780 TLC393218:TLC393316 TLC458754:TLC458852 TLC524290:TLC524388 TLC589826:TLC589924 TLC655362:TLC655460 TLC720898:TLC720996 TLC786434:TLC786532 TLC851970:TLC852068 TLC917506:TLC917604 TLC983042:TLC983140 TUY2:TUY100 TUY65538:TUY65636 TUY131074:TUY131172 TUY196610:TUY196708 TUY262146:TUY262244 TUY327682:TUY327780 TUY393218:TUY393316 TUY458754:TUY458852 TUY524290:TUY524388 TUY589826:TUY589924 TUY655362:TUY655460 TUY720898:TUY720996 TUY786434:TUY786532 TUY851970:TUY852068 TUY917506:TUY917604 TUY983042:TUY983140 UEU2:UEU100 UEU65538:UEU65636 UEU131074:UEU131172 UEU196610:UEU196708 UEU262146:UEU262244 UEU327682:UEU327780 UEU393218:UEU393316 UEU458754:UEU458852 UEU524290:UEU524388 UEU589826:UEU589924 UEU655362:UEU655460 UEU720898:UEU720996 UEU786434:UEU786532 UEU851970:UEU852068 UEU917506:UEU917604 UEU983042:UEU983140 UOQ2:UOQ100 UOQ65538:UOQ65636 UOQ131074:UOQ131172 UOQ196610:UOQ196708 UOQ262146:UOQ262244 UOQ327682:UOQ327780 UOQ393218:UOQ393316 UOQ458754:UOQ458852 UOQ524290:UOQ524388 UOQ589826:UOQ589924 UOQ655362:UOQ655460 UOQ720898:UOQ720996 UOQ786434:UOQ786532 UOQ851970:UOQ852068 UOQ917506:UOQ917604 UOQ983042:UOQ983140 UYM2:UYM100 UYM65538:UYM65636 UYM131074:UYM131172 UYM196610:UYM196708 UYM262146:UYM262244 UYM327682:UYM327780 UYM393218:UYM393316 UYM458754:UYM458852 UYM524290:UYM524388 UYM589826:UYM589924 UYM655362:UYM655460 UYM720898:UYM720996 UYM786434:UYM786532 UYM851970:UYM852068 UYM917506:UYM917604 UYM983042:UYM983140 VII2:VII100 VII65538:VII65636 VII131074:VII131172 VII196610:VII196708 VII262146:VII262244 VII327682:VII327780 VII393218:VII393316 VII458754:VII458852 VII524290:VII524388 VII589826:VII589924 VII655362:VII655460 VII720898:VII720996 VII786434:VII786532 VII851970:VII852068 VII917506:VII917604 VII983042:VII983140 VSE2:VSE100 VSE65538:VSE65636 VSE131074:VSE131172 VSE196610:VSE196708 VSE262146:VSE262244 VSE327682:VSE327780 VSE393218:VSE393316 VSE458754:VSE458852 VSE524290:VSE524388 VSE589826:VSE589924 VSE655362:VSE655460 VSE720898:VSE720996 VSE786434:VSE786532 VSE851970:VSE852068 VSE917506:VSE917604 VSE983042:VSE983140 WCA2:WCA100 WCA65538:WCA65636 WCA131074:WCA131172 WCA196610:WCA196708 WCA262146:WCA262244 WCA327682:WCA327780 WCA393218:WCA393316 WCA458754:WCA458852 WCA524290:WCA524388 WCA589826:WCA589924 WCA655362:WCA655460 WCA720898:WCA720996 WCA786434:WCA786532 WCA851970:WCA852068 WCA917506:WCA917604 WCA983042:WCA983140 WLW2:WLW100 WLW65538:WLW65636 WLW131074:WLW131172 WLW196610:WLW196708 WLW262146:WLW262244 WLW327682:WLW327780 WLW393218:WLW393316 WLW458754:WLW458852 WLW524290:WLW524388 WLW589826:WLW589924 WLW655362:WLW655460 WLW720898:WLW720996 WLW786434:WLW786532 WLW851970:WLW852068 WLW917506:WLW917604 WLW983042:WLW983140 WVS2:WVS100 WVS65538:WVS65636 WVS131074:WVS131172 WVS196610:WVS196708 WVS262146:WVS262244 WVS327682:WVS327780 WVS393218:WVS393316 WVS458754:WVS458852 WVS524290:WVS524388 WVS589826:WVS589924 WVS655362:WVS655460 WVS720898:WVS720996 WVS786434:WVS786532 WVS851970:WVS852068 WVS917506:WVS917604 WVS983042:WVS983140" xr:uid="{2BA9C188-9D4F-4691-9F66-467E8CDB019C}">
      <formula1>$AR$2:$AR$25</formula1>
    </dataValidation>
    <dataValidation type="list" allowBlank="1" showInputMessage="1" showErrorMessage="1" sqref="K64423:K64476 K129959:K130012 K195495:K195548 K261031:K261084 K326567:K326620 K392103:K392156 K457639:K457692 K523175:K523228 K588711:K588764 K654247:K654300 K719783:K719836 K785319:K785372 K850855:K850908 K916391:K916444 K981927:K981980 K1047463:K1047516 JG64423:JG64476 JG129959:JG130012 JG195495:JG195548 JG261031:JG261084 JG326567:JG326620 JG392103:JG392156 JG457639:JG457692 JG523175:JG523228 JG588711:JG588764 JG654247:JG654300 JG719783:JG719836 JG785319:JG785372 JG850855:JG850908 JG916391:JG916444 JG981927:JG981980 JG1047463:JG1047516 TC64423:TC64476 TC129959:TC130012 TC195495:TC195548 TC261031:TC261084 TC326567:TC326620 TC392103:TC392156 TC457639:TC457692 TC523175:TC523228 TC588711:TC588764 TC654247:TC654300 TC719783:TC719836 TC785319:TC785372 TC850855:TC850908 TC916391:TC916444 TC981927:TC981980 TC1047463:TC1047516 ACY64423:ACY64476 ACY129959:ACY130012 ACY195495:ACY195548 ACY261031:ACY261084 ACY326567:ACY326620 ACY392103:ACY392156 ACY457639:ACY457692 ACY523175:ACY523228 ACY588711:ACY588764 ACY654247:ACY654300 ACY719783:ACY719836 ACY785319:ACY785372 ACY850855:ACY850908 ACY916391:ACY916444 ACY981927:ACY981980 ACY1047463:ACY1047516 AMU64423:AMU64476 AMU129959:AMU130012 AMU195495:AMU195548 AMU261031:AMU261084 AMU326567:AMU326620 AMU392103:AMU392156 AMU457639:AMU457692 AMU523175:AMU523228 AMU588711:AMU588764 AMU654247:AMU654300 AMU719783:AMU719836 AMU785319:AMU785372 AMU850855:AMU850908 AMU916391:AMU916444 AMU981927:AMU981980 AMU1047463:AMU1047516 AWQ64423:AWQ64476 AWQ129959:AWQ130012 AWQ195495:AWQ195548 AWQ261031:AWQ261084 AWQ326567:AWQ326620 AWQ392103:AWQ392156 AWQ457639:AWQ457692 AWQ523175:AWQ523228 AWQ588711:AWQ588764 AWQ654247:AWQ654300 AWQ719783:AWQ719836 AWQ785319:AWQ785372 AWQ850855:AWQ850908 AWQ916391:AWQ916444 AWQ981927:AWQ981980 AWQ1047463:AWQ1047516 BGM64423:BGM64476 BGM129959:BGM130012 BGM195495:BGM195548 BGM261031:BGM261084 BGM326567:BGM326620 BGM392103:BGM392156 BGM457639:BGM457692 BGM523175:BGM523228 BGM588711:BGM588764 BGM654247:BGM654300 BGM719783:BGM719836 BGM785319:BGM785372 BGM850855:BGM850908 BGM916391:BGM916444 BGM981927:BGM981980 BGM1047463:BGM1047516 BQI64423:BQI64476 BQI129959:BQI130012 BQI195495:BQI195548 BQI261031:BQI261084 BQI326567:BQI326620 BQI392103:BQI392156 BQI457639:BQI457692 BQI523175:BQI523228 BQI588711:BQI588764 BQI654247:BQI654300 BQI719783:BQI719836 BQI785319:BQI785372 BQI850855:BQI850908 BQI916391:BQI916444 BQI981927:BQI981980 BQI1047463:BQI1047516 CAE64423:CAE64476 CAE129959:CAE130012 CAE195495:CAE195548 CAE261031:CAE261084 CAE326567:CAE326620 CAE392103:CAE392156 CAE457639:CAE457692 CAE523175:CAE523228 CAE588711:CAE588764 CAE654247:CAE654300 CAE719783:CAE719836 CAE785319:CAE785372 CAE850855:CAE850908 CAE916391:CAE916444 CAE981927:CAE981980 CAE1047463:CAE1047516 CKA64423:CKA64476 CKA129959:CKA130012 CKA195495:CKA195548 CKA261031:CKA261084 CKA326567:CKA326620 CKA392103:CKA392156 CKA457639:CKA457692 CKA523175:CKA523228 CKA588711:CKA588764 CKA654247:CKA654300 CKA719783:CKA719836 CKA785319:CKA785372 CKA850855:CKA850908 CKA916391:CKA916444 CKA981927:CKA981980 CKA1047463:CKA1047516 CTW64423:CTW64476 CTW129959:CTW130012 CTW195495:CTW195548 CTW261031:CTW261084 CTW326567:CTW326620 CTW392103:CTW392156 CTW457639:CTW457692 CTW523175:CTW523228 CTW588711:CTW588764 CTW654247:CTW654300 CTW719783:CTW719836 CTW785319:CTW785372 CTW850855:CTW850908 CTW916391:CTW916444 CTW981927:CTW981980 CTW1047463:CTW1047516 DDS64423:DDS64476 DDS129959:DDS130012 DDS195495:DDS195548 DDS261031:DDS261084 DDS326567:DDS326620 DDS392103:DDS392156 DDS457639:DDS457692 DDS523175:DDS523228 DDS588711:DDS588764 DDS654247:DDS654300 DDS719783:DDS719836 DDS785319:DDS785372 DDS850855:DDS850908 DDS916391:DDS916444 DDS981927:DDS981980 DDS1047463:DDS1047516 DNO64423:DNO64476 DNO129959:DNO130012 DNO195495:DNO195548 DNO261031:DNO261084 DNO326567:DNO326620 DNO392103:DNO392156 DNO457639:DNO457692 DNO523175:DNO523228 DNO588711:DNO588764 DNO654247:DNO654300 DNO719783:DNO719836 DNO785319:DNO785372 DNO850855:DNO850908 DNO916391:DNO916444 DNO981927:DNO981980 DNO1047463:DNO1047516 DXK64423:DXK64476 DXK129959:DXK130012 DXK195495:DXK195548 DXK261031:DXK261084 DXK326567:DXK326620 DXK392103:DXK392156 DXK457639:DXK457692 DXK523175:DXK523228 DXK588711:DXK588764 DXK654247:DXK654300 DXK719783:DXK719836 DXK785319:DXK785372 DXK850855:DXK850908 DXK916391:DXK916444 DXK981927:DXK981980 DXK1047463:DXK1047516 EHG64423:EHG64476 EHG129959:EHG130012 EHG195495:EHG195548 EHG261031:EHG261084 EHG326567:EHG326620 EHG392103:EHG392156 EHG457639:EHG457692 EHG523175:EHG523228 EHG588711:EHG588764 EHG654247:EHG654300 EHG719783:EHG719836 EHG785319:EHG785372 EHG850855:EHG850908 EHG916391:EHG916444 EHG981927:EHG981980 EHG1047463:EHG1047516 ERC64423:ERC64476 ERC129959:ERC130012 ERC195495:ERC195548 ERC261031:ERC261084 ERC326567:ERC326620 ERC392103:ERC392156 ERC457639:ERC457692 ERC523175:ERC523228 ERC588711:ERC588764 ERC654247:ERC654300 ERC719783:ERC719836 ERC785319:ERC785372 ERC850855:ERC850908 ERC916391:ERC916444 ERC981927:ERC981980 ERC1047463:ERC1047516 FAY64423:FAY64476 FAY129959:FAY130012 FAY195495:FAY195548 FAY261031:FAY261084 FAY326567:FAY326620 FAY392103:FAY392156 FAY457639:FAY457692 FAY523175:FAY523228 FAY588711:FAY588764 FAY654247:FAY654300 FAY719783:FAY719836 FAY785319:FAY785372 FAY850855:FAY850908 FAY916391:FAY916444 FAY981927:FAY981980 FAY1047463:FAY1047516 FKU64423:FKU64476 FKU129959:FKU130012 FKU195495:FKU195548 FKU261031:FKU261084 FKU326567:FKU326620 FKU392103:FKU392156 FKU457639:FKU457692 FKU523175:FKU523228 FKU588711:FKU588764 FKU654247:FKU654300 FKU719783:FKU719836 FKU785319:FKU785372 FKU850855:FKU850908 FKU916391:FKU916444 FKU981927:FKU981980 FKU1047463:FKU1047516 FUQ64423:FUQ64476 FUQ129959:FUQ130012 FUQ195495:FUQ195548 FUQ261031:FUQ261084 FUQ326567:FUQ326620 FUQ392103:FUQ392156 FUQ457639:FUQ457692 FUQ523175:FUQ523228 FUQ588711:FUQ588764 FUQ654247:FUQ654300 FUQ719783:FUQ719836 FUQ785319:FUQ785372 FUQ850855:FUQ850908 FUQ916391:FUQ916444 FUQ981927:FUQ981980 FUQ1047463:FUQ1047516 GEM64423:GEM64476 GEM129959:GEM130012 GEM195495:GEM195548 GEM261031:GEM261084 GEM326567:GEM326620 GEM392103:GEM392156 GEM457639:GEM457692 GEM523175:GEM523228 GEM588711:GEM588764 GEM654247:GEM654300 GEM719783:GEM719836 GEM785319:GEM785372 GEM850855:GEM850908 GEM916391:GEM916444 GEM981927:GEM981980 GEM1047463:GEM1047516 GOI64423:GOI64476 GOI129959:GOI130012 GOI195495:GOI195548 GOI261031:GOI261084 GOI326567:GOI326620 GOI392103:GOI392156 GOI457639:GOI457692 GOI523175:GOI523228 GOI588711:GOI588764 GOI654247:GOI654300 GOI719783:GOI719836 GOI785319:GOI785372 GOI850855:GOI850908 GOI916391:GOI916444 GOI981927:GOI981980 GOI1047463:GOI1047516 GYE64423:GYE64476 GYE129959:GYE130012 GYE195495:GYE195548 GYE261031:GYE261084 GYE326567:GYE326620 GYE392103:GYE392156 GYE457639:GYE457692 GYE523175:GYE523228 GYE588711:GYE588764 GYE654247:GYE654300 GYE719783:GYE719836 GYE785319:GYE785372 GYE850855:GYE850908 GYE916391:GYE916444 GYE981927:GYE981980 GYE1047463:GYE1047516 HIA64423:HIA64476 HIA129959:HIA130012 HIA195495:HIA195548 HIA261031:HIA261084 HIA326567:HIA326620 HIA392103:HIA392156 HIA457639:HIA457692 HIA523175:HIA523228 HIA588711:HIA588764 HIA654247:HIA654300 HIA719783:HIA719836 HIA785319:HIA785372 HIA850855:HIA850908 HIA916391:HIA916444 HIA981927:HIA981980 HIA1047463:HIA1047516 HRW64423:HRW64476 HRW129959:HRW130012 HRW195495:HRW195548 HRW261031:HRW261084 HRW326567:HRW326620 HRW392103:HRW392156 HRW457639:HRW457692 HRW523175:HRW523228 HRW588711:HRW588764 HRW654247:HRW654300 HRW719783:HRW719836 HRW785319:HRW785372 HRW850855:HRW850908 HRW916391:HRW916444 HRW981927:HRW981980 HRW1047463:HRW1047516 IBS64423:IBS64476 IBS129959:IBS130012 IBS195495:IBS195548 IBS261031:IBS261084 IBS326567:IBS326620 IBS392103:IBS392156 IBS457639:IBS457692 IBS523175:IBS523228 IBS588711:IBS588764 IBS654247:IBS654300 IBS719783:IBS719836 IBS785319:IBS785372 IBS850855:IBS850908 IBS916391:IBS916444 IBS981927:IBS981980 IBS1047463:IBS1047516 ILO64423:ILO64476 ILO129959:ILO130012 ILO195495:ILO195548 ILO261031:ILO261084 ILO326567:ILO326620 ILO392103:ILO392156 ILO457639:ILO457692 ILO523175:ILO523228 ILO588711:ILO588764 ILO654247:ILO654300 ILO719783:ILO719836 ILO785319:ILO785372 ILO850855:ILO850908 ILO916391:ILO916444 ILO981927:ILO981980 ILO1047463:ILO1047516 IVK64423:IVK64476 IVK129959:IVK130012 IVK195495:IVK195548 IVK261031:IVK261084 IVK326567:IVK326620 IVK392103:IVK392156 IVK457639:IVK457692 IVK523175:IVK523228 IVK588711:IVK588764 IVK654247:IVK654300 IVK719783:IVK719836 IVK785319:IVK785372 IVK850855:IVK850908 IVK916391:IVK916444 IVK981927:IVK981980 IVK1047463:IVK1047516 JFG64423:JFG64476 JFG129959:JFG130012 JFG195495:JFG195548 JFG261031:JFG261084 JFG326567:JFG326620 JFG392103:JFG392156 JFG457639:JFG457692 JFG523175:JFG523228 JFG588711:JFG588764 JFG654247:JFG654300 JFG719783:JFG719836 JFG785319:JFG785372 JFG850855:JFG850908 JFG916391:JFG916444 JFG981927:JFG981980 JFG1047463:JFG1047516 JPC64423:JPC64476 JPC129959:JPC130012 JPC195495:JPC195548 JPC261031:JPC261084 JPC326567:JPC326620 JPC392103:JPC392156 JPC457639:JPC457692 JPC523175:JPC523228 JPC588711:JPC588764 JPC654247:JPC654300 JPC719783:JPC719836 JPC785319:JPC785372 JPC850855:JPC850908 JPC916391:JPC916444 JPC981927:JPC981980 JPC1047463:JPC1047516 JYY64423:JYY64476 JYY129959:JYY130012 JYY195495:JYY195548 JYY261031:JYY261084 JYY326567:JYY326620 JYY392103:JYY392156 JYY457639:JYY457692 JYY523175:JYY523228 JYY588711:JYY588764 JYY654247:JYY654300 JYY719783:JYY719836 JYY785319:JYY785372 JYY850855:JYY850908 JYY916391:JYY916444 JYY981927:JYY981980 JYY1047463:JYY1047516 KIU64423:KIU64476 KIU129959:KIU130012 KIU195495:KIU195548 KIU261031:KIU261084 KIU326567:KIU326620 KIU392103:KIU392156 KIU457639:KIU457692 KIU523175:KIU523228 KIU588711:KIU588764 KIU654247:KIU654300 KIU719783:KIU719836 KIU785319:KIU785372 KIU850855:KIU850908 KIU916391:KIU916444 KIU981927:KIU981980 KIU1047463:KIU1047516 KSQ64423:KSQ64476 KSQ129959:KSQ130012 KSQ195495:KSQ195548 KSQ261031:KSQ261084 KSQ326567:KSQ326620 KSQ392103:KSQ392156 KSQ457639:KSQ457692 KSQ523175:KSQ523228 KSQ588711:KSQ588764 KSQ654247:KSQ654300 KSQ719783:KSQ719836 KSQ785319:KSQ785372 KSQ850855:KSQ850908 KSQ916391:KSQ916444 KSQ981927:KSQ981980 KSQ1047463:KSQ1047516 LCM64423:LCM64476 LCM129959:LCM130012 LCM195495:LCM195548 LCM261031:LCM261084 LCM326567:LCM326620 LCM392103:LCM392156 LCM457639:LCM457692 LCM523175:LCM523228 LCM588711:LCM588764 LCM654247:LCM654300 LCM719783:LCM719836 LCM785319:LCM785372 LCM850855:LCM850908 LCM916391:LCM916444 LCM981927:LCM981980 LCM1047463:LCM1047516 LMI64423:LMI64476 LMI129959:LMI130012 LMI195495:LMI195548 LMI261031:LMI261084 LMI326567:LMI326620 LMI392103:LMI392156 LMI457639:LMI457692 LMI523175:LMI523228 LMI588711:LMI588764 LMI654247:LMI654300 LMI719783:LMI719836 LMI785319:LMI785372 LMI850855:LMI850908 LMI916391:LMI916444 LMI981927:LMI981980 LMI1047463:LMI1047516 LWE64423:LWE64476 LWE129959:LWE130012 LWE195495:LWE195548 LWE261031:LWE261084 LWE326567:LWE326620 LWE392103:LWE392156 LWE457639:LWE457692 LWE523175:LWE523228 LWE588711:LWE588764 LWE654247:LWE654300 LWE719783:LWE719836 LWE785319:LWE785372 LWE850855:LWE850908 LWE916391:LWE916444 LWE981927:LWE981980 LWE1047463:LWE1047516 MGA64423:MGA64476 MGA129959:MGA130012 MGA195495:MGA195548 MGA261031:MGA261084 MGA326567:MGA326620 MGA392103:MGA392156 MGA457639:MGA457692 MGA523175:MGA523228 MGA588711:MGA588764 MGA654247:MGA654300 MGA719783:MGA719836 MGA785319:MGA785372 MGA850855:MGA850908 MGA916391:MGA916444 MGA981927:MGA981980 MGA1047463:MGA1047516 MPW64423:MPW64476 MPW129959:MPW130012 MPW195495:MPW195548 MPW261031:MPW261084 MPW326567:MPW326620 MPW392103:MPW392156 MPW457639:MPW457692 MPW523175:MPW523228 MPW588711:MPW588764 MPW654247:MPW654300 MPW719783:MPW719836 MPW785319:MPW785372 MPW850855:MPW850908 MPW916391:MPW916444 MPW981927:MPW981980 MPW1047463:MPW1047516 MZS64423:MZS64476 MZS129959:MZS130012 MZS195495:MZS195548 MZS261031:MZS261084 MZS326567:MZS326620 MZS392103:MZS392156 MZS457639:MZS457692 MZS523175:MZS523228 MZS588711:MZS588764 MZS654247:MZS654300 MZS719783:MZS719836 MZS785319:MZS785372 MZS850855:MZS850908 MZS916391:MZS916444 MZS981927:MZS981980 MZS1047463:MZS1047516 NJO64423:NJO64476 NJO129959:NJO130012 NJO195495:NJO195548 NJO261031:NJO261084 NJO326567:NJO326620 NJO392103:NJO392156 NJO457639:NJO457692 NJO523175:NJO523228 NJO588711:NJO588764 NJO654247:NJO654300 NJO719783:NJO719836 NJO785319:NJO785372 NJO850855:NJO850908 NJO916391:NJO916444 NJO981927:NJO981980 NJO1047463:NJO1047516 NTK64423:NTK64476 NTK129959:NTK130012 NTK195495:NTK195548 NTK261031:NTK261084 NTK326567:NTK326620 NTK392103:NTK392156 NTK457639:NTK457692 NTK523175:NTK523228 NTK588711:NTK588764 NTK654247:NTK654300 NTK719783:NTK719836 NTK785319:NTK785372 NTK850855:NTK850908 NTK916391:NTK916444 NTK981927:NTK981980 NTK1047463:NTK1047516 ODG64423:ODG64476 ODG129959:ODG130012 ODG195495:ODG195548 ODG261031:ODG261084 ODG326567:ODG326620 ODG392103:ODG392156 ODG457639:ODG457692 ODG523175:ODG523228 ODG588711:ODG588764 ODG654247:ODG654300 ODG719783:ODG719836 ODG785319:ODG785372 ODG850855:ODG850908 ODG916391:ODG916444 ODG981927:ODG981980 ODG1047463:ODG1047516 ONC64423:ONC64476 ONC129959:ONC130012 ONC195495:ONC195548 ONC261031:ONC261084 ONC326567:ONC326620 ONC392103:ONC392156 ONC457639:ONC457692 ONC523175:ONC523228 ONC588711:ONC588764 ONC654247:ONC654300 ONC719783:ONC719836 ONC785319:ONC785372 ONC850855:ONC850908 ONC916391:ONC916444 ONC981927:ONC981980 ONC1047463:ONC1047516 OWY64423:OWY64476 OWY129959:OWY130012 OWY195495:OWY195548 OWY261031:OWY261084 OWY326567:OWY326620 OWY392103:OWY392156 OWY457639:OWY457692 OWY523175:OWY523228 OWY588711:OWY588764 OWY654247:OWY654300 OWY719783:OWY719836 OWY785319:OWY785372 OWY850855:OWY850908 OWY916391:OWY916444 OWY981927:OWY981980 OWY1047463:OWY1047516 PGU64423:PGU64476 PGU129959:PGU130012 PGU195495:PGU195548 PGU261031:PGU261084 PGU326567:PGU326620 PGU392103:PGU392156 PGU457639:PGU457692 PGU523175:PGU523228 PGU588711:PGU588764 PGU654247:PGU654300 PGU719783:PGU719836 PGU785319:PGU785372 PGU850855:PGU850908 PGU916391:PGU916444 PGU981927:PGU981980 PGU1047463:PGU1047516 PQQ64423:PQQ64476 PQQ129959:PQQ130012 PQQ195495:PQQ195548 PQQ261031:PQQ261084 PQQ326567:PQQ326620 PQQ392103:PQQ392156 PQQ457639:PQQ457692 PQQ523175:PQQ523228 PQQ588711:PQQ588764 PQQ654247:PQQ654300 PQQ719783:PQQ719836 PQQ785319:PQQ785372 PQQ850855:PQQ850908 PQQ916391:PQQ916444 PQQ981927:PQQ981980 PQQ1047463:PQQ1047516 QAM64423:QAM64476 QAM129959:QAM130012 QAM195495:QAM195548 QAM261031:QAM261084 QAM326567:QAM326620 QAM392103:QAM392156 QAM457639:QAM457692 QAM523175:QAM523228 QAM588711:QAM588764 QAM654247:QAM654300 QAM719783:QAM719836 QAM785319:QAM785372 QAM850855:QAM850908 QAM916391:QAM916444 QAM981927:QAM981980 QAM1047463:QAM1047516 QKI64423:QKI64476 QKI129959:QKI130012 QKI195495:QKI195548 QKI261031:QKI261084 QKI326567:QKI326620 QKI392103:QKI392156 QKI457639:QKI457692 QKI523175:QKI523228 QKI588711:QKI588764 QKI654247:QKI654300 QKI719783:QKI719836 QKI785319:QKI785372 QKI850855:QKI850908 QKI916391:QKI916444 QKI981927:QKI981980 QKI1047463:QKI1047516 QUE64423:QUE64476 QUE129959:QUE130012 QUE195495:QUE195548 QUE261031:QUE261084 QUE326567:QUE326620 QUE392103:QUE392156 QUE457639:QUE457692 QUE523175:QUE523228 QUE588711:QUE588764 QUE654247:QUE654300 QUE719783:QUE719836 QUE785319:QUE785372 QUE850855:QUE850908 QUE916391:QUE916444 QUE981927:QUE981980 QUE1047463:QUE1047516 REA64423:REA64476 REA129959:REA130012 REA195495:REA195548 REA261031:REA261084 REA326567:REA326620 REA392103:REA392156 REA457639:REA457692 REA523175:REA523228 REA588711:REA588764 REA654247:REA654300 REA719783:REA719836 REA785319:REA785372 REA850855:REA850908 REA916391:REA916444 REA981927:REA981980 REA1047463:REA1047516 RNW64423:RNW64476 RNW129959:RNW130012 RNW195495:RNW195548 RNW261031:RNW261084 RNW326567:RNW326620 RNW392103:RNW392156 RNW457639:RNW457692 RNW523175:RNW523228 RNW588711:RNW588764 RNW654247:RNW654300 RNW719783:RNW719836 RNW785319:RNW785372 RNW850855:RNW850908 RNW916391:RNW916444 RNW981927:RNW981980 RNW1047463:RNW1047516 RXS64423:RXS64476 RXS129959:RXS130012 RXS195495:RXS195548 RXS261031:RXS261084 RXS326567:RXS326620 RXS392103:RXS392156 RXS457639:RXS457692 RXS523175:RXS523228 RXS588711:RXS588764 RXS654247:RXS654300 RXS719783:RXS719836 RXS785319:RXS785372 RXS850855:RXS850908 RXS916391:RXS916444 RXS981927:RXS981980 RXS1047463:RXS1047516 SHO64423:SHO64476 SHO129959:SHO130012 SHO195495:SHO195548 SHO261031:SHO261084 SHO326567:SHO326620 SHO392103:SHO392156 SHO457639:SHO457692 SHO523175:SHO523228 SHO588711:SHO588764 SHO654247:SHO654300 SHO719783:SHO719836 SHO785319:SHO785372 SHO850855:SHO850908 SHO916391:SHO916444 SHO981927:SHO981980 SHO1047463:SHO1047516 SRK64423:SRK64476 SRK129959:SRK130012 SRK195495:SRK195548 SRK261031:SRK261084 SRK326567:SRK326620 SRK392103:SRK392156 SRK457639:SRK457692 SRK523175:SRK523228 SRK588711:SRK588764 SRK654247:SRK654300 SRK719783:SRK719836 SRK785319:SRK785372 SRK850855:SRK850908 SRK916391:SRK916444 SRK981927:SRK981980 SRK1047463:SRK1047516 TBG64423:TBG64476 TBG129959:TBG130012 TBG195495:TBG195548 TBG261031:TBG261084 TBG326567:TBG326620 TBG392103:TBG392156 TBG457639:TBG457692 TBG523175:TBG523228 TBG588711:TBG588764 TBG654247:TBG654300 TBG719783:TBG719836 TBG785319:TBG785372 TBG850855:TBG850908 TBG916391:TBG916444 TBG981927:TBG981980 TBG1047463:TBG1047516 TLC64423:TLC64476 TLC129959:TLC130012 TLC195495:TLC195548 TLC261031:TLC261084 TLC326567:TLC326620 TLC392103:TLC392156 TLC457639:TLC457692 TLC523175:TLC523228 TLC588711:TLC588764 TLC654247:TLC654300 TLC719783:TLC719836 TLC785319:TLC785372 TLC850855:TLC850908 TLC916391:TLC916444 TLC981927:TLC981980 TLC1047463:TLC1047516 TUY64423:TUY64476 TUY129959:TUY130012 TUY195495:TUY195548 TUY261031:TUY261084 TUY326567:TUY326620 TUY392103:TUY392156 TUY457639:TUY457692 TUY523175:TUY523228 TUY588711:TUY588764 TUY654247:TUY654300 TUY719783:TUY719836 TUY785319:TUY785372 TUY850855:TUY850908 TUY916391:TUY916444 TUY981927:TUY981980 TUY1047463:TUY1047516 UEU64423:UEU64476 UEU129959:UEU130012 UEU195495:UEU195548 UEU261031:UEU261084 UEU326567:UEU326620 UEU392103:UEU392156 UEU457639:UEU457692 UEU523175:UEU523228 UEU588711:UEU588764 UEU654247:UEU654300 UEU719783:UEU719836 UEU785319:UEU785372 UEU850855:UEU850908 UEU916391:UEU916444 UEU981927:UEU981980 UEU1047463:UEU1047516 UOQ64423:UOQ64476 UOQ129959:UOQ130012 UOQ195495:UOQ195548 UOQ261031:UOQ261084 UOQ326567:UOQ326620 UOQ392103:UOQ392156 UOQ457639:UOQ457692 UOQ523175:UOQ523228 UOQ588711:UOQ588764 UOQ654247:UOQ654300 UOQ719783:UOQ719836 UOQ785319:UOQ785372 UOQ850855:UOQ850908 UOQ916391:UOQ916444 UOQ981927:UOQ981980 UOQ1047463:UOQ1047516 UYM64423:UYM64476 UYM129959:UYM130012 UYM195495:UYM195548 UYM261031:UYM261084 UYM326567:UYM326620 UYM392103:UYM392156 UYM457639:UYM457692 UYM523175:UYM523228 UYM588711:UYM588764 UYM654247:UYM654300 UYM719783:UYM719836 UYM785319:UYM785372 UYM850855:UYM850908 UYM916391:UYM916444 UYM981927:UYM981980 UYM1047463:UYM1047516 VII64423:VII64476 VII129959:VII130012 VII195495:VII195548 VII261031:VII261084 VII326567:VII326620 VII392103:VII392156 VII457639:VII457692 VII523175:VII523228 VII588711:VII588764 VII654247:VII654300 VII719783:VII719836 VII785319:VII785372 VII850855:VII850908 VII916391:VII916444 VII981927:VII981980 VII1047463:VII1047516 VSE64423:VSE64476 VSE129959:VSE130012 VSE195495:VSE195548 VSE261031:VSE261084 VSE326567:VSE326620 VSE392103:VSE392156 VSE457639:VSE457692 VSE523175:VSE523228 VSE588711:VSE588764 VSE654247:VSE654300 VSE719783:VSE719836 VSE785319:VSE785372 VSE850855:VSE850908 VSE916391:VSE916444 VSE981927:VSE981980 VSE1047463:VSE1047516 WCA64423:WCA64476 WCA129959:WCA130012 WCA195495:WCA195548 WCA261031:WCA261084 WCA326567:WCA326620 WCA392103:WCA392156 WCA457639:WCA457692 WCA523175:WCA523228 WCA588711:WCA588764 WCA654247:WCA654300 WCA719783:WCA719836 WCA785319:WCA785372 WCA850855:WCA850908 WCA916391:WCA916444 WCA981927:WCA981980 WCA1047463:WCA1047516 WLW64423:WLW64476 WLW129959:WLW130012 WLW195495:WLW195548 WLW261031:WLW261084 WLW326567:WLW326620 WLW392103:WLW392156 WLW457639:WLW457692 WLW523175:WLW523228 WLW588711:WLW588764 WLW654247:WLW654300 WLW719783:WLW719836 WLW785319:WLW785372 WLW850855:WLW850908 WLW916391:WLW916444 WLW981927:WLW981980 WLW1047463:WLW1047516 WVS64423:WVS64476 WVS129959:WVS130012 WVS195495:WVS195548 WVS261031:WVS261084 WVS326567:WVS326620 WVS392103:WVS392156 WVS457639:WVS457692 WVS523175:WVS523228 WVS588711:WVS588764 WVS654247:WVS654300 WVS719783:WVS719836 WVS785319:WVS785372 WVS850855:WVS850908 WVS916391:WVS916444 WVS981927:WVS981980 WVS1047463:WVS1047516" xr:uid="{E63F0FE9-1D15-4938-A17C-6006A03725CD}">
      <formula1>$AR$2:$AR$21</formula1>
    </dataValidation>
    <dataValidation type="list" allowBlank="1" showInputMessage="1" showErrorMessage="1" sqref="K2:K450" xr:uid="{FE3ACAA4-E36A-4A52-9735-5A9074178323}">
      <formula1>$AR$2:$AR$26</formula1>
    </dataValidation>
    <dataValidation type="list" allowBlank="1" showInputMessage="1" showErrorMessage="1" sqref="J64423:J64476 J129959:J130012 J195495:J195548 J261031:J261084 J326567:J326620 J392103:J392156 J457639:J457692 J523175:J523228 J588711:J588764 J654247:J654300 J719783:J719836 J785319:J785372 J850855:J850908 J916391:J916444 J981927:J981980 J1047463:J1047516 JF64423:JF64476 JF129959:JF130012 JF195495:JF195548 JF261031:JF261084 JF326567:JF326620 JF392103:JF392156 JF457639:JF457692 JF523175:JF523228 JF588711:JF588764 JF654247:JF654300 JF719783:JF719836 JF785319:JF785372 JF850855:JF850908 JF916391:JF916444 JF981927:JF981980 JF1047463:JF1047516 TB64423:TB64476 TB129959:TB130012 TB195495:TB195548 TB261031:TB261084 TB326567:TB326620 TB392103:TB392156 TB457639:TB457692 TB523175:TB523228 TB588711:TB588764 TB654247:TB654300 TB719783:TB719836 TB785319:TB785372 TB850855:TB850908 TB916391:TB916444 TB981927:TB981980 TB1047463:TB1047516 ACX64423:ACX64476 ACX129959:ACX130012 ACX195495:ACX195548 ACX261031:ACX261084 ACX326567:ACX326620 ACX392103:ACX392156 ACX457639:ACX457692 ACX523175:ACX523228 ACX588711:ACX588764 ACX654247:ACX654300 ACX719783:ACX719836 ACX785319:ACX785372 ACX850855:ACX850908 ACX916391:ACX916444 ACX981927:ACX981980 ACX1047463:ACX1047516 AMT64423:AMT64476 AMT129959:AMT130012 AMT195495:AMT195548 AMT261031:AMT261084 AMT326567:AMT326620 AMT392103:AMT392156 AMT457639:AMT457692 AMT523175:AMT523228 AMT588711:AMT588764 AMT654247:AMT654300 AMT719783:AMT719836 AMT785319:AMT785372 AMT850855:AMT850908 AMT916391:AMT916444 AMT981927:AMT981980 AMT1047463:AMT1047516 AWP64423:AWP64476 AWP129959:AWP130012 AWP195495:AWP195548 AWP261031:AWP261084 AWP326567:AWP326620 AWP392103:AWP392156 AWP457639:AWP457692 AWP523175:AWP523228 AWP588711:AWP588764 AWP654247:AWP654300 AWP719783:AWP719836 AWP785319:AWP785372 AWP850855:AWP850908 AWP916391:AWP916444 AWP981927:AWP981980 AWP1047463:AWP1047516 BGL64423:BGL64476 BGL129959:BGL130012 BGL195495:BGL195548 BGL261031:BGL261084 BGL326567:BGL326620 BGL392103:BGL392156 BGL457639:BGL457692 BGL523175:BGL523228 BGL588711:BGL588764 BGL654247:BGL654300 BGL719783:BGL719836 BGL785319:BGL785372 BGL850855:BGL850908 BGL916391:BGL916444 BGL981927:BGL981980 BGL1047463:BGL1047516 BQH64423:BQH64476 BQH129959:BQH130012 BQH195495:BQH195548 BQH261031:BQH261084 BQH326567:BQH326620 BQH392103:BQH392156 BQH457639:BQH457692 BQH523175:BQH523228 BQH588711:BQH588764 BQH654247:BQH654300 BQH719783:BQH719836 BQH785319:BQH785372 BQH850855:BQH850908 BQH916391:BQH916444 BQH981927:BQH981980 BQH1047463:BQH1047516 CAD64423:CAD64476 CAD129959:CAD130012 CAD195495:CAD195548 CAD261031:CAD261084 CAD326567:CAD326620 CAD392103:CAD392156 CAD457639:CAD457692 CAD523175:CAD523228 CAD588711:CAD588764 CAD654247:CAD654300 CAD719783:CAD719836 CAD785319:CAD785372 CAD850855:CAD850908 CAD916391:CAD916444 CAD981927:CAD981980 CAD1047463:CAD1047516 CJZ64423:CJZ64476 CJZ129959:CJZ130012 CJZ195495:CJZ195548 CJZ261031:CJZ261084 CJZ326567:CJZ326620 CJZ392103:CJZ392156 CJZ457639:CJZ457692 CJZ523175:CJZ523228 CJZ588711:CJZ588764 CJZ654247:CJZ654300 CJZ719783:CJZ719836 CJZ785319:CJZ785372 CJZ850855:CJZ850908 CJZ916391:CJZ916444 CJZ981927:CJZ981980 CJZ1047463:CJZ1047516 CTV64423:CTV64476 CTV129959:CTV130012 CTV195495:CTV195548 CTV261031:CTV261084 CTV326567:CTV326620 CTV392103:CTV392156 CTV457639:CTV457692 CTV523175:CTV523228 CTV588711:CTV588764 CTV654247:CTV654300 CTV719783:CTV719836 CTV785319:CTV785372 CTV850855:CTV850908 CTV916391:CTV916444 CTV981927:CTV981980 CTV1047463:CTV1047516 DDR64423:DDR64476 DDR129959:DDR130012 DDR195495:DDR195548 DDR261031:DDR261084 DDR326567:DDR326620 DDR392103:DDR392156 DDR457639:DDR457692 DDR523175:DDR523228 DDR588711:DDR588764 DDR654247:DDR654300 DDR719783:DDR719836 DDR785319:DDR785372 DDR850855:DDR850908 DDR916391:DDR916444 DDR981927:DDR981980 DDR1047463:DDR1047516 DNN64423:DNN64476 DNN129959:DNN130012 DNN195495:DNN195548 DNN261031:DNN261084 DNN326567:DNN326620 DNN392103:DNN392156 DNN457639:DNN457692 DNN523175:DNN523228 DNN588711:DNN588764 DNN654247:DNN654300 DNN719783:DNN719836 DNN785319:DNN785372 DNN850855:DNN850908 DNN916391:DNN916444 DNN981927:DNN981980 DNN1047463:DNN1047516 DXJ64423:DXJ64476 DXJ129959:DXJ130012 DXJ195495:DXJ195548 DXJ261031:DXJ261084 DXJ326567:DXJ326620 DXJ392103:DXJ392156 DXJ457639:DXJ457692 DXJ523175:DXJ523228 DXJ588711:DXJ588764 DXJ654247:DXJ654300 DXJ719783:DXJ719836 DXJ785319:DXJ785372 DXJ850855:DXJ850908 DXJ916391:DXJ916444 DXJ981927:DXJ981980 DXJ1047463:DXJ1047516 EHF64423:EHF64476 EHF129959:EHF130012 EHF195495:EHF195548 EHF261031:EHF261084 EHF326567:EHF326620 EHF392103:EHF392156 EHF457639:EHF457692 EHF523175:EHF523228 EHF588711:EHF588764 EHF654247:EHF654300 EHF719783:EHF719836 EHF785319:EHF785372 EHF850855:EHF850908 EHF916391:EHF916444 EHF981927:EHF981980 EHF1047463:EHF1047516 ERB64423:ERB64476 ERB129959:ERB130012 ERB195495:ERB195548 ERB261031:ERB261084 ERB326567:ERB326620 ERB392103:ERB392156 ERB457639:ERB457692 ERB523175:ERB523228 ERB588711:ERB588764 ERB654247:ERB654300 ERB719783:ERB719836 ERB785319:ERB785372 ERB850855:ERB850908 ERB916391:ERB916444 ERB981927:ERB981980 ERB1047463:ERB1047516 FAX64423:FAX64476 FAX129959:FAX130012 FAX195495:FAX195548 FAX261031:FAX261084 FAX326567:FAX326620 FAX392103:FAX392156 FAX457639:FAX457692 FAX523175:FAX523228 FAX588711:FAX588764 FAX654247:FAX654300 FAX719783:FAX719836 FAX785319:FAX785372 FAX850855:FAX850908 FAX916391:FAX916444 FAX981927:FAX981980 FAX1047463:FAX1047516 FKT64423:FKT64476 FKT129959:FKT130012 FKT195495:FKT195548 FKT261031:FKT261084 FKT326567:FKT326620 FKT392103:FKT392156 FKT457639:FKT457692 FKT523175:FKT523228 FKT588711:FKT588764 FKT654247:FKT654300 FKT719783:FKT719836 FKT785319:FKT785372 FKT850855:FKT850908 FKT916391:FKT916444 FKT981927:FKT981980 FKT1047463:FKT1047516 FUP64423:FUP64476 FUP129959:FUP130012 FUP195495:FUP195548 FUP261031:FUP261084 FUP326567:FUP326620 FUP392103:FUP392156 FUP457639:FUP457692 FUP523175:FUP523228 FUP588711:FUP588764 FUP654247:FUP654300 FUP719783:FUP719836 FUP785319:FUP785372 FUP850855:FUP850908 FUP916391:FUP916444 FUP981927:FUP981980 FUP1047463:FUP1047516 GEL64423:GEL64476 GEL129959:GEL130012 GEL195495:GEL195548 GEL261031:GEL261084 GEL326567:GEL326620 GEL392103:GEL392156 GEL457639:GEL457692 GEL523175:GEL523228 GEL588711:GEL588764 GEL654247:GEL654300 GEL719783:GEL719836 GEL785319:GEL785372 GEL850855:GEL850908 GEL916391:GEL916444 GEL981927:GEL981980 GEL1047463:GEL1047516 GOH64423:GOH64476 GOH129959:GOH130012 GOH195495:GOH195548 GOH261031:GOH261084 GOH326567:GOH326620 GOH392103:GOH392156 GOH457639:GOH457692 GOH523175:GOH523228 GOH588711:GOH588764 GOH654247:GOH654300 GOH719783:GOH719836 GOH785319:GOH785372 GOH850855:GOH850908 GOH916391:GOH916444 GOH981927:GOH981980 GOH1047463:GOH1047516 GYD64423:GYD64476 GYD129959:GYD130012 GYD195495:GYD195548 GYD261031:GYD261084 GYD326567:GYD326620 GYD392103:GYD392156 GYD457639:GYD457692 GYD523175:GYD523228 GYD588711:GYD588764 GYD654247:GYD654300 GYD719783:GYD719836 GYD785319:GYD785372 GYD850855:GYD850908 GYD916391:GYD916444 GYD981927:GYD981980 GYD1047463:GYD1047516 HHZ64423:HHZ64476 HHZ129959:HHZ130012 HHZ195495:HHZ195548 HHZ261031:HHZ261084 HHZ326567:HHZ326620 HHZ392103:HHZ392156 HHZ457639:HHZ457692 HHZ523175:HHZ523228 HHZ588711:HHZ588764 HHZ654247:HHZ654300 HHZ719783:HHZ719836 HHZ785319:HHZ785372 HHZ850855:HHZ850908 HHZ916391:HHZ916444 HHZ981927:HHZ981980 HHZ1047463:HHZ1047516 HRV64423:HRV64476 HRV129959:HRV130012 HRV195495:HRV195548 HRV261031:HRV261084 HRV326567:HRV326620 HRV392103:HRV392156 HRV457639:HRV457692 HRV523175:HRV523228 HRV588711:HRV588764 HRV654247:HRV654300 HRV719783:HRV719836 HRV785319:HRV785372 HRV850855:HRV850908 HRV916391:HRV916444 HRV981927:HRV981980 HRV1047463:HRV1047516 IBR64423:IBR64476 IBR129959:IBR130012 IBR195495:IBR195548 IBR261031:IBR261084 IBR326567:IBR326620 IBR392103:IBR392156 IBR457639:IBR457692 IBR523175:IBR523228 IBR588711:IBR588764 IBR654247:IBR654300 IBR719783:IBR719836 IBR785319:IBR785372 IBR850855:IBR850908 IBR916391:IBR916444 IBR981927:IBR981980 IBR1047463:IBR1047516 ILN64423:ILN64476 ILN129959:ILN130012 ILN195495:ILN195548 ILN261031:ILN261084 ILN326567:ILN326620 ILN392103:ILN392156 ILN457639:ILN457692 ILN523175:ILN523228 ILN588711:ILN588764 ILN654247:ILN654300 ILN719783:ILN719836 ILN785319:ILN785372 ILN850855:ILN850908 ILN916391:ILN916444 ILN981927:ILN981980 ILN1047463:ILN1047516 IVJ64423:IVJ64476 IVJ129959:IVJ130012 IVJ195495:IVJ195548 IVJ261031:IVJ261084 IVJ326567:IVJ326620 IVJ392103:IVJ392156 IVJ457639:IVJ457692 IVJ523175:IVJ523228 IVJ588711:IVJ588764 IVJ654247:IVJ654300 IVJ719783:IVJ719836 IVJ785319:IVJ785372 IVJ850855:IVJ850908 IVJ916391:IVJ916444 IVJ981927:IVJ981980 IVJ1047463:IVJ1047516 JFF64423:JFF64476 JFF129959:JFF130012 JFF195495:JFF195548 JFF261031:JFF261084 JFF326567:JFF326620 JFF392103:JFF392156 JFF457639:JFF457692 JFF523175:JFF523228 JFF588711:JFF588764 JFF654247:JFF654300 JFF719783:JFF719836 JFF785319:JFF785372 JFF850855:JFF850908 JFF916391:JFF916444 JFF981927:JFF981980 JFF1047463:JFF1047516 JPB64423:JPB64476 JPB129959:JPB130012 JPB195495:JPB195548 JPB261031:JPB261084 JPB326567:JPB326620 JPB392103:JPB392156 JPB457639:JPB457692 JPB523175:JPB523228 JPB588711:JPB588764 JPB654247:JPB654300 JPB719783:JPB719836 JPB785319:JPB785372 JPB850855:JPB850908 JPB916391:JPB916444 JPB981927:JPB981980 JPB1047463:JPB1047516 JYX64423:JYX64476 JYX129959:JYX130012 JYX195495:JYX195548 JYX261031:JYX261084 JYX326567:JYX326620 JYX392103:JYX392156 JYX457639:JYX457692 JYX523175:JYX523228 JYX588711:JYX588764 JYX654247:JYX654300 JYX719783:JYX719836 JYX785319:JYX785372 JYX850855:JYX850908 JYX916391:JYX916444 JYX981927:JYX981980 JYX1047463:JYX1047516 KIT64423:KIT64476 KIT129959:KIT130012 KIT195495:KIT195548 KIT261031:KIT261084 KIT326567:KIT326620 KIT392103:KIT392156 KIT457639:KIT457692 KIT523175:KIT523228 KIT588711:KIT588764 KIT654247:KIT654300 KIT719783:KIT719836 KIT785319:KIT785372 KIT850855:KIT850908 KIT916391:KIT916444 KIT981927:KIT981980 KIT1047463:KIT1047516 KSP64423:KSP64476 KSP129959:KSP130012 KSP195495:KSP195548 KSP261031:KSP261084 KSP326567:KSP326620 KSP392103:KSP392156 KSP457639:KSP457692 KSP523175:KSP523228 KSP588711:KSP588764 KSP654247:KSP654300 KSP719783:KSP719836 KSP785319:KSP785372 KSP850855:KSP850908 KSP916391:KSP916444 KSP981927:KSP981980 KSP1047463:KSP1047516 LCL64423:LCL64476 LCL129959:LCL130012 LCL195495:LCL195548 LCL261031:LCL261084 LCL326567:LCL326620 LCL392103:LCL392156 LCL457639:LCL457692 LCL523175:LCL523228 LCL588711:LCL588764 LCL654247:LCL654300 LCL719783:LCL719836 LCL785319:LCL785372 LCL850855:LCL850908 LCL916391:LCL916444 LCL981927:LCL981980 LCL1047463:LCL1047516 LMH64423:LMH64476 LMH129959:LMH130012 LMH195495:LMH195548 LMH261031:LMH261084 LMH326567:LMH326620 LMH392103:LMH392156 LMH457639:LMH457692 LMH523175:LMH523228 LMH588711:LMH588764 LMH654247:LMH654300 LMH719783:LMH719836 LMH785319:LMH785372 LMH850855:LMH850908 LMH916391:LMH916444 LMH981927:LMH981980 LMH1047463:LMH1047516 LWD64423:LWD64476 LWD129959:LWD130012 LWD195495:LWD195548 LWD261031:LWD261084 LWD326567:LWD326620 LWD392103:LWD392156 LWD457639:LWD457692 LWD523175:LWD523228 LWD588711:LWD588764 LWD654247:LWD654300 LWD719783:LWD719836 LWD785319:LWD785372 LWD850855:LWD850908 LWD916391:LWD916444 LWD981927:LWD981980 LWD1047463:LWD1047516 MFZ64423:MFZ64476 MFZ129959:MFZ130012 MFZ195495:MFZ195548 MFZ261031:MFZ261084 MFZ326567:MFZ326620 MFZ392103:MFZ392156 MFZ457639:MFZ457692 MFZ523175:MFZ523228 MFZ588711:MFZ588764 MFZ654247:MFZ654300 MFZ719783:MFZ719836 MFZ785319:MFZ785372 MFZ850855:MFZ850908 MFZ916391:MFZ916444 MFZ981927:MFZ981980 MFZ1047463:MFZ1047516 MPV64423:MPV64476 MPV129959:MPV130012 MPV195495:MPV195548 MPV261031:MPV261084 MPV326567:MPV326620 MPV392103:MPV392156 MPV457639:MPV457692 MPV523175:MPV523228 MPV588711:MPV588764 MPV654247:MPV654300 MPV719783:MPV719836 MPV785319:MPV785372 MPV850855:MPV850908 MPV916391:MPV916444 MPV981927:MPV981980 MPV1047463:MPV1047516 MZR64423:MZR64476 MZR129959:MZR130012 MZR195495:MZR195548 MZR261031:MZR261084 MZR326567:MZR326620 MZR392103:MZR392156 MZR457639:MZR457692 MZR523175:MZR523228 MZR588711:MZR588764 MZR654247:MZR654300 MZR719783:MZR719836 MZR785319:MZR785372 MZR850855:MZR850908 MZR916391:MZR916444 MZR981927:MZR981980 MZR1047463:MZR1047516 NJN64423:NJN64476 NJN129959:NJN130012 NJN195495:NJN195548 NJN261031:NJN261084 NJN326567:NJN326620 NJN392103:NJN392156 NJN457639:NJN457692 NJN523175:NJN523228 NJN588711:NJN588764 NJN654247:NJN654300 NJN719783:NJN719836 NJN785319:NJN785372 NJN850855:NJN850908 NJN916391:NJN916444 NJN981927:NJN981980 NJN1047463:NJN1047516 NTJ64423:NTJ64476 NTJ129959:NTJ130012 NTJ195495:NTJ195548 NTJ261031:NTJ261084 NTJ326567:NTJ326620 NTJ392103:NTJ392156 NTJ457639:NTJ457692 NTJ523175:NTJ523228 NTJ588711:NTJ588764 NTJ654247:NTJ654300 NTJ719783:NTJ719836 NTJ785319:NTJ785372 NTJ850855:NTJ850908 NTJ916391:NTJ916444 NTJ981927:NTJ981980 NTJ1047463:NTJ1047516 ODF64423:ODF64476 ODF129959:ODF130012 ODF195495:ODF195548 ODF261031:ODF261084 ODF326567:ODF326620 ODF392103:ODF392156 ODF457639:ODF457692 ODF523175:ODF523228 ODF588711:ODF588764 ODF654247:ODF654300 ODF719783:ODF719836 ODF785319:ODF785372 ODF850855:ODF850908 ODF916391:ODF916444 ODF981927:ODF981980 ODF1047463:ODF1047516 ONB64423:ONB64476 ONB129959:ONB130012 ONB195495:ONB195548 ONB261031:ONB261084 ONB326567:ONB326620 ONB392103:ONB392156 ONB457639:ONB457692 ONB523175:ONB523228 ONB588711:ONB588764 ONB654247:ONB654300 ONB719783:ONB719836 ONB785319:ONB785372 ONB850855:ONB850908 ONB916391:ONB916444 ONB981927:ONB981980 ONB1047463:ONB1047516 OWX64423:OWX64476 OWX129959:OWX130012 OWX195495:OWX195548 OWX261031:OWX261084 OWX326567:OWX326620 OWX392103:OWX392156 OWX457639:OWX457692 OWX523175:OWX523228 OWX588711:OWX588764 OWX654247:OWX654300 OWX719783:OWX719836 OWX785319:OWX785372 OWX850855:OWX850908 OWX916391:OWX916444 OWX981927:OWX981980 OWX1047463:OWX1047516 PGT64423:PGT64476 PGT129959:PGT130012 PGT195495:PGT195548 PGT261031:PGT261084 PGT326567:PGT326620 PGT392103:PGT392156 PGT457639:PGT457692 PGT523175:PGT523228 PGT588711:PGT588764 PGT654247:PGT654300 PGT719783:PGT719836 PGT785319:PGT785372 PGT850855:PGT850908 PGT916391:PGT916444 PGT981927:PGT981980 PGT1047463:PGT1047516 PQP64423:PQP64476 PQP129959:PQP130012 PQP195495:PQP195548 PQP261031:PQP261084 PQP326567:PQP326620 PQP392103:PQP392156 PQP457639:PQP457692 PQP523175:PQP523228 PQP588711:PQP588764 PQP654247:PQP654300 PQP719783:PQP719836 PQP785319:PQP785372 PQP850855:PQP850908 PQP916391:PQP916444 PQP981927:PQP981980 PQP1047463:PQP1047516 QAL64423:QAL64476 QAL129959:QAL130012 QAL195495:QAL195548 QAL261031:QAL261084 QAL326567:QAL326620 QAL392103:QAL392156 QAL457639:QAL457692 QAL523175:QAL523228 QAL588711:QAL588764 QAL654247:QAL654300 QAL719783:QAL719836 QAL785319:QAL785372 QAL850855:QAL850908 QAL916391:QAL916444 QAL981927:QAL981980 QAL1047463:QAL1047516 QKH64423:QKH64476 QKH129959:QKH130012 QKH195495:QKH195548 QKH261031:QKH261084 QKH326567:QKH326620 QKH392103:QKH392156 QKH457639:QKH457692 QKH523175:QKH523228 QKH588711:QKH588764 QKH654247:QKH654300 QKH719783:QKH719836 QKH785319:QKH785372 QKH850855:QKH850908 QKH916391:QKH916444 QKH981927:QKH981980 QKH1047463:QKH1047516 QUD64423:QUD64476 QUD129959:QUD130012 QUD195495:QUD195548 QUD261031:QUD261084 QUD326567:QUD326620 QUD392103:QUD392156 QUD457639:QUD457692 QUD523175:QUD523228 QUD588711:QUD588764 QUD654247:QUD654300 QUD719783:QUD719836 QUD785319:QUD785372 QUD850855:QUD850908 QUD916391:QUD916444 QUD981927:QUD981980 QUD1047463:QUD1047516 RDZ64423:RDZ64476 RDZ129959:RDZ130012 RDZ195495:RDZ195548 RDZ261031:RDZ261084 RDZ326567:RDZ326620 RDZ392103:RDZ392156 RDZ457639:RDZ457692 RDZ523175:RDZ523228 RDZ588711:RDZ588764 RDZ654247:RDZ654300 RDZ719783:RDZ719836 RDZ785319:RDZ785372 RDZ850855:RDZ850908 RDZ916391:RDZ916444 RDZ981927:RDZ981980 RDZ1047463:RDZ1047516 RNV64423:RNV64476 RNV129959:RNV130012 RNV195495:RNV195548 RNV261031:RNV261084 RNV326567:RNV326620 RNV392103:RNV392156 RNV457639:RNV457692 RNV523175:RNV523228 RNV588711:RNV588764 RNV654247:RNV654300 RNV719783:RNV719836 RNV785319:RNV785372 RNV850855:RNV850908 RNV916391:RNV916444 RNV981927:RNV981980 RNV1047463:RNV1047516 RXR64423:RXR64476 RXR129959:RXR130012 RXR195495:RXR195548 RXR261031:RXR261084 RXR326567:RXR326620 RXR392103:RXR392156 RXR457639:RXR457692 RXR523175:RXR523228 RXR588711:RXR588764 RXR654247:RXR654300 RXR719783:RXR719836 RXR785319:RXR785372 RXR850855:RXR850908 RXR916391:RXR916444 RXR981927:RXR981980 RXR1047463:RXR1047516 SHN64423:SHN64476 SHN129959:SHN130012 SHN195495:SHN195548 SHN261031:SHN261084 SHN326567:SHN326620 SHN392103:SHN392156 SHN457639:SHN457692 SHN523175:SHN523228 SHN588711:SHN588764 SHN654247:SHN654300 SHN719783:SHN719836 SHN785319:SHN785372 SHN850855:SHN850908 SHN916391:SHN916444 SHN981927:SHN981980 SHN1047463:SHN1047516 SRJ64423:SRJ64476 SRJ129959:SRJ130012 SRJ195495:SRJ195548 SRJ261031:SRJ261084 SRJ326567:SRJ326620 SRJ392103:SRJ392156 SRJ457639:SRJ457692 SRJ523175:SRJ523228 SRJ588711:SRJ588764 SRJ654247:SRJ654300 SRJ719783:SRJ719836 SRJ785319:SRJ785372 SRJ850855:SRJ850908 SRJ916391:SRJ916444 SRJ981927:SRJ981980 SRJ1047463:SRJ1047516 TBF64423:TBF64476 TBF129959:TBF130012 TBF195495:TBF195548 TBF261031:TBF261084 TBF326567:TBF326620 TBF392103:TBF392156 TBF457639:TBF457692 TBF523175:TBF523228 TBF588711:TBF588764 TBF654247:TBF654300 TBF719783:TBF719836 TBF785319:TBF785372 TBF850855:TBF850908 TBF916391:TBF916444 TBF981927:TBF981980 TBF1047463:TBF1047516 TLB64423:TLB64476 TLB129959:TLB130012 TLB195495:TLB195548 TLB261031:TLB261084 TLB326567:TLB326620 TLB392103:TLB392156 TLB457639:TLB457692 TLB523175:TLB523228 TLB588711:TLB588764 TLB654247:TLB654300 TLB719783:TLB719836 TLB785319:TLB785372 TLB850855:TLB850908 TLB916391:TLB916444 TLB981927:TLB981980 TLB1047463:TLB1047516 TUX64423:TUX64476 TUX129959:TUX130012 TUX195495:TUX195548 TUX261031:TUX261084 TUX326567:TUX326620 TUX392103:TUX392156 TUX457639:TUX457692 TUX523175:TUX523228 TUX588711:TUX588764 TUX654247:TUX654300 TUX719783:TUX719836 TUX785319:TUX785372 TUX850855:TUX850908 TUX916391:TUX916444 TUX981927:TUX981980 TUX1047463:TUX1047516 UET64423:UET64476 UET129959:UET130012 UET195495:UET195548 UET261031:UET261084 UET326567:UET326620 UET392103:UET392156 UET457639:UET457692 UET523175:UET523228 UET588711:UET588764 UET654247:UET654300 UET719783:UET719836 UET785319:UET785372 UET850855:UET850908 UET916391:UET916444 UET981927:UET981980 UET1047463:UET1047516 UOP64423:UOP64476 UOP129959:UOP130012 UOP195495:UOP195548 UOP261031:UOP261084 UOP326567:UOP326620 UOP392103:UOP392156 UOP457639:UOP457692 UOP523175:UOP523228 UOP588711:UOP588764 UOP654247:UOP654300 UOP719783:UOP719836 UOP785319:UOP785372 UOP850855:UOP850908 UOP916391:UOP916444 UOP981927:UOP981980 UOP1047463:UOP1047516 UYL64423:UYL64476 UYL129959:UYL130012 UYL195495:UYL195548 UYL261031:UYL261084 UYL326567:UYL326620 UYL392103:UYL392156 UYL457639:UYL457692 UYL523175:UYL523228 UYL588711:UYL588764 UYL654247:UYL654300 UYL719783:UYL719836 UYL785319:UYL785372 UYL850855:UYL850908 UYL916391:UYL916444 UYL981927:UYL981980 UYL1047463:UYL1047516 VIH64423:VIH64476 VIH129959:VIH130012 VIH195495:VIH195548 VIH261031:VIH261084 VIH326567:VIH326620 VIH392103:VIH392156 VIH457639:VIH457692 VIH523175:VIH523228 VIH588711:VIH588764 VIH654247:VIH654300 VIH719783:VIH719836 VIH785319:VIH785372 VIH850855:VIH850908 VIH916391:VIH916444 VIH981927:VIH981980 VIH1047463:VIH1047516 VSD64423:VSD64476 VSD129959:VSD130012 VSD195495:VSD195548 VSD261031:VSD261084 VSD326567:VSD326620 VSD392103:VSD392156 VSD457639:VSD457692 VSD523175:VSD523228 VSD588711:VSD588764 VSD654247:VSD654300 VSD719783:VSD719836 VSD785319:VSD785372 VSD850855:VSD850908 VSD916391:VSD916444 VSD981927:VSD981980 VSD1047463:VSD1047516 WBZ64423:WBZ64476 WBZ129959:WBZ130012 WBZ195495:WBZ195548 WBZ261031:WBZ261084 WBZ326567:WBZ326620 WBZ392103:WBZ392156 WBZ457639:WBZ457692 WBZ523175:WBZ523228 WBZ588711:WBZ588764 WBZ654247:WBZ654300 WBZ719783:WBZ719836 WBZ785319:WBZ785372 WBZ850855:WBZ850908 WBZ916391:WBZ916444 WBZ981927:WBZ981980 WBZ1047463:WBZ1047516 WLV64423:WLV64476 WLV129959:WLV130012 WLV195495:WLV195548 WLV261031:WLV261084 WLV326567:WLV326620 WLV392103:WLV392156 WLV457639:WLV457692 WLV523175:WLV523228 WLV588711:WLV588764 WLV654247:WLV654300 WLV719783:WLV719836 WLV785319:WLV785372 WLV850855:WLV850908 WLV916391:WLV916444 WLV981927:WLV981980 WLV1047463:WLV1047516 WVR64423:WVR64476 WVR129959:WVR130012 WVR195495:WVR195548 WVR261031:WVR261084 WVR326567:WVR326620 WVR392103:WVR392156 WVR457639:WVR457692 WVR523175:WVR523228 WVR588711:WVR588764 WVR654247:WVR654300 WVR719783:WVR719836 WVR785319:WVR785372 WVR850855:WVR850908 WVR916391:WVR916444 WVR981927:WVR981980 WVR1047463:WVR1047516" xr:uid="{16BEA1E2-D9E2-475A-8CC9-38025CA51369}">
      <formula1>$AP$2:$AP$12</formula1>
    </dataValidation>
    <dataValidation type="list" allowBlank="1" showInputMessage="1" showErrorMessage="1" sqref="J2:J100 J65538:J65636 J131074:J131172 J196610:J196708 J262146:J262244 J327682:J327780 J393218:J393316 J458754:J458852 J524290:J524388 J589826:J589924 J655362:J655460 J720898:J720996 J786434:J786532 J851970:J852068 J917506:J917604 J983042:J983140 JF2:JF100 JF65538:JF65636 JF131074:JF131172 JF196610:JF196708 JF262146:JF262244 JF327682:JF327780 JF393218:JF393316 JF458754:JF458852 JF524290:JF524388 JF589826:JF589924 JF655362:JF655460 JF720898:JF720996 JF786434:JF786532 JF851970:JF852068 JF917506:JF917604 JF983042:JF983140 TB2:TB100 TB65538:TB65636 TB131074:TB131172 TB196610:TB196708 TB262146:TB262244 TB327682:TB327780 TB393218:TB393316 TB458754:TB458852 TB524290:TB524388 TB589826:TB589924 TB655362:TB655460 TB720898:TB720996 TB786434:TB786532 TB851970:TB852068 TB917506:TB917604 TB983042:TB983140 ACX2:ACX100 ACX65538:ACX65636 ACX131074:ACX131172 ACX196610:ACX196708 ACX262146:ACX262244 ACX327682:ACX327780 ACX393218:ACX393316 ACX458754:ACX458852 ACX524290:ACX524388 ACX589826:ACX589924 ACX655362:ACX655460 ACX720898:ACX720996 ACX786434:ACX786532 ACX851970:ACX852068 ACX917506:ACX917604 ACX983042:ACX983140 AMT2:AMT100 AMT65538:AMT65636 AMT131074:AMT131172 AMT196610:AMT196708 AMT262146:AMT262244 AMT327682:AMT327780 AMT393218:AMT393316 AMT458754:AMT458852 AMT524290:AMT524388 AMT589826:AMT589924 AMT655362:AMT655460 AMT720898:AMT720996 AMT786434:AMT786532 AMT851970:AMT852068 AMT917506:AMT917604 AMT983042:AMT983140 AWP2:AWP100 AWP65538:AWP65636 AWP131074:AWP131172 AWP196610:AWP196708 AWP262146:AWP262244 AWP327682:AWP327780 AWP393218:AWP393316 AWP458754:AWP458852 AWP524290:AWP524388 AWP589826:AWP589924 AWP655362:AWP655460 AWP720898:AWP720996 AWP786434:AWP786532 AWP851970:AWP852068 AWP917506:AWP917604 AWP983042:AWP983140 BGL2:BGL100 BGL65538:BGL65636 BGL131074:BGL131172 BGL196610:BGL196708 BGL262146:BGL262244 BGL327682:BGL327780 BGL393218:BGL393316 BGL458754:BGL458852 BGL524290:BGL524388 BGL589826:BGL589924 BGL655362:BGL655460 BGL720898:BGL720996 BGL786434:BGL786532 BGL851970:BGL852068 BGL917506:BGL917604 BGL983042:BGL983140 BQH2:BQH100 BQH65538:BQH65636 BQH131074:BQH131172 BQH196610:BQH196708 BQH262146:BQH262244 BQH327682:BQH327780 BQH393218:BQH393316 BQH458754:BQH458852 BQH524290:BQH524388 BQH589826:BQH589924 BQH655362:BQH655460 BQH720898:BQH720996 BQH786434:BQH786532 BQH851970:BQH852068 BQH917506:BQH917604 BQH983042:BQH983140 CAD2:CAD100 CAD65538:CAD65636 CAD131074:CAD131172 CAD196610:CAD196708 CAD262146:CAD262244 CAD327682:CAD327780 CAD393218:CAD393316 CAD458754:CAD458852 CAD524290:CAD524388 CAD589826:CAD589924 CAD655362:CAD655460 CAD720898:CAD720996 CAD786434:CAD786532 CAD851970:CAD852068 CAD917506:CAD917604 CAD983042:CAD983140 CJZ2:CJZ100 CJZ65538:CJZ65636 CJZ131074:CJZ131172 CJZ196610:CJZ196708 CJZ262146:CJZ262244 CJZ327682:CJZ327780 CJZ393218:CJZ393316 CJZ458754:CJZ458852 CJZ524290:CJZ524388 CJZ589826:CJZ589924 CJZ655362:CJZ655460 CJZ720898:CJZ720996 CJZ786434:CJZ786532 CJZ851970:CJZ852068 CJZ917506:CJZ917604 CJZ983042:CJZ983140 CTV2:CTV100 CTV65538:CTV65636 CTV131074:CTV131172 CTV196610:CTV196708 CTV262146:CTV262244 CTV327682:CTV327780 CTV393218:CTV393316 CTV458754:CTV458852 CTV524290:CTV524388 CTV589826:CTV589924 CTV655362:CTV655460 CTV720898:CTV720996 CTV786434:CTV786532 CTV851970:CTV852068 CTV917506:CTV917604 CTV983042:CTV983140 DDR2:DDR100 DDR65538:DDR65636 DDR131074:DDR131172 DDR196610:DDR196708 DDR262146:DDR262244 DDR327682:DDR327780 DDR393218:DDR393316 DDR458754:DDR458852 DDR524290:DDR524388 DDR589826:DDR589924 DDR655362:DDR655460 DDR720898:DDR720996 DDR786434:DDR786532 DDR851970:DDR852068 DDR917506:DDR917604 DDR983042:DDR983140 DNN2:DNN100 DNN65538:DNN65636 DNN131074:DNN131172 DNN196610:DNN196708 DNN262146:DNN262244 DNN327682:DNN327780 DNN393218:DNN393316 DNN458754:DNN458852 DNN524290:DNN524388 DNN589826:DNN589924 DNN655362:DNN655460 DNN720898:DNN720996 DNN786434:DNN786532 DNN851970:DNN852068 DNN917506:DNN917604 DNN983042:DNN983140 DXJ2:DXJ100 DXJ65538:DXJ65636 DXJ131074:DXJ131172 DXJ196610:DXJ196708 DXJ262146:DXJ262244 DXJ327682:DXJ327780 DXJ393218:DXJ393316 DXJ458754:DXJ458852 DXJ524290:DXJ524388 DXJ589826:DXJ589924 DXJ655362:DXJ655460 DXJ720898:DXJ720996 DXJ786434:DXJ786532 DXJ851970:DXJ852068 DXJ917506:DXJ917604 DXJ983042:DXJ983140 EHF2:EHF100 EHF65538:EHF65636 EHF131074:EHF131172 EHF196610:EHF196708 EHF262146:EHF262244 EHF327682:EHF327780 EHF393218:EHF393316 EHF458754:EHF458852 EHF524290:EHF524388 EHF589826:EHF589924 EHF655362:EHF655460 EHF720898:EHF720996 EHF786434:EHF786532 EHF851970:EHF852068 EHF917506:EHF917604 EHF983042:EHF983140 ERB2:ERB100 ERB65538:ERB65636 ERB131074:ERB131172 ERB196610:ERB196708 ERB262146:ERB262244 ERB327682:ERB327780 ERB393218:ERB393316 ERB458754:ERB458852 ERB524290:ERB524388 ERB589826:ERB589924 ERB655362:ERB655460 ERB720898:ERB720996 ERB786434:ERB786532 ERB851970:ERB852068 ERB917506:ERB917604 ERB983042:ERB983140 FAX2:FAX100 FAX65538:FAX65636 FAX131074:FAX131172 FAX196610:FAX196708 FAX262146:FAX262244 FAX327682:FAX327780 FAX393218:FAX393316 FAX458754:FAX458852 FAX524290:FAX524388 FAX589826:FAX589924 FAX655362:FAX655460 FAX720898:FAX720996 FAX786434:FAX786532 FAX851970:FAX852068 FAX917506:FAX917604 FAX983042:FAX983140 FKT2:FKT100 FKT65538:FKT65636 FKT131074:FKT131172 FKT196610:FKT196708 FKT262146:FKT262244 FKT327682:FKT327780 FKT393218:FKT393316 FKT458754:FKT458852 FKT524290:FKT524388 FKT589826:FKT589924 FKT655362:FKT655460 FKT720898:FKT720996 FKT786434:FKT786532 FKT851970:FKT852068 FKT917506:FKT917604 FKT983042:FKT983140 FUP2:FUP100 FUP65538:FUP65636 FUP131074:FUP131172 FUP196610:FUP196708 FUP262146:FUP262244 FUP327682:FUP327780 FUP393218:FUP393316 FUP458754:FUP458852 FUP524290:FUP524388 FUP589826:FUP589924 FUP655362:FUP655460 FUP720898:FUP720996 FUP786434:FUP786532 FUP851970:FUP852068 FUP917506:FUP917604 FUP983042:FUP983140 GEL2:GEL100 GEL65538:GEL65636 GEL131074:GEL131172 GEL196610:GEL196708 GEL262146:GEL262244 GEL327682:GEL327780 GEL393218:GEL393316 GEL458754:GEL458852 GEL524290:GEL524388 GEL589826:GEL589924 GEL655362:GEL655460 GEL720898:GEL720996 GEL786434:GEL786532 GEL851970:GEL852068 GEL917506:GEL917604 GEL983042:GEL983140 GOH2:GOH100 GOH65538:GOH65636 GOH131074:GOH131172 GOH196610:GOH196708 GOH262146:GOH262244 GOH327682:GOH327780 GOH393218:GOH393316 GOH458754:GOH458852 GOH524290:GOH524388 GOH589826:GOH589924 GOH655362:GOH655460 GOH720898:GOH720996 GOH786434:GOH786532 GOH851970:GOH852068 GOH917506:GOH917604 GOH983042:GOH983140 GYD2:GYD100 GYD65538:GYD65636 GYD131074:GYD131172 GYD196610:GYD196708 GYD262146:GYD262244 GYD327682:GYD327780 GYD393218:GYD393316 GYD458754:GYD458852 GYD524290:GYD524388 GYD589826:GYD589924 GYD655362:GYD655460 GYD720898:GYD720996 GYD786434:GYD786532 GYD851970:GYD852068 GYD917506:GYD917604 GYD983042:GYD983140 HHZ2:HHZ100 HHZ65538:HHZ65636 HHZ131074:HHZ131172 HHZ196610:HHZ196708 HHZ262146:HHZ262244 HHZ327682:HHZ327780 HHZ393218:HHZ393316 HHZ458754:HHZ458852 HHZ524290:HHZ524388 HHZ589826:HHZ589924 HHZ655362:HHZ655460 HHZ720898:HHZ720996 HHZ786434:HHZ786532 HHZ851970:HHZ852068 HHZ917506:HHZ917604 HHZ983042:HHZ983140 HRV2:HRV100 HRV65538:HRV65636 HRV131074:HRV131172 HRV196610:HRV196708 HRV262146:HRV262244 HRV327682:HRV327780 HRV393218:HRV393316 HRV458754:HRV458852 HRV524290:HRV524388 HRV589826:HRV589924 HRV655362:HRV655460 HRV720898:HRV720996 HRV786434:HRV786532 HRV851970:HRV852068 HRV917506:HRV917604 HRV983042:HRV983140 IBR2:IBR100 IBR65538:IBR65636 IBR131074:IBR131172 IBR196610:IBR196708 IBR262146:IBR262244 IBR327682:IBR327780 IBR393218:IBR393316 IBR458754:IBR458852 IBR524290:IBR524388 IBR589826:IBR589924 IBR655362:IBR655460 IBR720898:IBR720996 IBR786434:IBR786532 IBR851970:IBR852068 IBR917506:IBR917604 IBR983042:IBR983140 ILN2:ILN100 ILN65538:ILN65636 ILN131074:ILN131172 ILN196610:ILN196708 ILN262146:ILN262244 ILN327682:ILN327780 ILN393218:ILN393316 ILN458754:ILN458852 ILN524290:ILN524388 ILN589826:ILN589924 ILN655362:ILN655460 ILN720898:ILN720996 ILN786434:ILN786532 ILN851970:ILN852068 ILN917506:ILN917604 ILN983042:ILN983140 IVJ2:IVJ100 IVJ65538:IVJ65636 IVJ131074:IVJ131172 IVJ196610:IVJ196708 IVJ262146:IVJ262244 IVJ327682:IVJ327780 IVJ393218:IVJ393316 IVJ458754:IVJ458852 IVJ524290:IVJ524388 IVJ589826:IVJ589924 IVJ655362:IVJ655460 IVJ720898:IVJ720996 IVJ786434:IVJ786532 IVJ851970:IVJ852068 IVJ917506:IVJ917604 IVJ983042:IVJ983140 JFF2:JFF100 JFF65538:JFF65636 JFF131074:JFF131172 JFF196610:JFF196708 JFF262146:JFF262244 JFF327682:JFF327780 JFF393218:JFF393316 JFF458754:JFF458852 JFF524290:JFF524388 JFF589826:JFF589924 JFF655362:JFF655460 JFF720898:JFF720996 JFF786434:JFF786532 JFF851970:JFF852068 JFF917506:JFF917604 JFF983042:JFF983140 JPB2:JPB100 JPB65538:JPB65636 JPB131074:JPB131172 JPB196610:JPB196708 JPB262146:JPB262244 JPB327682:JPB327780 JPB393218:JPB393316 JPB458754:JPB458852 JPB524290:JPB524388 JPB589826:JPB589924 JPB655362:JPB655460 JPB720898:JPB720996 JPB786434:JPB786532 JPB851970:JPB852068 JPB917506:JPB917604 JPB983042:JPB983140 JYX2:JYX100 JYX65538:JYX65636 JYX131074:JYX131172 JYX196610:JYX196708 JYX262146:JYX262244 JYX327682:JYX327780 JYX393218:JYX393316 JYX458754:JYX458852 JYX524290:JYX524388 JYX589826:JYX589924 JYX655362:JYX655460 JYX720898:JYX720996 JYX786434:JYX786532 JYX851970:JYX852068 JYX917506:JYX917604 JYX983042:JYX983140 KIT2:KIT100 KIT65538:KIT65636 KIT131074:KIT131172 KIT196610:KIT196708 KIT262146:KIT262244 KIT327682:KIT327780 KIT393218:KIT393316 KIT458754:KIT458852 KIT524290:KIT524388 KIT589826:KIT589924 KIT655362:KIT655460 KIT720898:KIT720996 KIT786434:KIT786532 KIT851970:KIT852068 KIT917506:KIT917604 KIT983042:KIT983140 KSP2:KSP100 KSP65538:KSP65636 KSP131074:KSP131172 KSP196610:KSP196708 KSP262146:KSP262244 KSP327682:KSP327780 KSP393218:KSP393316 KSP458754:KSP458852 KSP524290:KSP524388 KSP589826:KSP589924 KSP655362:KSP655460 KSP720898:KSP720996 KSP786434:KSP786532 KSP851970:KSP852068 KSP917506:KSP917604 KSP983042:KSP983140 LCL2:LCL100 LCL65538:LCL65636 LCL131074:LCL131172 LCL196610:LCL196708 LCL262146:LCL262244 LCL327682:LCL327780 LCL393218:LCL393316 LCL458754:LCL458852 LCL524290:LCL524388 LCL589826:LCL589924 LCL655362:LCL655460 LCL720898:LCL720996 LCL786434:LCL786532 LCL851970:LCL852068 LCL917506:LCL917604 LCL983042:LCL983140 LMH2:LMH100 LMH65538:LMH65636 LMH131074:LMH131172 LMH196610:LMH196708 LMH262146:LMH262244 LMH327682:LMH327780 LMH393218:LMH393316 LMH458754:LMH458852 LMH524290:LMH524388 LMH589826:LMH589924 LMH655362:LMH655460 LMH720898:LMH720996 LMH786434:LMH786532 LMH851970:LMH852068 LMH917506:LMH917604 LMH983042:LMH983140 LWD2:LWD100 LWD65538:LWD65636 LWD131074:LWD131172 LWD196610:LWD196708 LWD262146:LWD262244 LWD327682:LWD327780 LWD393218:LWD393316 LWD458754:LWD458852 LWD524290:LWD524388 LWD589826:LWD589924 LWD655362:LWD655460 LWD720898:LWD720996 LWD786434:LWD786532 LWD851970:LWD852068 LWD917506:LWD917604 LWD983042:LWD983140 MFZ2:MFZ100 MFZ65538:MFZ65636 MFZ131074:MFZ131172 MFZ196610:MFZ196708 MFZ262146:MFZ262244 MFZ327682:MFZ327780 MFZ393218:MFZ393316 MFZ458754:MFZ458852 MFZ524290:MFZ524388 MFZ589826:MFZ589924 MFZ655362:MFZ655460 MFZ720898:MFZ720996 MFZ786434:MFZ786532 MFZ851970:MFZ852068 MFZ917506:MFZ917604 MFZ983042:MFZ983140 MPV2:MPV100 MPV65538:MPV65636 MPV131074:MPV131172 MPV196610:MPV196708 MPV262146:MPV262244 MPV327682:MPV327780 MPV393218:MPV393316 MPV458754:MPV458852 MPV524290:MPV524388 MPV589826:MPV589924 MPV655362:MPV655460 MPV720898:MPV720996 MPV786434:MPV786532 MPV851970:MPV852068 MPV917506:MPV917604 MPV983042:MPV983140 MZR2:MZR100 MZR65538:MZR65636 MZR131074:MZR131172 MZR196610:MZR196708 MZR262146:MZR262244 MZR327682:MZR327780 MZR393218:MZR393316 MZR458754:MZR458852 MZR524290:MZR524388 MZR589826:MZR589924 MZR655362:MZR655460 MZR720898:MZR720996 MZR786434:MZR786532 MZR851970:MZR852068 MZR917506:MZR917604 MZR983042:MZR983140 NJN2:NJN100 NJN65538:NJN65636 NJN131074:NJN131172 NJN196610:NJN196708 NJN262146:NJN262244 NJN327682:NJN327780 NJN393218:NJN393316 NJN458754:NJN458852 NJN524290:NJN524388 NJN589826:NJN589924 NJN655362:NJN655460 NJN720898:NJN720996 NJN786434:NJN786532 NJN851970:NJN852068 NJN917506:NJN917604 NJN983042:NJN983140 NTJ2:NTJ100 NTJ65538:NTJ65636 NTJ131074:NTJ131172 NTJ196610:NTJ196708 NTJ262146:NTJ262244 NTJ327682:NTJ327780 NTJ393218:NTJ393316 NTJ458754:NTJ458852 NTJ524290:NTJ524388 NTJ589826:NTJ589924 NTJ655362:NTJ655460 NTJ720898:NTJ720996 NTJ786434:NTJ786532 NTJ851970:NTJ852068 NTJ917506:NTJ917604 NTJ983042:NTJ983140 ODF2:ODF100 ODF65538:ODF65636 ODF131074:ODF131172 ODF196610:ODF196708 ODF262146:ODF262244 ODF327682:ODF327780 ODF393218:ODF393316 ODF458754:ODF458852 ODF524290:ODF524388 ODF589826:ODF589924 ODF655362:ODF655460 ODF720898:ODF720996 ODF786434:ODF786532 ODF851970:ODF852068 ODF917506:ODF917604 ODF983042:ODF983140 ONB2:ONB100 ONB65538:ONB65636 ONB131074:ONB131172 ONB196610:ONB196708 ONB262146:ONB262244 ONB327682:ONB327780 ONB393218:ONB393316 ONB458754:ONB458852 ONB524290:ONB524388 ONB589826:ONB589924 ONB655362:ONB655460 ONB720898:ONB720996 ONB786434:ONB786532 ONB851970:ONB852068 ONB917506:ONB917604 ONB983042:ONB983140 OWX2:OWX100 OWX65538:OWX65636 OWX131074:OWX131172 OWX196610:OWX196708 OWX262146:OWX262244 OWX327682:OWX327780 OWX393218:OWX393316 OWX458754:OWX458852 OWX524290:OWX524388 OWX589826:OWX589924 OWX655362:OWX655460 OWX720898:OWX720996 OWX786434:OWX786532 OWX851970:OWX852068 OWX917506:OWX917604 OWX983042:OWX983140 PGT2:PGT100 PGT65538:PGT65636 PGT131074:PGT131172 PGT196610:PGT196708 PGT262146:PGT262244 PGT327682:PGT327780 PGT393218:PGT393316 PGT458754:PGT458852 PGT524290:PGT524388 PGT589826:PGT589924 PGT655362:PGT655460 PGT720898:PGT720996 PGT786434:PGT786532 PGT851970:PGT852068 PGT917506:PGT917604 PGT983042:PGT983140 PQP2:PQP100 PQP65538:PQP65636 PQP131074:PQP131172 PQP196610:PQP196708 PQP262146:PQP262244 PQP327682:PQP327780 PQP393218:PQP393316 PQP458754:PQP458852 PQP524290:PQP524388 PQP589826:PQP589924 PQP655362:PQP655460 PQP720898:PQP720996 PQP786434:PQP786532 PQP851970:PQP852068 PQP917506:PQP917604 PQP983042:PQP983140 QAL2:QAL100 QAL65538:QAL65636 QAL131074:QAL131172 QAL196610:QAL196708 QAL262146:QAL262244 QAL327682:QAL327780 QAL393218:QAL393316 QAL458754:QAL458852 QAL524290:QAL524388 QAL589826:QAL589924 QAL655362:QAL655460 QAL720898:QAL720996 QAL786434:QAL786532 QAL851970:QAL852068 QAL917506:QAL917604 QAL983042:QAL983140 QKH2:QKH100 QKH65538:QKH65636 QKH131074:QKH131172 QKH196610:QKH196708 QKH262146:QKH262244 QKH327682:QKH327780 QKH393218:QKH393316 QKH458754:QKH458852 QKH524290:QKH524388 QKH589826:QKH589924 QKH655362:QKH655460 QKH720898:QKH720996 QKH786434:QKH786532 QKH851970:QKH852068 QKH917506:QKH917604 QKH983042:QKH983140 QUD2:QUD100 QUD65538:QUD65636 QUD131074:QUD131172 QUD196610:QUD196708 QUD262146:QUD262244 QUD327682:QUD327780 QUD393218:QUD393316 QUD458754:QUD458852 QUD524290:QUD524388 QUD589826:QUD589924 QUD655362:QUD655460 QUD720898:QUD720996 QUD786434:QUD786532 QUD851970:QUD852068 QUD917506:QUD917604 QUD983042:QUD983140 RDZ2:RDZ100 RDZ65538:RDZ65636 RDZ131074:RDZ131172 RDZ196610:RDZ196708 RDZ262146:RDZ262244 RDZ327682:RDZ327780 RDZ393218:RDZ393316 RDZ458754:RDZ458852 RDZ524290:RDZ524388 RDZ589826:RDZ589924 RDZ655362:RDZ655460 RDZ720898:RDZ720996 RDZ786434:RDZ786532 RDZ851970:RDZ852068 RDZ917506:RDZ917604 RDZ983042:RDZ983140 RNV2:RNV100 RNV65538:RNV65636 RNV131074:RNV131172 RNV196610:RNV196708 RNV262146:RNV262244 RNV327682:RNV327780 RNV393218:RNV393316 RNV458754:RNV458852 RNV524290:RNV524388 RNV589826:RNV589924 RNV655362:RNV655460 RNV720898:RNV720996 RNV786434:RNV786532 RNV851970:RNV852068 RNV917506:RNV917604 RNV983042:RNV983140 RXR2:RXR100 RXR65538:RXR65636 RXR131074:RXR131172 RXR196610:RXR196708 RXR262146:RXR262244 RXR327682:RXR327780 RXR393218:RXR393316 RXR458754:RXR458852 RXR524290:RXR524388 RXR589826:RXR589924 RXR655362:RXR655460 RXR720898:RXR720996 RXR786434:RXR786532 RXR851970:RXR852068 RXR917506:RXR917604 RXR983042:RXR983140 SHN2:SHN100 SHN65538:SHN65636 SHN131074:SHN131172 SHN196610:SHN196708 SHN262146:SHN262244 SHN327682:SHN327780 SHN393218:SHN393316 SHN458754:SHN458852 SHN524290:SHN524388 SHN589826:SHN589924 SHN655362:SHN655460 SHN720898:SHN720996 SHN786434:SHN786532 SHN851970:SHN852068 SHN917506:SHN917604 SHN983042:SHN983140 SRJ2:SRJ100 SRJ65538:SRJ65636 SRJ131074:SRJ131172 SRJ196610:SRJ196708 SRJ262146:SRJ262244 SRJ327682:SRJ327780 SRJ393218:SRJ393316 SRJ458754:SRJ458852 SRJ524290:SRJ524388 SRJ589826:SRJ589924 SRJ655362:SRJ655460 SRJ720898:SRJ720996 SRJ786434:SRJ786532 SRJ851970:SRJ852068 SRJ917506:SRJ917604 SRJ983042:SRJ983140 TBF2:TBF100 TBF65538:TBF65636 TBF131074:TBF131172 TBF196610:TBF196708 TBF262146:TBF262244 TBF327682:TBF327780 TBF393218:TBF393316 TBF458754:TBF458852 TBF524290:TBF524388 TBF589826:TBF589924 TBF655362:TBF655460 TBF720898:TBF720996 TBF786434:TBF786532 TBF851970:TBF852068 TBF917506:TBF917604 TBF983042:TBF983140 TLB2:TLB100 TLB65538:TLB65636 TLB131074:TLB131172 TLB196610:TLB196708 TLB262146:TLB262244 TLB327682:TLB327780 TLB393218:TLB393316 TLB458754:TLB458852 TLB524290:TLB524388 TLB589826:TLB589924 TLB655362:TLB655460 TLB720898:TLB720996 TLB786434:TLB786532 TLB851970:TLB852068 TLB917506:TLB917604 TLB983042:TLB983140 TUX2:TUX100 TUX65538:TUX65636 TUX131074:TUX131172 TUX196610:TUX196708 TUX262146:TUX262244 TUX327682:TUX327780 TUX393218:TUX393316 TUX458754:TUX458852 TUX524290:TUX524388 TUX589826:TUX589924 TUX655362:TUX655460 TUX720898:TUX720996 TUX786434:TUX786532 TUX851970:TUX852068 TUX917506:TUX917604 TUX983042:TUX983140 UET2:UET100 UET65538:UET65636 UET131074:UET131172 UET196610:UET196708 UET262146:UET262244 UET327682:UET327780 UET393218:UET393316 UET458754:UET458852 UET524290:UET524388 UET589826:UET589924 UET655362:UET655460 UET720898:UET720996 UET786434:UET786532 UET851970:UET852068 UET917506:UET917604 UET983042:UET983140 UOP2:UOP100 UOP65538:UOP65636 UOP131074:UOP131172 UOP196610:UOP196708 UOP262146:UOP262244 UOP327682:UOP327780 UOP393218:UOP393316 UOP458754:UOP458852 UOP524290:UOP524388 UOP589826:UOP589924 UOP655362:UOP655460 UOP720898:UOP720996 UOP786434:UOP786532 UOP851970:UOP852068 UOP917506:UOP917604 UOP983042:UOP983140 UYL2:UYL100 UYL65538:UYL65636 UYL131074:UYL131172 UYL196610:UYL196708 UYL262146:UYL262244 UYL327682:UYL327780 UYL393218:UYL393316 UYL458754:UYL458852 UYL524290:UYL524388 UYL589826:UYL589924 UYL655362:UYL655460 UYL720898:UYL720996 UYL786434:UYL786532 UYL851970:UYL852068 UYL917506:UYL917604 UYL983042:UYL983140 VIH2:VIH100 VIH65538:VIH65636 VIH131074:VIH131172 VIH196610:VIH196708 VIH262146:VIH262244 VIH327682:VIH327780 VIH393218:VIH393316 VIH458754:VIH458852 VIH524290:VIH524388 VIH589826:VIH589924 VIH655362:VIH655460 VIH720898:VIH720996 VIH786434:VIH786532 VIH851970:VIH852068 VIH917506:VIH917604 VIH983042:VIH983140 VSD2:VSD100 VSD65538:VSD65636 VSD131074:VSD131172 VSD196610:VSD196708 VSD262146:VSD262244 VSD327682:VSD327780 VSD393218:VSD393316 VSD458754:VSD458852 VSD524290:VSD524388 VSD589826:VSD589924 VSD655362:VSD655460 VSD720898:VSD720996 VSD786434:VSD786532 VSD851970:VSD852068 VSD917506:VSD917604 VSD983042:VSD983140 WBZ2:WBZ100 WBZ65538:WBZ65636 WBZ131074:WBZ131172 WBZ196610:WBZ196708 WBZ262146:WBZ262244 WBZ327682:WBZ327780 WBZ393218:WBZ393316 WBZ458754:WBZ458852 WBZ524290:WBZ524388 WBZ589826:WBZ589924 WBZ655362:WBZ655460 WBZ720898:WBZ720996 WBZ786434:WBZ786532 WBZ851970:WBZ852068 WBZ917506:WBZ917604 WBZ983042:WBZ983140 WLV2:WLV100 WLV65538:WLV65636 WLV131074:WLV131172 WLV196610:WLV196708 WLV262146:WLV262244 WLV327682:WLV327780 WLV393218:WLV393316 WLV458754:WLV458852 WLV524290:WLV524388 WLV589826:WLV589924 WLV655362:WLV655460 WLV720898:WLV720996 WLV786434:WLV786532 WLV851970:WLV852068 WLV917506:WLV917604 WLV983042:WLV983140 WVR2:WVR100 WVR65538:WVR65636 WVR131074:WVR131172 WVR196610:WVR196708 WVR262146:WVR262244 WVR327682:WVR327780 WVR393218:WVR393316 WVR458754:WVR458852 WVR524290:WVR524388 WVR589826:WVR589924 WVR655362:WVR655460 WVR720898:WVR720996 WVR786434:WVR786532 WVR851970:WVR852068 WVR917506:WVR917604 WVR983042:WVR983140" xr:uid="{D902BF69-6AC4-40F7-B46F-FAFA231696B0}">
      <formula1>$AP$2:$AP$27</formula1>
    </dataValidation>
    <dataValidation type="list" allowBlank="1" showInputMessage="1" showErrorMessage="1" sqref="I1:I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WVQ1:WVQ1048576" xr:uid="{1DC73CAD-5FB9-4312-B173-7DEDDA6D4943}">
      <formula1>$AN$5:$AN$6</formula1>
    </dataValidation>
    <dataValidation type="list" allowBlank="1" showInputMessage="1" showErrorMessage="1" sqref="H64423:H64476 H129959:H130012 H195495:H195548 H261031:H261084 H326567:H326620 H392103:H392156 H457639:H457692 H523175:H523228 H588711:H588764 H654247:H654300 H719783:H719836 H785319:H785372 H850855:H850908 H916391:H916444 H981927:H981980 H1047463:H1047516 JD64423:JD64476 JD129959:JD130012 JD195495:JD195548 JD261031:JD261084 JD326567:JD326620 JD392103:JD392156 JD457639:JD457692 JD523175:JD523228 JD588711:JD588764 JD654247:JD654300 JD719783:JD719836 JD785319:JD785372 JD850855:JD850908 JD916391:JD916444 JD981927:JD981980 JD1047463:JD1047516 SZ64423:SZ64476 SZ129959:SZ130012 SZ195495:SZ195548 SZ261031:SZ261084 SZ326567:SZ326620 SZ392103:SZ392156 SZ457639:SZ457692 SZ523175:SZ523228 SZ588711:SZ588764 SZ654247:SZ654300 SZ719783:SZ719836 SZ785319:SZ785372 SZ850855:SZ850908 SZ916391:SZ916444 SZ981927:SZ981980 SZ1047463:SZ1047516 ACV64423:ACV64476 ACV129959:ACV130012 ACV195495:ACV195548 ACV261031:ACV261084 ACV326567:ACV326620 ACV392103:ACV392156 ACV457639:ACV457692 ACV523175:ACV523228 ACV588711:ACV588764 ACV654247:ACV654300 ACV719783:ACV719836 ACV785319:ACV785372 ACV850855:ACV850908 ACV916391:ACV916444 ACV981927:ACV981980 ACV1047463:ACV1047516 AMR64423:AMR64476 AMR129959:AMR130012 AMR195495:AMR195548 AMR261031:AMR261084 AMR326567:AMR326620 AMR392103:AMR392156 AMR457639:AMR457692 AMR523175:AMR523228 AMR588711:AMR588764 AMR654247:AMR654300 AMR719783:AMR719836 AMR785319:AMR785372 AMR850855:AMR850908 AMR916391:AMR916444 AMR981927:AMR981980 AMR1047463:AMR1047516 AWN64423:AWN64476 AWN129959:AWN130012 AWN195495:AWN195548 AWN261031:AWN261084 AWN326567:AWN326620 AWN392103:AWN392156 AWN457639:AWN457692 AWN523175:AWN523228 AWN588711:AWN588764 AWN654247:AWN654300 AWN719783:AWN719836 AWN785319:AWN785372 AWN850855:AWN850908 AWN916391:AWN916444 AWN981927:AWN981980 AWN1047463:AWN1047516 BGJ64423:BGJ64476 BGJ129959:BGJ130012 BGJ195495:BGJ195548 BGJ261031:BGJ261084 BGJ326567:BGJ326620 BGJ392103:BGJ392156 BGJ457639:BGJ457692 BGJ523175:BGJ523228 BGJ588711:BGJ588764 BGJ654247:BGJ654300 BGJ719783:BGJ719836 BGJ785319:BGJ785372 BGJ850855:BGJ850908 BGJ916391:BGJ916444 BGJ981927:BGJ981980 BGJ1047463:BGJ1047516 BQF64423:BQF64476 BQF129959:BQF130012 BQF195495:BQF195548 BQF261031:BQF261084 BQF326567:BQF326620 BQF392103:BQF392156 BQF457639:BQF457692 BQF523175:BQF523228 BQF588711:BQF588764 BQF654247:BQF654300 BQF719783:BQF719836 BQF785319:BQF785372 BQF850855:BQF850908 BQF916391:BQF916444 BQF981927:BQF981980 BQF1047463:BQF1047516 CAB64423:CAB64476 CAB129959:CAB130012 CAB195495:CAB195548 CAB261031:CAB261084 CAB326567:CAB326620 CAB392103:CAB392156 CAB457639:CAB457692 CAB523175:CAB523228 CAB588711:CAB588764 CAB654247:CAB654300 CAB719783:CAB719836 CAB785319:CAB785372 CAB850855:CAB850908 CAB916391:CAB916444 CAB981927:CAB981980 CAB1047463:CAB1047516 CJX64423:CJX64476 CJX129959:CJX130012 CJX195495:CJX195548 CJX261031:CJX261084 CJX326567:CJX326620 CJX392103:CJX392156 CJX457639:CJX457692 CJX523175:CJX523228 CJX588711:CJX588764 CJX654247:CJX654300 CJX719783:CJX719836 CJX785319:CJX785372 CJX850855:CJX850908 CJX916391:CJX916444 CJX981927:CJX981980 CJX1047463:CJX1047516 CTT64423:CTT64476 CTT129959:CTT130012 CTT195495:CTT195548 CTT261031:CTT261084 CTT326567:CTT326620 CTT392103:CTT392156 CTT457639:CTT457692 CTT523175:CTT523228 CTT588711:CTT588764 CTT654247:CTT654300 CTT719783:CTT719836 CTT785319:CTT785372 CTT850855:CTT850908 CTT916391:CTT916444 CTT981927:CTT981980 CTT1047463:CTT1047516 DDP64423:DDP64476 DDP129959:DDP130012 DDP195495:DDP195548 DDP261031:DDP261084 DDP326567:DDP326620 DDP392103:DDP392156 DDP457639:DDP457692 DDP523175:DDP523228 DDP588711:DDP588764 DDP654247:DDP654300 DDP719783:DDP719836 DDP785319:DDP785372 DDP850855:DDP850908 DDP916391:DDP916444 DDP981927:DDP981980 DDP1047463:DDP1047516 DNL64423:DNL64476 DNL129959:DNL130012 DNL195495:DNL195548 DNL261031:DNL261084 DNL326567:DNL326620 DNL392103:DNL392156 DNL457639:DNL457692 DNL523175:DNL523228 DNL588711:DNL588764 DNL654247:DNL654300 DNL719783:DNL719836 DNL785319:DNL785372 DNL850855:DNL850908 DNL916391:DNL916444 DNL981927:DNL981980 DNL1047463:DNL1047516 DXH64423:DXH64476 DXH129959:DXH130012 DXH195495:DXH195548 DXH261031:DXH261084 DXH326567:DXH326620 DXH392103:DXH392156 DXH457639:DXH457692 DXH523175:DXH523228 DXH588711:DXH588764 DXH654247:DXH654300 DXH719783:DXH719836 DXH785319:DXH785372 DXH850855:DXH850908 DXH916391:DXH916444 DXH981927:DXH981980 DXH1047463:DXH1047516 EHD64423:EHD64476 EHD129959:EHD130012 EHD195495:EHD195548 EHD261031:EHD261084 EHD326567:EHD326620 EHD392103:EHD392156 EHD457639:EHD457692 EHD523175:EHD523228 EHD588711:EHD588764 EHD654247:EHD654300 EHD719783:EHD719836 EHD785319:EHD785372 EHD850855:EHD850908 EHD916391:EHD916444 EHD981927:EHD981980 EHD1047463:EHD1047516 EQZ64423:EQZ64476 EQZ129959:EQZ130012 EQZ195495:EQZ195548 EQZ261031:EQZ261084 EQZ326567:EQZ326620 EQZ392103:EQZ392156 EQZ457639:EQZ457692 EQZ523175:EQZ523228 EQZ588711:EQZ588764 EQZ654247:EQZ654300 EQZ719783:EQZ719836 EQZ785319:EQZ785372 EQZ850855:EQZ850908 EQZ916391:EQZ916444 EQZ981927:EQZ981980 EQZ1047463:EQZ1047516 FAV64423:FAV64476 FAV129959:FAV130012 FAV195495:FAV195548 FAV261031:FAV261084 FAV326567:FAV326620 FAV392103:FAV392156 FAV457639:FAV457692 FAV523175:FAV523228 FAV588711:FAV588764 FAV654247:FAV654300 FAV719783:FAV719836 FAV785319:FAV785372 FAV850855:FAV850908 FAV916391:FAV916444 FAV981927:FAV981980 FAV1047463:FAV1047516 FKR64423:FKR64476 FKR129959:FKR130012 FKR195495:FKR195548 FKR261031:FKR261084 FKR326567:FKR326620 FKR392103:FKR392156 FKR457639:FKR457692 FKR523175:FKR523228 FKR588711:FKR588764 FKR654247:FKR654300 FKR719783:FKR719836 FKR785319:FKR785372 FKR850855:FKR850908 FKR916391:FKR916444 FKR981927:FKR981980 FKR1047463:FKR1047516 FUN64423:FUN64476 FUN129959:FUN130012 FUN195495:FUN195548 FUN261031:FUN261084 FUN326567:FUN326620 FUN392103:FUN392156 FUN457639:FUN457692 FUN523175:FUN523228 FUN588711:FUN588764 FUN654247:FUN654300 FUN719783:FUN719836 FUN785319:FUN785372 FUN850855:FUN850908 FUN916391:FUN916444 FUN981927:FUN981980 FUN1047463:FUN1047516 GEJ64423:GEJ64476 GEJ129959:GEJ130012 GEJ195495:GEJ195548 GEJ261031:GEJ261084 GEJ326567:GEJ326620 GEJ392103:GEJ392156 GEJ457639:GEJ457692 GEJ523175:GEJ523228 GEJ588711:GEJ588764 GEJ654247:GEJ654300 GEJ719783:GEJ719836 GEJ785319:GEJ785372 GEJ850855:GEJ850908 GEJ916391:GEJ916444 GEJ981927:GEJ981980 GEJ1047463:GEJ1047516 GOF64423:GOF64476 GOF129959:GOF130012 GOF195495:GOF195548 GOF261031:GOF261084 GOF326567:GOF326620 GOF392103:GOF392156 GOF457639:GOF457692 GOF523175:GOF523228 GOF588711:GOF588764 GOF654247:GOF654300 GOF719783:GOF719836 GOF785319:GOF785372 GOF850855:GOF850908 GOF916391:GOF916444 GOF981927:GOF981980 GOF1047463:GOF1047516 GYB64423:GYB64476 GYB129959:GYB130012 GYB195495:GYB195548 GYB261031:GYB261084 GYB326567:GYB326620 GYB392103:GYB392156 GYB457639:GYB457692 GYB523175:GYB523228 GYB588711:GYB588764 GYB654247:GYB654300 GYB719783:GYB719836 GYB785319:GYB785372 GYB850855:GYB850908 GYB916391:GYB916444 GYB981927:GYB981980 GYB1047463:GYB1047516 HHX64423:HHX64476 HHX129959:HHX130012 HHX195495:HHX195548 HHX261031:HHX261084 HHX326567:HHX326620 HHX392103:HHX392156 HHX457639:HHX457692 HHX523175:HHX523228 HHX588711:HHX588764 HHX654247:HHX654300 HHX719783:HHX719836 HHX785319:HHX785372 HHX850855:HHX850908 HHX916391:HHX916444 HHX981927:HHX981980 HHX1047463:HHX1047516 HRT64423:HRT64476 HRT129959:HRT130012 HRT195495:HRT195548 HRT261031:HRT261084 HRT326567:HRT326620 HRT392103:HRT392156 HRT457639:HRT457692 HRT523175:HRT523228 HRT588711:HRT588764 HRT654247:HRT654300 HRT719783:HRT719836 HRT785319:HRT785372 HRT850855:HRT850908 HRT916391:HRT916444 HRT981927:HRT981980 HRT1047463:HRT1047516 IBP64423:IBP64476 IBP129959:IBP130012 IBP195495:IBP195548 IBP261031:IBP261084 IBP326567:IBP326620 IBP392103:IBP392156 IBP457639:IBP457692 IBP523175:IBP523228 IBP588711:IBP588764 IBP654247:IBP654300 IBP719783:IBP719836 IBP785319:IBP785372 IBP850855:IBP850908 IBP916391:IBP916444 IBP981927:IBP981980 IBP1047463:IBP1047516 ILL64423:ILL64476 ILL129959:ILL130012 ILL195495:ILL195548 ILL261031:ILL261084 ILL326567:ILL326620 ILL392103:ILL392156 ILL457639:ILL457692 ILL523175:ILL523228 ILL588711:ILL588764 ILL654247:ILL654300 ILL719783:ILL719836 ILL785319:ILL785372 ILL850855:ILL850908 ILL916391:ILL916444 ILL981927:ILL981980 ILL1047463:ILL1047516 IVH64423:IVH64476 IVH129959:IVH130012 IVH195495:IVH195548 IVH261031:IVH261084 IVH326567:IVH326620 IVH392103:IVH392156 IVH457639:IVH457692 IVH523175:IVH523228 IVH588711:IVH588764 IVH654247:IVH654300 IVH719783:IVH719836 IVH785319:IVH785372 IVH850855:IVH850908 IVH916391:IVH916444 IVH981927:IVH981980 IVH1047463:IVH1047516 JFD64423:JFD64476 JFD129959:JFD130012 JFD195495:JFD195548 JFD261031:JFD261084 JFD326567:JFD326620 JFD392103:JFD392156 JFD457639:JFD457692 JFD523175:JFD523228 JFD588711:JFD588764 JFD654247:JFD654300 JFD719783:JFD719836 JFD785319:JFD785372 JFD850855:JFD850908 JFD916391:JFD916444 JFD981927:JFD981980 JFD1047463:JFD1047516 JOZ64423:JOZ64476 JOZ129959:JOZ130012 JOZ195495:JOZ195548 JOZ261031:JOZ261084 JOZ326567:JOZ326620 JOZ392103:JOZ392156 JOZ457639:JOZ457692 JOZ523175:JOZ523228 JOZ588711:JOZ588764 JOZ654247:JOZ654300 JOZ719783:JOZ719836 JOZ785319:JOZ785372 JOZ850855:JOZ850908 JOZ916391:JOZ916444 JOZ981927:JOZ981980 JOZ1047463:JOZ1047516 JYV64423:JYV64476 JYV129959:JYV130012 JYV195495:JYV195548 JYV261031:JYV261084 JYV326567:JYV326620 JYV392103:JYV392156 JYV457639:JYV457692 JYV523175:JYV523228 JYV588711:JYV588764 JYV654247:JYV654300 JYV719783:JYV719836 JYV785319:JYV785372 JYV850855:JYV850908 JYV916391:JYV916444 JYV981927:JYV981980 JYV1047463:JYV1047516 KIR64423:KIR64476 KIR129959:KIR130012 KIR195495:KIR195548 KIR261031:KIR261084 KIR326567:KIR326620 KIR392103:KIR392156 KIR457639:KIR457692 KIR523175:KIR523228 KIR588711:KIR588764 KIR654247:KIR654300 KIR719783:KIR719836 KIR785319:KIR785372 KIR850855:KIR850908 KIR916391:KIR916444 KIR981927:KIR981980 KIR1047463:KIR1047516 KSN64423:KSN64476 KSN129959:KSN130012 KSN195495:KSN195548 KSN261031:KSN261084 KSN326567:KSN326620 KSN392103:KSN392156 KSN457639:KSN457692 KSN523175:KSN523228 KSN588711:KSN588764 KSN654247:KSN654300 KSN719783:KSN719836 KSN785319:KSN785372 KSN850855:KSN850908 KSN916391:KSN916444 KSN981927:KSN981980 KSN1047463:KSN1047516 LCJ64423:LCJ64476 LCJ129959:LCJ130012 LCJ195495:LCJ195548 LCJ261031:LCJ261084 LCJ326567:LCJ326620 LCJ392103:LCJ392156 LCJ457639:LCJ457692 LCJ523175:LCJ523228 LCJ588711:LCJ588764 LCJ654247:LCJ654300 LCJ719783:LCJ719836 LCJ785319:LCJ785372 LCJ850855:LCJ850908 LCJ916391:LCJ916444 LCJ981927:LCJ981980 LCJ1047463:LCJ1047516 LMF64423:LMF64476 LMF129959:LMF130012 LMF195495:LMF195548 LMF261031:LMF261084 LMF326567:LMF326620 LMF392103:LMF392156 LMF457639:LMF457692 LMF523175:LMF523228 LMF588711:LMF588764 LMF654247:LMF654300 LMF719783:LMF719836 LMF785319:LMF785372 LMF850855:LMF850908 LMF916391:LMF916444 LMF981927:LMF981980 LMF1047463:LMF1047516 LWB64423:LWB64476 LWB129959:LWB130012 LWB195495:LWB195548 LWB261031:LWB261084 LWB326567:LWB326620 LWB392103:LWB392156 LWB457639:LWB457692 LWB523175:LWB523228 LWB588711:LWB588764 LWB654247:LWB654300 LWB719783:LWB719836 LWB785319:LWB785372 LWB850855:LWB850908 LWB916391:LWB916444 LWB981927:LWB981980 LWB1047463:LWB1047516 MFX64423:MFX64476 MFX129959:MFX130012 MFX195495:MFX195548 MFX261031:MFX261084 MFX326567:MFX326620 MFX392103:MFX392156 MFX457639:MFX457692 MFX523175:MFX523228 MFX588711:MFX588764 MFX654247:MFX654300 MFX719783:MFX719836 MFX785319:MFX785372 MFX850855:MFX850908 MFX916391:MFX916444 MFX981927:MFX981980 MFX1047463:MFX1047516 MPT64423:MPT64476 MPT129959:MPT130012 MPT195495:MPT195548 MPT261031:MPT261084 MPT326567:MPT326620 MPT392103:MPT392156 MPT457639:MPT457692 MPT523175:MPT523228 MPT588711:MPT588764 MPT654247:MPT654300 MPT719783:MPT719836 MPT785319:MPT785372 MPT850855:MPT850908 MPT916391:MPT916444 MPT981927:MPT981980 MPT1047463:MPT1047516 MZP64423:MZP64476 MZP129959:MZP130012 MZP195495:MZP195548 MZP261031:MZP261084 MZP326567:MZP326620 MZP392103:MZP392156 MZP457639:MZP457692 MZP523175:MZP523228 MZP588711:MZP588764 MZP654247:MZP654300 MZP719783:MZP719836 MZP785319:MZP785372 MZP850855:MZP850908 MZP916391:MZP916444 MZP981927:MZP981980 MZP1047463:MZP1047516 NJL64423:NJL64476 NJL129959:NJL130012 NJL195495:NJL195548 NJL261031:NJL261084 NJL326567:NJL326620 NJL392103:NJL392156 NJL457639:NJL457692 NJL523175:NJL523228 NJL588711:NJL588764 NJL654247:NJL654300 NJL719783:NJL719836 NJL785319:NJL785372 NJL850855:NJL850908 NJL916391:NJL916444 NJL981927:NJL981980 NJL1047463:NJL1047516 NTH64423:NTH64476 NTH129959:NTH130012 NTH195495:NTH195548 NTH261031:NTH261084 NTH326567:NTH326620 NTH392103:NTH392156 NTH457639:NTH457692 NTH523175:NTH523228 NTH588711:NTH588764 NTH654247:NTH654300 NTH719783:NTH719836 NTH785319:NTH785372 NTH850855:NTH850908 NTH916391:NTH916444 NTH981927:NTH981980 NTH1047463:NTH1047516 ODD64423:ODD64476 ODD129959:ODD130012 ODD195495:ODD195548 ODD261031:ODD261084 ODD326567:ODD326620 ODD392103:ODD392156 ODD457639:ODD457692 ODD523175:ODD523228 ODD588711:ODD588764 ODD654247:ODD654300 ODD719783:ODD719836 ODD785319:ODD785372 ODD850855:ODD850908 ODD916391:ODD916444 ODD981927:ODD981980 ODD1047463:ODD1047516 OMZ64423:OMZ64476 OMZ129959:OMZ130012 OMZ195495:OMZ195548 OMZ261031:OMZ261084 OMZ326567:OMZ326620 OMZ392103:OMZ392156 OMZ457639:OMZ457692 OMZ523175:OMZ523228 OMZ588711:OMZ588764 OMZ654247:OMZ654300 OMZ719783:OMZ719836 OMZ785319:OMZ785372 OMZ850855:OMZ850908 OMZ916391:OMZ916444 OMZ981927:OMZ981980 OMZ1047463:OMZ1047516 OWV64423:OWV64476 OWV129959:OWV130012 OWV195495:OWV195548 OWV261031:OWV261084 OWV326567:OWV326620 OWV392103:OWV392156 OWV457639:OWV457692 OWV523175:OWV523228 OWV588711:OWV588764 OWV654247:OWV654300 OWV719783:OWV719836 OWV785319:OWV785372 OWV850855:OWV850908 OWV916391:OWV916444 OWV981927:OWV981980 OWV1047463:OWV1047516 PGR64423:PGR64476 PGR129959:PGR130012 PGR195495:PGR195548 PGR261031:PGR261084 PGR326567:PGR326620 PGR392103:PGR392156 PGR457639:PGR457692 PGR523175:PGR523228 PGR588711:PGR588764 PGR654247:PGR654300 PGR719783:PGR719836 PGR785319:PGR785372 PGR850855:PGR850908 PGR916391:PGR916444 PGR981927:PGR981980 PGR1047463:PGR1047516 PQN64423:PQN64476 PQN129959:PQN130012 PQN195495:PQN195548 PQN261031:PQN261084 PQN326567:PQN326620 PQN392103:PQN392156 PQN457639:PQN457692 PQN523175:PQN523228 PQN588711:PQN588764 PQN654247:PQN654300 PQN719783:PQN719836 PQN785319:PQN785372 PQN850855:PQN850908 PQN916391:PQN916444 PQN981927:PQN981980 PQN1047463:PQN1047516 QAJ64423:QAJ64476 QAJ129959:QAJ130012 QAJ195495:QAJ195548 QAJ261031:QAJ261084 QAJ326567:QAJ326620 QAJ392103:QAJ392156 QAJ457639:QAJ457692 QAJ523175:QAJ523228 QAJ588711:QAJ588764 QAJ654247:QAJ654300 QAJ719783:QAJ719836 QAJ785319:QAJ785372 QAJ850855:QAJ850908 QAJ916391:QAJ916444 QAJ981927:QAJ981980 QAJ1047463:QAJ1047516 QKF64423:QKF64476 QKF129959:QKF130012 QKF195495:QKF195548 QKF261031:QKF261084 QKF326567:QKF326620 QKF392103:QKF392156 QKF457639:QKF457692 QKF523175:QKF523228 QKF588711:QKF588764 QKF654247:QKF654300 QKF719783:QKF719836 QKF785319:QKF785372 QKF850855:QKF850908 QKF916391:QKF916444 QKF981927:QKF981980 QKF1047463:QKF1047516 QUB64423:QUB64476 QUB129959:QUB130012 QUB195495:QUB195548 QUB261031:QUB261084 QUB326567:QUB326620 QUB392103:QUB392156 QUB457639:QUB457692 QUB523175:QUB523228 QUB588711:QUB588764 QUB654247:QUB654300 QUB719783:QUB719836 QUB785319:QUB785372 QUB850855:QUB850908 QUB916391:QUB916444 QUB981927:QUB981980 QUB1047463:QUB1047516 RDX64423:RDX64476 RDX129959:RDX130012 RDX195495:RDX195548 RDX261031:RDX261084 RDX326567:RDX326620 RDX392103:RDX392156 RDX457639:RDX457692 RDX523175:RDX523228 RDX588711:RDX588764 RDX654247:RDX654300 RDX719783:RDX719836 RDX785319:RDX785372 RDX850855:RDX850908 RDX916391:RDX916444 RDX981927:RDX981980 RDX1047463:RDX1047516 RNT64423:RNT64476 RNT129959:RNT130012 RNT195495:RNT195548 RNT261031:RNT261084 RNT326567:RNT326620 RNT392103:RNT392156 RNT457639:RNT457692 RNT523175:RNT523228 RNT588711:RNT588764 RNT654247:RNT654300 RNT719783:RNT719836 RNT785319:RNT785372 RNT850855:RNT850908 RNT916391:RNT916444 RNT981927:RNT981980 RNT1047463:RNT1047516 RXP64423:RXP64476 RXP129959:RXP130012 RXP195495:RXP195548 RXP261031:RXP261084 RXP326567:RXP326620 RXP392103:RXP392156 RXP457639:RXP457692 RXP523175:RXP523228 RXP588711:RXP588764 RXP654247:RXP654300 RXP719783:RXP719836 RXP785319:RXP785372 RXP850855:RXP850908 RXP916391:RXP916444 RXP981927:RXP981980 RXP1047463:RXP1047516 SHL64423:SHL64476 SHL129959:SHL130012 SHL195495:SHL195548 SHL261031:SHL261084 SHL326567:SHL326620 SHL392103:SHL392156 SHL457639:SHL457692 SHL523175:SHL523228 SHL588711:SHL588764 SHL654247:SHL654300 SHL719783:SHL719836 SHL785319:SHL785372 SHL850855:SHL850908 SHL916391:SHL916444 SHL981927:SHL981980 SHL1047463:SHL1047516 SRH64423:SRH64476 SRH129959:SRH130012 SRH195495:SRH195548 SRH261031:SRH261084 SRH326567:SRH326620 SRH392103:SRH392156 SRH457639:SRH457692 SRH523175:SRH523228 SRH588711:SRH588764 SRH654247:SRH654300 SRH719783:SRH719836 SRH785319:SRH785372 SRH850855:SRH850908 SRH916391:SRH916444 SRH981927:SRH981980 SRH1047463:SRH1047516 TBD64423:TBD64476 TBD129959:TBD130012 TBD195495:TBD195548 TBD261031:TBD261084 TBD326567:TBD326620 TBD392103:TBD392156 TBD457639:TBD457692 TBD523175:TBD523228 TBD588711:TBD588764 TBD654247:TBD654300 TBD719783:TBD719836 TBD785319:TBD785372 TBD850855:TBD850908 TBD916391:TBD916444 TBD981927:TBD981980 TBD1047463:TBD1047516 TKZ64423:TKZ64476 TKZ129959:TKZ130012 TKZ195495:TKZ195548 TKZ261031:TKZ261084 TKZ326567:TKZ326620 TKZ392103:TKZ392156 TKZ457639:TKZ457692 TKZ523175:TKZ523228 TKZ588711:TKZ588764 TKZ654247:TKZ654300 TKZ719783:TKZ719836 TKZ785319:TKZ785372 TKZ850855:TKZ850908 TKZ916391:TKZ916444 TKZ981927:TKZ981980 TKZ1047463:TKZ1047516 TUV64423:TUV64476 TUV129959:TUV130012 TUV195495:TUV195548 TUV261031:TUV261084 TUV326567:TUV326620 TUV392103:TUV392156 TUV457639:TUV457692 TUV523175:TUV523228 TUV588711:TUV588764 TUV654247:TUV654300 TUV719783:TUV719836 TUV785319:TUV785372 TUV850855:TUV850908 TUV916391:TUV916444 TUV981927:TUV981980 TUV1047463:TUV1047516 UER64423:UER64476 UER129959:UER130012 UER195495:UER195548 UER261031:UER261084 UER326567:UER326620 UER392103:UER392156 UER457639:UER457692 UER523175:UER523228 UER588711:UER588764 UER654247:UER654300 UER719783:UER719836 UER785319:UER785372 UER850855:UER850908 UER916391:UER916444 UER981927:UER981980 UER1047463:UER1047516 UON64423:UON64476 UON129959:UON130012 UON195495:UON195548 UON261031:UON261084 UON326567:UON326620 UON392103:UON392156 UON457639:UON457692 UON523175:UON523228 UON588711:UON588764 UON654247:UON654300 UON719783:UON719836 UON785319:UON785372 UON850855:UON850908 UON916391:UON916444 UON981927:UON981980 UON1047463:UON1047516 UYJ64423:UYJ64476 UYJ129959:UYJ130012 UYJ195495:UYJ195548 UYJ261031:UYJ261084 UYJ326567:UYJ326620 UYJ392103:UYJ392156 UYJ457639:UYJ457692 UYJ523175:UYJ523228 UYJ588711:UYJ588764 UYJ654247:UYJ654300 UYJ719783:UYJ719836 UYJ785319:UYJ785372 UYJ850855:UYJ850908 UYJ916391:UYJ916444 UYJ981927:UYJ981980 UYJ1047463:UYJ1047516 VIF64423:VIF64476 VIF129959:VIF130012 VIF195495:VIF195548 VIF261031:VIF261084 VIF326567:VIF326620 VIF392103:VIF392156 VIF457639:VIF457692 VIF523175:VIF523228 VIF588711:VIF588764 VIF654247:VIF654300 VIF719783:VIF719836 VIF785319:VIF785372 VIF850855:VIF850908 VIF916391:VIF916444 VIF981927:VIF981980 VIF1047463:VIF1047516 VSB64423:VSB64476 VSB129959:VSB130012 VSB195495:VSB195548 VSB261031:VSB261084 VSB326567:VSB326620 VSB392103:VSB392156 VSB457639:VSB457692 VSB523175:VSB523228 VSB588711:VSB588764 VSB654247:VSB654300 VSB719783:VSB719836 VSB785319:VSB785372 VSB850855:VSB850908 VSB916391:VSB916444 VSB981927:VSB981980 VSB1047463:VSB1047516 WBX64423:WBX64476 WBX129959:WBX130012 WBX195495:WBX195548 WBX261031:WBX261084 WBX326567:WBX326620 WBX392103:WBX392156 WBX457639:WBX457692 WBX523175:WBX523228 WBX588711:WBX588764 WBX654247:WBX654300 WBX719783:WBX719836 WBX785319:WBX785372 WBX850855:WBX850908 WBX916391:WBX916444 WBX981927:WBX981980 WBX1047463:WBX1047516 WLT64423:WLT64476 WLT129959:WLT130012 WLT195495:WLT195548 WLT261031:WLT261084 WLT326567:WLT326620 WLT392103:WLT392156 WLT457639:WLT457692 WLT523175:WLT523228 WLT588711:WLT588764 WLT654247:WLT654300 WLT719783:WLT719836 WLT785319:WLT785372 WLT850855:WLT850908 WLT916391:WLT916444 WLT981927:WLT981980 WLT1047463:WLT1047516 WVP64423:WVP64476 WVP129959:WVP130012 WVP195495:WVP195548 WVP261031:WVP261084 WVP326567:WVP326620 WVP392103:WVP392156 WVP457639:WVP457692 WVP523175:WVP523228 WVP588711:WVP588764 WVP654247:WVP654300 WVP719783:WVP719836 WVP785319:WVP785372 WVP850855:WVP850908 WVP916391:WVP916444 WVP981927:WVP981980 WVP1047463:WVP1047516" xr:uid="{19E13600-CC96-45BF-A89D-4867E86BB305}">
      <formula1>$AL$5:$AL$12</formula1>
    </dataValidation>
    <dataValidation type="list" allowBlank="1" showInputMessage="1" showErrorMessage="1" sqref="H2:H500 H65538:H66036 H131074:H131572 H196610:H197108 H262146:H262644 H327682:H328180 H393218:H393716 H458754:H459252 H524290:H524788 H589826:H590324 H655362:H655860 H720898:H721396 H786434:H786932 H851970:H852468 H917506:H918004 H983042:H983540 JD2:JD500 JD65538:JD66036 JD131074:JD131572 JD196610:JD197108 JD262146:JD262644 JD327682:JD328180 JD393218:JD393716 JD458754:JD459252 JD524290:JD524788 JD589826:JD590324 JD655362:JD655860 JD720898:JD721396 JD786434:JD786932 JD851970:JD852468 JD917506:JD918004 JD983042:JD983540 SZ2:SZ500 SZ65538:SZ66036 SZ131074:SZ131572 SZ196610:SZ197108 SZ262146:SZ262644 SZ327682:SZ328180 SZ393218:SZ393716 SZ458754:SZ459252 SZ524290:SZ524788 SZ589826:SZ590324 SZ655362:SZ655860 SZ720898:SZ721396 SZ786434:SZ786932 SZ851970:SZ852468 SZ917506:SZ918004 SZ983042:SZ983540 ACV2:ACV500 ACV65538:ACV66036 ACV131074:ACV131572 ACV196610:ACV197108 ACV262146:ACV262644 ACV327682:ACV328180 ACV393218:ACV393716 ACV458754:ACV459252 ACV524290:ACV524788 ACV589826:ACV590324 ACV655362:ACV655860 ACV720898:ACV721396 ACV786434:ACV786932 ACV851970:ACV852468 ACV917506:ACV918004 ACV983042:ACV983540 AMR2:AMR500 AMR65538:AMR66036 AMR131074:AMR131572 AMR196610:AMR197108 AMR262146:AMR262644 AMR327682:AMR328180 AMR393218:AMR393716 AMR458754:AMR459252 AMR524290:AMR524788 AMR589826:AMR590324 AMR655362:AMR655860 AMR720898:AMR721396 AMR786434:AMR786932 AMR851970:AMR852468 AMR917506:AMR918004 AMR983042:AMR983540 AWN2:AWN500 AWN65538:AWN66036 AWN131074:AWN131572 AWN196610:AWN197108 AWN262146:AWN262644 AWN327682:AWN328180 AWN393218:AWN393716 AWN458754:AWN459252 AWN524290:AWN524788 AWN589826:AWN590324 AWN655362:AWN655860 AWN720898:AWN721396 AWN786434:AWN786932 AWN851970:AWN852468 AWN917506:AWN918004 AWN983042:AWN983540 BGJ2:BGJ500 BGJ65538:BGJ66036 BGJ131074:BGJ131572 BGJ196610:BGJ197108 BGJ262146:BGJ262644 BGJ327682:BGJ328180 BGJ393218:BGJ393716 BGJ458754:BGJ459252 BGJ524290:BGJ524788 BGJ589826:BGJ590324 BGJ655362:BGJ655860 BGJ720898:BGJ721396 BGJ786434:BGJ786932 BGJ851970:BGJ852468 BGJ917506:BGJ918004 BGJ983042:BGJ983540 BQF2:BQF500 BQF65538:BQF66036 BQF131074:BQF131572 BQF196610:BQF197108 BQF262146:BQF262644 BQF327682:BQF328180 BQF393218:BQF393716 BQF458754:BQF459252 BQF524290:BQF524788 BQF589826:BQF590324 BQF655362:BQF655860 BQF720898:BQF721396 BQF786434:BQF786932 BQF851970:BQF852468 BQF917506:BQF918004 BQF983042:BQF983540 CAB2:CAB500 CAB65538:CAB66036 CAB131074:CAB131572 CAB196610:CAB197108 CAB262146:CAB262644 CAB327682:CAB328180 CAB393218:CAB393716 CAB458754:CAB459252 CAB524290:CAB524788 CAB589826:CAB590324 CAB655362:CAB655860 CAB720898:CAB721396 CAB786434:CAB786932 CAB851970:CAB852468 CAB917506:CAB918004 CAB983042:CAB983540 CJX2:CJX500 CJX65538:CJX66036 CJX131074:CJX131572 CJX196610:CJX197108 CJX262146:CJX262644 CJX327682:CJX328180 CJX393218:CJX393716 CJX458754:CJX459252 CJX524290:CJX524788 CJX589826:CJX590324 CJX655362:CJX655860 CJX720898:CJX721396 CJX786434:CJX786932 CJX851970:CJX852468 CJX917506:CJX918004 CJX983042:CJX983540 CTT2:CTT500 CTT65538:CTT66036 CTT131074:CTT131572 CTT196610:CTT197108 CTT262146:CTT262644 CTT327682:CTT328180 CTT393218:CTT393716 CTT458754:CTT459252 CTT524290:CTT524788 CTT589826:CTT590324 CTT655362:CTT655860 CTT720898:CTT721396 CTT786434:CTT786932 CTT851970:CTT852468 CTT917506:CTT918004 CTT983042:CTT983540 DDP2:DDP500 DDP65538:DDP66036 DDP131074:DDP131572 DDP196610:DDP197108 DDP262146:DDP262644 DDP327682:DDP328180 DDP393218:DDP393716 DDP458754:DDP459252 DDP524290:DDP524788 DDP589826:DDP590324 DDP655362:DDP655860 DDP720898:DDP721396 DDP786434:DDP786932 DDP851970:DDP852468 DDP917506:DDP918004 DDP983042:DDP983540 DNL2:DNL500 DNL65538:DNL66036 DNL131074:DNL131572 DNL196610:DNL197108 DNL262146:DNL262644 DNL327682:DNL328180 DNL393218:DNL393716 DNL458754:DNL459252 DNL524290:DNL524788 DNL589826:DNL590324 DNL655362:DNL655860 DNL720898:DNL721396 DNL786434:DNL786932 DNL851970:DNL852468 DNL917506:DNL918004 DNL983042:DNL983540 DXH2:DXH500 DXH65538:DXH66036 DXH131074:DXH131572 DXH196610:DXH197108 DXH262146:DXH262644 DXH327682:DXH328180 DXH393218:DXH393716 DXH458754:DXH459252 DXH524290:DXH524788 DXH589826:DXH590324 DXH655362:DXH655860 DXH720898:DXH721396 DXH786434:DXH786932 DXH851970:DXH852468 DXH917506:DXH918004 DXH983042:DXH983540 EHD2:EHD500 EHD65538:EHD66036 EHD131074:EHD131572 EHD196610:EHD197108 EHD262146:EHD262644 EHD327682:EHD328180 EHD393218:EHD393716 EHD458754:EHD459252 EHD524290:EHD524788 EHD589826:EHD590324 EHD655362:EHD655860 EHD720898:EHD721396 EHD786434:EHD786932 EHD851970:EHD852468 EHD917506:EHD918004 EHD983042:EHD983540 EQZ2:EQZ500 EQZ65538:EQZ66036 EQZ131074:EQZ131572 EQZ196610:EQZ197108 EQZ262146:EQZ262644 EQZ327682:EQZ328180 EQZ393218:EQZ393716 EQZ458754:EQZ459252 EQZ524290:EQZ524788 EQZ589826:EQZ590324 EQZ655362:EQZ655860 EQZ720898:EQZ721396 EQZ786434:EQZ786932 EQZ851970:EQZ852468 EQZ917506:EQZ918004 EQZ983042:EQZ983540 FAV2:FAV500 FAV65538:FAV66036 FAV131074:FAV131572 FAV196610:FAV197108 FAV262146:FAV262644 FAV327682:FAV328180 FAV393218:FAV393716 FAV458754:FAV459252 FAV524290:FAV524788 FAV589826:FAV590324 FAV655362:FAV655860 FAV720898:FAV721396 FAV786434:FAV786932 FAV851970:FAV852468 FAV917506:FAV918004 FAV983042:FAV983540 FKR2:FKR500 FKR65538:FKR66036 FKR131074:FKR131572 FKR196610:FKR197108 FKR262146:FKR262644 FKR327682:FKR328180 FKR393218:FKR393716 FKR458754:FKR459252 FKR524290:FKR524788 FKR589826:FKR590324 FKR655362:FKR655860 FKR720898:FKR721396 FKR786434:FKR786932 FKR851970:FKR852468 FKR917506:FKR918004 FKR983042:FKR983540 FUN2:FUN500 FUN65538:FUN66036 FUN131074:FUN131572 FUN196610:FUN197108 FUN262146:FUN262644 FUN327682:FUN328180 FUN393218:FUN393716 FUN458754:FUN459252 FUN524290:FUN524788 FUN589826:FUN590324 FUN655362:FUN655860 FUN720898:FUN721396 FUN786434:FUN786932 FUN851970:FUN852468 FUN917506:FUN918004 FUN983042:FUN983540 GEJ2:GEJ500 GEJ65538:GEJ66036 GEJ131074:GEJ131572 GEJ196610:GEJ197108 GEJ262146:GEJ262644 GEJ327682:GEJ328180 GEJ393218:GEJ393716 GEJ458754:GEJ459252 GEJ524290:GEJ524788 GEJ589826:GEJ590324 GEJ655362:GEJ655860 GEJ720898:GEJ721396 GEJ786434:GEJ786932 GEJ851970:GEJ852468 GEJ917506:GEJ918004 GEJ983042:GEJ983540 GOF2:GOF500 GOF65538:GOF66036 GOF131074:GOF131572 GOF196610:GOF197108 GOF262146:GOF262644 GOF327682:GOF328180 GOF393218:GOF393716 GOF458754:GOF459252 GOF524290:GOF524788 GOF589826:GOF590324 GOF655362:GOF655860 GOF720898:GOF721396 GOF786434:GOF786932 GOF851970:GOF852468 GOF917506:GOF918004 GOF983042:GOF983540 GYB2:GYB500 GYB65538:GYB66036 GYB131074:GYB131572 GYB196610:GYB197108 GYB262146:GYB262644 GYB327682:GYB328180 GYB393218:GYB393716 GYB458754:GYB459252 GYB524290:GYB524788 GYB589826:GYB590324 GYB655362:GYB655860 GYB720898:GYB721396 GYB786434:GYB786932 GYB851970:GYB852468 GYB917506:GYB918004 GYB983042:GYB983540 HHX2:HHX500 HHX65538:HHX66036 HHX131074:HHX131572 HHX196610:HHX197108 HHX262146:HHX262644 HHX327682:HHX328180 HHX393218:HHX393716 HHX458754:HHX459252 HHX524290:HHX524788 HHX589826:HHX590324 HHX655362:HHX655860 HHX720898:HHX721396 HHX786434:HHX786932 HHX851970:HHX852468 HHX917506:HHX918004 HHX983042:HHX983540 HRT2:HRT500 HRT65538:HRT66036 HRT131074:HRT131572 HRT196610:HRT197108 HRT262146:HRT262644 HRT327682:HRT328180 HRT393218:HRT393716 HRT458754:HRT459252 HRT524290:HRT524788 HRT589826:HRT590324 HRT655362:HRT655860 HRT720898:HRT721396 HRT786434:HRT786932 HRT851970:HRT852468 HRT917506:HRT918004 HRT983042:HRT983540 IBP2:IBP500 IBP65538:IBP66036 IBP131074:IBP131572 IBP196610:IBP197108 IBP262146:IBP262644 IBP327682:IBP328180 IBP393218:IBP393716 IBP458754:IBP459252 IBP524290:IBP524788 IBP589826:IBP590324 IBP655362:IBP655860 IBP720898:IBP721396 IBP786434:IBP786932 IBP851970:IBP852468 IBP917506:IBP918004 IBP983042:IBP983540 ILL2:ILL500 ILL65538:ILL66036 ILL131074:ILL131572 ILL196610:ILL197108 ILL262146:ILL262644 ILL327682:ILL328180 ILL393218:ILL393716 ILL458754:ILL459252 ILL524290:ILL524788 ILL589826:ILL590324 ILL655362:ILL655860 ILL720898:ILL721396 ILL786434:ILL786932 ILL851970:ILL852468 ILL917506:ILL918004 ILL983042:ILL983540 IVH2:IVH500 IVH65538:IVH66036 IVH131074:IVH131572 IVH196610:IVH197108 IVH262146:IVH262644 IVH327682:IVH328180 IVH393218:IVH393716 IVH458754:IVH459252 IVH524290:IVH524788 IVH589826:IVH590324 IVH655362:IVH655860 IVH720898:IVH721396 IVH786434:IVH786932 IVH851970:IVH852468 IVH917506:IVH918004 IVH983042:IVH983540 JFD2:JFD500 JFD65538:JFD66036 JFD131074:JFD131572 JFD196610:JFD197108 JFD262146:JFD262644 JFD327682:JFD328180 JFD393218:JFD393716 JFD458754:JFD459252 JFD524290:JFD524788 JFD589826:JFD590324 JFD655362:JFD655860 JFD720898:JFD721396 JFD786434:JFD786932 JFD851970:JFD852468 JFD917506:JFD918004 JFD983042:JFD983540 JOZ2:JOZ500 JOZ65538:JOZ66036 JOZ131074:JOZ131572 JOZ196610:JOZ197108 JOZ262146:JOZ262644 JOZ327682:JOZ328180 JOZ393218:JOZ393716 JOZ458754:JOZ459252 JOZ524290:JOZ524788 JOZ589826:JOZ590324 JOZ655362:JOZ655860 JOZ720898:JOZ721396 JOZ786434:JOZ786932 JOZ851970:JOZ852468 JOZ917506:JOZ918004 JOZ983042:JOZ983540 JYV2:JYV500 JYV65538:JYV66036 JYV131074:JYV131572 JYV196610:JYV197108 JYV262146:JYV262644 JYV327682:JYV328180 JYV393218:JYV393716 JYV458754:JYV459252 JYV524290:JYV524788 JYV589826:JYV590324 JYV655362:JYV655860 JYV720898:JYV721396 JYV786434:JYV786932 JYV851970:JYV852468 JYV917506:JYV918004 JYV983042:JYV983540 KIR2:KIR500 KIR65538:KIR66036 KIR131074:KIR131572 KIR196610:KIR197108 KIR262146:KIR262644 KIR327682:KIR328180 KIR393218:KIR393716 KIR458754:KIR459252 KIR524290:KIR524788 KIR589826:KIR590324 KIR655362:KIR655860 KIR720898:KIR721396 KIR786434:KIR786932 KIR851970:KIR852468 KIR917506:KIR918004 KIR983042:KIR983540 KSN2:KSN500 KSN65538:KSN66036 KSN131074:KSN131572 KSN196610:KSN197108 KSN262146:KSN262644 KSN327682:KSN328180 KSN393218:KSN393716 KSN458754:KSN459252 KSN524290:KSN524788 KSN589826:KSN590324 KSN655362:KSN655860 KSN720898:KSN721396 KSN786434:KSN786932 KSN851970:KSN852468 KSN917506:KSN918004 KSN983042:KSN983540 LCJ2:LCJ500 LCJ65538:LCJ66036 LCJ131074:LCJ131572 LCJ196610:LCJ197108 LCJ262146:LCJ262644 LCJ327682:LCJ328180 LCJ393218:LCJ393716 LCJ458754:LCJ459252 LCJ524290:LCJ524788 LCJ589826:LCJ590324 LCJ655362:LCJ655860 LCJ720898:LCJ721396 LCJ786434:LCJ786932 LCJ851970:LCJ852468 LCJ917506:LCJ918004 LCJ983042:LCJ983540 LMF2:LMF500 LMF65538:LMF66036 LMF131074:LMF131572 LMF196610:LMF197108 LMF262146:LMF262644 LMF327682:LMF328180 LMF393218:LMF393716 LMF458754:LMF459252 LMF524290:LMF524788 LMF589826:LMF590324 LMF655362:LMF655860 LMF720898:LMF721396 LMF786434:LMF786932 LMF851970:LMF852468 LMF917506:LMF918004 LMF983042:LMF983540 LWB2:LWB500 LWB65538:LWB66036 LWB131074:LWB131572 LWB196610:LWB197108 LWB262146:LWB262644 LWB327682:LWB328180 LWB393218:LWB393716 LWB458754:LWB459252 LWB524290:LWB524788 LWB589826:LWB590324 LWB655362:LWB655860 LWB720898:LWB721396 LWB786434:LWB786932 LWB851970:LWB852468 LWB917506:LWB918004 LWB983042:LWB983540 MFX2:MFX500 MFX65538:MFX66036 MFX131074:MFX131572 MFX196610:MFX197108 MFX262146:MFX262644 MFX327682:MFX328180 MFX393218:MFX393716 MFX458754:MFX459252 MFX524290:MFX524788 MFX589826:MFX590324 MFX655362:MFX655860 MFX720898:MFX721396 MFX786434:MFX786932 MFX851970:MFX852468 MFX917506:MFX918004 MFX983042:MFX983540 MPT2:MPT500 MPT65538:MPT66036 MPT131074:MPT131572 MPT196610:MPT197108 MPT262146:MPT262644 MPT327682:MPT328180 MPT393218:MPT393716 MPT458754:MPT459252 MPT524290:MPT524788 MPT589826:MPT590324 MPT655362:MPT655860 MPT720898:MPT721396 MPT786434:MPT786932 MPT851970:MPT852468 MPT917506:MPT918004 MPT983042:MPT983540 MZP2:MZP500 MZP65538:MZP66036 MZP131074:MZP131572 MZP196610:MZP197108 MZP262146:MZP262644 MZP327682:MZP328180 MZP393218:MZP393716 MZP458754:MZP459252 MZP524290:MZP524788 MZP589826:MZP590324 MZP655362:MZP655860 MZP720898:MZP721396 MZP786434:MZP786932 MZP851970:MZP852468 MZP917506:MZP918004 MZP983042:MZP983540 NJL2:NJL500 NJL65538:NJL66036 NJL131074:NJL131572 NJL196610:NJL197108 NJL262146:NJL262644 NJL327682:NJL328180 NJL393218:NJL393716 NJL458754:NJL459252 NJL524290:NJL524788 NJL589826:NJL590324 NJL655362:NJL655860 NJL720898:NJL721396 NJL786434:NJL786932 NJL851970:NJL852468 NJL917506:NJL918004 NJL983042:NJL983540 NTH2:NTH500 NTH65538:NTH66036 NTH131074:NTH131572 NTH196610:NTH197108 NTH262146:NTH262644 NTH327682:NTH328180 NTH393218:NTH393716 NTH458754:NTH459252 NTH524290:NTH524788 NTH589826:NTH590324 NTH655362:NTH655860 NTH720898:NTH721396 NTH786434:NTH786932 NTH851970:NTH852468 NTH917506:NTH918004 NTH983042:NTH983540 ODD2:ODD500 ODD65538:ODD66036 ODD131074:ODD131572 ODD196610:ODD197108 ODD262146:ODD262644 ODD327682:ODD328180 ODD393218:ODD393716 ODD458754:ODD459252 ODD524290:ODD524788 ODD589826:ODD590324 ODD655362:ODD655860 ODD720898:ODD721396 ODD786434:ODD786932 ODD851970:ODD852468 ODD917506:ODD918004 ODD983042:ODD983540 OMZ2:OMZ500 OMZ65538:OMZ66036 OMZ131074:OMZ131572 OMZ196610:OMZ197108 OMZ262146:OMZ262644 OMZ327682:OMZ328180 OMZ393218:OMZ393716 OMZ458754:OMZ459252 OMZ524290:OMZ524788 OMZ589826:OMZ590324 OMZ655362:OMZ655860 OMZ720898:OMZ721396 OMZ786434:OMZ786932 OMZ851970:OMZ852468 OMZ917506:OMZ918004 OMZ983042:OMZ983540 OWV2:OWV500 OWV65538:OWV66036 OWV131074:OWV131572 OWV196610:OWV197108 OWV262146:OWV262644 OWV327682:OWV328180 OWV393218:OWV393716 OWV458754:OWV459252 OWV524290:OWV524788 OWV589826:OWV590324 OWV655362:OWV655860 OWV720898:OWV721396 OWV786434:OWV786932 OWV851970:OWV852468 OWV917506:OWV918004 OWV983042:OWV983540 PGR2:PGR500 PGR65538:PGR66036 PGR131074:PGR131572 PGR196610:PGR197108 PGR262146:PGR262644 PGR327682:PGR328180 PGR393218:PGR393716 PGR458754:PGR459252 PGR524290:PGR524788 PGR589826:PGR590324 PGR655362:PGR655860 PGR720898:PGR721396 PGR786434:PGR786932 PGR851970:PGR852468 PGR917506:PGR918004 PGR983042:PGR983540 PQN2:PQN500 PQN65538:PQN66036 PQN131074:PQN131572 PQN196610:PQN197108 PQN262146:PQN262644 PQN327682:PQN328180 PQN393218:PQN393716 PQN458754:PQN459252 PQN524290:PQN524788 PQN589826:PQN590324 PQN655362:PQN655860 PQN720898:PQN721396 PQN786434:PQN786932 PQN851970:PQN852468 PQN917506:PQN918004 PQN983042:PQN983540 QAJ2:QAJ500 QAJ65538:QAJ66036 QAJ131074:QAJ131572 QAJ196610:QAJ197108 QAJ262146:QAJ262644 QAJ327682:QAJ328180 QAJ393218:QAJ393716 QAJ458754:QAJ459252 QAJ524290:QAJ524788 QAJ589826:QAJ590324 QAJ655362:QAJ655860 QAJ720898:QAJ721396 QAJ786434:QAJ786932 QAJ851970:QAJ852468 QAJ917506:QAJ918004 QAJ983042:QAJ983540 QKF2:QKF500 QKF65538:QKF66036 QKF131074:QKF131572 QKF196610:QKF197108 QKF262146:QKF262644 QKF327682:QKF328180 QKF393218:QKF393716 QKF458754:QKF459252 QKF524290:QKF524788 QKF589826:QKF590324 QKF655362:QKF655860 QKF720898:QKF721396 QKF786434:QKF786932 QKF851970:QKF852468 QKF917506:QKF918004 QKF983042:QKF983540 QUB2:QUB500 QUB65538:QUB66036 QUB131074:QUB131572 QUB196610:QUB197108 QUB262146:QUB262644 QUB327682:QUB328180 QUB393218:QUB393716 QUB458754:QUB459252 QUB524290:QUB524788 QUB589826:QUB590324 QUB655362:QUB655860 QUB720898:QUB721396 QUB786434:QUB786932 QUB851970:QUB852468 QUB917506:QUB918004 QUB983042:QUB983540 RDX2:RDX500 RDX65538:RDX66036 RDX131074:RDX131572 RDX196610:RDX197108 RDX262146:RDX262644 RDX327682:RDX328180 RDX393218:RDX393716 RDX458754:RDX459252 RDX524290:RDX524788 RDX589826:RDX590324 RDX655362:RDX655860 RDX720898:RDX721396 RDX786434:RDX786932 RDX851970:RDX852468 RDX917506:RDX918004 RDX983042:RDX983540 RNT2:RNT500 RNT65538:RNT66036 RNT131074:RNT131572 RNT196610:RNT197108 RNT262146:RNT262644 RNT327682:RNT328180 RNT393218:RNT393716 RNT458754:RNT459252 RNT524290:RNT524788 RNT589826:RNT590324 RNT655362:RNT655860 RNT720898:RNT721396 RNT786434:RNT786932 RNT851970:RNT852468 RNT917506:RNT918004 RNT983042:RNT983540 RXP2:RXP500 RXP65538:RXP66036 RXP131074:RXP131572 RXP196610:RXP197108 RXP262146:RXP262644 RXP327682:RXP328180 RXP393218:RXP393716 RXP458754:RXP459252 RXP524290:RXP524788 RXP589826:RXP590324 RXP655362:RXP655860 RXP720898:RXP721396 RXP786434:RXP786932 RXP851970:RXP852468 RXP917506:RXP918004 RXP983042:RXP983540 SHL2:SHL500 SHL65538:SHL66036 SHL131074:SHL131572 SHL196610:SHL197108 SHL262146:SHL262644 SHL327682:SHL328180 SHL393218:SHL393716 SHL458754:SHL459252 SHL524290:SHL524788 SHL589826:SHL590324 SHL655362:SHL655860 SHL720898:SHL721396 SHL786434:SHL786932 SHL851970:SHL852468 SHL917506:SHL918004 SHL983042:SHL983540 SRH2:SRH500 SRH65538:SRH66036 SRH131074:SRH131572 SRH196610:SRH197108 SRH262146:SRH262644 SRH327682:SRH328180 SRH393218:SRH393716 SRH458754:SRH459252 SRH524290:SRH524788 SRH589826:SRH590324 SRH655362:SRH655860 SRH720898:SRH721396 SRH786434:SRH786932 SRH851970:SRH852468 SRH917506:SRH918004 SRH983042:SRH983540 TBD2:TBD500 TBD65538:TBD66036 TBD131074:TBD131572 TBD196610:TBD197108 TBD262146:TBD262644 TBD327682:TBD328180 TBD393218:TBD393716 TBD458754:TBD459252 TBD524290:TBD524788 TBD589826:TBD590324 TBD655362:TBD655860 TBD720898:TBD721396 TBD786434:TBD786932 TBD851970:TBD852468 TBD917506:TBD918004 TBD983042:TBD983540 TKZ2:TKZ500 TKZ65538:TKZ66036 TKZ131074:TKZ131572 TKZ196610:TKZ197108 TKZ262146:TKZ262644 TKZ327682:TKZ328180 TKZ393218:TKZ393716 TKZ458754:TKZ459252 TKZ524290:TKZ524788 TKZ589826:TKZ590324 TKZ655362:TKZ655860 TKZ720898:TKZ721396 TKZ786434:TKZ786932 TKZ851970:TKZ852468 TKZ917506:TKZ918004 TKZ983042:TKZ983540 TUV2:TUV500 TUV65538:TUV66036 TUV131074:TUV131572 TUV196610:TUV197108 TUV262146:TUV262644 TUV327682:TUV328180 TUV393218:TUV393716 TUV458754:TUV459252 TUV524290:TUV524788 TUV589826:TUV590324 TUV655362:TUV655860 TUV720898:TUV721396 TUV786434:TUV786932 TUV851970:TUV852468 TUV917506:TUV918004 TUV983042:TUV983540 UER2:UER500 UER65538:UER66036 UER131074:UER131572 UER196610:UER197108 UER262146:UER262644 UER327682:UER328180 UER393218:UER393716 UER458754:UER459252 UER524290:UER524788 UER589826:UER590324 UER655362:UER655860 UER720898:UER721396 UER786434:UER786932 UER851970:UER852468 UER917506:UER918004 UER983042:UER983540 UON2:UON500 UON65538:UON66036 UON131074:UON131572 UON196610:UON197108 UON262146:UON262644 UON327682:UON328180 UON393218:UON393716 UON458754:UON459252 UON524290:UON524788 UON589826:UON590324 UON655362:UON655860 UON720898:UON721396 UON786434:UON786932 UON851970:UON852468 UON917506:UON918004 UON983042:UON983540 UYJ2:UYJ500 UYJ65538:UYJ66036 UYJ131074:UYJ131572 UYJ196610:UYJ197108 UYJ262146:UYJ262644 UYJ327682:UYJ328180 UYJ393218:UYJ393716 UYJ458754:UYJ459252 UYJ524290:UYJ524788 UYJ589826:UYJ590324 UYJ655362:UYJ655860 UYJ720898:UYJ721396 UYJ786434:UYJ786932 UYJ851970:UYJ852468 UYJ917506:UYJ918004 UYJ983042:UYJ983540 VIF2:VIF500 VIF65538:VIF66036 VIF131074:VIF131572 VIF196610:VIF197108 VIF262146:VIF262644 VIF327682:VIF328180 VIF393218:VIF393716 VIF458754:VIF459252 VIF524290:VIF524788 VIF589826:VIF590324 VIF655362:VIF655860 VIF720898:VIF721396 VIF786434:VIF786932 VIF851970:VIF852468 VIF917506:VIF918004 VIF983042:VIF983540 VSB2:VSB500 VSB65538:VSB66036 VSB131074:VSB131572 VSB196610:VSB197108 VSB262146:VSB262644 VSB327682:VSB328180 VSB393218:VSB393716 VSB458754:VSB459252 VSB524290:VSB524788 VSB589826:VSB590324 VSB655362:VSB655860 VSB720898:VSB721396 VSB786434:VSB786932 VSB851970:VSB852468 VSB917506:VSB918004 VSB983042:VSB983540 WBX2:WBX500 WBX65538:WBX66036 WBX131074:WBX131572 WBX196610:WBX197108 WBX262146:WBX262644 WBX327682:WBX328180 WBX393218:WBX393716 WBX458754:WBX459252 WBX524290:WBX524788 WBX589826:WBX590324 WBX655362:WBX655860 WBX720898:WBX721396 WBX786434:WBX786932 WBX851970:WBX852468 WBX917506:WBX918004 WBX983042:WBX983540 WLT2:WLT500 WLT65538:WLT66036 WLT131074:WLT131572 WLT196610:WLT197108 WLT262146:WLT262644 WLT327682:WLT328180 WLT393218:WLT393716 WLT458754:WLT459252 WLT524290:WLT524788 WLT589826:WLT590324 WLT655362:WLT655860 WLT720898:WLT721396 WLT786434:WLT786932 WLT851970:WLT852468 WLT917506:WLT918004 WLT983042:WLT983540 WVP2:WVP500 WVP65538:WVP66036 WVP131074:WVP131572 WVP196610:WVP197108 WVP262146:WVP262644 WVP327682:WVP328180 WVP393218:WVP393716 WVP458754:WVP459252 WVP524290:WVP524788 WVP589826:WVP590324 WVP655362:WVP655860 WVP720898:WVP721396 WVP786434:WVP786932 WVP851970:WVP852468 WVP917506:WVP918004 WVP983042:WVP983540" xr:uid="{7ECF9542-F641-43F8-A77D-EA692652F572}">
      <formula1>$AL$2:$AL$8</formula1>
    </dataValidation>
    <dataValidation type="list" allowBlank="1" showInputMessage="1" showErrorMessage="1" sqref="G1:G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WVO1:WVO1048576" xr:uid="{F1D80D2C-CB4C-421E-905E-B2003EEBFAE7}">
      <formula1>$AJ$2:$AJ$4</formula1>
    </dataValidation>
    <dataValidation type="list" allowBlank="1" showInputMessage="1" showErrorMessage="1" sqref="F2:F65536 F65538:F131072 F131074:F196608 F196610:F262144 F262146:F327680 F327682:F393216 F393218:F458752 F458754:F524288 F524290:F589824 F589826:F655360 F655362:F720896 F720898:F786432 F786434:F851968 F851970:F917504 F917506:F983040 F983042:F1048576 JB2:JB65536 JB65538:JB131072 JB131074:JB196608 JB196610:JB262144 JB262146:JB327680 JB327682:JB393216 JB393218:JB458752 JB458754:JB524288 JB524290:JB589824 JB589826:JB655360 JB655362:JB720896 JB720898:JB786432 JB786434:JB851968 JB851970:JB917504 JB917506:JB983040 JB983042:JB1048576 SX2:SX65536 SX65538:SX131072 SX131074:SX196608 SX196610:SX262144 SX262146:SX327680 SX327682:SX393216 SX393218:SX458752 SX458754:SX524288 SX524290:SX589824 SX589826:SX655360 SX655362:SX720896 SX720898:SX786432 SX786434:SX851968 SX851970:SX917504 SX917506:SX983040 SX983042:SX1048576 ACT2:ACT65536 ACT65538:ACT131072 ACT131074:ACT196608 ACT196610:ACT262144 ACT262146:ACT327680 ACT327682:ACT393216 ACT393218:ACT458752 ACT458754:ACT524288 ACT524290:ACT589824 ACT589826:ACT655360 ACT655362:ACT720896 ACT720898:ACT786432 ACT786434:ACT851968 ACT851970:ACT917504 ACT917506:ACT983040 ACT983042:ACT1048576 AMP2:AMP65536 AMP65538:AMP131072 AMP131074:AMP196608 AMP196610:AMP262144 AMP262146:AMP327680 AMP327682:AMP393216 AMP393218:AMP458752 AMP458754:AMP524288 AMP524290:AMP589824 AMP589826:AMP655360 AMP655362:AMP720896 AMP720898:AMP786432 AMP786434:AMP851968 AMP851970:AMP917504 AMP917506:AMP983040 AMP983042:AMP1048576 AWL2:AWL65536 AWL65538:AWL131072 AWL131074:AWL196608 AWL196610:AWL262144 AWL262146:AWL327680 AWL327682:AWL393216 AWL393218:AWL458752 AWL458754:AWL524288 AWL524290:AWL589824 AWL589826:AWL655360 AWL655362:AWL720896 AWL720898:AWL786432 AWL786434:AWL851968 AWL851970:AWL917504 AWL917506:AWL983040 AWL983042:AWL1048576 BGH2:BGH65536 BGH65538:BGH131072 BGH131074:BGH196608 BGH196610:BGH262144 BGH262146:BGH327680 BGH327682:BGH393216 BGH393218:BGH458752 BGH458754:BGH524288 BGH524290:BGH589824 BGH589826:BGH655360 BGH655362:BGH720896 BGH720898:BGH786432 BGH786434:BGH851968 BGH851970:BGH917504 BGH917506:BGH983040 BGH983042:BGH1048576 BQD2:BQD65536 BQD65538:BQD131072 BQD131074:BQD196608 BQD196610:BQD262144 BQD262146:BQD327680 BQD327682:BQD393216 BQD393218:BQD458752 BQD458754:BQD524288 BQD524290:BQD589824 BQD589826:BQD655360 BQD655362:BQD720896 BQD720898:BQD786432 BQD786434:BQD851968 BQD851970:BQD917504 BQD917506:BQD983040 BQD983042:BQD1048576 BZZ2:BZZ65536 BZZ65538:BZZ131072 BZZ131074:BZZ196608 BZZ196610:BZZ262144 BZZ262146:BZZ327680 BZZ327682:BZZ393216 BZZ393218:BZZ458752 BZZ458754:BZZ524288 BZZ524290:BZZ589824 BZZ589826:BZZ655360 BZZ655362:BZZ720896 BZZ720898:BZZ786432 BZZ786434:BZZ851968 BZZ851970:BZZ917504 BZZ917506:BZZ983040 BZZ983042:BZZ1048576 CJV2:CJV65536 CJV65538:CJV131072 CJV131074:CJV196608 CJV196610:CJV262144 CJV262146:CJV327680 CJV327682:CJV393216 CJV393218:CJV458752 CJV458754:CJV524288 CJV524290:CJV589824 CJV589826:CJV655360 CJV655362:CJV720896 CJV720898:CJV786432 CJV786434:CJV851968 CJV851970:CJV917504 CJV917506:CJV983040 CJV983042:CJV1048576 CTR2:CTR65536 CTR65538:CTR131072 CTR131074:CTR196608 CTR196610:CTR262144 CTR262146:CTR327680 CTR327682:CTR393216 CTR393218:CTR458752 CTR458754:CTR524288 CTR524290:CTR589824 CTR589826:CTR655360 CTR655362:CTR720896 CTR720898:CTR786432 CTR786434:CTR851968 CTR851970:CTR917504 CTR917506:CTR983040 CTR983042:CTR1048576 DDN2:DDN65536 DDN65538:DDN131072 DDN131074:DDN196608 DDN196610:DDN262144 DDN262146:DDN327680 DDN327682:DDN393216 DDN393218:DDN458752 DDN458754:DDN524288 DDN524290:DDN589824 DDN589826:DDN655360 DDN655362:DDN720896 DDN720898:DDN786432 DDN786434:DDN851968 DDN851970:DDN917504 DDN917506:DDN983040 DDN983042:DDN1048576 DNJ2:DNJ65536 DNJ65538:DNJ131072 DNJ131074:DNJ196608 DNJ196610:DNJ262144 DNJ262146:DNJ327680 DNJ327682:DNJ393216 DNJ393218:DNJ458752 DNJ458754:DNJ524288 DNJ524290:DNJ589824 DNJ589826:DNJ655360 DNJ655362:DNJ720896 DNJ720898:DNJ786432 DNJ786434:DNJ851968 DNJ851970:DNJ917504 DNJ917506:DNJ983040 DNJ983042:DNJ1048576 DXF2:DXF65536 DXF65538:DXF131072 DXF131074:DXF196608 DXF196610:DXF262144 DXF262146:DXF327680 DXF327682:DXF393216 DXF393218:DXF458752 DXF458754:DXF524288 DXF524290:DXF589824 DXF589826:DXF655360 DXF655362:DXF720896 DXF720898:DXF786432 DXF786434:DXF851968 DXF851970:DXF917504 DXF917506:DXF983040 DXF983042:DXF1048576 EHB2:EHB65536 EHB65538:EHB131072 EHB131074:EHB196608 EHB196610:EHB262144 EHB262146:EHB327680 EHB327682:EHB393216 EHB393218:EHB458752 EHB458754:EHB524288 EHB524290:EHB589824 EHB589826:EHB655360 EHB655362:EHB720896 EHB720898:EHB786432 EHB786434:EHB851968 EHB851970:EHB917504 EHB917506:EHB983040 EHB983042:EHB1048576 EQX2:EQX65536 EQX65538:EQX131072 EQX131074:EQX196608 EQX196610:EQX262144 EQX262146:EQX327680 EQX327682:EQX393216 EQX393218:EQX458752 EQX458754:EQX524288 EQX524290:EQX589824 EQX589826:EQX655360 EQX655362:EQX720896 EQX720898:EQX786432 EQX786434:EQX851968 EQX851970:EQX917504 EQX917506:EQX983040 EQX983042:EQX1048576 FAT2:FAT65536 FAT65538:FAT131072 FAT131074:FAT196608 FAT196610:FAT262144 FAT262146:FAT327680 FAT327682:FAT393216 FAT393218:FAT458752 FAT458754:FAT524288 FAT524290:FAT589824 FAT589826:FAT655360 FAT655362:FAT720896 FAT720898:FAT786432 FAT786434:FAT851968 FAT851970:FAT917504 FAT917506:FAT983040 FAT983042:FAT1048576 FKP2:FKP65536 FKP65538:FKP131072 FKP131074:FKP196608 FKP196610:FKP262144 FKP262146:FKP327680 FKP327682:FKP393216 FKP393218:FKP458752 FKP458754:FKP524288 FKP524290:FKP589824 FKP589826:FKP655360 FKP655362:FKP720896 FKP720898:FKP786432 FKP786434:FKP851968 FKP851970:FKP917504 FKP917506:FKP983040 FKP983042:FKP1048576 FUL2:FUL65536 FUL65538:FUL131072 FUL131074:FUL196608 FUL196610:FUL262144 FUL262146:FUL327680 FUL327682:FUL393216 FUL393218:FUL458752 FUL458754:FUL524288 FUL524290:FUL589824 FUL589826:FUL655360 FUL655362:FUL720896 FUL720898:FUL786432 FUL786434:FUL851968 FUL851970:FUL917504 FUL917506:FUL983040 FUL983042:FUL1048576 GEH2:GEH65536 GEH65538:GEH131072 GEH131074:GEH196608 GEH196610:GEH262144 GEH262146:GEH327680 GEH327682:GEH393216 GEH393218:GEH458752 GEH458754:GEH524288 GEH524290:GEH589824 GEH589826:GEH655360 GEH655362:GEH720896 GEH720898:GEH786432 GEH786434:GEH851968 GEH851970:GEH917504 GEH917506:GEH983040 GEH983042:GEH1048576 GOD2:GOD65536 GOD65538:GOD131072 GOD131074:GOD196608 GOD196610:GOD262144 GOD262146:GOD327680 GOD327682:GOD393216 GOD393218:GOD458752 GOD458754:GOD524288 GOD524290:GOD589824 GOD589826:GOD655360 GOD655362:GOD720896 GOD720898:GOD786432 GOD786434:GOD851968 GOD851970:GOD917504 GOD917506:GOD983040 GOD983042:GOD1048576 GXZ2:GXZ65536 GXZ65538:GXZ131072 GXZ131074:GXZ196608 GXZ196610:GXZ262144 GXZ262146:GXZ327680 GXZ327682:GXZ393216 GXZ393218:GXZ458752 GXZ458754:GXZ524288 GXZ524290:GXZ589824 GXZ589826:GXZ655360 GXZ655362:GXZ720896 GXZ720898:GXZ786432 GXZ786434:GXZ851968 GXZ851970:GXZ917504 GXZ917506:GXZ983040 GXZ983042:GXZ1048576 HHV2:HHV65536 HHV65538:HHV131072 HHV131074:HHV196608 HHV196610:HHV262144 HHV262146:HHV327680 HHV327682:HHV393216 HHV393218:HHV458752 HHV458754:HHV524288 HHV524290:HHV589824 HHV589826:HHV655360 HHV655362:HHV720896 HHV720898:HHV786432 HHV786434:HHV851968 HHV851970:HHV917504 HHV917506:HHV983040 HHV983042:HHV1048576 HRR2:HRR65536 HRR65538:HRR131072 HRR131074:HRR196608 HRR196610:HRR262144 HRR262146:HRR327680 HRR327682:HRR393216 HRR393218:HRR458752 HRR458754:HRR524288 HRR524290:HRR589824 HRR589826:HRR655360 HRR655362:HRR720896 HRR720898:HRR786432 HRR786434:HRR851968 HRR851970:HRR917504 HRR917506:HRR983040 HRR983042:HRR1048576 IBN2:IBN65536 IBN65538:IBN131072 IBN131074:IBN196608 IBN196610:IBN262144 IBN262146:IBN327680 IBN327682:IBN393216 IBN393218:IBN458752 IBN458754:IBN524288 IBN524290:IBN589824 IBN589826:IBN655360 IBN655362:IBN720896 IBN720898:IBN786432 IBN786434:IBN851968 IBN851970:IBN917504 IBN917506:IBN983040 IBN983042:IBN1048576 ILJ2:ILJ65536 ILJ65538:ILJ131072 ILJ131074:ILJ196608 ILJ196610:ILJ262144 ILJ262146:ILJ327680 ILJ327682:ILJ393216 ILJ393218:ILJ458752 ILJ458754:ILJ524288 ILJ524290:ILJ589824 ILJ589826:ILJ655360 ILJ655362:ILJ720896 ILJ720898:ILJ786432 ILJ786434:ILJ851968 ILJ851970:ILJ917504 ILJ917506:ILJ983040 ILJ983042:ILJ1048576 IVF2:IVF65536 IVF65538:IVF131072 IVF131074:IVF196608 IVF196610:IVF262144 IVF262146:IVF327680 IVF327682:IVF393216 IVF393218:IVF458752 IVF458754:IVF524288 IVF524290:IVF589824 IVF589826:IVF655360 IVF655362:IVF720896 IVF720898:IVF786432 IVF786434:IVF851968 IVF851970:IVF917504 IVF917506:IVF983040 IVF983042:IVF1048576 JFB2:JFB65536 JFB65538:JFB131072 JFB131074:JFB196608 JFB196610:JFB262144 JFB262146:JFB327680 JFB327682:JFB393216 JFB393218:JFB458752 JFB458754:JFB524288 JFB524290:JFB589824 JFB589826:JFB655360 JFB655362:JFB720896 JFB720898:JFB786432 JFB786434:JFB851968 JFB851970:JFB917504 JFB917506:JFB983040 JFB983042:JFB1048576 JOX2:JOX65536 JOX65538:JOX131072 JOX131074:JOX196608 JOX196610:JOX262144 JOX262146:JOX327680 JOX327682:JOX393216 JOX393218:JOX458752 JOX458754:JOX524288 JOX524290:JOX589824 JOX589826:JOX655360 JOX655362:JOX720896 JOX720898:JOX786432 JOX786434:JOX851968 JOX851970:JOX917504 JOX917506:JOX983040 JOX983042:JOX1048576 JYT2:JYT65536 JYT65538:JYT131072 JYT131074:JYT196608 JYT196610:JYT262144 JYT262146:JYT327680 JYT327682:JYT393216 JYT393218:JYT458752 JYT458754:JYT524288 JYT524290:JYT589824 JYT589826:JYT655360 JYT655362:JYT720896 JYT720898:JYT786432 JYT786434:JYT851968 JYT851970:JYT917504 JYT917506:JYT983040 JYT983042:JYT1048576 KIP2:KIP65536 KIP65538:KIP131072 KIP131074:KIP196608 KIP196610:KIP262144 KIP262146:KIP327680 KIP327682:KIP393216 KIP393218:KIP458752 KIP458754:KIP524288 KIP524290:KIP589824 KIP589826:KIP655360 KIP655362:KIP720896 KIP720898:KIP786432 KIP786434:KIP851968 KIP851970:KIP917504 KIP917506:KIP983040 KIP983042:KIP1048576 KSL2:KSL65536 KSL65538:KSL131072 KSL131074:KSL196608 KSL196610:KSL262144 KSL262146:KSL327680 KSL327682:KSL393216 KSL393218:KSL458752 KSL458754:KSL524288 KSL524290:KSL589824 KSL589826:KSL655360 KSL655362:KSL720896 KSL720898:KSL786432 KSL786434:KSL851968 KSL851970:KSL917504 KSL917506:KSL983040 KSL983042:KSL1048576 LCH2:LCH65536 LCH65538:LCH131072 LCH131074:LCH196608 LCH196610:LCH262144 LCH262146:LCH327680 LCH327682:LCH393216 LCH393218:LCH458752 LCH458754:LCH524288 LCH524290:LCH589824 LCH589826:LCH655360 LCH655362:LCH720896 LCH720898:LCH786432 LCH786434:LCH851968 LCH851970:LCH917504 LCH917506:LCH983040 LCH983042:LCH1048576 LMD2:LMD65536 LMD65538:LMD131072 LMD131074:LMD196608 LMD196610:LMD262144 LMD262146:LMD327680 LMD327682:LMD393216 LMD393218:LMD458752 LMD458754:LMD524288 LMD524290:LMD589824 LMD589826:LMD655360 LMD655362:LMD720896 LMD720898:LMD786432 LMD786434:LMD851968 LMD851970:LMD917504 LMD917506:LMD983040 LMD983042:LMD1048576 LVZ2:LVZ65536 LVZ65538:LVZ131072 LVZ131074:LVZ196608 LVZ196610:LVZ262144 LVZ262146:LVZ327680 LVZ327682:LVZ393216 LVZ393218:LVZ458752 LVZ458754:LVZ524288 LVZ524290:LVZ589824 LVZ589826:LVZ655360 LVZ655362:LVZ720896 LVZ720898:LVZ786432 LVZ786434:LVZ851968 LVZ851970:LVZ917504 LVZ917506:LVZ983040 LVZ983042:LVZ1048576 MFV2:MFV65536 MFV65538:MFV131072 MFV131074:MFV196608 MFV196610:MFV262144 MFV262146:MFV327680 MFV327682:MFV393216 MFV393218:MFV458752 MFV458754:MFV524288 MFV524290:MFV589824 MFV589826:MFV655360 MFV655362:MFV720896 MFV720898:MFV786432 MFV786434:MFV851968 MFV851970:MFV917504 MFV917506:MFV983040 MFV983042:MFV1048576 MPR2:MPR65536 MPR65538:MPR131072 MPR131074:MPR196608 MPR196610:MPR262144 MPR262146:MPR327680 MPR327682:MPR393216 MPR393218:MPR458752 MPR458754:MPR524288 MPR524290:MPR589824 MPR589826:MPR655360 MPR655362:MPR720896 MPR720898:MPR786432 MPR786434:MPR851968 MPR851970:MPR917504 MPR917506:MPR983040 MPR983042:MPR1048576 MZN2:MZN65536 MZN65538:MZN131072 MZN131074:MZN196608 MZN196610:MZN262144 MZN262146:MZN327680 MZN327682:MZN393216 MZN393218:MZN458752 MZN458754:MZN524288 MZN524290:MZN589824 MZN589826:MZN655360 MZN655362:MZN720896 MZN720898:MZN786432 MZN786434:MZN851968 MZN851970:MZN917504 MZN917506:MZN983040 MZN983042:MZN1048576 NJJ2:NJJ65536 NJJ65538:NJJ131072 NJJ131074:NJJ196608 NJJ196610:NJJ262144 NJJ262146:NJJ327680 NJJ327682:NJJ393216 NJJ393218:NJJ458752 NJJ458754:NJJ524288 NJJ524290:NJJ589824 NJJ589826:NJJ655360 NJJ655362:NJJ720896 NJJ720898:NJJ786432 NJJ786434:NJJ851968 NJJ851970:NJJ917504 NJJ917506:NJJ983040 NJJ983042:NJJ1048576 NTF2:NTF65536 NTF65538:NTF131072 NTF131074:NTF196608 NTF196610:NTF262144 NTF262146:NTF327680 NTF327682:NTF393216 NTF393218:NTF458752 NTF458754:NTF524288 NTF524290:NTF589824 NTF589826:NTF655360 NTF655362:NTF720896 NTF720898:NTF786432 NTF786434:NTF851968 NTF851970:NTF917504 NTF917506:NTF983040 NTF983042:NTF1048576 ODB2:ODB65536 ODB65538:ODB131072 ODB131074:ODB196608 ODB196610:ODB262144 ODB262146:ODB327680 ODB327682:ODB393216 ODB393218:ODB458752 ODB458754:ODB524288 ODB524290:ODB589824 ODB589826:ODB655360 ODB655362:ODB720896 ODB720898:ODB786432 ODB786434:ODB851968 ODB851970:ODB917504 ODB917506:ODB983040 ODB983042:ODB1048576 OMX2:OMX65536 OMX65538:OMX131072 OMX131074:OMX196608 OMX196610:OMX262144 OMX262146:OMX327680 OMX327682:OMX393216 OMX393218:OMX458752 OMX458754:OMX524288 OMX524290:OMX589824 OMX589826:OMX655360 OMX655362:OMX720896 OMX720898:OMX786432 OMX786434:OMX851968 OMX851970:OMX917504 OMX917506:OMX983040 OMX983042:OMX1048576 OWT2:OWT65536 OWT65538:OWT131072 OWT131074:OWT196608 OWT196610:OWT262144 OWT262146:OWT327680 OWT327682:OWT393216 OWT393218:OWT458752 OWT458754:OWT524288 OWT524290:OWT589824 OWT589826:OWT655360 OWT655362:OWT720896 OWT720898:OWT786432 OWT786434:OWT851968 OWT851970:OWT917504 OWT917506:OWT983040 OWT983042:OWT1048576 PGP2:PGP65536 PGP65538:PGP131072 PGP131074:PGP196608 PGP196610:PGP262144 PGP262146:PGP327680 PGP327682:PGP393216 PGP393218:PGP458752 PGP458754:PGP524288 PGP524290:PGP589824 PGP589826:PGP655360 PGP655362:PGP720896 PGP720898:PGP786432 PGP786434:PGP851968 PGP851970:PGP917504 PGP917506:PGP983040 PGP983042:PGP1048576 PQL2:PQL65536 PQL65538:PQL131072 PQL131074:PQL196608 PQL196610:PQL262144 PQL262146:PQL327680 PQL327682:PQL393216 PQL393218:PQL458752 PQL458754:PQL524288 PQL524290:PQL589824 PQL589826:PQL655360 PQL655362:PQL720896 PQL720898:PQL786432 PQL786434:PQL851968 PQL851970:PQL917504 PQL917506:PQL983040 PQL983042:PQL1048576 QAH2:QAH65536 QAH65538:QAH131072 QAH131074:QAH196608 QAH196610:QAH262144 QAH262146:QAH327680 QAH327682:QAH393216 QAH393218:QAH458752 QAH458754:QAH524288 QAH524290:QAH589824 QAH589826:QAH655360 QAH655362:QAH720896 QAH720898:QAH786432 QAH786434:QAH851968 QAH851970:QAH917504 QAH917506:QAH983040 QAH983042:QAH1048576 QKD2:QKD65536 QKD65538:QKD131072 QKD131074:QKD196608 QKD196610:QKD262144 QKD262146:QKD327680 QKD327682:QKD393216 QKD393218:QKD458752 QKD458754:QKD524288 QKD524290:QKD589824 QKD589826:QKD655360 QKD655362:QKD720896 QKD720898:QKD786432 QKD786434:QKD851968 QKD851970:QKD917504 QKD917506:QKD983040 QKD983042:QKD1048576 QTZ2:QTZ65536 QTZ65538:QTZ131072 QTZ131074:QTZ196608 QTZ196610:QTZ262144 QTZ262146:QTZ327680 QTZ327682:QTZ393216 QTZ393218:QTZ458752 QTZ458754:QTZ524288 QTZ524290:QTZ589824 QTZ589826:QTZ655360 QTZ655362:QTZ720896 QTZ720898:QTZ786432 QTZ786434:QTZ851968 QTZ851970:QTZ917504 QTZ917506:QTZ983040 QTZ983042:QTZ1048576 RDV2:RDV65536 RDV65538:RDV131072 RDV131074:RDV196608 RDV196610:RDV262144 RDV262146:RDV327680 RDV327682:RDV393216 RDV393218:RDV458752 RDV458754:RDV524288 RDV524290:RDV589824 RDV589826:RDV655360 RDV655362:RDV720896 RDV720898:RDV786432 RDV786434:RDV851968 RDV851970:RDV917504 RDV917506:RDV983040 RDV983042:RDV1048576 RNR2:RNR65536 RNR65538:RNR131072 RNR131074:RNR196608 RNR196610:RNR262144 RNR262146:RNR327680 RNR327682:RNR393216 RNR393218:RNR458752 RNR458754:RNR524288 RNR524290:RNR589824 RNR589826:RNR655360 RNR655362:RNR720896 RNR720898:RNR786432 RNR786434:RNR851968 RNR851970:RNR917504 RNR917506:RNR983040 RNR983042:RNR1048576 RXN2:RXN65536 RXN65538:RXN131072 RXN131074:RXN196608 RXN196610:RXN262144 RXN262146:RXN327680 RXN327682:RXN393216 RXN393218:RXN458752 RXN458754:RXN524288 RXN524290:RXN589824 RXN589826:RXN655360 RXN655362:RXN720896 RXN720898:RXN786432 RXN786434:RXN851968 RXN851970:RXN917504 RXN917506:RXN983040 RXN983042:RXN1048576 SHJ2:SHJ65536 SHJ65538:SHJ131072 SHJ131074:SHJ196608 SHJ196610:SHJ262144 SHJ262146:SHJ327680 SHJ327682:SHJ393216 SHJ393218:SHJ458752 SHJ458754:SHJ524288 SHJ524290:SHJ589824 SHJ589826:SHJ655360 SHJ655362:SHJ720896 SHJ720898:SHJ786432 SHJ786434:SHJ851968 SHJ851970:SHJ917504 SHJ917506:SHJ983040 SHJ983042:SHJ1048576 SRF2:SRF65536 SRF65538:SRF131072 SRF131074:SRF196608 SRF196610:SRF262144 SRF262146:SRF327680 SRF327682:SRF393216 SRF393218:SRF458752 SRF458754:SRF524288 SRF524290:SRF589824 SRF589826:SRF655360 SRF655362:SRF720896 SRF720898:SRF786432 SRF786434:SRF851968 SRF851970:SRF917504 SRF917506:SRF983040 SRF983042:SRF1048576 TBB2:TBB65536 TBB65538:TBB131072 TBB131074:TBB196608 TBB196610:TBB262144 TBB262146:TBB327680 TBB327682:TBB393216 TBB393218:TBB458752 TBB458754:TBB524288 TBB524290:TBB589824 TBB589826:TBB655360 TBB655362:TBB720896 TBB720898:TBB786432 TBB786434:TBB851968 TBB851970:TBB917504 TBB917506:TBB983040 TBB983042:TBB1048576 TKX2:TKX65536 TKX65538:TKX131072 TKX131074:TKX196608 TKX196610:TKX262144 TKX262146:TKX327680 TKX327682:TKX393216 TKX393218:TKX458752 TKX458754:TKX524288 TKX524290:TKX589824 TKX589826:TKX655360 TKX655362:TKX720896 TKX720898:TKX786432 TKX786434:TKX851968 TKX851970:TKX917504 TKX917506:TKX983040 TKX983042:TKX1048576 TUT2:TUT65536 TUT65538:TUT131072 TUT131074:TUT196608 TUT196610:TUT262144 TUT262146:TUT327680 TUT327682:TUT393216 TUT393218:TUT458752 TUT458754:TUT524288 TUT524290:TUT589824 TUT589826:TUT655360 TUT655362:TUT720896 TUT720898:TUT786432 TUT786434:TUT851968 TUT851970:TUT917504 TUT917506:TUT983040 TUT983042:TUT1048576 UEP2:UEP65536 UEP65538:UEP131072 UEP131074:UEP196608 UEP196610:UEP262144 UEP262146:UEP327680 UEP327682:UEP393216 UEP393218:UEP458752 UEP458754:UEP524288 UEP524290:UEP589824 UEP589826:UEP655360 UEP655362:UEP720896 UEP720898:UEP786432 UEP786434:UEP851968 UEP851970:UEP917504 UEP917506:UEP983040 UEP983042:UEP1048576 UOL2:UOL65536 UOL65538:UOL131072 UOL131074:UOL196608 UOL196610:UOL262144 UOL262146:UOL327680 UOL327682:UOL393216 UOL393218:UOL458752 UOL458754:UOL524288 UOL524290:UOL589824 UOL589826:UOL655360 UOL655362:UOL720896 UOL720898:UOL786432 UOL786434:UOL851968 UOL851970:UOL917504 UOL917506:UOL983040 UOL983042:UOL1048576 UYH2:UYH65536 UYH65538:UYH131072 UYH131074:UYH196608 UYH196610:UYH262144 UYH262146:UYH327680 UYH327682:UYH393216 UYH393218:UYH458752 UYH458754:UYH524288 UYH524290:UYH589824 UYH589826:UYH655360 UYH655362:UYH720896 UYH720898:UYH786432 UYH786434:UYH851968 UYH851970:UYH917504 UYH917506:UYH983040 UYH983042:UYH1048576 VID2:VID65536 VID65538:VID131072 VID131074:VID196608 VID196610:VID262144 VID262146:VID327680 VID327682:VID393216 VID393218:VID458752 VID458754:VID524288 VID524290:VID589824 VID589826:VID655360 VID655362:VID720896 VID720898:VID786432 VID786434:VID851968 VID851970:VID917504 VID917506:VID983040 VID983042:VID1048576 VRZ2:VRZ65536 VRZ65538:VRZ131072 VRZ131074:VRZ196608 VRZ196610:VRZ262144 VRZ262146:VRZ327680 VRZ327682:VRZ393216 VRZ393218:VRZ458752 VRZ458754:VRZ524288 VRZ524290:VRZ589824 VRZ589826:VRZ655360 VRZ655362:VRZ720896 VRZ720898:VRZ786432 VRZ786434:VRZ851968 VRZ851970:VRZ917504 VRZ917506:VRZ983040 VRZ983042:VRZ1048576 WBV2:WBV65536 WBV65538:WBV131072 WBV131074:WBV196608 WBV196610:WBV262144 WBV262146:WBV327680 WBV327682:WBV393216 WBV393218:WBV458752 WBV458754:WBV524288 WBV524290:WBV589824 WBV589826:WBV655360 WBV655362:WBV720896 WBV720898:WBV786432 WBV786434:WBV851968 WBV851970:WBV917504 WBV917506:WBV983040 WBV983042:WBV1048576 WLR2:WLR65536 WLR65538:WLR131072 WLR131074:WLR196608 WLR196610:WLR262144 WLR262146:WLR327680 WLR327682:WLR393216 WLR393218:WLR458752 WLR458754:WLR524288 WLR524290:WLR589824 WLR589826:WLR655360 WLR655362:WLR720896 WLR720898:WLR786432 WLR786434:WLR851968 WLR851970:WLR917504 WLR917506:WLR983040 WLR983042:WLR1048576 WVN2:WVN65536 WVN65538:WVN131072 WVN131074:WVN196608 WVN196610:WVN262144 WVN262146:WVN327680 WVN327682:WVN393216 WVN393218:WVN458752 WVN458754:WVN524288 WVN524290:WVN589824 WVN589826:WVN655360 WVN655362:WVN720896 WVN720898:WVN786432 WVN786434:WVN851968 WVN851970:WVN917504 WVN917506:WVN983040 WVN983042:WVN1048576" xr:uid="{986A3C9D-20E5-42E7-956C-944035995F41}">
      <formula1>$AH$2:$AH$12</formula1>
    </dataValidation>
    <dataValidation type="list" allowBlank="1" showInputMessage="1" showErrorMessage="1" sqref="E2:E65536 E65538:E131072 E131074:E196608 E196610:E262144 E262146:E327680 E327682:E393216 E393218:E458752 E458754:E524288 E524290:E589824 E589826:E655360 E655362:E720896 E720898:E786432 E786434:E851968 E851970:E917504 E917506:E983040 E983042:E1048576 JA2:JA65536 JA65538:JA131072 JA131074:JA196608 JA196610:JA262144 JA262146:JA327680 JA327682:JA393216 JA393218:JA458752 JA458754:JA524288 JA524290:JA589824 JA589826:JA655360 JA655362:JA720896 JA720898:JA786432 JA786434:JA851968 JA851970:JA917504 JA917506:JA983040 JA983042:JA1048576 SW2:SW65536 SW65538:SW131072 SW131074:SW196608 SW196610:SW262144 SW262146:SW327680 SW327682:SW393216 SW393218:SW458752 SW458754:SW524288 SW524290:SW589824 SW589826:SW655360 SW655362:SW720896 SW720898:SW786432 SW786434:SW851968 SW851970:SW917504 SW917506:SW983040 SW983042:SW1048576 ACS2:ACS65536 ACS65538:ACS131072 ACS131074:ACS196608 ACS196610:ACS262144 ACS262146:ACS327680 ACS327682:ACS393216 ACS393218:ACS458752 ACS458754:ACS524288 ACS524290:ACS589824 ACS589826:ACS655360 ACS655362:ACS720896 ACS720898:ACS786432 ACS786434:ACS851968 ACS851970:ACS917504 ACS917506:ACS983040 ACS983042:ACS1048576 AMO2:AMO65536 AMO65538:AMO131072 AMO131074:AMO196608 AMO196610:AMO262144 AMO262146:AMO327680 AMO327682:AMO393216 AMO393218:AMO458752 AMO458754:AMO524288 AMO524290:AMO589824 AMO589826:AMO655360 AMO655362:AMO720896 AMO720898:AMO786432 AMO786434:AMO851968 AMO851970:AMO917504 AMO917506:AMO983040 AMO983042:AMO1048576 AWK2:AWK65536 AWK65538:AWK131072 AWK131074:AWK196608 AWK196610:AWK262144 AWK262146:AWK327680 AWK327682:AWK393216 AWK393218:AWK458752 AWK458754:AWK524288 AWK524290:AWK589824 AWK589826:AWK655360 AWK655362:AWK720896 AWK720898:AWK786432 AWK786434:AWK851968 AWK851970:AWK917504 AWK917506:AWK983040 AWK983042:AWK1048576 BGG2:BGG65536 BGG65538:BGG131072 BGG131074:BGG196608 BGG196610:BGG262144 BGG262146:BGG327680 BGG327682:BGG393216 BGG393218:BGG458752 BGG458754:BGG524288 BGG524290:BGG589824 BGG589826:BGG655360 BGG655362:BGG720896 BGG720898:BGG786432 BGG786434:BGG851968 BGG851970:BGG917504 BGG917506:BGG983040 BGG983042:BGG1048576 BQC2:BQC65536 BQC65538:BQC131072 BQC131074:BQC196608 BQC196610:BQC262144 BQC262146:BQC327680 BQC327682:BQC393216 BQC393218:BQC458752 BQC458754:BQC524288 BQC524290:BQC589824 BQC589826:BQC655360 BQC655362:BQC720896 BQC720898:BQC786432 BQC786434:BQC851968 BQC851970:BQC917504 BQC917506:BQC983040 BQC983042:BQC1048576 BZY2:BZY65536 BZY65538:BZY131072 BZY131074:BZY196608 BZY196610:BZY262144 BZY262146:BZY327680 BZY327682:BZY393216 BZY393218:BZY458752 BZY458754:BZY524288 BZY524290:BZY589824 BZY589826:BZY655360 BZY655362:BZY720896 BZY720898:BZY786432 BZY786434:BZY851968 BZY851970:BZY917504 BZY917506:BZY983040 BZY983042:BZY1048576 CJU2:CJU65536 CJU65538:CJU131072 CJU131074:CJU196608 CJU196610:CJU262144 CJU262146:CJU327680 CJU327682:CJU393216 CJU393218:CJU458752 CJU458754:CJU524288 CJU524290:CJU589824 CJU589826:CJU655360 CJU655362:CJU720896 CJU720898:CJU786432 CJU786434:CJU851968 CJU851970:CJU917504 CJU917506:CJU983040 CJU983042:CJU1048576 CTQ2:CTQ65536 CTQ65538:CTQ131072 CTQ131074:CTQ196608 CTQ196610:CTQ262144 CTQ262146:CTQ327680 CTQ327682:CTQ393216 CTQ393218:CTQ458752 CTQ458754:CTQ524288 CTQ524290:CTQ589824 CTQ589826:CTQ655360 CTQ655362:CTQ720896 CTQ720898:CTQ786432 CTQ786434:CTQ851968 CTQ851970:CTQ917504 CTQ917506:CTQ983040 CTQ983042:CTQ1048576 DDM2:DDM65536 DDM65538:DDM131072 DDM131074:DDM196608 DDM196610:DDM262144 DDM262146:DDM327680 DDM327682:DDM393216 DDM393218:DDM458752 DDM458754:DDM524288 DDM524290:DDM589824 DDM589826:DDM655360 DDM655362:DDM720896 DDM720898:DDM786432 DDM786434:DDM851968 DDM851970:DDM917504 DDM917506:DDM983040 DDM983042:DDM1048576 DNI2:DNI65536 DNI65538:DNI131072 DNI131074:DNI196608 DNI196610:DNI262144 DNI262146:DNI327680 DNI327682:DNI393216 DNI393218:DNI458752 DNI458754:DNI524288 DNI524290:DNI589824 DNI589826:DNI655360 DNI655362:DNI720896 DNI720898:DNI786432 DNI786434:DNI851968 DNI851970:DNI917504 DNI917506:DNI983040 DNI983042:DNI1048576 DXE2:DXE65536 DXE65538:DXE131072 DXE131074:DXE196608 DXE196610:DXE262144 DXE262146:DXE327680 DXE327682:DXE393216 DXE393218:DXE458752 DXE458754:DXE524288 DXE524290:DXE589824 DXE589826:DXE655360 DXE655362:DXE720896 DXE720898:DXE786432 DXE786434:DXE851968 DXE851970:DXE917504 DXE917506:DXE983040 DXE983042:DXE1048576 EHA2:EHA65536 EHA65538:EHA131072 EHA131074:EHA196608 EHA196610:EHA262144 EHA262146:EHA327680 EHA327682:EHA393216 EHA393218:EHA458752 EHA458754:EHA524288 EHA524290:EHA589824 EHA589826:EHA655360 EHA655362:EHA720896 EHA720898:EHA786432 EHA786434:EHA851968 EHA851970:EHA917504 EHA917506:EHA983040 EHA983042:EHA1048576 EQW2:EQW65536 EQW65538:EQW131072 EQW131074:EQW196608 EQW196610:EQW262144 EQW262146:EQW327680 EQW327682:EQW393216 EQW393218:EQW458752 EQW458754:EQW524288 EQW524290:EQW589824 EQW589826:EQW655360 EQW655362:EQW720896 EQW720898:EQW786432 EQW786434:EQW851968 EQW851970:EQW917504 EQW917506:EQW983040 EQW983042:EQW1048576 FAS2:FAS65536 FAS65538:FAS131072 FAS131074:FAS196608 FAS196610:FAS262144 FAS262146:FAS327680 FAS327682:FAS393216 FAS393218:FAS458752 FAS458754:FAS524288 FAS524290:FAS589824 FAS589826:FAS655360 FAS655362:FAS720896 FAS720898:FAS786432 FAS786434:FAS851968 FAS851970:FAS917504 FAS917506:FAS983040 FAS983042:FAS1048576 FKO2:FKO65536 FKO65538:FKO131072 FKO131074:FKO196608 FKO196610:FKO262144 FKO262146:FKO327680 FKO327682:FKO393216 FKO393218:FKO458752 FKO458754:FKO524288 FKO524290:FKO589824 FKO589826:FKO655360 FKO655362:FKO720896 FKO720898:FKO786432 FKO786434:FKO851968 FKO851970:FKO917504 FKO917506:FKO983040 FKO983042:FKO1048576 FUK2:FUK65536 FUK65538:FUK131072 FUK131074:FUK196608 FUK196610:FUK262144 FUK262146:FUK327680 FUK327682:FUK393216 FUK393218:FUK458752 FUK458754:FUK524288 FUK524290:FUK589824 FUK589826:FUK655360 FUK655362:FUK720896 FUK720898:FUK786432 FUK786434:FUK851968 FUK851970:FUK917504 FUK917506:FUK983040 FUK983042:FUK1048576 GEG2:GEG65536 GEG65538:GEG131072 GEG131074:GEG196608 GEG196610:GEG262144 GEG262146:GEG327680 GEG327682:GEG393216 GEG393218:GEG458752 GEG458754:GEG524288 GEG524290:GEG589824 GEG589826:GEG655360 GEG655362:GEG720896 GEG720898:GEG786432 GEG786434:GEG851968 GEG851970:GEG917504 GEG917506:GEG983040 GEG983042:GEG1048576 GOC2:GOC65536 GOC65538:GOC131072 GOC131074:GOC196608 GOC196610:GOC262144 GOC262146:GOC327680 GOC327682:GOC393216 GOC393218:GOC458752 GOC458754:GOC524288 GOC524290:GOC589824 GOC589826:GOC655360 GOC655362:GOC720896 GOC720898:GOC786432 GOC786434:GOC851968 GOC851970:GOC917504 GOC917506:GOC983040 GOC983042:GOC1048576 GXY2:GXY65536 GXY65538:GXY131072 GXY131074:GXY196608 GXY196610:GXY262144 GXY262146:GXY327680 GXY327682:GXY393216 GXY393218:GXY458752 GXY458754:GXY524288 GXY524290:GXY589824 GXY589826:GXY655360 GXY655362:GXY720896 GXY720898:GXY786432 GXY786434:GXY851968 GXY851970:GXY917504 GXY917506:GXY983040 GXY983042:GXY1048576 HHU2:HHU65536 HHU65538:HHU131072 HHU131074:HHU196608 HHU196610:HHU262144 HHU262146:HHU327680 HHU327682:HHU393216 HHU393218:HHU458752 HHU458754:HHU524288 HHU524290:HHU589824 HHU589826:HHU655360 HHU655362:HHU720896 HHU720898:HHU786432 HHU786434:HHU851968 HHU851970:HHU917504 HHU917506:HHU983040 HHU983042:HHU1048576 HRQ2:HRQ65536 HRQ65538:HRQ131072 HRQ131074:HRQ196608 HRQ196610:HRQ262144 HRQ262146:HRQ327680 HRQ327682:HRQ393216 HRQ393218:HRQ458752 HRQ458754:HRQ524288 HRQ524290:HRQ589824 HRQ589826:HRQ655360 HRQ655362:HRQ720896 HRQ720898:HRQ786432 HRQ786434:HRQ851968 HRQ851970:HRQ917504 HRQ917506:HRQ983040 HRQ983042:HRQ1048576 IBM2:IBM65536 IBM65538:IBM131072 IBM131074:IBM196608 IBM196610:IBM262144 IBM262146:IBM327680 IBM327682:IBM393216 IBM393218:IBM458752 IBM458754:IBM524288 IBM524290:IBM589824 IBM589826:IBM655360 IBM655362:IBM720896 IBM720898:IBM786432 IBM786434:IBM851968 IBM851970:IBM917504 IBM917506:IBM983040 IBM983042:IBM1048576 ILI2:ILI65536 ILI65538:ILI131072 ILI131074:ILI196608 ILI196610:ILI262144 ILI262146:ILI327680 ILI327682:ILI393216 ILI393218:ILI458752 ILI458754:ILI524288 ILI524290:ILI589824 ILI589826:ILI655360 ILI655362:ILI720896 ILI720898:ILI786432 ILI786434:ILI851968 ILI851970:ILI917504 ILI917506:ILI983040 ILI983042:ILI1048576 IVE2:IVE65536 IVE65538:IVE131072 IVE131074:IVE196608 IVE196610:IVE262144 IVE262146:IVE327680 IVE327682:IVE393216 IVE393218:IVE458752 IVE458754:IVE524288 IVE524290:IVE589824 IVE589826:IVE655360 IVE655362:IVE720896 IVE720898:IVE786432 IVE786434:IVE851968 IVE851970:IVE917504 IVE917506:IVE983040 IVE983042:IVE1048576 JFA2:JFA65536 JFA65538:JFA131072 JFA131074:JFA196608 JFA196610:JFA262144 JFA262146:JFA327680 JFA327682:JFA393216 JFA393218:JFA458752 JFA458754:JFA524288 JFA524290:JFA589824 JFA589826:JFA655360 JFA655362:JFA720896 JFA720898:JFA786432 JFA786434:JFA851968 JFA851970:JFA917504 JFA917506:JFA983040 JFA983042:JFA1048576 JOW2:JOW65536 JOW65538:JOW131072 JOW131074:JOW196608 JOW196610:JOW262144 JOW262146:JOW327680 JOW327682:JOW393216 JOW393218:JOW458752 JOW458754:JOW524288 JOW524290:JOW589824 JOW589826:JOW655360 JOW655362:JOW720896 JOW720898:JOW786432 JOW786434:JOW851968 JOW851970:JOW917504 JOW917506:JOW983040 JOW983042:JOW1048576 JYS2:JYS65536 JYS65538:JYS131072 JYS131074:JYS196608 JYS196610:JYS262144 JYS262146:JYS327680 JYS327682:JYS393216 JYS393218:JYS458752 JYS458754:JYS524288 JYS524290:JYS589824 JYS589826:JYS655360 JYS655362:JYS720896 JYS720898:JYS786432 JYS786434:JYS851968 JYS851970:JYS917504 JYS917506:JYS983040 JYS983042:JYS1048576 KIO2:KIO65536 KIO65538:KIO131072 KIO131074:KIO196608 KIO196610:KIO262144 KIO262146:KIO327680 KIO327682:KIO393216 KIO393218:KIO458752 KIO458754:KIO524288 KIO524290:KIO589824 KIO589826:KIO655360 KIO655362:KIO720896 KIO720898:KIO786432 KIO786434:KIO851968 KIO851970:KIO917504 KIO917506:KIO983040 KIO983042:KIO1048576 KSK2:KSK65536 KSK65538:KSK131072 KSK131074:KSK196608 KSK196610:KSK262144 KSK262146:KSK327680 KSK327682:KSK393216 KSK393218:KSK458752 KSK458754:KSK524288 KSK524290:KSK589824 KSK589826:KSK655360 KSK655362:KSK720896 KSK720898:KSK786432 KSK786434:KSK851968 KSK851970:KSK917504 KSK917506:KSK983040 KSK983042:KSK1048576 LCG2:LCG65536 LCG65538:LCG131072 LCG131074:LCG196608 LCG196610:LCG262144 LCG262146:LCG327680 LCG327682:LCG393216 LCG393218:LCG458752 LCG458754:LCG524288 LCG524290:LCG589824 LCG589826:LCG655360 LCG655362:LCG720896 LCG720898:LCG786432 LCG786434:LCG851968 LCG851970:LCG917504 LCG917506:LCG983040 LCG983042:LCG1048576 LMC2:LMC65536 LMC65538:LMC131072 LMC131074:LMC196608 LMC196610:LMC262144 LMC262146:LMC327680 LMC327682:LMC393216 LMC393218:LMC458752 LMC458754:LMC524288 LMC524290:LMC589824 LMC589826:LMC655360 LMC655362:LMC720896 LMC720898:LMC786432 LMC786434:LMC851968 LMC851970:LMC917504 LMC917506:LMC983040 LMC983042:LMC1048576 LVY2:LVY65536 LVY65538:LVY131072 LVY131074:LVY196608 LVY196610:LVY262144 LVY262146:LVY327680 LVY327682:LVY393216 LVY393218:LVY458752 LVY458754:LVY524288 LVY524290:LVY589824 LVY589826:LVY655360 LVY655362:LVY720896 LVY720898:LVY786432 LVY786434:LVY851968 LVY851970:LVY917504 LVY917506:LVY983040 LVY983042:LVY1048576 MFU2:MFU65536 MFU65538:MFU131072 MFU131074:MFU196608 MFU196610:MFU262144 MFU262146:MFU327680 MFU327682:MFU393216 MFU393218:MFU458752 MFU458754:MFU524288 MFU524290:MFU589824 MFU589826:MFU655360 MFU655362:MFU720896 MFU720898:MFU786432 MFU786434:MFU851968 MFU851970:MFU917504 MFU917506:MFU983040 MFU983042:MFU1048576 MPQ2:MPQ65536 MPQ65538:MPQ131072 MPQ131074:MPQ196608 MPQ196610:MPQ262144 MPQ262146:MPQ327680 MPQ327682:MPQ393216 MPQ393218:MPQ458752 MPQ458754:MPQ524288 MPQ524290:MPQ589824 MPQ589826:MPQ655360 MPQ655362:MPQ720896 MPQ720898:MPQ786432 MPQ786434:MPQ851968 MPQ851970:MPQ917504 MPQ917506:MPQ983040 MPQ983042:MPQ1048576 MZM2:MZM65536 MZM65538:MZM131072 MZM131074:MZM196608 MZM196610:MZM262144 MZM262146:MZM327680 MZM327682:MZM393216 MZM393218:MZM458752 MZM458754:MZM524288 MZM524290:MZM589824 MZM589826:MZM655360 MZM655362:MZM720896 MZM720898:MZM786432 MZM786434:MZM851968 MZM851970:MZM917504 MZM917506:MZM983040 MZM983042:MZM1048576 NJI2:NJI65536 NJI65538:NJI131072 NJI131074:NJI196608 NJI196610:NJI262144 NJI262146:NJI327680 NJI327682:NJI393216 NJI393218:NJI458752 NJI458754:NJI524288 NJI524290:NJI589824 NJI589826:NJI655360 NJI655362:NJI720896 NJI720898:NJI786432 NJI786434:NJI851968 NJI851970:NJI917504 NJI917506:NJI983040 NJI983042:NJI1048576 NTE2:NTE65536 NTE65538:NTE131072 NTE131074:NTE196608 NTE196610:NTE262144 NTE262146:NTE327680 NTE327682:NTE393216 NTE393218:NTE458752 NTE458754:NTE524288 NTE524290:NTE589824 NTE589826:NTE655360 NTE655362:NTE720896 NTE720898:NTE786432 NTE786434:NTE851968 NTE851970:NTE917504 NTE917506:NTE983040 NTE983042:NTE1048576 ODA2:ODA65536 ODA65538:ODA131072 ODA131074:ODA196608 ODA196610:ODA262144 ODA262146:ODA327680 ODA327682:ODA393216 ODA393218:ODA458752 ODA458754:ODA524288 ODA524290:ODA589824 ODA589826:ODA655360 ODA655362:ODA720896 ODA720898:ODA786432 ODA786434:ODA851968 ODA851970:ODA917504 ODA917506:ODA983040 ODA983042:ODA1048576 OMW2:OMW65536 OMW65538:OMW131072 OMW131074:OMW196608 OMW196610:OMW262144 OMW262146:OMW327680 OMW327682:OMW393216 OMW393218:OMW458752 OMW458754:OMW524288 OMW524290:OMW589824 OMW589826:OMW655360 OMW655362:OMW720896 OMW720898:OMW786432 OMW786434:OMW851968 OMW851970:OMW917504 OMW917506:OMW983040 OMW983042:OMW1048576 OWS2:OWS65536 OWS65538:OWS131072 OWS131074:OWS196608 OWS196610:OWS262144 OWS262146:OWS327680 OWS327682:OWS393216 OWS393218:OWS458752 OWS458754:OWS524288 OWS524290:OWS589824 OWS589826:OWS655360 OWS655362:OWS720896 OWS720898:OWS786432 OWS786434:OWS851968 OWS851970:OWS917504 OWS917506:OWS983040 OWS983042:OWS1048576 PGO2:PGO65536 PGO65538:PGO131072 PGO131074:PGO196608 PGO196610:PGO262144 PGO262146:PGO327680 PGO327682:PGO393216 PGO393218:PGO458752 PGO458754:PGO524288 PGO524290:PGO589824 PGO589826:PGO655360 PGO655362:PGO720896 PGO720898:PGO786432 PGO786434:PGO851968 PGO851970:PGO917504 PGO917506:PGO983040 PGO983042:PGO1048576 PQK2:PQK65536 PQK65538:PQK131072 PQK131074:PQK196608 PQK196610:PQK262144 PQK262146:PQK327680 PQK327682:PQK393216 PQK393218:PQK458752 PQK458754:PQK524288 PQK524290:PQK589824 PQK589826:PQK655360 PQK655362:PQK720896 PQK720898:PQK786432 PQK786434:PQK851968 PQK851970:PQK917504 PQK917506:PQK983040 PQK983042:PQK1048576 QAG2:QAG65536 QAG65538:QAG131072 QAG131074:QAG196608 QAG196610:QAG262144 QAG262146:QAG327680 QAG327682:QAG393216 QAG393218:QAG458752 QAG458754:QAG524288 QAG524290:QAG589824 QAG589826:QAG655360 QAG655362:QAG720896 QAG720898:QAG786432 QAG786434:QAG851968 QAG851970:QAG917504 QAG917506:QAG983040 QAG983042:QAG1048576 QKC2:QKC65536 QKC65538:QKC131072 QKC131074:QKC196608 QKC196610:QKC262144 QKC262146:QKC327680 QKC327682:QKC393216 QKC393218:QKC458752 QKC458754:QKC524288 QKC524290:QKC589824 QKC589826:QKC655360 QKC655362:QKC720896 QKC720898:QKC786432 QKC786434:QKC851968 QKC851970:QKC917504 QKC917506:QKC983040 QKC983042:QKC1048576 QTY2:QTY65536 QTY65538:QTY131072 QTY131074:QTY196608 QTY196610:QTY262144 QTY262146:QTY327680 QTY327682:QTY393216 QTY393218:QTY458752 QTY458754:QTY524288 QTY524290:QTY589824 QTY589826:QTY655360 QTY655362:QTY720896 QTY720898:QTY786432 QTY786434:QTY851968 QTY851970:QTY917504 QTY917506:QTY983040 QTY983042:QTY1048576 RDU2:RDU65536 RDU65538:RDU131072 RDU131074:RDU196608 RDU196610:RDU262144 RDU262146:RDU327680 RDU327682:RDU393216 RDU393218:RDU458752 RDU458754:RDU524288 RDU524290:RDU589824 RDU589826:RDU655360 RDU655362:RDU720896 RDU720898:RDU786432 RDU786434:RDU851968 RDU851970:RDU917504 RDU917506:RDU983040 RDU983042:RDU1048576 RNQ2:RNQ65536 RNQ65538:RNQ131072 RNQ131074:RNQ196608 RNQ196610:RNQ262144 RNQ262146:RNQ327680 RNQ327682:RNQ393216 RNQ393218:RNQ458752 RNQ458754:RNQ524288 RNQ524290:RNQ589824 RNQ589826:RNQ655360 RNQ655362:RNQ720896 RNQ720898:RNQ786432 RNQ786434:RNQ851968 RNQ851970:RNQ917504 RNQ917506:RNQ983040 RNQ983042:RNQ1048576 RXM2:RXM65536 RXM65538:RXM131072 RXM131074:RXM196608 RXM196610:RXM262144 RXM262146:RXM327680 RXM327682:RXM393216 RXM393218:RXM458752 RXM458754:RXM524288 RXM524290:RXM589824 RXM589826:RXM655360 RXM655362:RXM720896 RXM720898:RXM786432 RXM786434:RXM851968 RXM851970:RXM917504 RXM917506:RXM983040 RXM983042:RXM1048576 SHI2:SHI65536 SHI65538:SHI131072 SHI131074:SHI196608 SHI196610:SHI262144 SHI262146:SHI327680 SHI327682:SHI393216 SHI393218:SHI458752 SHI458754:SHI524288 SHI524290:SHI589824 SHI589826:SHI655360 SHI655362:SHI720896 SHI720898:SHI786432 SHI786434:SHI851968 SHI851970:SHI917504 SHI917506:SHI983040 SHI983042:SHI1048576 SRE2:SRE65536 SRE65538:SRE131072 SRE131074:SRE196608 SRE196610:SRE262144 SRE262146:SRE327680 SRE327682:SRE393216 SRE393218:SRE458752 SRE458754:SRE524288 SRE524290:SRE589824 SRE589826:SRE655360 SRE655362:SRE720896 SRE720898:SRE786432 SRE786434:SRE851968 SRE851970:SRE917504 SRE917506:SRE983040 SRE983042:SRE1048576 TBA2:TBA65536 TBA65538:TBA131072 TBA131074:TBA196608 TBA196610:TBA262144 TBA262146:TBA327680 TBA327682:TBA393216 TBA393218:TBA458752 TBA458754:TBA524288 TBA524290:TBA589824 TBA589826:TBA655360 TBA655362:TBA720896 TBA720898:TBA786432 TBA786434:TBA851968 TBA851970:TBA917504 TBA917506:TBA983040 TBA983042:TBA1048576 TKW2:TKW65536 TKW65538:TKW131072 TKW131074:TKW196608 TKW196610:TKW262144 TKW262146:TKW327680 TKW327682:TKW393216 TKW393218:TKW458752 TKW458754:TKW524288 TKW524290:TKW589824 TKW589826:TKW655360 TKW655362:TKW720896 TKW720898:TKW786432 TKW786434:TKW851968 TKW851970:TKW917504 TKW917506:TKW983040 TKW983042:TKW1048576 TUS2:TUS65536 TUS65538:TUS131072 TUS131074:TUS196608 TUS196610:TUS262144 TUS262146:TUS327680 TUS327682:TUS393216 TUS393218:TUS458752 TUS458754:TUS524288 TUS524290:TUS589824 TUS589826:TUS655360 TUS655362:TUS720896 TUS720898:TUS786432 TUS786434:TUS851968 TUS851970:TUS917504 TUS917506:TUS983040 TUS983042:TUS1048576 UEO2:UEO65536 UEO65538:UEO131072 UEO131074:UEO196608 UEO196610:UEO262144 UEO262146:UEO327680 UEO327682:UEO393216 UEO393218:UEO458752 UEO458754:UEO524288 UEO524290:UEO589824 UEO589826:UEO655360 UEO655362:UEO720896 UEO720898:UEO786432 UEO786434:UEO851968 UEO851970:UEO917504 UEO917506:UEO983040 UEO983042:UEO1048576 UOK2:UOK65536 UOK65538:UOK131072 UOK131074:UOK196608 UOK196610:UOK262144 UOK262146:UOK327680 UOK327682:UOK393216 UOK393218:UOK458752 UOK458754:UOK524288 UOK524290:UOK589824 UOK589826:UOK655360 UOK655362:UOK720896 UOK720898:UOK786432 UOK786434:UOK851968 UOK851970:UOK917504 UOK917506:UOK983040 UOK983042:UOK1048576 UYG2:UYG65536 UYG65538:UYG131072 UYG131074:UYG196608 UYG196610:UYG262144 UYG262146:UYG327680 UYG327682:UYG393216 UYG393218:UYG458752 UYG458754:UYG524288 UYG524290:UYG589824 UYG589826:UYG655360 UYG655362:UYG720896 UYG720898:UYG786432 UYG786434:UYG851968 UYG851970:UYG917504 UYG917506:UYG983040 UYG983042:UYG1048576 VIC2:VIC65536 VIC65538:VIC131072 VIC131074:VIC196608 VIC196610:VIC262144 VIC262146:VIC327680 VIC327682:VIC393216 VIC393218:VIC458752 VIC458754:VIC524288 VIC524290:VIC589824 VIC589826:VIC655360 VIC655362:VIC720896 VIC720898:VIC786432 VIC786434:VIC851968 VIC851970:VIC917504 VIC917506:VIC983040 VIC983042:VIC1048576 VRY2:VRY65536 VRY65538:VRY131072 VRY131074:VRY196608 VRY196610:VRY262144 VRY262146:VRY327680 VRY327682:VRY393216 VRY393218:VRY458752 VRY458754:VRY524288 VRY524290:VRY589824 VRY589826:VRY655360 VRY655362:VRY720896 VRY720898:VRY786432 VRY786434:VRY851968 VRY851970:VRY917504 VRY917506:VRY983040 VRY983042:VRY1048576 WBU2:WBU65536 WBU65538:WBU131072 WBU131074:WBU196608 WBU196610:WBU262144 WBU262146:WBU327680 WBU327682:WBU393216 WBU393218:WBU458752 WBU458754:WBU524288 WBU524290:WBU589824 WBU589826:WBU655360 WBU655362:WBU720896 WBU720898:WBU786432 WBU786434:WBU851968 WBU851970:WBU917504 WBU917506:WBU983040 WBU983042:WBU1048576 WLQ2:WLQ65536 WLQ65538:WLQ131072 WLQ131074:WLQ196608 WLQ196610:WLQ262144 WLQ262146:WLQ327680 WLQ327682:WLQ393216 WLQ393218:WLQ458752 WLQ458754:WLQ524288 WLQ524290:WLQ589824 WLQ589826:WLQ655360 WLQ655362:WLQ720896 WLQ720898:WLQ786432 WLQ786434:WLQ851968 WLQ851970:WLQ917504 WLQ917506:WLQ983040 WLQ983042:WLQ1048576 WVM2:WVM65536 WVM65538:WVM131072 WVM131074:WVM196608 WVM196610:WVM262144 WVM262146:WVM327680 WVM327682:WVM393216 WVM393218:WVM458752 WVM458754:WVM524288 WVM524290:WVM589824 WVM589826:WVM655360 WVM655362:WVM720896 WVM720898:WVM786432 WVM786434:WVM851968 WVM851970:WVM917504 WVM917506:WVM983040 WVM983042:WVM1048576" xr:uid="{8F035C7E-929A-4DE8-A405-9A465462A9D9}">
      <formula1>$AG$2:$AG$12</formula1>
    </dataValidation>
    <dataValidation allowBlank="1" showInputMessage="1" showErrorMessage="1" sqref="B64423:B64476 B129959:B130012 B195495:B195548 B261031:B261084 B326567:B326620 B392103:B392156 B457639:B457692 B523175:B523228 B588711:B588764 B654247:B654300 B719783:B719836 B785319:B785372 B850855:B850908 B916391:B916444 B981927:B981980 B1047463:B1047516 IX64423:IX64476 IX129959:IX130012 IX195495:IX195548 IX261031:IX261084 IX326567:IX326620 IX392103:IX392156 IX457639:IX457692 IX523175:IX523228 IX588711:IX588764 IX654247:IX654300 IX719783:IX719836 IX785319:IX785372 IX850855:IX850908 IX916391:IX916444 IX981927:IX981980 IX1047463:IX1047516 ST64423:ST64476 ST129959:ST130012 ST195495:ST195548 ST261031:ST261084 ST326567:ST326620 ST392103:ST392156 ST457639:ST457692 ST523175:ST523228 ST588711:ST588764 ST654247:ST654300 ST719783:ST719836 ST785319:ST785372 ST850855:ST850908 ST916391:ST916444 ST981927:ST981980 ST1047463:ST1047516 ACP64423:ACP64476 ACP129959:ACP130012 ACP195495:ACP195548 ACP261031:ACP261084 ACP326567:ACP326620 ACP392103:ACP392156 ACP457639:ACP457692 ACP523175:ACP523228 ACP588711:ACP588764 ACP654247:ACP654300 ACP719783:ACP719836 ACP785319:ACP785372 ACP850855:ACP850908 ACP916391:ACP916444 ACP981927:ACP981980 ACP1047463:ACP1047516 AML64423:AML64476 AML129959:AML130012 AML195495:AML195548 AML261031:AML261084 AML326567:AML326620 AML392103:AML392156 AML457639:AML457692 AML523175:AML523228 AML588711:AML588764 AML654247:AML654300 AML719783:AML719836 AML785319:AML785372 AML850855:AML850908 AML916391:AML916444 AML981927:AML981980 AML1047463:AML1047516 AWH64423:AWH64476 AWH129959:AWH130012 AWH195495:AWH195548 AWH261031:AWH261084 AWH326567:AWH326620 AWH392103:AWH392156 AWH457639:AWH457692 AWH523175:AWH523228 AWH588711:AWH588764 AWH654247:AWH654300 AWH719783:AWH719836 AWH785319:AWH785372 AWH850855:AWH850908 AWH916391:AWH916444 AWH981927:AWH981980 AWH1047463:AWH1047516 BGD64423:BGD64476 BGD129959:BGD130012 BGD195495:BGD195548 BGD261031:BGD261084 BGD326567:BGD326620 BGD392103:BGD392156 BGD457639:BGD457692 BGD523175:BGD523228 BGD588711:BGD588764 BGD654247:BGD654300 BGD719783:BGD719836 BGD785319:BGD785372 BGD850855:BGD850908 BGD916391:BGD916444 BGD981927:BGD981980 BGD1047463:BGD1047516 BPZ64423:BPZ64476 BPZ129959:BPZ130012 BPZ195495:BPZ195548 BPZ261031:BPZ261084 BPZ326567:BPZ326620 BPZ392103:BPZ392156 BPZ457639:BPZ457692 BPZ523175:BPZ523228 BPZ588711:BPZ588764 BPZ654247:BPZ654300 BPZ719783:BPZ719836 BPZ785319:BPZ785372 BPZ850855:BPZ850908 BPZ916391:BPZ916444 BPZ981927:BPZ981980 BPZ1047463:BPZ1047516 BZV64423:BZV64476 BZV129959:BZV130012 BZV195495:BZV195548 BZV261031:BZV261084 BZV326567:BZV326620 BZV392103:BZV392156 BZV457639:BZV457692 BZV523175:BZV523228 BZV588711:BZV588764 BZV654247:BZV654300 BZV719783:BZV719836 BZV785319:BZV785372 BZV850855:BZV850908 BZV916391:BZV916444 BZV981927:BZV981980 BZV1047463:BZV1047516 CJR64423:CJR64476 CJR129959:CJR130012 CJR195495:CJR195548 CJR261031:CJR261084 CJR326567:CJR326620 CJR392103:CJR392156 CJR457639:CJR457692 CJR523175:CJR523228 CJR588711:CJR588764 CJR654247:CJR654300 CJR719783:CJR719836 CJR785319:CJR785372 CJR850855:CJR850908 CJR916391:CJR916444 CJR981927:CJR981980 CJR1047463:CJR1047516 CTN64423:CTN64476 CTN129959:CTN130012 CTN195495:CTN195548 CTN261031:CTN261084 CTN326567:CTN326620 CTN392103:CTN392156 CTN457639:CTN457692 CTN523175:CTN523228 CTN588711:CTN588764 CTN654247:CTN654300 CTN719783:CTN719836 CTN785319:CTN785372 CTN850855:CTN850908 CTN916391:CTN916444 CTN981927:CTN981980 CTN1047463:CTN1047516 DDJ64423:DDJ64476 DDJ129959:DDJ130012 DDJ195495:DDJ195548 DDJ261031:DDJ261084 DDJ326567:DDJ326620 DDJ392103:DDJ392156 DDJ457639:DDJ457692 DDJ523175:DDJ523228 DDJ588711:DDJ588764 DDJ654247:DDJ654300 DDJ719783:DDJ719836 DDJ785319:DDJ785372 DDJ850855:DDJ850908 DDJ916391:DDJ916444 DDJ981927:DDJ981980 DDJ1047463:DDJ1047516 DNF64423:DNF64476 DNF129959:DNF130012 DNF195495:DNF195548 DNF261031:DNF261084 DNF326567:DNF326620 DNF392103:DNF392156 DNF457639:DNF457692 DNF523175:DNF523228 DNF588711:DNF588764 DNF654247:DNF654300 DNF719783:DNF719836 DNF785319:DNF785372 DNF850855:DNF850908 DNF916391:DNF916444 DNF981927:DNF981980 DNF1047463:DNF1047516 DXB64423:DXB64476 DXB129959:DXB130012 DXB195495:DXB195548 DXB261031:DXB261084 DXB326567:DXB326620 DXB392103:DXB392156 DXB457639:DXB457692 DXB523175:DXB523228 DXB588711:DXB588764 DXB654247:DXB654300 DXB719783:DXB719836 DXB785319:DXB785372 DXB850855:DXB850908 DXB916391:DXB916444 DXB981927:DXB981980 DXB1047463:DXB1047516 EGX64423:EGX64476 EGX129959:EGX130012 EGX195495:EGX195548 EGX261031:EGX261084 EGX326567:EGX326620 EGX392103:EGX392156 EGX457639:EGX457692 EGX523175:EGX523228 EGX588711:EGX588764 EGX654247:EGX654300 EGX719783:EGX719836 EGX785319:EGX785372 EGX850855:EGX850908 EGX916391:EGX916444 EGX981927:EGX981980 EGX1047463:EGX1047516 EQT64423:EQT64476 EQT129959:EQT130012 EQT195495:EQT195548 EQT261031:EQT261084 EQT326567:EQT326620 EQT392103:EQT392156 EQT457639:EQT457692 EQT523175:EQT523228 EQT588711:EQT588764 EQT654247:EQT654300 EQT719783:EQT719836 EQT785319:EQT785372 EQT850855:EQT850908 EQT916391:EQT916444 EQT981927:EQT981980 EQT1047463:EQT1047516 FAP64423:FAP64476 FAP129959:FAP130012 FAP195495:FAP195548 FAP261031:FAP261084 FAP326567:FAP326620 FAP392103:FAP392156 FAP457639:FAP457692 FAP523175:FAP523228 FAP588711:FAP588764 FAP654247:FAP654300 FAP719783:FAP719836 FAP785319:FAP785372 FAP850855:FAP850908 FAP916391:FAP916444 FAP981927:FAP981980 FAP1047463:FAP1047516 FKL64423:FKL64476 FKL129959:FKL130012 FKL195495:FKL195548 FKL261031:FKL261084 FKL326567:FKL326620 FKL392103:FKL392156 FKL457639:FKL457692 FKL523175:FKL523228 FKL588711:FKL588764 FKL654247:FKL654300 FKL719783:FKL719836 FKL785319:FKL785372 FKL850855:FKL850908 FKL916391:FKL916444 FKL981927:FKL981980 FKL1047463:FKL1047516 FUH64423:FUH64476 FUH129959:FUH130012 FUH195495:FUH195548 FUH261031:FUH261084 FUH326567:FUH326620 FUH392103:FUH392156 FUH457639:FUH457692 FUH523175:FUH523228 FUH588711:FUH588764 FUH654247:FUH654300 FUH719783:FUH719836 FUH785319:FUH785372 FUH850855:FUH850908 FUH916391:FUH916444 FUH981927:FUH981980 FUH1047463:FUH1047516 GED64423:GED64476 GED129959:GED130012 GED195495:GED195548 GED261031:GED261084 GED326567:GED326620 GED392103:GED392156 GED457639:GED457692 GED523175:GED523228 GED588711:GED588764 GED654247:GED654300 GED719783:GED719836 GED785319:GED785372 GED850855:GED850908 GED916391:GED916444 GED981927:GED981980 GED1047463:GED1047516 GNZ64423:GNZ64476 GNZ129959:GNZ130012 GNZ195495:GNZ195548 GNZ261031:GNZ261084 GNZ326567:GNZ326620 GNZ392103:GNZ392156 GNZ457639:GNZ457692 GNZ523175:GNZ523228 GNZ588711:GNZ588764 GNZ654247:GNZ654300 GNZ719783:GNZ719836 GNZ785319:GNZ785372 GNZ850855:GNZ850908 GNZ916391:GNZ916444 GNZ981927:GNZ981980 GNZ1047463:GNZ1047516 GXV64423:GXV64476 GXV129959:GXV130012 GXV195495:GXV195548 GXV261031:GXV261084 GXV326567:GXV326620 GXV392103:GXV392156 GXV457639:GXV457692 GXV523175:GXV523228 GXV588711:GXV588764 GXV654247:GXV654300 GXV719783:GXV719836 GXV785319:GXV785372 GXV850855:GXV850908 GXV916391:GXV916444 GXV981927:GXV981980 GXV1047463:GXV1047516 HHR64423:HHR64476 HHR129959:HHR130012 HHR195495:HHR195548 HHR261031:HHR261084 HHR326567:HHR326620 HHR392103:HHR392156 HHR457639:HHR457692 HHR523175:HHR523228 HHR588711:HHR588764 HHR654247:HHR654300 HHR719783:HHR719836 HHR785319:HHR785372 HHR850855:HHR850908 HHR916391:HHR916444 HHR981927:HHR981980 HHR1047463:HHR1047516 HRN64423:HRN64476 HRN129959:HRN130012 HRN195495:HRN195548 HRN261031:HRN261084 HRN326567:HRN326620 HRN392103:HRN392156 HRN457639:HRN457692 HRN523175:HRN523228 HRN588711:HRN588764 HRN654247:HRN654300 HRN719783:HRN719836 HRN785319:HRN785372 HRN850855:HRN850908 HRN916391:HRN916444 HRN981927:HRN981980 HRN1047463:HRN1047516 IBJ64423:IBJ64476 IBJ129959:IBJ130012 IBJ195495:IBJ195548 IBJ261031:IBJ261084 IBJ326567:IBJ326620 IBJ392103:IBJ392156 IBJ457639:IBJ457692 IBJ523175:IBJ523228 IBJ588711:IBJ588764 IBJ654247:IBJ654300 IBJ719783:IBJ719836 IBJ785319:IBJ785372 IBJ850855:IBJ850908 IBJ916391:IBJ916444 IBJ981927:IBJ981980 IBJ1047463:IBJ1047516 ILF64423:ILF64476 ILF129959:ILF130012 ILF195495:ILF195548 ILF261031:ILF261084 ILF326567:ILF326620 ILF392103:ILF392156 ILF457639:ILF457692 ILF523175:ILF523228 ILF588711:ILF588764 ILF654247:ILF654300 ILF719783:ILF719836 ILF785319:ILF785372 ILF850855:ILF850908 ILF916391:ILF916444 ILF981927:ILF981980 ILF1047463:ILF1047516 IVB64423:IVB64476 IVB129959:IVB130012 IVB195495:IVB195548 IVB261031:IVB261084 IVB326567:IVB326620 IVB392103:IVB392156 IVB457639:IVB457692 IVB523175:IVB523228 IVB588711:IVB588764 IVB654247:IVB654300 IVB719783:IVB719836 IVB785319:IVB785372 IVB850855:IVB850908 IVB916391:IVB916444 IVB981927:IVB981980 IVB1047463:IVB1047516 JEX64423:JEX64476 JEX129959:JEX130012 JEX195495:JEX195548 JEX261031:JEX261084 JEX326567:JEX326620 JEX392103:JEX392156 JEX457639:JEX457692 JEX523175:JEX523228 JEX588711:JEX588764 JEX654247:JEX654300 JEX719783:JEX719836 JEX785319:JEX785372 JEX850855:JEX850908 JEX916391:JEX916444 JEX981927:JEX981980 JEX1047463:JEX1047516 JOT64423:JOT64476 JOT129959:JOT130012 JOT195495:JOT195548 JOT261031:JOT261084 JOT326567:JOT326620 JOT392103:JOT392156 JOT457639:JOT457692 JOT523175:JOT523228 JOT588711:JOT588764 JOT654247:JOT654300 JOT719783:JOT719836 JOT785319:JOT785372 JOT850855:JOT850908 JOT916391:JOT916444 JOT981927:JOT981980 JOT1047463:JOT1047516 JYP64423:JYP64476 JYP129959:JYP130012 JYP195495:JYP195548 JYP261031:JYP261084 JYP326567:JYP326620 JYP392103:JYP392156 JYP457639:JYP457692 JYP523175:JYP523228 JYP588711:JYP588764 JYP654247:JYP654300 JYP719783:JYP719836 JYP785319:JYP785372 JYP850855:JYP850908 JYP916391:JYP916444 JYP981927:JYP981980 JYP1047463:JYP1047516 KIL64423:KIL64476 KIL129959:KIL130012 KIL195495:KIL195548 KIL261031:KIL261084 KIL326567:KIL326620 KIL392103:KIL392156 KIL457639:KIL457692 KIL523175:KIL523228 KIL588711:KIL588764 KIL654247:KIL654300 KIL719783:KIL719836 KIL785319:KIL785372 KIL850855:KIL850908 KIL916391:KIL916444 KIL981927:KIL981980 KIL1047463:KIL1047516 KSH64423:KSH64476 KSH129959:KSH130012 KSH195495:KSH195548 KSH261031:KSH261084 KSH326567:KSH326620 KSH392103:KSH392156 KSH457639:KSH457692 KSH523175:KSH523228 KSH588711:KSH588764 KSH654247:KSH654300 KSH719783:KSH719836 KSH785319:KSH785372 KSH850855:KSH850908 KSH916391:KSH916444 KSH981927:KSH981980 KSH1047463:KSH1047516 LCD64423:LCD64476 LCD129959:LCD130012 LCD195495:LCD195548 LCD261031:LCD261084 LCD326567:LCD326620 LCD392103:LCD392156 LCD457639:LCD457692 LCD523175:LCD523228 LCD588711:LCD588764 LCD654247:LCD654300 LCD719783:LCD719836 LCD785319:LCD785372 LCD850855:LCD850908 LCD916391:LCD916444 LCD981927:LCD981980 LCD1047463:LCD1047516 LLZ64423:LLZ64476 LLZ129959:LLZ130012 LLZ195495:LLZ195548 LLZ261031:LLZ261084 LLZ326567:LLZ326620 LLZ392103:LLZ392156 LLZ457639:LLZ457692 LLZ523175:LLZ523228 LLZ588711:LLZ588764 LLZ654247:LLZ654300 LLZ719783:LLZ719836 LLZ785319:LLZ785372 LLZ850855:LLZ850908 LLZ916391:LLZ916444 LLZ981927:LLZ981980 LLZ1047463:LLZ1047516 LVV64423:LVV64476 LVV129959:LVV130012 LVV195495:LVV195548 LVV261031:LVV261084 LVV326567:LVV326620 LVV392103:LVV392156 LVV457639:LVV457692 LVV523175:LVV523228 LVV588711:LVV588764 LVV654247:LVV654300 LVV719783:LVV719836 LVV785319:LVV785372 LVV850855:LVV850908 LVV916391:LVV916444 LVV981927:LVV981980 LVV1047463:LVV1047516 MFR64423:MFR64476 MFR129959:MFR130012 MFR195495:MFR195548 MFR261031:MFR261084 MFR326567:MFR326620 MFR392103:MFR392156 MFR457639:MFR457692 MFR523175:MFR523228 MFR588711:MFR588764 MFR654247:MFR654300 MFR719783:MFR719836 MFR785319:MFR785372 MFR850855:MFR850908 MFR916391:MFR916444 MFR981927:MFR981980 MFR1047463:MFR1047516 MPN64423:MPN64476 MPN129959:MPN130012 MPN195495:MPN195548 MPN261031:MPN261084 MPN326567:MPN326620 MPN392103:MPN392156 MPN457639:MPN457692 MPN523175:MPN523228 MPN588711:MPN588764 MPN654247:MPN654300 MPN719783:MPN719836 MPN785319:MPN785372 MPN850855:MPN850908 MPN916391:MPN916444 MPN981927:MPN981980 MPN1047463:MPN1047516 MZJ64423:MZJ64476 MZJ129959:MZJ130012 MZJ195495:MZJ195548 MZJ261031:MZJ261084 MZJ326567:MZJ326620 MZJ392103:MZJ392156 MZJ457639:MZJ457692 MZJ523175:MZJ523228 MZJ588711:MZJ588764 MZJ654247:MZJ654300 MZJ719783:MZJ719836 MZJ785319:MZJ785372 MZJ850855:MZJ850908 MZJ916391:MZJ916444 MZJ981927:MZJ981980 MZJ1047463:MZJ1047516 NJF64423:NJF64476 NJF129959:NJF130012 NJF195495:NJF195548 NJF261031:NJF261084 NJF326567:NJF326620 NJF392103:NJF392156 NJF457639:NJF457692 NJF523175:NJF523228 NJF588711:NJF588764 NJF654247:NJF654300 NJF719783:NJF719836 NJF785319:NJF785372 NJF850855:NJF850908 NJF916391:NJF916444 NJF981927:NJF981980 NJF1047463:NJF1047516 NTB64423:NTB64476 NTB129959:NTB130012 NTB195495:NTB195548 NTB261031:NTB261084 NTB326567:NTB326620 NTB392103:NTB392156 NTB457639:NTB457692 NTB523175:NTB523228 NTB588711:NTB588764 NTB654247:NTB654300 NTB719783:NTB719836 NTB785319:NTB785372 NTB850855:NTB850908 NTB916391:NTB916444 NTB981927:NTB981980 NTB1047463:NTB1047516 OCX64423:OCX64476 OCX129959:OCX130012 OCX195495:OCX195548 OCX261031:OCX261084 OCX326567:OCX326620 OCX392103:OCX392156 OCX457639:OCX457692 OCX523175:OCX523228 OCX588711:OCX588764 OCX654247:OCX654300 OCX719783:OCX719836 OCX785319:OCX785372 OCX850855:OCX850908 OCX916391:OCX916444 OCX981927:OCX981980 OCX1047463:OCX1047516 OMT64423:OMT64476 OMT129959:OMT130012 OMT195495:OMT195548 OMT261031:OMT261084 OMT326567:OMT326620 OMT392103:OMT392156 OMT457639:OMT457692 OMT523175:OMT523228 OMT588711:OMT588764 OMT654247:OMT654300 OMT719783:OMT719836 OMT785319:OMT785372 OMT850855:OMT850908 OMT916391:OMT916444 OMT981927:OMT981980 OMT1047463:OMT1047516 OWP64423:OWP64476 OWP129959:OWP130012 OWP195495:OWP195548 OWP261031:OWP261084 OWP326567:OWP326620 OWP392103:OWP392156 OWP457639:OWP457692 OWP523175:OWP523228 OWP588711:OWP588764 OWP654247:OWP654300 OWP719783:OWP719836 OWP785319:OWP785372 OWP850855:OWP850908 OWP916391:OWP916444 OWP981927:OWP981980 OWP1047463:OWP1047516 PGL64423:PGL64476 PGL129959:PGL130012 PGL195495:PGL195548 PGL261031:PGL261084 PGL326567:PGL326620 PGL392103:PGL392156 PGL457639:PGL457692 PGL523175:PGL523228 PGL588711:PGL588764 PGL654247:PGL654300 PGL719783:PGL719836 PGL785319:PGL785372 PGL850855:PGL850908 PGL916391:PGL916444 PGL981927:PGL981980 PGL1047463:PGL1047516 PQH64423:PQH64476 PQH129959:PQH130012 PQH195495:PQH195548 PQH261031:PQH261084 PQH326567:PQH326620 PQH392103:PQH392156 PQH457639:PQH457692 PQH523175:PQH523228 PQH588711:PQH588764 PQH654247:PQH654300 PQH719783:PQH719836 PQH785319:PQH785372 PQH850855:PQH850908 PQH916391:PQH916444 PQH981927:PQH981980 PQH1047463:PQH1047516 QAD64423:QAD64476 QAD129959:QAD130012 QAD195495:QAD195548 QAD261031:QAD261084 QAD326567:QAD326620 QAD392103:QAD392156 QAD457639:QAD457692 QAD523175:QAD523228 QAD588711:QAD588764 QAD654247:QAD654300 QAD719783:QAD719836 QAD785319:QAD785372 QAD850855:QAD850908 QAD916391:QAD916444 QAD981927:QAD981980 QAD1047463:QAD1047516 QJZ64423:QJZ64476 QJZ129959:QJZ130012 QJZ195495:QJZ195548 QJZ261031:QJZ261084 QJZ326567:QJZ326620 QJZ392103:QJZ392156 QJZ457639:QJZ457692 QJZ523175:QJZ523228 QJZ588711:QJZ588764 QJZ654247:QJZ654300 QJZ719783:QJZ719836 QJZ785319:QJZ785372 QJZ850855:QJZ850908 QJZ916391:QJZ916444 QJZ981927:QJZ981980 QJZ1047463:QJZ1047516 QTV64423:QTV64476 QTV129959:QTV130012 QTV195495:QTV195548 QTV261031:QTV261084 QTV326567:QTV326620 QTV392103:QTV392156 QTV457639:QTV457692 QTV523175:QTV523228 QTV588711:QTV588764 QTV654247:QTV654300 QTV719783:QTV719836 QTV785319:QTV785372 QTV850855:QTV850908 QTV916391:QTV916444 QTV981927:QTV981980 QTV1047463:QTV1047516 RDR64423:RDR64476 RDR129959:RDR130012 RDR195495:RDR195548 RDR261031:RDR261084 RDR326567:RDR326620 RDR392103:RDR392156 RDR457639:RDR457692 RDR523175:RDR523228 RDR588711:RDR588764 RDR654247:RDR654300 RDR719783:RDR719836 RDR785319:RDR785372 RDR850855:RDR850908 RDR916391:RDR916444 RDR981927:RDR981980 RDR1047463:RDR1047516 RNN64423:RNN64476 RNN129959:RNN130012 RNN195495:RNN195548 RNN261031:RNN261084 RNN326567:RNN326620 RNN392103:RNN392156 RNN457639:RNN457692 RNN523175:RNN523228 RNN588711:RNN588764 RNN654247:RNN654300 RNN719783:RNN719836 RNN785319:RNN785372 RNN850855:RNN850908 RNN916391:RNN916444 RNN981927:RNN981980 RNN1047463:RNN1047516 RXJ64423:RXJ64476 RXJ129959:RXJ130012 RXJ195495:RXJ195548 RXJ261031:RXJ261084 RXJ326567:RXJ326620 RXJ392103:RXJ392156 RXJ457639:RXJ457692 RXJ523175:RXJ523228 RXJ588711:RXJ588764 RXJ654247:RXJ654300 RXJ719783:RXJ719836 RXJ785319:RXJ785372 RXJ850855:RXJ850908 RXJ916391:RXJ916444 RXJ981927:RXJ981980 RXJ1047463:RXJ1047516 SHF64423:SHF64476 SHF129959:SHF130012 SHF195495:SHF195548 SHF261031:SHF261084 SHF326567:SHF326620 SHF392103:SHF392156 SHF457639:SHF457692 SHF523175:SHF523228 SHF588711:SHF588764 SHF654247:SHF654300 SHF719783:SHF719836 SHF785319:SHF785372 SHF850855:SHF850908 SHF916391:SHF916444 SHF981927:SHF981980 SHF1047463:SHF1047516 SRB64423:SRB64476 SRB129959:SRB130012 SRB195495:SRB195548 SRB261031:SRB261084 SRB326567:SRB326620 SRB392103:SRB392156 SRB457639:SRB457692 SRB523175:SRB523228 SRB588711:SRB588764 SRB654247:SRB654300 SRB719783:SRB719836 SRB785319:SRB785372 SRB850855:SRB850908 SRB916391:SRB916444 SRB981927:SRB981980 SRB1047463:SRB1047516 TAX64423:TAX64476 TAX129959:TAX130012 TAX195495:TAX195548 TAX261031:TAX261084 TAX326567:TAX326620 TAX392103:TAX392156 TAX457639:TAX457692 TAX523175:TAX523228 TAX588711:TAX588764 TAX654247:TAX654300 TAX719783:TAX719836 TAX785319:TAX785372 TAX850855:TAX850908 TAX916391:TAX916444 TAX981927:TAX981980 TAX1047463:TAX1047516 TKT64423:TKT64476 TKT129959:TKT130012 TKT195495:TKT195548 TKT261031:TKT261084 TKT326567:TKT326620 TKT392103:TKT392156 TKT457639:TKT457692 TKT523175:TKT523228 TKT588711:TKT588764 TKT654247:TKT654300 TKT719783:TKT719836 TKT785319:TKT785372 TKT850855:TKT850908 TKT916391:TKT916444 TKT981927:TKT981980 TKT1047463:TKT1047516 TUP64423:TUP64476 TUP129959:TUP130012 TUP195495:TUP195548 TUP261031:TUP261084 TUP326567:TUP326620 TUP392103:TUP392156 TUP457639:TUP457692 TUP523175:TUP523228 TUP588711:TUP588764 TUP654247:TUP654300 TUP719783:TUP719836 TUP785319:TUP785372 TUP850855:TUP850908 TUP916391:TUP916444 TUP981927:TUP981980 TUP1047463:TUP1047516 UEL64423:UEL64476 UEL129959:UEL130012 UEL195495:UEL195548 UEL261031:UEL261084 UEL326567:UEL326620 UEL392103:UEL392156 UEL457639:UEL457692 UEL523175:UEL523228 UEL588711:UEL588764 UEL654247:UEL654300 UEL719783:UEL719836 UEL785319:UEL785372 UEL850855:UEL850908 UEL916391:UEL916444 UEL981927:UEL981980 UEL1047463:UEL1047516 UOH64423:UOH64476 UOH129959:UOH130012 UOH195495:UOH195548 UOH261031:UOH261084 UOH326567:UOH326620 UOH392103:UOH392156 UOH457639:UOH457692 UOH523175:UOH523228 UOH588711:UOH588764 UOH654247:UOH654300 UOH719783:UOH719836 UOH785319:UOH785372 UOH850855:UOH850908 UOH916391:UOH916444 UOH981927:UOH981980 UOH1047463:UOH1047516 UYD64423:UYD64476 UYD129959:UYD130012 UYD195495:UYD195548 UYD261031:UYD261084 UYD326567:UYD326620 UYD392103:UYD392156 UYD457639:UYD457692 UYD523175:UYD523228 UYD588711:UYD588764 UYD654247:UYD654300 UYD719783:UYD719836 UYD785319:UYD785372 UYD850855:UYD850908 UYD916391:UYD916444 UYD981927:UYD981980 UYD1047463:UYD1047516 VHZ64423:VHZ64476 VHZ129959:VHZ130012 VHZ195495:VHZ195548 VHZ261031:VHZ261084 VHZ326567:VHZ326620 VHZ392103:VHZ392156 VHZ457639:VHZ457692 VHZ523175:VHZ523228 VHZ588711:VHZ588764 VHZ654247:VHZ654300 VHZ719783:VHZ719836 VHZ785319:VHZ785372 VHZ850855:VHZ850908 VHZ916391:VHZ916444 VHZ981927:VHZ981980 VHZ1047463:VHZ1047516 VRV64423:VRV64476 VRV129959:VRV130012 VRV195495:VRV195548 VRV261031:VRV261084 VRV326567:VRV326620 VRV392103:VRV392156 VRV457639:VRV457692 VRV523175:VRV523228 VRV588711:VRV588764 VRV654247:VRV654300 VRV719783:VRV719836 VRV785319:VRV785372 VRV850855:VRV850908 VRV916391:VRV916444 VRV981927:VRV981980 VRV1047463:VRV1047516 WBR64423:WBR64476 WBR129959:WBR130012 WBR195495:WBR195548 WBR261031:WBR261084 WBR326567:WBR326620 WBR392103:WBR392156 WBR457639:WBR457692 WBR523175:WBR523228 WBR588711:WBR588764 WBR654247:WBR654300 WBR719783:WBR719836 WBR785319:WBR785372 WBR850855:WBR850908 WBR916391:WBR916444 WBR981927:WBR981980 WBR1047463:WBR1047516 WLN64423:WLN64476 WLN129959:WLN130012 WLN195495:WLN195548 WLN261031:WLN261084 WLN326567:WLN326620 WLN392103:WLN392156 WLN457639:WLN457692 WLN523175:WLN523228 WLN588711:WLN588764 WLN654247:WLN654300 WLN719783:WLN719836 WLN785319:WLN785372 WLN850855:WLN850908 WLN916391:WLN916444 WLN981927:WLN981980 WLN1047463:WLN1047516 WVJ64423:WVJ64476 WVJ129959:WVJ130012 WVJ195495:WVJ195548 WVJ261031:WVJ261084 WVJ326567:WVJ326620 WVJ392103:WVJ392156 WVJ457639:WVJ457692 WVJ523175:WVJ523228 WVJ588711:WVJ588764 WVJ654247:WVJ654300 WVJ719783:WVJ719836 WVJ785319:WVJ785372 WVJ850855:WVJ850908 WVJ916391:WVJ916444 WVJ981927:WVJ981980 WVJ1047463:WVJ1047516" xr:uid="{65FF3AA0-5C3E-4373-98C8-8A8420A97CDB}"/>
    <dataValidation type="list" allowBlank="1" showInputMessage="1" showErrorMessage="1" sqref="A2:A500 A65538:A66036 A131074:A131572 A196610:A197108 A262146:A262644 A327682:A328180 A393218:A393716 A458754:A459252 A524290:A524788 A589826:A590324 A655362:A655860 A720898:A721396 A786434:A786932 A851970:A852468 A917506:A918004 A983042:A983540 IW2:IW500 IW65538:IW66036 IW131074:IW131572 IW196610:IW197108 IW262146:IW262644 IW327682:IW328180 IW393218:IW393716 IW458754:IW459252 IW524290:IW524788 IW589826:IW590324 IW655362:IW655860 IW720898:IW721396 IW786434:IW786932 IW851970:IW852468 IW917506:IW918004 IW983042:IW983540 SS2:SS500 SS65538:SS66036 SS131074:SS131572 SS196610:SS197108 SS262146:SS262644 SS327682:SS328180 SS393218:SS393716 SS458754:SS459252 SS524290:SS524788 SS589826:SS590324 SS655362:SS655860 SS720898:SS721396 SS786434:SS786932 SS851970:SS852468 SS917506:SS918004 SS983042:SS983540 ACO2:ACO500 ACO65538:ACO66036 ACO131074:ACO131572 ACO196610:ACO197108 ACO262146:ACO262644 ACO327682:ACO328180 ACO393218:ACO393716 ACO458754:ACO459252 ACO524290:ACO524788 ACO589826:ACO590324 ACO655362:ACO655860 ACO720898:ACO721396 ACO786434:ACO786932 ACO851970:ACO852468 ACO917506:ACO918004 ACO983042:ACO983540 AMK2:AMK500 AMK65538:AMK66036 AMK131074:AMK131572 AMK196610:AMK197108 AMK262146:AMK262644 AMK327682:AMK328180 AMK393218:AMK393716 AMK458754:AMK459252 AMK524290:AMK524788 AMK589826:AMK590324 AMK655362:AMK655860 AMK720898:AMK721396 AMK786434:AMK786932 AMK851970:AMK852468 AMK917506:AMK918004 AMK983042:AMK983540 AWG2:AWG500 AWG65538:AWG66036 AWG131074:AWG131572 AWG196610:AWG197108 AWG262146:AWG262644 AWG327682:AWG328180 AWG393218:AWG393716 AWG458754:AWG459252 AWG524290:AWG524788 AWG589826:AWG590324 AWG655362:AWG655860 AWG720898:AWG721396 AWG786434:AWG786932 AWG851970:AWG852468 AWG917506:AWG918004 AWG983042:AWG983540 BGC2:BGC500 BGC65538:BGC66036 BGC131074:BGC131572 BGC196610:BGC197108 BGC262146:BGC262644 BGC327682:BGC328180 BGC393218:BGC393716 BGC458754:BGC459252 BGC524290:BGC524788 BGC589826:BGC590324 BGC655362:BGC655860 BGC720898:BGC721396 BGC786434:BGC786932 BGC851970:BGC852468 BGC917506:BGC918004 BGC983042:BGC983540 BPY2:BPY500 BPY65538:BPY66036 BPY131074:BPY131572 BPY196610:BPY197108 BPY262146:BPY262644 BPY327682:BPY328180 BPY393218:BPY393716 BPY458754:BPY459252 BPY524290:BPY524788 BPY589826:BPY590324 BPY655362:BPY655860 BPY720898:BPY721396 BPY786434:BPY786932 BPY851970:BPY852468 BPY917506:BPY918004 BPY983042:BPY983540 BZU2:BZU500 BZU65538:BZU66036 BZU131074:BZU131572 BZU196610:BZU197108 BZU262146:BZU262644 BZU327682:BZU328180 BZU393218:BZU393716 BZU458754:BZU459252 BZU524290:BZU524788 BZU589826:BZU590324 BZU655362:BZU655860 BZU720898:BZU721396 BZU786434:BZU786932 BZU851970:BZU852468 BZU917506:BZU918004 BZU983042:BZU983540 CJQ2:CJQ500 CJQ65538:CJQ66036 CJQ131074:CJQ131572 CJQ196610:CJQ197108 CJQ262146:CJQ262644 CJQ327682:CJQ328180 CJQ393218:CJQ393716 CJQ458754:CJQ459252 CJQ524290:CJQ524788 CJQ589826:CJQ590324 CJQ655362:CJQ655860 CJQ720898:CJQ721396 CJQ786434:CJQ786932 CJQ851970:CJQ852468 CJQ917506:CJQ918004 CJQ983042:CJQ983540 CTM2:CTM500 CTM65538:CTM66036 CTM131074:CTM131572 CTM196610:CTM197108 CTM262146:CTM262644 CTM327682:CTM328180 CTM393218:CTM393716 CTM458754:CTM459252 CTM524290:CTM524788 CTM589826:CTM590324 CTM655362:CTM655860 CTM720898:CTM721396 CTM786434:CTM786932 CTM851970:CTM852468 CTM917506:CTM918004 CTM983042:CTM983540 DDI2:DDI500 DDI65538:DDI66036 DDI131074:DDI131572 DDI196610:DDI197108 DDI262146:DDI262644 DDI327682:DDI328180 DDI393218:DDI393716 DDI458754:DDI459252 DDI524290:DDI524788 DDI589826:DDI590324 DDI655362:DDI655860 DDI720898:DDI721396 DDI786434:DDI786932 DDI851970:DDI852468 DDI917506:DDI918004 DDI983042:DDI983540 DNE2:DNE500 DNE65538:DNE66036 DNE131074:DNE131572 DNE196610:DNE197108 DNE262146:DNE262644 DNE327682:DNE328180 DNE393218:DNE393716 DNE458754:DNE459252 DNE524290:DNE524788 DNE589826:DNE590324 DNE655362:DNE655860 DNE720898:DNE721396 DNE786434:DNE786932 DNE851970:DNE852468 DNE917506:DNE918004 DNE983042:DNE983540 DXA2:DXA500 DXA65538:DXA66036 DXA131074:DXA131572 DXA196610:DXA197108 DXA262146:DXA262644 DXA327682:DXA328180 DXA393218:DXA393716 DXA458754:DXA459252 DXA524290:DXA524788 DXA589826:DXA590324 DXA655362:DXA655860 DXA720898:DXA721396 DXA786434:DXA786932 DXA851970:DXA852468 DXA917506:DXA918004 DXA983042:DXA983540 EGW2:EGW500 EGW65538:EGW66036 EGW131074:EGW131572 EGW196610:EGW197108 EGW262146:EGW262644 EGW327682:EGW328180 EGW393218:EGW393716 EGW458754:EGW459252 EGW524290:EGW524788 EGW589826:EGW590324 EGW655362:EGW655860 EGW720898:EGW721396 EGW786434:EGW786932 EGW851970:EGW852468 EGW917506:EGW918004 EGW983042:EGW983540 EQS2:EQS500 EQS65538:EQS66036 EQS131074:EQS131572 EQS196610:EQS197108 EQS262146:EQS262644 EQS327682:EQS328180 EQS393218:EQS393716 EQS458754:EQS459252 EQS524290:EQS524788 EQS589826:EQS590324 EQS655362:EQS655860 EQS720898:EQS721396 EQS786434:EQS786932 EQS851970:EQS852468 EQS917506:EQS918004 EQS983042:EQS983540 FAO2:FAO500 FAO65538:FAO66036 FAO131074:FAO131572 FAO196610:FAO197108 FAO262146:FAO262644 FAO327682:FAO328180 FAO393218:FAO393716 FAO458754:FAO459252 FAO524290:FAO524788 FAO589826:FAO590324 FAO655362:FAO655860 FAO720898:FAO721396 FAO786434:FAO786932 FAO851970:FAO852468 FAO917506:FAO918004 FAO983042:FAO983540 FKK2:FKK500 FKK65538:FKK66036 FKK131074:FKK131572 FKK196610:FKK197108 FKK262146:FKK262644 FKK327682:FKK328180 FKK393218:FKK393716 FKK458754:FKK459252 FKK524290:FKK524788 FKK589826:FKK590324 FKK655362:FKK655860 FKK720898:FKK721396 FKK786434:FKK786932 FKK851970:FKK852468 FKK917506:FKK918004 FKK983042:FKK983540 FUG2:FUG500 FUG65538:FUG66036 FUG131074:FUG131572 FUG196610:FUG197108 FUG262146:FUG262644 FUG327682:FUG328180 FUG393218:FUG393716 FUG458754:FUG459252 FUG524290:FUG524788 FUG589826:FUG590324 FUG655362:FUG655860 FUG720898:FUG721396 FUG786434:FUG786932 FUG851970:FUG852468 FUG917506:FUG918004 FUG983042:FUG983540 GEC2:GEC500 GEC65538:GEC66036 GEC131074:GEC131572 GEC196610:GEC197108 GEC262146:GEC262644 GEC327682:GEC328180 GEC393218:GEC393716 GEC458754:GEC459252 GEC524290:GEC524788 GEC589826:GEC590324 GEC655362:GEC655860 GEC720898:GEC721396 GEC786434:GEC786932 GEC851970:GEC852468 GEC917506:GEC918004 GEC983042:GEC983540 GNY2:GNY500 GNY65538:GNY66036 GNY131074:GNY131572 GNY196610:GNY197108 GNY262146:GNY262644 GNY327682:GNY328180 GNY393218:GNY393716 GNY458754:GNY459252 GNY524290:GNY524788 GNY589826:GNY590324 GNY655362:GNY655860 GNY720898:GNY721396 GNY786434:GNY786932 GNY851970:GNY852468 GNY917506:GNY918004 GNY983042:GNY983540 GXU2:GXU500 GXU65538:GXU66036 GXU131074:GXU131572 GXU196610:GXU197108 GXU262146:GXU262644 GXU327682:GXU328180 GXU393218:GXU393716 GXU458754:GXU459252 GXU524290:GXU524788 GXU589826:GXU590324 GXU655362:GXU655860 GXU720898:GXU721396 GXU786434:GXU786932 GXU851970:GXU852468 GXU917506:GXU918004 GXU983042:GXU983540 HHQ2:HHQ500 HHQ65538:HHQ66036 HHQ131074:HHQ131572 HHQ196610:HHQ197108 HHQ262146:HHQ262644 HHQ327682:HHQ328180 HHQ393218:HHQ393716 HHQ458754:HHQ459252 HHQ524290:HHQ524788 HHQ589826:HHQ590324 HHQ655362:HHQ655860 HHQ720898:HHQ721396 HHQ786434:HHQ786932 HHQ851970:HHQ852468 HHQ917506:HHQ918004 HHQ983042:HHQ983540 HRM2:HRM500 HRM65538:HRM66036 HRM131074:HRM131572 HRM196610:HRM197108 HRM262146:HRM262644 HRM327682:HRM328180 HRM393218:HRM393716 HRM458754:HRM459252 HRM524290:HRM524788 HRM589826:HRM590324 HRM655362:HRM655860 HRM720898:HRM721396 HRM786434:HRM786932 HRM851970:HRM852468 HRM917506:HRM918004 HRM983042:HRM983540 IBI2:IBI500 IBI65538:IBI66036 IBI131074:IBI131572 IBI196610:IBI197108 IBI262146:IBI262644 IBI327682:IBI328180 IBI393218:IBI393716 IBI458754:IBI459252 IBI524290:IBI524788 IBI589826:IBI590324 IBI655362:IBI655860 IBI720898:IBI721396 IBI786434:IBI786932 IBI851970:IBI852468 IBI917506:IBI918004 IBI983042:IBI983540 ILE2:ILE500 ILE65538:ILE66036 ILE131074:ILE131572 ILE196610:ILE197108 ILE262146:ILE262644 ILE327682:ILE328180 ILE393218:ILE393716 ILE458754:ILE459252 ILE524290:ILE524788 ILE589826:ILE590324 ILE655362:ILE655860 ILE720898:ILE721396 ILE786434:ILE786932 ILE851970:ILE852468 ILE917506:ILE918004 ILE983042:ILE983540 IVA2:IVA500 IVA65538:IVA66036 IVA131074:IVA131572 IVA196610:IVA197108 IVA262146:IVA262644 IVA327682:IVA328180 IVA393218:IVA393716 IVA458754:IVA459252 IVA524290:IVA524788 IVA589826:IVA590324 IVA655362:IVA655860 IVA720898:IVA721396 IVA786434:IVA786932 IVA851970:IVA852468 IVA917506:IVA918004 IVA983042:IVA983540 JEW2:JEW500 JEW65538:JEW66036 JEW131074:JEW131572 JEW196610:JEW197108 JEW262146:JEW262644 JEW327682:JEW328180 JEW393218:JEW393716 JEW458754:JEW459252 JEW524290:JEW524788 JEW589826:JEW590324 JEW655362:JEW655860 JEW720898:JEW721396 JEW786434:JEW786932 JEW851970:JEW852468 JEW917506:JEW918004 JEW983042:JEW983540 JOS2:JOS500 JOS65538:JOS66036 JOS131074:JOS131572 JOS196610:JOS197108 JOS262146:JOS262644 JOS327682:JOS328180 JOS393218:JOS393716 JOS458754:JOS459252 JOS524290:JOS524788 JOS589826:JOS590324 JOS655362:JOS655860 JOS720898:JOS721396 JOS786434:JOS786932 JOS851970:JOS852468 JOS917506:JOS918004 JOS983042:JOS983540 JYO2:JYO500 JYO65538:JYO66036 JYO131074:JYO131572 JYO196610:JYO197108 JYO262146:JYO262644 JYO327682:JYO328180 JYO393218:JYO393716 JYO458754:JYO459252 JYO524290:JYO524788 JYO589826:JYO590324 JYO655362:JYO655860 JYO720898:JYO721396 JYO786434:JYO786932 JYO851970:JYO852468 JYO917506:JYO918004 JYO983042:JYO983540 KIK2:KIK500 KIK65538:KIK66036 KIK131074:KIK131572 KIK196610:KIK197108 KIK262146:KIK262644 KIK327682:KIK328180 KIK393218:KIK393716 KIK458754:KIK459252 KIK524290:KIK524788 KIK589826:KIK590324 KIK655362:KIK655860 KIK720898:KIK721396 KIK786434:KIK786932 KIK851970:KIK852468 KIK917506:KIK918004 KIK983042:KIK983540 KSG2:KSG500 KSG65538:KSG66036 KSG131074:KSG131572 KSG196610:KSG197108 KSG262146:KSG262644 KSG327682:KSG328180 KSG393218:KSG393716 KSG458754:KSG459252 KSG524290:KSG524788 KSG589826:KSG590324 KSG655362:KSG655860 KSG720898:KSG721396 KSG786434:KSG786932 KSG851970:KSG852468 KSG917506:KSG918004 KSG983042:KSG983540 LCC2:LCC500 LCC65538:LCC66036 LCC131074:LCC131572 LCC196610:LCC197108 LCC262146:LCC262644 LCC327682:LCC328180 LCC393218:LCC393716 LCC458754:LCC459252 LCC524290:LCC524788 LCC589826:LCC590324 LCC655362:LCC655860 LCC720898:LCC721396 LCC786434:LCC786932 LCC851970:LCC852468 LCC917506:LCC918004 LCC983042:LCC983540 LLY2:LLY500 LLY65538:LLY66036 LLY131074:LLY131572 LLY196610:LLY197108 LLY262146:LLY262644 LLY327682:LLY328180 LLY393218:LLY393716 LLY458754:LLY459252 LLY524290:LLY524788 LLY589826:LLY590324 LLY655362:LLY655860 LLY720898:LLY721396 LLY786434:LLY786932 LLY851970:LLY852468 LLY917506:LLY918004 LLY983042:LLY983540 LVU2:LVU500 LVU65538:LVU66036 LVU131074:LVU131572 LVU196610:LVU197108 LVU262146:LVU262644 LVU327682:LVU328180 LVU393218:LVU393716 LVU458754:LVU459252 LVU524290:LVU524788 LVU589826:LVU590324 LVU655362:LVU655860 LVU720898:LVU721396 LVU786434:LVU786932 LVU851970:LVU852468 LVU917506:LVU918004 LVU983042:LVU983540 MFQ2:MFQ500 MFQ65538:MFQ66036 MFQ131074:MFQ131572 MFQ196610:MFQ197108 MFQ262146:MFQ262644 MFQ327682:MFQ328180 MFQ393218:MFQ393716 MFQ458754:MFQ459252 MFQ524290:MFQ524788 MFQ589826:MFQ590324 MFQ655362:MFQ655860 MFQ720898:MFQ721396 MFQ786434:MFQ786932 MFQ851970:MFQ852468 MFQ917506:MFQ918004 MFQ983042:MFQ983540 MPM2:MPM500 MPM65538:MPM66036 MPM131074:MPM131572 MPM196610:MPM197108 MPM262146:MPM262644 MPM327682:MPM328180 MPM393218:MPM393716 MPM458754:MPM459252 MPM524290:MPM524788 MPM589826:MPM590324 MPM655362:MPM655860 MPM720898:MPM721396 MPM786434:MPM786932 MPM851970:MPM852468 MPM917506:MPM918004 MPM983042:MPM983540 MZI2:MZI500 MZI65538:MZI66036 MZI131074:MZI131572 MZI196610:MZI197108 MZI262146:MZI262644 MZI327682:MZI328180 MZI393218:MZI393716 MZI458754:MZI459252 MZI524290:MZI524788 MZI589826:MZI590324 MZI655362:MZI655860 MZI720898:MZI721396 MZI786434:MZI786932 MZI851970:MZI852468 MZI917506:MZI918004 MZI983042:MZI983540 NJE2:NJE500 NJE65538:NJE66036 NJE131074:NJE131572 NJE196610:NJE197108 NJE262146:NJE262644 NJE327682:NJE328180 NJE393218:NJE393716 NJE458754:NJE459252 NJE524290:NJE524788 NJE589826:NJE590324 NJE655362:NJE655860 NJE720898:NJE721396 NJE786434:NJE786932 NJE851970:NJE852468 NJE917506:NJE918004 NJE983042:NJE983540 NTA2:NTA500 NTA65538:NTA66036 NTA131074:NTA131572 NTA196610:NTA197108 NTA262146:NTA262644 NTA327682:NTA328180 NTA393218:NTA393716 NTA458754:NTA459252 NTA524290:NTA524788 NTA589826:NTA590324 NTA655362:NTA655860 NTA720898:NTA721396 NTA786434:NTA786932 NTA851970:NTA852468 NTA917506:NTA918004 NTA983042:NTA983540 OCW2:OCW500 OCW65538:OCW66036 OCW131074:OCW131572 OCW196610:OCW197108 OCW262146:OCW262644 OCW327682:OCW328180 OCW393218:OCW393716 OCW458754:OCW459252 OCW524290:OCW524788 OCW589826:OCW590324 OCW655362:OCW655860 OCW720898:OCW721396 OCW786434:OCW786932 OCW851970:OCW852468 OCW917506:OCW918004 OCW983042:OCW983540 OMS2:OMS500 OMS65538:OMS66036 OMS131074:OMS131572 OMS196610:OMS197108 OMS262146:OMS262644 OMS327682:OMS328180 OMS393218:OMS393716 OMS458754:OMS459252 OMS524290:OMS524788 OMS589826:OMS590324 OMS655362:OMS655860 OMS720898:OMS721396 OMS786434:OMS786932 OMS851970:OMS852468 OMS917506:OMS918004 OMS983042:OMS983540 OWO2:OWO500 OWO65538:OWO66036 OWO131074:OWO131572 OWO196610:OWO197108 OWO262146:OWO262644 OWO327682:OWO328180 OWO393218:OWO393716 OWO458754:OWO459252 OWO524290:OWO524788 OWO589826:OWO590324 OWO655362:OWO655860 OWO720898:OWO721396 OWO786434:OWO786932 OWO851970:OWO852468 OWO917506:OWO918004 OWO983042:OWO983540 PGK2:PGK500 PGK65538:PGK66036 PGK131074:PGK131572 PGK196610:PGK197108 PGK262146:PGK262644 PGK327682:PGK328180 PGK393218:PGK393716 PGK458754:PGK459252 PGK524290:PGK524788 PGK589826:PGK590324 PGK655362:PGK655860 PGK720898:PGK721396 PGK786434:PGK786932 PGK851970:PGK852468 PGK917506:PGK918004 PGK983042:PGK983540 PQG2:PQG500 PQG65538:PQG66036 PQG131074:PQG131572 PQG196610:PQG197108 PQG262146:PQG262644 PQG327682:PQG328180 PQG393218:PQG393716 PQG458754:PQG459252 PQG524290:PQG524788 PQG589826:PQG590324 PQG655362:PQG655860 PQG720898:PQG721396 PQG786434:PQG786932 PQG851970:PQG852468 PQG917506:PQG918004 PQG983042:PQG983540 QAC2:QAC500 QAC65538:QAC66036 QAC131074:QAC131572 QAC196610:QAC197108 QAC262146:QAC262644 QAC327682:QAC328180 QAC393218:QAC393716 QAC458754:QAC459252 QAC524290:QAC524788 QAC589826:QAC590324 QAC655362:QAC655860 QAC720898:QAC721396 QAC786434:QAC786932 QAC851970:QAC852468 QAC917506:QAC918004 QAC983042:QAC983540 QJY2:QJY500 QJY65538:QJY66036 QJY131074:QJY131572 QJY196610:QJY197108 QJY262146:QJY262644 QJY327682:QJY328180 QJY393218:QJY393716 QJY458754:QJY459252 QJY524290:QJY524788 QJY589826:QJY590324 QJY655362:QJY655860 QJY720898:QJY721396 QJY786434:QJY786932 QJY851970:QJY852468 QJY917506:QJY918004 QJY983042:QJY983540 QTU2:QTU500 QTU65538:QTU66036 QTU131074:QTU131572 QTU196610:QTU197108 QTU262146:QTU262644 QTU327682:QTU328180 QTU393218:QTU393716 QTU458754:QTU459252 QTU524290:QTU524788 QTU589826:QTU590324 QTU655362:QTU655860 QTU720898:QTU721396 QTU786434:QTU786932 QTU851970:QTU852468 QTU917506:QTU918004 QTU983042:QTU983540 RDQ2:RDQ500 RDQ65538:RDQ66036 RDQ131074:RDQ131572 RDQ196610:RDQ197108 RDQ262146:RDQ262644 RDQ327682:RDQ328180 RDQ393218:RDQ393716 RDQ458754:RDQ459252 RDQ524290:RDQ524788 RDQ589826:RDQ590324 RDQ655362:RDQ655860 RDQ720898:RDQ721396 RDQ786434:RDQ786932 RDQ851970:RDQ852468 RDQ917506:RDQ918004 RDQ983042:RDQ983540 RNM2:RNM500 RNM65538:RNM66036 RNM131074:RNM131572 RNM196610:RNM197108 RNM262146:RNM262644 RNM327682:RNM328180 RNM393218:RNM393716 RNM458754:RNM459252 RNM524290:RNM524788 RNM589826:RNM590324 RNM655362:RNM655860 RNM720898:RNM721396 RNM786434:RNM786932 RNM851970:RNM852468 RNM917506:RNM918004 RNM983042:RNM983540 RXI2:RXI500 RXI65538:RXI66036 RXI131074:RXI131572 RXI196610:RXI197108 RXI262146:RXI262644 RXI327682:RXI328180 RXI393218:RXI393716 RXI458754:RXI459252 RXI524290:RXI524788 RXI589826:RXI590324 RXI655362:RXI655860 RXI720898:RXI721396 RXI786434:RXI786932 RXI851970:RXI852468 RXI917506:RXI918004 RXI983042:RXI983540 SHE2:SHE500 SHE65538:SHE66036 SHE131074:SHE131572 SHE196610:SHE197108 SHE262146:SHE262644 SHE327682:SHE328180 SHE393218:SHE393716 SHE458754:SHE459252 SHE524290:SHE524788 SHE589826:SHE590324 SHE655362:SHE655860 SHE720898:SHE721396 SHE786434:SHE786932 SHE851970:SHE852468 SHE917506:SHE918004 SHE983042:SHE983540 SRA2:SRA500 SRA65538:SRA66036 SRA131074:SRA131572 SRA196610:SRA197108 SRA262146:SRA262644 SRA327682:SRA328180 SRA393218:SRA393716 SRA458754:SRA459252 SRA524290:SRA524788 SRA589826:SRA590324 SRA655362:SRA655860 SRA720898:SRA721396 SRA786434:SRA786932 SRA851970:SRA852468 SRA917506:SRA918004 SRA983042:SRA983540 TAW2:TAW500 TAW65538:TAW66036 TAW131074:TAW131572 TAW196610:TAW197108 TAW262146:TAW262644 TAW327682:TAW328180 TAW393218:TAW393716 TAW458754:TAW459252 TAW524290:TAW524788 TAW589826:TAW590324 TAW655362:TAW655860 TAW720898:TAW721396 TAW786434:TAW786932 TAW851970:TAW852468 TAW917506:TAW918004 TAW983042:TAW983540 TKS2:TKS500 TKS65538:TKS66036 TKS131074:TKS131572 TKS196610:TKS197108 TKS262146:TKS262644 TKS327682:TKS328180 TKS393218:TKS393716 TKS458754:TKS459252 TKS524290:TKS524788 TKS589826:TKS590324 TKS655362:TKS655860 TKS720898:TKS721396 TKS786434:TKS786932 TKS851970:TKS852468 TKS917506:TKS918004 TKS983042:TKS983540 TUO2:TUO500 TUO65538:TUO66036 TUO131074:TUO131572 TUO196610:TUO197108 TUO262146:TUO262644 TUO327682:TUO328180 TUO393218:TUO393716 TUO458754:TUO459252 TUO524290:TUO524788 TUO589826:TUO590324 TUO655362:TUO655860 TUO720898:TUO721396 TUO786434:TUO786932 TUO851970:TUO852468 TUO917506:TUO918004 TUO983042:TUO983540 UEK2:UEK500 UEK65538:UEK66036 UEK131074:UEK131572 UEK196610:UEK197108 UEK262146:UEK262644 UEK327682:UEK328180 UEK393218:UEK393716 UEK458754:UEK459252 UEK524290:UEK524788 UEK589826:UEK590324 UEK655362:UEK655860 UEK720898:UEK721396 UEK786434:UEK786932 UEK851970:UEK852468 UEK917506:UEK918004 UEK983042:UEK983540 UOG2:UOG500 UOG65538:UOG66036 UOG131074:UOG131572 UOG196610:UOG197108 UOG262146:UOG262644 UOG327682:UOG328180 UOG393218:UOG393716 UOG458754:UOG459252 UOG524290:UOG524788 UOG589826:UOG590324 UOG655362:UOG655860 UOG720898:UOG721396 UOG786434:UOG786932 UOG851970:UOG852468 UOG917506:UOG918004 UOG983042:UOG983540 UYC2:UYC500 UYC65538:UYC66036 UYC131074:UYC131572 UYC196610:UYC197108 UYC262146:UYC262644 UYC327682:UYC328180 UYC393218:UYC393716 UYC458754:UYC459252 UYC524290:UYC524788 UYC589826:UYC590324 UYC655362:UYC655860 UYC720898:UYC721396 UYC786434:UYC786932 UYC851970:UYC852468 UYC917506:UYC918004 UYC983042:UYC983540 VHY2:VHY500 VHY65538:VHY66036 VHY131074:VHY131572 VHY196610:VHY197108 VHY262146:VHY262644 VHY327682:VHY328180 VHY393218:VHY393716 VHY458754:VHY459252 VHY524290:VHY524788 VHY589826:VHY590324 VHY655362:VHY655860 VHY720898:VHY721396 VHY786434:VHY786932 VHY851970:VHY852468 VHY917506:VHY918004 VHY983042:VHY983540 VRU2:VRU500 VRU65538:VRU66036 VRU131074:VRU131572 VRU196610:VRU197108 VRU262146:VRU262644 VRU327682:VRU328180 VRU393218:VRU393716 VRU458754:VRU459252 VRU524290:VRU524788 VRU589826:VRU590324 VRU655362:VRU655860 VRU720898:VRU721396 VRU786434:VRU786932 VRU851970:VRU852468 VRU917506:VRU918004 VRU983042:VRU983540 WBQ2:WBQ500 WBQ65538:WBQ66036 WBQ131074:WBQ131572 WBQ196610:WBQ197108 WBQ262146:WBQ262644 WBQ327682:WBQ328180 WBQ393218:WBQ393716 WBQ458754:WBQ459252 WBQ524290:WBQ524788 WBQ589826:WBQ590324 WBQ655362:WBQ655860 WBQ720898:WBQ721396 WBQ786434:WBQ786932 WBQ851970:WBQ852468 WBQ917506:WBQ918004 WBQ983042:WBQ983540 WLM2:WLM500 WLM65538:WLM66036 WLM131074:WLM131572 WLM196610:WLM197108 WLM262146:WLM262644 WLM327682:WLM328180 WLM393218:WLM393716 WLM458754:WLM459252 WLM524290:WLM524788 WLM589826:WLM590324 WLM655362:WLM655860 WLM720898:WLM721396 WLM786434:WLM786932 WLM851970:WLM852468 WLM917506:WLM918004 WLM983042:WLM983540 WVI2:WVI500 WVI65538:WVI66036 WVI131074:WVI131572 WVI196610:WVI197108 WVI262146:WVI262644 WVI327682:WVI328180 WVI393218:WVI393716 WVI458754:WVI459252 WVI524290:WVI524788 WVI589826:WVI590324 WVI655362:WVI655860 WVI720898:WVI721396 WVI786434:WVI786932 WVI851970:WVI852468 WVI917506:WVI918004 WVI983042:WVI983540" xr:uid="{3F1B572F-6E54-4F39-8188-9D4804A2947C}">
      <formula1>$AE$2:$AE$19</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ADM501:ADO65537 BHA501:BHC65537 CKO501:CKQ65537 DOC501:DOE65537 ERQ501:ERS65537 FVE501:FVG65537 GYS501:GYU65537 ICG501:ICI65537 JFU501:JFW65537 KJI501:KJK65537 LMW501:LMY65537 MQK501:MQM65537 NTY501:NUA65537 OXM501:OXO65537 QBA501:QBC65537 REO501:REQ65537 SIC501:SIE65537 TLQ501:TLS65537 UPE501:UPG65537 VSS501:VSU65537 WWG501:WWI65537 JU501:JW65537 ANI501:ANK65537 BQW501:BQY65537 CUK501:CUM65537 DXY501:DYA65537 FBM501:FBO65537 GFA501:GFC65537 HIO501:HIQ65537 IMC501:IME65537 JPQ501:JPS65537 KTE501:KTG65537 LWS501:LWU65537 NAG501:NAI65537 ODU501:ODW65537 PHI501:PHK65537 QKW501:QKY65537 ROK501:ROM65537 SRY501:SSA65537 TVM501:TVO65537 UZA501:UZC65537 WCO501:WCQ65537 TQ501:TS65537 AXE501:AXG65537 CAS501:CAU65537 DEG501:DEI65537 EHU501:EHW65537 FLI501:FLK65537 GOW501:GOY65537 HSK501:HSM65537 IVY501:IWA65537 JZM501:JZO65537 LDA501:LDC65537 MGO501:MGQ65537 NKC501:NKE65537 ONQ501:ONS65537 PRE501:PRG65537 QUS501:QUU65537 RYG501:RYI65537 TBU501:TBW65537 UFI501:UFK65537 VIW501:VIY65537 WMK501:WMM65537 Y66037:AA131073 ADM66037:ADO131073 BHA66037:BHC131073 CKO66037:CKQ131073 DOC66037:DOE131073 ERQ66037:ERS131073 FVE66037:FVG131073 GYS66037:GYU131073 ICG66037:ICI131073 JFU66037:JFW131073 KJI66037:KJK131073 LMW66037:LMY131073 MQK66037:MQM131073 NTY66037:NUA131073 OXM66037:OXO131073 QBA66037:QBC131073 REO66037:REQ131073 SIC66037:SIE131073 TLQ66037:TLS131073 UPE66037:UPG131073 VSS66037:VSU131073 WWG66037:WWI131073 JU66037:JW131073 ANI66037:ANK131073 BQW66037:BQY131073 CUK66037:CUM131073 DXY66037:DYA131073 FBM66037:FBO131073 GFA66037:GFC131073 HIO66037:HIQ131073 IMC66037:IME131073 JPQ66037:JPS131073 KTE66037:KTG131073 LWS66037:LWU131073 NAG66037:NAI131073 ODU66037:ODW131073 PHI66037:PHK131073 QKW66037:QKY131073 ROK66037:ROM131073 SRY66037:SSA131073 TVM66037:TVO131073 UZA66037:UZC131073 WCO66037:WCQ131073 TQ66037:TS131073 AXE66037:AXG131073 CAS66037:CAU131073 DEG66037:DEI131073 EHU66037:EHW131073 FLI66037:FLK131073 GOW66037:GOY131073 HSK66037:HSM131073 IVY66037:IWA131073 JZM66037:JZO131073 LDA66037:LDC131073 MGO66037:MGQ131073 NKC66037:NKE131073 ONQ66037:ONS131073 PRE66037:PRG131073 QUS66037:QUU131073 RYG66037:RYI131073 TBU66037:TBW131073 UFI66037:UFK131073 VIW66037:VIY131073 WMK66037:WMM131073 Y131573:AA196609 ADM131573:ADO196609 BHA131573:BHC196609 CKO131573:CKQ196609 DOC131573:DOE196609 ERQ131573:ERS196609 FVE131573:FVG196609 GYS131573:GYU196609 ICG131573:ICI196609 JFU131573:JFW196609 KJI131573:KJK196609 LMW131573:LMY196609 MQK131573:MQM196609 NTY131573:NUA196609 OXM131573:OXO196609 QBA131573:QBC196609 REO131573:REQ196609 SIC131573:SIE196609 TLQ131573:TLS196609 UPE131573:UPG196609 VSS131573:VSU196609 WWG131573:WWI196609 JU131573:JW196609 ANI131573:ANK196609 BQW131573:BQY196609 CUK131573:CUM196609 DXY131573:DYA196609 FBM131573:FBO196609 GFA131573:GFC196609 HIO131573:HIQ196609 IMC131573:IME196609 JPQ131573:JPS196609 KTE131573:KTG196609 LWS131573:LWU196609 NAG131573:NAI196609 ODU131573:ODW196609 PHI131573:PHK196609 QKW131573:QKY196609 ROK131573:ROM196609 SRY131573:SSA196609 TVM131573:TVO196609 UZA131573:UZC196609 WCO131573:WCQ196609 TQ131573:TS196609 AXE131573:AXG196609 CAS131573:CAU196609 DEG131573:DEI196609 EHU131573:EHW196609 FLI131573:FLK196609 GOW131573:GOY196609 HSK131573:HSM196609 IVY131573:IWA196609 JZM131573:JZO196609 LDA131573:LDC196609 MGO131573:MGQ196609 NKC131573:NKE196609 ONQ131573:ONS196609 PRE131573:PRG196609 QUS131573:QUU196609 RYG131573:RYI196609 TBU131573:TBW196609 UFI131573:UFK196609 VIW131573:VIY196609 WMK131573:WMM196609 Y197109:AA262145 ADM197109:ADO262145 BHA197109:BHC262145 CKO197109:CKQ262145 DOC197109:DOE262145 ERQ197109:ERS262145 FVE197109:FVG262145 GYS197109:GYU262145 ICG197109:ICI262145 JFU197109:JFW262145 KJI197109:KJK262145 LMW197109:LMY262145 MQK197109:MQM262145 NTY197109:NUA262145 OXM197109:OXO262145 QBA197109:QBC262145 REO197109:REQ262145 SIC197109:SIE262145 TLQ197109:TLS262145 UPE197109:UPG262145 VSS197109:VSU262145 WWG197109:WWI262145 JU197109:JW262145 ANI197109:ANK262145 BQW197109:BQY262145 CUK197109:CUM262145 DXY197109:DYA262145 FBM197109:FBO262145 GFA197109:GFC262145 HIO197109:HIQ262145 IMC197109:IME262145 JPQ197109:JPS262145 KTE197109:KTG262145 LWS197109:LWU262145 NAG197109:NAI262145 ODU197109:ODW262145 PHI197109:PHK262145 QKW197109:QKY262145 ROK197109:ROM262145 SRY197109:SSA262145 TVM197109:TVO262145 UZA197109:UZC262145 WCO197109:WCQ262145 TQ197109:TS262145 AXE197109:AXG262145 CAS197109:CAU262145 DEG197109:DEI262145 EHU197109:EHW262145 FLI197109:FLK262145 GOW197109:GOY262145 HSK197109:HSM262145 IVY197109:IWA262145 JZM197109:JZO262145 LDA197109:LDC262145 MGO197109:MGQ262145 NKC197109:NKE262145 ONQ197109:ONS262145 PRE197109:PRG262145 QUS197109:QUU262145 RYG197109:RYI262145 TBU197109:TBW262145 UFI197109:UFK262145 VIW197109:VIY262145 WMK197109:WMM262145 Y262645:AA327681 ADM262645:ADO327681 BHA262645:BHC327681 CKO262645:CKQ327681 DOC262645:DOE327681 ERQ262645:ERS327681 FVE262645:FVG327681 GYS262645:GYU327681 ICG262645:ICI327681 JFU262645:JFW327681 KJI262645:KJK327681 LMW262645:LMY327681 MQK262645:MQM327681 NTY262645:NUA327681 OXM262645:OXO327681 QBA262645:QBC327681 REO262645:REQ327681 SIC262645:SIE327681 TLQ262645:TLS327681 UPE262645:UPG327681 VSS262645:VSU327681 WWG262645:WWI327681 JU262645:JW327681 ANI262645:ANK327681 BQW262645:BQY327681 CUK262645:CUM327681 DXY262645:DYA327681 FBM262645:FBO327681 GFA262645:GFC327681 HIO262645:HIQ327681 IMC262645:IME327681 JPQ262645:JPS327681 KTE262645:KTG327681 LWS262645:LWU327681 NAG262645:NAI327681 ODU262645:ODW327681 PHI262645:PHK327681 QKW262645:QKY327681 ROK262645:ROM327681 SRY262645:SSA327681 TVM262645:TVO327681 UZA262645:UZC327681 WCO262645:WCQ327681 TQ262645:TS327681 AXE262645:AXG327681 CAS262645:CAU327681 DEG262645:DEI327681 EHU262645:EHW327681 FLI262645:FLK327681 GOW262645:GOY327681 HSK262645:HSM327681 IVY262645:IWA327681 JZM262645:JZO327681 LDA262645:LDC327681 MGO262645:MGQ327681 NKC262645:NKE327681 ONQ262645:ONS327681 PRE262645:PRG327681 QUS262645:QUU327681 RYG262645:RYI327681 TBU262645:TBW327681 UFI262645:UFK327681 VIW262645:VIY327681 WMK262645:WMM327681 Y328181:AA393217 ADM328181:ADO393217 BHA328181:BHC393217 CKO328181:CKQ393217 DOC328181:DOE393217 ERQ328181:ERS393217 FVE328181:FVG393217 GYS328181:GYU393217 ICG328181:ICI393217 JFU328181:JFW393217 KJI328181:KJK393217 LMW328181:LMY393217 MQK328181:MQM393217 NTY328181:NUA393217 OXM328181:OXO393217 QBA328181:QBC393217 REO328181:REQ393217 SIC328181:SIE393217 TLQ328181:TLS393217 UPE328181:UPG393217 VSS328181:VSU393217 WWG328181:WWI393217 JU328181:JW393217 ANI328181:ANK393217 BQW328181:BQY393217 CUK328181:CUM393217 DXY328181:DYA393217 FBM328181:FBO393217 GFA328181:GFC393217 HIO328181:HIQ393217 IMC328181:IME393217 JPQ328181:JPS393217 KTE328181:KTG393217 LWS328181:LWU393217 NAG328181:NAI393217 ODU328181:ODW393217 PHI328181:PHK393217 QKW328181:QKY393217 ROK328181:ROM393217 SRY328181:SSA393217 TVM328181:TVO393217 UZA328181:UZC393217 WCO328181:WCQ393217 TQ328181:TS393217 AXE328181:AXG393217 CAS328181:CAU393217 DEG328181:DEI393217 EHU328181:EHW393217 FLI328181:FLK393217 GOW328181:GOY393217 HSK328181:HSM393217 IVY328181:IWA393217 JZM328181:JZO393217 LDA328181:LDC393217 MGO328181:MGQ393217 NKC328181:NKE393217 ONQ328181:ONS393217 PRE328181:PRG393217 QUS328181:QUU393217 RYG328181:RYI393217 TBU328181:TBW393217 UFI328181:UFK393217 VIW328181:VIY393217 WMK328181:WMM393217 Y393717:AA458753 ADM393717:ADO458753 BHA393717:BHC458753 CKO393717:CKQ458753 DOC393717:DOE458753 ERQ393717:ERS458753 FVE393717:FVG458753 GYS393717:GYU458753 ICG393717:ICI458753 JFU393717:JFW458753 KJI393717:KJK458753 LMW393717:LMY458753 MQK393717:MQM458753 NTY393717:NUA458753 OXM393717:OXO458753 QBA393717:QBC458753 REO393717:REQ458753 SIC393717:SIE458753 TLQ393717:TLS458753 UPE393717:UPG458753 VSS393717:VSU458753 WWG393717:WWI458753 JU393717:JW458753 ANI393717:ANK458753 BQW393717:BQY458753 CUK393717:CUM458753 DXY393717:DYA458753 FBM393717:FBO458753 GFA393717:GFC458753 HIO393717:HIQ458753 IMC393717:IME458753 JPQ393717:JPS458753 KTE393717:KTG458753 LWS393717:LWU458753 NAG393717:NAI458753 ODU393717:ODW458753 PHI393717:PHK458753 QKW393717:QKY458753 ROK393717:ROM458753 SRY393717:SSA458753 TVM393717:TVO458753 UZA393717:UZC458753 WCO393717:WCQ458753 TQ393717:TS458753 AXE393717:AXG458753 CAS393717:CAU458753 DEG393717:DEI458753 EHU393717:EHW458753 FLI393717:FLK458753 GOW393717:GOY458753 HSK393717:HSM458753 IVY393717:IWA458753 JZM393717:JZO458753 LDA393717:LDC458753 MGO393717:MGQ458753 NKC393717:NKE458753 ONQ393717:ONS458753 PRE393717:PRG458753 QUS393717:QUU458753 RYG393717:RYI458753 TBU393717:TBW458753 UFI393717:UFK458753 VIW393717:VIY458753 WMK393717:WMM458753 Y459253:AA524289 ADM459253:ADO524289 BHA459253:BHC524289 CKO459253:CKQ524289 DOC459253:DOE524289 ERQ459253:ERS524289 FVE459253:FVG524289 GYS459253:GYU524289 ICG459253:ICI524289 JFU459253:JFW524289 KJI459253:KJK524289 LMW459253:LMY524289 MQK459253:MQM524289 NTY459253:NUA524289 OXM459253:OXO524289 QBA459253:QBC524289 REO459253:REQ524289 SIC459253:SIE524289 TLQ459253:TLS524289 UPE459253:UPG524289 VSS459253:VSU524289 WWG459253:WWI524289 JU459253:JW524289 ANI459253:ANK524289 BQW459253:BQY524289 CUK459253:CUM524289 DXY459253:DYA524289 FBM459253:FBO524289 GFA459253:GFC524289 HIO459253:HIQ524289 IMC459253:IME524289 JPQ459253:JPS524289 KTE459253:KTG524289 LWS459253:LWU524289 NAG459253:NAI524289 ODU459253:ODW524289 PHI459253:PHK524289 QKW459253:QKY524289 ROK459253:ROM524289 SRY459253:SSA524289 TVM459253:TVO524289 UZA459253:UZC524289 WCO459253:WCQ524289 TQ459253:TS524289 AXE459253:AXG524289 CAS459253:CAU524289 DEG459253:DEI524289 EHU459253:EHW524289 FLI459253:FLK524289 GOW459253:GOY524289 HSK459253:HSM524289 IVY459253:IWA524289 JZM459253:JZO524289 LDA459253:LDC524289 MGO459253:MGQ524289 NKC459253:NKE524289 ONQ459253:ONS524289 PRE459253:PRG524289 QUS459253:QUU524289 RYG459253:RYI524289 TBU459253:TBW524289 UFI459253:UFK524289 VIW459253:VIY524289 WMK459253:WMM524289 Y524789:AA589825 ADM524789:ADO589825 BHA524789:BHC589825 CKO524789:CKQ589825 DOC524789:DOE589825 ERQ524789:ERS589825 FVE524789:FVG589825 GYS524789:GYU589825 ICG524789:ICI589825 JFU524789:JFW589825 KJI524789:KJK589825 LMW524789:LMY589825 MQK524789:MQM589825 NTY524789:NUA589825 OXM524789:OXO589825 QBA524789:QBC589825 REO524789:REQ589825 SIC524789:SIE589825 TLQ524789:TLS589825 UPE524789:UPG589825 VSS524789:VSU589825 WWG524789:WWI589825 JU524789:JW589825 ANI524789:ANK589825 BQW524789:BQY589825 CUK524789:CUM589825 DXY524789:DYA589825 FBM524789:FBO589825 GFA524789:GFC589825 HIO524789:HIQ589825 IMC524789:IME589825 JPQ524789:JPS589825 KTE524789:KTG589825 LWS524789:LWU589825 NAG524789:NAI589825 ODU524789:ODW589825 PHI524789:PHK589825 QKW524789:QKY589825 ROK524789:ROM589825 SRY524789:SSA589825 TVM524789:TVO589825 UZA524789:UZC589825 WCO524789:WCQ589825 TQ524789:TS589825 AXE524789:AXG589825 CAS524789:CAU589825 DEG524789:DEI589825 EHU524789:EHW589825 FLI524789:FLK589825 GOW524789:GOY589825 HSK524789:HSM589825 IVY524789:IWA589825 JZM524789:JZO589825 LDA524789:LDC589825 MGO524789:MGQ589825 NKC524789:NKE589825 ONQ524789:ONS589825 PRE524789:PRG589825 QUS524789:QUU589825 RYG524789:RYI589825 TBU524789:TBW589825 UFI524789:UFK589825 VIW524789:VIY589825 WMK524789:WMM589825 Y590325:AA655361 ADM590325:ADO655361 BHA590325:BHC655361 CKO590325:CKQ655361 DOC590325:DOE655361 ERQ590325:ERS655361 FVE590325:FVG655361 GYS590325:GYU655361 ICG590325:ICI655361 JFU590325:JFW655361 KJI590325:KJK655361 LMW590325:LMY655361 MQK590325:MQM655361 NTY590325:NUA655361 OXM590325:OXO655361 QBA590325:QBC655361 REO590325:REQ655361 SIC590325:SIE655361 TLQ590325:TLS655361 UPE590325:UPG655361 VSS590325:VSU655361 WWG590325:WWI655361 JU590325:JW655361 ANI590325:ANK655361 BQW590325:BQY655361 CUK590325:CUM655361 DXY590325:DYA655361 FBM590325:FBO655361 GFA590325:GFC655361 HIO590325:HIQ655361 IMC590325:IME655361 JPQ590325:JPS655361 KTE590325:KTG655361 LWS590325:LWU655361 NAG590325:NAI655361 ODU590325:ODW655361 PHI590325:PHK655361 QKW590325:QKY655361 ROK590325:ROM655361 SRY590325:SSA655361 TVM590325:TVO655361 UZA590325:UZC655361 WCO590325:WCQ655361 TQ590325:TS655361 AXE590325:AXG655361 CAS590325:CAU655361 DEG590325:DEI655361 EHU590325:EHW655361 FLI590325:FLK655361 GOW590325:GOY655361 HSK590325:HSM655361 IVY590325:IWA655361 JZM590325:JZO655361 LDA590325:LDC655361 MGO590325:MGQ655361 NKC590325:NKE655361 ONQ590325:ONS655361 PRE590325:PRG655361 QUS590325:QUU655361 RYG590325:RYI655361 TBU590325:TBW655361 UFI590325:UFK655361 VIW590325:VIY655361 WMK590325:WMM655361 Y655861:AA720897 ADM655861:ADO720897 BHA655861:BHC720897 CKO655861:CKQ720897 DOC655861:DOE720897 ERQ655861:ERS720897 FVE655861:FVG720897 GYS655861:GYU720897 ICG655861:ICI720897 JFU655861:JFW720897 KJI655861:KJK720897 LMW655861:LMY720897 MQK655861:MQM720897 NTY655861:NUA720897 OXM655861:OXO720897 QBA655861:QBC720897 REO655861:REQ720897 SIC655861:SIE720897 TLQ655861:TLS720897 UPE655861:UPG720897 VSS655861:VSU720897 WWG655861:WWI720897 JU655861:JW720897 ANI655861:ANK720897 BQW655861:BQY720897 CUK655861:CUM720897 DXY655861:DYA720897 FBM655861:FBO720897 GFA655861:GFC720897 HIO655861:HIQ720897 IMC655861:IME720897 JPQ655861:JPS720897 KTE655861:KTG720897 LWS655861:LWU720897 NAG655861:NAI720897 ODU655861:ODW720897 PHI655861:PHK720897 QKW655861:QKY720897 ROK655861:ROM720897 SRY655861:SSA720897 TVM655861:TVO720897 UZA655861:UZC720897 WCO655861:WCQ720897 TQ655861:TS720897 AXE655861:AXG720897 CAS655861:CAU720897 DEG655861:DEI720897 EHU655861:EHW720897 FLI655861:FLK720897 GOW655861:GOY720897 HSK655861:HSM720897 IVY655861:IWA720897 JZM655861:JZO720897 LDA655861:LDC720897 MGO655861:MGQ720897 NKC655861:NKE720897 ONQ655861:ONS720897 PRE655861:PRG720897 QUS655861:QUU720897 RYG655861:RYI720897 TBU655861:TBW720897 UFI655861:UFK720897 VIW655861:VIY720897 WMK655861:WMM720897 Y721397:AA786433 ADM721397:ADO786433 BHA721397:BHC786433 CKO721397:CKQ786433 DOC721397:DOE786433 ERQ721397:ERS786433 FVE721397:FVG786433 GYS721397:GYU786433 ICG721397:ICI786433 JFU721397:JFW786433 KJI721397:KJK786433 LMW721397:LMY786433 MQK721397:MQM786433 NTY721397:NUA786433 OXM721397:OXO786433 QBA721397:QBC786433 REO721397:REQ786433 SIC721397:SIE786433 TLQ721397:TLS786433 UPE721397:UPG786433 VSS721397:VSU786433 WWG721397:WWI786433 JU721397:JW786433 ANI721397:ANK786433 BQW721397:BQY786433 CUK721397:CUM786433 DXY721397:DYA786433 FBM721397:FBO786433 GFA721397:GFC786433 HIO721397:HIQ786433 IMC721397:IME786433 JPQ721397:JPS786433 KTE721397:KTG786433 LWS721397:LWU786433 NAG721397:NAI786433 ODU721397:ODW786433 PHI721397:PHK786433 QKW721397:QKY786433 ROK721397:ROM786433 SRY721397:SSA786433 TVM721397:TVO786433 UZA721397:UZC786433 WCO721397:WCQ786433 TQ721397:TS786433 AXE721397:AXG786433 CAS721397:CAU786433 DEG721397:DEI786433 EHU721397:EHW786433 FLI721397:FLK786433 GOW721397:GOY786433 HSK721397:HSM786433 IVY721397:IWA786433 JZM721397:JZO786433 LDA721397:LDC786433 MGO721397:MGQ786433 NKC721397:NKE786433 ONQ721397:ONS786433 PRE721397:PRG786433 QUS721397:QUU786433 RYG721397:RYI786433 TBU721397:TBW786433 UFI721397:UFK786433 VIW721397:VIY786433 WMK721397:WMM786433 Y786933:AA851969 ADM786933:ADO851969 BHA786933:BHC851969 CKO786933:CKQ851969 DOC786933:DOE851969 ERQ786933:ERS851969 FVE786933:FVG851969 GYS786933:GYU851969 ICG786933:ICI851969 JFU786933:JFW851969 KJI786933:KJK851969 LMW786933:LMY851969 MQK786933:MQM851969 NTY786933:NUA851969 OXM786933:OXO851969 QBA786933:QBC851969 REO786933:REQ851969 SIC786933:SIE851969 TLQ786933:TLS851969 UPE786933:UPG851969 VSS786933:VSU851969 WWG786933:WWI851969 JU786933:JW851969 ANI786933:ANK851969 BQW786933:BQY851969 CUK786933:CUM851969 DXY786933:DYA851969 FBM786933:FBO851969 GFA786933:GFC851969 HIO786933:HIQ851969 IMC786933:IME851969 JPQ786933:JPS851969 KTE786933:KTG851969 LWS786933:LWU851969 NAG786933:NAI851969 ODU786933:ODW851969 PHI786933:PHK851969 QKW786933:QKY851969 ROK786933:ROM851969 SRY786933:SSA851969 TVM786933:TVO851969 UZA786933:UZC851969 WCO786933:WCQ851969 TQ786933:TS851969 AXE786933:AXG851969 CAS786933:CAU851969 DEG786933:DEI851969 EHU786933:EHW851969 FLI786933:FLK851969 GOW786933:GOY851969 HSK786933:HSM851969 IVY786933:IWA851969 JZM786933:JZO851969 LDA786933:LDC851969 MGO786933:MGQ851969 NKC786933:NKE851969 ONQ786933:ONS851969 PRE786933:PRG851969 QUS786933:QUU851969 RYG786933:RYI851969 TBU786933:TBW851969 UFI786933:UFK851969 VIW786933:VIY851969 WMK786933:WMM851969 Y852469:AA917505 ADM852469:ADO917505 BHA852469:BHC917505 CKO852469:CKQ917505 DOC852469:DOE917505 ERQ852469:ERS917505 FVE852469:FVG917505 GYS852469:GYU917505 ICG852469:ICI917505 JFU852469:JFW917505 KJI852469:KJK917505 LMW852469:LMY917505 MQK852469:MQM917505 NTY852469:NUA917505 OXM852469:OXO917505 QBA852469:QBC917505 REO852469:REQ917505 SIC852469:SIE917505 TLQ852469:TLS917505 UPE852469:UPG917505 VSS852469:VSU917505 WWG852469:WWI917505 JU852469:JW917505 ANI852469:ANK917505 BQW852469:BQY917505 CUK852469:CUM917505 DXY852469:DYA917505 FBM852469:FBO917505 GFA852469:GFC917505 HIO852469:HIQ917505 IMC852469:IME917505 JPQ852469:JPS917505 KTE852469:KTG917505 LWS852469:LWU917505 NAG852469:NAI917505 ODU852469:ODW917505 PHI852469:PHK917505 QKW852469:QKY917505 ROK852469:ROM917505 SRY852469:SSA917505 TVM852469:TVO917505 UZA852469:UZC917505 WCO852469:WCQ917505 TQ852469:TS917505 AXE852469:AXG917505 CAS852469:CAU917505 DEG852469:DEI917505 EHU852469:EHW917505 FLI852469:FLK917505 GOW852469:GOY917505 HSK852469:HSM917505 IVY852469:IWA917505 JZM852469:JZO917505 LDA852469:LDC917505 MGO852469:MGQ917505 NKC852469:NKE917505 ONQ852469:ONS917505 PRE852469:PRG917505 QUS852469:QUU917505 RYG852469:RYI917505 TBU852469:TBW917505 UFI852469:UFK917505 VIW852469:VIY917505 WMK852469:WMM917505 Y918005:AA983041 ADM918005:ADO983041 BHA918005:BHC983041 CKO918005:CKQ983041 DOC918005:DOE983041 ERQ918005:ERS983041 FVE918005:FVG983041 GYS918005:GYU983041 ICG918005:ICI983041 JFU918005:JFW983041 KJI918005:KJK983041 LMW918005:LMY983041 MQK918005:MQM983041 NTY918005:NUA983041 OXM918005:OXO983041 QBA918005:QBC983041 REO918005:REQ983041 SIC918005:SIE983041 TLQ918005:TLS983041 UPE918005:UPG983041 VSS918005:VSU983041 WWG918005:WWI983041 JU918005:JW983041 ANI918005:ANK983041 BQW918005:BQY983041 CUK918005:CUM983041 DXY918005:DYA983041 FBM918005:FBO983041 GFA918005:GFC983041 HIO918005:HIQ983041 IMC918005:IME983041 JPQ918005:JPS983041 KTE918005:KTG983041 LWS918005:LWU983041 NAG918005:NAI983041 ODU918005:ODW983041 PHI918005:PHK983041 QKW918005:QKY983041 ROK918005:ROM983041 SRY918005:SSA983041 TVM918005:TVO983041 UZA918005:UZC983041 WCO918005:WCQ983041 TQ918005:TS983041 AXE918005:AXG983041 CAS918005:CAU983041 DEG918005:DEI983041 EHU918005:EHW983041 FLI918005:FLK983041 GOW918005:GOY983041 HSK918005:HSM983041 IVY918005:IWA983041 JZM918005:JZO983041 LDA918005:LDC983041 MGO918005:MGQ983041 NKC918005:NKE983041 ONQ918005:ONS983041 PRE918005:PRG983041 QUS918005:QUU983041 RYG918005:RYI983041 TBU918005:TBW983041 UFI918005:UFK983041 VIW918005:VIY983041 WMK918005:WMM983041 Y983541:AA1048576 ADM983541:ADO1048576 BHA983541:BHC1048576 CKO983541:CKQ1048576 DOC983541:DOE1048576 ERQ983541:ERS1048576 FVE983541:FVG1048576 GYS983541:GYU1048576 ICG983541:ICI1048576 JFU983541:JFW1048576 KJI983541:KJK1048576 LMW983541:LMY1048576 MQK983541:MQM1048576 NTY983541:NUA1048576 OXM983541:OXO1048576 QBA983541:QBC1048576 REO983541:REQ1048576 SIC983541:SIE1048576 TLQ983541:TLS1048576 UPE983541:UPG1048576 VSS983541:VSU1048576 WWG983541:WWI1048576 JU983541:JW1048576 ANI983541:ANK1048576 BQW983541:BQY1048576 CUK983541:CUM1048576 DXY983541:DYA1048576 FBM983541:FBO1048576 GFA983541:GFC1048576 HIO983541:HIQ1048576 IMC983541:IME1048576 JPQ983541:JPS1048576 KTE983541:KTG1048576 LWS983541:LWU1048576 NAG983541:NAI1048576 ODU983541:ODW1048576 PHI983541:PHK1048576 QKW983541:QKY1048576 ROK983541:ROM1048576 SRY983541:SSA1048576 TVM983541:TVO1048576 UZA983541:UZC1048576 WCO983541:WCQ1048576 TQ983541:TS1048576 AXE983541:AXG1048576 CAS983541:CAU1048576 DEG983541:DEI1048576 EHU983541:EHW1048576 FLI983541:FLK1048576 GOW983541:GOY1048576 HSK983541:HSM1048576 IVY983541:IWA1048576 JZM983541:JZO1048576 LDA983541:LDC1048576 MGO983541:MGQ1048576 NKC983541:NKE1048576 ONQ983541:ONS1048576 PRE983541:PRG1048576 QUS983541:QUU1048576 RYG983541:RYI1048576 TBU983541:TBW1048576 UFI983541:UFK1048576 VIW983541:VIY1048576 WMK983541:WMM1048576" xr:uid="{5FCC1CC6-91B1-4F32-A8EA-6B01EA75BACD}">
      <formula1>$AV$2:$AV$10</formula1>
    </dataValidation>
    <dataValidation type="list" allowBlank="1" showInputMessage="1" showErrorMessage="1" sqref="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A66037:A131073 A131573:A196609 A197109:A262145 A262645:A327681 A328181:A393217 A393717:A458753 A459253:A524289 A524789:A589825 A590325:A655361 A655861:A720897 A721397:A786433 A786933:A851969 A852469:A917505 A918005:A983041 A983541:A1048576 IU11:IU21 IU65547:IU65557 IU131083:IU131093 IU196619:IU196629 IU262155:IU262165 IU327691:IU327701 IU393227:IU393237 IU458763:IU458773 IU524299:IU524309 IU589835:IU589845 IU655371:IU655381 IU720907:IU720917 IU786443:IU786453 IU851979:IU851989 IU917515:IU917525 IU983051:IU983061 IW501:IW65537 IW66037:IW131073 IW131573:IW196609 IW197109:IW262145 IW262645:IW327681 IW328181:IW393217 IW393717:IW458753 IW459253:IW524289 IW524789:IW589825 IW590325:IW655361 IW655861:IW720897 IW721397:IW786433 IW786933:IW851969 IW852469:IW917505 IW918005:IW983041 IW983541:IW1048576 SQ11:SQ21 SQ65547:SQ65557 SQ131083:SQ131093 SQ196619:SQ196629 SQ262155:SQ262165 SQ327691:SQ327701 SQ393227:SQ393237 SQ458763:SQ458773 SQ524299:SQ524309 SQ589835:SQ589845 SQ655371:SQ655381 SQ720907:SQ720917 SQ786443:SQ786453 SQ851979:SQ851989 SQ917515:SQ917525 SQ983051:SQ983061 SS501:SS65537 SS66037:SS131073 SS131573:SS196609 SS197109:SS262145 SS262645:SS327681 SS328181:SS393217 SS393717:SS458753 SS459253:SS524289 SS524789:SS589825 SS590325:SS655361 SS655861:SS720897 SS721397:SS786433 SS786933:SS851969 SS852469:SS917505 SS918005:SS983041 SS983541:SS1048576 ACM11:ACM21 ACM65547:ACM65557 ACM131083:ACM131093 ACM196619:ACM196629 ACM262155:ACM262165 ACM327691:ACM327701 ACM393227:ACM393237 ACM458763:ACM458773 ACM524299:ACM524309 ACM589835:ACM589845 ACM655371:ACM655381 ACM720907:ACM720917 ACM786443:ACM786453 ACM851979:ACM851989 ACM917515:ACM917525 ACM983051:ACM983061 ACO501:ACO65537 ACO66037:ACO131073 ACO131573:ACO196609 ACO197109:ACO262145 ACO262645:ACO327681 ACO328181:ACO393217 ACO393717:ACO458753 ACO459253:ACO524289 ACO524789:ACO589825 ACO590325:ACO655361 ACO655861:ACO720897 ACO721397:ACO786433 ACO786933:ACO851969 ACO852469:ACO917505 ACO918005:ACO983041 ACO983541:ACO1048576 AMI11:AMI21 AMI65547:AMI65557 AMI131083:AMI131093 AMI196619:AMI196629 AMI262155:AMI262165 AMI327691:AMI327701 AMI393227:AMI393237 AMI458763:AMI458773 AMI524299:AMI524309 AMI589835:AMI589845 AMI655371:AMI655381 AMI720907:AMI720917 AMI786443:AMI786453 AMI851979:AMI851989 AMI917515:AMI917525 AMI983051:AMI983061 AMK501:AMK65537 AMK66037:AMK131073 AMK131573:AMK196609 AMK197109:AMK262145 AMK262645:AMK327681 AMK328181:AMK393217 AMK393717:AMK458753 AMK459253:AMK524289 AMK524789:AMK589825 AMK590325:AMK655361 AMK655861:AMK720897 AMK721397:AMK786433 AMK786933:AMK851969 AMK852469:AMK917505 AMK918005:AMK983041 AMK983541:AMK1048576 AWE11:AWE21 AWE65547:AWE65557 AWE131083:AWE131093 AWE196619:AWE196629 AWE262155:AWE262165 AWE327691:AWE327701 AWE393227:AWE393237 AWE458763:AWE458773 AWE524299:AWE524309 AWE589835:AWE589845 AWE655371:AWE655381 AWE720907:AWE720917 AWE786443:AWE786453 AWE851979:AWE851989 AWE917515:AWE917525 AWE983051:AWE983061 AWG501:AWG65537 AWG66037:AWG131073 AWG131573:AWG196609 AWG197109:AWG262145 AWG262645:AWG327681 AWG328181:AWG393217 AWG393717:AWG458753 AWG459253:AWG524289 AWG524789:AWG589825 AWG590325:AWG655361 AWG655861:AWG720897 AWG721397:AWG786433 AWG786933:AWG851969 AWG852469:AWG917505 AWG918005:AWG983041 AWG983541:AWG1048576 BGA11:BGA21 BGA65547:BGA65557 BGA131083:BGA131093 BGA196619:BGA196629 BGA262155:BGA262165 BGA327691:BGA327701 BGA393227:BGA393237 BGA458763:BGA458773 BGA524299:BGA524309 BGA589835:BGA589845 BGA655371:BGA655381 BGA720907:BGA720917 BGA786443:BGA786453 BGA851979:BGA851989 BGA917515:BGA917525 BGA983051:BGA983061 BGC501:BGC65537 BGC66037:BGC131073 BGC131573:BGC196609 BGC197109:BGC262145 BGC262645:BGC327681 BGC328181:BGC393217 BGC393717:BGC458753 BGC459253:BGC524289 BGC524789:BGC589825 BGC590325:BGC655361 BGC655861:BGC720897 BGC721397:BGC786433 BGC786933:BGC851969 BGC852469:BGC917505 BGC918005:BGC983041 BGC983541:BGC1048576 BPW11:BPW21 BPW65547:BPW65557 BPW131083:BPW131093 BPW196619:BPW196629 BPW262155:BPW262165 BPW327691:BPW327701 BPW393227:BPW393237 BPW458763:BPW458773 BPW524299:BPW524309 BPW589835:BPW589845 BPW655371:BPW655381 BPW720907:BPW720917 BPW786443:BPW786453 BPW851979:BPW851989 BPW917515:BPW917525 BPW983051:BPW983061 BPY501:BPY65537 BPY66037:BPY131073 BPY131573:BPY196609 BPY197109:BPY262145 BPY262645:BPY327681 BPY328181:BPY393217 BPY393717:BPY458753 BPY459253:BPY524289 BPY524789:BPY589825 BPY590325:BPY655361 BPY655861:BPY720897 BPY721397:BPY786433 BPY786933:BPY851969 BPY852469:BPY917505 BPY918005:BPY983041 BPY983541:BPY1048576 BZS11:BZS21 BZS65547:BZS65557 BZS131083:BZS131093 BZS196619:BZS196629 BZS262155:BZS262165 BZS327691:BZS327701 BZS393227:BZS393237 BZS458763:BZS458773 BZS524299:BZS524309 BZS589835:BZS589845 BZS655371:BZS655381 BZS720907:BZS720917 BZS786443:BZS786453 BZS851979:BZS851989 BZS917515:BZS917525 BZS983051:BZS983061 BZU501:BZU65537 BZU66037:BZU131073 BZU131573:BZU196609 BZU197109:BZU262145 BZU262645:BZU327681 BZU328181:BZU393217 BZU393717:BZU458753 BZU459253:BZU524289 BZU524789:BZU589825 BZU590325:BZU655361 BZU655861:BZU720897 BZU721397:BZU786433 BZU786933:BZU851969 BZU852469:BZU917505 BZU918005:BZU983041 BZU983541:BZU1048576 CJO11:CJO21 CJO65547:CJO65557 CJO131083:CJO131093 CJO196619:CJO196629 CJO262155:CJO262165 CJO327691:CJO327701 CJO393227:CJO393237 CJO458763:CJO458773 CJO524299:CJO524309 CJO589835:CJO589845 CJO655371:CJO655381 CJO720907:CJO720917 CJO786443:CJO786453 CJO851979:CJO851989 CJO917515:CJO917525 CJO983051:CJO983061 CJQ501:CJQ65537 CJQ66037:CJQ131073 CJQ131573:CJQ196609 CJQ197109:CJQ262145 CJQ262645:CJQ327681 CJQ328181:CJQ393217 CJQ393717:CJQ458753 CJQ459253:CJQ524289 CJQ524789:CJQ589825 CJQ590325:CJQ655361 CJQ655861:CJQ720897 CJQ721397:CJQ786433 CJQ786933:CJQ851969 CJQ852469:CJQ917505 CJQ918005:CJQ983041 CJQ983541:CJQ1048576 CTK11:CTK21 CTK65547:CTK65557 CTK131083:CTK131093 CTK196619:CTK196629 CTK262155:CTK262165 CTK327691:CTK327701 CTK393227:CTK393237 CTK458763:CTK458773 CTK524299:CTK524309 CTK589835:CTK589845 CTK655371:CTK655381 CTK720907:CTK720917 CTK786443:CTK786453 CTK851979:CTK851989 CTK917515:CTK917525 CTK983051:CTK983061 CTM501:CTM65537 CTM66037:CTM131073 CTM131573:CTM196609 CTM197109:CTM262145 CTM262645:CTM327681 CTM328181:CTM393217 CTM393717:CTM458753 CTM459253:CTM524289 CTM524789:CTM589825 CTM590325:CTM655361 CTM655861:CTM720897 CTM721397:CTM786433 CTM786933:CTM851969 CTM852469:CTM917505 CTM918005:CTM983041 CTM983541:CTM1048576 DDG11:DDG21 DDG65547:DDG65557 DDG131083:DDG131093 DDG196619:DDG196629 DDG262155:DDG262165 DDG327691:DDG327701 DDG393227:DDG393237 DDG458763:DDG458773 DDG524299:DDG524309 DDG589835:DDG589845 DDG655371:DDG655381 DDG720907:DDG720917 DDG786443:DDG786453 DDG851979:DDG851989 DDG917515:DDG917525 DDG983051:DDG983061 DDI501:DDI65537 DDI66037:DDI131073 DDI131573:DDI196609 DDI197109:DDI262145 DDI262645:DDI327681 DDI328181:DDI393217 DDI393717:DDI458753 DDI459253:DDI524289 DDI524789:DDI589825 DDI590325:DDI655361 DDI655861:DDI720897 DDI721397:DDI786433 DDI786933:DDI851969 DDI852469:DDI917505 DDI918005:DDI983041 DDI983541:DDI1048576 DNC11:DNC21 DNC65547:DNC65557 DNC131083:DNC131093 DNC196619:DNC196629 DNC262155:DNC262165 DNC327691:DNC327701 DNC393227:DNC393237 DNC458763:DNC458773 DNC524299:DNC524309 DNC589835:DNC589845 DNC655371:DNC655381 DNC720907:DNC720917 DNC786443:DNC786453 DNC851979:DNC851989 DNC917515:DNC917525 DNC983051:DNC983061 DNE501:DNE65537 DNE66037:DNE131073 DNE131573:DNE196609 DNE197109:DNE262145 DNE262645:DNE327681 DNE328181:DNE393217 DNE393717:DNE458753 DNE459253:DNE524289 DNE524789:DNE589825 DNE590325:DNE655361 DNE655861:DNE720897 DNE721397:DNE786433 DNE786933:DNE851969 DNE852469:DNE917505 DNE918005:DNE983041 DNE983541:DNE1048576 DWY11:DWY21 DWY65547:DWY65557 DWY131083:DWY131093 DWY196619:DWY196629 DWY262155:DWY262165 DWY327691:DWY327701 DWY393227:DWY393237 DWY458763:DWY458773 DWY524299:DWY524309 DWY589835:DWY589845 DWY655371:DWY655381 DWY720907:DWY720917 DWY786443:DWY786453 DWY851979:DWY851989 DWY917515:DWY917525 DWY983051:DWY983061 DXA501:DXA65537 DXA66037:DXA131073 DXA131573:DXA196609 DXA197109:DXA262145 DXA262645:DXA327681 DXA328181:DXA393217 DXA393717:DXA458753 DXA459253:DXA524289 DXA524789:DXA589825 DXA590325:DXA655361 DXA655861:DXA720897 DXA721397:DXA786433 DXA786933:DXA851969 DXA852469:DXA917505 DXA918005:DXA983041 DXA983541:DXA1048576 EGU11:EGU21 EGU65547:EGU65557 EGU131083:EGU131093 EGU196619:EGU196629 EGU262155:EGU262165 EGU327691:EGU327701 EGU393227:EGU393237 EGU458763:EGU458773 EGU524299:EGU524309 EGU589835:EGU589845 EGU655371:EGU655381 EGU720907:EGU720917 EGU786443:EGU786453 EGU851979:EGU851989 EGU917515:EGU917525 EGU983051:EGU983061 EGW501:EGW65537 EGW66037:EGW131073 EGW131573:EGW196609 EGW197109:EGW262145 EGW262645:EGW327681 EGW328181:EGW393217 EGW393717:EGW458753 EGW459253:EGW524289 EGW524789:EGW589825 EGW590325:EGW655361 EGW655861:EGW720897 EGW721397:EGW786433 EGW786933:EGW851969 EGW852469:EGW917505 EGW918005:EGW983041 EGW983541:EGW1048576 EQQ11:EQQ21 EQQ65547:EQQ65557 EQQ131083:EQQ131093 EQQ196619:EQQ196629 EQQ262155:EQQ262165 EQQ327691:EQQ327701 EQQ393227:EQQ393237 EQQ458763:EQQ458773 EQQ524299:EQQ524309 EQQ589835:EQQ589845 EQQ655371:EQQ655381 EQQ720907:EQQ720917 EQQ786443:EQQ786453 EQQ851979:EQQ851989 EQQ917515:EQQ917525 EQQ983051:EQQ983061 EQS501:EQS65537 EQS66037:EQS131073 EQS131573:EQS196609 EQS197109:EQS262145 EQS262645:EQS327681 EQS328181:EQS393217 EQS393717:EQS458753 EQS459253:EQS524289 EQS524789:EQS589825 EQS590325:EQS655361 EQS655861:EQS720897 EQS721397:EQS786433 EQS786933:EQS851969 EQS852469:EQS917505 EQS918005:EQS983041 EQS983541:EQS1048576 FAM11:FAM21 FAM65547:FAM65557 FAM131083:FAM131093 FAM196619:FAM196629 FAM262155:FAM262165 FAM327691:FAM327701 FAM393227:FAM393237 FAM458763:FAM458773 FAM524299:FAM524309 FAM589835:FAM589845 FAM655371:FAM655381 FAM720907:FAM720917 FAM786443:FAM786453 FAM851979:FAM851989 FAM917515:FAM917525 FAM983051:FAM983061 FAO501:FAO65537 FAO66037:FAO131073 FAO131573:FAO196609 FAO197109:FAO262145 FAO262645:FAO327681 FAO328181:FAO393217 FAO393717:FAO458753 FAO459253:FAO524289 FAO524789:FAO589825 FAO590325:FAO655361 FAO655861:FAO720897 FAO721397:FAO786433 FAO786933:FAO851969 FAO852469:FAO917505 FAO918005:FAO983041 FAO983541:FAO1048576 FKI11:FKI21 FKI65547:FKI65557 FKI131083:FKI131093 FKI196619:FKI196629 FKI262155:FKI262165 FKI327691:FKI327701 FKI393227:FKI393237 FKI458763:FKI458773 FKI524299:FKI524309 FKI589835:FKI589845 FKI655371:FKI655381 FKI720907:FKI720917 FKI786443:FKI786453 FKI851979:FKI851989 FKI917515:FKI917525 FKI983051:FKI983061 FKK501:FKK65537 FKK66037:FKK131073 FKK131573:FKK196609 FKK197109:FKK262145 FKK262645:FKK327681 FKK328181:FKK393217 FKK393717:FKK458753 FKK459253:FKK524289 FKK524789:FKK589825 FKK590325:FKK655361 FKK655861:FKK720897 FKK721397:FKK786433 FKK786933:FKK851969 FKK852469:FKK917505 FKK918005:FKK983041 FKK983541:FKK1048576 FUE11:FUE21 FUE65547:FUE65557 FUE131083:FUE131093 FUE196619:FUE196629 FUE262155:FUE262165 FUE327691:FUE327701 FUE393227:FUE393237 FUE458763:FUE458773 FUE524299:FUE524309 FUE589835:FUE589845 FUE655371:FUE655381 FUE720907:FUE720917 FUE786443:FUE786453 FUE851979:FUE851989 FUE917515:FUE917525 FUE983051:FUE983061 FUG501:FUG65537 FUG66037:FUG131073 FUG131573:FUG196609 FUG197109:FUG262145 FUG262645:FUG327681 FUG328181:FUG393217 FUG393717:FUG458753 FUG459253:FUG524289 FUG524789:FUG589825 FUG590325:FUG655361 FUG655861:FUG720897 FUG721397:FUG786433 FUG786933:FUG851969 FUG852469:FUG917505 FUG918005:FUG983041 FUG983541:FUG1048576 GEA11:GEA21 GEA65547:GEA65557 GEA131083:GEA131093 GEA196619:GEA196629 GEA262155:GEA262165 GEA327691:GEA327701 GEA393227:GEA393237 GEA458763:GEA458773 GEA524299:GEA524309 GEA589835:GEA589845 GEA655371:GEA655381 GEA720907:GEA720917 GEA786443:GEA786453 GEA851979:GEA851989 GEA917515:GEA917525 GEA983051:GEA983061 GEC501:GEC65537 GEC66037:GEC131073 GEC131573:GEC196609 GEC197109:GEC262145 GEC262645:GEC327681 GEC328181:GEC393217 GEC393717:GEC458753 GEC459253:GEC524289 GEC524789:GEC589825 GEC590325:GEC655361 GEC655861:GEC720897 GEC721397:GEC786433 GEC786933:GEC851969 GEC852469:GEC917505 GEC918005:GEC983041 GEC983541:GEC1048576 GNW11:GNW21 GNW65547:GNW65557 GNW131083:GNW131093 GNW196619:GNW196629 GNW262155:GNW262165 GNW327691:GNW327701 GNW393227:GNW393237 GNW458763:GNW458773 GNW524299:GNW524309 GNW589835:GNW589845 GNW655371:GNW655381 GNW720907:GNW720917 GNW786443:GNW786453 GNW851979:GNW851989 GNW917515:GNW917525 GNW983051:GNW983061 GNY501:GNY65537 GNY66037:GNY131073 GNY131573:GNY196609 GNY197109:GNY262145 GNY262645:GNY327681 GNY328181:GNY393217 GNY393717:GNY458753 GNY459253:GNY524289 GNY524789:GNY589825 GNY590325:GNY655361 GNY655861:GNY720897 GNY721397:GNY786433 GNY786933:GNY851969 GNY852469:GNY917505 GNY918005:GNY983041 GNY983541:GNY1048576 GXS11:GXS21 GXS65547:GXS65557 GXS131083:GXS131093 GXS196619:GXS196629 GXS262155:GXS262165 GXS327691:GXS327701 GXS393227:GXS393237 GXS458763:GXS458773 GXS524299:GXS524309 GXS589835:GXS589845 GXS655371:GXS655381 GXS720907:GXS720917 GXS786443:GXS786453 GXS851979:GXS851989 GXS917515:GXS917525 GXS983051:GXS983061 GXU501:GXU65537 GXU66037:GXU131073 GXU131573:GXU196609 GXU197109:GXU262145 GXU262645:GXU327681 GXU328181:GXU393217 GXU393717:GXU458753 GXU459253:GXU524289 GXU524789:GXU589825 GXU590325:GXU655361 GXU655861:GXU720897 GXU721397:GXU786433 GXU786933:GXU851969 GXU852469:GXU917505 GXU918005:GXU983041 GXU983541:GXU1048576 HHO11:HHO21 HHO65547:HHO65557 HHO131083:HHO131093 HHO196619:HHO196629 HHO262155:HHO262165 HHO327691:HHO327701 HHO393227:HHO393237 HHO458763:HHO458773 HHO524299:HHO524309 HHO589835:HHO589845 HHO655371:HHO655381 HHO720907:HHO720917 HHO786443:HHO786453 HHO851979:HHO851989 HHO917515:HHO917525 HHO983051:HHO983061 HHQ501:HHQ65537 HHQ66037:HHQ131073 HHQ131573:HHQ196609 HHQ197109:HHQ262145 HHQ262645:HHQ327681 HHQ328181:HHQ393217 HHQ393717:HHQ458753 HHQ459253:HHQ524289 HHQ524789:HHQ589825 HHQ590325:HHQ655361 HHQ655861:HHQ720897 HHQ721397:HHQ786433 HHQ786933:HHQ851969 HHQ852469:HHQ917505 HHQ918005:HHQ983041 HHQ983541:HHQ1048576 HRK11:HRK21 HRK65547:HRK65557 HRK131083:HRK131093 HRK196619:HRK196629 HRK262155:HRK262165 HRK327691:HRK327701 HRK393227:HRK393237 HRK458763:HRK458773 HRK524299:HRK524309 HRK589835:HRK589845 HRK655371:HRK655381 HRK720907:HRK720917 HRK786443:HRK786453 HRK851979:HRK851989 HRK917515:HRK917525 HRK983051:HRK983061 HRM501:HRM65537 HRM66037:HRM131073 HRM131573:HRM196609 HRM197109:HRM262145 HRM262645:HRM327681 HRM328181:HRM393217 HRM393717:HRM458753 HRM459253:HRM524289 HRM524789:HRM589825 HRM590325:HRM655361 HRM655861:HRM720897 HRM721397:HRM786433 HRM786933:HRM851969 HRM852469:HRM917505 HRM918005:HRM983041 HRM983541:HRM1048576 IBG11:IBG21 IBG65547:IBG65557 IBG131083:IBG131093 IBG196619:IBG196629 IBG262155:IBG262165 IBG327691:IBG327701 IBG393227:IBG393237 IBG458763:IBG458773 IBG524299:IBG524309 IBG589835:IBG589845 IBG655371:IBG655381 IBG720907:IBG720917 IBG786443:IBG786453 IBG851979:IBG851989 IBG917515:IBG917525 IBG983051:IBG983061 IBI501:IBI65537 IBI66037:IBI131073 IBI131573:IBI196609 IBI197109:IBI262145 IBI262645:IBI327681 IBI328181:IBI393217 IBI393717:IBI458753 IBI459253:IBI524289 IBI524789:IBI589825 IBI590325:IBI655361 IBI655861:IBI720897 IBI721397:IBI786433 IBI786933:IBI851969 IBI852469:IBI917505 IBI918005:IBI983041 IBI983541:IBI1048576 ILC11:ILC21 ILC65547:ILC65557 ILC131083:ILC131093 ILC196619:ILC196629 ILC262155:ILC262165 ILC327691:ILC327701 ILC393227:ILC393237 ILC458763:ILC458773 ILC524299:ILC524309 ILC589835:ILC589845 ILC655371:ILC655381 ILC720907:ILC720917 ILC786443:ILC786453 ILC851979:ILC851989 ILC917515:ILC917525 ILC983051:ILC983061 ILE501:ILE65537 ILE66037:ILE131073 ILE131573:ILE196609 ILE197109:ILE262145 ILE262645:ILE327681 ILE328181:ILE393217 ILE393717:ILE458753 ILE459253:ILE524289 ILE524789:ILE589825 ILE590325:ILE655361 ILE655861:ILE720897 ILE721397:ILE786433 ILE786933:ILE851969 ILE852469:ILE917505 ILE918005:ILE983041 ILE983541:ILE1048576 IUY11:IUY21 IUY65547:IUY65557 IUY131083:IUY131093 IUY196619:IUY196629 IUY262155:IUY262165 IUY327691:IUY327701 IUY393227:IUY393237 IUY458763:IUY458773 IUY524299:IUY524309 IUY589835:IUY589845 IUY655371:IUY655381 IUY720907:IUY720917 IUY786443:IUY786453 IUY851979:IUY851989 IUY917515:IUY917525 IUY983051:IUY983061 IVA501:IVA65537 IVA66037:IVA131073 IVA131573:IVA196609 IVA197109:IVA262145 IVA262645:IVA327681 IVA328181:IVA393217 IVA393717:IVA458753 IVA459253:IVA524289 IVA524789:IVA589825 IVA590325:IVA655361 IVA655861:IVA720897 IVA721397:IVA786433 IVA786933:IVA851969 IVA852469:IVA917505 IVA918005:IVA983041 IVA983541:IVA1048576 JEU11:JEU21 JEU65547:JEU65557 JEU131083:JEU131093 JEU196619:JEU196629 JEU262155:JEU262165 JEU327691:JEU327701 JEU393227:JEU393237 JEU458763:JEU458773 JEU524299:JEU524309 JEU589835:JEU589845 JEU655371:JEU655381 JEU720907:JEU720917 JEU786443:JEU786453 JEU851979:JEU851989 JEU917515:JEU917525 JEU983051:JEU983061 JEW501:JEW65537 JEW66037:JEW131073 JEW131573:JEW196609 JEW197109:JEW262145 JEW262645:JEW327681 JEW328181:JEW393217 JEW393717:JEW458753 JEW459253:JEW524289 JEW524789:JEW589825 JEW590325:JEW655361 JEW655861:JEW720897 JEW721397:JEW786433 JEW786933:JEW851969 JEW852469:JEW917505 JEW918005:JEW983041 JEW983541:JEW1048576 JOQ11:JOQ21 JOQ65547:JOQ65557 JOQ131083:JOQ131093 JOQ196619:JOQ196629 JOQ262155:JOQ262165 JOQ327691:JOQ327701 JOQ393227:JOQ393237 JOQ458763:JOQ458773 JOQ524299:JOQ524309 JOQ589835:JOQ589845 JOQ655371:JOQ655381 JOQ720907:JOQ720917 JOQ786443:JOQ786453 JOQ851979:JOQ851989 JOQ917515:JOQ917525 JOQ983051:JOQ983061 JOS501:JOS65537 JOS66037:JOS131073 JOS131573:JOS196609 JOS197109:JOS262145 JOS262645:JOS327681 JOS328181:JOS393217 JOS393717:JOS458753 JOS459253:JOS524289 JOS524789:JOS589825 JOS590325:JOS655361 JOS655861:JOS720897 JOS721397:JOS786433 JOS786933:JOS851969 JOS852469:JOS917505 JOS918005:JOS983041 JOS983541:JOS1048576 JYM11:JYM21 JYM65547:JYM65557 JYM131083:JYM131093 JYM196619:JYM196629 JYM262155:JYM262165 JYM327691:JYM327701 JYM393227:JYM393237 JYM458763:JYM458773 JYM524299:JYM524309 JYM589835:JYM589845 JYM655371:JYM655381 JYM720907:JYM720917 JYM786443:JYM786453 JYM851979:JYM851989 JYM917515:JYM917525 JYM983051:JYM983061 JYO501:JYO65537 JYO66037:JYO131073 JYO131573:JYO196609 JYO197109:JYO262145 JYO262645:JYO327681 JYO328181:JYO393217 JYO393717:JYO458753 JYO459253:JYO524289 JYO524789:JYO589825 JYO590325:JYO655361 JYO655861:JYO720897 JYO721397:JYO786433 JYO786933:JYO851969 JYO852469:JYO917505 JYO918005:JYO983041 JYO983541:JYO1048576 KII11:KII21 KII65547:KII65557 KII131083:KII131093 KII196619:KII196629 KII262155:KII262165 KII327691:KII327701 KII393227:KII393237 KII458763:KII458773 KII524299:KII524309 KII589835:KII589845 KII655371:KII655381 KII720907:KII720917 KII786443:KII786453 KII851979:KII851989 KII917515:KII917525 KII983051:KII983061 KIK501:KIK65537 KIK66037:KIK131073 KIK131573:KIK196609 KIK197109:KIK262145 KIK262645:KIK327681 KIK328181:KIK393217 KIK393717:KIK458753 KIK459253:KIK524289 KIK524789:KIK589825 KIK590325:KIK655361 KIK655861:KIK720897 KIK721397:KIK786433 KIK786933:KIK851969 KIK852469:KIK917505 KIK918005:KIK983041 KIK983541:KIK1048576 KSE11:KSE21 KSE65547:KSE65557 KSE131083:KSE131093 KSE196619:KSE196629 KSE262155:KSE262165 KSE327691:KSE327701 KSE393227:KSE393237 KSE458763:KSE458773 KSE524299:KSE524309 KSE589835:KSE589845 KSE655371:KSE655381 KSE720907:KSE720917 KSE786443:KSE786453 KSE851979:KSE851989 KSE917515:KSE917525 KSE983051:KSE983061 KSG501:KSG65537 KSG66037:KSG131073 KSG131573:KSG196609 KSG197109:KSG262145 KSG262645:KSG327681 KSG328181:KSG393217 KSG393717:KSG458753 KSG459253:KSG524289 KSG524789:KSG589825 KSG590325:KSG655361 KSG655861:KSG720897 KSG721397:KSG786433 KSG786933:KSG851969 KSG852469:KSG917505 KSG918005:KSG983041 KSG983541:KSG1048576 LCA11:LCA21 LCA65547:LCA65557 LCA131083:LCA131093 LCA196619:LCA196629 LCA262155:LCA262165 LCA327691:LCA327701 LCA393227:LCA393237 LCA458763:LCA458773 LCA524299:LCA524309 LCA589835:LCA589845 LCA655371:LCA655381 LCA720907:LCA720917 LCA786443:LCA786453 LCA851979:LCA851989 LCA917515:LCA917525 LCA983051:LCA983061 LCC501:LCC65537 LCC66037:LCC131073 LCC131573:LCC196609 LCC197109:LCC262145 LCC262645:LCC327681 LCC328181:LCC393217 LCC393717:LCC458753 LCC459253:LCC524289 LCC524789:LCC589825 LCC590325:LCC655361 LCC655861:LCC720897 LCC721397:LCC786433 LCC786933:LCC851969 LCC852469:LCC917505 LCC918005:LCC983041 LCC983541:LCC1048576 LLW11:LLW21 LLW65547:LLW65557 LLW131083:LLW131093 LLW196619:LLW196629 LLW262155:LLW262165 LLW327691:LLW327701 LLW393227:LLW393237 LLW458763:LLW458773 LLW524299:LLW524309 LLW589835:LLW589845 LLW655371:LLW655381 LLW720907:LLW720917 LLW786443:LLW786453 LLW851979:LLW851989 LLW917515:LLW917525 LLW983051:LLW983061 LLY501:LLY65537 LLY66037:LLY131073 LLY131573:LLY196609 LLY197109:LLY262145 LLY262645:LLY327681 LLY328181:LLY393217 LLY393717:LLY458753 LLY459253:LLY524289 LLY524789:LLY589825 LLY590325:LLY655361 LLY655861:LLY720897 LLY721397:LLY786433 LLY786933:LLY851969 LLY852469:LLY917505 LLY918005:LLY983041 LLY983541:LLY1048576 LVS11:LVS21 LVS65547:LVS65557 LVS131083:LVS131093 LVS196619:LVS196629 LVS262155:LVS262165 LVS327691:LVS327701 LVS393227:LVS393237 LVS458763:LVS458773 LVS524299:LVS524309 LVS589835:LVS589845 LVS655371:LVS655381 LVS720907:LVS720917 LVS786443:LVS786453 LVS851979:LVS851989 LVS917515:LVS917525 LVS983051:LVS983061 LVU501:LVU65537 LVU66037:LVU131073 LVU131573:LVU196609 LVU197109:LVU262145 LVU262645:LVU327681 LVU328181:LVU393217 LVU393717:LVU458753 LVU459253:LVU524289 LVU524789:LVU589825 LVU590325:LVU655361 LVU655861:LVU720897 LVU721397:LVU786433 LVU786933:LVU851969 LVU852469:LVU917505 LVU918005:LVU983041 LVU983541:LVU1048576 MFO11:MFO21 MFO65547:MFO65557 MFO131083:MFO131093 MFO196619:MFO196629 MFO262155:MFO262165 MFO327691:MFO327701 MFO393227:MFO393237 MFO458763:MFO458773 MFO524299:MFO524309 MFO589835:MFO589845 MFO655371:MFO655381 MFO720907:MFO720917 MFO786443:MFO786453 MFO851979:MFO851989 MFO917515:MFO917525 MFO983051:MFO983061 MFQ501:MFQ65537 MFQ66037:MFQ131073 MFQ131573:MFQ196609 MFQ197109:MFQ262145 MFQ262645:MFQ327681 MFQ328181:MFQ393217 MFQ393717:MFQ458753 MFQ459253:MFQ524289 MFQ524789:MFQ589825 MFQ590325:MFQ655361 MFQ655861:MFQ720897 MFQ721397:MFQ786433 MFQ786933:MFQ851969 MFQ852469:MFQ917505 MFQ918005:MFQ983041 MFQ983541:MFQ1048576 MPK11:MPK21 MPK65547:MPK65557 MPK131083:MPK131093 MPK196619:MPK196629 MPK262155:MPK262165 MPK327691:MPK327701 MPK393227:MPK393237 MPK458763:MPK458773 MPK524299:MPK524309 MPK589835:MPK589845 MPK655371:MPK655381 MPK720907:MPK720917 MPK786443:MPK786453 MPK851979:MPK851989 MPK917515:MPK917525 MPK983051:MPK983061 MPM501:MPM65537 MPM66037:MPM131073 MPM131573:MPM196609 MPM197109:MPM262145 MPM262645:MPM327681 MPM328181:MPM393217 MPM393717:MPM458753 MPM459253:MPM524289 MPM524789:MPM589825 MPM590325:MPM655361 MPM655861:MPM720897 MPM721397:MPM786433 MPM786933:MPM851969 MPM852469:MPM917505 MPM918005:MPM983041 MPM983541:MPM1048576 MZG11:MZG21 MZG65547:MZG65557 MZG131083:MZG131093 MZG196619:MZG196629 MZG262155:MZG262165 MZG327691:MZG327701 MZG393227:MZG393237 MZG458763:MZG458773 MZG524299:MZG524309 MZG589835:MZG589845 MZG655371:MZG655381 MZG720907:MZG720917 MZG786443:MZG786453 MZG851979:MZG851989 MZG917515:MZG917525 MZG983051:MZG983061 MZI501:MZI65537 MZI66037:MZI131073 MZI131573:MZI196609 MZI197109:MZI262145 MZI262645:MZI327681 MZI328181:MZI393217 MZI393717:MZI458753 MZI459253:MZI524289 MZI524789:MZI589825 MZI590325:MZI655361 MZI655861:MZI720897 MZI721397:MZI786433 MZI786933:MZI851969 MZI852469:MZI917505 MZI918005:MZI983041 MZI983541:MZI1048576 NJC11:NJC21 NJC65547:NJC65557 NJC131083:NJC131093 NJC196619:NJC196629 NJC262155:NJC262165 NJC327691:NJC327701 NJC393227:NJC393237 NJC458763:NJC458773 NJC524299:NJC524309 NJC589835:NJC589845 NJC655371:NJC655381 NJC720907:NJC720917 NJC786443:NJC786453 NJC851979:NJC851989 NJC917515:NJC917525 NJC983051:NJC983061 NJE501:NJE65537 NJE66037:NJE131073 NJE131573:NJE196609 NJE197109:NJE262145 NJE262645:NJE327681 NJE328181:NJE393217 NJE393717:NJE458753 NJE459253:NJE524289 NJE524789:NJE589825 NJE590325:NJE655361 NJE655861:NJE720897 NJE721397:NJE786433 NJE786933:NJE851969 NJE852469:NJE917505 NJE918005:NJE983041 NJE983541:NJE1048576 NSY11:NSY21 NSY65547:NSY65557 NSY131083:NSY131093 NSY196619:NSY196629 NSY262155:NSY262165 NSY327691:NSY327701 NSY393227:NSY393237 NSY458763:NSY458773 NSY524299:NSY524309 NSY589835:NSY589845 NSY655371:NSY655381 NSY720907:NSY720917 NSY786443:NSY786453 NSY851979:NSY851989 NSY917515:NSY917525 NSY983051:NSY983061 NTA501:NTA65537 NTA66037:NTA131073 NTA131573:NTA196609 NTA197109:NTA262145 NTA262645:NTA327681 NTA328181:NTA393217 NTA393717:NTA458753 NTA459253:NTA524289 NTA524789:NTA589825 NTA590325:NTA655361 NTA655861:NTA720897 NTA721397:NTA786433 NTA786933:NTA851969 NTA852469:NTA917505 NTA918005:NTA983041 NTA983541:NTA1048576 OCU11:OCU21 OCU65547:OCU65557 OCU131083:OCU131093 OCU196619:OCU196629 OCU262155:OCU262165 OCU327691:OCU327701 OCU393227:OCU393237 OCU458763:OCU458773 OCU524299:OCU524309 OCU589835:OCU589845 OCU655371:OCU655381 OCU720907:OCU720917 OCU786443:OCU786453 OCU851979:OCU851989 OCU917515:OCU917525 OCU983051:OCU983061 OCW501:OCW65537 OCW66037:OCW131073 OCW131573:OCW196609 OCW197109:OCW262145 OCW262645:OCW327681 OCW328181:OCW393217 OCW393717:OCW458753 OCW459253:OCW524289 OCW524789:OCW589825 OCW590325:OCW655361 OCW655861:OCW720897 OCW721397:OCW786433 OCW786933:OCW851969 OCW852469:OCW917505 OCW918005:OCW983041 OCW983541:OCW1048576 OMQ11:OMQ21 OMQ65547:OMQ65557 OMQ131083:OMQ131093 OMQ196619:OMQ196629 OMQ262155:OMQ262165 OMQ327691:OMQ327701 OMQ393227:OMQ393237 OMQ458763:OMQ458773 OMQ524299:OMQ524309 OMQ589835:OMQ589845 OMQ655371:OMQ655381 OMQ720907:OMQ720917 OMQ786443:OMQ786453 OMQ851979:OMQ851989 OMQ917515:OMQ917525 OMQ983051:OMQ983061 OMS501:OMS65537 OMS66037:OMS131073 OMS131573:OMS196609 OMS197109:OMS262145 OMS262645:OMS327681 OMS328181:OMS393217 OMS393717:OMS458753 OMS459253:OMS524289 OMS524789:OMS589825 OMS590325:OMS655361 OMS655861:OMS720897 OMS721397:OMS786433 OMS786933:OMS851969 OMS852469:OMS917505 OMS918005:OMS983041 OMS983541:OMS1048576 OWM11:OWM21 OWM65547:OWM65557 OWM131083:OWM131093 OWM196619:OWM196629 OWM262155:OWM262165 OWM327691:OWM327701 OWM393227:OWM393237 OWM458763:OWM458773 OWM524299:OWM524309 OWM589835:OWM589845 OWM655371:OWM655381 OWM720907:OWM720917 OWM786443:OWM786453 OWM851979:OWM851989 OWM917515:OWM917525 OWM983051:OWM983061 OWO501:OWO65537 OWO66037:OWO131073 OWO131573:OWO196609 OWO197109:OWO262145 OWO262645:OWO327681 OWO328181:OWO393217 OWO393717:OWO458753 OWO459253:OWO524289 OWO524789:OWO589825 OWO590325:OWO655361 OWO655861:OWO720897 OWO721397:OWO786433 OWO786933:OWO851969 OWO852469:OWO917505 OWO918005:OWO983041 OWO983541:OWO1048576 PGI11:PGI21 PGI65547:PGI65557 PGI131083:PGI131093 PGI196619:PGI196629 PGI262155:PGI262165 PGI327691:PGI327701 PGI393227:PGI393237 PGI458763:PGI458773 PGI524299:PGI524309 PGI589835:PGI589845 PGI655371:PGI655381 PGI720907:PGI720917 PGI786443:PGI786453 PGI851979:PGI851989 PGI917515:PGI917525 PGI983051:PGI983061 PGK501:PGK65537 PGK66037:PGK131073 PGK131573:PGK196609 PGK197109:PGK262145 PGK262645:PGK327681 PGK328181:PGK393217 PGK393717:PGK458753 PGK459253:PGK524289 PGK524789:PGK589825 PGK590325:PGK655361 PGK655861:PGK720897 PGK721397:PGK786433 PGK786933:PGK851969 PGK852469:PGK917505 PGK918005:PGK983041 PGK983541:PGK1048576 PQE11:PQE21 PQE65547:PQE65557 PQE131083:PQE131093 PQE196619:PQE196629 PQE262155:PQE262165 PQE327691:PQE327701 PQE393227:PQE393237 PQE458763:PQE458773 PQE524299:PQE524309 PQE589835:PQE589845 PQE655371:PQE655381 PQE720907:PQE720917 PQE786443:PQE786453 PQE851979:PQE851989 PQE917515:PQE917525 PQE983051:PQE983061 PQG501:PQG65537 PQG66037:PQG131073 PQG131573:PQG196609 PQG197109:PQG262145 PQG262645:PQG327681 PQG328181:PQG393217 PQG393717:PQG458753 PQG459253:PQG524289 PQG524789:PQG589825 PQG590325:PQG655361 PQG655861:PQG720897 PQG721397:PQG786433 PQG786933:PQG851969 PQG852469:PQG917505 PQG918005:PQG983041 PQG983541:PQG1048576 QAA11:QAA21 QAA65547:QAA65557 QAA131083:QAA131093 QAA196619:QAA196629 QAA262155:QAA262165 QAA327691:QAA327701 QAA393227:QAA393237 QAA458763:QAA458773 QAA524299:QAA524309 QAA589835:QAA589845 QAA655371:QAA655381 QAA720907:QAA720917 QAA786443:QAA786453 QAA851979:QAA851989 QAA917515:QAA917525 QAA983051:QAA983061 QAC501:QAC65537 QAC66037:QAC131073 QAC131573:QAC196609 QAC197109:QAC262145 QAC262645:QAC327681 QAC328181:QAC393217 QAC393717:QAC458753 QAC459253:QAC524289 QAC524789:QAC589825 QAC590325:QAC655361 QAC655861:QAC720897 QAC721397:QAC786433 QAC786933:QAC851969 QAC852469:QAC917505 QAC918005:QAC983041 QAC983541:QAC1048576 QJW11:QJW21 QJW65547:QJW65557 QJW131083:QJW131093 QJW196619:QJW196629 QJW262155:QJW262165 QJW327691:QJW327701 QJW393227:QJW393237 QJW458763:QJW458773 QJW524299:QJW524309 QJW589835:QJW589845 QJW655371:QJW655381 QJW720907:QJW720917 QJW786443:QJW786453 QJW851979:QJW851989 QJW917515:QJW917525 QJW983051:QJW983061 QJY501:QJY65537 QJY66037:QJY131073 QJY131573:QJY196609 QJY197109:QJY262145 QJY262645:QJY327681 QJY328181:QJY393217 QJY393717:QJY458753 QJY459253:QJY524289 QJY524789:QJY589825 QJY590325:QJY655361 QJY655861:QJY720897 QJY721397:QJY786433 QJY786933:QJY851969 QJY852469:QJY917505 QJY918005:QJY983041 QJY983541:QJY1048576 QTS11:QTS21 QTS65547:QTS65557 QTS131083:QTS131093 QTS196619:QTS196629 QTS262155:QTS262165 QTS327691:QTS327701 QTS393227:QTS393237 QTS458763:QTS458773 QTS524299:QTS524309 QTS589835:QTS589845 QTS655371:QTS655381 QTS720907:QTS720917 QTS786443:QTS786453 QTS851979:QTS851989 QTS917515:QTS917525 QTS983051:QTS983061 QTU501:QTU65537 QTU66037:QTU131073 QTU131573:QTU196609 QTU197109:QTU262145 QTU262645:QTU327681 QTU328181:QTU393217 QTU393717:QTU458753 QTU459253:QTU524289 QTU524789:QTU589825 QTU590325:QTU655361 QTU655861:QTU720897 QTU721397:QTU786433 QTU786933:QTU851969 QTU852469:QTU917505 QTU918005:QTU983041 QTU983541:QTU1048576 RDO11:RDO21 RDO65547:RDO65557 RDO131083:RDO131093 RDO196619:RDO196629 RDO262155:RDO262165 RDO327691:RDO327701 RDO393227:RDO393237 RDO458763:RDO458773 RDO524299:RDO524309 RDO589835:RDO589845 RDO655371:RDO655381 RDO720907:RDO720917 RDO786443:RDO786453 RDO851979:RDO851989 RDO917515:RDO917525 RDO983051:RDO983061 RDQ501:RDQ65537 RDQ66037:RDQ131073 RDQ131573:RDQ196609 RDQ197109:RDQ262145 RDQ262645:RDQ327681 RDQ328181:RDQ393217 RDQ393717:RDQ458753 RDQ459253:RDQ524289 RDQ524789:RDQ589825 RDQ590325:RDQ655361 RDQ655861:RDQ720897 RDQ721397:RDQ786433 RDQ786933:RDQ851969 RDQ852469:RDQ917505 RDQ918005:RDQ983041 RDQ983541:RDQ1048576 RNK11:RNK21 RNK65547:RNK65557 RNK131083:RNK131093 RNK196619:RNK196629 RNK262155:RNK262165 RNK327691:RNK327701 RNK393227:RNK393237 RNK458763:RNK458773 RNK524299:RNK524309 RNK589835:RNK589845 RNK655371:RNK655381 RNK720907:RNK720917 RNK786443:RNK786453 RNK851979:RNK851989 RNK917515:RNK917525 RNK983051:RNK983061 RNM501:RNM65537 RNM66037:RNM131073 RNM131573:RNM196609 RNM197109:RNM262145 RNM262645:RNM327681 RNM328181:RNM393217 RNM393717:RNM458753 RNM459253:RNM524289 RNM524789:RNM589825 RNM590325:RNM655361 RNM655861:RNM720897 RNM721397:RNM786433 RNM786933:RNM851969 RNM852469:RNM917505 RNM918005:RNM983041 RNM983541:RNM1048576 RXG11:RXG21 RXG65547:RXG65557 RXG131083:RXG131093 RXG196619:RXG196629 RXG262155:RXG262165 RXG327691:RXG327701 RXG393227:RXG393237 RXG458763:RXG458773 RXG524299:RXG524309 RXG589835:RXG589845 RXG655371:RXG655381 RXG720907:RXG720917 RXG786443:RXG786453 RXG851979:RXG851989 RXG917515:RXG917525 RXG983051:RXG983061 RXI501:RXI65537 RXI66037:RXI131073 RXI131573:RXI196609 RXI197109:RXI262145 RXI262645:RXI327681 RXI328181:RXI393217 RXI393717:RXI458753 RXI459253:RXI524289 RXI524789:RXI589825 RXI590325:RXI655361 RXI655861:RXI720897 RXI721397:RXI786433 RXI786933:RXI851969 RXI852469:RXI917505 RXI918005:RXI983041 RXI983541:RXI1048576 SHC11:SHC21 SHC65547:SHC65557 SHC131083:SHC131093 SHC196619:SHC196629 SHC262155:SHC262165 SHC327691:SHC327701 SHC393227:SHC393237 SHC458763:SHC458773 SHC524299:SHC524309 SHC589835:SHC589845 SHC655371:SHC655381 SHC720907:SHC720917 SHC786443:SHC786453 SHC851979:SHC851989 SHC917515:SHC917525 SHC983051:SHC983061 SHE501:SHE65537 SHE66037:SHE131073 SHE131573:SHE196609 SHE197109:SHE262145 SHE262645:SHE327681 SHE328181:SHE393217 SHE393717:SHE458753 SHE459253:SHE524289 SHE524789:SHE589825 SHE590325:SHE655361 SHE655861:SHE720897 SHE721397:SHE786433 SHE786933:SHE851969 SHE852469:SHE917505 SHE918005:SHE983041 SHE983541:SHE1048576 SQY11:SQY21 SQY65547:SQY65557 SQY131083:SQY131093 SQY196619:SQY196629 SQY262155:SQY262165 SQY327691:SQY327701 SQY393227:SQY393237 SQY458763:SQY458773 SQY524299:SQY524309 SQY589835:SQY589845 SQY655371:SQY655381 SQY720907:SQY720917 SQY786443:SQY786453 SQY851979:SQY851989 SQY917515:SQY917525 SQY983051:SQY983061 SRA501:SRA65537 SRA66037:SRA131073 SRA131573:SRA196609 SRA197109:SRA262145 SRA262645:SRA327681 SRA328181:SRA393217 SRA393717:SRA458753 SRA459253:SRA524289 SRA524789:SRA589825 SRA590325:SRA655361 SRA655861:SRA720897 SRA721397:SRA786433 SRA786933:SRA851969 SRA852469:SRA917505 SRA918005:SRA983041 SRA983541:SRA1048576 TAU11:TAU21 TAU65547:TAU65557 TAU131083:TAU131093 TAU196619:TAU196629 TAU262155:TAU262165 TAU327691:TAU327701 TAU393227:TAU393237 TAU458763:TAU458773 TAU524299:TAU524309 TAU589835:TAU589845 TAU655371:TAU655381 TAU720907:TAU720917 TAU786443:TAU786453 TAU851979:TAU851989 TAU917515:TAU917525 TAU983051:TAU983061 TAW501:TAW65537 TAW66037:TAW131073 TAW131573:TAW196609 TAW197109:TAW262145 TAW262645:TAW327681 TAW328181:TAW393217 TAW393717:TAW458753 TAW459253:TAW524289 TAW524789:TAW589825 TAW590325:TAW655361 TAW655861:TAW720897 TAW721397:TAW786433 TAW786933:TAW851969 TAW852469:TAW917505 TAW918005:TAW983041 TAW983541:TAW1048576 TKQ11:TKQ21 TKQ65547:TKQ65557 TKQ131083:TKQ131093 TKQ196619:TKQ196629 TKQ262155:TKQ262165 TKQ327691:TKQ327701 TKQ393227:TKQ393237 TKQ458763:TKQ458773 TKQ524299:TKQ524309 TKQ589835:TKQ589845 TKQ655371:TKQ655381 TKQ720907:TKQ720917 TKQ786443:TKQ786453 TKQ851979:TKQ851989 TKQ917515:TKQ917525 TKQ983051:TKQ983061 TKS501:TKS65537 TKS66037:TKS131073 TKS131573:TKS196609 TKS197109:TKS262145 TKS262645:TKS327681 TKS328181:TKS393217 TKS393717:TKS458753 TKS459253:TKS524289 TKS524789:TKS589825 TKS590325:TKS655361 TKS655861:TKS720897 TKS721397:TKS786433 TKS786933:TKS851969 TKS852469:TKS917505 TKS918005:TKS983041 TKS983541:TKS1048576 TUM11:TUM21 TUM65547:TUM65557 TUM131083:TUM131093 TUM196619:TUM196629 TUM262155:TUM262165 TUM327691:TUM327701 TUM393227:TUM393237 TUM458763:TUM458773 TUM524299:TUM524309 TUM589835:TUM589845 TUM655371:TUM655381 TUM720907:TUM720917 TUM786443:TUM786453 TUM851979:TUM851989 TUM917515:TUM917525 TUM983051:TUM983061 TUO501:TUO65537 TUO66037:TUO131073 TUO131573:TUO196609 TUO197109:TUO262145 TUO262645:TUO327681 TUO328181:TUO393217 TUO393717:TUO458753 TUO459253:TUO524289 TUO524789:TUO589825 TUO590325:TUO655361 TUO655861:TUO720897 TUO721397:TUO786433 TUO786933:TUO851969 TUO852469:TUO917505 TUO918005:TUO983041 TUO983541:TUO1048576 UEI11:UEI21 UEI65547:UEI65557 UEI131083:UEI131093 UEI196619:UEI196629 UEI262155:UEI262165 UEI327691:UEI327701 UEI393227:UEI393237 UEI458763:UEI458773 UEI524299:UEI524309 UEI589835:UEI589845 UEI655371:UEI655381 UEI720907:UEI720917 UEI786443:UEI786453 UEI851979:UEI851989 UEI917515:UEI917525 UEI983051:UEI983061 UEK501:UEK65537 UEK66037:UEK131073 UEK131573:UEK196609 UEK197109:UEK262145 UEK262645:UEK327681 UEK328181:UEK393217 UEK393717:UEK458753 UEK459253:UEK524289 UEK524789:UEK589825 UEK590325:UEK655361 UEK655861:UEK720897 UEK721397:UEK786433 UEK786933:UEK851969 UEK852469:UEK917505 UEK918005:UEK983041 UEK983541:UEK1048576 UOE11:UOE21 UOE65547:UOE65557 UOE131083:UOE131093 UOE196619:UOE196629 UOE262155:UOE262165 UOE327691:UOE327701 UOE393227:UOE393237 UOE458763:UOE458773 UOE524299:UOE524309 UOE589835:UOE589845 UOE655371:UOE655381 UOE720907:UOE720917 UOE786443:UOE786453 UOE851979:UOE851989 UOE917515:UOE917525 UOE983051:UOE983061 UOG501:UOG65537 UOG66037:UOG131073 UOG131573:UOG196609 UOG197109:UOG262145 UOG262645:UOG327681 UOG328181:UOG393217 UOG393717:UOG458753 UOG459253:UOG524289 UOG524789:UOG589825 UOG590325:UOG655361 UOG655861:UOG720897 UOG721397:UOG786433 UOG786933:UOG851969 UOG852469:UOG917505 UOG918005:UOG983041 UOG983541:UOG1048576 UYA11:UYA21 UYA65547:UYA65557 UYA131083:UYA131093 UYA196619:UYA196629 UYA262155:UYA262165 UYA327691:UYA327701 UYA393227:UYA393237 UYA458763:UYA458773 UYA524299:UYA524309 UYA589835:UYA589845 UYA655371:UYA655381 UYA720907:UYA720917 UYA786443:UYA786453 UYA851979:UYA851989 UYA917515:UYA917525 UYA983051:UYA983061 UYC501:UYC65537 UYC66037:UYC131073 UYC131573:UYC196609 UYC197109:UYC262145 UYC262645:UYC327681 UYC328181:UYC393217 UYC393717:UYC458753 UYC459253:UYC524289 UYC524789:UYC589825 UYC590325:UYC655361 UYC655861:UYC720897 UYC721397:UYC786433 UYC786933:UYC851969 UYC852469:UYC917505 UYC918005:UYC983041 UYC983541:UYC1048576 VHW11:VHW21 VHW65547:VHW65557 VHW131083:VHW131093 VHW196619:VHW196629 VHW262155:VHW262165 VHW327691:VHW327701 VHW393227:VHW393237 VHW458763:VHW458773 VHW524299:VHW524309 VHW589835:VHW589845 VHW655371:VHW655381 VHW720907:VHW720917 VHW786443:VHW786453 VHW851979:VHW851989 VHW917515:VHW917525 VHW983051:VHW983061 VHY501:VHY65537 VHY66037:VHY131073 VHY131573:VHY196609 VHY197109:VHY262145 VHY262645:VHY327681 VHY328181:VHY393217 VHY393717:VHY458753 VHY459253:VHY524289 VHY524789:VHY589825 VHY590325:VHY655361 VHY655861:VHY720897 VHY721397:VHY786433 VHY786933:VHY851969 VHY852469:VHY917505 VHY918005:VHY983041 VHY983541:VHY1048576 VRS11:VRS21 VRS65547:VRS65557 VRS131083:VRS131093 VRS196619:VRS196629 VRS262155:VRS262165 VRS327691:VRS327701 VRS393227:VRS393237 VRS458763:VRS458773 VRS524299:VRS524309 VRS589835:VRS589845 VRS655371:VRS655381 VRS720907:VRS720917 VRS786443:VRS786453 VRS851979:VRS851989 VRS917515:VRS917525 VRS983051:VRS983061 VRU501:VRU65537 VRU66037:VRU131073 VRU131573:VRU196609 VRU197109:VRU262145 VRU262645:VRU327681 VRU328181:VRU393217 VRU393717:VRU458753 VRU459253:VRU524289 VRU524789:VRU589825 VRU590325:VRU655361 VRU655861:VRU720897 VRU721397:VRU786433 VRU786933:VRU851969 VRU852469:VRU917505 VRU918005:VRU983041 VRU983541:VRU1048576 WBO11:WBO21 WBO65547:WBO65557 WBO131083:WBO131093 WBO196619:WBO196629 WBO262155:WBO262165 WBO327691:WBO327701 WBO393227:WBO393237 WBO458763:WBO458773 WBO524299:WBO524309 WBO589835:WBO589845 WBO655371:WBO655381 WBO720907:WBO720917 WBO786443:WBO786453 WBO851979:WBO851989 WBO917515:WBO917525 WBO983051:WBO983061 WBQ501:WBQ65537 WBQ66037:WBQ131073 WBQ131573:WBQ196609 WBQ197109:WBQ262145 WBQ262645:WBQ327681 WBQ328181:WBQ393217 WBQ393717:WBQ458753 WBQ459253:WBQ524289 WBQ524789:WBQ589825 WBQ590325:WBQ655361 WBQ655861:WBQ720897 WBQ721397:WBQ786433 WBQ786933:WBQ851969 WBQ852469:WBQ917505 WBQ918005:WBQ983041 WBQ983541:WBQ1048576 WLK11:WLK21 WLK65547:WLK65557 WLK131083:WLK131093 WLK196619:WLK196629 WLK262155:WLK262165 WLK327691:WLK327701 WLK393227:WLK393237 WLK458763:WLK458773 WLK524299:WLK524309 WLK589835:WLK589845 WLK655371:WLK655381 WLK720907:WLK720917 WLK786443:WLK786453 WLK851979:WLK851989 WLK917515:WLK917525 WLK983051:WLK983061 WLM501:WLM65537 WLM66037:WLM131073 WLM131573:WLM196609 WLM197109:WLM262145 WLM262645:WLM327681 WLM328181:WLM393217 WLM393717:WLM458753 WLM459253:WLM524289 WLM524789:WLM589825 WLM590325:WLM655361 WLM655861:WLM720897 WLM721397:WLM786433 WLM786933:WLM851969 WLM852469:WLM917505 WLM918005:WLM983041 WLM983541:WLM1048576 WVG11:WVG21 WVG65547:WVG65557 WVG131083:WVG131093 WVG196619:WVG196629 WVG262155:WVG262165 WVG327691:WVG327701 WVG393227:WVG393237 WVG458763:WVG458773 WVG524299:WVG524309 WVG589835:WVG589845 WVG655371:WVG655381 WVG720907:WVG720917 WVG786443:WVG786453 WVG851979:WVG851989 WVG917515:WVG917525 WVG983051:WVG983061 WVI501:WVI65537 WVI66037:WVI131073 WVI131573:WVI196609 WVI197109:WVI262145 WVI262645:WVI327681 WVI328181:WVI393217 WVI393717:WVI458753 WVI459253:WVI524289 WVI524789:WVI589825 WVI590325:WVI655361 WVI655861:WVI720897 WVI721397:WVI786433 WVI786933:WVI851969 WVI852469:WVI917505 WVI918005:WVI983041 WVI983541:WVI1048576 XFC11:XFC21 XFC65547:XFC65557 XFC131083:XFC131093 XFC196619:XFC196629 XFC262155:XFC262165 XFC327691:XFC327701 XFC393227:XFC393237 XFC458763:XFC458773 XFC524299:XFC524309 XFC589835:XFC589845 XFC655371:XFC655381 XFC720907:XFC720917 XFC786443:XFC786453 XFC851979:XFC851989 XFC917515:XFC917525 XFC983051:XFC983061" xr:uid="{C03B7ADD-420B-4D9C-820B-6FBA608E94B0}">
      <formula1>$AE$2:$AE$16</formula1>
    </dataValidation>
  </dataValidations>
  <pageMargins left="0.70866141732283505" right="0.70866141732283505" top="0.74803149606299202" bottom="0.74803149606299202" header="0.31496062992126" footer="0.31496062992126"/>
  <pageSetup paperSize="9" scale="50" orientation="landscape"/>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2EDD4-B3FA-4C1E-BA33-4B8E5DB7E306}">
  <dimension ref="A1:BA91"/>
  <sheetViews>
    <sheetView topLeftCell="D1" workbookViewId="0">
      <selection activeCell="AB17" sqref="AB17"/>
    </sheetView>
  </sheetViews>
  <sheetFormatPr defaultColWidth="9" defaultRowHeight="13.5" x14ac:dyDescent="0.15"/>
  <cols>
    <col min="1" max="3" width="9" style="94"/>
    <col min="4" max="4" width="10.5" style="94" customWidth="1"/>
    <col min="5" max="16" width="9" style="94"/>
    <col min="17" max="17" width="9" style="104"/>
    <col min="18" max="18" width="9" style="94"/>
    <col min="19" max="19" width="9.5" style="94" customWidth="1"/>
    <col min="20" max="20" width="9" style="104"/>
    <col min="21" max="21" width="9" style="94"/>
    <col min="22" max="22" width="9" style="104"/>
    <col min="23" max="23" width="10.5" style="94" customWidth="1"/>
    <col min="24" max="32" width="9" style="94"/>
    <col min="33" max="33" width="19.625" style="94" customWidth="1"/>
    <col min="34" max="34" width="9.375" style="94" customWidth="1"/>
    <col min="35" max="259" width="9" style="94"/>
    <col min="260" max="260" width="10.5" style="94" customWidth="1"/>
    <col min="261" max="274" width="9" style="94"/>
    <col min="275" max="275" width="9.5" style="94" customWidth="1"/>
    <col min="276" max="278" width="9" style="94"/>
    <col min="279" max="279" width="10.5" style="94" customWidth="1"/>
    <col min="280" max="515" width="9" style="94"/>
    <col min="516" max="516" width="10.5" style="94" customWidth="1"/>
    <col min="517" max="530" width="9" style="94"/>
    <col min="531" max="531" width="9.5" style="94" customWidth="1"/>
    <col min="532" max="534" width="9" style="94"/>
    <col min="535" max="535" width="10.5" style="94" customWidth="1"/>
    <col min="536" max="771" width="9" style="94"/>
    <col min="772" max="772" width="10.5" style="94" customWidth="1"/>
    <col min="773" max="786" width="9" style="94"/>
    <col min="787" max="787" width="9.5" style="94" customWidth="1"/>
    <col min="788" max="790" width="9" style="94"/>
    <col min="791" max="791" width="10.5" style="94" customWidth="1"/>
    <col min="792" max="1027" width="9" style="94"/>
    <col min="1028" max="1028" width="10.5" style="94" customWidth="1"/>
    <col min="1029" max="1042" width="9" style="94"/>
    <col min="1043" max="1043" width="9.5" style="94" customWidth="1"/>
    <col min="1044" max="1046" width="9" style="94"/>
    <col min="1047" max="1047" width="10.5" style="94" customWidth="1"/>
    <col min="1048" max="1283" width="9" style="94"/>
    <col min="1284" max="1284" width="10.5" style="94" customWidth="1"/>
    <col min="1285" max="1298" width="9" style="94"/>
    <col min="1299" max="1299" width="9.5" style="94" customWidth="1"/>
    <col min="1300" max="1302" width="9" style="94"/>
    <col min="1303" max="1303" width="10.5" style="94" customWidth="1"/>
    <col min="1304" max="1539" width="9" style="94"/>
    <col min="1540" max="1540" width="10.5" style="94" customWidth="1"/>
    <col min="1541" max="1554" width="9" style="94"/>
    <col min="1555" max="1555" width="9.5" style="94" customWidth="1"/>
    <col min="1556" max="1558" width="9" style="94"/>
    <col min="1559" max="1559" width="10.5" style="94" customWidth="1"/>
    <col min="1560" max="1795" width="9" style="94"/>
    <col min="1796" max="1796" width="10.5" style="94" customWidth="1"/>
    <col min="1797" max="1810" width="9" style="94"/>
    <col min="1811" max="1811" width="9.5" style="94" customWidth="1"/>
    <col min="1812" max="1814" width="9" style="94"/>
    <col min="1815" max="1815" width="10.5" style="94" customWidth="1"/>
    <col min="1816" max="2051" width="9" style="94"/>
    <col min="2052" max="2052" width="10.5" style="94" customWidth="1"/>
    <col min="2053" max="2066" width="9" style="94"/>
    <col min="2067" max="2067" width="9.5" style="94" customWidth="1"/>
    <col min="2068" max="2070" width="9" style="94"/>
    <col min="2071" max="2071" width="10.5" style="94" customWidth="1"/>
    <col min="2072" max="2307" width="9" style="94"/>
    <col min="2308" max="2308" width="10.5" style="94" customWidth="1"/>
    <col min="2309" max="2322" width="9" style="94"/>
    <col min="2323" max="2323" width="9.5" style="94" customWidth="1"/>
    <col min="2324" max="2326" width="9" style="94"/>
    <col min="2327" max="2327" width="10.5" style="94" customWidth="1"/>
    <col min="2328" max="2563" width="9" style="94"/>
    <col min="2564" max="2564" width="10.5" style="94" customWidth="1"/>
    <col min="2565" max="2578" width="9" style="94"/>
    <col min="2579" max="2579" width="9.5" style="94" customWidth="1"/>
    <col min="2580" max="2582" width="9" style="94"/>
    <col min="2583" max="2583" width="10.5" style="94" customWidth="1"/>
    <col min="2584" max="2819" width="9" style="94"/>
    <col min="2820" max="2820" width="10.5" style="94" customWidth="1"/>
    <col min="2821" max="2834" width="9" style="94"/>
    <col min="2835" max="2835" width="9.5" style="94" customWidth="1"/>
    <col min="2836" max="2838" width="9" style="94"/>
    <col min="2839" max="2839" width="10.5" style="94" customWidth="1"/>
    <col min="2840" max="3075" width="9" style="94"/>
    <col min="3076" max="3076" width="10.5" style="94" customWidth="1"/>
    <col min="3077" max="3090" width="9" style="94"/>
    <col min="3091" max="3091" width="9.5" style="94" customWidth="1"/>
    <col min="3092" max="3094" width="9" style="94"/>
    <col min="3095" max="3095" width="10.5" style="94" customWidth="1"/>
    <col min="3096" max="3331" width="9" style="94"/>
    <col min="3332" max="3332" width="10.5" style="94" customWidth="1"/>
    <col min="3333" max="3346" width="9" style="94"/>
    <col min="3347" max="3347" width="9.5" style="94" customWidth="1"/>
    <col min="3348" max="3350" width="9" style="94"/>
    <col min="3351" max="3351" width="10.5" style="94" customWidth="1"/>
    <col min="3352" max="3587" width="9" style="94"/>
    <col min="3588" max="3588" width="10.5" style="94" customWidth="1"/>
    <col min="3589" max="3602" width="9" style="94"/>
    <col min="3603" max="3603" width="9.5" style="94" customWidth="1"/>
    <col min="3604" max="3606" width="9" style="94"/>
    <col min="3607" max="3607" width="10.5" style="94" customWidth="1"/>
    <col min="3608" max="3843" width="9" style="94"/>
    <col min="3844" max="3844" width="10.5" style="94" customWidth="1"/>
    <col min="3845" max="3858" width="9" style="94"/>
    <col min="3859" max="3859" width="9.5" style="94" customWidth="1"/>
    <col min="3860" max="3862" width="9" style="94"/>
    <col min="3863" max="3863" width="10.5" style="94" customWidth="1"/>
    <col min="3864" max="4099" width="9" style="94"/>
    <col min="4100" max="4100" width="10.5" style="94" customWidth="1"/>
    <col min="4101" max="4114" width="9" style="94"/>
    <col min="4115" max="4115" width="9.5" style="94" customWidth="1"/>
    <col min="4116" max="4118" width="9" style="94"/>
    <col min="4119" max="4119" width="10.5" style="94" customWidth="1"/>
    <col min="4120" max="4355" width="9" style="94"/>
    <col min="4356" max="4356" width="10.5" style="94" customWidth="1"/>
    <col min="4357" max="4370" width="9" style="94"/>
    <col min="4371" max="4371" width="9.5" style="94" customWidth="1"/>
    <col min="4372" max="4374" width="9" style="94"/>
    <col min="4375" max="4375" width="10.5" style="94" customWidth="1"/>
    <col min="4376" max="4611" width="9" style="94"/>
    <col min="4612" max="4612" width="10.5" style="94" customWidth="1"/>
    <col min="4613" max="4626" width="9" style="94"/>
    <col min="4627" max="4627" width="9.5" style="94" customWidth="1"/>
    <col min="4628" max="4630" width="9" style="94"/>
    <col min="4631" max="4631" width="10.5" style="94" customWidth="1"/>
    <col min="4632" max="4867" width="9" style="94"/>
    <col min="4868" max="4868" width="10.5" style="94" customWidth="1"/>
    <col min="4869" max="4882" width="9" style="94"/>
    <col min="4883" max="4883" width="9.5" style="94" customWidth="1"/>
    <col min="4884" max="4886" width="9" style="94"/>
    <col min="4887" max="4887" width="10.5" style="94" customWidth="1"/>
    <col min="4888" max="5123" width="9" style="94"/>
    <col min="5124" max="5124" width="10.5" style="94" customWidth="1"/>
    <col min="5125" max="5138" width="9" style="94"/>
    <col min="5139" max="5139" width="9.5" style="94" customWidth="1"/>
    <col min="5140" max="5142" width="9" style="94"/>
    <col min="5143" max="5143" width="10.5" style="94" customWidth="1"/>
    <col min="5144" max="5379" width="9" style="94"/>
    <col min="5380" max="5380" width="10.5" style="94" customWidth="1"/>
    <col min="5381" max="5394" width="9" style="94"/>
    <col min="5395" max="5395" width="9.5" style="94" customWidth="1"/>
    <col min="5396" max="5398" width="9" style="94"/>
    <col min="5399" max="5399" width="10.5" style="94" customWidth="1"/>
    <col min="5400" max="5635" width="9" style="94"/>
    <col min="5636" max="5636" width="10.5" style="94" customWidth="1"/>
    <col min="5637" max="5650" width="9" style="94"/>
    <col min="5651" max="5651" width="9.5" style="94" customWidth="1"/>
    <col min="5652" max="5654" width="9" style="94"/>
    <col min="5655" max="5655" width="10.5" style="94" customWidth="1"/>
    <col min="5656" max="5891" width="9" style="94"/>
    <col min="5892" max="5892" width="10.5" style="94" customWidth="1"/>
    <col min="5893" max="5906" width="9" style="94"/>
    <col min="5907" max="5907" width="9.5" style="94" customWidth="1"/>
    <col min="5908" max="5910" width="9" style="94"/>
    <col min="5911" max="5911" width="10.5" style="94" customWidth="1"/>
    <col min="5912" max="6147" width="9" style="94"/>
    <col min="6148" max="6148" width="10.5" style="94" customWidth="1"/>
    <col min="6149" max="6162" width="9" style="94"/>
    <col min="6163" max="6163" width="9.5" style="94" customWidth="1"/>
    <col min="6164" max="6166" width="9" style="94"/>
    <col min="6167" max="6167" width="10.5" style="94" customWidth="1"/>
    <col min="6168" max="6403" width="9" style="94"/>
    <col min="6404" max="6404" width="10.5" style="94" customWidth="1"/>
    <col min="6405" max="6418" width="9" style="94"/>
    <col min="6419" max="6419" width="9.5" style="94" customWidth="1"/>
    <col min="6420" max="6422" width="9" style="94"/>
    <col min="6423" max="6423" width="10.5" style="94" customWidth="1"/>
    <col min="6424" max="6659" width="9" style="94"/>
    <col min="6660" max="6660" width="10.5" style="94" customWidth="1"/>
    <col min="6661" max="6674" width="9" style="94"/>
    <col min="6675" max="6675" width="9.5" style="94" customWidth="1"/>
    <col min="6676" max="6678" width="9" style="94"/>
    <col min="6679" max="6679" width="10.5" style="94" customWidth="1"/>
    <col min="6680" max="6915" width="9" style="94"/>
    <col min="6916" max="6916" width="10.5" style="94" customWidth="1"/>
    <col min="6917" max="6930" width="9" style="94"/>
    <col min="6931" max="6931" width="9.5" style="94" customWidth="1"/>
    <col min="6932" max="6934" width="9" style="94"/>
    <col min="6935" max="6935" width="10.5" style="94" customWidth="1"/>
    <col min="6936" max="7171" width="9" style="94"/>
    <col min="7172" max="7172" width="10.5" style="94" customWidth="1"/>
    <col min="7173" max="7186" width="9" style="94"/>
    <col min="7187" max="7187" width="9.5" style="94" customWidth="1"/>
    <col min="7188" max="7190" width="9" style="94"/>
    <col min="7191" max="7191" width="10.5" style="94" customWidth="1"/>
    <col min="7192" max="7427" width="9" style="94"/>
    <col min="7428" max="7428" width="10.5" style="94" customWidth="1"/>
    <col min="7429" max="7442" width="9" style="94"/>
    <col min="7443" max="7443" width="9.5" style="94" customWidth="1"/>
    <col min="7444" max="7446" width="9" style="94"/>
    <col min="7447" max="7447" width="10.5" style="94" customWidth="1"/>
    <col min="7448" max="7683" width="9" style="94"/>
    <col min="7684" max="7684" width="10.5" style="94" customWidth="1"/>
    <col min="7685" max="7698" width="9" style="94"/>
    <col min="7699" max="7699" width="9.5" style="94" customWidth="1"/>
    <col min="7700" max="7702" width="9" style="94"/>
    <col min="7703" max="7703" width="10.5" style="94" customWidth="1"/>
    <col min="7704" max="7939" width="9" style="94"/>
    <col min="7940" max="7940" width="10.5" style="94" customWidth="1"/>
    <col min="7941" max="7954" width="9" style="94"/>
    <col min="7955" max="7955" width="9.5" style="94" customWidth="1"/>
    <col min="7956" max="7958" width="9" style="94"/>
    <col min="7959" max="7959" width="10.5" style="94" customWidth="1"/>
    <col min="7960" max="8195" width="9" style="94"/>
    <col min="8196" max="8196" width="10.5" style="94" customWidth="1"/>
    <col min="8197" max="8210" width="9" style="94"/>
    <col min="8211" max="8211" width="9.5" style="94" customWidth="1"/>
    <col min="8212" max="8214" width="9" style="94"/>
    <col min="8215" max="8215" width="10.5" style="94" customWidth="1"/>
    <col min="8216" max="8451" width="9" style="94"/>
    <col min="8452" max="8452" width="10.5" style="94" customWidth="1"/>
    <col min="8453" max="8466" width="9" style="94"/>
    <col min="8467" max="8467" width="9.5" style="94" customWidth="1"/>
    <col min="8468" max="8470" width="9" style="94"/>
    <col min="8471" max="8471" width="10.5" style="94" customWidth="1"/>
    <col min="8472" max="8707" width="9" style="94"/>
    <col min="8708" max="8708" width="10.5" style="94" customWidth="1"/>
    <col min="8709" max="8722" width="9" style="94"/>
    <col min="8723" max="8723" width="9.5" style="94" customWidth="1"/>
    <col min="8724" max="8726" width="9" style="94"/>
    <col min="8727" max="8727" width="10.5" style="94" customWidth="1"/>
    <col min="8728" max="8963" width="9" style="94"/>
    <col min="8964" max="8964" width="10.5" style="94" customWidth="1"/>
    <col min="8965" max="8978" width="9" style="94"/>
    <col min="8979" max="8979" width="9.5" style="94" customWidth="1"/>
    <col min="8980" max="8982" width="9" style="94"/>
    <col min="8983" max="8983" width="10.5" style="94" customWidth="1"/>
    <col min="8984" max="9219" width="9" style="94"/>
    <col min="9220" max="9220" width="10.5" style="94" customWidth="1"/>
    <col min="9221" max="9234" width="9" style="94"/>
    <col min="9235" max="9235" width="9.5" style="94" customWidth="1"/>
    <col min="9236" max="9238" width="9" style="94"/>
    <col min="9239" max="9239" width="10.5" style="94" customWidth="1"/>
    <col min="9240" max="9475" width="9" style="94"/>
    <col min="9476" max="9476" width="10.5" style="94" customWidth="1"/>
    <col min="9477" max="9490" width="9" style="94"/>
    <col min="9491" max="9491" width="9.5" style="94" customWidth="1"/>
    <col min="9492" max="9494" width="9" style="94"/>
    <col min="9495" max="9495" width="10.5" style="94" customWidth="1"/>
    <col min="9496" max="9731" width="9" style="94"/>
    <col min="9732" max="9732" width="10.5" style="94" customWidth="1"/>
    <col min="9733" max="9746" width="9" style="94"/>
    <col min="9747" max="9747" width="9.5" style="94" customWidth="1"/>
    <col min="9748" max="9750" width="9" style="94"/>
    <col min="9751" max="9751" width="10.5" style="94" customWidth="1"/>
    <col min="9752" max="9987" width="9" style="94"/>
    <col min="9988" max="9988" width="10.5" style="94" customWidth="1"/>
    <col min="9989" max="10002" width="9" style="94"/>
    <col min="10003" max="10003" width="9.5" style="94" customWidth="1"/>
    <col min="10004" max="10006" width="9" style="94"/>
    <col min="10007" max="10007" width="10.5" style="94" customWidth="1"/>
    <col min="10008" max="10243" width="9" style="94"/>
    <col min="10244" max="10244" width="10.5" style="94" customWidth="1"/>
    <col min="10245" max="10258" width="9" style="94"/>
    <col min="10259" max="10259" width="9.5" style="94" customWidth="1"/>
    <col min="10260" max="10262" width="9" style="94"/>
    <col min="10263" max="10263" width="10.5" style="94" customWidth="1"/>
    <col min="10264" max="10499" width="9" style="94"/>
    <col min="10500" max="10500" width="10.5" style="94" customWidth="1"/>
    <col min="10501" max="10514" width="9" style="94"/>
    <col min="10515" max="10515" width="9.5" style="94" customWidth="1"/>
    <col min="10516" max="10518" width="9" style="94"/>
    <col min="10519" max="10519" width="10.5" style="94" customWidth="1"/>
    <col min="10520" max="10755" width="9" style="94"/>
    <col min="10756" max="10756" width="10.5" style="94" customWidth="1"/>
    <col min="10757" max="10770" width="9" style="94"/>
    <col min="10771" max="10771" width="9.5" style="94" customWidth="1"/>
    <col min="10772" max="10774" width="9" style="94"/>
    <col min="10775" max="10775" width="10.5" style="94" customWidth="1"/>
    <col min="10776" max="11011" width="9" style="94"/>
    <col min="11012" max="11012" width="10.5" style="94" customWidth="1"/>
    <col min="11013" max="11026" width="9" style="94"/>
    <col min="11027" max="11027" width="9.5" style="94" customWidth="1"/>
    <col min="11028" max="11030" width="9" style="94"/>
    <col min="11031" max="11031" width="10.5" style="94" customWidth="1"/>
    <col min="11032" max="11267" width="9" style="94"/>
    <col min="11268" max="11268" width="10.5" style="94" customWidth="1"/>
    <col min="11269" max="11282" width="9" style="94"/>
    <col min="11283" max="11283" width="9.5" style="94" customWidth="1"/>
    <col min="11284" max="11286" width="9" style="94"/>
    <col min="11287" max="11287" width="10.5" style="94" customWidth="1"/>
    <col min="11288" max="11523" width="9" style="94"/>
    <col min="11524" max="11524" width="10.5" style="94" customWidth="1"/>
    <col min="11525" max="11538" width="9" style="94"/>
    <col min="11539" max="11539" width="9.5" style="94" customWidth="1"/>
    <col min="11540" max="11542" width="9" style="94"/>
    <col min="11543" max="11543" width="10.5" style="94" customWidth="1"/>
    <col min="11544" max="11779" width="9" style="94"/>
    <col min="11780" max="11780" width="10.5" style="94" customWidth="1"/>
    <col min="11781" max="11794" width="9" style="94"/>
    <col min="11795" max="11795" width="9.5" style="94" customWidth="1"/>
    <col min="11796" max="11798" width="9" style="94"/>
    <col min="11799" max="11799" width="10.5" style="94" customWidth="1"/>
    <col min="11800" max="12035" width="9" style="94"/>
    <col min="12036" max="12036" width="10.5" style="94" customWidth="1"/>
    <col min="12037" max="12050" width="9" style="94"/>
    <col min="12051" max="12051" width="9.5" style="94" customWidth="1"/>
    <col min="12052" max="12054" width="9" style="94"/>
    <col min="12055" max="12055" width="10.5" style="94" customWidth="1"/>
    <col min="12056" max="12291" width="9" style="94"/>
    <col min="12292" max="12292" width="10.5" style="94" customWidth="1"/>
    <col min="12293" max="12306" width="9" style="94"/>
    <col min="12307" max="12307" width="9.5" style="94" customWidth="1"/>
    <col min="12308" max="12310" width="9" style="94"/>
    <col min="12311" max="12311" width="10.5" style="94" customWidth="1"/>
    <col min="12312" max="12547" width="9" style="94"/>
    <col min="12548" max="12548" width="10.5" style="94" customWidth="1"/>
    <col min="12549" max="12562" width="9" style="94"/>
    <col min="12563" max="12563" width="9.5" style="94" customWidth="1"/>
    <col min="12564" max="12566" width="9" style="94"/>
    <col min="12567" max="12567" width="10.5" style="94" customWidth="1"/>
    <col min="12568" max="12803" width="9" style="94"/>
    <col min="12804" max="12804" width="10.5" style="94" customWidth="1"/>
    <col min="12805" max="12818" width="9" style="94"/>
    <col min="12819" max="12819" width="9.5" style="94" customWidth="1"/>
    <col min="12820" max="12822" width="9" style="94"/>
    <col min="12823" max="12823" width="10.5" style="94" customWidth="1"/>
    <col min="12824" max="13059" width="9" style="94"/>
    <col min="13060" max="13060" width="10.5" style="94" customWidth="1"/>
    <col min="13061" max="13074" width="9" style="94"/>
    <col min="13075" max="13075" width="9.5" style="94" customWidth="1"/>
    <col min="13076" max="13078" width="9" style="94"/>
    <col min="13079" max="13079" width="10.5" style="94" customWidth="1"/>
    <col min="13080" max="13315" width="9" style="94"/>
    <col min="13316" max="13316" width="10.5" style="94" customWidth="1"/>
    <col min="13317" max="13330" width="9" style="94"/>
    <col min="13331" max="13331" width="9.5" style="94" customWidth="1"/>
    <col min="13332" max="13334" width="9" style="94"/>
    <col min="13335" max="13335" width="10.5" style="94" customWidth="1"/>
    <col min="13336" max="13571" width="9" style="94"/>
    <col min="13572" max="13572" width="10.5" style="94" customWidth="1"/>
    <col min="13573" max="13586" width="9" style="94"/>
    <col min="13587" max="13587" width="9.5" style="94" customWidth="1"/>
    <col min="13588" max="13590" width="9" style="94"/>
    <col min="13591" max="13591" width="10.5" style="94" customWidth="1"/>
    <col min="13592" max="13827" width="9" style="94"/>
    <col min="13828" max="13828" width="10.5" style="94" customWidth="1"/>
    <col min="13829" max="13842" width="9" style="94"/>
    <col min="13843" max="13843" width="9.5" style="94" customWidth="1"/>
    <col min="13844" max="13846" width="9" style="94"/>
    <col min="13847" max="13847" width="10.5" style="94" customWidth="1"/>
    <col min="13848" max="14083" width="9" style="94"/>
    <col min="14084" max="14084" width="10.5" style="94" customWidth="1"/>
    <col min="14085" max="14098" width="9" style="94"/>
    <col min="14099" max="14099" width="9.5" style="94" customWidth="1"/>
    <col min="14100" max="14102" width="9" style="94"/>
    <col min="14103" max="14103" width="10.5" style="94" customWidth="1"/>
    <col min="14104" max="14339" width="9" style="94"/>
    <col min="14340" max="14340" width="10.5" style="94" customWidth="1"/>
    <col min="14341" max="14354" width="9" style="94"/>
    <col min="14355" max="14355" width="9.5" style="94" customWidth="1"/>
    <col min="14356" max="14358" width="9" style="94"/>
    <col min="14359" max="14359" width="10.5" style="94" customWidth="1"/>
    <col min="14360" max="14595" width="9" style="94"/>
    <col min="14596" max="14596" width="10.5" style="94" customWidth="1"/>
    <col min="14597" max="14610" width="9" style="94"/>
    <col min="14611" max="14611" width="9.5" style="94" customWidth="1"/>
    <col min="14612" max="14614" width="9" style="94"/>
    <col min="14615" max="14615" width="10.5" style="94" customWidth="1"/>
    <col min="14616" max="14851" width="9" style="94"/>
    <col min="14852" max="14852" width="10.5" style="94" customWidth="1"/>
    <col min="14853" max="14866" width="9" style="94"/>
    <col min="14867" max="14867" width="9.5" style="94" customWidth="1"/>
    <col min="14868" max="14870" width="9" style="94"/>
    <col min="14871" max="14871" width="10.5" style="94" customWidth="1"/>
    <col min="14872" max="15107" width="9" style="94"/>
    <col min="15108" max="15108" width="10.5" style="94" customWidth="1"/>
    <col min="15109" max="15122" width="9" style="94"/>
    <col min="15123" max="15123" width="9.5" style="94" customWidth="1"/>
    <col min="15124" max="15126" width="9" style="94"/>
    <col min="15127" max="15127" width="10.5" style="94" customWidth="1"/>
    <col min="15128" max="15363" width="9" style="94"/>
    <col min="15364" max="15364" width="10.5" style="94" customWidth="1"/>
    <col min="15365" max="15378" width="9" style="94"/>
    <col min="15379" max="15379" width="9.5" style="94" customWidth="1"/>
    <col min="15380" max="15382" width="9" style="94"/>
    <col min="15383" max="15383" width="10.5" style="94" customWidth="1"/>
    <col min="15384" max="15619" width="9" style="94"/>
    <col min="15620" max="15620" width="10.5" style="94" customWidth="1"/>
    <col min="15621" max="15634" width="9" style="94"/>
    <col min="15635" max="15635" width="9.5" style="94" customWidth="1"/>
    <col min="15636" max="15638" width="9" style="94"/>
    <col min="15639" max="15639" width="10.5" style="94" customWidth="1"/>
    <col min="15640" max="15875" width="9" style="94"/>
    <col min="15876" max="15876" width="10.5" style="94" customWidth="1"/>
    <col min="15877" max="15890" width="9" style="94"/>
    <col min="15891" max="15891" width="9.5" style="94" customWidth="1"/>
    <col min="15892" max="15894" width="9" style="94"/>
    <col min="15895" max="15895" width="10.5" style="94" customWidth="1"/>
    <col min="15896" max="16131" width="9" style="94"/>
    <col min="16132" max="16132" width="10.5" style="94" customWidth="1"/>
    <col min="16133" max="16146" width="9" style="94"/>
    <col min="16147" max="16147" width="9.5" style="94" customWidth="1"/>
    <col min="16148" max="16150" width="9" style="94"/>
    <col min="16151" max="16151" width="10.5" style="94" customWidth="1"/>
    <col min="16152" max="16384" width="9" style="94"/>
  </cols>
  <sheetData>
    <row r="1" spans="1:53" ht="45" x14ac:dyDescent="0.15">
      <c r="A1" s="85" t="s">
        <v>0</v>
      </c>
      <c r="B1" s="86" t="s">
        <v>171</v>
      </c>
      <c r="C1" s="86" t="s">
        <v>172</v>
      </c>
      <c r="D1" s="87" t="s">
        <v>3</v>
      </c>
      <c r="E1" s="88" t="s">
        <v>4</v>
      </c>
      <c r="F1" s="88" t="s">
        <v>5</v>
      </c>
      <c r="G1" s="88" t="s">
        <v>6</v>
      </c>
      <c r="H1" s="88" t="s">
        <v>7</v>
      </c>
      <c r="I1" s="88" t="s">
        <v>8</v>
      </c>
      <c r="J1" s="88" t="s">
        <v>9</v>
      </c>
      <c r="K1" s="88" t="s">
        <v>10</v>
      </c>
      <c r="L1" s="87" t="s">
        <v>173</v>
      </c>
      <c r="M1" s="87" t="s">
        <v>174</v>
      </c>
      <c r="N1" s="87" t="s">
        <v>13</v>
      </c>
      <c r="O1" s="87" t="s">
        <v>175</v>
      </c>
      <c r="P1" s="87" t="s">
        <v>176</v>
      </c>
      <c r="Q1" s="89" t="s">
        <v>177</v>
      </c>
      <c r="R1" s="87" t="s">
        <v>178</v>
      </c>
      <c r="S1" s="87" t="s">
        <v>179</v>
      </c>
      <c r="T1" s="89" t="s">
        <v>19</v>
      </c>
      <c r="U1" s="90" t="s">
        <v>108</v>
      </c>
      <c r="V1" s="91" t="s">
        <v>20</v>
      </c>
      <c r="W1" s="87" t="s">
        <v>180</v>
      </c>
      <c r="X1" s="88" t="s">
        <v>22</v>
      </c>
      <c r="Y1" s="88" t="s">
        <v>23</v>
      </c>
      <c r="Z1" s="88" t="s">
        <v>24</v>
      </c>
      <c r="AA1" s="92" t="s">
        <v>25</v>
      </c>
      <c r="AB1" s="93" t="s">
        <v>181</v>
      </c>
      <c r="AE1" s="95" t="s">
        <v>0</v>
      </c>
      <c r="AF1" s="96"/>
      <c r="AG1" s="95" t="s">
        <v>4</v>
      </c>
      <c r="AH1" s="95" t="s">
        <v>5</v>
      </c>
      <c r="AI1" s="96"/>
      <c r="AJ1" s="95" t="s">
        <v>6</v>
      </c>
      <c r="AK1" s="96"/>
      <c r="AL1" s="97" t="s">
        <v>7</v>
      </c>
      <c r="AM1" s="96"/>
      <c r="AN1" s="97" t="s">
        <v>8</v>
      </c>
      <c r="AO1" s="96"/>
      <c r="AP1" s="97" t="s">
        <v>27</v>
      </c>
      <c r="AQ1" s="96"/>
      <c r="AR1" s="97" t="s">
        <v>10</v>
      </c>
      <c r="AS1" s="96"/>
      <c r="AT1" s="98" t="s">
        <v>182</v>
      </c>
      <c r="AU1" s="96"/>
      <c r="AV1" s="97" t="s">
        <v>29</v>
      </c>
      <c r="AX1" s="99" t="s">
        <v>236</v>
      </c>
      <c r="AY1" s="100" t="s">
        <v>184</v>
      </c>
      <c r="AZ1" s="100" t="s">
        <v>237</v>
      </c>
      <c r="BA1" s="101" t="s">
        <v>186</v>
      </c>
    </row>
    <row r="2" spans="1:53" x14ac:dyDescent="0.15">
      <c r="A2" s="94" t="s">
        <v>51</v>
      </c>
      <c r="B2" s="94" t="s">
        <v>157</v>
      </c>
      <c r="C2" s="94">
        <v>2019</v>
      </c>
      <c r="D2" s="102" t="s">
        <v>253</v>
      </c>
      <c r="E2" s="94" t="s">
        <v>254</v>
      </c>
      <c r="F2" s="94" t="s">
        <v>255</v>
      </c>
      <c r="G2" s="94" t="s">
        <v>42</v>
      </c>
      <c r="H2" s="94" t="s">
        <v>163</v>
      </c>
      <c r="I2" s="94" t="s">
        <v>159</v>
      </c>
      <c r="J2" s="94" t="s">
        <v>38</v>
      </c>
      <c r="K2" s="94" t="s">
        <v>160</v>
      </c>
      <c r="L2" s="94">
        <v>1</v>
      </c>
      <c r="N2" s="94">
        <v>5</v>
      </c>
      <c r="O2" s="94">
        <v>0.65</v>
      </c>
      <c r="P2" s="94">
        <v>0.6</v>
      </c>
      <c r="Q2" s="103">
        <f t="shared" ref="Q2:Q65" si="0">IF(OR(O2="",P2=""),"",AVERAGE(O2,P2))</f>
        <v>0.625</v>
      </c>
      <c r="R2" s="94">
        <v>14.4</v>
      </c>
      <c r="S2" s="94">
        <v>92</v>
      </c>
      <c r="T2" s="104">
        <f t="shared" ref="T2:T65" si="1">IF(H2="","",IF(OR(H2="GREEN",H2="GK"),IF(S2&gt;=$AX$2,VLOOKUP(S2,$AX$2:$AY$12,2,1),""),IF(S2&gt;=$AZ$2,VLOOKUP(S2,$AZ$2:$BA$12,2,1),"")))</f>
        <v>36</v>
      </c>
      <c r="U2" s="94">
        <v>398</v>
      </c>
      <c r="V2" s="105">
        <f t="shared" ref="V2:V65" si="2">IF(OR(N2="",U2="",T2=""),"",U2/N2*T2)</f>
        <v>2865.6</v>
      </c>
      <c r="W2" s="94">
        <v>4</v>
      </c>
      <c r="X2" s="94" t="s">
        <v>39</v>
      </c>
      <c r="Y2" s="94" t="s">
        <v>84</v>
      </c>
      <c r="Z2" s="94" t="s">
        <v>90</v>
      </c>
      <c r="AA2" s="94" t="s">
        <v>69</v>
      </c>
      <c r="AB2" s="94" t="s">
        <v>158</v>
      </c>
      <c r="AE2" s="106" t="s">
        <v>35</v>
      </c>
      <c r="AG2" s="107" t="s">
        <v>214</v>
      </c>
      <c r="AH2" s="107" t="s">
        <v>256</v>
      </c>
      <c r="AJ2" s="107" t="s">
        <v>36</v>
      </c>
      <c r="AL2" s="107" t="s">
        <v>189</v>
      </c>
      <c r="AN2" s="107" t="s">
        <v>37</v>
      </c>
      <c r="AP2" s="107" t="s">
        <v>38</v>
      </c>
      <c r="AR2" s="107" t="s">
        <v>160</v>
      </c>
      <c r="AT2" s="107" t="s">
        <v>39</v>
      </c>
      <c r="AV2" s="107" t="s">
        <v>40</v>
      </c>
      <c r="AX2" s="108">
        <v>1</v>
      </c>
      <c r="AY2" s="109">
        <v>50</v>
      </c>
      <c r="AZ2" s="109">
        <v>1</v>
      </c>
      <c r="BA2" s="110">
        <v>50</v>
      </c>
    </row>
    <row r="3" spans="1:53" x14ac:dyDescent="0.15">
      <c r="A3" s="94" t="s">
        <v>51</v>
      </c>
      <c r="B3" s="94" t="s">
        <v>157</v>
      </c>
      <c r="C3" s="94">
        <v>2019</v>
      </c>
      <c r="D3" s="102" t="s">
        <v>253</v>
      </c>
      <c r="E3" s="94" t="s">
        <v>254</v>
      </c>
      <c r="F3" s="94" t="s">
        <v>255</v>
      </c>
      <c r="G3" s="94" t="s">
        <v>42</v>
      </c>
      <c r="H3" s="94" t="s">
        <v>163</v>
      </c>
      <c r="I3" s="94" t="s">
        <v>159</v>
      </c>
      <c r="J3" s="94" t="s">
        <v>38</v>
      </c>
      <c r="K3" s="94" t="s">
        <v>160</v>
      </c>
      <c r="L3" s="94">
        <v>2</v>
      </c>
      <c r="N3" s="94">
        <v>5</v>
      </c>
      <c r="O3" s="94">
        <v>0.65</v>
      </c>
      <c r="P3" s="94">
        <v>0.7</v>
      </c>
      <c r="Q3" s="103">
        <f t="shared" si="0"/>
        <v>0.67500000000000004</v>
      </c>
      <c r="R3" s="94">
        <v>14</v>
      </c>
      <c r="S3" s="94">
        <v>89</v>
      </c>
      <c r="T3" s="104">
        <f t="shared" si="1"/>
        <v>36</v>
      </c>
      <c r="U3" s="94">
        <v>398</v>
      </c>
      <c r="V3" s="105">
        <f t="shared" si="2"/>
        <v>2865.6</v>
      </c>
      <c r="W3" s="94">
        <v>4</v>
      </c>
      <c r="X3" s="94" t="s">
        <v>39</v>
      </c>
      <c r="Y3" s="94" t="s">
        <v>84</v>
      </c>
      <c r="Z3" s="94" t="s">
        <v>90</v>
      </c>
      <c r="AA3" s="94" t="s">
        <v>69</v>
      </c>
      <c r="AB3" s="94" t="s">
        <v>158</v>
      </c>
      <c r="AE3" s="111" t="s">
        <v>41</v>
      </c>
      <c r="AG3" s="107" t="s">
        <v>257</v>
      </c>
      <c r="AH3" s="107" t="s">
        <v>258</v>
      </c>
      <c r="AJ3" s="112" t="s">
        <v>42</v>
      </c>
      <c r="AL3" s="112" t="s">
        <v>191</v>
      </c>
      <c r="AN3" s="112" t="s">
        <v>43</v>
      </c>
      <c r="AP3" s="112" t="s">
        <v>44</v>
      </c>
      <c r="AR3" s="112" t="s">
        <v>45</v>
      </c>
      <c r="AT3" s="112" t="s">
        <v>46</v>
      </c>
      <c r="AV3" s="112" t="s">
        <v>47</v>
      </c>
      <c r="AX3" s="113">
        <v>72</v>
      </c>
      <c r="AY3" s="114">
        <v>46</v>
      </c>
      <c r="AZ3" s="114">
        <v>71</v>
      </c>
      <c r="BA3" s="115">
        <v>42</v>
      </c>
    </row>
    <row r="4" spans="1:53" x14ac:dyDescent="0.15">
      <c r="A4" s="94" t="s">
        <v>51</v>
      </c>
      <c r="B4" s="94" t="s">
        <v>157</v>
      </c>
      <c r="C4" s="94">
        <v>2019</v>
      </c>
      <c r="D4" s="102" t="s">
        <v>253</v>
      </c>
      <c r="E4" s="94" t="s">
        <v>254</v>
      </c>
      <c r="F4" s="94" t="s">
        <v>255</v>
      </c>
      <c r="G4" s="94" t="s">
        <v>42</v>
      </c>
      <c r="H4" s="94" t="s">
        <v>163</v>
      </c>
      <c r="I4" s="94" t="s">
        <v>159</v>
      </c>
      <c r="J4" s="94" t="s">
        <v>38</v>
      </c>
      <c r="K4" s="94" t="s">
        <v>160</v>
      </c>
      <c r="L4" s="94">
        <v>3</v>
      </c>
      <c r="N4" s="94">
        <v>5</v>
      </c>
      <c r="O4" s="94">
        <v>0.65</v>
      </c>
      <c r="P4" s="94">
        <v>0.6</v>
      </c>
      <c r="Q4" s="103">
        <f t="shared" si="0"/>
        <v>0.625</v>
      </c>
      <c r="R4" s="94">
        <v>13.5</v>
      </c>
      <c r="S4" s="94">
        <v>84</v>
      </c>
      <c r="T4" s="104">
        <f t="shared" si="1"/>
        <v>36</v>
      </c>
      <c r="U4" s="94">
        <v>398</v>
      </c>
      <c r="V4" s="105">
        <f t="shared" si="2"/>
        <v>2865.6</v>
      </c>
      <c r="W4" s="94">
        <v>4</v>
      </c>
      <c r="X4" s="94" t="s">
        <v>39</v>
      </c>
      <c r="Y4" s="94" t="s">
        <v>84</v>
      </c>
      <c r="Z4" s="94" t="s">
        <v>90</v>
      </c>
      <c r="AA4" s="94" t="s">
        <v>69</v>
      </c>
      <c r="AB4" s="94" t="s">
        <v>158</v>
      </c>
      <c r="AE4" s="111" t="s">
        <v>34</v>
      </c>
      <c r="AG4" s="107" t="s">
        <v>259</v>
      </c>
      <c r="AH4" s="107" t="s">
        <v>260</v>
      </c>
      <c r="AJ4" s="116" t="s">
        <v>48</v>
      </c>
      <c r="AL4" s="116" t="s">
        <v>194</v>
      </c>
      <c r="AN4" s="117" t="s">
        <v>195</v>
      </c>
      <c r="AP4" s="112" t="s">
        <v>196</v>
      </c>
      <c r="AR4" s="112" t="s">
        <v>197</v>
      </c>
      <c r="AT4" s="117"/>
      <c r="AV4" s="112" t="s">
        <v>50</v>
      </c>
      <c r="AX4" s="113">
        <v>75</v>
      </c>
      <c r="AY4" s="114">
        <v>42</v>
      </c>
      <c r="AZ4" s="114">
        <v>76</v>
      </c>
      <c r="BA4" s="115">
        <v>39</v>
      </c>
    </row>
    <row r="5" spans="1:53" x14ac:dyDescent="0.15">
      <c r="A5" s="94" t="s">
        <v>51</v>
      </c>
      <c r="B5" s="94" t="s">
        <v>157</v>
      </c>
      <c r="C5" s="94">
        <v>2019</v>
      </c>
      <c r="D5" s="102" t="s">
        <v>253</v>
      </c>
      <c r="E5" s="94" t="s">
        <v>254</v>
      </c>
      <c r="F5" s="94" t="s">
        <v>255</v>
      </c>
      <c r="G5" s="94" t="s">
        <v>42</v>
      </c>
      <c r="H5" s="94" t="s">
        <v>189</v>
      </c>
      <c r="I5" s="94" t="s">
        <v>159</v>
      </c>
      <c r="J5" s="94" t="s">
        <v>58</v>
      </c>
      <c r="K5" s="94" t="s">
        <v>59</v>
      </c>
      <c r="L5" s="94">
        <v>1</v>
      </c>
      <c r="N5" s="94">
        <v>1</v>
      </c>
      <c r="O5" s="94">
        <v>1.5</v>
      </c>
      <c r="P5" s="94">
        <v>1.55</v>
      </c>
      <c r="Q5" s="103">
        <f t="shared" si="0"/>
        <v>1.5249999999999999</v>
      </c>
      <c r="R5" s="94">
        <v>12.3</v>
      </c>
      <c r="S5" s="94">
        <v>118</v>
      </c>
      <c r="T5" s="104">
        <f t="shared" si="1"/>
        <v>30</v>
      </c>
      <c r="U5" s="94">
        <v>98</v>
      </c>
      <c r="V5" s="105">
        <f t="shared" si="2"/>
        <v>2940</v>
      </c>
      <c r="W5" s="94">
        <v>4</v>
      </c>
      <c r="X5" s="94" t="s">
        <v>39</v>
      </c>
      <c r="Y5" s="94" t="s">
        <v>84</v>
      </c>
      <c r="Z5" s="94" t="s">
        <v>90</v>
      </c>
      <c r="AA5" s="94" t="s">
        <v>69</v>
      </c>
      <c r="AB5" s="94" t="s">
        <v>158</v>
      </c>
      <c r="AE5" s="111" t="s">
        <v>51</v>
      </c>
      <c r="AG5" s="107" t="s">
        <v>261</v>
      </c>
      <c r="AH5" s="107" t="s">
        <v>255</v>
      </c>
      <c r="AJ5" s="117"/>
      <c r="AL5" s="118" t="s">
        <v>163</v>
      </c>
      <c r="AN5" s="118" t="s">
        <v>159</v>
      </c>
      <c r="AP5" s="112" t="s">
        <v>199</v>
      </c>
      <c r="AR5" s="112" t="s">
        <v>54</v>
      </c>
      <c r="AV5" s="112" t="s">
        <v>55</v>
      </c>
      <c r="AX5" s="113">
        <v>84</v>
      </c>
      <c r="AY5" s="114">
        <v>39</v>
      </c>
      <c r="AZ5" s="114">
        <v>84</v>
      </c>
      <c r="BA5" s="115">
        <v>36</v>
      </c>
    </row>
    <row r="6" spans="1:53" x14ac:dyDescent="0.15">
      <c r="A6" s="94" t="s">
        <v>51</v>
      </c>
      <c r="B6" s="94" t="s">
        <v>157</v>
      </c>
      <c r="C6" s="94">
        <v>2019</v>
      </c>
      <c r="D6" s="102" t="s">
        <v>253</v>
      </c>
      <c r="E6" s="94" t="s">
        <v>254</v>
      </c>
      <c r="F6" s="94" t="s">
        <v>255</v>
      </c>
      <c r="G6" s="94" t="s">
        <v>42</v>
      </c>
      <c r="H6" s="94" t="s">
        <v>189</v>
      </c>
      <c r="I6" s="94" t="s">
        <v>159</v>
      </c>
      <c r="J6" s="94" t="s">
        <v>58</v>
      </c>
      <c r="K6" s="94" t="s">
        <v>59</v>
      </c>
      <c r="L6" s="94">
        <v>2</v>
      </c>
      <c r="N6" s="94">
        <v>1</v>
      </c>
      <c r="O6" s="94">
        <v>1.45</v>
      </c>
      <c r="P6" s="94">
        <v>1.3</v>
      </c>
      <c r="Q6" s="103">
        <f t="shared" si="0"/>
        <v>1.375</v>
      </c>
      <c r="R6" s="94">
        <v>12.8</v>
      </c>
      <c r="S6" s="94">
        <v>122</v>
      </c>
      <c r="T6" s="104">
        <f t="shared" si="1"/>
        <v>27</v>
      </c>
      <c r="U6" s="94">
        <v>98</v>
      </c>
      <c r="V6" s="105">
        <f t="shared" si="2"/>
        <v>2646</v>
      </c>
      <c r="W6" s="94">
        <v>4</v>
      </c>
      <c r="X6" s="94" t="s">
        <v>39</v>
      </c>
      <c r="Y6" s="94" t="s">
        <v>84</v>
      </c>
      <c r="Z6" s="94" t="s">
        <v>90</v>
      </c>
      <c r="AA6" s="94" t="s">
        <v>69</v>
      </c>
      <c r="AB6" s="94" t="s">
        <v>158</v>
      </c>
      <c r="AE6" s="111" t="s">
        <v>56</v>
      </c>
      <c r="AG6" s="107" t="s">
        <v>262</v>
      </c>
      <c r="AH6" s="107" t="s">
        <v>263</v>
      </c>
      <c r="AL6" s="118" t="s">
        <v>164</v>
      </c>
      <c r="AN6" s="118" t="s">
        <v>170</v>
      </c>
      <c r="AP6" s="112" t="s">
        <v>53</v>
      </c>
      <c r="AR6" s="112" t="s">
        <v>59</v>
      </c>
      <c r="AV6" s="112" t="s">
        <v>60</v>
      </c>
      <c r="AX6" s="113">
        <v>97</v>
      </c>
      <c r="AY6" s="114">
        <v>36</v>
      </c>
      <c r="AZ6" s="114">
        <v>99</v>
      </c>
      <c r="BA6" s="115">
        <v>33</v>
      </c>
    </row>
    <row r="7" spans="1:53" x14ac:dyDescent="0.15">
      <c r="A7" s="94" t="s">
        <v>51</v>
      </c>
      <c r="B7" s="94" t="s">
        <v>157</v>
      </c>
      <c r="C7" s="94">
        <v>2019</v>
      </c>
      <c r="D7" s="102" t="s">
        <v>253</v>
      </c>
      <c r="E7" s="94" t="s">
        <v>254</v>
      </c>
      <c r="F7" s="94" t="s">
        <v>255</v>
      </c>
      <c r="G7" s="94" t="s">
        <v>42</v>
      </c>
      <c r="H7" s="94" t="s">
        <v>189</v>
      </c>
      <c r="I7" s="94" t="s">
        <v>159</v>
      </c>
      <c r="J7" s="94" t="s">
        <v>58</v>
      </c>
      <c r="K7" s="94" t="s">
        <v>59</v>
      </c>
      <c r="L7" s="94">
        <v>3</v>
      </c>
      <c r="N7" s="94">
        <v>1</v>
      </c>
      <c r="O7" s="94">
        <v>1.25</v>
      </c>
      <c r="P7" s="94">
        <v>1.4</v>
      </c>
      <c r="Q7" s="103">
        <f t="shared" si="0"/>
        <v>1.325</v>
      </c>
      <c r="R7" s="94">
        <v>13.5</v>
      </c>
      <c r="S7" s="94">
        <v>118</v>
      </c>
      <c r="T7" s="104">
        <f t="shared" si="1"/>
        <v>30</v>
      </c>
      <c r="U7" s="94">
        <v>98</v>
      </c>
      <c r="V7" s="105">
        <f t="shared" si="2"/>
        <v>2940</v>
      </c>
      <c r="W7" s="94">
        <v>4</v>
      </c>
      <c r="X7" s="94" t="s">
        <v>39</v>
      </c>
      <c r="Y7" s="94" t="s">
        <v>84</v>
      </c>
      <c r="Z7" s="94" t="s">
        <v>90</v>
      </c>
      <c r="AA7" s="94" t="s">
        <v>69</v>
      </c>
      <c r="AB7" s="94" t="s">
        <v>158</v>
      </c>
      <c r="AE7" s="111" t="s">
        <v>61</v>
      </c>
      <c r="AG7" s="107" t="s">
        <v>264</v>
      </c>
      <c r="AH7" s="107" t="s">
        <v>256</v>
      </c>
      <c r="AL7" s="94" t="s">
        <v>202</v>
      </c>
      <c r="AP7" s="112" t="s">
        <v>58</v>
      </c>
      <c r="AR7" s="112" t="s">
        <v>203</v>
      </c>
      <c r="AV7" s="112" t="s">
        <v>64</v>
      </c>
      <c r="AX7" s="113">
        <v>109</v>
      </c>
      <c r="AY7" s="114">
        <v>33</v>
      </c>
      <c r="AZ7" s="114">
        <v>113</v>
      </c>
      <c r="BA7" s="115">
        <v>30</v>
      </c>
    </row>
    <row r="8" spans="1:53" x14ac:dyDescent="0.15">
      <c r="A8" s="94" t="s">
        <v>51</v>
      </c>
      <c r="B8" s="94" t="s">
        <v>157</v>
      </c>
      <c r="C8" s="94">
        <v>2019</v>
      </c>
      <c r="D8" s="102" t="s">
        <v>253</v>
      </c>
      <c r="E8" s="94" t="s">
        <v>254</v>
      </c>
      <c r="F8" s="94" t="s">
        <v>255</v>
      </c>
      <c r="G8" s="94" t="s">
        <v>42</v>
      </c>
      <c r="H8" s="94" t="s">
        <v>189</v>
      </c>
      <c r="I8" s="94" t="s">
        <v>159</v>
      </c>
      <c r="J8" s="94" t="s">
        <v>104</v>
      </c>
      <c r="K8" s="94" t="s">
        <v>213</v>
      </c>
      <c r="L8" s="94">
        <v>1</v>
      </c>
      <c r="N8" s="94">
        <v>2</v>
      </c>
      <c r="O8" s="94">
        <v>1.55</v>
      </c>
      <c r="P8" s="94">
        <v>1.7</v>
      </c>
      <c r="Q8" s="103">
        <f t="shared" si="0"/>
        <v>1.625</v>
      </c>
      <c r="R8" s="94">
        <v>13.1</v>
      </c>
      <c r="S8" s="94">
        <v>166</v>
      </c>
      <c r="T8" s="104">
        <f t="shared" si="1"/>
        <v>18</v>
      </c>
      <c r="U8" s="94">
        <v>398</v>
      </c>
      <c r="V8" s="105">
        <f t="shared" si="2"/>
        <v>3582</v>
      </c>
      <c r="W8" s="94">
        <v>4</v>
      </c>
      <c r="X8" s="94" t="s">
        <v>39</v>
      </c>
      <c r="Y8" s="94" t="s">
        <v>84</v>
      </c>
      <c r="Z8" s="94" t="s">
        <v>90</v>
      </c>
      <c r="AA8" s="94" t="s">
        <v>69</v>
      </c>
      <c r="AB8" s="94" t="s">
        <v>158</v>
      </c>
      <c r="AE8" s="111" t="s">
        <v>59</v>
      </c>
      <c r="AG8" s="107" t="s">
        <v>265</v>
      </c>
      <c r="AH8" s="107" t="s">
        <v>266</v>
      </c>
      <c r="AL8" s="94" t="s">
        <v>206</v>
      </c>
      <c r="AP8" s="112" t="s">
        <v>62</v>
      </c>
      <c r="AR8" s="112" t="s">
        <v>81</v>
      </c>
      <c r="AV8" s="112" t="s">
        <v>97</v>
      </c>
      <c r="AX8" s="113">
        <v>119</v>
      </c>
      <c r="AY8" s="114">
        <v>30</v>
      </c>
      <c r="AZ8" s="114">
        <v>121</v>
      </c>
      <c r="BA8" s="115">
        <v>27</v>
      </c>
    </row>
    <row r="9" spans="1:53" x14ac:dyDescent="0.15">
      <c r="A9" s="94" t="s">
        <v>51</v>
      </c>
      <c r="B9" s="94" t="s">
        <v>157</v>
      </c>
      <c r="C9" s="94">
        <v>2019</v>
      </c>
      <c r="D9" s="102" t="s">
        <v>253</v>
      </c>
      <c r="E9" s="94" t="s">
        <v>254</v>
      </c>
      <c r="F9" s="94" t="s">
        <v>255</v>
      </c>
      <c r="G9" s="94" t="s">
        <v>42</v>
      </c>
      <c r="H9" s="94" t="s">
        <v>189</v>
      </c>
      <c r="I9" s="94" t="s">
        <v>159</v>
      </c>
      <c r="J9" s="94" t="s">
        <v>104</v>
      </c>
      <c r="K9" s="94" t="s">
        <v>213</v>
      </c>
      <c r="L9" s="94">
        <v>2</v>
      </c>
      <c r="N9" s="94">
        <v>2</v>
      </c>
      <c r="O9" s="94">
        <v>1.65</v>
      </c>
      <c r="P9" s="94">
        <v>1.55</v>
      </c>
      <c r="Q9" s="103">
        <f t="shared" si="0"/>
        <v>1.6</v>
      </c>
      <c r="R9" s="94">
        <v>12.7</v>
      </c>
      <c r="S9" s="94">
        <v>168</v>
      </c>
      <c r="T9" s="104">
        <f t="shared" si="1"/>
        <v>18</v>
      </c>
      <c r="U9" s="94">
        <v>398</v>
      </c>
      <c r="V9" s="105">
        <f t="shared" si="2"/>
        <v>3582</v>
      </c>
      <c r="W9" s="94">
        <v>4</v>
      </c>
      <c r="X9" s="94" t="s">
        <v>39</v>
      </c>
      <c r="Y9" s="94" t="s">
        <v>84</v>
      </c>
      <c r="Z9" s="94" t="s">
        <v>90</v>
      </c>
      <c r="AA9" s="94" t="s">
        <v>69</v>
      </c>
      <c r="AB9" s="94" t="s">
        <v>158</v>
      </c>
      <c r="AE9" s="111" t="s">
        <v>207</v>
      </c>
      <c r="AG9" s="107" t="s">
        <v>267</v>
      </c>
      <c r="AH9" s="107" t="s">
        <v>255</v>
      </c>
      <c r="AL9" s="118"/>
      <c r="AP9" s="112" t="s">
        <v>95</v>
      </c>
      <c r="AR9" s="112" t="s">
        <v>210</v>
      </c>
      <c r="AV9" s="112" t="s">
        <v>102</v>
      </c>
      <c r="AX9" s="113">
        <v>128</v>
      </c>
      <c r="AY9" s="114">
        <v>27</v>
      </c>
      <c r="AZ9" s="114">
        <v>129</v>
      </c>
      <c r="BA9" s="115">
        <v>25</v>
      </c>
    </row>
    <row r="10" spans="1:53" x14ac:dyDescent="0.15">
      <c r="A10" s="94" t="s">
        <v>51</v>
      </c>
      <c r="B10" s="94" t="s">
        <v>157</v>
      </c>
      <c r="C10" s="94">
        <v>2019</v>
      </c>
      <c r="D10" s="102" t="s">
        <v>253</v>
      </c>
      <c r="E10" s="94" t="s">
        <v>254</v>
      </c>
      <c r="F10" s="94" t="s">
        <v>255</v>
      </c>
      <c r="G10" s="94" t="s">
        <v>42</v>
      </c>
      <c r="H10" s="94" t="s">
        <v>189</v>
      </c>
      <c r="I10" s="94" t="s">
        <v>159</v>
      </c>
      <c r="J10" s="94" t="s">
        <v>104</v>
      </c>
      <c r="K10" s="94" t="s">
        <v>213</v>
      </c>
      <c r="L10" s="94">
        <v>3</v>
      </c>
      <c r="N10" s="94">
        <v>2</v>
      </c>
      <c r="O10" s="94">
        <v>1.75</v>
      </c>
      <c r="P10" s="94">
        <v>1.75</v>
      </c>
      <c r="Q10" s="103">
        <f t="shared" si="0"/>
        <v>1.75</v>
      </c>
      <c r="R10" s="94">
        <v>12.1</v>
      </c>
      <c r="S10" s="94">
        <v>164</v>
      </c>
      <c r="T10" s="104">
        <f t="shared" si="1"/>
        <v>18</v>
      </c>
      <c r="U10" s="94">
        <v>398</v>
      </c>
      <c r="V10" s="105">
        <f t="shared" si="2"/>
        <v>3582</v>
      </c>
      <c r="W10" s="94">
        <v>4</v>
      </c>
      <c r="X10" s="94" t="s">
        <v>39</v>
      </c>
      <c r="Y10" s="94" t="s">
        <v>84</v>
      </c>
      <c r="Z10" s="94" t="s">
        <v>90</v>
      </c>
      <c r="AA10" s="94" t="s">
        <v>69</v>
      </c>
      <c r="AB10" s="94" t="s">
        <v>158</v>
      </c>
      <c r="AE10" s="111" t="s">
        <v>211</v>
      </c>
      <c r="AG10" s="107" t="s">
        <v>254</v>
      </c>
      <c r="AH10" s="112" t="s">
        <v>255</v>
      </c>
      <c r="AP10" s="112" t="s">
        <v>100</v>
      </c>
      <c r="AR10" s="112" t="s">
        <v>213</v>
      </c>
      <c r="AV10" s="112" t="s">
        <v>106</v>
      </c>
      <c r="AX10" s="113">
        <v>138</v>
      </c>
      <c r="AY10" s="114">
        <v>25</v>
      </c>
      <c r="AZ10" s="114">
        <v>138</v>
      </c>
      <c r="BA10" s="115">
        <v>22</v>
      </c>
    </row>
    <row r="11" spans="1:53" x14ac:dyDescent="0.15">
      <c r="A11" s="94" t="s">
        <v>51</v>
      </c>
      <c r="B11" s="94" t="s">
        <v>157</v>
      </c>
      <c r="C11" s="94">
        <v>2019</v>
      </c>
      <c r="D11" s="102" t="s">
        <v>253</v>
      </c>
      <c r="E11" s="94" t="s">
        <v>257</v>
      </c>
      <c r="F11" s="94" t="s">
        <v>258</v>
      </c>
      <c r="G11" s="94" t="s">
        <v>36</v>
      </c>
      <c r="H11" s="94" t="s">
        <v>163</v>
      </c>
      <c r="I11" s="94" t="s">
        <v>159</v>
      </c>
      <c r="J11" s="94" t="s">
        <v>38</v>
      </c>
      <c r="K11" s="94" t="s">
        <v>160</v>
      </c>
      <c r="L11" s="94">
        <v>1</v>
      </c>
      <c r="N11" s="94">
        <v>1</v>
      </c>
      <c r="O11" s="94">
        <v>0.8</v>
      </c>
      <c r="P11" s="94">
        <v>0.7</v>
      </c>
      <c r="Q11" s="103">
        <f t="shared" si="0"/>
        <v>0.75</v>
      </c>
      <c r="R11" s="94">
        <v>15.6</v>
      </c>
      <c r="S11" s="94">
        <v>108</v>
      </c>
      <c r="T11" s="104">
        <f t="shared" si="1"/>
        <v>33</v>
      </c>
      <c r="U11" s="94">
        <v>138</v>
      </c>
      <c r="V11" s="105">
        <f t="shared" si="2"/>
        <v>4554</v>
      </c>
      <c r="W11" s="94">
        <v>8</v>
      </c>
      <c r="X11" s="94" t="s">
        <v>46</v>
      </c>
      <c r="Y11" s="94" t="s">
        <v>84</v>
      </c>
      <c r="Z11" s="94" t="s">
        <v>90</v>
      </c>
      <c r="AA11" s="94" t="s">
        <v>69</v>
      </c>
      <c r="AB11" s="94" t="s">
        <v>158</v>
      </c>
      <c r="AE11" s="111" t="s">
        <v>68</v>
      </c>
      <c r="AG11" s="107" t="s">
        <v>139</v>
      </c>
      <c r="AH11" s="112" t="s">
        <v>268</v>
      </c>
      <c r="AP11" s="112" t="s">
        <v>104</v>
      </c>
      <c r="AR11" s="112" t="s">
        <v>216</v>
      </c>
      <c r="AV11" s="112" t="s">
        <v>69</v>
      </c>
      <c r="AX11" s="113">
        <v>151</v>
      </c>
      <c r="AY11" s="114">
        <v>22</v>
      </c>
      <c r="AZ11" s="114">
        <v>152</v>
      </c>
      <c r="BA11" s="115">
        <v>18</v>
      </c>
    </row>
    <row r="12" spans="1:53" x14ac:dyDescent="0.15">
      <c r="A12" s="94" t="s">
        <v>51</v>
      </c>
      <c r="B12" s="94" t="s">
        <v>157</v>
      </c>
      <c r="C12" s="94">
        <v>2019</v>
      </c>
      <c r="D12" s="102" t="s">
        <v>253</v>
      </c>
      <c r="E12" s="94" t="s">
        <v>257</v>
      </c>
      <c r="F12" s="94" t="s">
        <v>258</v>
      </c>
      <c r="G12" s="94" t="s">
        <v>36</v>
      </c>
      <c r="H12" s="94" t="s">
        <v>163</v>
      </c>
      <c r="I12" s="94" t="s">
        <v>159</v>
      </c>
      <c r="J12" s="94" t="s">
        <v>38</v>
      </c>
      <c r="K12" s="94" t="s">
        <v>160</v>
      </c>
      <c r="L12" s="94">
        <v>2</v>
      </c>
      <c r="N12" s="94">
        <v>1</v>
      </c>
      <c r="O12" s="94">
        <v>0.85</v>
      </c>
      <c r="P12" s="94">
        <v>0.65</v>
      </c>
      <c r="Q12" s="103">
        <f t="shared" si="0"/>
        <v>0.75</v>
      </c>
      <c r="R12" s="94">
        <v>16</v>
      </c>
      <c r="S12" s="94">
        <v>110</v>
      </c>
      <c r="T12" s="104">
        <f t="shared" si="1"/>
        <v>33</v>
      </c>
      <c r="U12" s="94">
        <v>138</v>
      </c>
      <c r="V12" s="105">
        <f t="shared" si="2"/>
        <v>4554</v>
      </c>
      <c r="W12" s="94">
        <v>8</v>
      </c>
      <c r="X12" s="94" t="s">
        <v>46</v>
      </c>
      <c r="Y12" s="94" t="s">
        <v>84</v>
      </c>
      <c r="Z12" s="94" t="s">
        <v>90</v>
      </c>
      <c r="AA12" s="94" t="s">
        <v>69</v>
      </c>
      <c r="AB12" s="94" t="s">
        <v>158</v>
      </c>
      <c r="AE12" s="111" t="s">
        <v>217</v>
      </c>
      <c r="AG12" s="112"/>
      <c r="AH12" s="112"/>
      <c r="AP12" s="112" t="s">
        <v>67</v>
      </c>
      <c r="AR12" s="112" t="s">
        <v>218</v>
      </c>
      <c r="AV12" s="112" t="s">
        <v>72</v>
      </c>
      <c r="AX12" s="119">
        <v>180</v>
      </c>
      <c r="AY12" s="120">
        <v>18</v>
      </c>
      <c r="AZ12" s="120">
        <v>181</v>
      </c>
      <c r="BA12" s="121">
        <v>16</v>
      </c>
    </row>
    <row r="13" spans="1:53" x14ac:dyDescent="0.15">
      <c r="A13" s="94" t="s">
        <v>51</v>
      </c>
      <c r="B13" s="94" t="s">
        <v>157</v>
      </c>
      <c r="C13" s="94">
        <v>2019</v>
      </c>
      <c r="D13" s="102" t="s">
        <v>253</v>
      </c>
      <c r="E13" s="94" t="s">
        <v>257</v>
      </c>
      <c r="F13" s="94" t="s">
        <v>258</v>
      </c>
      <c r="G13" s="94" t="s">
        <v>36</v>
      </c>
      <c r="H13" s="94" t="s">
        <v>163</v>
      </c>
      <c r="I13" s="94" t="s">
        <v>159</v>
      </c>
      <c r="J13" s="94" t="s">
        <v>38</v>
      </c>
      <c r="K13" s="94" t="s">
        <v>160</v>
      </c>
      <c r="L13" s="94">
        <v>3</v>
      </c>
      <c r="N13" s="94">
        <v>1</v>
      </c>
      <c r="O13" s="94">
        <v>0.7</v>
      </c>
      <c r="P13" s="94">
        <v>0.75</v>
      </c>
      <c r="Q13" s="103">
        <f t="shared" si="0"/>
        <v>0.72499999999999998</v>
      </c>
      <c r="R13" s="94">
        <v>15.4</v>
      </c>
      <c r="S13" s="94">
        <v>106</v>
      </c>
      <c r="T13" s="104">
        <f t="shared" si="1"/>
        <v>33</v>
      </c>
      <c r="U13" s="94">
        <v>138</v>
      </c>
      <c r="V13" s="105">
        <f t="shared" si="2"/>
        <v>4554</v>
      </c>
      <c r="W13" s="94">
        <v>8</v>
      </c>
      <c r="X13" s="94" t="s">
        <v>46</v>
      </c>
      <c r="Y13" s="94" t="s">
        <v>84</v>
      </c>
      <c r="Z13" s="94" t="s">
        <v>90</v>
      </c>
      <c r="AA13" s="94" t="s">
        <v>69</v>
      </c>
      <c r="AB13" s="94" t="s">
        <v>158</v>
      </c>
      <c r="AE13" s="111" t="s">
        <v>219</v>
      </c>
      <c r="AG13" s="112"/>
      <c r="AH13" s="112"/>
      <c r="AP13" s="112" t="s">
        <v>71</v>
      </c>
      <c r="AR13" s="112" t="s">
        <v>211</v>
      </c>
      <c r="AV13" s="112" t="s">
        <v>75</v>
      </c>
    </row>
    <row r="14" spans="1:53" x14ac:dyDescent="0.15">
      <c r="A14" s="94" t="s">
        <v>51</v>
      </c>
      <c r="B14" s="94" t="s">
        <v>157</v>
      </c>
      <c r="C14" s="94">
        <v>2019</v>
      </c>
      <c r="D14" s="102" t="s">
        <v>253</v>
      </c>
      <c r="E14" s="94" t="s">
        <v>257</v>
      </c>
      <c r="F14" s="94" t="s">
        <v>258</v>
      </c>
      <c r="G14" s="94" t="s">
        <v>36</v>
      </c>
      <c r="H14" s="94" t="s">
        <v>189</v>
      </c>
      <c r="I14" s="94" t="s">
        <v>159</v>
      </c>
      <c r="J14" s="94" t="s">
        <v>80</v>
      </c>
      <c r="K14" s="94" t="s">
        <v>45</v>
      </c>
      <c r="L14" s="94">
        <v>1</v>
      </c>
      <c r="N14" s="94">
        <v>1</v>
      </c>
      <c r="O14" s="94">
        <v>0.25</v>
      </c>
      <c r="P14" s="94">
        <v>0.55000000000000004</v>
      </c>
      <c r="Q14" s="103">
        <f t="shared" si="0"/>
        <v>0.4</v>
      </c>
      <c r="R14" s="94">
        <v>15.9</v>
      </c>
      <c r="S14" s="94">
        <v>102</v>
      </c>
      <c r="T14" s="104">
        <f t="shared" si="1"/>
        <v>33</v>
      </c>
      <c r="U14" s="94">
        <v>138</v>
      </c>
      <c r="V14" s="105">
        <f t="shared" si="2"/>
        <v>4554</v>
      </c>
      <c r="W14" s="94">
        <v>8</v>
      </c>
      <c r="X14" s="94" t="s">
        <v>46</v>
      </c>
      <c r="Y14" s="94" t="s">
        <v>84</v>
      </c>
      <c r="Z14" s="94" t="s">
        <v>90</v>
      </c>
      <c r="AA14" s="94" t="s">
        <v>69</v>
      </c>
      <c r="AB14" s="94" t="s">
        <v>158</v>
      </c>
      <c r="AE14" s="111" t="s">
        <v>96</v>
      </c>
      <c r="AG14" s="112"/>
      <c r="AH14" s="112"/>
      <c r="AP14" s="112" t="s">
        <v>74</v>
      </c>
      <c r="AR14" s="112" t="s">
        <v>220</v>
      </c>
      <c r="AV14" s="112" t="s">
        <v>78</v>
      </c>
    </row>
    <row r="15" spans="1:53" x14ac:dyDescent="0.15">
      <c r="A15" s="94" t="s">
        <v>51</v>
      </c>
      <c r="B15" s="94" t="s">
        <v>157</v>
      </c>
      <c r="C15" s="94">
        <v>2019</v>
      </c>
      <c r="D15" s="102" t="s">
        <v>253</v>
      </c>
      <c r="E15" s="94" t="s">
        <v>257</v>
      </c>
      <c r="F15" s="94" t="s">
        <v>258</v>
      </c>
      <c r="G15" s="94" t="s">
        <v>36</v>
      </c>
      <c r="H15" s="94" t="s">
        <v>189</v>
      </c>
      <c r="I15" s="94" t="s">
        <v>159</v>
      </c>
      <c r="J15" s="94" t="s">
        <v>80</v>
      </c>
      <c r="K15" s="94" t="s">
        <v>45</v>
      </c>
      <c r="L15" s="94">
        <v>2</v>
      </c>
      <c r="N15" s="94">
        <v>1</v>
      </c>
      <c r="O15" s="94">
        <v>0.5</v>
      </c>
      <c r="P15" s="94">
        <v>0.5</v>
      </c>
      <c r="Q15" s="103">
        <f t="shared" si="0"/>
        <v>0.5</v>
      </c>
      <c r="R15" s="94">
        <v>15.6</v>
      </c>
      <c r="S15" s="94">
        <v>95</v>
      </c>
      <c r="T15" s="104">
        <f t="shared" si="1"/>
        <v>36</v>
      </c>
      <c r="U15" s="94">
        <v>138</v>
      </c>
      <c r="V15" s="105">
        <f t="shared" si="2"/>
        <v>4968</v>
      </c>
      <c r="W15" s="94">
        <v>8</v>
      </c>
      <c r="X15" s="94" t="s">
        <v>46</v>
      </c>
      <c r="Y15" s="94" t="s">
        <v>84</v>
      </c>
      <c r="Z15" s="94" t="s">
        <v>90</v>
      </c>
      <c r="AA15" s="94" t="s">
        <v>69</v>
      </c>
      <c r="AB15" s="94" t="s">
        <v>158</v>
      </c>
      <c r="AE15" s="111" t="s">
        <v>221</v>
      </c>
      <c r="AG15" s="112"/>
      <c r="AH15" s="112"/>
      <c r="AP15" s="112" t="s">
        <v>77</v>
      </c>
      <c r="AR15" s="112" t="s">
        <v>80</v>
      </c>
      <c r="AV15" s="112" t="s">
        <v>107</v>
      </c>
    </row>
    <row r="16" spans="1:53" x14ac:dyDescent="0.15">
      <c r="A16" s="94" t="s">
        <v>51</v>
      </c>
      <c r="B16" s="94" t="s">
        <v>157</v>
      </c>
      <c r="C16" s="94">
        <v>2019</v>
      </c>
      <c r="D16" s="102" t="s">
        <v>253</v>
      </c>
      <c r="E16" s="94" t="s">
        <v>257</v>
      </c>
      <c r="F16" s="94" t="s">
        <v>258</v>
      </c>
      <c r="G16" s="94" t="s">
        <v>36</v>
      </c>
      <c r="H16" s="94" t="s">
        <v>189</v>
      </c>
      <c r="I16" s="94" t="s">
        <v>159</v>
      </c>
      <c r="J16" s="94" t="s">
        <v>80</v>
      </c>
      <c r="K16" s="94" t="s">
        <v>45</v>
      </c>
      <c r="L16" s="94">
        <v>3</v>
      </c>
      <c r="N16" s="94">
        <v>1</v>
      </c>
      <c r="O16" s="94">
        <v>0.25</v>
      </c>
      <c r="P16" s="94">
        <v>0.25</v>
      </c>
      <c r="Q16" s="103">
        <f t="shared" si="0"/>
        <v>0.25</v>
      </c>
      <c r="R16" s="94">
        <v>15.2</v>
      </c>
      <c r="S16" s="94">
        <v>93</v>
      </c>
      <c r="T16" s="104">
        <f t="shared" si="1"/>
        <v>36</v>
      </c>
      <c r="U16" s="94">
        <v>138</v>
      </c>
      <c r="V16" s="105">
        <f t="shared" si="2"/>
        <v>4968</v>
      </c>
      <c r="W16" s="94">
        <v>8</v>
      </c>
      <c r="X16" s="94" t="s">
        <v>46</v>
      </c>
      <c r="Y16" s="94" t="s">
        <v>84</v>
      </c>
      <c r="Z16" s="94" t="s">
        <v>90</v>
      </c>
      <c r="AA16" s="94" t="s">
        <v>69</v>
      </c>
      <c r="AB16" s="94" t="s">
        <v>158</v>
      </c>
      <c r="AE16" s="111" t="s">
        <v>222</v>
      </c>
      <c r="AG16" s="117"/>
      <c r="AH16" s="117"/>
      <c r="AP16" s="112" t="s">
        <v>80</v>
      </c>
      <c r="AR16" s="112" t="s">
        <v>63</v>
      </c>
      <c r="AV16" s="112" t="s">
        <v>84</v>
      </c>
    </row>
    <row r="17" spans="1:48" x14ac:dyDescent="0.15">
      <c r="A17" s="94" t="s">
        <v>51</v>
      </c>
      <c r="B17" s="94" t="s">
        <v>157</v>
      </c>
      <c r="C17" s="94">
        <v>2019</v>
      </c>
      <c r="D17" s="102" t="s">
        <v>253</v>
      </c>
      <c r="E17" s="94" t="s">
        <v>257</v>
      </c>
      <c r="F17" s="94" t="s">
        <v>258</v>
      </c>
      <c r="G17" s="94" t="s">
        <v>36</v>
      </c>
      <c r="H17" s="94" t="s">
        <v>164</v>
      </c>
      <c r="I17" s="94" t="s">
        <v>159</v>
      </c>
      <c r="J17" s="94" t="s">
        <v>38</v>
      </c>
      <c r="K17" s="94" t="s">
        <v>54</v>
      </c>
      <c r="L17" s="94">
        <v>1</v>
      </c>
      <c r="N17" s="94">
        <v>2</v>
      </c>
      <c r="O17" s="94">
        <v>0.65</v>
      </c>
      <c r="P17" s="94">
        <v>0.65</v>
      </c>
      <c r="Q17" s="103">
        <f t="shared" si="0"/>
        <v>0.65</v>
      </c>
      <c r="R17" s="94">
        <v>15.2</v>
      </c>
      <c r="S17" s="94">
        <v>136</v>
      </c>
      <c r="T17" s="104">
        <f t="shared" si="1"/>
        <v>27</v>
      </c>
      <c r="U17" s="94">
        <v>498</v>
      </c>
      <c r="V17" s="105">
        <f t="shared" si="2"/>
        <v>6723</v>
      </c>
      <c r="W17" s="94">
        <v>8</v>
      </c>
      <c r="X17" s="94" t="s">
        <v>46</v>
      </c>
      <c r="Y17" s="94" t="s">
        <v>84</v>
      </c>
      <c r="Z17" s="94" t="s">
        <v>90</v>
      </c>
      <c r="AA17" s="94" t="s">
        <v>69</v>
      </c>
      <c r="AB17" s="94" t="s">
        <v>301</v>
      </c>
      <c r="AE17" s="111" t="s">
        <v>223</v>
      </c>
      <c r="AP17" s="116" t="s">
        <v>224</v>
      </c>
      <c r="AR17" s="112" t="s">
        <v>96</v>
      </c>
      <c r="AV17" s="112" t="s">
        <v>86</v>
      </c>
    </row>
    <row r="18" spans="1:48" x14ac:dyDescent="0.15">
      <c r="A18" s="94" t="s">
        <v>51</v>
      </c>
      <c r="B18" s="94" t="s">
        <v>157</v>
      </c>
      <c r="C18" s="94">
        <v>2019</v>
      </c>
      <c r="D18" s="102" t="s">
        <v>253</v>
      </c>
      <c r="E18" s="94" t="s">
        <v>257</v>
      </c>
      <c r="F18" s="94" t="s">
        <v>258</v>
      </c>
      <c r="G18" s="94" t="s">
        <v>36</v>
      </c>
      <c r="H18" s="94" t="s">
        <v>164</v>
      </c>
      <c r="I18" s="94" t="s">
        <v>159</v>
      </c>
      <c r="J18" s="94" t="s">
        <v>38</v>
      </c>
      <c r="K18" s="94" t="s">
        <v>54</v>
      </c>
      <c r="L18" s="94">
        <v>2</v>
      </c>
      <c r="N18" s="94">
        <v>2</v>
      </c>
      <c r="O18" s="94">
        <v>0.7</v>
      </c>
      <c r="P18" s="94">
        <v>0.7</v>
      </c>
      <c r="Q18" s="103">
        <f t="shared" si="0"/>
        <v>0.7</v>
      </c>
      <c r="R18" s="94">
        <v>15.8</v>
      </c>
      <c r="S18" s="94">
        <v>148</v>
      </c>
      <c r="T18" s="104">
        <f t="shared" si="1"/>
        <v>25</v>
      </c>
      <c r="U18" s="94">
        <v>498</v>
      </c>
      <c r="V18" s="105">
        <f t="shared" si="2"/>
        <v>6225</v>
      </c>
      <c r="W18" s="94">
        <v>8</v>
      </c>
      <c r="X18" s="94" t="s">
        <v>46</v>
      </c>
      <c r="Y18" s="94" t="s">
        <v>84</v>
      </c>
      <c r="Z18" s="94" t="s">
        <v>90</v>
      </c>
      <c r="AA18" s="94" t="s">
        <v>69</v>
      </c>
      <c r="AB18" s="94" t="s">
        <v>158</v>
      </c>
      <c r="AE18" s="111" t="s">
        <v>216</v>
      </c>
      <c r="AP18" s="116" t="s">
        <v>225</v>
      </c>
      <c r="AR18" s="112" t="s">
        <v>101</v>
      </c>
      <c r="AV18" s="112" t="s">
        <v>88</v>
      </c>
    </row>
    <row r="19" spans="1:48" x14ac:dyDescent="0.15">
      <c r="A19" s="94" t="s">
        <v>51</v>
      </c>
      <c r="B19" s="94" t="s">
        <v>157</v>
      </c>
      <c r="C19" s="94">
        <v>2019</v>
      </c>
      <c r="D19" s="102" t="s">
        <v>253</v>
      </c>
      <c r="E19" s="94" t="s">
        <v>257</v>
      </c>
      <c r="F19" s="94" t="s">
        <v>258</v>
      </c>
      <c r="G19" s="94" t="s">
        <v>36</v>
      </c>
      <c r="H19" s="94" t="s">
        <v>164</v>
      </c>
      <c r="I19" s="94" t="s">
        <v>159</v>
      </c>
      <c r="J19" s="94" t="s">
        <v>38</v>
      </c>
      <c r="K19" s="94" t="s">
        <v>54</v>
      </c>
      <c r="L19" s="94">
        <v>3</v>
      </c>
      <c r="N19" s="94">
        <v>2</v>
      </c>
      <c r="O19" s="94">
        <v>0.75</v>
      </c>
      <c r="P19" s="94">
        <v>0.7</v>
      </c>
      <c r="Q19" s="103">
        <f t="shared" si="0"/>
        <v>0.72499999999999998</v>
      </c>
      <c r="R19" s="94">
        <v>16.7</v>
      </c>
      <c r="S19" s="94">
        <v>154</v>
      </c>
      <c r="T19" s="104">
        <f t="shared" si="1"/>
        <v>22</v>
      </c>
      <c r="U19" s="94">
        <v>498</v>
      </c>
      <c r="V19" s="105">
        <f t="shared" si="2"/>
        <v>5478</v>
      </c>
      <c r="W19" s="94">
        <v>8</v>
      </c>
      <c r="X19" s="94" t="s">
        <v>46</v>
      </c>
      <c r="Y19" s="94" t="s">
        <v>84</v>
      </c>
      <c r="Z19" s="94" t="s">
        <v>90</v>
      </c>
      <c r="AA19" s="94" t="s">
        <v>69</v>
      </c>
      <c r="AB19" s="94" t="s">
        <v>158</v>
      </c>
      <c r="AE19" s="122" t="s">
        <v>210</v>
      </c>
      <c r="AP19" s="116" t="s">
        <v>226</v>
      </c>
      <c r="AR19" s="112" t="s">
        <v>227</v>
      </c>
      <c r="AV19" s="112" t="s">
        <v>90</v>
      </c>
    </row>
    <row r="20" spans="1:48" x14ac:dyDescent="0.15">
      <c r="A20" s="94" t="s">
        <v>51</v>
      </c>
      <c r="B20" s="94" t="s">
        <v>157</v>
      </c>
      <c r="C20" s="94">
        <v>2019</v>
      </c>
      <c r="D20" s="102" t="s">
        <v>253</v>
      </c>
      <c r="E20" s="94" t="s">
        <v>139</v>
      </c>
      <c r="F20" s="94" t="s">
        <v>268</v>
      </c>
      <c r="G20" s="94" t="s">
        <v>42</v>
      </c>
      <c r="H20" s="94" t="s">
        <v>163</v>
      </c>
      <c r="I20" s="94" t="s">
        <v>159</v>
      </c>
      <c r="J20" s="94" t="s">
        <v>38</v>
      </c>
      <c r="K20" s="94" t="s">
        <v>160</v>
      </c>
      <c r="L20" s="94">
        <v>1</v>
      </c>
      <c r="N20" s="94">
        <v>8</v>
      </c>
      <c r="O20" s="94">
        <v>0.65</v>
      </c>
      <c r="P20" s="94">
        <v>0.55000000000000004</v>
      </c>
      <c r="Q20" s="103">
        <f t="shared" si="0"/>
        <v>0.60000000000000009</v>
      </c>
      <c r="R20" s="94">
        <v>15.6</v>
      </c>
      <c r="S20" s="94">
        <v>91</v>
      </c>
      <c r="T20" s="104">
        <f t="shared" si="1"/>
        <v>36</v>
      </c>
      <c r="U20" s="94">
        <v>598</v>
      </c>
      <c r="V20" s="105">
        <f t="shared" si="2"/>
        <v>2691</v>
      </c>
      <c r="W20" s="94">
        <v>5</v>
      </c>
      <c r="X20" s="94" t="s">
        <v>46</v>
      </c>
      <c r="Y20" s="94" t="s">
        <v>84</v>
      </c>
      <c r="Z20" s="94" t="s">
        <v>90</v>
      </c>
      <c r="AA20" s="94" t="s">
        <v>69</v>
      </c>
      <c r="AB20" s="94" t="s">
        <v>158</v>
      </c>
      <c r="AE20" s="122"/>
      <c r="AP20" s="116" t="s">
        <v>228</v>
      </c>
      <c r="AR20" s="112" t="s">
        <v>105</v>
      </c>
      <c r="AV20" s="116" t="s">
        <v>229</v>
      </c>
    </row>
    <row r="21" spans="1:48" x14ac:dyDescent="0.15">
      <c r="A21" s="94" t="s">
        <v>51</v>
      </c>
      <c r="B21" s="94" t="s">
        <v>157</v>
      </c>
      <c r="C21" s="94">
        <v>2019</v>
      </c>
      <c r="D21" s="102" t="s">
        <v>253</v>
      </c>
      <c r="E21" s="94" t="s">
        <v>139</v>
      </c>
      <c r="F21" s="94" t="s">
        <v>268</v>
      </c>
      <c r="G21" s="94" t="s">
        <v>42</v>
      </c>
      <c r="H21" s="94" t="s">
        <v>163</v>
      </c>
      <c r="I21" s="94" t="s">
        <v>159</v>
      </c>
      <c r="J21" s="94" t="s">
        <v>38</v>
      </c>
      <c r="K21" s="94" t="s">
        <v>160</v>
      </c>
      <c r="L21" s="94">
        <v>2</v>
      </c>
      <c r="N21" s="94">
        <v>8</v>
      </c>
      <c r="O21" s="94">
        <v>0.6</v>
      </c>
      <c r="P21" s="94">
        <v>0.6</v>
      </c>
      <c r="Q21" s="103">
        <f t="shared" si="0"/>
        <v>0.6</v>
      </c>
      <c r="R21" s="94">
        <v>15.3</v>
      </c>
      <c r="S21" s="94">
        <v>89</v>
      </c>
      <c r="T21" s="104">
        <f t="shared" si="1"/>
        <v>36</v>
      </c>
      <c r="U21" s="94">
        <v>598</v>
      </c>
      <c r="V21" s="105">
        <f t="shared" si="2"/>
        <v>2691</v>
      </c>
      <c r="W21" s="94">
        <v>5</v>
      </c>
      <c r="X21" s="94" t="s">
        <v>46</v>
      </c>
      <c r="Y21" s="94" t="s">
        <v>84</v>
      </c>
      <c r="Z21" s="94" t="s">
        <v>90</v>
      </c>
      <c r="AA21" s="94" t="s">
        <v>69</v>
      </c>
      <c r="AB21" s="94" t="s">
        <v>158</v>
      </c>
      <c r="AE21" s="117"/>
      <c r="AP21" s="116" t="s">
        <v>230</v>
      </c>
      <c r="AR21" s="112" t="s">
        <v>68</v>
      </c>
      <c r="AV21" s="116" t="s">
        <v>231</v>
      </c>
    </row>
    <row r="22" spans="1:48" x14ac:dyDescent="0.15">
      <c r="A22" s="94" t="s">
        <v>51</v>
      </c>
      <c r="B22" s="94" t="s">
        <v>157</v>
      </c>
      <c r="C22" s="94">
        <v>2019</v>
      </c>
      <c r="D22" s="102" t="s">
        <v>253</v>
      </c>
      <c r="E22" s="94" t="s">
        <v>139</v>
      </c>
      <c r="F22" s="94" t="s">
        <v>268</v>
      </c>
      <c r="G22" s="94" t="s">
        <v>42</v>
      </c>
      <c r="H22" s="94" t="s">
        <v>163</v>
      </c>
      <c r="I22" s="94" t="s">
        <v>159</v>
      </c>
      <c r="J22" s="94" t="s">
        <v>38</v>
      </c>
      <c r="K22" s="94" t="s">
        <v>160</v>
      </c>
      <c r="L22" s="94">
        <v>3</v>
      </c>
      <c r="N22" s="94">
        <v>8</v>
      </c>
      <c r="O22" s="94">
        <v>0.25</v>
      </c>
      <c r="P22" s="94">
        <v>0.5</v>
      </c>
      <c r="Q22" s="103">
        <f t="shared" si="0"/>
        <v>0.375</v>
      </c>
      <c r="R22" s="94">
        <v>14.9</v>
      </c>
      <c r="S22" s="94">
        <v>84</v>
      </c>
      <c r="T22" s="104">
        <f t="shared" si="1"/>
        <v>36</v>
      </c>
      <c r="U22" s="94">
        <v>598</v>
      </c>
      <c r="V22" s="105">
        <f t="shared" si="2"/>
        <v>2691</v>
      </c>
      <c r="W22" s="94">
        <v>5</v>
      </c>
      <c r="X22" s="94" t="s">
        <v>46</v>
      </c>
      <c r="Y22" s="94" t="s">
        <v>84</v>
      </c>
      <c r="Z22" s="94" t="s">
        <v>90</v>
      </c>
      <c r="AA22" s="94" t="s">
        <v>69</v>
      </c>
      <c r="AB22" s="94" t="s">
        <v>158</v>
      </c>
      <c r="AP22" s="116" t="s">
        <v>232</v>
      </c>
      <c r="AR22" s="112" t="s">
        <v>83</v>
      </c>
      <c r="AV22" s="116"/>
    </row>
    <row r="23" spans="1:48" x14ac:dyDescent="0.15">
      <c r="A23" s="94" t="s">
        <v>51</v>
      </c>
      <c r="B23" s="94" t="s">
        <v>157</v>
      </c>
      <c r="C23" s="94">
        <v>2019</v>
      </c>
      <c r="D23" s="102" t="s">
        <v>253</v>
      </c>
      <c r="E23" s="94" t="s">
        <v>139</v>
      </c>
      <c r="F23" s="94" t="s">
        <v>268</v>
      </c>
      <c r="G23" s="94" t="s">
        <v>42</v>
      </c>
      <c r="H23" s="94" t="s">
        <v>189</v>
      </c>
      <c r="I23" s="94" t="s">
        <v>159</v>
      </c>
      <c r="J23" s="94" t="s">
        <v>58</v>
      </c>
      <c r="K23" s="94" t="s">
        <v>59</v>
      </c>
      <c r="L23" s="94">
        <v>1</v>
      </c>
      <c r="N23" s="94">
        <v>1</v>
      </c>
      <c r="O23" s="94">
        <v>1</v>
      </c>
      <c r="P23" s="94">
        <v>1.2</v>
      </c>
      <c r="Q23" s="103">
        <f t="shared" si="0"/>
        <v>1.1000000000000001</v>
      </c>
      <c r="R23" s="94">
        <v>13.8</v>
      </c>
      <c r="S23" s="94">
        <v>110</v>
      </c>
      <c r="T23" s="104">
        <f t="shared" si="1"/>
        <v>33</v>
      </c>
      <c r="U23" s="94">
        <v>98</v>
      </c>
      <c r="V23" s="105">
        <f t="shared" si="2"/>
        <v>3234</v>
      </c>
      <c r="W23" s="94">
        <v>5</v>
      </c>
      <c r="X23" s="94" t="s">
        <v>46</v>
      </c>
      <c r="Y23" s="94" t="s">
        <v>84</v>
      </c>
      <c r="Z23" s="94" t="s">
        <v>90</v>
      </c>
      <c r="AA23" s="94" t="s">
        <v>69</v>
      </c>
      <c r="AB23" s="94" t="s">
        <v>158</v>
      </c>
      <c r="AP23" s="116" t="s">
        <v>250</v>
      </c>
      <c r="AR23" s="112" t="s">
        <v>61</v>
      </c>
    </row>
    <row r="24" spans="1:48" x14ac:dyDescent="0.15">
      <c r="A24" s="94" t="s">
        <v>51</v>
      </c>
      <c r="B24" s="94" t="s">
        <v>157</v>
      </c>
      <c r="C24" s="94">
        <v>2019</v>
      </c>
      <c r="D24" s="102" t="s">
        <v>253</v>
      </c>
      <c r="E24" s="94" t="s">
        <v>139</v>
      </c>
      <c r="F24" s="94" t="s">
        <v>268</v>
      </c>
      <c r="G24" s="94" t="s">
        <v>42</v>
      </c>
      <c r="H24" s="94" t="s">
        <v>189</v>
      </c>
      <c r="I24" s="94" t="s">
        <v>159</v>
      </c>
      <c r="J24" s="94" t="s">
        <v>58</v>
      </c>
      <c r="K24" s="94" t="s">
        <v>59</v>
      </c>
      <c r="L24" s="94">
        <v>2</v>
      </c>
      <c r="N24" s="94">
        <v>1</v>
      </c>
      <c r="O24" s="94">
        <v>1.05</v>
      </c>
      <c r="P24" s="94">
        <v>1.1000000000000001</v>
      </c>
      <c r="Q24" s="103">
        <f t="shared" si="0"/>
        <v>1.0750000000000002</v>
      </c>
      <c r="R24" s="94">
        <v>14.5</v>
      </c>
      <c r="S24" s="94">
        <v>112</v>
      </c>
      <c r="T24" s="104">
        <f t="shared" si="1"/>
        <v>33</v>
      </c>
      <c r="U24" s="94">
        <v>98</v>
      </c>
      <c r="V24" s="105">
        <f t="shared" si="2"/>
        <v>3234</v>
      </c>
      <c r="W24" s="94">
        <v>5</v>
      </c>
      <c r="X24" s="94" t="s">
        <v>46</v>
      </c>
      <c r="Y24" s="94" t="s">
        <v>84</v>
      </c>
      <c r="Z24" s="94" t="s">
        <v>90</v>
      </c>
      <c r="AA24" s="94" t="s">
        <v>69</v>
      </c>
      <c r="AB24" s="94" t="s">
        <v>158</v>
      </c>
      <c r="AP24" s="116" t="s">
        <v>251</v>
      </c>
      <c r="AR24" s="112" t="s">
        <v>91</v>
      </c>
    </row>
    <row r="25" spans="1:48" x14ac:dyDescent="0.15">
      <c r="A25" s="94" t="s">
        <v>51</v>
      </c>
      <c r="B25" s="94" t="s">
        <v>157</v>
      </c>
      <c r="C25" s="94">
        <v>2019</v>
      </c>
      <c r="D25" s="102" t="s">
        <v>253</v>
      </c>
      <c r="E25" s="94" t="s">
        <v>139</v>
      </c>
      <c r="F25" s="94" t="s">
        <v>268</v>
      </c>
      <c r="G25" s="94" t="s">
        <v>42</v>
      </c>
      <c r="H25" s="94" t="s">
        <v>189</v>
      </c>
      <c r="I25" s="94" t="s">
        <v>159</v>
      </c>
      <c r="J25" s="94" t="s">
        <v>58</v>
      </c>
      <c r="K25" s="94" t="s">
        <v>59</v>
      </c>
      <c r="L25" s="94">
        <v>3</v>
      </c>
      <c r="N25" s="94">
        <v>1</v>
      </c>
      <c r="O25" s="94">
        <v>1.1499999999999999</v>
      </c>
      <c r="P25" s="94">
        <v>1.1000000000000001</v>
      </c>
      <c r="Q25" s="103">
        <f t="shared" si="0"/>
        <v>1.125</v>
      </c>
      <c r="R25" s="94">
        <v>14.1</v>
      </c>
      <c r="S25" s="94">
        <v>95</v>
      </c>
      <c r="T25" s="104">
        <f t="shared" si="1"/>
        <v>36</v>
      </c>
      <c r="U25" s="94">
        <v>98</v>
      </c>
      <c r="V25" s="105">
        <f t="shared" si="2"/>
        <v>3528</v>
      </c>
      <c r="W25" s="94">
        <v>5</v>
      </c>
      <c r="X25" s="94" t="s">
        <v>46</v>
      </c>
      <c r="Y25" s="94" t="s">
        <v>84</v>
      </c>
      <c r="Z25" s="94" t="s">
        <v>90</v>
      </c>
      <c r="AA25" s="94" t="s">
        <v>69</v>
      </c>
      <c r="AB25" s="94" t="s">
        <v>158</v>
      </c>
      <c r="AP25" s="116" t="s">
        <v>252</v>
      </c>
      <c r="AR25" s="116" t="s">
        <v>51</v>
      </c>
    </row>
    <row r="26" spans="1:48" x14ac:dyDescent="0.15">
      <c r="A26" s="94" t="s">
        <v>51</v>
      </c>
      <c r="B26" s="94" t="s">
        <v>157</v>
      </c>
      <c r="C26" s="94">
        <v>2019</v>
      </c>
      <c r="D26" s="102" t="s">
        <v>253</v>
      </c>
      <c r="E26" s="94" t="s">
        <v>262</v>
      </c>
      <c r="F26" s="94" t="s">
        <v>263</v>
      </c>
      <c r="G26" s="94" t="s">
        <v>36</v>
      </c>
      <c r="H26" s="94" t="s">
        <v>189</v>
      </c>
      <c r="I26" s="94" t="s">
        <v>159</v>
      </c>
      <c r="J26" s="94" t="s">
        <v>53</v>
      </c>
      <c r="K26" s="94" t="s">
        <v>54</v>
      </c>
      <c r="L26" s="94">
        <v>1</v>
      </c>
      <c r="N26" s="94">
        <v>5</v>
      </c>
      <c r="O26" s="94">
        <v>1.1000000000000001</v>
      </c>
      <c r="P26" s="94">
        <v>1.1499999999999999</v>
      </c>
      <c r="Q26" s="103">
        <f t="shared" si="0"/>
        <v>1.125</v>
      </c>
      <c r="R26" s="94">
        <v>13.6</v>
      </c>
      <c r="S26" s="94">
        <v>89</v>
      </c>
      <c r="T26" s="104">
        <f t="shared" si="1"/>
        <v>36</v>
      </c>
      <c r="U26" s="94">
        <v>398</v>
      </c>
      <c r="V26" s="105">
        <f t="shared" si="2"/>
        <v>2865.6</v>
      </c>
      <c r="W26" s="94">
        <v>3</v>
      </c>
      <c r="X26" s="94" t="s">
        <v>46</v>
      </c>
      <c r="Y26" s="94" t="s">
        <v>84</v>
      </c>
      <c r="Z26" s="94" t="s">
        <v>90</v>
      </c>
      <c r="AA26" s="94" t="s">
        <v>69</v>
      </c>
      <c r="AB26" s="94" t="s">
        <v>158</v>
      </c>
      <c r="AP26" s="116" t="s">
        <v>233</v>
      </c>
      <c r="AR26" s="94" t="s">
        <v>234</v>
      </c>
    </row>
    <row r="27" spans="1:48" x14ac:dyDescent="0.15">
      <c r="A27" s="94" t="s">
        <v>51</v>
      </c>
      <c r="B27" s="94" t="s">
        <v>157</v>
      </c>
      <c r="C27" s="94">
        <v>2019</v>
      </c>
      <c r="D27" s="102" t="s">
        <v>253</v>
      </c>
      <c r="E27" s="94" t="s">
        <v>262</v>
      </c>
      <c r="F27" s="94" t="s">
        <v>263</v>
      </c>
      <c r="G27" s="94" t="s">
        <v>36</v>
      </c>
      <c r="H27" s="94" t="s">
        <v>189</v>
      </c>
      <c r="I27" s="94" t="s">
        <v>159</v>
      </c>
      <c r="J27" s="94" t="s">
        <v>53</v>
      </c>
      <c r="K27" s="94" t="s">
        <v>54</v>
      </c>
      <c r="L27" s="94">
        <v>2</v>
      </c>
      <c r="N27" s="94">
        <v>5</v>
      </c>
      <c r="O27" s="94">
        <v>1.05</v>
      </c>
      <c r="P27" s="94">
        <v>1.25</v>
      </c>
      <c r="Q27" s="103">
        <f t="shared" si="0"/>
        <v>1.1499999999999999</v>
      </c>
      <c r="R27" s="94">
        <v>13.4</v>
      </c>
      <c r="S27" s="94">
        <v>88</v>
      </c>
      <c r="T27" s="104">
        <f t="shared" si="1"/>
        <v>36</v>
      </c>
      <c r="U27" s="94">
        <v>398</v>
      </c>
      <c r="V27" s="105">
        <f t="shared" si="2"/>
        <v>2865.6</v>
      </c>
      <c r="W27" s="94">
        <v>3</v>
      </c>
      <c r="X27" s="94" t="s">
        <v>46</v>
      </c>
      <c r="Y27" s="94" t="s">
        <v>84</v>
      </c>
      <c r="Z27" s="94" t="s">
        <v>90</v>
      </c>
      <c r="AA27" s="94" t="s">
        <v>69</v>
      </c>
      <c r="AB27" s="94" t="s">
        <v>158</v>
      </c>
      <c r="AP27" s="116" t="s">
        <v>235</v>
      </c>
    </row>
    <row r="28" spans="1:48" x14ac:dyDescent="0.15">
      <c r="A28" s="94" t="s">
        <v>51</v>
      </c>
      <c r="B28" s="94" t="s">
        <v>157</v>
      </c>
      <c r="C28" s="94">
        <v>2019</v>
      </c>
      <c r="D28" s="102" t="s">
        <v>253</v>
      </c>
      <c r="E28" s="94" t="s">
        <v>262</v>
      </c>
      <c r="F28" s="94" t="s">
        <v>263</v>
      </c>
      <c r="G28" s="94" t="s">
        <v>36</v>
      </c>
      <c r="H28" s="94" t="s">
        <v>189</v>
      </c>
      <c r="I28" s="94" t="s">
        <v>159</v>
      </c>
      <c r="J28" s="94" t="s">
        <v>53</v>
      </c>
      <c r="K28" s="94" t="s">
        <v>54</v>
      </c>
      <c r="L28" s="94">
        <v>3</v>
      </c>
      <c r="N28" s="94">
        <v>5</v>
      </c>
      <c r="O28" s="94">
        <v>0.6</v>
      </c>
      <c r="P28" s="94">
        <v>0.65</v>
      </c>
      <c r="Q28" s="103">
        <f t="shared" si="0"/>
        <v>0.625</v>
      </c>
      <c r="R28" s="94">
        <v>13.9</v>
      </c>
      <c r="S28" s="94">
        <v>93</v>
      </c>
      <c r="T28" s="104">
        <f t="shared" si="1"/>
        <v>36</v>
      </c>
      <c r="U28" s="94">
        <v>398</v>
      </c>
      <c r="V28" s="105">
        <f t="shared" si="2"/>
        <v>2865.6</v>
      </c>
      <c r="W28" s="94">
        <v>3</v>
      </c>
      <c r="X28" s="94" t="s">
        <v>46</v>
      </c>
      <c r="Y28" s="94" t="s">
        <v>84</v>
      </c>
      <c r="Z28" s="94" t="s">
        <v>90</v>
      </c>
      <c r="AA28" s="94" t="s">
        <v>69</v>
      </c>
      <c r="AB28" s="94" t="s">
        <v>158</v>
      </c>
    </row>
    <row r="29" spans="1:48" x14ac:dyDescent="0.15">
      <c r="A29" s="94" t="s">
        <v>51</v>
      </c>
      <c r="B29" s="94" t="s">
        <v>157</v>
      </c>
      <c r="C29" s="94">
        <v>2019</v>
      </c>
      <c r="D29" s="102" t="s">
        <v>253</v>
      </c>
      <c r="E29" s="94" t="s">
        <v>262</v>
      </c>
      <c r="F29" s="94" t="s">
        <v>263</v>
      </c>
      <c r="G29" s="94" t="s">
        <v>36</v>
      </c>
      <c r="H29" s="94" t="s">
        <v>189</v>
      </c>
      <c r="I29" s="94" t="s">
        <v>159</v>
      </c>
      <c r="J29" s="94" t="s">
        <v>104</v>
      </c>
      <c r="K29" s="94" t="s">
        <v>213</v>
      </c>
      <c r="L29" s="94">
        <v>1</v>
      </c>
      <c r="N29" s="94">
        <v>1</v>
      </c>
      <c r="O29" s="94">
        <v>0.9</v>
      </c>
      <c r="P29" s="94">
        <v>0.95</v>
      </c>
      <c r="Q29" s="103">
        <f t="shared" si="0"/>
        <v>0.92500000000000004</v>
      </c>
      <c r="R29" s="94">
        <v>13.6</v>
      </c>
      <c r="S29" s="94">
        <v>114</v>
      </c>
      <c r="T29" s="104">
        <f t="shared" si="1"/>
        <v>30</v>
      </c>
      <c r="U29" s="94">
        <v>128</v>
      </c>
      <c r="V29" s="105">
        <f t="shared" si="2"/>
        <v>3840</v>
      </c>
      <c r="W29" s="94">
        <v>3</v>
      </c>
      <c r="X29" s="94" t="s">
        <v>46</v>
      </c>
      <c r="Y29" s="94" t="s">
        <v>84</v>
      </c>
      <c r="Z29" s="94" t="s">
        <v>90</v>
      </c>
      <c r="AA29" s="94" t="s">
        <v>69</v>
      </c>
      <c r="AB29" s="94" t="s">
        <v>158</v>
      </c>
    </row>
    <row r="30" spans="1:48" x14ac:dyDescent="0.15">
      <c r="A30" s="94" t="s">
        <v>51</v>
      </c>
      <c r="B30" s="94" t="s">
        <v>157</v>
      </c>
      <c r="C30" s="94">
        <v>2019</v>
      </c>
      <c r="D30" s="102" t="s">
        <v>253</v>
      </c>
      <c r="E30" s="94" t="s">
        <v>262</v>
      </c>
      <c r="F30" s="94" t="s">
        <v>263</v>
      </c>
      <c r="G30" s="94" t="s">
        <v>36</v>
      </c>
      <c r="H30" s="94" t="s">
        <v>189</v>
      </c>
      <c r="I30" s="94" t="s">
        <v>159</v>
      </c>
      <c r="J30" s="94" t="s">
        <v>104</v>
      </c>
      <c r="K30" s="94" t="s">
        <v>213</v>
      </c>
      <c r="L30" s="94">
        <v>2</v>
      </c>
      <c r="N30" s="94">
        <v>1</v>
      </c>
      <c r="O30" s="94">
        <v>0.9</v>
      </c>
      <c r="P30" s="94">
        <v>0.85</v>
      </c>
      <c r="Q30" s="103">
        <f t="shared" si="0"/>
        <v>0.875</v>
      </c>
      <c r="R30" s="94">
        <v>13.8</v>
      </c>
      <c r="S30" s="94">
        <v>118</v>
      </c>
      <c r="T30" s="104">
        <f t="shared" si="1"/>
        <v>30</v>
      </c>
      <c r="U30" s="94">
        <v>128</v>
      </c>
      <c r="V30" s="105">
        <f t="shared" si="2"/>
        <v>3840</v>
      </c>
      <c r="W30" s="94">
        <v>3</v>
      </c>
      <c r="X30" s="94" t="s">
        <v>46</v>
      </c>
      <c r="Y30" s="94" t="s">
        <v>84</v>
      </c>
      <c r="Z30" s="94" t="s">
        <v>90</v>
      </c>
      <c r="AA30" s="94" t="s">
        <v>69</v>
      </c>
      <c r="AB30" s="94" t="s">
        <v>158</v>
      </c>
    </row>
    <row r="31" spans="1:48" x14ac:dyDescent="0.15">
      <c r="A31" s="94" t="s">
        <v>51</v>
      </c>
      <c r="B31" s="94" t="s">
        <v>157</v>
      </c>
      <c r="C31" s="94">
        <v>2019</v>
      </c>
      <c r="D31" s="102" t="s">
        <v>253</v>
      </c>
      <c r="E31" s="94" t="s">
        <v>262</v>
      </c>
      <c r="F31" s="94" t="s">
        <v>263</v>
      </c>
      <c r="G31" s="94" t="s">
        <v>36</v>
      </c>
      <c r="H31" s="94" t="s">
        <v>189</v>
      </c>
      <c r="I31" s="94" t="s">
        <v>159</v>
      </c>
      <c r="J31" s="94" t="s">
        <v>104</v>
      </c>
      <c r="K31" s="94" t="s">
        <v>213</v>
      </c>
      <c r="L31" s="94">
        <v>3</v>
      </c>
      <c r="N31" s="94">
        <v>1</v>
      </c>
      <c r="O31" s="94">
        <v>0.95</v>
      </c>
      <c r="P31" s="94">
        <v>0.85</v>
      </c>
      <c r="Q31" s="103">
        <f t="shared" si="0"/>
        <v>0.89999999999999991</v>
      </c>
      <c r="R31" s="94">
        <v>14.1</v>
      </c>
      <c r="S31" s="94">
        <v>128</v>
      </c>
      <c r="T31" s="104">
        <f t="shared" si="1"/>
        <v>27</v>
      </c>
      <c r="U31" s="94">
        <v>128</v>
      </c>
      <c r="V31" s="105">
        <f t="shared" si="2"/>
        <v>3456</v>
      </c>
      <c r="W31" s="94">
        <v>3</v>
      </c>
      <c r="X31" s="94" t="s">
        <v>46</v>
      </c>
      <c r="Y31" s="94" t="s">
        <v>84</v>
      </c>
      <c r="Z31" s="94" t="s">
        <v>90</v>
      </c>
      <c r="AA31" s="94" t="s">
        <v>69</v>
      </c>
      <c r="AB31" s="94" t="s">
        <v>158</v>
      </c>
    </row>
    <row r="32" spans="1:48" x14ac:dyDescent="0.15">
      <c r="A32" s="94" t="s">
        <v>51</v>
      </c>
      <c r="B32" s="94" t="s">
        <v>157</v>
      </c>
      <c r="C32" s="94">
        <v>2019</v>
      </c>
      <c r="D32" s="102" t="s">
        <v>253</v>
      </c>
      <c r="E32" s="94" t="s">
        <v>214</v>
      </c>
      <c r="F32" s="94" t="s">
        <v>256</v>
      </c>
      <c r="G32" s="94" t="s">
        <v>42</v>
      </c>
      <c r="H32" s="94" t="s">
        <v>163</v>
      </c>
      <c r="I32" s="94" t="s">
        <v>159</v>
      </c>
      <c r="J32" s="94" t="s">
        <v>38</v>
      </c>
      <c r="K32" s="94" t="s">
        <v>160</v>
      </c>
      <c r="L32" s="94">
        <v>1</v>
      </c>
      <c r="N32" s="94">
        <v>1</v>
      </c>
      <c r="O32" s="94">
        <v>0.75</v>
      </c>
      <c r="P32" s="94">
        <v>0.6</v>
      </c>
      <c r="Q32" s="103">
        <f t="shared" si="0"/>
        <v>0.67500000000000004</v>
      </c>
      <c r="R32" s="94">
        <v>14.3</v>
      </c>
      <c r="S32" s="94">
        <v>120</v>
      </c>
      <c r="T32" s="104">
        <f t="shared" si="1"/>
        <v>30</v>
      </c>
      <c r="U32" s="94">
        <v>97</v>
      </c>
      <c r="V32" s="105">
        <f t="shared" si="2"/>
        <v>2910</v>
      </c>
      <c r="W32" s="94">
        <v>5</v>
      </c>
      <c r="X32" s="94" t="s">
        <v>46</v>
      </c>
      <c r="Y32" s="94" t="s">
        <v>84</v>
      </c>
      <c r="Z32" s="94" t="s">
        <v>90</v>
      </c>
      <c r="AA32" s="94" t="s">
        <v>69</v>
      </c>
      <c r="AB32" s="94" t="s">
        <v>158</v>
      </c>
    </row>
    <row r="33" spans="1:28" x14ac:dyDescent="0.15">
      <c r="A33" s="94" t="s">
        <v>51</v>
      </c>
      <c r="B33" s="94" t="s">
        <v>157</v>
      </c>
      <c r="C33" s="94">
        <v>2019</v>
      </c>
      <c r="D33" s="102" t="s">
        <v>253</v>
      </c>
      <c r="E33" s="94" t="s">
        <v>214</v>
      </c>
      <c r="F33" s="94" t="s">
        <v>256</v>
      </c>
      <c r="G33" s="94" t="s">
        <v>42</v>
      </c>
      <c r="H33" s="94" t="s">
        <v>163</v>
      </c>
      <c r="I33" s="94" t="s">
        <v>159</v>
      </c>
      <c r="J33" s="94" t="s">
        <v>38</v>
      </c>
      <c r="K33" s="94" t="s">
        <v>160</v>
      </c>
      <c r="L33" s="94">
        <v>2</v>
      </c>
      <c r="N33" s="94">
        <v>1</v>
      </c>
      <c r="O33" s="94">
        <v>0.7</v>
      </c>
      <c r="P33" s="94">
        <v>0.7</v>
      </c>
      <c r="Q33" s="103">
        <f t="shared" si="0"/>
        <v>0.7</v>
      </c>
      <c r="R33" s="94">
        <v>14.5</v>
      </c>
      <c r="S33" s="94">
        <v>122</v>
      </c>
      <c r="T33" s="104">
        <f t="shared" si="1"/>
        <v>27</v>
      </c>
      <c r="U33" s="94">
        <v>97</v>
      </c>
      <c r="V33" s="105">
        <f t="shared" si="2"/>
        <v>2619</v>
      </c>
      <c r="W33" s="94">
        <v>5</v>
      </c>
      <c r="X33" s="94" t="s">
        <v>46</v>
      </c>
      <c r="Y33" s="94" t="s">
        <v>84</v>
      </c>
      <c r="Z33" s="94" t="s">
        <v>90</v>
      </c>
      <c r="AA33" s="94" t="s">
        <v>69</v>
      </c>
      <c r="AB33" s="94" t="s">
        <v>158</v>
      </c>
    </row>
    <row r="34" spans="1:28" x14ac:dyDescent="0.15">
      <c r="A34" s="94" t="s">
        <v>51</v>
      </c>
      <c r="B34" s="94" t="s">
        <v>157</v>
      </c>
      <c r="C34" s="94">
        <v>2019</v>
      </c>
      <c r="D34" s="102" t="s">
        <v>253</v>
      </c>
      <c r="E34" s="94" t="s">
        <v>214</v>
      </c>
      <c r="F34" s="94" t="s">
        <v>256</v>
      </c>
      <c r="G34" s="94" t="s">
        <v>42</v>
      </c>
      <c r="H34" s="94" t="s">
        <v>163</v>
      </c>
      <c r="I34" s="94" t="s">
        <v>159</v>
      </c>
      <c r="J34" s="94" t="s">
        <v>38</v>
      </c>
      <c r="K34" s="94" t="s">
        <v>160</v>
      </c>
      <c r="L34" s="94">
        <v>3</v>
      </c>
      <c r="N34" s="94">
        <v>1</v>
      </c>
      <c r="O34" s="94">
        <v>0.65</v>
      </c>
      <c r="P34" s="94">
        <v>0.6</v>
      </c>
      <c r="Q34" s="103">
        <f t="shared" si="0"/>
        <v>0.625</v>
      </c>
      <c r="R34" s="94">
        <v>15.2</v>
      </c>
      <c r="S34" s="94">
        <v>122</v>
      </c>
      <c r="T34" s="104">
        <f t="shared" si="1"/>
        <v>27</v>
      </c>
      <c r="U34" s="94">
        <v>97</v>
      </c>
      <c r="V34" s="105">
        <f t="shared" si="2"/>
        <v>2619</v>
      </c>
      <c r="W34" s="94">
        <v>5</v>
      </c>
      <c r="X34" s="94" t="s">
        <v>46</v>
      </c>
      <c r="Y34" s="94" t="s">
        <v>84</v>
      </c>
      <c r="Z34" s="94" t="s">
        <v>90</v>
      </c>
      <c r="AA34" s="94" t="s">
        <v>69</v>
      </c>
      <c r="AB34" s="94" t="s">
        <v>158</v>
      </c>
    </row>
    <row r="35" spans="1:28" x14ac:dyDescent="0.15">
      <c r="A35" s="94" t="s">
        <v>51</v>
      </c>
      <c r="B35" s="94" t="s">
        <v>157</v>
      </c>
      <c r="C35" s="94">
        <v>2019</v>
      </c>
      <c r="D35" s="102" t="s">
        <v>253</v>
      </c>
      <c r="E35" s="94" t="s">
        <v>214</v>
      </c>
      <c r="F35" s="94" t="s">
        <v>256</v>
      </c>
      <c r="G35" s="94" t="s">
        <v>42</v>
      </c>
      <c r="H35" s="94" t="s">
        <v>189</v>
      </c>
      <c r="I35" s="94" t="s">
        <v>159</v>
      </c>
      <c r="J35" s="94" t="s">
        <v>104</v>
      </c>
      <c r="K35" s="94" t="s">
        <v>213</v>
      </c>
      <c r="L35" s="94">
        <v>1</v>
      </c>
      <c r="N35" s="94">
        <v>4</v>
      </c>
      <c r="O35" s="94">
        <v>1.05</v>
      </c>
      <c r="P35" s="94">
        <v>1.05</v>
      </c>
      <c r="Q35" s="103">
        <f t="shared" si="0"/>
        <v>1.05</v>
      </c>
      <c r="R35" s="94">
        <v>15.4</v>
      </c>
      <c r="S35" s="94">
        <v>146</v>
      </c>
      <c r="T35" s="104">
        <f t="shared" si="1"/>
        <v>22</v>
      </c>
      <c r="U35" s="94">
        <v>298</v>
      </c>
      <c r="V35" s="105">
        <f t="shared" si="2"/>
        <v>1639</v>
      </c>
      <c r="W35" s="94">
        <v>5</v>
      </c>
      <c r="X35" s="94" t="s">
        <v>46</v>
      </c>
      <c r="Y35" s="94" t="s">
        <v>84</v>
      </c>
      <c r="Z35" s="94" t="s">
        <v>90</v>
      </c>
      <c r="AA35" s="94" t="s">
        <v>69</v>
      </c>
      <c r="AB35" s="94" t="s">
        <v>158</v>
      </c>
    </row>
    <row r="36" spans="1:28" x14ac:dyDescent="0.15">
      <c r="A36" s="94" t="s">
        <v>51</v>
      </c>
      <c r="B36" s="94" t="s">
        <v>157</v>
      </c>
      <c r="C36" s="94">
        <v>2019</v>
      </c>
      <c r="D36" s="102" t="s">
        <v>253</v>
      </c>
      <c r="E36" s="94" t="s">
        <v>214</v>
      </c>
      <c r="F36" s="94" t="s">
        <v>256</v>
      </c>
      <c r="G36" s="94" t="s">
        <v>42</v>
      </c>
      <c r="H36" s="94" t="s">
        <v>189</v>
      </c>
      <c r="I36" s="94" t="s">
        <v>159</v>
      </c>
      <c r="J36" s="94" t="s">
        <v>104</v>
      </c>
      <c r="K36" s="94" t="s">
        <v>213</v>
      </c>
      <c r="L36" s="94">
        <v>2</v>
      </c>
      <c r="N36" s="94">
        <v>4</v>
      </c>
      <c r="O36" s="94">
        <v>1.1000000000000001</v>
      </c>
      <c r="P36" s="94">
        <v>0.95</v>
      </c>
      <c r="Q36" s="103">
        <f t="shared" si="0"/>
        <v>1.0249999999999999</v>
      </c>
      <c r="R36" s="94">
        <v>13.8</v>
      </c>
      <c r="S36" s="94">
        <v>108</v>
      </c>
      <c r="T36" s="104">
        <f t="shared" si="1"/>
        <v>33</v>
      </c>
      <c r="U36" s="94">
        <v>298</v>
      </c>
      <c r="V36" s="105">
        <f t="shared" si="2"/>
        <v>2458.5</v>
      </c>
      <c r="W36" s="94">
        <v>5</v>
      </c>
      <c r="X36" s="94" t="s">
        <v>46</v>
      </c>
      <c r="Y36" s="94" t="s">
        <v>84</v>
      </c>
      <c r="Z36" s="94" t="s">
        <v>90</v>
      </c>
      <c r="AA36" s="94" t="s">
        <v>69</v>
      </c>
      <c r="AB36" s="94" t="s">
        <v>158</v>
      </c>
    </row>
    <row r="37" spans="1:28" x14ac:dyDescent="0.15">
      <c r="A37" s="94" t="s">
        <v>51</v>
      </c>
      <c r="B37" s="94" t="s">
        <v>157</v>
      </c>
      <c r="C37" s="94">
        <v>2019</v>
      </c>
      <c r="D37" s="102" t="s">
        <v>253</v>
      </c>
      <c r="E37" s="94" t="s">
        <v>214</v>
      </c>
      <c r="F37" s="94" t="s">
        <v>256</v>
      </c>
      <c r="G37" s="94" t="s">
        <v>42</v>
      </c>
      <c r="H37" s="94" t="s">
        <v>189</v>
      </c>
      <c r="I37" s="94" t="s">
        <v>159</v>
      </c>
      <c r="J37" s="94" t="s">
        <v>104</v>
      </c>
      <c r="K37" s="94" t="s">
        <v>213</v>
      </c>
      <c r="L37" s="94">
        <v>3</v>
      </c>
      <c r="N37" s="94">
        <v>4</v>
      </c>
      <c r="O37" s="94">
        <v>1</v>
      </c>
      <c r="P37" s="94">
        <v>1</v>
      </c>
      <c r="Q37" s="103">
        <f t="shared" si="0"/>
        <v>1</v>
      </c>
      <c r="R37" s="94">
        <v>14.6</v>
      </c>
      <c r="S37" s="94">
        <v>138</v>
      </c>
      <c r="T37" s="104">
        <f t="shared" si="1"/>
        <v>22</v>
      </c>
      <c r="U37" s="94">
        <v>298</v>
      </c>
      <c r="V37" s="105">
        <f t="shared" si="2"/>
        <v>1639</v>
      </c>
      <c r="W37" s="94">
        <v>5</v>
      </c>
      <c r="X37" s="94" t="s">
        <v>46</v>
      </c>
      <c r="Y37" s="94" t="s">
        <v>84</v>
      </c>
      <c r="Z37" s="94" t="s">
        <v>90</v>
      </c>
      <c r="AA37" s="94" t="s">
        <v>69</v>
      </c>
      <c r="AB37" s="94" t="s">
        <v>158</v>
      </c>
    </row>
    <row r="38" spans="1:28" x14ac:dyDescent="0.15">
      <c r="A38" s="94" t="s">
        <v>51</v>
      </c>
      <c r="B38" s="94" t="s">
        <v>157</v>
      </c>
      <c r="C38" s="94">
        <v>2019</v>
      </c>
      <c r="D38" s="102" t="s">
        <v>253</v>
      </c>
      <c r="E38" s="94" t="s">
        <v>264</v>
      </c>
      <c r="F38" s="94" t="s">
        <v>256</v>
      </c>
      <c r="G38" s="94" t="s">
        <v>42</v>
      </c>
      <c r="H38" s="94" t="s">
        <v>163</v>
      </c>
      <c r="I38" s="94" t="s">
        <v>159</v>
      </c>
      <c r="J38" s="94" t="s">
        <v>38</v>
      </c>
      <c r="K38" s="94" t="s">
        <v>160</v>
      </c>
      <c r="L38" s="94">
        <v>1</v>
      </c>
      <c r="N38" s="94">
        <v>4</v>
      </c>
      <c r="O38" s="94">
        <v>0.75</v>
      </c>
      <c r="P38" s="94">
        <v>0.75</v>
      </c>
      <c r="Q38" s="103">
        <f t="shared" si="0"/>
        <v>0.75</v>
      </c>
      <c r="R38" s="94">
        <v>15.2</v>
      </c>
      <c r="S38" s="94">
        <v>92</v>
      </c>
      <c r="T38" s="104">
        <f t="shared" si="1"/>
        <v>36</v>
      </c>
      <c r="U38" s="94">
        <v>398</v>
      </c>
      <c r="V38" s="105">
        <f t="shared" si="2"/>
        <v>3582</v>
      </c>
      <c r="W38" s="94">
        <v>4</v>
      </c>
      <c r="X38" s="94" t="s">
        <v>39</v>
      </c>
      <c r="Y38" s="94" t="s">
        <v>84</v>
      </c>
      <c r="Z38" s="94" t="s">
        <v>90</v>
      </c>
      <c r="AA38" s="94" t="s">
        <v>69</v>
      </c>
      <c r="AB38" s="94" t="s">
        <v>158</v>
      </c>
    </row>
    <row r="39" spans="1:28" x14ac:dyDescent="0.15">
      <c r="A39" s="94" t="s">
        <v>51</v>
      </c>
      <c r="B39" s="94" t="s">
        <v>157</v>
      </c>
      <c r="C39" s="94">
        <v>2019</v>
      </c>
      <c r="D39" s="102" t="s">
        <v>253</v>
      </c>
      <c r="E39" s="94" t="s">
        <v>264</v>
      </c>
      <c r="F39" s="94" t="s">
        <v>256</v>
      </c>
      <c r="G39" s="94" t="s">
        <v>42</v>
      </c>
      <c r="H39" s="94" t="s">
        <v>163</v>
      </c>
      <c r="I39" s="94" t="s">
        <v>159</v>
      </c>
      <c r="J39" s="94" t="s">
        <v>38</v>
      </c>
      <c r="K39" s="94" t="s">
        <v>160</v>
      </c>
      <c r="L39" s="94">
        <v>2</v>
      </c>
      <c r="N39" s="94">
        <v>4</v>
      </c>
      <c r="O39" s="94">
        <v>0.75</v>
      </c>
      <c r="P39" s="94">
        <v>0.7</v>
      </c>
      <c r="Q39" s="103">
        <f t="shared" si="0"/>
        <v>0.72499999999999998</v>
      </c>
      <c r="R39" s="94">
        <v>15.9</v>
      </c>
      <c r="S39" s="94">
        <v>102</v>
      </c>
      <c r="T39" s="104">
        <f t="shared" si="1"/>
        <v>33</v>
      </c>
      <c r="U39" s="94">
        <v>398</v>
      </c>
      <c r="V39" s="105">
        <f t="shared" si="2"/>
        <v>3283.5</v>
      </c>
      <c r="W39" s="94">
        <v>4</v>
      </c>
      <c r="X39" s="94" t="s">
        <v>39</v>
      </c>
      <c r="Y39" s="94" t="s">
        <v>84</v>
      </c>
      <c r="Z39" s="94" t="s">
        <v>90</v>
      </c>
      <c r="AA39" s="94" t="s">
        <v>69</v>
      </c>
      <c r="AB39" s="94" t="s">
        <v>158</v>
      </c>
    </row>
    <row r="40" spans="1:28" x14ac:dyDescent="0.15">
      <c r="A40" s="94" t="s">
        <v>51</v>
      </c>
      <c r="B40" s="94" t="s">
        <v>157</v>
      </c>
      <c r="C40" s="94">
        <v>2019</v>
      </c>
      <c r="D40" s="102" t="s">
        <v>253</v>
      </c>
      <c r="E40" s="94" t="s">
        <v>264</v>
      </c>
      <c r="F40" s="94" t="s">
        <v>256</v>
      </c>
      <c r="G40" s="94" t="s">
        <v>42</v>
      </c>
      <c r="H40" s="94" t="s">
        <v>163</v>
      </c>
      <c r="I40" s="94" t="s">
        <v>159</v>
      </c>
      <c r="J40" s="94" t="s">
        <v>38</v>
      </c>
      <c r="K40" s="94" t="s">
        <v>160</v>
      </c>
      <c r="L40" s="94">
        <v>3</v>
      </c>
      <c r="N40" s="94">
        <v>4</v>
      </c>
      <c r="O40" s="94">
        <v>0.8</v>
      </c>
      <c r="P40" s="94">
        <v>0.7</v>
      </c>
      <c r="Q40" s="103">
        <f t="shared" si="0"/>
        <v>0.75</v>
      </c>
      <c r="R40" s="94">
        <v>15.5</v>
      </c>
      <c r="S40" s="94">
        <v>97</v>
      </c>
      <c r="T40" s="104">
        <f t="shared" si="1"/>
        <v>36</v>
      </c>
      <c r="U40" s="94">
        <v>398</v>
      </c>
      <c r="V40" s="105">
        <f t="shared" si="2"/>
        <v>3582</v>
      </c>
      <c r="W40" s="94">
        <v>4</v>
      </c>
      <c r="X40" s="94" t="s">
        <v>39</v>
      </c>
      <c r="Y40" s="94" t="s">
        <v>84</v>
      </c>
      <c r="Z40" s="94" t="s">
        <v>90</v>
      </c>
      <c r="AA40" s="94" t="s">
        <v>69</v>
      </c>
      <c r="AB40" s="94" t="s">
        <v>158</v>
      </c>
    </row>
    <row r="41" spans="1:28" x14ac:dyDescent="0.15">
      <c r="A41" s="94" t="s">
        <v>51</v>
      </c>
      <c r="B41" s="94" t="s">
        <v>157</v>
      </c>
      <c r="C41" s="94">
        <v>2019</v>
      </c>
      <c r="D41" s="102" t="s">
        <v>253</v>
      </c>
      <c r="E41" s="94" t="s">
        <v>264</v>
      </c>
      <c r="F41" s="94" t="s">
        <v>256</v>
      </c>
      <c r="G41" s="94" t="s">
        <v>42</v>
      </c>
      <c r="H41" s="94" t="s">
        <v>189</v>
      </c>
      <c r="I41" s="94" t="s">
        <v>159</v>
      </c>
      <c r="J41" s="94" t="s">
        <v>226</v>
      </c>
      <c r="K41" s="94" t="s">
        <v>105</v>
      </c>
      <c r="L41" s="94">
        <v>1</v>
      </c>
      <c r="N41" s="94">
        <v>5</v>
      </c>
      <c r="O41" s="94">
        <v>1.1000000000000001</v>
      </c>
      <c r="P41" s="94">
        <v>1.1499999999999999</v>
      </c>
      <c r="Q41" s="103">
        <f t="shared" si="0"/>
        <v>1.125</v>
      </c>
      <c r="R41" s="94">
        <v>14.3</v>
      </c>
      <c r="S41" s="94">
        <v>83</v>
      </c>
      <c r="T41" s="104">
        <f t="shared" si="1"/>
        <v>39</v>
      </c>
      <c r="U41" s="94">
        <v>498</v>
      </c>
      <c r="V41" s="105">
        <f t="shared" si="2"/>
        <v>3884.3999999999996</v>
      </c>
      <c r="W41" s="94">
        <v>4</v>
      </c>
      <c r="X41" s="94" t="s">
        <v>39</v>
      </c>
      <c r="Y41" s="94" t="s">
        <v>84</v>
      </c>
      <c r="Z41" s="94" t="s">
        <v>90</v>
      </c>
      <c r="AA41" s="94" t="s">
        <v>69</v>
      </c>
      <c r="AB41" s="94" t="s">
        <v>158</v>
      </c>
    </row>
    <row r="42" spans="1:28" x14ac:dyDescent="0.15">
      <c r="A42" s="94" t="s">
        <v>51</v>
      </c>
      <c r="B42" s="94" t="s">
        <v>157</v>
      </c>
      <c r="C42" s="94">
        <v>2019</v>
      </c>
      <c r="D42" s="102" t="s">
        <v>253</v>
      </c>
      <c r="E42" s="94" t="s">
        <v>264</v>
      </c>
      <c r="F42" s="94" t="s">
        <v>256</v>
      </c>
      <c r="G42" s="94" t="s">
        <v>42</v>
      </c>
      <c r="H42" s="94" t="s">
        <v>189</v>
      </c>
      <c r="I42" s="94" t="s">
        <v>159</v>
      </c>
      <c r="J42" s="94" t="s">
        <v>226</v>
      </c>
      <c r="K42" s="94" t="s">
        <v>105</v>
      </c>
      <c r="L42" s="94">
        <v>2</v>
      </c>
      <c r="N42" s="94">
        <v>5</v>
      </c>
      <c r="O42" s="94">
        <v>1.3</v>
      </c>
      <c r="P42" s="94">
        <v>1.25</v>
      </c>
      <c r="Q42" s="103">
        <f t="shared" si="0"/>
        <v>1.2749999999999999</v>
      </c>
      <c r="R42" s="94">
        <v>14.1</v>
      </c>
      <c r="S42" s="94">
        <v>83</v>
      </c>
      <c r="T42" s="104">
        <f t="shared" si="1"/>
        <v>39</v>
      </c>
      <c r="U42" s="94">
        <v>498</v>
      </c>
      <c r="V42" s="105">
        <f t="shared" si="2"/>
        <v>3884.3999999999996</v>
      </c>
      <c r="W42" s="94">
        <v>4</v>
      </c>
      <c r="X42" s="94" t="s">
        <v>39</v>
      </c>
      <c r="Y42" s="94" t="s">
        <v>84</v>
      </c>
      <c r="Z42" s="94" t="s">
        <v>90</v>
      </c>
      <c r="AA42" s="94" t="s">
        <v>69</v>
      </c>
      <c r="AB42" s="94" t="s">
        <v>158</v>
      </c>
    </row>
    <row r="43" spans="1:28" x14ac:dyDescent="0.15">
      <c r="A43" s="94" t="s">
        <v>51</v>
      </c>
      <c r="B43" s="94" t="s">
        <v>157</v>
      </c>
      <c r="C43" s="94">
        <v>2019</v>
      </c>
      <c r="D43" s="102" t="s">
        <v>253</v>
      </c>
      <c r="E43" s="94" t="s">
        <v>264</v>
      </c>
      <c r="F43" s="94" t="s">
        <v>256</v>
      </c>
      <c r="G43" s="94" t="s">
        <v>42</v>
      </c>
      <c r="H43" s="94" t="s">
        <v>189</v>
      </c>
      <c r="I43" s="94" t="s">
        <v>159</v>
      </c>
      <c r="J43" s="94" t="s">
        <v>226</v>
      </c>
      <c r="K43" s="94" t="s">
        <v>105</v>
      </c>
      <c r="L43" s="94">
        <v>3</v>
      </c>
      <c r="N43" s="94">
        <v>5</v>
      </c>
      <c r="O43" s="94">
        <v>1.4</v>
      </c>
      <c r="P43" s="94">
        <v>1.3</v>
      </c>
      <c r="Q43" s="103">
        <f t="shared" si="0"/>
        <v>1.35</v>
      </c>
      <c r="R43" s="94">
        <v>15.7</v>
      </c>
      <c r="S43" s="94">
        <v>84</v>
      </c>
      <c r="T43" s="104">
        <f t="shared" si="1"/>
        <v>36</v>
      </c>
      <c r="U43" s="94">
        <v>498</v>
      </c>
      <c r="V43" s="105">
        <f t="shared" si="2"/>
        <v>3585.6</v>
      </c>
      <c r="W43" s="94">
        <v>4</v>
      </c>
      <c r="X43" s="94" t="s">
        <v>39</v>
      </c>
      <c r="Y43" s="94" t="s">
        <v>84</v>
      </c>
      <c r="Z43" s="94" t="s">
        <v>90</v>
      </c>
      <c r="AA43" s="94" t="s">
        <v>69</v>
      </c>
      <c r="AB43" s="94" t="s">
        <v>158</v>
      </c>
    </row>
    <row r="44" spans="1:28" x14ac:dyDescent="0.15">
      <c r="A44" s="94" t="s">
        <v>51</v>
      </c>
      <c r="B44" s="94" t="s">
        <v>157</v>
      </c>
      <c r="C44" s="94">
        <v>2019</v>
      </c>
      <c r="D44" s="102" t="s">
        <v>253</v>
      </c>
      <c r="E44" s="94" t="s">
        <v>259</v>
      </c>
      <c r="F44" s="94" t="s">
        <v>260</v>
      </c>
      <c r="G44" s="94" t="s">
        <v>42</v>
      </c>
      <c r="H44" s="94" t="s">
        <v>163</v>
      </c>
      <c r="I44" s="94" t="s">
        <v>159</v>
      </c>
      <c r="J44" s="94" t="s">
        <v>38</v>
      </c>
      <c r="K44" s="94" t="s">
        <v>160</v>
      </c>
      <c r="L44" s="94">
        <v>1</v>
      </c>
      <c r="N44" s="94">
        <v>1</v>
      </c>
      <c r="O44" s="94">
        <v>0.8</v>
      </c>
      <c r="P44" s="94">
        <v>0.7</v>
      </c>
      <c r="Q44" s="103">
        <f t="shared" si="0"/>
        <v>0.75</v>
      </c>
      <c r="R44" s="94">
        <v>14.5</v>
      </c>
      <c r="S44" s="94">
        <v>118</v>
      </c>
      <c r="T44" s="104">
        <f t="shared" si="1"/>
        <v>30</v>
      </c>
      <c r="U44" s="94">
        <v>158</v>
      </c>
      <c r="V44" s="105">
        <f t="shared" si="2"/>
        <v>4740</v>
      </c>
      <c r="W44" s="94">
        <v>3</v>
      </c>
      <c r="X44" s="94" t="s">
        <v>39</v>
      </c>
      <c r="Y44" s="94" t="s">
        <v>84</v>
      </c>
      <c r="Z44" s="94" t="s">
        <v>40</v>
      </c>
      <c r="AA44" s="94" t="s">
        <v>69</v>
      </c>
      <c r="AB44" s="94" t="s">
        <v>158</v>
      </c>
    </row>
    <row r="45" spans="1:28" x14ac:dyDescent="0.15">
      <c r="A45" s="94" t="s">
        <v>51</v>
      </c>
      <c r="B45" s="94" t="s">
        <v>157</v>
      </c>
      <c r="C45" s="94">
        <v>2019</v>
      </c>
      <c r="D45" s="102" t="s">
        <v>253</v>
      </c>
      <c r="E45" s="94" t="s">
        <v>259</v>
      </c>
      <c r="F45" s="94" t="s">
        <v>260</v>
      </c>
      <c r="G45" s="94" t="s">
        <v>42</v>
      </c>
      <c r="H45" s="94" t="s">
        <v>163</v>
      </c>
      <c r="I45" s="94" t="s">
        <v>159</v>
      </c>
      <c r="J45" s="94" t="s">
        <v>38</v>
      </c>
      <c r="K45" s="94" t="s">
        <v>160</v>
      </c>
      <c r="L45" s="94">
        <v>2</v>
      </c>
      <c r="N45" s="94">
        <v>1</v>
      </c>
      <c r="O45" s="94">
        <v>0.75</v>
      </c>
      <c r="P45" s="94">
        <v>0.75</v>
      </c>
      <c r="Q45" s="103">
        <f t="shared" si="0"/>
        <v>0.75</v>
      </c>
      <c r="R45" s="94">
        <v>14.7</v>
      </c>
      <c r="S45" s="94">
        <v>120</v>
      </c>
      <c r="T45" s="104">
        <f t="shared" si="1"/>
        <v>30</v>
      </c>
      <c r="U45" s="94">
        <v>158</v>
      </c>
      <c r="V45" s="105">
        <f t="shared" si="2"/>
        <v>4740</v>
      </c>
      <c r="W45" s="94">
        <v>3</v>
      </c>
      <c r="X45" s="94" t="s">
        <v>39</v>
      </c>
      <c r="Y45" s="94" t="s">
        <v>84</v>
      </c>
      <c r="Z45" s="94" t="s">
        <v>40</v>
      </c>
      <c r="AA45" s="94" t="s">
        <v>69</v>
      </c>
      <c r="AB45" s="94" t="s">
        <v>158</v>
      </c>
    </row>
    <row r="46" spans="1:28" x14ac:dyDescent="0.15">
      <c r="A46" s="94" t="s">
        <v>51</v>
      </c>
      <c r="B46" s="94" t="s">
        <v>157</v>
      </c>
      <c r="C46" s="94">
        <v>2019</v>
      </c>
      <c r="D46" s="102" t="s">
        <v>253</v>
      </c>
      <c r="E46" s="94" t="s">
        <v>259</v>
      </c>
      <c r="F46" s="94" t="s">
        <v>260</v>
      </c>
      <c r="G46" s="94" t="s">
        <v>42</v>
      </c>
      <c r="H46" s="94" t="s">
        <v>163</v>
      </c>
      <c r="I46" s="94" t="s">
        <v>159</v>
      </c>
      <c r="J46" s="94" t="s">
        <v>38</v>
      </c>
      <c r="K46" s="94" t="s">
        <v>160</v>
      </c>
      <c r="L46" s="94">
        <v>3</v>
      </c>
      <c r="N46" s="94">
        <v>1</v>
      </c>
      <c r="O46" s="94">
        <v>0.75</v>
      </c>
      <c r="P46" s="94">
        <v>0.7</v>
      </c>
      <c r="Q46" s="103">
        <f t="shared" si="0"/>
        <v>0.72499999999999998</v>
      </c>
      <c r="R46" s="94">
        <v>15</v>
      </c>
      <c r="S46" s="94">
        <v>124</v>
      </c>
      <c r="T46" s="104">
        <f t="shared" si="1"/>
        <v>27</v>
      </c>
      <c r="U46" s="94">
        <v>158</v>
      </c>
      <c r="V46" s="105">
        <f t="shared" si="2"/>
        <v>4266</v>
      </c>
      <c r="W46" s="94">
        <v>3</v>
      </c>
      <c r="X46" s="94" t="s">
        <v>39</v>
      </c>
      <c r="Y46" s="94" t="s">
        <v>84</v>
      </c>
      <c r="Z46" s="94" t="s">
        <v>40</v>
      </c>
      <c r="AA46" s="94" t="s">
        <v>69</v>
      </c>
      <c r="AB46" s="94" t="s">
        <v>158</v>
      </c>
    </row>
    <row r="47" spans="1:28" x14ac:dyDescent="0.15">
      <c r="A47" s="94" t="s">
        <v>51</v>
      </c>
      <c r="B47" s="94" t="s">
        <v>157</v>
      </c>
      <c r="C47" s="94">
        <v>2019</v>
      </c>
      <c r="D47" s="102" t="s">
        <v>253</v>
      </c>
      <c r="E47" s="94" t="s">
        <v>259</v>
      </c>
      <c r="F47" s="94" t="s">
        <v>260</v>
      </c>
      <c r="G47" s="94" t="s">
        <v>42</v>
      </c>
      <c r="H47" s="94" t="s">
        <v>189</v>
      </c>
      <c r="I47" s="94" t="s">
        <v>159</v>
      </c>
      <c r="J47" s="94" t="s">
        <v>104</v>
      </c>
      <c r="K47" s="94" t="s">
        <v>213</v>
      </c>
      <c r="L47" s="94">
        <v>1</v>
      </c>
      <c r="N47" s="94">
        <v>1</v>
      </c>
      <c r="O47" s="94">
        <v>1.3</v>
      </c>
      <c r="P47" s="94">
        <v>1.2</v>
      </c>
      <c r="Q47" s="103">
        <f t="shared" si="0"/>
        <v>1.25</v>
      </c>
      <c r="R47" s="94">
        <v>15.4</v>
      </c>
      <c r="S47" s="94">
        <v>126</v>
      </c>
      <c r="T47" s="104">
        <f t="shared" si="1"/>
        <v>27</v>
      </c>
      <c r="U47" s="94">
        <v>158</v>
      </c>
      <c r="V47" s="105">
        <f t="shared" si="2"/>
        <v>4266</v>
      </c>
      <c r="W47" s="94">
        <v>3</v>
      </c>
      <c r="X47" s="94" t="s">
        <v>39</v>
      </c>
      <c r="Y47" s="94" t="s">
        <v>84</v>
      </c>
      <c r="Z47" s="94" t="s">
        <v>40</v>
      </c>
      <c r="AA47" s="94" t="s">
        <v>69</v>
      </c>
      <c r="AB47" s="94" t="s">
        <v>158</v>
      </c>
    </row>
    <row r="48" spans="1:28" x14ac:dyDescent="0.15">
      <c r="A48" s="94" t="s">
        <v>51</v>
      </c>
      <c r="B48" s="94" t="s">
        <v>157</v>
      </c>
      <c r="C48" s="94">
        <v>2019</v>
      </c>
      <c r="D48" s="102" t="s">
        <v>253</v>
      </c>
      <c r="E48" s="94" t="s">
        <v>259</v>
      </c>
      <c r="F48" s="94" t="s">
        <v>260</v>
      </c>
      <c r="G48" s="94" t="s">
        <v>42</v>
      </c>
      <c r="H48" s="94" t="s">
        <v>189</v>
      </c>
      <c r="I48" s="94" t="s">
        <v>159</v>
      </c>
      <c r="J48" s="94" t="s">
        <v>104</v>
      </c>
      <c r="K48" s="94" t="s">
        <v>213</v>
      </c>
      <c r="L48" s="94">
        <v>2</v>
      </c>
      <c r="N48" s="94">
        <v>1</v>
      </c>
      <c r="O48" s="94">
        <v>1.1000000000000001</v>
      </c>
      <c r="P48" s="94">
        <v>1.25</v>
      </c>
      <c r="Q48" s="103">
        <f t="shared" si="0"/>
        <v>1.175</v>
      </c>
      <c r="R48" s="94">
        <v>15.5</v>
      </c>
      <c r="S48" s="94">
        <v>118</v>
      </c>
      <c r="T48" s="104">
        <f t="shared" si="1"/>
        <v>30</v>
      </c>
      <c r="U48" s="94">
        <v>158</v>
      </c>
      <c r="V48" s="105">
        <f t="shared" si="2"/>
        <v>4740</v>
      </c>
      <c r="W48" s="94">
        <v>3</v>
      </c>
      <c r="X48" s="94" t="s">
        <v>39</v>
      </c>
      <c r="Y48" s="94" t="s">
        <v>84</v>
      </c>
      <c r="Z48" s="94" t="s">
        <v>40</v>
      </c>
      <c r="AA48" s="94" t="s">
        <v>69</v>
      </c>
      <c r="AB48" s="94" t="s">
        <v>158</v>
      </c>
    </row>
    <row r="49" spans="1:28" x14ac:dyDescent="0.15">
      <c r="A49" s="94" t="s">
        <v>51</v>
      </c>
      <c r="B49" s="94" t="s">
        <v>157</v>
      </c>
      <c r="C49" s="94">
        <v>2019</v>
      </c>
      <c r="D49" s="102" t="s">
        <v>253</v>
      </c>
      <c r="E49" s="94" t="s">
        <v>259</v>
      </c>
      <c r="F49" s="94" t="s">
        <v>260</v>
      </c>
      <c r="G49" s="94" t="s">
        <v>42</v>
      </c>
      <c r="H49" s="94" t="s">
        <v>189</v>
      </c>
      <c r="I49" s="94" t="s">
        <v>159</v>
      </c>
      <c r="J49" s="94" t="s">
        <v>104</v>
      </c>
      <c r="K49" s="94" t="s">
        <v>213</v>
      </c>
      <c r="L49" s="94">
        <v>3</v>
      </c>
      <c r="N49" s="94">
        <v>1</v>
      </c>
      <c r="O49" s="94">
        <v>1.1499999999999999</v>
      </c>
      <c r="P49" s="94">
        <v>1.1000000000000001</v>
      </c>
      <c r="Q49" s="103">
        <f t="shared" si="0"/>
        <v>1.125</v>
      </c>
      <c r="R49" s="94">
        <v>15.8</v>
      </c>
      <c r="S49" s="94">
        <v>120</v>
      </c>
      <c r="T49" s="104">
        <f t="shared" si="1"/>
        <v>30</v>
      </c>
      <c r="U49" s="94">
        <v>158</v>
      </c>
      <c r="V49" s="105">
        <f t="shared" si="2"/>
        <v>4740</v>
      </c>
      <c r="W49" s="94">
        <v>3</v>
      </c>
      <c r="X49" s="94" t="s">
        <v>39</v>
      </c>
      <c r="Y49" s="94" t="s">
        <v>84</v>
      </c>
      <c r="Z49" s="94" t="s">
        <v>40</v>
      </c>
      <c r="AA49" s="94" t="s">
        <v>69</v>
      </c>
      <c r="AB49" s="94" t="s">
        <v>158</v>
      </c>
    </row>
    <row r="50" spans="1:28" x14ac:dyDescent="0.15">
      <c r="A50" s="94" t="s">
        <v>51</v>
      </c>
      <c r="B50" s="94" t="s">
        <v>157</v>
      </c>
      <c r="C50" s="94">
        <v>2019</v>
      </c>
      <c r="D50" s="102" t="s">
        <v>253</v>
      </c>
      <c r="E50" s="94" t="s">
        <v>261</v>
      </c>
      <c r="F50" s="94" t="s">
        <v>255</v>
      </c>
      <c r="G50" s="94" t="s">
        <v>36</v>
      </c>
      <c r="H50" s="94" t="s">
        <v>189</v>
      </c>
      <c r="I50" s="94" t="s">
        <v>159</v>
      </c>
      <c r="J50" s="94" t="s">
        <v>58</v>
      </c>
      <c r="K50" s="94" t="s">
        <v>59</v>
      </c>
      <c r="L50" s="94">
        <v>1</v>
      </c>
      <c r="N50" s="94">
        <v>7</v>
      </c>
      <c r="O50" s="94">
        <v>1.35</v>
      </c>
      <c r="P50" s="94">
        <v>0.95</v>
      </c>
      <c r="Q50" s="103">
        <f t="shared" si="0"/>
        <v>1.1499999999999999</v>
      </c>
      <c r="R50" s="94">
        <v>13.2</v>
      </c>
      <c r="S50" s="94">
        <v>78</v>
      </c>
      <c r="T50" s="104">
        <f t="shared" si="1"/>
        <v>39</v>
      </c>
      <c r="U50" s="94">
        <v>498</v>
      </c>
      <c r="V50" s="105">
        <f t="shared" si="2"/>
        <v>2774.5714285714284</v>
      </c>
      <c r="W50" s="94">
        <v>2</v>
      </c>
      <c r="X50" s="94" t="s">
        <v>46</v>
      </c>
      <c r="Y50" s="94" t="s">
        <v>84</v>
      </c>
      <c r="Z50" s="94" t="s">
        <v>40</v>
      </c>
      <c r="AA50" s="94" t="s">
        <v>69</v>
      </c>
      <c r="AB50" s="94" t="s">
        <v>158</v>
      </c>
    </row>
    <row r="51" spans="1:28" x14ac:dyDescent="0.15">
      <c r="A51" s="94" t="s">
        <v>51</v>
      </c>
      <c r="B51" s="94" t="s">
        <v>157</v>
      </c>
      <c r="C51" s="94">
        <v>2019</v>
      </c>
      <c r="D51" s="102" t="s">
        <v>253</v>
      </c>
      <c r="E51" s="94" t="s">
        <v>261</v>
      </c>
      <c r="F51" s="94" t="s">
        <v>255</v>
      </c>
      <c r="G51" s="94" t="s">
        <v>36</v>
      </c>
      <c r="H51" s="94" t="s">
        <v>189</v>
      </c>
      <c r="I51" s="94" t="s">
        <v>159</v>
      </c>
      <c r="J51" s="94" t="s">
        <v>58</v>
      </c>
      <c r="K51" s="94" t="s">
        <v>59</v>
      </c>
      <c r="L51" s="94">
        <v>2</v>
      </c>
      <c r="N51" s="94">
        <v>7</v>
      </c>
      <c r="O51" s="94">
        <v>1.25</v>
      </c>
      <c r="P51" s="94">
        <v>1.35</v>
      </c>
      <c r="Q51" s="103">
        <f t="shared" si="0"/>
        <v>1.3</v>
      </c>
      <c r="R51" s="94">
        <v>13.1</v>
      </c>
      <c r="S51" s="94">
        <v>81</v>
      </c>
      <c r="T51" s="104">
        <f t="shared" si="1"/>
        <v>39</v>
      </c>
      <c r="U51" s="94">
        <v>498</v>
      </c>
      <c r="V51" s="105">
        <f t="shared" si="2"/>
        <v>2774.5714285714284</v>
      </c>
      <c r="W51" s="94">
        <v>2</v>
      </c>
      <c r="X51" s="94" t="s">
        <v>46</v>
      </c>
      <c r="Y51" s="94" t="s">
        <v>84</v>
      </c>
      <c r="Z51" s="94" t="s">
        <v>40</v>
      </c>
      <c r="AA51" s="94" t="s">
        <v>69</v>
      </c>
      <c r="AB51" s="94" t="s">
        <v>158</v>
      </c>
    </row>
    <row r="52" spans="1:28" x14ac:dyDescent="0.15">
      <c r="A52" s="94" t="s">
        <v>51</v>
      </c>
      <c r="B52" s="94" t="s">
        <v>157</v>
      </c>
      <c r="C52" s="94">
        <v>2019</v>
      </c>
      <c r="D52" s="102" t="s">
        <v>253</v>
      </c>
      <c r="E52" s="94" t="s">
        <v>261</v>
      </c>
      <c r="F52" s="94" t="s">
        <v>255</v>
      </c>
      <c r="G52" s="94" t="s">
        <v>36</v>
      </c>
      <c r="H52" s="94" t="s">
        <v>189</v>
      </c>
      <c r="I52" s="94" t="s">
        <v>159</v>
      </c>
      <c r="J52" s="94" t="s">
        <v>58</v>
      </c>
      <c r="K52" s="94" t="s">
        <v>59</v>
      </c>
      <c r="L52" s="94">
        <v>3</v>
      </c>
      <c r="N52" s="94">
        <v>7</v>
      </c>
      <c r="O52" s="94">
        <v>0.85</v>
      </c>
      <c r="P52" s="94">
        <v>0.9</v>
      </c>
      <c r="Q52" s="103">
        <f t="shared" si="0"/>
        <v>0.875</v>
      </c>
      <c r="R52" s="94">
        <v>12.7</v>
      </c>
      <c r="S52" s="94">
        <v>82</v>
      </c>
      <c r="T52" s="104">
        <f t="shared" si="1"/>
        <v>39</v>
      </c>
      <c r="U52" s="94">
        <v>498</v>
      </c>
      <c r="V52" s="105">
        <f t="shared" si="2"/>
        <v>2774.5714285714284</v>
      </c>
      <c r="W52" s="94">
        <v>2</v>
      </c>
      <c r="X52" s="94" t="s">
        <v>46</v>
      </c>
      <c r="Y52" s="94" t="s">
        <v>84</v>
      </c>
      <c r="Z52" s="94" t="s">
        <v>40</v>
      </c>
      <c r="AA52" s="94" t="s">
        <v>69</v>
      </c>
      <c r="AB52" s="94" t="s">
        <v>158</v>
      </c>
    </row>
    <row r="53" spans="1:28" x14ac:dyDescent="0.15">
      <c r="A53" s="94" t="s">
        <v>51</v>
      </c>
      <c r="B53" s="94" t="s">
        <v>157</v>
      </c>
      <c r="C53" s="94">
        <v>2019</v>
      </c>
      <c r="D53" s="102" t="s">
        <v>253</v>
      </c>
      <c r="E53" s="94" t="s">
        <v>265</v>
      </c>
      <c r="F53" s="94" t="s">
        <v>266</v>
      </c>
      <c r="G53" s="94" t="s">
        <v>36</v>
      </c>
      <c r="H53" s="94" t="s">
        <v>163</v>
      </c>
      <c r="I53" s="94" t="s">
        <v>159</v>
      </c>
      <c r="J53" s="94" t="s">
        <v>38</v>
      </c>
      <c r="K53" s="94" t="s">
        <v>160</v>
      </c>
      <c r="L53" s="94">
        <v>1</v>
      </c>
      <c r="N53" s="94">
        <v>1</v>
      </c>
      <c r="O53" s="94">
        <v>0.7</v>
      </c>
      <c r="P53" s="94">
        <v>0.75</v>
      </c>
      <c r="Q53" s="103">
        <f t="shared" si="0"/>
        <v>0.72499999999999998</v>
      </c>
      <c r="R53" s="94">
        <v>15.3</v>
      </c>
      <c r="S53" s="94">
        <v>108</v>
      </c>
      <c r="T53" s="104">
        <f t="shared" si="1"/>
        <v>33</v>
      </c>
      <c r="U53" s="94">
        <v>98</v>
      </c>
      <c r="V53" s="105">
        <f t="shared" si="2"/>
        <v>3234</v>
      </c>
      <c r="W53" s="94">
        <v>4</v>
      </c>
      <c r="X53" s="94" t="s">
        <v>39</v>
      </c>
      <c r="Y53" s="94" t="s">
        <v>84</v>
      </c>
      <c r="Z53" s="94" t="s">
        <v>40</v>
      </c>
      <c r="AA53" s="94" t="s">
        <v>69</v>
      </c>
      <c r="AB53" s="94" t="s">
        <v>158</v>
      </c>
    </row>
    <row r="54" spans="1:28" x14ac:dyDescent="0.15">
      <c r="A54" s="94" t="s">
        <v>51</v>
      </c>
      <c r="B54" s="94" t="s">
        <v>157</v>
      </c>
      <c r="C54" s="94">
        <v>2019</v>
      </c>
      <c r="D54" s="102" t="s">
        <v>253</v>
      </c>
      <c r="E54" s="94" t="s">
        <v>265</v>
      </c>
      <c r="F54" s="94" t="s">
        <v>266</v>
      </c>
      <c r="G54" s="94" t="s">
        <v>36</v>
      </c>
      <c r="H54" s="94" t="s">
        <v>163</v>
      </c>
      <c r="I54" s="94" t="s">
        <v>159</v>
      </c>
      <c r="J54" s="94" t="s">
        <v>38</v>
      </c>
      <c r="K54" s="94" t="s">
        <v>160</v>
      </c>
      <c r="L54" s="94">
        <v>2</v>
      </c>
      <c r="N54" s="94">
        <v>1</v>
      </c>
      <c r="O54" s="94">
        <v>0.65</v>
      </c>
      <c r="P54" s="94">
        <v>0.75</v>
      </c>
      <c r="Q54" s="103">
        <f t="shared" si="0"/>
        <v>0.7</v>
      </c>
      <c r="R54" s="94">
        <v>15.6</v>
      </c>
      <c r="S54" s="94">
        <v>110</v>
      </c>
      <c r="T54" s="104">
        <f t="shared" si="1"/>
        <v>33</v>
      </c>
      <c r="U54" s="94">
        <v>98</v>
      </c>
      <c r="V54" s="105">
        <f t="shared" si="2"/>
        <v>3234</v>
      </c>
      <c r="W54" s="94">
        <v>4</v>
      </c>
      <c r="X54" s="94" t="s">
        <v>39</v>
      </c>
      <c r="Y54" s="94" t="s">
        <v>84</v>
      </c>
      <c r="Z54" s="94" t="s">
        <v>40</v>
      </c>
      <c r="AA54" s="94" t="s">
        <v>69</v>
      </c>
      <c r="AB54" s="94" t="s">
        <v>158</v>
      </c>
    </row>
    <row r="55" spans="1:28" x14ac:dyDescent="0.15">
      <c r="A55" s="94" t="s">
        <v>51</v>
      </c>
      <c r="B55" s="94" t="s">
        <v>157</v>
      </c>
      <c r="C55" s="94">
        <v>2019</v>
      </c>
      <c r="D55" s="102" t="s">
        <v>253</v>
      </c>
      <c r="E55" s="94" t="s">
        <v>265</v>
      </c>
      <c r="F55" s="94" t="s">
        <v>266</v>
      </c>
      <c r="G55" s="94" t="s">
        <v>36</v>
      </c>
      <c r="H55" s="94" t="s">
        <v>163</v>
      </c>
      <c r="I55" s="94" t="s">
        <v>159</v>
      </c>
      <c r="J55" s="94" t="s">
        <v>38</v>
      </c>
      <c r="K55" s="94" t="s">
        <v>160</v>
      </c>
      <c r="L55" s="94">
        <v>3</v>
      </c>
      <c r="N55" s="94">
        <v>1</v>
      </c>
      <c r="O55" s="94">
        <v>0.7</v>
      </c>
      <c r="P55" s="94">
        <v>0.7</v>
      </c>
      <c r="Q55" s="103">
        <f t="shared" si="0"/>
        <v>0.7</v>
      </c>
      <c r="R55" s="94">
        <v>16.2</v>
      </c>
      <c r="S55" s="94">
        <v>118</v>
      </c>
      <c r="T55" s="104">
        <f t="shared" si="1"/>
        <v>30</v>
      </c>
      <c r="U55" s="94">
        <v>98</v>
      </c>
      <c r="V55" s="105">
        <f t="shared" si="2"/>
        <v>2940</v>
      </c>
      <c r="W55" s="94">
        <v>4</v>
      </c>
      <c r="X55" s="94" t="s">
        <v>39</v>
      </c>
      <c r="Y55" s="94" t="s">
        <v>84</v>
      </c>
      <c r="Z55" s="94" t="s">
        <v>40</v>
      </c>
      <c r="AA55" s="94" t="s">
        <v>69</v>
      </c>
      <c r="AB55" s="94" t="s">
        <v>158</v>
      </c>
    </row>
    <row r="56" spans="1:28" x14ac:dyDescent="0.15">
      <c r="A56" s="94" t="s">
        <v>51</v>
      </c>
      <c r="B56" s="94" t="s">
        <v>157</v>
      </c>
      <c r="C56" s="94">
        <v>2019</v>
      </c>
      <c r="D56" s="102" t="s">
        <v>253</v>
      </c>
      <c r="E56" s="94" t="s">
        <v>265</v>
      </c>
      <c r="F56" s="94" t="s">
        <v>266</v>
      </c>
      <c r="G56" s="94" t="s">
        <v>36</v>
      </c>
      <c r="H56" s="94" t="s">
        <v>164</v>
      </c>
      <c r="I56" s="94" t="s">
        <v>159</v>
      </c>
      <c r="J56" s="94" t="s">
        <v>38</v>
      </c>
      <c r="K56" s="94" t="s">
        <v>54</v>
      </c>
      <c r="L56" s="94">
        <v>1</v>
      </c>
      <c r="N56" s="94">
        <v>2</v>
      </c>
      <c r="O56" s="94">
        <v>0.7</v>
      </c>
      <c r="P56" s="94">
        <v>0.6</v>
      </c>
      <c r="Q56" s="103">
        <f t="shared" si="0"/>
        <v>0.64999999999999991</v>
      </c>
      <c r="R56" s="94">
        <v>16.399999999999999</v>
      </c>
      <c r="S56" s="94">
        <v>162</v>
      </c>
      <c r="T56" s="104">
        <f t="shared" si="1"/>
        <v>22</v>
      </c>
      <c r="U56" s="94">
        <v>498</v>
      </c>
      <c r="V56" s="105">
        <f t="shared" si="2"/>
        <v>5478</v>
      </c>
      <c r="W56" s="94">
        <v>4</v>
      </c>
      <c r="X56" s="94" t="s">
        <v>39</v>
      </c>
      <c r="Y56" s="94" t="s">
        <v>84</v>
      </c>
      <c r="Z56" s="94" t="s">
        <v>40</v>
      </c>
      <c r="AA56" s="94" t="s">
        <v>69</v>
      </c>
      <c r="AB56" s="94" t="s">
        <v>158</v>
      </c>
    </row>
    <row r="57" spans="1:28" x14ac:dyDescent="0.15">
      <c r="A57" s="94" t="s">
        <v>51</v>
      </c>
      <c r="B57" s="94" t="s">
        <v>157</v>
      </c>
      <c r="C57" s="94">
        <v>2019</v>
      </c>
      <c r="D57" s="102" t="s">
        <v>253</v>
      </c>
      <c r="E57" s="94" t="s">
        <v>265</v>
      </c>
      <c r="F57" s="94" t="s">
        <v>266</v>
      </c>
      <c r="G57" s="94" t="s">
        <v>36</v>
      </c>
      <c r="H57" s="94" t="s">
        <v>164</v>
      </c>
      <c r="I57" s="94" t="s">
        <v>159</v>
      </c>
      <c r="J57" s="94" t="s">
        <v>38</v>
      </c>
      <c r="K57" s="94" t="s">
        <v>54</v>
      </c>
      <c r="L57" s="94">
        <v>2</v>
      </c>
      <c r="N57" s="94">
        <v>2</v>
      </c>
      <c r="O57" s="94">
        <v>0.65</v>
      </c>
      <c r="P57" s="94">
        <v>0.6</v>
      </c>
      <c r="Q57" s="103">
        <f t="shared" si="0"/>
        <v>0.625</v>
      </c>
      <c r="R57" s="94">
        <v>15.5</v>
      </c>
      <c r="S57" s="94">
        <v>158</v>
      </c>
      <c r="T57" s="104">
        <f t="shared" si="1"/>
        <v>22</v>
      </c>
      <c r="U57" s="94">
        <v>498</v>
      </c>
      <c r="V57" s="105">
        <f t="shared" si="2"/>
        <v>5478</v>
      </c>
      <c r="W57" s="94">
        <v>4</v>
      </c>
      <c r="X57" s="94" t="s">
        <v>39</v>
      </c>
      <c r="Y57" s="94" t="s">
        <v>84</v>
      </c>
      <c r="Z57" s="94" t="s">
        <v>40</v>
      </c>
      <c r="AA57" s="94" t="s">
        <v>69</v>
      </c>
      <c r="AB57" s="94" t="s">
        <v>158</v>
      </c>
    </row>
    <row r="58" spans="1:28" x14ac:dyDescent="0.15">
      <c r="A58" s="94" t="s">
        <v>51</v>
      </c>
      <c r="B58" s="94" t="s">
        <v>157</v>
      </c>
      <c r="C58" s="94">
        <v>2019</v>
      </c>
      <c r="D58" s="102" t="s">
        <v>253</v>
      </c>
      <c r="E58" s="94" t="s">
        <v>265</v>
      </c>
      <c r="F58" s="94" t="s">
        <v>266</v>
      </c>
      <c r="G58" s="94" t="s">
        <v>36</v>
      </c>
      <c r="H58" s="94" t="s">
        <v>164</v>
      </c>
      <c r="I58" s="94" t="s">
        <v>159</v>
      </c>
      <c r="J58" s="94" t="s">
        <v>38</v>
      </c>
      <c r="K58" s="94" t="s">
        <v>54</v>
      </c>
      <c r="L58" s="94">
        <v>3</v>
      </c>
      <c r="N58" s="94">
        <v>2</v>
      </c>
      <c r="O58" s="94">
        <v>0.55000000000000004</v>
      </c>
      <c r="P58" s="94">
        <v>0.7</v>
      </c>
      <c r="Q58" s="103">
        <f t="shared" si="0"/>
        <v>0.625</v>
      </c>
      <c r="R58" s="94">
        <v>14.9</v>
      </c>
      <c r="S58" s="94">
        <v>134</v>
      </c>
      <c r="T58" s="104">
        <f t="shared" si="1"/>
        <v>27</v>
      </c>
      <c r="U58" s="94">
        <v>498</v>
      </c>
      <c r="V58" s="105">
        <f t="shared" si="2"/>
        <v>6723</v>
      </c>
      <c r="W58" s="94">
        <v>4</v>
      </c>
      <c r="X58" s="94" t="s">
        <v>39</v>
      </c>
      <c r="Y58" s="94" t="s">
        <v>84</v>
      </c>
      <c r="Z58" s="94" t="s">
        <v>40</v>
      </c>
      <c r="AA58" s="94" t="s">
        <v>69</v>
      </c>
      <c r="AB58" s="94" t="s">
        <v>158</v>
      </c>
    </row>
    <row r="59" spans="1:28" x14ac:dyDescent="0.15">
      <c r="A59" s="94" t="s">
        <v>51</v>
      </c>
      <c r="B59" s="94" t="s">
        <v>157</v>
      </c>
      <c r="C59" s="94">
        <v>2019</v>
      </c>
      <c r="D59" s="102" t="s">
        <v>253</v>
      </c>
      <c r="E59" s="94" t="s">
        <v>265</v>
      </c>
      <c r="F59" s="94" t="s">
        <v>266</v>
      </c>
      <c r="G59" s="94" t="s">
        <v>36</v>
      </c>
      <c r="H59" s="94" t="s">
        <v>191</v>
      </c>
      <c r="I59" s="94" t="s">
        <v>159</v>
      </c>
      <c r="J59" s="94" t="s">
        <v>80</v>
      </c>
      <c r="K59" s="94" t="s">
        <v>45</v>
      </c>
      <c r="L59" s="94">
        <v>1</v>
      </c>
      <c r="N59" s="94">
        <v>1</v>
      </c>
      <c r="O59" s="94">
        <v>1.85</v>
      </c>
      <c r="P59" s="94">
        <v>1.7</v>
      </c>
      <c r="Q59" s="103">
        <f t="shared" si="0"/>
        <v>1.7749999999999999</v>
      </c>
      <c r="R59" s="94">
        <v>15.3</v>
      </c>
      <c r="S59" s="94">
        <v>99</v>
      </c>
      <c r="T59" s="104">
        <f t="shared" si="1"/>
        <v>33</v>
      </c>
      <c r="U59" s="94">
        <v>98</v>
      </c>
      <c r="V59" s="105">
        <f t="shared" si="2"/>
        <v>3234</v>
      </c>
      <c r="W59" s="94">
        <v>4</v>
      </c>
      <c r="X59" s="94" t="s">
        <v>39</v>
      </c>
      <c r="Y59" s="94" t="s">
        <v>84</v>
      </c>
      <c r="Z59" s="94" t="s">
        <v>40</v>
      </c>
      <c r="AA59" s="94" t="s">
        <v>69</v>
      </c>
      <c r="AB59" s="94" t="s">
        <v>158</v>
      </c>
    </row>
    <row r="60" spans="1:28" x14ac:dyDescent="0.15">
      <c r="A60" s="94" t="s">
        <v>51</v>
      </c>
      <c r="B60" s="94" t="s">
        <v>157</v>
      </c>
      <c r="C60" s="94">
        <v>2019</v>
      </c>
      <c r="D60" s="102" t="s">
        <v>253</v>
      </c>
      <c r="E60" s="94" t="s">
        <v>265</v>
      </c>
      <c r="F60" s="94" t="s">
        <v>266</v>
      </c>
      <c r="G60" s="94" t="s">
        <v>36</v>
      </c>
      <c r="H60" s="94" t="s">
        <v>191</v>
      </c>
      <c r="I60" s="94" t="s">
        <v>159</v>
      </c>
      <c r="J60" s="94" t="s">
        <v>80</v>
      </c>
      <c r="K60" s="94" t="s">
        <v>45</v>
      </c>
      <c r="L60" s="94">
        <v>2</v>
      </c>
      <c r="N60" s="94">
        <v>1</v>
      </c>
      <c r="O60" s="94">
        <v>1.75</v>
      </c>
      <c r="P60" s="94">
        <v>1.9</v>
      </c>
      <c r="Q60" s="103">
        <f t="shared" si="0"/>
        <v>1.825</v>
      </c>
      <c r="R60" s="94">
        <v>15.5</v>
      </c>
      <c r="S60" s="94">
        <v>100</v>
      </c>
      <c r="T60" s="104">
        <f t="shared" si="1"/>
        <v>33</v>
      </c>
      <c r="U60" s="94">
        <v>98</v>
      </c>
      <c r="V60" s="105">
        <f t="shared" si="2"/>
        <v>3234</v>
      </c>
      <c r="W60" s="94">
        <v>4</v>
      </c>
      <c r="X60" s="94" t="s">
        <v>39</v>
      </c>
      <c r="Y60" s="94" t="s">
        <v>84</v>
      </c>
      <c r="Z60" s="94" t="s">
        <v>40</v>
      </c>
      <c r="AA60" s="94" t="s">
        <v>69</v>
      </c>
      <c r="AB60" s="94" t="s">
        <v>158</v>
      </c>
    </row>
    <row r="61" spans="1:28" x14ac:dyDescent="0.15">
      <c r="A61" s="94" t="s">
        <v>51</v>
      </c>
      <c r="B61" s="94" t="s">
        <v>157</v>
      </c>
      <c r="C61" s="94">
        <v>2019</v>
      </c>
      <c r="D61" s="102" t="s">
        <v>253</v>
      </c>
      <c r="E61" s="94" t="s">
        <v>265</v>
      </c>
      <c r="F61" s="94" t="s">
        <v>266</v>
      </c>
      <c r="G61" s="94" t="s">
        <v>36</v>
      </c>
      <c r="H61" s="94" t="s">
        <v>191</v>
      </c>
      <c r="I61" s="94" t="s">
        <v>159</v>
      </c>
      <c r="J61" s="94" t="s">
        <v>80</v>
      </c>
      <c r="K61" s="94" t="s">
        <v>45</v>
      </c>
      <c r="L61" s="94">
        <v>3</v>
      </c>
      <c r="N61" s="94">
        <v>1</v>
      </c>
      <c r="O61" s="94">
        <v>2</v>
      </c>
      <c r="P61" s="94">
        <v>1.95</v>
      </c>
      <c r="Q61" s="103">
        <f t="shared" si="0"/>
        <v>1.9750000000000001</v>
      </c>
      <c r="R61" s="94">
        <v>14.9</v>
      </c>
      <c r="S61" s="94">
        <v>98</v>
      </c>
      <c r="T61" s="104">
        <f t="shared" si="1"/>
        <v>36</v>
      </c>
      <c r="U61" s="94">
        <v>98</v>
      </c>
      <c r="V61" s="105">
        <f t="shared" si="2"/>
        <v>3528</v>
      </c>
      <c r="W61" s="94">
        <v>4</v>
      </c>
      <c r="X61" s="94" t="s">
        <v>39</v>
      </c>
      <c r="Y61" s="94" t="s">
        <v>84</v>
      </c>
      <c r="Z61" s="94" t="s">
        <v>40</v>
      </c>
      <c r="AA61" s="94" t="s">
        <v>69</v>
      </c>
      <c r="AB61" s="94" t="s">
        <v>158</v>
      </c>
    </row>
    <row r="62" spans="1:28" x14ac:dyDescent="0.15">
      <c r="A62" s="94" t="s">
        <v>51</v>
      </c>
      <c r="B62" s="94" t="s">
        <v>157</v>
      </c>
      <c r="C62" s="94">
        <v>2019</v>
      </c>
      <c r="D62" s="102" t="s">
        <v>253</v>
      </c>
      <c r="E62" s="94" t="s">
        <v>267</v>
      </c>
      <c r="F62" s="94" t="s">
        <v>255</v>
      </c>
      <c r="G62" s="94" t="s">
        <v>42</v>
      </c>
      <c r="H62" s="94" t="s">
        <v>189</v>
      </c>
      <c r="I62" s="94" t="s">
        <v>159</v>
      </c>
      <c r="J62" s="94" t="s">
        <v>58</v>
      </c>
      <c r="K62" s="94" t="s">
        <v>59</v>
      </c>
      <c r="L62" s="94">
        <v>1</v>
      </c>
      <c r="N62" s="94">
        <v>1</v>
      </c>
      <c r="O62" s="94">
        <v>0.95</v>
      </c>
      <c r="P62" s="94">
        <v>1.1000000000000001</v>
      </c>
      <c r="Q62" s="103">
        <f t="shared" si="0"/>
        <v>1.0249999999999999</v>
      </c>
      <c r="R62" s="94">
        <v>14.5</v>
      </c>
      <c r="S62" s="94">
        <v>106</v>
      </c>
      <c r="T62" s="104">
        <f t="shared" si="1"/>
        <v>33</v>
      </c>
      <c r="U62" s="94">
        <v>98</v>
      </c>
      <c r="V62" s="105">
        <f t="shared" si="2"/>
        <v>3234</v>
      </c>
      <c r="W62" s="94">
        <v>2</v>
      </c>
      <c r="X62" s="94" t="s">
        <v>46</v>
      </c>
      <c r="Y62" s="94" t="s">
        <v>84</v>
      </c>
      <c r="Z62" s="94" t="s">
        <v>90</v>
      </c>
      <c r="AA62" s="94" t="s">
        <v>69</v>
      </c>
      <c r="AB62" s="94" t="s">
        <v>158</v>
      </c>
    </row>
    <row r="63" spans="1:28" x14ac:dyDescent="0.15">
      <c r="A63" s="94" t="s">
        <v>51</v>
      </c>
      <c r="B63" s="94" t="s">
        <v>157</v>
      </c>
      <c r="C63" s="94">
        <v>2019</v>
      </c>
      <c r="D63" s="102" t="s">
        <v>253</v>
      </c>
      <c r="E63" s="94" t="s">
        <v>267</v>
      </c>
      <c r="F63" s="94" t="s">
        <v>255</v>
      </c>
      <c r="G63" s="94" t="s">
        <v>42</v>
      </c>
      <c r="H63" s="94" t="s">
        <v>189</v>
      </c>
      <c r="I63" s="94" t="s">
        <v>159</v>
      </c>
      <c r="J63" s="94" t="s">
        <v>58</v>
      </c>
      <c r="K63" s="94" t="s">
        <v>59</v>
      </c>
      <c r="L63" s="94">
        <v>2</v>
      </c>
      <c r="N63" s="94">
        <v>1</v>
      </c>
      <c r="O63" s="94">
        <v>1.05</v>
      </c>
      <c r="P63" s="94">
        <v>1</v>
      </c>
      <c r="Q63" s="103">
        <f t="shared" si="0"/>
        <v>1.0249999999999999</v>
      </c>
      <c r="R63" s="94">
        <v>14.1</v>
      </c>
      <c r="S63" s="94">
        <v>104</v>
      </c>
      <c r="T63" s="104">
        <f t="shared" si="1"/>
        <v>33</v>
      </c>
      <c r="U63" s="94">
        <v>98</v>
      </c>
      <c r="V63" s="105">
        <f t="shared" si="2"/>
        <v>3234</v>
      </c>
      <c r="W63" s="94">
        <v>2</v>
      </c>
      <c r="X63" s="94" t="s">
        <v>46</v>
      </c>
      <c r="Y63" s="94" t="s">
        <v>84</v>
      </c>
      <c r="Z63" s="94" t="s">
        <v>90</v>
      </c>
      <c r="AA63" s="94" t="s">
        <v>69</v>
      </c>
      <c r="AB63" s="94" t="s">
        <v>158</v>
      </c>
    </row>
    <row r="64" spans="1:28" x14ac:dyDescent="0.15">
      <c r="A64" s="94" t="s">
        <v>51</v>
      </c>
      <c r="B64" s="94" t="s">
        <v>157</v>
      </c>
      <c r="C64" s="94">
        <v>2019</v>
      </c>
      <c r="D64" s="102" t="s">
        <v>253</v>
      </c>
      <c r="E64" s="94" t="s">
        <v>267</v>
      </c>
      <c r="F64" s="94" t="s">
        <v>255</v>
      </c>
      <c r="G64" s="94" t="s">
        <v>42</v>
      </c>
      <c r="H64" s="94" t="s">
        <v>189</v>
      </c>
      <c r="I64" s="94" t="s">
        <v>159</v>
      </c>
      <c r="J64" s="94" t="s">
        <v>58</v>
      </c>
      <c r="K64" s="94" t="s">
        <v>59</v>
      </c>
      <c r="L64" s="94">
        <v>3</v>
      </c>
      <c r="N64" s="94">
        <v>1</v>
      </c>
      <c r="O64" s="94">
        <v>1.1000000000000001</v>
      </c>
      <c r="P64" s="94">
        <v>1</v>
      </c>
      <c r="Q64" s="103">
        <f t="shared" si="0"/>
        <v>1.05</v>
      </c>
      <c r="R64" s="94">
        <v>14.2</v>
      </c>
      <c r="S64" s="94">
        <v>102</v>
      </c>
      <c r="T64" s="104">
        <f t="shared" si="1"/>
        <v>33</v>
      </c>
      <c r="U64" s="94">
        <v>98</v>
      </c>
      <c r="V64" s="105">
        <f t="shared" si="2"/>
        <v>3234</v>
      </c>
      <c r="W64" s="94">
        <v>2</v>
      </c>
      <c r="X64" s="94" t="s">
        <v>46</v>
      </c>
      <c r="Y64" s="94" t="s">
        <v>84</v>
      </c>
      <c r="Z64" s="94" t="s">
        <v>90</v>
      </c>
      <c r="AA64" s="94" t="s">
        <v>69</v>
      </c>
      <c r="AB64" s="94" t="s">
        <v>158</v>
      </c>
    </row>
    <row r="65" spans="4:22" x14ac:dyDescent="0.15">
      <c r="D65" s="102"/>
      <c r="Q65" s="104" t="str">
        <f t="shared" si="0"/>
        <v/>
      </c>
      <c r="T65" s="104" t="str">
        <f t="shared" si="1"/>
        <v/>
      </c>
      <c r="V65" s="104" t="str">
        <f t="shared" si="2"/>
        <v/>
      </c>
    </row>
    <row r="66" spans="4:22" x14ac:dyDescent="0.15">
      <c r="D66" s="102"/>
      <c r="Q66" s="104" t="str">
        <f t="shared" ref="Q66:Q85" si="3">IF(OR(O66="",P66=""),"",AVERAGE(O66,P66))</f>
        <v/>
      </c>
      <c r="T66" s="104" t="str">
        <f t="shared" ref="T66:T85" si="4">IF(H66="","",IF(OR(H66="GREEN",H66="GK"),IF(S66&gt;=$AX$2,VLOOKUP(S66,$AX$2:$AY$12,2,1),""),IF(S66&gt;=$AZ$2,VLOOKUP(S66,$AZ$2:$BA$12,2,1),"")))</f>
        <v/>
      </c>
      <c r="V66" s="104" t="str">
        <f t="shared" ref="V66:V85" si="5">IF(OR(N66="",U66="",T66=""),"",U66/N66*T66)</f>
        <v/>
      </c>
    </row>
    <row r="67" spans="4:22" x14ac:dyDescent="0.15">
      <c r="D67" s="102"/>
      <c r="Q67" s="104" t="str">
        <f t="shared" si="3"/>
        <v/>
      </c>
      <c r="T67" s="104" t="str">
        <f t="shared" si="4"/>
        <v/>
      </c>
      <c r="V67" s="104" t="str">
        <f t="shared" si="5"/>
        <v/>
      </c>
    </row>
    <row r="68" spans="4:22" x14ac:dyDescent="0.15">
      <c r="D68" s="102"/>
      <c r="Q68" s="104" t="str">
        <f t="shared" si="3"/>
        <v/>
      </c>
      <c r="T68" s="104" t="str">
        <f t="shared" si="4"/>
        <v/>
      </c>
      <c r="V68" s="104" t="str">
        <f t="shared" si="5"/>
        <v/>
      </c>
    </row>
    <row r="69" spans="4:22" x14ac:dyDescent="0.15">
      <c r="D69" s="102"/>
      <c r="Q69" s="104" t="str">
        <f t="shared" si="3"/>
        <v/>
      </c>
      <c r="T69" s="104" t="str">
        <f t="shared" si="4"/>
        <v/>
      </c>
      <c r="V69" s="104" t="str">
        <f t="shared" si="5"/>
        <v/>
      </c>
    </row>
    <row r="70" spans="4:22" x14ac:dyDescent="0.15">
      <c r="D70" s="102"/>
      <c r="Q70" s="104" t="str">
        <f t="shared" si="3"/>
        <v/>
      </c>
      <c r="T70" s="104" t="str">
        <f t="shared" si="4"/>
        <v/>
      </c>
      <c r="V70" s="104" t="str">
        <f t="shared" si="5"/>
        <v/>
      </c>
    </row>
    <row r="71" spans="4:22" x14ac:dyDescent="0.15">
      <c r="D71" s="102"/>
      <c r="Q71" s="104" t="str">
        <f t="shared" si="3"/>
        <v/>
      </c>
      <c r="T71" s="104" t="str">
        <f t="shared" si="4"/>
        <v/>
      </c>
      <c r="V71" s="104" t="str">
        <f t="shared" si="5"/>
        <v/>
      </c>
    </row>
    <row r="72" spans="4:22" x14ac:dyDescent="0.15">
      <c r="D72" s="102"/>
      <c r="Q72" s="104" t="str">
        <f t="shared" si="3"/>
        <v/>
      </c>
      <c r="T72" s="104" t="str">
        <f t="shared" si="4"/>
        <v/>
      </c>
      <c r="V72" s="104" t="str">
        <f t="shared" si="5"/>
        <v/>
      </c>
    </row>
    <row r="73" spans="4:22" x14ac:dyDescent="0.15">
      <c r="D73" s="102"/>
      <c r="Q73" s="104" t="str">
        <f t="shared" si="3"/>
        <v/>
      </c>
      <c r="T73" s="104" t="str">
        <f t="shared" si="4"/>
        <v/>
      </c>
      <c r="V73" s="104" t="str">
        <f t="shared" si="5"/>
        <v/>
      </c>
    </row>
    <row r="74" spans="4:22" x14ac:dyDescent="0.15">
      <c r="D74" s="102"/>
      <c r="Q74" s="104" t="str">
        <f t="shared" si="3"/>
        <v/>
      </c>
      <c r="T74" s="104" t="str">
        <f t="shared" si="4"/>
        <v/>
      </c>
      <c r="V74" s="104" t="str">
        <f t="shared" si="5"/>
        <v/>
      </c>
    </row>
    <row r="75" spans="4:22" x14ac:dyDescent="0.15">
      <c r="D75" s="102"/>
      <c r="Q75" s="104" t="str">
        <f t="shared" si="3"/>
        <v/>
      </c>
      <c r="T75" s="104" t="str">
        <f t="shared" si="4"/>
        <v/>
      </c>
      <c r="V75" s="104" t="str">
        <f t="shared" si="5"/>
        <v/>
      </c>
    </row>
    <row r="76" spans="4:22" x14ac:dyDescent="0.15">
      <c r="D76" s="102"/>
      <c r="Q76" s="104" t="str">
        <f t="shared" si="3"/>
        <v/>
      </c>
      <c r="T76" s="104" t="str">
        <f t="shared" si="4"/>
        <v/>
      </c>
      <c r="V76" s="104" t="str">
        <f t="shared" si="5"/>
        <v/>
      </c>
    </row>
    <row r="77" spans="4:22" x14ac:dyDescent="0.15">
      <c r="D77" s="102"/>
      <c r="Q77" s="104" t="str">
        <f t="shared" si="3"/>
        <v/>
      </c>
      <c r="T77" s="104" t="str">
        <f t="shared" si="4"/>
        <v/>
      </c>
      <c r="V77" s="104" t="str">
        <f t="shared" si="5"/>
        <v/>
      </c>
    </row>
    <row r="78" spans="4:22" x14ac:dyDescent="0.15">
      <c r="D78" s="102"/>
      <c r="Q78" s="104" t="str">
        <f t="shared" si="3"/>
        <v/>
      </c>
      <c r="T78" s="104" t="str">
        <f t="shared" si="4"/>
        <v/>
      </c>
      <c r="V78" s="104" t="str">
        <f t="shared" si="5"/>
        <v/>
      </c>
    </row>
    <row r="79" spans="4:22" x14ac:dyDescent="0.15">
      <c r="D79" s="102"/>
      <c r="Q79" s="104" t="str">
        <f t="shared" si="3"/>
        <v/>
      </c>
      <c r="T79" s="104" t="str">
        <f t="shared" si="4"/>
        <v/>
      </c>
      <c r="V79" s="104" t="str">
        <f t="shared" si="5"/>
        <v/>
      </c>
    </row>
    <row r="80" spans="4:22" x14ac:dyDescent="0.15">
      <c r="D80" s="123"/>
      <c r="Q80" s="104" t="str">
        <f t="shared" si="3"/>
        <v/>
      </c>
      <c r="T80" s="104" t="str">
        <f t="shared" si="4"/>
        <v/>
      </c>
      <c r="V80" s="104" t="str">
        <f t="shared" si="5"/>
        <v/>
      </c>
    </row>
    <row r="81" spans="4:22" x14ac:dyDescent="0.15">
      <c r="D81" s="123"/>
      <c r="Q81" s="104" t="str">
        <f t="shared" si="3"/>
        <v/>
      </c>
      <c r="T81" s="104" t="str">
        <f t="shared" si="4"/>
        <v/>
      </c>
      <c r="V81" s="104" t="str">
        <f t="shared" si="5"/>
        <v/>
      </c>
    </row>
    <row r="82" spans="4:22" x14ac:dyDescent="0.15">
      <c r="D82" s="123"/>
      <c r="Q82" s="104" t="str">
        <f t="shared" si="3"/>
        <v/>
      </c>
      <c r="T82" s="104" t="str">
        <f t="shared" si="4"/>
        <v/>
      </c>
      <c r="V82" s="104" t="str">
        <f t="shared" si="5"/>
        <v/>
      </c>
    </row>
    <row r="83" spans="4:22" x14ac:dyDescent="0.15">
      <c r="D83" s="123"/>
      <c r="Q83" s="104" t="str">
        <f t="shared" si="3"/>
        <v/>
      </c>
      <c r="T83" s="104" t="str">
        <f t="shared" si="4"/>
        <v/>
      </c>
      <c r="V83" s="104" t="str">
        <f t="shared" si="5"/>
        <v/>
      </c>
    </row>
    <row r="84" spans="4:22" x14ac:dyDescent="0.15">
      <c r="D84" s="123"/>
      <c r="Q84" s="104" t="str">
        <f t="shared" si="3"/>
        <v/>
      </c>
      <c r="T84" s="104" t="str">
        <f t="shared" si="4"/>
        <v/>
      </c>
      <c r="V84" s="104" t="str">
        <f t="shared" si="5"/>
        <v/>
      </c>
    </row>
    <row r="85" spans="4:22" x14ac:dyDescent="0.15">
      <c r="D85" s="123"/>
      <c r="Q85" s="104" t="str">
        <f t="shared" si="3"/>
        <v/>
      </c>
      <c r="T85" s="104" t="str">
        <f t="shared" si="4"/>
        <v/>
      </c>
      <c r="V85" s="104" t="str">
        <f t="shared" si="5"/>
        <v/>
      </c>
    </row>
    <row r="86" spans="4:22" x14ac:dyDescent="0.15">
      <c r="D86" s="123"/>
    </row>
    <row r="87" spans="4:22" x14ac:dyDescent="0.15">
      <c r="D87" s="123"/>
    </row>
    <row r="88" spans="4:22" x14ac:dyDescent="0.15">
      <c r="D88" s="123"/>
    </row>
    <row r="89" spans="4:22" x14ac:dyDescent="0.15">
      <c r="D89" s="123"/>
    </row>
    <row r="90" spans="4:22" x14ac:dyDescent="0.15">
      <c r="D90" s="123"/>
    </row>
    <row r="91" spans="4:22" x14ac:dyDescent="0.15">
      <c r="D91" s="123"/>
    </row>
  </sheetData>
  <autoFilter ref="A1:BA85" xr:uid="{00000000-0009-0000-0000-000000000000}"/>
  <phoneticPr fontId="3"/>
  <dataValidations count="15">
    <dataValidation type="decimal" allowBlank="1" showInputMessage="1" showErrorMessage="1" error="硬度を正しく入力して下さい。" sqref="O2:P500" xr:uid="{51B319E3-2569-4D0A-862A-0BA86C51CAC3}">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51B53109-8378-4202-AA2C-A72E11B7711F}">
      <formula1>$AV$2:$AV$20</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459318F9-DD5C-46C5-A12C-E0C3C1F63326}">
      <formula1>$AN$5:$AN$6</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5232D0B3-D22F-4F75-BEB5-7C382075720E}">
      <formula1>$AL$4:$AL$12</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6121B735-0DEC-40AA-B74D-289482859443}">
      <formula1>$AH$2:$AH$11</formula1>
    </dataValidation>
    <dataValidation type="list" allowBlank="1" showInputMessage="1" showErrorMessage="1" sqref="Y2:AA500" xr:uid="{821841A6-08E1-4D63-93B0-DB1FEB17F8E7}">
      <formula1>$AV$2:$AV$21</formula1>
    </dataValidation>
    <dataValidation type="list" allowBlank="1" showInputMessage="1" showErrorMessage="1" sqref="K2:K89" xr:uid="{2154E574-2753-41FF-9A1D-B03CE6694FC1}">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A7715A46-E163-4C66-9382-35758F2278F4}">
      <formula1>$AR$2:$AR$25</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9966C58E-186F-4D98-8096-6F5CE83C9C44}">
      <formula1>$AP$2:$AP$27</formula1>
    </dataValidation>
    <dataValidation type="list" allowBlank="1" showInputMessage="1" showErrorMessage="1" sqref="H2:H500" xr:uid="{779DD357-E210-4BBD-8D41-88E5C8698802}">
      <formula1>$AL$2:$AL$8</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9FB2713E-2CCC-40E8-85B5-C9E0108A8B0A}">
      <formula1>$AT$2:$AT$3</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0C877FC9-A2BE-4790-AF49-29F8AFFBDC86}"/>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7BDDC6A3-E9C6-40C8-9DA9-1EC41139E4B9}">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49B35035-3B50-4200-B86C-A22B648DE367}">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A7A282B5-56D1-4E3C-94DF-405AF0E36F23}">
      <formula1>$AJ$2:$AJ$4</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79862-1AB0-401B-91F6-4FABDDEC19CC}">
  <sheetPr>
    <pageSetUpPr fitToPage="1"/>
  </sheetPr>
  <dimension ref="A1:BA117"/>
  <sheetViews>
    <sheetView zoomScale="80" zoomScaleNormal="80" workbookViewId="0">
      <selection activeCell="AB3" sqref="AB3:AB64"/>
    </sheetView>
  </sheetViews>
  <sheetFormatPr defaultRowHeight="13.5" x14ac:dyDescent="0.15"/>
  <cols>
    <col min="1" max="3" width="9" style="53" customWidth="1"/>
    <col min="4" max="4" width="10.5" style="53" customWidth="1"/>
    <col min="5" max="5" width="11.25" style="53" bestFit="1" customWidth="1"/>
    <col min="6" max="7" width="9" style="53"/>
    <col min="8" max="10" width="9" style="53" customWidth="1"/>
    <col min="11" max="11" width="11.375" style="53" customWidth="1"/>
    <col min="12" max="16" width="9" style="53" customWidth="1"/>
    <col min="17" max="17" width="9" style="16" customWidth="1"/>
    <col min="18" max="18" width="9" style="53"/>
    <col min="19" max="19" width="9.5" style="53" bestFit="1" customWidth="1"/>
    <col min="20" max="20" width="9" style="16" customWidth="1"/>
    <col min="21" max="21" width="9" style="53"/>
    <col min="22" max="22" width="9" style="16" customWidth="1"/>
    <col min="23" max="28" width="9" style="53"/>
    <col min="29" max="29" width="26.5" style="53" customWidth="1"/>
    <col min="30" max="32" width="9" style="53"/>
    <col min="33" max="33" width="15.75" style="53" bestFit="1" customWidth="1"/>
    <col min="34" max="34" width="15" style="53" bestFit="1" customWidth="1"/>
    <col min="35" max="256" width="9" style="53"/>
    <col min="257" max="259" width="9" style="53" customWidth="1"/>
    <col min="260" max="260" width="10.5" style="53" customWidth="1"/>
    <col min="261" max="261" width="11.25" style="53" bestFit="1" customWidth="1"/>
    <col min="262" max="263" width="9" style="53"/>
    <col min="264" max="273" width="9" style="53" customWidth="1"/>
    <col min="274" max="274" width="9" style="53"/>
    <col min="275" max="275" width="9.5" style="53" bestFit="1" customWidth="1"/>
    <col min="276" max="276" width="9" style="53" customWidth="1"/>
    <col min="277" max="277" width="9" style="53"/>
    <col min="278" max="278" width="9" style="53" customWidth="1"/>
    <col min="279" max="284" width="9" style="53"/>
    <col min="285" max="285" width="26.5" style="53" customWidth="1"/>
    <col min="286" max="288" width="9" style="53"/>
    <col min="289" max="289" width="14.75" style="53" bestFit="1" customWidth="1"/>
    <col min="290" max="512" width="9" style="53"/>
    <col min="513" max="515" width="9" style="53" customWidth="1"/>
    <col min="516" max="516" width="10.5" style="53" customWidth="1"/>
    <col min="517" max="517" width="11.25" style="53" bestFit="1" customWidth="1"/>
    <col min="518" max="519" width="9" style="53"/>
    <col min="520" max="529" width="9" style="53" customWidth="1"/>
    <col min="530" max="530" width="9" style="53"/>
    <col min="531" max="531" width="9.5" style="53" bestFit="1" customWidth="1"/>
    <col min="532" max="532" width="9" style="53" customWidth="1"/>
    <col min="533" max="533" width="9" style="53"/>
    <col min="534" max="534" width="9" style="53" customWidth="1"/>
    <col min="535" max="540" width="9" style="53"/>
    <col min="541" max="541" width="26.5" style="53" customWidth="1"/>
    <col min="542" max="544" width="9" style="53"/>
    <col min="545" max="545" width="14.75" style="53" bestFit="1" customWidth="1"/>
    <col min="546" max="768" width="9" style="53"/>
    <col min="769" max="771" width="9" style="53" customWidth="1"/>
    <col min="772" max="772" width="10.5" style="53" customWidth="1"/>
    <col min="773" max="773" width="11.25" style="53" bestFit="1" customWidth="1"/>
    <col min="774" max="775" width="9" style="53"/>
    <col min="776" max="785" width="9" style="53" customWidth="1"/>
    <col min="786" max="786" width="9" style="53"/>
    <col min="787" max="787" width="9.5" style="53" bestFit="1" customWidth="1"/>
    <col min="788" max="788" width="9" style="53" customWidth="1"/>
    <col min="789" max="789" width="9" style="53"/>
    <col min="790" max="790" width="9" style="53" customWidth="1"/>
    <col min="791" max="796" width="9" style="53"/>
    <col min="797" max="797" width="26.5" style="53" customWidth="1"/>
    <col min="798" max="800" width="9" style="53"/>
    <col min="801" max="801" width="14.75" style="53" bestFit="1" customWidth="1"/>
    <col min="802" max="1024" width="9" style="53"/>
    <col min="1025" max="1027" width="9" style="53" customWidth="1"/>
    <col min="1028" max="1028" width="10.5" style="53" customWidth="1"/>
    <col min="1029" max="1029" width="11.25" style="53" bestFit="1" customWidth="1"/>
    <col min="1030" max="1031" width="9" style="53"/>
    <col min="1032" max="1041" width="9" style="53" customWidth="1"/>
    <col min="1042" max="1042" width="9" style="53"/>
    <col min="1043" max="1043" width="9.5" style="53" bestFit="1" customWidth="1"/>
    <col min="1044" max="1044" width="9" style="53" customWidth="1"/>
    <col min="1045" max="1045" width="9" style="53"/>
    <col min="1046" max="1046" width="9" style="53" customWidth="1"/>
    <col min="1047" max="1052" width="9" style="53"/>
    <col min="1053" max="1053" width="26.5" style="53" customWidth="1"/>
    <col min="1054" max="1056" width="9" style="53"/>
    <col min="1057" max="1057" width="14.75" style="53" bestFit="1" customWidth="1"/>
    <col min="1058" max="1280" width="9" style="53"/>
    <col min="1281" max="1283" width="9" style="53" customWidth="1"/>
    <col min="1284" max="1284" width="10.5" style="53" customWidth="1"/>
    <col min="1285" max="1285" width="11.25" style="53" bestFit="1" customWidth="1"/>
    <col min="1286" max="1287" width="9" style="53"/>
    <col min="1288" max="1297" width="9" style="53" customWidth="1"/>
    <col min="1298" max="1298" width="9" style="53"/>
    <col min="1299" max="1299" width="9.5" style="53" bestFit="1" customWidth="1"/>
    <col min="1300" max="1300" width="9" style="53" customWidth="1"/>
    <col min="1301" max="1301" width="9" style="53"/>
    <col min="1302" max="1302" width="9" style="53" customWidth="1"/>
    <col min="1303" max="1308" width="9" style="53"/>
    <col min="1309" max="1309" width="26.5" style="53" customWidth="1"/>
    <col min="1310" max="1312" width="9" style="53"/>
    <col min="1313" max="1313" width="14.75" style="53" bestFit="1" customWidth="1"/>
    <col min="1314" max="1536" width="9" style="53"/>
    <col min="1537" max="1539" width="9" style="53" customWidth="1"/>
    <col min="1540" max="1540" width="10.5" style="53" customWidth="1"/>
    <col min="1541" max="1541" width="11.25" style="53" bestFit="1" customWidth="1"/>
    <col min="1542" max="1543" width="9" style="53"/>
    <col min="1544" max="1553" width="9" style="53" customWidth="1"/>
    <col min="1554" max="1554" width="9" style="53"/>
    <col min="1555" max="1555" width="9.5" style="53" bestFit="1" customWidth="1"/>
    <col min="1556" max="1556" width="9" style="53" customWidth="1"/>
    <col min="1557" max="1557" width="9" style="53"/>
    <col min="1558" max="1558" width="9" style="53" customWidth="1"/>
    <col min="1559" max="1564" width="9" style="53"/>
    <col min="1565" max="1565" width="26.5" style="53" customWidth="1"/>
    <col min="1566" max="1568" width="9" style="53"/>
    <col min="1569" max="1569" width="14.75" style="53" bestFit="1" customWidth="1"/>
    <col min="1570" max="1792" width="9" style="53"/>
    <col min="1793" max="1795" width="9" style="53" customWidth="1"/>
    <col min="1796" max="1796" width="10.5" style="53" customWidth="1"/>
    <col min="1797" max="1797" width="11.25" style="53" bestFit="1" customWidth="1"/>
    <col min="1798" max="1799" width="9" style="53"/>
    <col min="1800" max="1809" width="9" style="53" customWidth="1"/>
    <col min="1810" max="1810" width="9" style="53"/>
    <col min="1811" max="1811" width="9.5" style="53" bestFit="1" customWidth="1"/>
    <col min="1812" max="1812" width="9" style="53" customWidth="1"/>
    <col min="1813" max="1813" width="9" style="53"/>
    <col min="1814" max="1814" width="9" style="53" customWidth="1"/>
    <col min="1815" max="1820" width="9" style="53"/>
    <col min="1821" max="1821" width="26.5" style="53" customWidth="1"/>
    <col min="1822" max="1824" width="9" style="53"/>
    <col min="1825" max="1825" width="14.75" style="53" bestFit="1" customWidth="1"/>
    <col min="1826" max="2048" width="9" style="53"/>
    <col min="2049" max="2051" width="9" style="53" customWidth="1"/>
    <col min="2052" max="2052" width="10.5" style="53" customWidth="1"/>
    <col min="2053" max="2053" width="11.25" style="53" bestFit="1" customWidth="1"/>
    <col min="2054" max="2055" width="9" style="53"/>
    <col min="2056" max="2065" width="9" style="53" customWidth="1"/>
    <col min="2066" max="2066" width="9" style="53"/>
    <col min="2067" max="2067" width="9.5" style="53" bestFit="1" customWidth="1"/>
    <col min="2068" max="2068" width="9" style="53" customWidth="1"/>
    <col min="2069" max="2069" width="9" style="53"/>
    <col min="2070" max="2070" width="9" style="53" customWidth="1"/>
    <col min="2071" max="2076" width="9" style="53"/>
    <col min="2077" max="2077" width="26.5" style="53" customWidth="1"/>
    <col min="2078" max="2080" width="9" style="53"/>
    <col min="2081" max="2081" width="14.75" style="53" bestFit="1" customWidth="1"/>
    <col min="2082" max="2304" width="9" style="53"/>
    <col min="2305" max="2307" width="9" style="53" customWidth="1"/>
    <col min="2308" max="2308" width="10.5" style="53" customWidth="1"/>
    <col min="2309" max="2309" width="11.25" style="53" bestFit="1" customWidth="1"/>
    <col min="2310" max="2311" width="9" style="53"/>
    <col min="2312" max="2321" width="9" style="53" customWidth="1"/>
    <col min="2322" max="2322" width="9" style="53"/>
    <col min="2323" max="2323" width="9.5" style="53" bestFit="1" customWidth="1"/>
    <col min="2324" max="2324" width="9" style="53" customWidth="1"/>
    <col min="2325" max="2325" width="9" style="53"/>
    <col min="2326" max="2326" width="9" style="53" customWidth="1"/>
    <col min="2327" max="2332" width="9" style="53"/>
    <col min="2333" max="2333" width="26.5" style="53" customWidth="1"/>
    <col min="2334" max="2336" width="9" style="53"/>
    <col min="2337" max="2337" width="14.75" style="53" bestFit="1" customWidth="1"/>
    <col min="2338" max="2560" width="9" style="53"/>
    <col min="2561" max="2563" width="9" style="53" customWidth="1"/>
    <col min="2564" max="2564" width="10.5" style="53" customWidth="1"/>
    <col min="2565" max="2565" width="11.25" style="53" bestFit="1" customWidth="1"/>
    <col min="2566" max="2567" width="9" style="53"/>
    <col min="2568" max="2577" width="9" style="53" customWidth="1"/>
    <col min="2578" max="2578" width="9" style="53"/>
    <col min="2579" max="2579" width="9.5" style="53" bestFit="1" customWidth="1"/>
    <col min="2580" max="2580" width="9" style="53" customWidth="1"/>
    <col min="2581" max="2581" width="9" style="53"/>
    <col min="2582" max="2582" width="9" style="53" customWidth="1"/>
    <col min="2583" max="2588" width="9" style="53"/>
    <col min="2589" max="2589" width="26.5" style="53" customWidth="1"/>
    <col min="2590" max="2592" width="9" style="53"/>
    <col min="2593" max="2593" width="14.75" style="53" bestFit="1" customWidth="1"/>
    <col min="2594" max="2816" width="9" style="53"/>
    <col min="2817" max="2819" width="9" style="53" customWidth="1"/>
    <col min="2820" max="2820" width="10.5" style="53" customWidth="1"/>
    <col min="2821" max="2821" width="11.25" style="53" bestFit="1" customWidth="1"/>
    <col min="2822" max="2823" width="9" style="53"/>
    <col min="2824" max="2833" width="9" style="53" customWidth="1"/>
    <col min="2834" max="2834" width="9" style="53"/>
    <col min="2835" max="2835" width="9.5" style="53" bestFit="1" customWidth="1"/>
    <col min="2836" max="2836" width="9" style="53" customWidth="1"/>
    <col min="2837" max="2837" width="9" style="53"/>
    <col min="2838" max="2838" width="9" style="53" customWidth="1"/>
    <col min="2839" max="2844" width="9" style="53"/>
    <col min="2845" max="2845" width="26.5" style="53" customWidth="1"/>
    <col min="2846" max="2848" width="9" style="53"/>
    <col min="2849" max="2849" width="14.75" style="53" bestFit="1" customWidth="1"/>
    <col min="2850" max="3072" width="9" style="53"/>
    <col min="3073" max="3075" width="9" style="53" customWidth="1"/>
    <col min="3076" max="3076" width="10.5" style="53" customWidth="1"/>
    <col min="3077" max="3077" width="11.25" style="53" bestFit="1" customWidth="1"/>
    <col min="3078" max="3079" width="9" style="53"/>
    <col min="3080" max="3089" width="9" style="53" customWidth="1"/>
    <col min="3090" max="3090" width="9" style="53"/>
    <col min="3091" max="3091" width="9.5" style="53" bestFit="1" customWidth="1"/>
    <col min="3092" max="3092" width="9" style="53" customWidth="1"/>
    <col min="3093" max="3093" width="9" style="53"/>
    <col min="3094" max="3094" width="9" style="53" customWidth="1"/>
    <col min="3095" max="3100" width="9" style="53"/>
    <col min="3101" max="3101" width="26.5" style="53" customWidth="1"/>
    <col min="3102" max="3104" width="9" style="53"/>
    <col min="3105" max="3105" width="14.75" style="53" bestFit="1" customWidth="1"/>
    <col min="3106" max="3328" width="9" style="53"/>
    <col min="3329" max="3331" width="9" style="53" customWidth="1"/>
    <col min="3332" max="3332" width="10.5" style="53" customWidth="1"/>
    <col min="3333" max="3333" width="11.25" style="53" bestFit="1" customWidth="1"/>
    <col min="3334" max="3335" width="9" style="53"/>
    <col min="3336" max="3345" width="9" style="53" customWidth="1"/>
    <col min="3346" max="3346" width="9" style="53"/>
    <col min="3347" max="3347" width="9.5" style="53" bestFit="1" customWidth="1"/>
    <col min="3348" max="3348" width="9" style="53" customWidth="1"/>
    <col min="3349" max="3349" width="9" style="53"/>
    <col min="3350" max="3350" width="9" style="53" customWidth="1"/>
    <col min="3351" max="3356" width="9" style="53"/>
    <col min="3357" max="3357" width="26.5" style="53" customWidth="1"/>
    <col min="3358" max="3360" width="9" style="53"/>
    <col min="3361" max="3361" width="14.75" style="53" bestFit="1" customWidth="1"/>
    <col min="3362" max="3584" width="9" style="53"/>
    <col min="3585" max="3587" width="9" style="53" customWidth="1"/>
    <col min="3588" max="3588" width="10.5" style="53" customWidth="1"/>
    <col min="3589" max="3589" width="11.25" style="53" bestFit="1" customWidth="1"/>
    <col min="3590" max="3591" width="9" style="53"/>
    <col min="3592" max="3601" width="9" style="53" customWidth="1"/>
    <col min="3602" max="3602" width="9" style="53"/>
    <col min="3603" max="3603" width="9.5" style="53" bestFit="1" customWidth="1"/>
    <col min="3604" max="3604" width="9" style="53" customWidth="1"/>
    <col min="3605" max="3605" width="9" style="53"/>
    <col min="3606" max="3606" width="9" style="53" customWidth="1"/>
    <col min="3607" max="3612" width="9" style="53"/>
    <col min="3613" max="3613" width="26.5" style="53" customWidth="1"/>
    <col min="3614" max="3616" width="9" style="53"/>
    <col min="3617" max="3617" width="14.75" style="53" bestFit="1" customWidth="1"/>
    <col min="3618" max="3840" width="9" style="53"/>
    <col min="3841" max="3843" width="9" style="53" customWidth="1"/>
    <col min="3844" max="3844" width="10.5" style="53" customWidth="1"/>
    <col min="3845" max="3845" width="11.25" style="53" bestFit="1" customWidth="1"/>
    <col min="3846" max="3847" width="9" style="53"/>
    <col min="3848" max="3857" width="9" style="53" customWidth="1"/>
    <col min="3858" max="3858" width="9" style="53"/>
    <col min="3859" max="3859" width="9.5" style="53" bestFit="1" customWidth="1"/>
    <col min="3860" max="3860" width="9" style="53" customWidth="1"/>
    <col min="3861" max="3861" width="9" style="53"/>
    <col min="3862" max="3862" width="9" style="53" customWidth="1"/>
    <col min="3863" max="3868" width="9" style="53"/>
    <col min="3869" max="3869" width="26.5" style="53" customWidth="1"/>
    <col min="3870" max="3872" width="9" style="53"/>
    <col min="3873" max="3873" width="14.75" style="53" bestFit="1" customWidth="1"/>
    <col min="3874" max="4096" width="9" style="53"/>
    <col min="4097" max="4099" width="9" style="53" customWidth="1"/>
    <col min="4100" max="4100" width="10.5" style="53" customWidth="1"/>
    <col min="4101" max="4101" width="11.25" style="53" bestFit="1" customWidth="1"/>
    <col min="4102" max="4103" width="9" style="53"/>
    <col min="4104" max="4113" width="9" style="53" customWidth="1"/>
    <col min="4114" max="4114" width="9" style="53"/>
    <col min="4115" max="4115" width="9.5" style="53" bestFit="1" customWidth="1"/>
    <col min="4116" max="4116" width="9" style="53" customWidth="1"/>
    <col min="4117" max="4117" width="9" style="53"/>
    <col min="4118" max="4118" width="9" style="53" customWidth="1"/>
    <col min="4119" max="4124" width="9" style="53"/>
    <col min="4125" max="4125" width="26.5" style="53" customWidth="1"/>
    <col min="4126" max="4128" width="9" style="53"/>
    <col min="4129" max="4129" width="14.75" style="53" bestFit="1" customWidth="1"/>
    <col min="4130" max="4352" width="9" style="53"/>
    <col min="4353" max="4355" width="9" style="53" customWidth="1"/>
    <col min="4356" max="4356" width="10.5" style="53" customWidth="1"/>
    <col min="4357" max="4357" width="11.25" style="53" bestFit="1" customWidth="1"/>
    <col min="4358" max="4359" width="9" style="53"/>
    <col min="4360" max="4369" width="9" style="53" customWidth="1"/>
    <col min="4370" max="4370" width="9" style="53"/>
    <col min="4371" max="4371" width="9.5" style="53" bestFit="1" customWidth="1"/>
    <col min="4372" max="4372" width="9" style="53" customWidth="1"/>
    <col min="4373" max="4373" width="9" style="53"/>
    <col min="4374" max="4374" width="9" style="53" customWidth="1"/>
    <col min="4375" max="4380" width="9" style="53"/>
    <col min="4381" max="4381" width="26.5" style="53" customWidth="1"/>
    <col min="4382" max="4384" width="9" style="53"/>
    <col min="4385" max="4385" width="14.75" style="53" bestFit="1" customWidth="1"/>
    <col min="4386" max="4608" width="9" style="53"/>
    <col min="4609" max="4611" width="9" style="53" customWidth="1"/>
    <col min="4612" max="4612" width="10.5" style="53" customWidth="1"/>
    <col min="4613" max="4613" width="11.25" style="53" bestFit="1" customWidth="1"/>
    <col min="4614" max="4615" width="9" style="53"/>
    <col min="4616" max="4625" width="9" style="53" customWidth="1"/>
    <col min="4626" max="4626" width="9" style="53"/>
    <col min="4627" max="4627" width="9.5" style="53" bestFit="1" customWidth="1"/>
    <col min="4628" max="4628" width="9" style="53" customWidth="1"/>
    <col min="4629" max="4629" width="9" style="53"/>
    <col min="4630" max="4630" width="9" style="53" customWidth="1"/>
    <col min="4631" max="4636" width="9" style="53"/>
    <col min="4637" max="4637" width="26.5" style="53" customWidth="1"/>
    <col min="4638" max="4640" width="9" style="53"/>
    <col min="4641" max="4641" width="14.75" style="53" bestFit="1" customWidth="1"/>
    <col min="4642" max="4864" width="9" style="53"/>
    <col min="4865" max="4867" width="9" style="53" customWidth="1"/>
    <col min="4868" max="4868" width="10.5" style="53" customWidth="1"/>
    <col min="4869" max="4869" width="11.25" style="53" bestFit="1" customWidth="1"/>
    <col min="4870" max="4871" width="9" style="53"/>
    <col min="4872" max="4881" width="9" style="53" customWidth="1"/>
    <col min="4882" max="4882" width="9" style="53"/>
    <col min="4883" max="4883" width="9.5" style="53" bestFit="1" customWidth="1"/>
    <col min="4884" max="4884" width="9" style="53" customWidth="1"/>
    <col min="4885" max="4885" width="9" style="53"/>
    <col min="4886" max="4886" width="9" style="53" customWidth="1"/>
    <col min="4887" max="4892" width="9" style="53"/>
    <col min="4893" max="4893" width="26.5" style="53" customWidth="1"/>
    <col min="4894" max="4896" width="9" style="53"/>
    <col min="4897" max="4897" width="14.75" style="53" bestFit="1" customWidth="1"/>
    <col min="4898" max="5120" width="9" style="53"/>
    <col min="5121" max="5123" width="9" style="53" customWidth="1"/>
    <col min="5124" max="5124" width="10.5" style="53" customWidth="1"/>
    <col min="5125" max="5125" width="11.25" style="53" bestFit="1" customWidth="1"/>
    <col min="5126" max="5127" width="9" style="53"/>
    <col min="5128" max="5137" width="9" style="53" customWidth="1"/>
    <col min="5138" max="5138" width="9" style="53"/>
    <col min="5139" max="5139" width="9.5" style="53" bestFit="1" customWidth="1"/>
    <col min="5140" max="5140" width="9" style="53" customWidth="1"/>
    <col min="5141" max="5141" width="9" style="53"/>
    <col min="5142" max="5142" width="9" style="53" customWidth="1"/>
    <col min="5143" max="5148" width="9" style="53"/>
    <col min="5149" max="5149" width="26.5" style="53" customWidth="1"/>
    <col min="5150" max="5152" width="9" style="53"/>
    <col min="5153" max="5153" width="14.75" style="53" bestFit="1" customWidth="1"/>
    <col min="5154" max="5376" width="9" style="53"/>
    <col min="5377" max="5379" width="9" style="53" customWidth="1"/>
    <col min="5380" max="5380" width="10.5" style="53" customWidth="1"/>
    <col min="5381" max="5381" width="11.25" style="53" bestFit="1" customWidth="1"/>
    <col min="5382" max="5383" width="9" style="53"/>
    <col min="5384" max="5393" width="9" style="53" customWidth="1"/>
    <col min="5394" max="5394" width="9" style="53"/>
    <col min="5395" max="5395" width="9.5" style="53" bestFit="1" customWidth="1"/>
    <col min="5396" max="5396" width="9" style="53" customWidth="1"/>
    <col min="5397" max="5397" width="9" style="53"/>
    <col min="5398" max="5398" width="9" style="53" customWidth="1"/>
    <col min="5399" max="5404" width="9" style="53"/>
    <col min="5405" max="5405" width="26.5" style="53" customWidth="1"/>
    <col min="5406" max="5408" width="9" style="53"/>
    <col min="5409" max="5409" width="14.75" style="53" bestFit="1" customWidth="1"/>
    <col min="5410" max="5632" width="9" style="53"/>
    <col min="5633" max="5635" width="9" style="53" customWidth="1"/>
    <col min="5636" max="5636" width="10.5" style="53" customWidth="1"/>
    <col min="5637" max="5637" width="11.25" style="53" bestFit="1" customWidth="1"/>
    <col min="5638" max="5639" width="9" style="53"/>
    <col min="5640" max="5649" width="9" style="53" customWidth="1"/>
    <col min="5650" max="5650" width="9" style="53"/>
    <col min="5651" max="5651" width="9.5" style="53" bestFit="1" customWidth="1"/>
    <col min="5652" max="5652" width="9" style="53" customWidth="1"/>
    <col min="5653" max="5653" width="9" style="53"/>
    <col min="5654" max="5654" width="9" style="53" customWidth="1"/>
    <col min="5655" max="5660" width="9" style="53"/>
    <col min="5661" max="5661" width="26.5" style="53" customWidth="1"/>
    <col min="5662" max="5664" width="9" style="53"/>
    <col min="5665" max="5665" width="14.75" style="53" bestFit="1" customWidth="1"/>
    <col min="5666" max="5888" width="9" style="53"/>
    <col min="5889" max="5891" width="9" style="53" customWidth="1"/>
    <col min="5892" max="5892" width="10.5" style="53" customWidth="1"/>
    <col min="5893" max="5893" width="11.25" style="53" bestFit="1" customWidth="1"/>
    <col min="5894" max="5895" width="9" style="53"/>
    <col min="5896" max="5905" width="9" style="53" customWidth="1"/>
    <col min="5906" max="5906" width="9" style="53"/>
    <col min="5907" max="5907" width="9.5" style="53" bestFit="1" customWidth="1"/>
    <col min="5908" max="5908" width="9" style="53" customWidth="1"/>
    <col min="5909" max="5909" width="9" style="53"/>
    <col min="5910" max="5910" width="9" style="53" customWidth="1"/>
    <col min="5911" max="5916" width="9" style="53"/>
    <col min="5917" max="5917" width="26.5" style="53" customWidth="1"/>
    <col min="5918" max="5920" width="9" style="53"/>
    <col min="5921" max="5921" width="14.75" style="53" bestFit="1" customWidth="1"/>
    <col min="5922" max="6144" width="9" style="53"/>
    <col min="6145" max="6147" width="9" style="53" customWidth="1"/>
    <col min="6148" max="6148" width="10.5" style="53" customWidth="1"/>
    <col min="6149" max="6149" width="11.25" style="53" bestFit="1" customWidth="1"/>
    <col min="6150" max="6151" width="9" style="53"/>
    <col min="6152" max="6161" width="9" style="53" customWidth="1"/>
    <col min="6162" max="6162" width="9" style="53"/>
    <col min="6163" max="6163" width="9.5" style="53" bestFit="1" customWidth="1"/>
    <col min="6164" max="6164" width="9" style="53" customWidth="1"/>
    <col min="6165" max="6165" width="9" style="53"/>
    <col min="6166" max="6166" width="9" style="53" customWidth="1"/>
    <col min="6167" max="6172" width="9" style="53"/>
    <col min="6173" max="6173" width="26.5" style="53" customWidth="1"/>
    <col min="6174" max="6176" width="9" style="53"/>
    <col min="6177" max="6177" width="14.75" style="53" bestFit="1" customWidth="1"/>
    <col min="6178" max="6400" width="9" style="53"/>
    <col min="6401" max="6403" width="9" style="53" customWidth="1"/>
    <col min="6404" max="6404" width="10.5" style="53" customWidth="1"/>
    <col min="6405" max="6405" width="11.25" style="53" bestFit="1" customWidth="1"/>
    <col min="6406" max="6407" width="9" style="53"/>
    <col min="6408" max="6417" width="9" style="53" customWidth="1"/>
    <col min="6418" max="6418" width="9" style="53"/>
    <col min="6419" max="6419" width="9.5" style="53" bestFit="1" customWidth="1"/>
    <col min="6420" max="6420" width="9" style="53" customWidth="1"/>
    <col min="6421" max="6421" width="9" style="53"/>
    <col min="6422" max="6422" width="9" style="53" customWidth="1"/>
    <col min="6423" max="6428" width="9" style="53"/>
    <col min="6429" max="6429" width="26.5" style="53" customWidth="1"/>
    <col min="6430" max="6432" width="9" style="53"/>
    <col min="6433" max="6433" width="14.75" style="53" bestFit="1" customWidth="1"/>
    <col min="6434" max="6656" width="9" style="53"/>
    <col min="6657" max="6659" width="9" style="53" customWidth="1"/>
    <col min="6660" max="6660" width="10.5" style="53" customWidth="1"/>
    <col min="6661" max="6661" width="11.25" style="53" bestFit="1" customWidth="1"/>
    <col min="6662" max="6663" width="9" style="53"/>
    <col min="6664" max="6673" width="9" style="53" customWidth="1"/>
    <col min="6674" max="6674" width="9" style="53"/>
    <col min="6675" max="6675" width="9.5" style="53" bestFit="1" customWidth="1"/>
    <col min="6676" max="6676" width="9" style="53" customWidth="1"/>
    <col min="6677" max="6677" width="9" style="53"/>
    <col min="6678" max="6678" width="9" style="53" customWidth="1"/>
    <col min="6679" max="6684" width="9" style="53"/>
    <col min="6685" max="6685" width="26.5" style="53" customWidth="1"/>
    <col min="6686" max="6688" width="9" style="53"/>
    <col min="6689" max="6689" width="14.75" style="53" bestFit="1" customWidth="1"/>
    <col min="6690" max="6912" width="9" style="53"/>
    <col min="6913" max="6915" width="9" style="53" customWidth="1"/>
    <col min="6916" max="6916" width="10.5" style="53" customWidth="1"/>
    <col min="6917" max="6917" width="11.25" style="53" bestFit="1" customWidth="1"/>
    <col min="6918" max="6919" width="9" style="53"/>
    <col min="6920" max="6929" width="9" style="53" customWidth="1"/>
    <col min="6930" max="6930" width="9" style="53"/>
    <col min="6931" max="6931" width="9.5" style="53" bestFit="1" customWidth="1"/>
    <col min="6932" max="6932" width="9" style="53" customWidth="1"/>
    <col min="6933" max="6933" width="9" style="53"/>
    <col min="6934" max="6934" width="9" style="53" customWidth="1"/>
    <col min="6935" max="6940" width="9" style="53"/>
    <col min="6941" max="6941" width="26.5" style="53" customWidth="1"/>
    <col min="6942" max="6944" width="9" style="53"/>
    <col min="6945" max="6945" width="14.75" style="53" bestFit="1" customWidth="1"/>
    <col min="6946" max="7168" width="9" style="53"/>
    <col min="7169" max="7171" width="9" style="53" customWidth="1"/>
    <col min="7172" max="7172" width="10.5" style="53" customWidth="1"/>
    <col min="7173" max="7173" width="11.25" style="53" bestFit="1" customWidth="1"/>
    <col min="7174" max="7175" width="9" style="53"/>
    <col min="7176" max="7185" width="9" style="53" customWidth="1"/>
    <col min="7186" max="7186" width="9" style="53"/>
    <col min="7187" max="7187" width="9.5" style="53" bestFit="1" customWidth="1"/>
    <col min="7188" max="7188" width="9" style="53" customWidth="1"/>
    <col min="7189" max="7189" width="9" style="53"/>
    <col min="7190" max="7190" width="9" style="53" customWidth="1"/>
    <col min="7191" max="7196" width="9" style="53"/>
    <col min="7197" max="7197" width="26.5" style="53" customWidth="1"/>
    <col min="7198" max="7200" width="9" style="53"/>
    <col min="7201" max="7201" width="14.75" style="53" bestFit="1" customWidth="1"/>
    <col min="7202" max="7424" width="9" style="53"/>
    <col min="7425" max="7427" width="9" style="53" customWidth="1"/>
    <col min="7428" max="7428" width="10.5" style="53" customWidth="1"/>
    <col min="7429" max="7429" width="11.25" style="53" bestFit="1" customWidth="1"/>
    <col min="7430" max="7431" width="9" style="53"/>
    <col min="7432" max="7441" width="9" style="53" customWidth="1"/>
    <col min="7442" max="7442" width="9" style="53"/>
    <col min="7443" max="7443" width="9.5" style="53" bestFit="1" customWidth="1"/>
    <col min="7444" max="7444" width="9" style="53" customWidth="1"/>
    <col min="7445" max="7445" width="9" style="53"/>
    <col min="7446" max="7446" width="9" style="53" customWidth="1"/>
    <col min="7447" max="7452" width="9" style="53"/>
    <col min="7453" max="7453" width="26.5" style="53" customWidth="1"/>
    <col min="7454" max="7456" width="9" style="53"/>
    <col min="7457" max="7457" width="14.75" style="53" bestFit="1" customWidth="1"/>
    <col min="7458" max="7680" width="9" style="53"/>
    <col min="7681" max="7683" width="9" style="53" customWidth="1"/>
    <col min="7684" max="7684" width="10.5" style="53" customWidth="1"/>
    <col min="7685" max="7685" width="11.25" style="53" bestFit="1" customWidth="1"/>
    <col min="7686" max="7687" width="9" style="53"/>
    <col min="7688" max="7697" width="9" style="53" customWidth="1"/>
    <col min="7698" max="7698" width="9" style="53"/>
    <col min="7699" max="7699" width="9.5" style="53" bestFit="1" customWidth="1"/>
    <col min="7700" max="7700" width="9" style="53" customWidth="1"/>
    <col min="7701" max="7701" width="9" style="53"/>
    <col min="7702" max="7702" width="9" style="53" customWidth="1"/>
    <col min="7703" max="7708" width="9" style="53"/>
    <col min="7709" max="7709" width="26.5" style="53" customWidth="1"/>
    <col min="7710" max="7712" width="9" style="53"/>
    <col min="7713" max="7713" width="14.75" style="53" bestFit="1" customWidth="1"/>
    <col min="7714" max="7936" width="9" style="53"/>
    <col min="7937" max="7939" width="9" style="53" customWidth="1"/>
    <col min="7940" max="7940" width="10.5" style="53" customWidth="1"/>
    <col min="7941" max="7941" width="11.25" style="53" bestFit="1" customWidth="1"/>
    <col min="7942" max="7943" width="9" style="53"/>
    <col min="7944" max="7953" width="9" style="53" customWidth="1"/>
    <col min="7954" max="7954" width="9" style="53"/>
    <col min="7955" max="7955" width="9.5" style="53" bestFit="1" customWidth="1"/>
    <col min="7956" max="7956" width="9" style="53" customWidth="1"/>
    <col min="7957" max="7957" width="9" style="53"/>
    <col min="7958" max="7958" width="9" style="53" customWidth="1"/>
    <col min="7959" max="7964" width="9" style="53"/>
    <col min="7965" max="7965" width="26.5" style="53" customWidth="1"/>
    <col min="7966" max="7968" width="9" style="53"/>
    <col min="7969" max="7969" width="14.75" style="53" bestFit="1" customWidth="1"/>
    <col min="7970" max="8192" width="9" style="53"/>
    <col min="8193" max="8195" width="9" style="53" customWidth="1"/>
    <col min="8196" max="8196" width="10.5" style="53" customWidth="1"/>
    <col min="8197" max="8197" width="11.25" style="53" bestFit="1" customWidth="1"/>
    <col min="8198" max="8199" width="9" style="53"/>
    <col min="8200" max="8209" width="9" style="53" customWidth="1"/>
    <col min="8210" max="8210" width="9" style="53"/>
    <col min="8211" max="8211" width="9.5" style="53" bestFit="1" customWidth="1"/>
    <col min="8212" max="8212" width="9" style="53" customWidth="1"/>
    <col min="8213" max="8213" width="9" style="53"/>
    <col min="8214" max="8214" width="9" style="53" customWidth="1"/>
    <col min="8215" max="8220" width="9" style="53"/>
    <col min="8221" max="8221" width="26.5" style="53" customWidth="1"/>
    <col min="8222" max="8224" width="9" style="53"/>
    <col min="8225" max="8225" width="14.75" style="53" bestFit="1" customWidth="1"/>
    <col min="8226" max="8448" width="9" style="53"/>
    <col min="8449" max="8451" width="9" style="53" customWidth="1"/>
    <col min="8452" max="8452" width="10.5" style="53" customWidth="1"/>
    <col min="8453" max="8453" width="11.25" style="53" bestFit="1" customWidth="1"/>
    <col min="8454" max="8455" width="9" style="53"/>
    <col min="8456" max="8465" width="9" style="53" customWidth="1"/>
    <col min="8466" max="8466" width="9" style="53"/>
    <col min="8467" max="8467" width="9.5" style="53" bestFit="1" customWidth="1"/>
    <col min="8468" max="8468" width="9" style="53" customWidth="1"/>
    <col min="8469" max="8469" width="9" style="53"/>
    <col min="8470" max="8470" width="9" style="53" customWidth="1"/>
    <col min="8471" max="8476" width="9" style="53"/>
    <col min="8477" max="8477" width="26.5" style="53" customWidth="1"/>
    <col min="8478" max="8480" width="9" style="53"/>
    <col min="8481" max="8481" width="14.75" style="53" bestFit="1" customWidth="1"/>
    <col min="8482" max="8704" width="9" style="53"/>
    <col min="8705" max="8707" width="9" style="53" customWidth="1"/>
    <col min="8708" max="8708" width="10.5" style="53" customWidth="1"/>
    <col min="8709" max="8709" width="11.25" style="53" bestFit="1" customWidth="1"/>
    <col min="8710" max="8711" width="9" style="53"/>
    <col min="8712" max="8721" width="9" style="53" customWidth="1"/>
    <col min="8722" max="8722" width="9" style="53"/>
    <col min="8723" max="8723" width="9.5" style="53" bestFit="1" customWidth="1"/>
    <col min="8724" max="8724" width="9" style="53" customWidth="1"/>
    <col min="8725" max="8725" width="9" style="53"/>
    <col min="8726" max="8726" width="9" style="53" customWidth="1"/>
    <col min="8727" max="8732" width="9" style="53"/>
    <col min="8733" max="8733" width="26.5" style="53" customWidth="1"/>
    <col min="8734" max="8736" width="9" style="53"/>
    <col min="8737" max="8737" width="14.75" style="53" bestFit="1" customWidth="1"/>
    <col min="8738" max="8960" width="9" style="53"/>
    <col min="8961" max="8963" width="9" style="53" customWidth="1"/>
    <col min="8964" max="8964" width="10.5" style="53" customWidth="1"/>
    <col min="8965" max="8965" width="11.25" style="53" bestFit="1" customWidth="1"/>
    <col min="8966" max="8967" width="9" style="53"/>
    <col min="8968" max="8977" width="9" style="53" customWidth="1"/>
    <col min="8978" max="8978" width="9" style="53"/>
    <col min="8979" max="8979" width="9.5" style="53" bestFit="1" customWidth="1"/>
    <col min="8980" max="8980" width="9" style="53" customWidth="1"/>
    <col min="8981" max="8981" width="9" style="53"/>
    <col min="8982" max="8982" width="9" style="53" customWidth="1"/>
    <col min="8983" max="8988" width="9" style="53"/>
    <col min="8989" max="8989" width="26.5" style="53" customWidth="1"/>
    <col min="8990" max="8992" width="9" style="53"/>
    <col min="8993" max="8993" width="14.75" style="53" bestFit="1" customWidth="1"/>
    <col min="8994" max="9216" width="9" style="53"/>
    <col min="9217" max="9219" width="9" style="53" customWidth="1"/>
    <col min="9220" max="9220" width="10.5" style="53" customWidth="1"/>
    <col min="9221" max="9221" width="11.25" style="53" bestFit="1" customWidth="1"/>
    <col min="9222" max="9223" width="9" style="53"/>
    <col min="9224" max="9233" width="9" style="53" customWidth="1"/>
    <col min="9234" max="9234" width="9" style="53"/>
    <col min="9235" max="9235" width="9.5" style="53" bestFit="1" customWidth="1"/>
    <col min="9236" max="9236" width="9" style="53" customWidth="1"/>
    <col min="9237" max="9237" width="9" style="53"/>
    <col min="9238" max="9238" width="9" style="53" customWidth="1"/>
    <col min="9239" max="9244" width="9" style="53"/>
    <col min="9245" max="9245" width="26.5" style="53" customWidth="1"/>
    <col min="9246" max="9248" width="9" style="53"/>
    <col min="9249" max="9249" width="14.75" style="53" bestFit="1" customWidth="1"/>
    <col min="9250" max="9472" width="9" style="53"/>
    <col min="9473" max="9475" width="9" style="53" customWidth="1"/>
    <col min="9476" max="9476" width="10.5" style="53" customWidth="1"/>
    <col min="9477" max="9477" width="11.25" style="53" bestFit="1" customWidth="1"/>
    <col min="9478" max="9479" width="9" style="53"/>
    <col min="9480" max="9489" width="9" style="53" customWidth="1"/>
    <col min="9490" max="9490" width="9" style="53"/>
    <col min="9491" max="9491" width="9.5" style="53" bestFit="1" customWidth="1"/>
    <col min="9492" max="9492" width="9" style="53" customWidth="1"/>
    <col min="9493" max="9493" width="9" style="53"/>
    <col min="9494" max="9494" width="9" style="53" customWidth="1"/>
    <col min="9495" max="9500" width="9" style="53"/>
    <col min="9501" max="9501" width="26.5" style="53" customWidth="1"/>
    <col min="9502" max="9504" width="9" style="53"/>
    <col min="9505" max="9505" width="14.75" style="53" bestFit="1" customWidth="1"/>
    <col min="9506" max="9728" width="9" style="53"/>
    <col min="9729" max="9731" width="9" style="53" customWidth="1"/>
    <col min="9732" max="9732" width="10.5" style="53" customWidth="1"/>
    <col min="9733" max="9733" width="11.25" style="53" bestFit="1" customWidth="1"/>
    <col min="9734" max="9735" width="9" style="53"/>
    <col min="9736" max="9745" width="9" style="53" customWidth="1"/>
    <col min="9746" max="9746" width="9" style="53"/>
    <col min="9747" max="9747" width="9.5" style="53" bestFit="1" customWidth="1"/>
    <col min="9748" max="9748" width="9" style="53" customWidth="1"/>
    <col min="9749" max="9749" width="9" style="53"/>
    <col min="9750" max="9750" width="9" style="53" customWidth="1"/>
    <col min="9751" max="9756" width="9" style="53"/>
    <col min="9757" max="9757" width="26.5" style="53" customWidth="1"/>
    <col min="9758" max="9760" width="9" style="53"/>
    <col min="9761" max="9761" width="14.75" style="53" bestFit="1" customWidth="1"/>
    <col min="9762" max="9984" width="9" style="53"/>
    <col min="9985" max="9987" width="9" style="53" customWidth="1"/>
    <col min="9988" max="9988" width="10.5" style="53" customWidth="1"/>
    <col min="9989" max="9989" width="11.25" style="53" bestFit="1" customWidth="1"/>
    <col min="9990" max="9991" width="9" style="53"/>
    <col min="9992" max="10001" width="9" style="53" customWidth="1"/>
    <col min="10002" max="10002" width="9" style="53"/>
    <col min="10003" max="10003" width="9.5" style="53" bestFit="1" customWidth="1"/>
    <col min="10004" max="10004" width="9" style="53" customWidth="1"/>
    <col min="10005" max="10005" width="9" style="53"/>
    <col min="10006" max="10006" width="9" style="53" customWidth="1"/>
    <col min="10007" max="10012" width="9" style="53"/>
    <col min="10013" max="10013" width="26.5" style="53" customWidth="1"/>
    <col min="10014" max="10016" width="9" style="53"/>
    <col min="10017" max="10017" width="14.75" style="53" bestFit="1" customWidth="1"/>
    <col min="10018" max="10240" width="9" style="53"/>
    <col min="10241" max="10243" width="9" style="53" customWidth="1"/>
    <col min="10244" max="10244" width="10.5" style="53" customWidth="1"/>
    <col min="10245" max="10245" width="11.25" style="53" bestFit="1" customWidth="1"/>
    <col min="10246" max="10247" width="9" style="53"/>
    <col min="10248" max="10257" width="9" style="53" customWidth="1"/>
    <col min="10258" max="10258" width="9" style="53"/>
    <col min="10259" max="10259" width="9.5" style="53" bestFit="1" customWidth="1"/>
    <col min="10260" max="10260" width="9" style="53" customWidth="1"/>
    <col min="10261" max="10261" width="9" style="53"/>
    <col min="10262" max="10262" width="9" style="53" customWidth="1"/>
    <col min="10263" max="10268" width="9" style="53"/>
    <col min="10269" max="10269" width="26.5" style="53" customWidth="1"/>
    <col min="10270" max="10272" width="9" style="53"/>
    <col min="10273" max="10273" width="14.75" style="53" bestFit="1" customWidth="1"/>
    <col min="10274" max="10496" width="9" style="53"/>
    <col min="10497" max="10499" width="9" style="53" customWidth="1"/>
    <col min="10500" max="10500" width="10.5" style="53" customWidth="1"/>
    <col min="10501" max="10501" width="11.25" style="53" bestFit="1" customWidth="1"/>
    <col min="10502" max="10503" width="9" style="53"/>
    <col min="10504" max="10513" width="9" style="53" customWidth="1"/>
    <col min="10514" max="10514" width="9" style="53"/>
    <col min="10515" max="10515" width="9.5" style="53" bestFit="1" customWidth="1"/>
    <col min="10516" max="10516" width="9" style="53" customWidth="1"/>
    <col min="10517" max="10517" width="9" style="53"/>
    <col min="10518" max="10518" width="9" style="53" customWidth="1"/>
    <col min="10519" max="10524" width="9" style="53"/>
    <col min="10525" max="10525" width="26.5" style="53" customWidth="1"/>
    <col min="10526" max="10528" width="9" style="53"/>
    <col min="10529" max="10529" width="14.75" style="53" bestFit="1" customWidth="1"/>
    <col min="10530" max="10752" width="9" style="53"/>
    <col min="10753" max="10755" width="9" style="53" customWidth="1"/>
    <col min="10756" max="10756" width="10.5" style="53" customWidth="1"/>
    <col min="10757" max="10757" width="11.25" style="53" bestFit="1" customWidth="1"/>
    <col min="10758" max="10759" width="9" style="53"/>
    <col min="10760" max="10769" width="9" style="53" customWidth="1"/>
    <col min="10770" max="10770" width="9" style="53"/>
    <col min="10771" max="10771" width="9.5" style="53" bestFit="1" customWidth="1"/>
    <col min="10772" max="10772" width="9" style="53" customWidth="1"/>
    <col min="10773" max="10773" width="9" style="53"/>
    <col min="10774" max="10774" width="9" style="53" customWidth="1"/>
    <col min="10775" max="10780" width="9" style="53"/>
    <col min="10781" max="10781" width="26.5" style="53" customWidth="1"/>
    <col min="10782" max="10784" width="9" style="53"/>
    <col min="10785" max="10785" width="14.75" style="53" bestFit="1" customWidth="1"/>
    <col min="10786" max="11008" width="9" style="53"/>
    <col min="11009" max="11011" width="9" style="53" customWidth="1"/>
    <col min="11012" max="11012" width="10.5" style="53" customWidth="1"/>
    <col min="11013" max="11013" width="11.25" style="53" bestFit="1" customWidth="1"/>
    <col min="11014" max="11015" width="9" style="53"/>
    <col min="11016" max="11025" width="9" style="53" customWidth="1"/>
    <col min="11026" max="11026" width="9" style="53"/>
    <col min="11027" max="11027" width="9.5" style="53" bestFit="1" customWidth="1"/>
    <col min="11028" max="11028" width="9" style="53" customWidth="1"/>
    <col min="11029" max="11029" width="9" style="53"/>
    <col min="11030" max="11030" width="9" style="53" customWidth="1"/>
    <col min="11031" max="11036" width="9" style="53"/>
    <col min="11037" max="11037" width="26.5" style="53" customWidth="1"/>
    <col min="11038" max="11040" width="9" style="53"/>
    <col min="11041" max="11041" width="14.75" style="53" bestFit="1" customWidth="1"/>
    <col min="11042" max="11264" width="9" style="53"/>
    <col min="11265" max="11267" width="9" style="53" customWidth="1"/>
    <col min="11268" max="11268" width="10.5" style="53" customWidth="1"/>
    <col min="11269" max="11269" width="11.25" style="53" bestFit="1" customWidth="1"/>
    <col min="11270" max="11271" width="9" style="53"/>
    <col min="11272" max="11281" width="9" style="53" customWidth="1"/>
    <col min="11282" max="11282" width="9" style="53"/>
    <col min="11283" max="11283" width="9.5" style="53" bestFit="1" customWidth="1"/>
    <col min="11284" max="11284" width="9" style="53" customWidth="1"/>
    <col min="11285" max="11285" width="9" style="53"/>
    <col min="11286" max="11286" width="9" style="53" customWidth="1"/>
    <col min="11287" max="11292" width="9" style="53"/>
    <col min="11293" max="11293" width="26.5" style="53" customWidth="1"/>
    <col min="11294" max="11296" width="9" style="53"/>
    <col min="11297" max="11297" width="14.75" style="53" bestFit="1" customWidth="1"/>
    <col min="11298" max="11520" width="9" style="53"/>
    <col min="11521" max="11523" width="9" style="53" customWidth="1"/>
    <col min="11524" max="11524" width="10.5" style="53" customWidth="1"/>
    <col min="11525" max="11525" width="11.25" style="53" bestFit="1" customWidth="1"/>
    <col min="11526" max="11527" width="9" style="53"/>
    <col min="11528" max="11537" width="9" style="53" customWidth="1"/>
    <col min="11538" max="11538" width="9" style="53"/>
    <col min="11539" max="11539" width="9.5" style="53" bestFit="1" customWidth="1"/>
    <col min="11540" max="11540" width="9" style="53" customWidth="1"/>
    <col min="11541" max="11541" width="9" style="53"/>
    <col min="11542" max="11542" width="9" style="53" customWidth="1"/>
    <col min="11543" max="11548" width="9" style="53"/>
    <col min="11549" max="11549" width="26.5" style="53" customWidth="1"/>
    <col min="11550" max="11552" width="9" style="53"/>
    <col min="11553" max="11553" width="14.75" style="53" bestFit="1" customWidth="1"/>
    <col min="11554" max="11776" width="9" style="53"/>
    <col min="11777" max="11779" width="9" style="53" customWidth="1"/>
    <col min="11780" max="11780" width="10.5" style="53" customWidth="1"/>
    <col min="11781" max="11781" width="11.25" style="53" bestFit="1" customWidth="1"/>
    <col min="11782" max="11783" width="9" style="53"/>
    <col min="11784" max="11793" width="9" style="53" customWidth="1"/>
    <col min="11794" max="11794" width="9" style="53"/>
    <col min="11795" max="11795" width="9.5" style="53" bestFit="1" customWidth="1"/>
    <col min="11796" max="11796" width="9" style="53" customWidth="1"/>
    <col min="11797" max="11797" width="9" style="53"/>
    <col min="11798" max="11798" width="9" style="53" customWidth="1"/>
    <col min="11799" max="11804" width="9" style="53"/>
    <col min="11805" max="11805" width="26.5" style="53" customWidth="1"/>
    <col min="11806" max="11808" width="9" style="53"/>
    <col min="11809" max="11809" width="14.75" style="53" bestFit="1" customWidth="1"/>
    <col min="11810" max="12032" width="9" style="53"/>
    <col min="12033" max="12035" width="9" style="53" customWidth="1"/>
    <col min="12036" max="12036" width="10.5" style="53" customWidth="1"/>
    <col min="12037" max="12037" width="11.25" style="53" bestFit="1" customWidth="1"/>
    <col min="12038" max="12039" width="9" style="53"/>
    <col min="12040" max="12049" width="9" style="53" customWidth="1"/>
    <col min="12050" max="12050" width="9" style="53"/>
    <col min="12051" max="12051" width="9.5" style="53" bestFit="1" customWidth="1"/>
    <col min="12052" max="12052" width="9" style="53" customWidth="1"/>
    <col min="12053" max="12053" width="9" style="53"/>
    <col min="12054" max="12054" width="9" style="53" customWidth="1"/>
    <col min="12055" max="12060" width="9" style="53"/>
    <col min="12061" max="12061" width="26.5" style="53" customWidth="1"/>
    <col min="12062" max="12064" width="9" style="53"/>
    <col min="12065" max="12065" width="14.75" style="53" bestFit="1" customWidth="1"/>
    <col min="12066" max="12288" width="9" style="53"/>
    <col min="12289" max="12291" width="9" style="53" customWidth="1"/>
    <col min="12292" max="12292" width="10.5" style="53" customWidth="1"/>
    <col min="12293" max="12293" width="11.25" style="53" bestFit="1" customWidth="1"/>
    <col min="12294" max="12295" width="9" style="53"/>
    <col min="12296" max="12305" width="9" style="53" customWidth="1"/>
    <col min="12306" max="12306" width="9" style="53"/>
    <col min="12307" max="12307" width="9.5" style="53" bestFit="1" customWidth="1"/>
    <col min="12308" max="12308" width="9" style="53" customWidth="1"/>
    <col min="12309" max="12309" width="9" style="53"/>
    <col min="12310" max="12310" width="9" style="53" customWidth="1"/>
    <col min="12311" max="12316" width="9" style="53"/>
    <col min="12317" max="12317" width="26.5" style="53" customWidth="1"/>
    <col min="12318" max="12320" width="9" style="53"/>
    <col min="12321" max="12321" width="14.75" style="53" bestFit="1" customWidth="1"/>
    <col min="12322" max="12544" width="9" style="53"/>
    <col min="12545" max="12547" width="9" style="53" customWidth="1"/>
    <col min="12548" max="12548" width="10.5" style="53" customWidth="1"/>
    <col min="12549" max="12549" width="11.25" style="53" bestFit="1" customWidth="1"/>
    <col min="12550" max="12551" width="9" style="53"/>
    <col min="12552" max="12561" width="9" style="53" customWidth="1"/>
    <col min="12562" max="12562" width="9" style="53"/>
    <col min="12563" max="12563" width="9.5" style="53" bestFit="1" customWidth="1"/>
    <col min="12564" max="12564" width="9" style="53" customWidth="1"/>
    <col min="12565" max="12565" width="9" style="53"/>
    <col min="12566" max="12566" width="9" style="53" customWidth="1"/>
    <col min="12567" max="12572" width="9" style="53"/>
    <col min="12573" max="12573" width="26.5" style="53" customWidth="1"/>
    <col min="12574" max="12576" width="9" style="53"/>
    <col min="12577" max="12577" width="14.75" style="53" bestFit="1" customWidth="1"/>
    <col min="12578" max="12800" width="9" style="53"/>
    <col min="12801" max="12803" width="9" style="53" customWidth="1"/>
    <col min="12804" max="12804" width="10.5" style="53" customWidth="1"/>
    <col min="12805" max="12805" width="11.25" style="53" bestFit="1" customWidth="1"/>
    <col min="12806" max="12807" width="9" style="53"/>
    <col min="12808" max="12817" width="9" style="53" customWidth="1"/>
    <col min="12818" max="12818" width="9" style="53"/>
    <col min="12819" max="12819" width="9.5" style="53" bestFit="1" customWidth="1"/>
    <col min="12820" max="12820" width="9" style="53" customWidth="1"/>
    <col min="12821" max="12821" width="9" style="53"/>
    <col min="12822" max="12822" width="9" style="53" customWidth="1"/>
    <col min="12823" max="12828" width="9" style="53"/>
    <col min="12829" max="12829" width="26.5" style="53" customWidth="1"/>
    <col min="12830" max="12832" width="9" style="53"/>
    <col min="12833" max="12833" width="14.75" style="53" bestFit="1" customWidth="1"/>
    <col min="12834" max="13056" width="9" style="53"/>
    <col min="13057" max="13059" width="9" style="53" customWidth="1"/>
    <col min="13060" max="13060" width="10.5" style="53" customWidth="1"/>
    <col min="13061" max="13061" width="11.25" style="53" bestFit="1" customWidth="1"/>
    <col min="13062" max="13063" width="9" style="53"/>
    <col min="13064" max="13073" width="9" style="53" customWidth="1"/>
    <col min="13074" max="13074" width="9" style="53"/>
    <col min="13075" max="13075" width="9.5" style="53" bestFit="1" customWidth="1"/>
    <col min="13076" max="13076" width="9" style="53" customWidth="1"/>
    <col min="13077" max="13077" width="9" style="53"/>
    <col min="13078" max="13078" width="9" style="53" customWidth="1"/>
    <col min="13079" max="13084" width="9" style="53"/>
    <col min="13085" max="13085" width="26.5" style="53" customWidth="1"/>
    <col min="13086" max="13088" width="9" style="53"/>
    <col min="13089" max="13089" width="14.75" style="53" bestFit="1" customWidth="1"/>
    <col min="13090" max="13312" width="9" style="53"/>
    <col min="13313" max="13315" width="9" style="53" customWidth="1"/>
    <col min="13316" max="13316" width="10.5" style="53" customWidth="1"/>
    <col min="13317" max="13317" width="11.25" style="53" bestFit="1" customWidth="1"/>
    <col min="13318" max="13319" width="9" style="53"/>
    <col min="13320" max="13329" width="9" style="53" customWidth="1"/>
    <col min="13330" max="13330" width="9" style="53"/>
    <col min="13331" max="13331" width="9.5" style="53" bestFit="1" customWidth="1"/>
    <col min="13332" max="13332" width="9" style="53" customWidth="1"/>
    <col min="13333" max="13333" width="9" style="53"/>
    <col min="13334" max="13334" width="9" style="53" customWidth="1"/>
    <col min="13335" max="13340" width="9" style="53"/>
    <col min="13341" max="13341" width="26.5" style="53" customWidth="1"/>
    <col min="13342" max="13344" width="9" style="53"/>
    <col min="13345" max="13345" width="14.75" style="53" bestFit="1" customWidth="1"/>
    <col min="13346" max="13568" width="9" style="53"/>
    <col min="13569" max="13571" width="9" style="53" customWidth="1"/>
    <col min="13572" max="13572" width="10.5" style="53" customWidth="1"/>
    <col min="13573" max="13573" width="11.25" style="53" bestFit="1" customWidth="1"/>
    <col min="13574" max="13575" width="9" style="53"/>
    <col min="13576" max="13585" width="9" style="53" customWidth="1"/>
    <col min="13586" max="13586" width="9" style="53"/>
    <col min="13587" max="13587" width="9.5" style="53" bestFit="1" customWidth="1"/>
    <col min="13588" max="13588" width="9" style="53" customWidth="1"/>
    <col min="13589" max="13589" width="9" style="53"/>
    <col min="13590" max="13590" width="9" style="53" customWidth="1"/>
    <col min="13591" max="13596" width="9" style="53"/>
    <col min="13597" max="13597" width="26.5" style="53" customWidth="1"/>
    <col min="13598" max="13600" width="9" style="53"/>
    <col min="13601" max="13601" width="14.75" style="53" bestFit="1" customWidth="1"/>
    <col min="13602" max="13824" width="9" style="53"/>
    <col min="13825" max="13827" width="9" style="53" customWidth="1"/>
    <col min="13828" max="13828" width="10.5" style="53" customWidth="1"/>
    <col min="13829" max="13829" width="11.25" style="53" bestFit="1" customWidth="1"/>
    <col min="13830" max="13831" width="9" style="53"/>
    <col min="13832" max="13841" width="9" style="53" customWidth="1"/>
    <col min="13842" max="13842" width="9" style="53"/>
    <col min="13843" max="13843" width="9.5" style="53" bestFit="1" customWidth="1"/>
    <col min="13844" max="13844" width="9" style="53" customWidth="1"/>
    <col min="13845" max="13845" width="9" style="53"/>
    <col min="13846" max="13846" width="9" style="53" customWidth="1"/>
    <col min="13847" max="13852" width="9" style="53"/>
    <col min="13853" max="13853" width="26.5" style="53" customWidth="1"/>
    <col min="13854" max="13856" width="9" style="53"/>
    <col min="13857" max="13857" width="14.75" style="53" bestFit="1" customWidth="1"/>
    <col min="13858" max="14080" width="9" style="53"/>
    <col min="14081" max="14083" width="9" style="53" customWidth="1"/>
    <col min="14084" max="14084" width="10.5" style="53" customWidth="1"/>
    <col min="14085" max="14085" width="11.25" style="53" bestFit="1" customWidth="1"/>
    <col min="14086" max="14087" width="9" style="53"/>
    <col min="14088" max="14097" width="9" style="53" customWidth="1"/>
    <col min="14098" max="14098" width="9" style="53"/>
    <col min="14099" max="14099" width="9.5" style="53" bestFit="1" customWidth="1"/>
    <col min="14100" max="14100" width="9" style="53" customWidth="1"/>
    <col min="14101" max="14101" width="9" style="53"/>
    <col min="14102" max="14102" width="9" style="53" customWidth="1"/>
    <col min="14103" max="14108" width="9" style="53"/>
    <col min="14109" max="14109" width="26.5" style="53" customWidth="1"/>
    <col min="14110" max="14112" width="9" style="53"/>
    <col min="14113" max="14113" width="14.75" style="53" bestFit="1" customWidth="1"/>
    <col min="14114" max="14336" width="9" style="53"/>
    <col min="14337" max="14339" width="9" style="53" customWidth="1"/>
    <col min="14340" max="14340" width="10.5" style="53" customWidth="1"/>
    <col min="14341" max="14341" width="11.25" style="53" bestFit="1" customWidth="1"/>
    <col min="14342" max="14343" width="9" style="53"/>
    <col min="14344" max="14353" width="9" style="53" customWidth="1"/>
    <col min="14354" max="14354" width="9" style="53"/>
    <col min="14355" max="14355" width="9.5" style="53" bestFit="1" customWidth="1"/>
    <col min="14356" max="14356" width="9" style="53" customWidth="1"/>
    <col min="14357" max="14357" width="9" style="53"/>
    <col min="14358" max="14358" width="9" style="53" customWidth="1"/>
    <col min="14359" max="14364" width="9" style="53"/>
    <col min="14365" max="14365" width="26.5" style="53" customWidth="1"/>
    <col min="14366" max="14368" width="9" style="53"/>
    <col min="14369" max="14369" width="14.75" style="53" bestFit="1" customWidth="1"/>
    <col min="14370" max="14592" width="9" style="53"/>
    <col min="14593" max="14595" width="9" style="53" customWidth="1"/>
    <col min="14596" max="14596" width="10.5" style="53" customWidth="1"/>
    <col min="14597" max="14597" width="11.25" style="53" bestFit="1" customWidth="1"/>
    <col min="14598" max="14599" width="9" style="53"/>
    <col min="14600" max="14609" width="9" style="53" customWidth="1"/>
    <col min="14610" max="14610" width="9" style="53"/>
    <col min="14611" max="14611" width="9.5" style="53" bestFit="1" customWidth="1"/>
    <col min="14612" max="14612" width="9" style="53" customWidth="1"/>
    <col min="14613" max="14613" width="9" style="53"/>
    <col min="14614" max="14614" width="9" style="53" customWidth="1"/>
    <col min="14615" max="14620" width="9" style="53"/>
    <col min="14621" max="14621" width="26.5" style="53" customWidth="1"/>
    <col min="14622" max="14624" width="9" style="53"/>
    <col min="14625" max="14625" width="14.75" style="53" bestFit="1" customWidth="1"/>
    <col min="14626" max="14848" width="9" style="53"/>
    <col min="14849" max="14851" width="9" style="53" customWidth="1"/>
    <col min="14852" max="14852" width="10.5" style="53" customWidth="1"/>
    <col min="14853" max="14853" width="11.25" style="53" bestFit="1" customWidth="1"/>
    <col min="14854" max="14855" width="9" style="53"/>
    <col min="14856" max="14865" width="9" style="53" customWidth="1"/>
    <col min="14866" max="14866" width="9" style="53"/>
    <col min="14867" max="14867" width="9.5" style="53" bestFit="1" customWidth="1"/>
    <col min="14868" max="14868" width="9" style="53" customWidth="1"/>
    <col min="14869" max="14869" width="9" style="53"/>
    <col min="14870" max="14870" width="9" style="53" customWidth="1"/>
    <col min="14871" max="14876" width="9" style="53"/>
    <col min="14877" max="14877" width="26.5" style="53" customWidth="1"/>
    <col min="14878" max="14880" width="9" style="53"/>
    <col min="14881" max="14881" width="14.75" style="53" bestFit="1" customWidth="1"/>
    <col min="14882" max="15104" width="9" style="53"/>
    <col min="15105" max="15107" width="9" style="53" customWidth="1"/>
    <col min="15108" max="15108" width="10.5" style="53" customWidth="1"/>
    <col min="15109" max="15109" width="11.25" style="53" bestFit="1" customWidth="1"/>
    <col min="15110" max="15111" width="9" style="53"/>
    <col min="15112" max="15121" width="9" style="53" customWidth="1"/>
    <col min="15122" max="15122" width="9" style="53"/>
    <col min="15123" max="15123" width="9.5" style="53" bestFit="1" customWidth="1"/>
    <col min="15124" max="15124" width="9" style="53" customWidth="1"/>
    <col min="15125" max="15125" width="9" style="53"/>
    <col min="15126" max="15126" width="9" style="53" customWidth="1"/>
    <col min="15127" max="15132" width="9" style="53"/>
    <col min="15133" max="15133" width="26.5" style="53" customWidth="1"/>
    <col min="15134" max="15136" width="9" style="53"/>
    <col min="15137" max="15137" width="14.75" style="53" bestFit="1" customWidth="1"/>
    <col min="15138" max="15360" width="9" style="53"/>
    <col min="15361" max="15363" width="9" style="53" customWidth="1"/>
    <col min="15364" max="15364" width="10.5" style="53" customWidth="1"/>
    <col min="15365" max="15365" width="11.25" style="53" bestFit="1" customWidth="1"/>
    <col min="15366" max="15367" width="9" style="53"/>
    <col min="15368" max="15377" width="9" style="53" customWidth="1"/>
    <col min="15378" max="15378" width="9" style="53"/>
    <col min="15379" max="15379" width="9.5" style="53" bestFit="1" customWidth="1"/>
    <col min="15380" max="15380" width="9" style="53" customWidth="1"/>
    <col min="15381" max="15381" width="9" style="53"/>
    <col min="15382" max="15382" width="9" style="53" customWidth="1"/>
    <col min="15383" max="15388" width="9" style="53"/>
    <col min="15389" max="15389" width="26.5" style="53" customWidth="1"/>
    <col min="15390" max="15392" width="9" style="53"/>
    <col min="15393" max="15393" width="14.75" style="53" bestFit="1" customWidth="1"/>
    <col min="15394" max="15616" width="9" style="53"/>
    <col min="15617" max="15619" width="9" style="53" customWidth="1"/>
    <col min="15620" max="15620" width="10.5" style="53" customWidth="1"/>
    <col min="15621" max="15621" width="11.25" style="53" bestFit="1" customWidth="1"/>
    <col min="15622" max="15623" width="9" style="53"/>
    <col min="15624" max="15633" width="9" style="53" customWidth="1"/>
    <col min="15634" max="15634" width="9" style="53"/>
    <col min="15635" max="15635" width="9.5" style="53" bestFit="1" customWidth="1"/>
    <col min="15636" max="15636" width="9" style="53" customWidth="1"/>
    <col min="15637" max="15637" width="9" style="53"/>
    <col min="15638" max="15638" width="9" style="53" customWidth="1"/>
    <col min="15639" max="15644" width="9" style="53"/>
    <col min="15645" max="15645" width="26.5" style="53" customWidth="1"/>
    <col min="15646" max="15648" width="9" style="53"/>
    <col min="15649" max="15649" width="14.75" style="53" bestFit="1" customWidth="1"/>
    <col min="15650" max="15872" width="9" style="53"/>
    <col min="15873" max="15875" width="9" style="53" customWidth="1"/>
    <col min="15876" max="15876" width="10.5" style="53" customWidth="1"/>
    <col min="15877" max="15877" width="11.25" style="53" bestFit="1" customWidth="1"/>
    <col min="15878" max="15879" width="9" style="53"/>
    <col min="15880" max="15889" width="9" style="53" customWidth="1"/>
    <col min="15890" max="15890" width="9" style="53"/>
    <col min="15891" max="15891" width="9.5" style="53" bestFit="1" customWidth="1"/>
    <col min="15892" max="15892" width="9" style="53" customWidth="1"/>
    <col min="15893" max="15893" width="9" style="53"/>
    <col min="15894" max="15894" width="9" style="53" customWidth="1"/>
    <col min="15895" max="15900" width="9" style="53"/>
    <col min="15901" max="15901" width="26.5" style="53" customWidth="1"/>
    <col min="15902" max="15904" width="9" style="53"/>
    <col min="15905" max="15905" width="14.75" style="53" bestFit="1" customWidth="1"/>
    <col min="15906" max="16128" width="9" style="53"/>
    <col min="16129" max="16131" width="9" style="53" customWidth="1"/>
    <col min="16132" max="16132" width="10.5" style="53" customWidth="1"/>
    <col min="16133" max="16133" width="11.25" style="53" bestFit="1" customWidth="1"/>
    <col min="16134" max="16135" width="9" style="53"/>
    <col min="16136" max="16145" width="9" style="53" customWidth="1"/>
    <col min="16146" max="16146" width="9" style="53"/>
    <col min="16147" max="16147" width="9.5" style="53" bestFit="1" customWidth="1"/>
    <col min="16148" max="16148" width="9" style="53" customWidth="1"/>
    <col min="16149" max="16149" width="9" style="53"/>
    <col min="16150" max="16150" width="9" style="53" customWidth="1"/>
    <col min="16151" max="16156" width="9" style="53"/>
    <col min="16157" max="16157" width="26.5" style="53" customWidth="1"/>
    <col min="16158" max="16160" width="9" style="53"/>
    <col min="16161" max="16161" width="14.75" style="53" bestFit="1" customWidth="1"/>
    <col min="16162" max="16384" width="9" style="53"/>
  </cols>
  <sheetData>
    <row r="1" spans="1:53" ht="44.25" customHeight="1" x14ac:dyDescent="0.15">
      <c r="A1" s="124" t="s">
        <v>269</v>
      </c>
      <c r="B1" s="55" t="s">
        <v>1</v>
      </c>
      <c r="C1" s="55" t="s">
        <v>2</v>
      </c>
      <c r="D1" s="56" t="s">
        <v>3</v>
      </c>
      <c r="E1" s="56" t="s">
        <v>270</v>
      </c>
      <c r="F1" s="56" t="s">
        <v>5</v>
      </c>
      <c r="G1" s="56" t="s">
        <v>6</v>
      </c>
      <c r="H1" s="56" t="s">
        <v>271</v>
      </c>
      <c r="I1" s="56" t="s">
        <v>8</v>
      </c>
      <c r="J1" s="56" t="s">
        <v>9</v>
      </c>
      <c r="K1" s="56" t="s">
        <v>10</v>
      </c>
      <c r="L1" s="56" t="s">
        <v>11</v>
      </c>
      <c r="M1" s="56" t="s">
        <v>12</v>
      </c>
      <c r="N1" s="56" t="s">
        <v>13</v>
      </c>
      <c r="O1" s="56" t="s">
        <v>14</v>
      </c>
      <c r="P1" s="56" t="s">
        <v>15</v>
      </c>
      <c r="Q1" s="3" t="s">
        <v>16</v>
      </c>
      <c r="R1" s="56" t="s">
        <v>17</v>
      </c>
      <c r="S1" s="56" t="s">
        <v>18</v>
      </c>
      <c r="T1" s="3" t="s">
        <v>19</v>
      </c>
      <c r="U1" s="58" t="s">
        <v>108</v>
      </c>
      <c r="V1" s="5" t="s">
        <v>20</v>
      </c>
      <c r="W1" s="56" t="s">
        <v>21</v>
      </c>
      <c r="X1" s="56" t="s">
        <v>22</v>
      </c>
      <c r="Y1" s="56" t="s">
        <v>23</v>
      </c>
      <c r="Z1" s="56" t="s">
        <v>24</v>
      </c>
      <c r="AA1" s="125" t="s">
        <v>25</v>
      </c>
      <c r="AB1" s="126" t="s">
        <v>26</v>
      </c>
      <c r="AC1" s="127"/>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s="128" customFormat="1" x14ac:dyDescent="0.15">
      <c r="A2" s="128" t="s">
        <v>61</v>
      </c>
      <c r="B2" s="128" t="s">
        <v>157</v>
      </c>
      <c r="C2" s="53">
        <v>2019</v>
      </c>
      <c r="D2" s="129" t="s">
        <v>300</v>
      </c>
      <c r="E2" s="128" t="s">
        <v>272</v>
      </c>
      <c r="F2" s="128" t="s">
        <v>273</v>
      </c>
      <c r="G2" s="128" t="s">
        <v>42</v>
      </c>
      <c r="H2" s="53" t="s">
        <v>163</v>
      </c>
      <c r="I2" s="53" t="s">
        <v>159</v>
      </c>
      <c r="J2" s="128" t="s">
        <v>38</v>
      </c>
      <c r="K2" s="53" t="s">
        <v>160</v>
      </c>
      <c r="L2" s="53">
        <v>1</v>
      </c>
      <c r="M2" s="53"/>
      <c r="N2" s="53">
        <v>2</v>
      </c>
      <c r="O2" s="53">
        <v>0.8</v>
      </c>
      <c r="P2" s="53">
        <v>0.75</v>
      </c>
      <c r="Q2" s="76">
        <f t="shared" ref="Q2:Q65" si="0">IF(OR(O2="",P2=""),"",AVERAGE(O2,P2))</f>
        <v>0.77500000000000002</v>
      </c>
      <c r="R2" s="53">
        <v>14.8</v>
      </c>
      <c r="S2" s="53">
        <v>130.5</v>
      </c>
      <c r="T2" s="16">
        <f t="shared" ref="T2:T65" si="1">IF(H2="","",IF(OR(H2="GREEN",H2="GK"),IF(S2&gt;=$AX$2,VLOOKUP(S2,$AX$2:$AY$15,2,1),""),IF(S2&gt;=$AZ$2,VLOOKUP(S2,$AZ$2:$BA$15,2,1),"")))</f>
        <v>25</v>
      </c>
      <c r="U2" s="53">
        <v>200</v>
      </c>
      <c r="V2" s="130">
        <f>IF(OR(N2="",U2="",T2=""),"",U2/N2*T2)</f>
        <v>2500</v>
      </c>
      <c r="W2" s="53">
        <v>1</v>
      </c>
      <c r="X2" s="128" t="s">
        <v>39</v>
      </c>
      <c r="Y2" s="53" t="s">
        <v>84</v>
      </c>
      <c r="Z2" s="53" t="s">
        <v>90</v>
      </c>
      <c r="AA2" s="53" t="s">
        <v>40</v>
      </c>
      <c r="AB2" s="128" t="s">
        <v>158</v>
      </c>
      <c r="AC2" s="34"/>
      <c r="AE2" s="64" t="s">
        <v>35</v>
      </c>
      <c r="AG2" s="49" t="s">
        <v>272</v>
      </c>
      <c r="AH2" s="49" t="s">
        <v>273</v>
      </c>
      <c r="AJ2" s="131" t="s">
        <v>36</v>
      </c>
      <c r="AL2" s="67" t="s">
        <v>127</v>
      </c>
      <c r="AN2" s="131" t="s">
        <v>37</v>
      </c>
      <c r="AP2" s="67" t="s">
        <v>38</v>
      </c>
      <c r="AR2" s="67" t="s">
        <v>120</v>
      </c>
      <c r="AT2" s="131" t="s">
        <v>39</v>
      </c>
      <c r="AV2" s="67" t="s">
        <v>40</v>
      </c>
      <c r="AX2" s="132">
        <v>1</v>
      </c>
      <c r="AY2" s="133">
        <v>50</v>
      </c>
      <c r="AZ2" s="133">
        <v>1</v>
      </c>
      <c r="BA2" s="134">
        <v>50</v>
      </c>
    </row>
    <row r="3" spans="1:53" x14ac:dyDescent="0.15">
      <c r="A3" s="128" t="s">
        <v>61</v>
      </c>
      <c r="B3" s="128" t="s">
        <v>157</v>
      </c>
      <c r="C3" s="53">
        <v>2019</v>
      </c>
      <c r="D3" s="129" t="s">
        <v>300</v>
      </c>
      <c r="E3" s="128" t="s">
        <v>272</v>
      </c>
      <c r="F3" s="128" t="s">
        <v>273</v>
      </c>
      <c r="G3" s="128" t="s">
        <v>42</v>
      </c>
      <c r="H3" s="53" t="s">
        <v>163</v>
      </c>
      <c r="I3" s="53" t="s">
        <v>159</v>
      </c>
      <c r="J3" s="128" t="s">
        <v>38</v>
      </c>
      <c r="K3" s="53" t="s">
        <v>160</v>
      </c>
      <c r="L3" s="53">
        <v>2</v>
      </c>
      <c r="N3" s="53">
        <v>2</v>
      </c>
      <c r="O3" s="53">
        <v>0.5</v>
      </c>
      <c r="P3" s="53">
        <v>0.2</v>
      </c>
      <c r="Q3" s="76">
        <f t="shared" si="0"/>
        <v>0.35</v>
      </c>
      <c r="R3" s="53">
        <v>17.600000000000001</v>
      </c>
      <c r="S3" s="53">
        <v>122</v>
      </c>
      <c r="T3" s="16">
        <f t="shared" si="1"/>
        <v>27</v>
      </c>
      <c r="U3" s="53">
        <v>200</v>
      </c>
      <c r="V3" s="130">
        <f t="shared" ref="V3:V66" si="2">IF(OR(N3="",U3="",T3=""),"",U3/N3*T3)</f>
        <v>2700</v>
      </c>
      <c r="W3" s="53">
        <v>1</v>
      </c>
      <c r="X3" s="128" t="s">
        <v>39</v>
      </c>
      <c r="Y3" s="53" t="s">
        <v>84</v>
      </c>
      <c r="Z3" s="53" t="s">
        <v>90</v>
      </c>
      <c r="AA3" s="53" t="s">
        <v>40</v>
      </c>
      <c r="AB3" s="128" t="s">
        <v>158</v>
      </c>
      <c r="AC3" s="34"/>
      <c r="AE3" s="22" t="s">
        <v>41</v>
      </c>
      <c r="AG3" s="49" t="s">
        <v>274</v>
      </c>
      <c r="AH3" s="49" t="s">
        <v>275</v>
      </c>
      <c r="AJ3" s="23" t="s">
        <v>42</v>
      </c>
      <c r="AL3" s="23" t="s">
        <v>128</v>
      </c>
      <c r="AN3" s="23" t="s">
        <v>43</v>
      </c>
      <c r="AP3" s="23" t="s">
        <v>44</v>
      </c>
      <c r="AR3" s="23" t="s">
        <v>45</v>
      </c>
      <c r="AT3" s="23" t="s">
        <v>46</v>
      </c>
      <c r="AV3" s="23" t="s">
        <v>47</v>
      </c>
      <c r="AX3" s="24">
        <v>72</v>
      </c>
      <c r="AY3" s="25">
        <v>46</v>
      </c>
      <c r="AZ3" s="25">
        <v>71</v>
      </c>
      <c r="BA3" s="26">
        <v>42</v>
      </c>
    </row>
    <row r="4" spans="1:53" x14ac:dyDescent="0.15">
      <c r="A4" s="128" t="s">
        <v>61</v>
      </c>
      <c r="B4" s="128" t="s">
        <v>157</v>
      </c>
      <c r="C4" s="53">
        <v>2019</v>
      </c>
      <c r="D4" s="129" t="s">
        <v>300</v>
      </c>
      <c r="E4" s="128" t="s">
        <v>272</v>
      </c>
      <c r="F4" s="128" t="s">
        <v>273</v>
      </c>
      <c r="G4" s="128" t="s">
        <v>42</v>
      </c>
      <c r="H4" s="53" t="s">
        <v>163</v>
      </c>
      <c r="I4" s="53" t="s">
        <v>159</v>
      </c>
      <c r="J4" s="128" t="s">
        <v>38</v>
      </c>
      <c r="K4" s="53" t="s">
        <v>160</v>
      </c>
      <c r="L4" s="53">
        <v>3</v>
      </c>
      <c r="N4" s="53">
        <v>2</v>
      </c>
      <c r="O4" s="53">
        <v>0.7</v>
      </c>
      <c r="P4" s="53">
        <v>0.8</v>
      </c>
      <c r="Q4" s="76">
        <f t="shared" si="0"/>
        <v>0.75</v>
      </c>
      <c r="R4" s="53">
        <v>16.5</v>
      </c>
      <c r="S4" s="53">
        <v>125</v>
      </c>
      <c r="T4" s="16">
        <f t="shared" si="1"/>
        <v>27</v>
      </c>
      <c r="U4" s="53">
        <v>200</v>
      </c>
      <c r="V4" s="130">
        <f t="shared" si="2"/>
        <v>2700</v>
      </c>
      <c r="W4" s="53">
        <v>1</v>
      </c>
      <c r="X4" s="128" t="s">
        <v>39</v>
      </c>
      <c r="Y4" s="53" t="s">
        <v>84</v>
      </c>
      <c r="Z4" s="53" t="s">
        <v>90</v>
      </c>
      <c r="AA4" s="53" t="s">
        <v>40</v>
      </c>
      <c r="AB4" s="128" t="s">
        <v>158</v>
      </c>
      <c r="AC4" s="34"/>
      <c r="AE4" s="22" t="s">
        <v>34</v>
      </c>
      <c r="AG4" s="49" t="s">
        <v>276</v>
      </c>
      <c r="AH4" s="49" t="s">
        <v>277</v>
      </c>
      <c r="AJ4" s="27" t="s">
        <v>48</v>
      </c>
      <c r="AL4" s="27" t="s">
        <v>129</v>
      </c>
      <c r="AN4" s="28" t="s">
        <v>49</v>
      </c>
      <c r="AP4" s="23" t="s">
        <v>93</v>
      </c>
      <c r="AR4" s="23" t="s">
        <v>121</v>
      </c>
      <c r="AT4" s="28"/>
      <c r="AV4" s="23" t="s">
        <v>50</v>
      </c>
      <c r="AX4" s="24">
        <v>75</v>
      </c>
      <c r="AY4" s="25">
        <v>42</v>
      </c>
      <c r="AZ4" s="25">
        <v>76</v>
      </c>
      <c r="BA4" s="26">
        <v>39</v>
      </c>
    </row>
    <row r="5" spans="1:53" x14ac:dyDescent="0.15">
      <c r="A5" s="128" t="s">
        <v>61</v>
      </c>
      <c r="B5" s="128" t="s">
        <v>157</v>
      </c>
      <c r="C5" s="53">
        <v>2019</v>
      </c>
      <c r="D5" s="129" t="s">
        <v>300</v>
      </c>
      <c r="E5" s="128" t="s">
        <v>272</v>
      </c>
      <c r="F5" s="128" t="s">
        <v>273</v>
      </c>
      <c r="G5" s="128" t="s">
        <v>42</v>
      </c>
      <c r="H5" s="53" t="s">
        <v>127</v>
      </c>
      <c r="I5" s="53" t="s">
        <v>159</v>
      </c>
      <c r="J5" s="128" t="s">
        <v>80</v>
      </c>
      <c r="K5" s="53" t="s">
        <v>59</v>
      </c>
      <c r="L5" s="53">
        <v>1</v>
      </c>
      <c r="N5" s="53">
        <v>1</v>
      </c>
      <c r="O5" s="53">
        <v>1.25</v>
      </c>
      <c r="P5" s="53">
        <v>1.25</v>
      </c>
      <c r="Q5" s="76">
        <f t="shared" si="0"/>
        <v>1.25</v>
      </c>
      <c r="R5" s="53">
        <v>14.4</v>
      </c>
      <c r="S5" s="53">
        <v>84.5</v>
      </c>
      <c r="T5" s="16">
        <f t="shared" si="1"/>
        <v>36</v>
      </c>
      <c r="U5" s="53">
        <v>100</v>
      </c>
      <c r="V5" s="130">
        <f t="shared" si="2"/>
        <v>3600</v>
      </c>
      <c r="W5" s="53">
        <v>1</v>
      </c>
      <c r="X5" s="128" t="s">
        <v>39</v>
      </c>
      <c r="Y5" s="53" t="s">
        <v>84</v>
      </c>
      <c r="Z5" s="53" t="s">
        <v>90</v>
      </c>
      <c r="AA5" s="53" t="s">
        <v>40</v>
      </c>
      <c r="AB5" s="128" t="s">
        <v>158</v>
      </c>
      <c r="AC5" s="34"/>
      <c r="AE5" s="22" t="s">
        <v>51</v>
      </c>
      <c r="AG5" s="49" t="s">
        <v>278</v>
      </c>
      <c r="AH5" s="49" t="s">
        <v>279</v>
      </c>
      <c r="AJ5" s="27"/>
      <c r="AL5" s="73" t="s">
        <v>66</v>
      </c>
      <c r="AN5" s="73" t="s">
        <v>52</v>
      </c>
      <c r="AP5" s="23" t="s">
        <v>119</v>
      </c>
      <c r="AR5" s="23" t="s">
        <v>54</v>
      </c>
      <c r="AV5" s="23" t="s">
        <v>55</v>
      </c>
      <c r="AX5" s="24">
        <v>84</v>
      </c>
      <c r="AY5" s="25">
        <v>39</v>
      </c>
      <c r="AZ5" s="25">
        <v>84</v>
      </c>
      <c r="BA5" s="26">
        <v>36</v>
      </c>
    </row>
    <row r="6" spans="1:53" x14ac:dyDescent="0.15">
      <c r="A6" s="128" t="s">
        <v>61</v>
      </c>
      <c r="B6" s="128" t="s">
        <v>157</v>
      </c>
      <c r="C6" s="53">
        <v>2019</v>
      </c>
      <c r="D6" s="129" t="s">
        <v>300</v>
      </c>
      <c r="E6" s="128" t="s">
        <v>272</v>
      </c>
      <c r="F6" s="128" t="s">
        <v>273</v>
      </c>
      <c r="G6" s="128" t="s">
        <v>42</v>
      </c>
      <c r="H6" s="53" t="s">
        <v>127</v>
      </c>
      <c r="I6" s="53" t="s">
        <v>159</v>
      </c>
      <c r="J6" s="128" t="s">
        <v>80</v>
      </c>
      <c r="K6" s="53" t="s">
        <v>59</v>
      </c>
      <c r="L6" s="53">
        <v>2</v>
      </c>
      <c r="N6" s="53">
        <v>1</v>
      </c>
      <c r="O6" s="53">
        <v>1.6</v>
      </c>
      <c r="P6" s="53">
        <v>1.5</v>
      </c>
      <c r="Q6" s="76">
        <f t="shared" si="0"/>
        <v>1.55</v>
      </c>
      <c r="R6" s="53">
        <v>14.5</v>
      </c>
      <c r="S6" s="53">
        <v>82</v>
      </c>
      <c r="T6" s="16">
        <f t="shared" si="1"/>
        <v>39</v>
      </c>
      <c r="U6" s="53">
        <v>100</v>
      </c>
      <c r="V6" s="130">
        <f t="shared" si="2"/>
        <v>3900</v>
      </c>
      <c r="W6" s="53">
        <v>1</v>
      </c>
      <c r="X6" s="128" t="s">
        <v>39</v>
      </c>
      <c r="Y6" s="53" t="s">
        <v>84</v>
      </c>
      <c r="Z6" s="53" t="s">
        <v>90</v>
      </c>
      <c r="AA6" s="53" t="s">
        <v>40</v>
      </c>
      <c r="AB6" s="128" t="s">
        <v>158</v>
      </c>
      <c r="AC6" s="34"/>
      <c r="AE6" s="22" t="s">
        <v>56</v>
      </c>
      <c r="AG6" s="49" t="s">
        <v>280</v>
      </c>
      <c r="AH6" s="49" t="s">
        <v>281</v>
      </c>
      <c r="AJ6" s="27"/>
      <c r="AL6" s="73" t="s">
        <v>99</v>
      </c>
      <c r="AN6" s="73" t="s">
        <v>57</v>
      </c>
      <c r="AP6" s="23" t="s">
        <v>53</v>
      </c>
      <c r="AR6" s="23" t="s">
        <v>59</v>
      </c>
      <c r="AV6" s="23" t="s">
        <v>60</v>
      </c>
      <c r="AX6" s="24">
        <v>97</v>
      </c>
      <c r="AY6" s="25">
        <v>36</v>
      </c>
      <c r="AZ6" s="25">
        <v>99</v>
      </c>
      <c r="BA6" s="26">
        <v>33</v>
      </c>
    </row>
    <row r="7" spans="1:53" x14ac:dyDescent="0.15">
      <c r="A7" s="128" t="s">
        <v>61</v>
      </c>
      <c r="B7" s="128" t="s">
        <v>157</v>
      </c>
      <c r="C7" s="53">
        <v>2019</v>
      </c>
      <c r="D7" s="129" t="s">
        <v>300</v>
      </c>
      <c r="E7" s="128" t="s">
        <v>272</v>
      </c>
      <c r="F7" s="128" t="s">
        <v>273</v>
      </c>
      <c r="G7" s="128" t="s">
        <v>42</v>
      </c>
      <c r="H7" s="53" t="s">
        <v>127</v>
      </c>
      <c r="I7" s="53" t="s">
        <v>159</v>
      </c>
      <c r="J7" s="128" t="s">
        <v>80</v>
      </c>
      <c r="K7" s="53" t="s">
        <v>59</v>
      </c>
      <c r="L7" s="53">
        <v>3</v>
      </c>
      <c r="N7" s="53">
        <v>1</v>
      </c>
      <c r="O7" s="53">
        <v>1.25</v>
      </c>
      <c r="P7" s="53">
        <v>1.3</v>
      </c>
      <c r="Q7" s="76">
        <f t="shared" si="0"/>
        <v>1.2749999999999999</v>
      </c>
      <c r="R7" s="53">
        <v>14.5</v>
      </c>
      <c r="S7" s="53">
        <v>75</v>
      </c>
      <c r="T7" s="16">
        <f t="shared" si="1"/>
        <v>42</v>
      </c>
      <c r="U7" s="53">
        <v>100</v>
      </c>
      <c r="V7" s="130">
        <f t="shared" si="2"/>
        <v>4200</v>
      </c>
      <c r="W7" s="53">
        <v>1</v>
      </c>
      <c r="X7" s="128" t="s">
        <v>39</v>
      </c>
      <c r="Y7" s="53" t="s">
        <v>84</v>
      </c>
      <c r="Z7" s="53" t="s">
        <v>90</v>
      </c>
      <c r="AA7" s="53" t="s">
        <v>40</v>
      </c>
      <c r="AB7" s="128" t="s">
        <v>158</v>
      </c>
      <c r="AC7" s="34"/>
      <c r="AE7" s="22" t="s">
        <v>61</v>
      </c>
      <c r="AG7" s="49" t="s">
        <v>282</v>
      </c>
      <c r="AH7" s="49" t="s">
        <v>283</v>
      </c>
      <c r="AJ7" s="27"/>
      <c r="AL7" s="34" t="s">
        <v>109</v>
      </c>
      <c r="AN7" s="73"/>
      <c r="AP7" s="23" t="s">
        <v>58</v>
      </c>
      <c r="AR7" s="23" t="s">
        <v>122</v>
      </c>
      <c r="AV7" s="23" t="s">
        <v>64</v>
      </c>
      <c r="AX7" s="24">
        <v>109</v>
      </c>
      <c r="AY7" s="25">
        <v>33</v>
      </c>
      <c r="AZ7" s="25">
        <v>113</v>
      </c>
      <c r="BA7" s="26">
        <v>30</v>
      </c>
    </row>
    <row r="8" spans="1:53" x14ac:dyDescent="0.15">
      <c r="A8" s="128" t="s">
        <v>61</v>
      </c>
      <c r="B8" s="128" t="s">
        <v>157</v>
      </c>
      <c r="C8" s="53">
        <v>2019</v>
      </c>
      <c r="D8" s="129" t="s">
        <v>300</v>
      </c>
      <c r="E8" s="128" t="s">
        <v>274</v>
      </c>
      <c r="F8" s="128" t="s">
        <v>275</v>
      </c>
      <c r="G8" s="128" t="s">
        <v>42</v>
      </c>
      <c r="H8" s="53" t="s">
        <v>163</v>
      </c>
      <c r="I8" s="53" t="s">
        <v>159</v>
      </c>
      <c r="J8" s="128" t="s">
        <v>38</v>
      </c>
      <c r="K8" s="53" t="s">
        <v>160</v>
      </c>
      <c r="L8" s="53">
        <v>1</v>
      </c>
      <c r="N8" s="53">
        <v>1</v>
      </c>
      <c r="O8" s="53">
        <v>1.75</v>
      </c>
      <c r="P8" s="53">
        <v>1.6</v>
      </c>
      <c r="Q8" s="76">
        <f t="shared" si="0"/>
        <v>1.675</v>
      </c>
      <c r="R8" s="53">
        <v>14.2</v>
      </c>
      <c r="S8" s="53">
        <v>106.5</v>
      </c>
      <c r="T8" s="16">
        <f t="shared" si="1"/>
        <v>33</v>
      </c>
      <c r="U8" s="53">
        <v>138</v>
      </c>
      <c r="V8" s="130">
        <f t="shared" si="2"/>
        <v>4554</v>
      </c>
      <c r="W8" s="53">
        <v>3</v>
      </c>
      <c r="X8" s="128" t="s">
        <v>46</v>
      </c>
      <c r="Y8" s="53" t="s">
        <v>90</v>
      </c>
      <c r="Z8" s="53" t="s">
        <v>84</v>
      </c>
      <c r="AA8" s="53" t="s">
        <v>69</v>
      </c>
      <c r="AB8" s="128" t="s">
        <v>158</v>
      </c>
      <c r="AC8" s="34"/>
      <c r="AE8" s="22" t="s">
        <v>59</v>
      </c>
      <c r="AG8" s="49" t="s">
        <v>284</v>
      </c>
      <c r="AH8" s="49" t="s">
        <v>285</v>
      </c>
      <c r="AJ8" s="28"/>
      <c r="AL8" s="34" t="s">
        <v>134</v>
      </c>
      <c r="AN8" s="73"/>
      <c r="AP8" s="23" t="s">
        <v>62</v>
      </c>
      <c r="AR8" s="23" t="s">
        <v>81</v>
      </c>
      <c r="AV8" s="23" t="s">
        <v>97</v>
      </c>
      <c r="AX8" s="24">
        <v>119</v>
      </c>
      <c r="AY8" s="25">
        <v>30</v>
      </c>
      <c r="AZ8" s="25">
        <v>121</v>
      </c>
      <c r="BA8" s="26">
        <v>27</v>
      </c>
    </row>
    <row r="9" spans="1:53" x14ac:dyDescent="0.15">
      <c r="A9" s="128" t="s">
        <v>61</v>
      </c>
      <c r="B9" s="128" t="s">
        <v>157</v>
      </c>
      <c r="C9" s="53">
        <v>2019</v>
      </c>
      <c r="D9" s="129" t="s">
        <v>300</v>
      </c>
      <c r="E9" s="128" t="s">
        <v>274</v>
      </c>
      <c r="F9" s="128" t="s">
        <v>275</v>
      </c>
      <c r="G9" s="128" t="s">
        <v>42</v>
      </c>
      <c r="H9" s="53" t="s">
        <v>163</v>
      </c>
      <c r="I9" s="53" t="s">
        <v>159</v>
      </c>
      <c r="J9" s="128" t="s">
        <v>38</v>
      </c>
      <c r="K9" s="53" t="s">
        <v>160</v>
      </c>
      <c r="L9" s="53">
        <v>2</v>
      </c>
      <c r="N9" s="53">
        <v>1</v>
      </c>
      <c r="O9" s="34">
        <v>0.75</v>
      </c>
      <c r="P9" s="53">
        <v>0.7</v>
      </c>
      <c r="Q9" s="76">
        <f t="shared" si="0"/>
        <v>0.72499999999999998</v>
      </c>
      <c r="R9" s="34">
        <v>14.1</v>
      </c>
      <c r="S9" s="53">
        <v>109</v>
      </c>
      <c r="T9" s="16">
        <f t="shared" si="1"/>
        <v>33</v>
      </c>
      <c r="U9" s="53">
        <v>138</v>
      </c>
      <c r="V9" s="130">
        <f t="shared" si="2"/>
        <v>4554</v>
      </c>
      <c r="W9" s="53">
        <v>3</v>
      </c>
      <c r="X9" s="128" t="s">
        <v>46</v>
      </c>
      <c r="Y9" s="53" t="s">
        <v>90</v>
      </c>
      <c r="Z9" s="53" t="s">
        <v>84</v>
      </c>
      <c r="AA9" s="53" t="s">
        <v>69</v>
      </c>
      <c r="AB9" s="128" t="s">
        <v>158</v>
      </c>
      <c r="AC9" s="34"/>
      <c r="AE9" s="22" t="s">
        <v>98</v>
      </c>
      <c r="AG9" s="49" t="s">
        <v>133</v>
      </c>
      <c r="AH9" s="49" t="s">
        <v>286</v>
      </c>
      <c r="AL9" s="73"/>
      <c r="AN9" s="73"/>
      <c r="AP9" s="23" t="s">
        <v>95</v>
      </c>
      <c r="AR9" s="23" t="s">
        <v>89</v>
      </c>
      <c r="AV9" s="23" t="s">
        <v>102</v>
      </c>
      <c r="AX9" s="24">
        <v>128</v>
      </c>
      <c r="AY9" s="25">
        <v>27</v>
      </c>
      <c r="AZ9" s="25">
        <v>129</v>
      </c>
      <c r="BA9" s="26">
        <v>25</v>
      </c>
    </row>
    <row r="10" spans="1:53" x14ac:dyDescent="0.15">
      <c r="A10" s="128" t="s">
        <v>61</v>
      </c>
      <c r="B10" s="128" t="s">
        <v>157</v>
      </c>
      <c r="C10" s="53">
        <v>2019</v>
      </c>
      <c r="D10" s="129" t="s">
        <v>300</v>
      </c>
      <c r="E10" s="128" t="s">
        <v>274</v>
      </c>
      <c r="F10" s="128" t="s">
        <v>275</v>
      </c>
      <c r="G10" s="128" t="s">
        <v>42</v>
      </c>
      <c r="H10" s="53" t="s">
        <v>163</v>
      </c>
      <c r="I10" s="53" t="s">
        <v>159</v>
      </c>
      <c r="J10" s="128" t="s">
        <v>38</v>
      </c>
      <c r="K10" s="53" t="s">
        <v>160</v>
      </c>
      <c r="L10" s="53">
        <v>3</v>
      </c>
      <c r="N10" s="53">
        <v>1</v>
      </c>
      <c r="O10" s="34">
        <v>0.75</v>
      </c>
      <c r="P10" s="53">
        <v>0.75</v>
      </c>
      <c r="Q10" s="76">
        <f t="shared" si="0"/>
        <v>0.75</v>
      </c>
      <c r="R10" s="53">
        <v>14.5</v>
      </c>
      <c r="S10" s="53">
        <v>108.5</v>
      </c>
      <c r="T10" s="16">
        <f t="shared" si="1"/>
        <v>33</v>
      </c>
      <c r="U10" s="53">
        <v>138</v>
      </c>
      <c r="V10" s="130">
        <f t="shared" si="2"/>
        <v>4554</v>
      </c>
      <c r="W10" s="53">
        <v>3</v>
      </c>
      <c r="X10" s="128" t="s">
        <v>46</v>
      </c>
      <c r="Y10" s="53" t="s">
        <v>90</v>
      </c>
      <c r="Z10" s="53" t="s">
        <v>84</v>
      </c>
      <c r="AA10" s="53" t="s">
        <v>69</v>
      </c>
      <c r="AB10" s="128" t="s">
        <v>158</v>
      </c>
      <c r="AC10" s="34"/>
      <c r="AE10" s="22" t="s">
        <v>103</v>
      </c>
      <c r="AG10" s="49" t="s">
        <v>287</v>
      </c>
      <c r="AH10" s="49" t="s">
        <v>288</v>
      </c>
      <c r="AL10" s="27"/>
      <c r="AP10" s="23" t="s">
        <v>100</v>
      </c>
      <c r="AR10" s="23" t="s">
        <v>123</v>
      </c>
      <c r="AV10" s="23" t="s">
        <v>106</v>
      </c>
      <c r="AX10" s="24">
        <v>138</v>
      </c>
      <c r="AY10" s="25">
        <v>25</v>
      </c>
      <c r="AZ10" s="25">
        <v>138</v>
      </c>
      <c r="BA10" s="26">
        <v>22</v>
      </c>
    </row>
    <row r="11" spans="1:53" x14ac:dyDescent="0.15">
      <c r="A11" s="128" t="s">
        <v>61</v>
      </c>
      <c r="B11" s="128" t="s">
        <v>157</v>
      </c>
      <c r="C11" s="53">
        <v>2019</v>
      </c>
      <c r="D11" s="129" t="s">
        <v>300</v>
      </c>
      <c r="E11" s="128" t="s">
        <v>276</v>
      </c>
      <c r="F11" s="128" t="s">
        <v>277</v>
      </c>
      <c r="G11" s="128" t="s">
        <v>42</v>
      </c>
      <c r="H11" s="53" t="s">
        <v>163</v>
      </c>
      <c r="I11" s="53" t="s">
        <v>159</v>
      </c>
      <c r="J11" s="128" t="s">
        <v>38</v>
      </c>
      <c r="K11" s="53" t="s">
        <v>160</v>
      </c>
      <c r="L11" s="53">
        <v>1</v>
      </c>
      <c r="N11" s="53">
        <v>8</v>
      </c>
      <c r="O11" s="53">
        <v>0.8</v>
      </c>
      <c r="P11" s="53">
        <v>0.6</v>
      </c>
      <c r="Q11" s="76">
        <f t="shared" si="0"/>
        <v>0.7</v>
      </c>
      <c r="R11" s="53">
        <v>14.6</v>
      </c>
      <c r="S11" s="53">
        <v>89</v>
      </c>
      <c r="T11" s="16">
        <f t="shared" si="1"/>
        <v>36</v>
      </c>
      <c r="U11" s="53">
        <v>537</v>
      </c>
      <c r="V11" s="130">
        <f t="shared" si="2"/>
        <v>2416.5</v>
      </c>
      <c r="W11" s="53">
        <v>6</v>
      </c>
      <c r="X11" s="128" t="s">
        <v>46</v>
      </c>
      <c r="Y11" s="53" t="s">
        <v>84</v>
      </c>
      <c r="Z11" s="53" t="s">
        <v>69</v>
      </c>
      <c r="AA11" s="53" t="s">
        <v>90</v>
      </c>
      <c r="AB11" s="128" t="s">
        <v>158</v>
      </c>
      <c r="AC11" s="34"/>
      <c r="AE11" s="22" t="s">
        <v>65</v>
      </c>
      <c r="AG11" s="49" t="s">
        <v>289</v>
      </c>
      <c r="AH11" s="49" t="s">
        <v>288</v>
      </c>
      <c r="AL11" s="135"/>
      <c r="AP11" s="23" t="s">
        <v>104</v>
      </c>
      <c r="AR11" s="23" t="s">
        <v>87</v>
      </c>
      <c r="AV11" s="136" t="s">
        <v>290</v>
      </c>
      <c r="AX11" s="24">
        <v>151</v>
      </c>
      <c r="AY11" s="25">
        <v>22</v>
      </c>
      <c r="AZ11" s="25">
        <v>152</v>
      </c>
      <c r="BA11" s="26">
        <v>18</v>
      </c>
    </row>
    <row r="12" spans="1:53" x14ac:dyDescent="0.15">
      <c r="A12" s="128" t="s">
        <v>61</v>
      </c>
      <c r="B12" s="128" t="s">
        <v>157</v>
      </c>
      <c r="C12" s="53">
        <v>2019</v>
      </c>
      <c r="D12" s="129" t="s">
        <v>300</v>
      </c>
      <c r="E12" s="128" t="s">
        <v>276</v>
      </c>
      <c r="F12" s="128" t="s">
        <v>277</v>
      </c>
      <c r="G12" s="128" t="s">
        <v>42</v>
      </c>
      <c r="H12" s="53" t="s">
        <v>163</v>
      </c>
      <c r="I12" s="53" t="s">
        <v>159</v>
      </c>
      <c r="J12" s="128" t="s">
        <v>38</v>
      </c>
      <c r="K12" s="53" t="s">
        <v>160</v>
      </c>
      <c r="L12" s="53">
        <v>2</v>
      </c>
      <c r="N12" s="53">
        <v>8</v>
      </c>
      <c r="O12" s="53">
        <v>0.75</v>
      </c>
      <c r="P12" s="53">
        <v>0.5</v>
      </c>
      <c r="Q12" s="76">
        <f t="shared" si="0"/>
        <v>0.625</v>
      </c>
      <c r="R12" s="34">
        <v>14.8</v>
      </c>
      <c r="S12" s="53">
        <v>92.5</v>
      </c>
      <c r="T12" s="16">
        <f t="shared" si="1"/>
        <v>36</v>
      </c>
      <c r="U12" s="53">
        <v>537</v>
      </c>
      <c r="V12" s="130">
        <f t="shared" si="2"/>
        <v>2416.5</v>
      </c>
      <c r="W12" s="53">
        <v>6</v>
      </c>
      <c r="X12" s="128" t="s">
        <v>46</v>
      </c>
      <c r="Y12" s="53" t="s">
        <v>84</v>
      </c>
      <c r="Z12" s="53" t="s">
        <v>69</v>
      </c>
      <c r="AA12" s="53" t="s">
        <v>90</v>
      </c>
      <c r="AB12" s="128" t="s">
        <v>158</v>
      </c>
      <c r="AC12" s="34"/>
      <c r="AE12" s="22" t="s">
        <v>70</v>
      </c>
      <c r="AG12" s="23"/>
      <c r="AH12" s="22"/>
      <c r="AL12" s="135"/>
      <c r="AP12" s="23" t="s">
        <v>67</v>
      </c>
      <c r="AR12" s="23" t="s">
        <v>124</v>
      </c>
      <c r="AV12" s="136" t="s">
        <v>291</v>
      </c>
      <c r="AX12" s="24">
        <v>180</v>
      </c>
      <c r="AY12" s="25">
        <v>18</v>
      </c>
      <c r="AZ12" s="25">
        <v>181</v>
      </c>
      <c r="BA12" s="26">
        <v>16</v>
      </c>
    </row>
    <row r="13" spans="1:53" x14ac:dyDescent="0.15">
      <c r="A13" s="128" t="s">
        <v>61</v>
      </c>
      <c r="B13" s="128" t="s">
        <v>157</v>
      </c>
      <c r="C13" s="53">
        <v>2019</v>
      </c>
      <c r="D13" s="129" t="s">
        <v>300</v>
      </c>
      <c r="E13" s="128" t="s">
        <v>276</v>
      </c>
      <c r="F13" s="128" t="s">
        <v>277</v>
      </c>
      <c r="G13" s="128" t="s">
        <v>42</v>
      </c>
      <c r="H13" s="53" t="s">
        <v>163</v>
      </c>
      <c r="I13" s="53" t="s">
        <v>159</v>
      </c>
      <c r="J13" s="128" t="s">
        <v>38</v>
      </c>
      <c r="K13" s="53" t="s">
        <v>160</v>
      </c>
      <c r="L13" s="53">
        <v>3</v>
      </c>
      <c r="N13" s="53">
        <v>8</v>
      </c>
      <c r="O13" s="53">
        <v>0.5</v>
      </c>
      <c r="P13" s="53">
        <v>0.5</v>
      </c>
      <c r="Q13" s="76">
        <f t="shared" si="0"/>
        <v>0.5</v>
      </c>
      <c r="R13" s="53">
        <v>14.8</v>
      </c>
      <c r="S13" s="53">
        <v>100</v>
      </c>
      <c r="T13" s="16">
        <f t="shared" si="1"/>
        <v>33</v>
      </c>
      <c r="U13" s="53">
        <v>537</v>
      </c>
      <c r="V13" s="130">
        <f t="shared" si="2"/>
        <v>2215.125</v>
      </c>
      <c r="W13" s="53">
        <v>6</v>
      </c>
      <c r="X13" s="128" t="s">
        <v>46</v>
      </c>
      <c r="Y13" s="53" t="s">
        <v>84</v>
      </c>
      <c r="Z13" s="53" t="s">
        <v>69</v>
      </c>
      <c r="AA13" s="53" t="s">
        <v>90</v>
      </c>
      <c r="AB13" s="128" t="s">
        <v>158</v>
      </c>
      <c r="AC13" s="34"/>
      <c r="AE13" s="22" t="s">
        <v>73</v>
      </c>
      <c r="AG13" s="23"/>
      <c r="AH13" s="22"/>
      <c r="AL13" s="137"/>
      <c r="AP13" s="23" t="s">
        <v>71</v>
      </c>
      <c r="AR13" s="23" t="s">
        <v>103</v>
      </c>
      <c r="AV13" s="136" t="s">
        <v>292</v>
      </c>
      <c r="AX13" s="24"/>
      <c r="AY13" s="25"/>
      <c r="AZ13" s="25"/>
      <c r="BA13" s="26"/>
    </row>
    <row r="14" spans="1:53" x14ac:dyDescent="0.15">
      <c r="A14" s="128" t="s">
        <v>61</v>
      </c>
      <c r="B14" s="128" t="s">
        <v>157</v>
      </c>
      <c r="C14" s="53">
        <v>2019</v>
      </c>
      <c r="D14" s="129" t="s">
        <v>300</v>
      </c>
      <c r="E14" s="128" t="s">
        <v>278</v>
      </c>
      <c r="F14" s="128" t="s">
        <v>279</v>
      </c>
      <c r="G14" s="128" t="s">
        <v>42</v>
      </c>
      <c r="H14" s="53" t="s">
        <v>163</v>
      </c>
      <c r="I14" s="53" t="s">
        <v>159</v>
      </c>
      <c r="J14" s="128" t="s">
        <v>38</v>
      </c>
      <c r="K14" s="53" t="s">
        <v>160</v>
      </c>
      <c r="L14" s="53">
        <v>1</v>
      </c>
      <c r="N14" s="53">
        <v>1</v>
      </c>
      <c r="O14" s="53">
        <v>0.75</v>
      </c>
      <c r="P14" s="53">
        <v>0.6</v>
      </c>
      <c r="Q14" s="76">
        <f t="shared" si="0"/>
        <v>0.67500000000000004</v>
      </c>
      <c r="R14" s="53">
        <v>14.6</v>
      </c>
      <c r="S14" s="53">
        <v>118.5</v>
      </c>
      <c r="T14" s="16">
        <f t="shared" si="1"/>
        <v>30</v>
      </c>
      <c r="U14" s="53">
        <v>105</v>
      </c>
      <c r="V14" s="130">
        <f t="shared" si="2"/>
        <v>3150</v>
      </c>
      <c r="W14" s="53">
        <v>4</v>
      </c>
      <c r="X14" s="128" t="s">
        <v>46</v>
      </c>
      <c r="Y14" s="53" t="s">
        <v>90</v>
      </c>
      <c r="Z14" s="53" t="s">
        <v>84</v>
      </c>
      <c r="AA14" s="53" t="s">
        <v>40</v>
      </c>
      <c r="AB14" s="128" t="s">
        <v>158</v>
      </c>
      <c r="AC14" s="34"/>
      <c r="AE14" s="22" t="s">
        <v>76</v>
      </c>
      <c r="AG14" s="23"/>
      <c r="AH14" s="22"/>
      <c r="AL14" s="34"/>
      <c r="AP14" s="23" t="s">
        <v>74</v>
      </c>
      <c r="AR14" s="23" t="s">
        <v>125</v>
      </c>
      <c r="AV14" s="136" t="s">
        <v>293</v>
      </c>
      <c r="AX14" s="24"/>
      <c r="AY14" s="25"/>
      <c r="AZ14" s="25"/>
      <c r="BA14" s="26"/>
    </row>
    <row r="15" spans="1:53" x14ac:dyDescent="0.15">
      <c r="A15" s="128" t="s">
        <v>61</v>
      </c>
      <c r="B15" s="128" t="s">
        <v>157</v>
      </c>
      <c r="C15" s="53">
        <v>2019</v>
      </c>
      <c r="D15" s="129" t="s">
        <v>300</v>
      </c>
      <c r="E15" s="128" t="s">
        <v>278</v>
      </c>
      <c r="F15" s="128" t="s">
        <v>279</v>
      </c>
      <c r="G15" s="128" t="s">
        <v>42</v>
      </c>
      <c r="H15" s="53" t="s">
        <v>163</v>
      </c>
      <c r="I15" s="53" t="s">
        <v>159</v>
      </c>
      <c r="J15" s="128" t="s">
        <v>38</v>
      </c>
      <c r="K15" s="53" t="s">
        <v>160</v>
      </c>
      <c r="L15" s="53">
        <v>2</v>
      </c>
      <c r="N15" s="53">
        <v>1</v>
      </c>
      <c r="O15" s="53">
        <v>0.75</v>
      </c>
      <c r="P15" s="53">
        <v>0.8</v>
      </c>
      <c r="Q15" s="76">
        <f t="shared" si="0"/>
        <v>0.77500000000000002</v>
      </c>
      <c r="R15" s="34">
        <v>14.8</v>
      </c>
      <c r="S15" s="53">
        <v>110.5</v>
      </c>
      <c r="T15" s="16">
        <f t="shared" si="1"/>
        <v>33</v>
      </c>
      <c r="U15" s="53">
        <v>105</v>
      </c>
      <c r="V15" s="130">
        <f t="shared" si="2"/>
        <v>3465</v>
      </c>
      <c r="W15" s="53">
        <v>4</v>
      </c>
      <c r="X15" s="128" t="s">
        <v>46</v>
      </c>
      <c r="Y15" s="53" t="s">
        <v>90</v>
      </c>
      <c r="Z15" s="53" t="s">
        <v>84</v>
      </c>
      <c r="AA15" s="53" t="s">
        <v>40</v>
      </c>
      <c r="AB15" s="128" t="s">
        <v>158</v>
      </c>
      <c r="AC15" s="34"/>
      <c r="AE15" s="22" t="s">
        <v>79</v>
      </c>
      <c r="AG15" s="23"/>
      <c r="AH15" s="23"/>
      <c r="AL15" s="34"/>
      <c r="AP15" s="23" t="s">
        <v>77</v>
      </c>
      <c r="AR15" s="23" t="s">
        <v>94</v>
      </c>
      <c r="AV15" s="136" t="s">
        <v>294</v>
      </c>
      <c r="AX15" s="31"/>
      <c r="AY15" s="32"/>
      <c r="AZ15" s="32"/>
      <c r="BA15" s="33"/>
    </row>
    <row r="16" spans="1:53" x14ac:dyDescent="0.15">
      <c r="A16" s="128" t="s">
        <v>61</v>
      </c>
      <c r="B16" s="128" t="s">
        <v>157</v>
      </c>
      <c r="C16" s="53">
        <v>2019</v>
      </c>
      <c r="D16" s="129" t="s">
        <v>300</v>
      </c>
      <c r="E16" s="128" t="s">
        <v>278</v>
      </c>
      <c r="F16" s="128" t="s">
        <v>279</v>
      </c>
      <c r="G16" s="128" t="s">
        <v>42</v>
      </c>
      <c r="H16" s="53" t="s">
        <v>163</v>
      </c>
      <c r="I16" s="53" t="s">
        <v>159</v>
      </c>
      <c r="J16" s="128" t="s">
        <v>38</v>
      </c>
      <c r="K16" s="53" t="s">
        <v>160</v>
      </c>
      <c r="L16" s="53">
        <v>3</v>
      </c>
      <c r="N16" s="53">
        <v>1</v>
      </c>
      <c r="O16" s="53">
        <v>0.75</v>
      </c>
      <c r="P16" s="53">
        <v>0.6</v>
      </c>
      <c r="Q16" s="76">
        <f t="shared" si="0"/>
        <v>0.67500000000000004</v>
      </c>
      <c r="R16" s="53">
        <v>14.6</v>
      </c>
      <c r="S16" s="53">
        <v>119.5</v>
      </c>
      <c r="T16" s="16">
        <f t="shared" si="1"/>
        <v>30</v>
      </c>
      <c r="U16" s="53">
        <v>105</v>
      </c>
      <c r="V16" s="130">
        <f t="shared" si="2"/>
        <v>3150</v>
      </c>
      <c r="W16" s="53">
        <v>4</v>
      </c>
      <c r="X16" s="128" t="s">
        <v>46</v>
      </c>
      <c r="Y16" s="53" t="s">
        <v>90</v>
      </c>
      <c r="Z16" s="53" t="s">
        <v>84</v>
      </c>
      <c r="AA16" s="53" t="s">
        <v>40</v>
      </c>
      <c r="AB16" s="128" t="s">
        <v>158</v>
      </c>
      <c r="AC16" s="34"/>
      <c r="AE16" s="22" t="s">
        <v>82</v>
      </c>
      <c r="AG16" s="23"/>
      <c r="AH16" s="23"/>
      <c r="AP16" s="23" t="s">
        <v>80</v>
      </c>
      <c r="AR16" s="23" t="s">
        <v>63</v>
      </c>
      <c r="AV16" s="136" t="s">
        <v>295</v>
      </c>
    </row>
    <row r="17" spans="1:48" x14ac:dyDescent="0.15">
      <c r="A17" s="128" t="s">
        <v>61</v>
      </c>
      <c r="B17" s="128" t="s">
        <v>157</v>
      </c>
      <c r="C17" s="53">
        <v>2019</v>
      </c>
      <c r="D17" s="129" t="s">
        <v>300</v>
      </c>
      <c r="E17" s="128" t="s">
        <v>278</v>
      </c>
      <c r="F17" s="128" t="s">
        <v>279</v>
      </c>
      <c r="G17" s="128" t="s">
        <v>42</v>
      </c>
      <c r="H17" s="53" t="s">
        <v>127</v>
      </c>
      <c r="I17" s="53" t="s">
        <v>159</v>
      </c>
      <c r="J17" s="128" t="s">
        <v>80</v>
      </c>
      <c r="K17" s="53" t="s">
        <v>59</v>
      </c>
      <c r="L17" s="53">
        <v>1</v>
      </c>
      <c r="N17" s="53">
        <v>1</v>
      </c>
      <c r="O17" s="53">
        <v>0.8</v>
      </c>
      <c r="P17" s="53">
        <v>1</v>
      </c>
      <c r="Q17" s="76">
        <f t="shared" si="0"/>
        <v>0.9</v>
      </c>
      <c r="R17" s="53">
        <v>14.5</v>
      </c>
      <c r="S17" s="53">
        <v>132.5</v>
      </c>
      <c r="T17" s="16">
        <f t="shared" si="1"/>
        <v>25</v>
      </c>
      <c r="U17" s="53">
        <v>138</v>
      </c>
      <c r="V17" s="130">
        <f t="shared" si="2"/>
        <v>3450</v>
      </c>
      <c r="W17" s="53">
        <v>4</v>
      </c>
      <c r="X17" s="128" t="s">
        <v>46</v>
      </c>
      <c r="Y17" s="53" t="s">
        <v>90</v>
      </c>
      <c r="Z17" s="53" t="s">
        <v>84</v>
      </c>
      <c r="AA17" s="53" t="s">
        <v>40</v>
      </c>
      <c r="AB17" s="128" t="s">
        <v>158</v>
      </c>
      <c r="AC17" s="34"/>
      <c r="AE17" s="22" t="s">
        <v>85</v>
      </c>
      <c r="AP17" s="27" t="s">
        <v>110</v>
      </c>
      <c r="AR17" s="23" t="s">
        <v>96</v>
      </c>
      <c r="AV17" s="136" t="s">
        <v>296</v>
      </c>
    </row>
    <row r="18" spans="1:48" x14ac:dyDescent="0.15">
      <c r="A18" s="128" t="s">
        <v>61</v>
      </c>
      <c r="B18" s="128" t="s">
        <v>157</v>
      </c>
      <c r="C18" s="53">
        <v>2019</v>
      </c>
      <c r="D18" s="129" t="s">
        <v>300</v>
      </c>
      <c r="E18" s="128" t="s">
        <v>278</v>
      </c>
      <c r="F18" s="128" t="s">
        <v>279</v>
      </c>
      <c r="G18" s="128" t="s">
        <v>42</v>
      </c>
      <c r="H18" s="53" t="s">
        <v>127</v>
      </c>
      <c r="I18" s="53" t="s">
        <v>159</v>
      </c>
      <c r="J18" s="128" t="s">
        <v>80</v>
      </c>
      <c r="K18" s="53" t="s">
        <v>59</v>
      </c>
      <c r="L18" s="53">
        <v>2</v>
      </c>
      <c r="N18" s="53">
        <v>1</v>
      </c>
      <c r="O18" s="53">
        <v>1</v>
      </c>
      <c r="P18" s="53">
        <v>1</v>
      </c>
      <c r="Q18" s="76">
        <f t="shared" si="0"/>
        <v>1</v>
      </c>
      <c r="R18" s="34">
        <v>14.5</v>
      </c>
      <c r="S18" s="53">
        <v>132.5</v>
      </c>
      <c r="T18" s="16">
        <f t="shared" si="1"/>
        <v>25</v>
      </c>
      <c r="U18" s="53">
        <v>138</v>
      </c>
      <c r="V18" s="130">
        <f t="shared" si="2"/>
        <v>3450</v>
      </c>
      <c r="W18" s="53">
        <v>4</v>
      </c>
      <c r="X18" s="128" t="s">
        <v>46</v>
      </c>
      <c r="Y18" s="53" t="s">
        <v>90</v>
      </c>
      <c r="Z18" s="53" t="s">
        <v>84</v>
      </c>
      <c r="AA18" s="53" t="s">
        <v>40</v>
      </c>
      <c r="AB18" s="128" t="s">
        <v>158</v>
      </c>
      <c r="AC18" s="34"/>
      <c r="AE18" s="22" t="s">
        <v>87</v>
      </c>
      <c r="AP18" s="27" t="s">
        <v>111</v>
      </c>
      <c r="AR18" s="23" t="s">
        <v>101</v>
      </c>
      <c r="AV18" s="136" t="s">
        <v>135</v>
      </c>
    </row>
    <row r="19" spans="1:48" x14ac:dyDescent="0.15">
      <c r="A19" s="128" t="s">
        <v>61</v>
      </c>
      <c r="B19" s="128" t="s">
        <v>157</v>
      </c>
      <c r="C19" s="53">
        <v>2019</v>
      </c>
      <c r="D19" s="129" t="s">
        <v>300</v>
      </c>
      <c r="E19" s="128" t="s">
        <v>278</v>
      </c>
      <c r="F19" s="128" t="s">
        <v>279</v>
      </c>
      <c r="G19" s="128" t="s">
        <v>42</v>
      </c>
      <c r="H19" s="53" t="s">
        <v>127</v>
      </c>
      <c r="I19" s="53" t="s">
        <v>159</v>
      </c>
      <c r="J19" s="128" t="s">
        <v>80</v>
      </c>
      <c r="K19" s="53" t="s">
        <v>59</v>
      </c>
      <c r="L19" s="53">
        <v>3</v>
      </c>
      <c r="N19" s="53">
        <v>1</v>
      </c>
      <c r="O19" s="34">
        <v>0.75</v>
      </c>
      <c r="P19" s="53">
        <v>0.8</v>
      </c>
      <c r="Q19" s="76">
        <f t="shared" si="0"/>
        <v>0.77500000000000002</v>
      </c>
      <c r="R19" s="53">
        <v>14.4</v>
      </c>
      <c r="S19" s="53">
        <v>141</v>
      </c>
      <c r="T19" s="16">
        <f t="shared" si="1"/>
        <v>22</v>
      </c>
      <c r="U19" s="53">
        <v>138</v>
      </c>
      <c r="V19" s="130">
        <f t="shared" si="2"/>
        <v>3036</v>
      </c>
      <c r="W19" s="53">
        <v>4</v>
      </c>
      <c r="X19" s="128" t="s">
        <v>46</v>
      </c>
      <c r="Y19" s="53" t="s">
        <v>90</v>
      </c>
      <c r="Z19" s="53" t="s">
        <v>84</v>
      </c>
      <c r="AA19" s="53" t="s">
        <v>40</v>
      </c>
      <c r="AB19" s="128" t="s">
        <v>158</v>
      </c>
      <c r="AC19" s="34"/>
      <c r="AE19" s="35" t="s">
        <v>89</v>
      </c>
      <c r="AP19" s="27" t="s">
        <v>112</v>
      </c>
      <c r="AR19" s="23" t="s">
        <v>126</v>
      </c>
      <c r="AV19" s="136" t="s">
        <v>297</v>
      </c>
    </row>
    <row r="20" spans="1:48" x14ac:dyDescent="0.15">
      <c r="A20" s="128" t="s">
        <v>61</v>
      </c>
      <c r="B20" s="128" t="s">
        <v>157</v>
      </c>
      <c r="C20" s="53">
        <v>2019</v>
      </c>
      <c r="D20" s="129" t="s">
        <v>300</v>
      </c>
      <c r="E20" s="128" t="s">
        <v>280</v>
      </c>
      <c r="F20" s="128" t="s">
        <v>281</v>
      </c>
      <c r="G20" s="128" t="s">
        <v>42</v>
      </c>
      <c r="H20" s="53" t="s">
        <v>206</v>
      </c>
      <c r="I20" s="53" t="s">
        <v>159</v>
      </c>
      <c r="J20" s="128" t="s">
        <v>38</v>
      </c>
      <c r="K20" s="53" t="s">
        <v>87</v>
      </c>
      <c r="L20" s="53">
        <v>1</v>
      </c>
      <c r="N20" s="53">
        <v>4</v>
      </c>
      <c r="O20" s="53">
        <v>0.5</v>
      </c>
      <c r="P20" s="53">
        <v>0.5</v>
      </c>
      <c r="Q20" s="76">
        <f t="shared" si="0"/>
        <v>0.5</v>
      </c>
      <c r="R20" s="53">
        <v>14.9</v>
      </c>
      <c r="S20" s="53">
        <v>83</v>
      </c>
      <c r="T20" s="16">
        <f t="shared" si="1"/>
        <v>39</v>
      </c>
      <c r="U20" s="53">
        <v>510</v>
      </c>
      <c r="V20" s="130">
        <f t="shared" si="2"/>
        <v>4972.5</v>
      </c>
      <c r="W20" s="53">
        <v>3</v>
      </c>
      <c r="X20" s="128" t="s">
        <v>39</v>
      </c>
      <c r="Y20" s="53" t="s">
        <v>84</v>
      </c>
      <c r="Z20" s="53" t="s">
        <v>40</v>
      </c>
      <c r="AA20" s="53" t="s">
        <v>90</v>
      </c>
      <c r="AB20" s="128" t="s">
        <v>158</v>
      </c>
      <c r="AC20" s="34"/>
      <c r="AE20" s="22"/>
      <c r="AP20" s="27" t="s">
        <v>113</v>
      </c>
      <c r="AR20" s="23" t="s">
        <v>105</v>
      </c>
      <c r="AV20" s="136" t="s">
        <v>298</v>
      </c>
    </row>
    <row r="21" spans="1:48" x14ac:dyDescent="0.15">
      <c r="A21" s="128" t="s">
        <v>61</v>
      </c>
      <c r="B21" s="128" t="s">
        <v>157</v>
      </c>
      <c r="C21" s="53">
        <v>2019</v>
      </c>
      <c r="D21" s="129" t="s">
        <v>300</v>
      </c>
      <c r="E21" s="128" t="s">
        <v>280</v>
      </c>
      <c r="F21" s="128" t="s">
        <v>281</v>
      </c>
      <c r="G21" s="128" t="s">
        <v>42</v>
      </c>
      <c r="H21" s="53" t="s">
        <v>206</v>
      </c>
      <c r="I21" s="53" t="s">
        <v>159</v>
      </c>
      <c r="J21" s="128" t="s">
        <v>38</v>
      </c>
      <c r="K21" s="53" t="s">
        <v>87</v>
      </c>
      <c r="L21" s="53">
        <v>2</v>
      </c>
      <c r="N21" s="53">
        <v>4</v>
      </c>
      <c r="O21" s="53">
        <v>0.5</v>
      </c>
      <c r="P21" s="53">
        <v>0.5</v>
      </c>
      <c r="Q21" s="76">
        <f t="shared" si="0"/>
        <v>0.5</v>
      </c>
      <c r="R21" s="53">
        <v>14.9</v>
      </c>
      <c r="S21" s="53">
        <v>88.5</v>
      </c>
      <c r="T21" s="16">
        <f t="shared" si="1"/>
        <v>36</v>
      </c>
      <c r="U21" s="53">
        <v>510</v>
      </c>
      <c r="V21" s="130">
        <f t="shared" si="2"/>
        <v>4590</v>
      </c>
      <c r="W21" s="53">
        <v>3</v>
      </c>
      <c r="X21" s="128" t="s">
        <v>39</v>
      </c>
      <c r="Y21" s="53" t="s">
        <v>84</v>
      </c>
      <c r="Z21" s="53" t="s">
        <v>40</v>
      </c>
      <c r="AA21" s="53" t="s">
        <v>90</v>
      </c>
      <c r="AB21" s="128" t="s">
        <v>158</v>
      </c>
      <c r="AC21" s="34"/>
      <c r="AE21" s="22"/>
      <c r="AP21" s="27" t="s">
        <v>114</v>
      </c>
      <c r="AR21" s="23" t="s">
        <v>68</v>
      </c>
      <c r="AV21" s="136" t="s">
        <v>299</v>
      </c>
    </row>
    <row r="22" spans="1:48" x14ac:dyDescent="0.15">
      <c r="A22" s="128" t="s">
        <v>61</v>
      </c>
      <c r="B22" s="128" t="s">
        <v>157</v>
      </c>
      <c r="C22" s="53">
        <v>2019</v>
      </c>
      <c r="D22" s="129" t="s">
        <v>300</v>
      </c>
      <c r="E22" s="128" t="s">
        <v>280</v>
      </c>
      <c r="F22" s="128" t="s">
        <v>281</v>
      </c>
      <c r="G22" s="128" t="s">
        <v>42</v>
      </c>
      <c r="H22" s="53" t="s">
        <v>206</v>
      </c>
      <c r="I22" s="53" t="s">
        <v>159</v>
      </c>
      <c r="J22" s="128" t="s">
        <v>38</v>
      </c>
      <c r="K22" s="53" t="s">
        <v>87</v>
      </c>
      <c r="L22" s="53">
        <v>3</v>
      </c>
      <c r="N22" s="53">
        <v>4</v>
      </c>
      <c r="O22" s="34">
        <v>0.5</v>
      </c>
      <c r="P22" s="53">
        <v>0.5</v>
      </c>
      <c r="Q22" s="76">
        <f t="shared" si="0"/>
        <v>0.5</v>
      </c>
      <c r="R22" s="53">
        <v>14.5</v>
      </c>
      <c r="S22" s="53">
        <v>90.5</v>
      </c>
      <c r="T22" s="16">
        <f t="shared" si="1"/>
        <v>36</v>
      </c>
      <c r="U22" s="53">
        <v>510</v>
      </c>
      <c r="V22" s="130">
        <f t="shared" si="2"/>
        <v>4590</v>
      </c>
      <c r="W22" s="53">
        <v>3</v>
      </c>
      <c r="X22" s="128" t="s">
        <v>39</v>
      </c>
      <c r="Y22" s="53" t="s">
        <v>84</v>
      </c>
      <c r="Z22" s="53" t="s">
        <v>40</v>
      </c>
      <c r="AA22" s="53" t="s">
        <v>90</v>
      </c>
      <c r="AB22" s="128" t="s">
        <v>158</v>
      </c>
      <c r="AC22" s="34"/>
      <c r="AE22" s="35"/>
      <c r="AP22" s="27" t="s">
        <v>115</v>
      </c>
      <c r="AR22" s="23" t="s">
        <v>83</v>
      </c>
      <c r="AV22" s="23"/>
    </row>
    <row r="23" spans="1:48" x14ac:dyDescent="0.15">
      <c r="A23" s="128" t="s">
        <v>61</v>
      </c>
      <c r="B23" s="128" t="s">
        <v>157</v>
      </c>
      <c r="C23" s="53">
        <v>2019</v>
      </c>
      <c r="D23" s="129" t="s">
        <v>300</v>
      </c>
      <c r="E23" s="128" t="s">
        <v>282</v>
      </c>
      <c r="F23" s="128" t="s">
        <v>283</v>
      </c>
      <c r="G23" s="128" t="s">
        <v>42</v>
      </c>
      <c r="H23" s="53" t="s">
        <v>163</v>
      </c>
      <c r="I23" s="53" t="s">
        <v>159</v>
      </c>
      <c r="J23" s="128" t="s">
        <v>38</v>
      </c>
      <c r="K23" s="53" t="s">
        <v>160</v>
      </c>
      <c r="L23" s="53">
        <v>1</v>
      </c>
      <c r="N23" s="53">
        <v>1</v>
      </c>
      <c r="O23" s="53">
        <v>0.75</v>
      </c>
      <c r="P23" s="53">
        <v>0.75</v>
      </c>
      <c r="Q23" s="76">
        <f t="shared" si="0"/>
        <v>0.75</v>
      </c>
      <c r="R23" s="53">
        <v>11.6</v>
      </c>
      <c r="S23" s="53">
        <v>104.5</v>
      </c>
      <c r="T23" s="16">
        <f t="shared" si="1"/>
        <v>33</v>
      </c>
      <c r="U23" s="53">
        <v>105</v>
      </c>
      <c r="V23" s="130">
        <f t="shared" si="2"/>
        <v>3465</v>
      </c>
      <c r="W23" s="53">
        <v>10</v>
      </c>
      <c r="X23" s="128" t="s">
        <v>46</v>
      </c>
      <c r="Y23" s="53" t="s">
        <v>40</v>
      </c>
      <c r="Z23" s="53" t="s">
        <v>69</v>
      </c>
      <c r="AA23" s="53" t="s">
        <v>90</v>
      </c>
      <c r="AB23" s="128" t="s">
        <v>158</v>
      </c>
      <c r="AC23" s="34"/>
      <c r="AE23" s="22"/>
      <c r="AP23" s="27" t="s">
        <v>137</v>
      </c>
      <c r="AR23" s="23" t="s">
        <v>61</v>
      </c>
    </row>
    <row r="24" spans="1:48" x14ac:dyDescent="0.15">
      <c r="A24" s="128" t="s">
        <v>61</v>
      </c>
      <c r="B24" s="128" t="s">
        <v>157</v>
      </c>
      <c r="C24" s="53">
        <v>2019</v>
      </c>
      <c r="D24" s="129" t="s">
        <v>300</v>
      </c>
      <c r="E24" s="128" t="s">
        <v>282</v>
      </c>
      <c r="F24" s="128" t="s">
        <v>283</v>
      </c>
      <c r="G24" s="128" t="s">
        <v>42</v>
      </c>
      <c r="H24" s="53" t="s">
        <v>163</v>
      </c>
      <c r="I24" s="53" t="s">
        <v>159</v>
      </c>
      <c r="J24" s="128" t="s">
        <v>38</v>
      </c>
      <c r="K24" s="53" t="s">
        <v>160</v>
      </c>
      <c r="L24" s="53">
        <v>2</v>
      </c>
      <c r="N24" s="53">
        <v>1</v>
      </c>
      <c r="O24" s="53">
        <v>0.6</v>
      </c>
      <c r="P24" s="53">
        <v>0.5</v>
      </c>
      <c r="Q24" s="76">
        <f t="shared" si="0"/>
        <v>0.55000000000000004</v>
      </c>
      <c r="R24" s="53">
        <v>12.6</v>
      </c>
      <c r="S24" s="53">
        <v>106.5</v>
      </c>
      <c r="T24" s="16">
        <f t="shared" si="1"/>
        <v>33</v>
      </c>
      <c r="U24" s="53">
        <v>105</v>
      </c>
      <c r="V24" s="130">
        <f t="shared" si="2"/>
        <v>3465</v>
      </c>
      <c r="W24" s="53">
        <v>10</v>
      </c>
      <c r="X24" s="128" t="s">
        <v>46</v>
      </c>
      <c r="Y24" s="53" t="s">
        <v>40</v>
      </c>
      <c r="Z24" s="53" t="s">
        <v>69</v>
      </c>
      <c r="AA24" s="53" t="s">
        <v>90</v>
      </c>
      <c r="AB24" s="128" t="s">
        <v>158</v>
      </c>
      <c r="AC24" s="34"/>
      <c r="AE24" s="22"/>
      <c r="AP24" s="27" t="s">
        <v>138</v>
      </c>
      <c r="AR24" s="23" t="s">
        <v>91</v>
      </c>
    </row>
    <row r="25" spans="1:48" x14ac:dyDescent="0.15">
      <c r="A25" s="128" t="s">
        <v>61</v>
      </c>
      <c r="B25" s="128" t="s">
        <v>157</v>
      </c>
      <c r="C25" s="53">
        <v>2019</v>
      </c>
      <c r="D25" s="129" t="s">
        <v>300</v>
      </c>
      <c r="E25" s="128" t="s">
        <v>282</v>
      </c>
      <c r="F25" s="128" t="s">
        <v>283</v>
      </c>
      <c r="G25" s="128" t="s">
        <v>42</v>
      </c>
      <c r="H25" s="53" t="s">
        <v>163</v>
      </c>
      <c r="I25" s="53" t="s">
        <v>159</v>
      </c>
      <c r="J25" s="128" t="s">
        <v>38</v>
      </c>
      <c r="K25" s="53" t="s">
        <v>160</v>
      </c>
      <c r="L25" s="53">
        <v>3</v>
      </c>
      <c r="N25" s="53">
        <v>1</v>
      </c>
      <c r="O25" s="34">
        <v>1</v>
      </c>
      <c r="P25" s="53">
        <v>0.75</v>
      </c>
      <c r="Q25" s="76">
        <f t="shared" si="0"/>
        <v>0.875</v>
      </c>
      <c r="R25" s="53">
        <v>14.9</v>
      </c>
      <c r="S25" s="53">
        <v>104.5</v>
      </c>
      <c r="T25" s="16">
        <f t="shared" si="1"/>
        <v>33</v>
      </c>
      <c r="U25" s="53">
        <v>105</v>
      </c>
      <c r="V25" s="130">
        <f t="shared" si="2"/>
        <v>3465</v>
      </c>
      <c r="W25" s="53">
        <v>10</v>
      </c>
      <c r="X25" s="128" t="s">
        <v>46</v>
      </c>
      <c r="Y25" s="53" t="s">
        <v>40</v>
      </c>
      <c r="Z25" s="53" t="s">
        <v>69</v>
      </c>
      <c r="AA25" s="53" t="s">
        <v>90</v>
      </c>
      <c r="AB25" s="128" t="s">
        <v>158</v>
      </c>
      <c r="AC25" s="34"/>
      <c r="AE25" s="35"/>
      <c r="AP25" s="27" t="s">
        <v>116</v>
      </c>
      <c r="AR25" s="27" t="s">
        <v>92</v>
      </c>
    </row>
    <row r="26" spans="1:48" x14ac:dyDescent="0.15">
      <c r="A26" s="128" t="s">
        <v>61</v>
      </c>
      <c r="B26" s="128" t="s">
        <v>157</v>
      </c>
      <c r="C26" s="53">
        <v>2019</v>
      </c>
      <c r="D26" s="129" t="s">
        <v>300</v>
      </c>
      <c r="E26" s="128" t="s">
        <v>284</v>
      </c>
      <c r="F26" s="128" t="s">
        <v>285</v>
      </c>
      <c r="G26" s="128" t="s">
        <v>42</v>
      </c>
      <c r="H26" s="53" t="s">
        <v>163</v>
      </c>
      <c r="I26" s="53" t="s">
        <v>159</v>
      </c>
      <c r="J26" s="128" t="s">
        <v>38</v>
      </c>
      <c r="K26" s="53" t="s">
        <v>160</v>
      </c>
      <c r="L26" s="53">
        <v>1</v>
      </c>
      <c r="N26" s="53">
        <v>1</v>
      </c>
      <c r="O26" s="53">
        <v>1.25</v>
      </c>
      <c r="P26" s="34">
        <v>0.75</v>
      </c>
      <c r="Q26" s="76">
        <f t="shared" si="0"/>
        <v>1</v>
      </c>
      <c r="R26" s="53">
        <v>14.7</v>
      </c>
      <c r="S26" s="53">
        <v>111.5</v>
      </c>
      <c r="T26" s="16">
        <f t="shared" si="1"/>
        <v>33</v>
      </c>
      <c r="U26" s="53">
        <v>138</v>
      </c>
      <c r="V26" s="130">
        <f t="shared" si="2"/>
        <v>4554</v>
      </c>
      <c r="W26" s="53">
        <v>4</v>
      </c>
      <c r="X26" s="128" t="s">
        <v>39</v>
      </c>
      <c r="Y26" s="53" t="s">
        <v>84</v>
      </c>
      <c r="Z26" s="53" t="s">
        <v>90</v>
      </c>
      <c r="AA26" s="53" t="s">
        <v>69</v>
      </c>
      <c r="AB26" s="128" t="s">
        <v>158</v>
      </c>
      <c r="AC26" s="34"/>
      <c r="AD26" s="34"/>
      <c r="AE26" s="35"/>
      <c r="AP26" s="27" t="s">
        <v>117</v>
      </c>
      <c r="AR26" s="23" t="s">
        <v>153</v>
      </c>
    </row>
    <row r="27" spans="1:48" x14ac:dyDescent="0.15">
      <c r="A27" s="128" t="s">
        <v>61</v>
      </c>
      <c r="B27" s="128" t="s">
        <v>157</v>
      </c>
      <c r="C27" s="53">
        <v>2019</v>
      </c>
      <c r="D27" s="129" t="s">
        <v>300</v>
      </c>
      <c r="E27" s="128" t="s">
        <v>284</v>
      </c>
      <c r="F27" s="128" t="s">
        <v>285</v>
      </c>
      <c r="G27" s="128" t="s">
        <v>42</v>
      </c>
      <c r="H27" s="53" t="s">
        <v>163</v>
      </c>
      <c r="I27" s="53" t="s">
        <v>159</v>
      </c>
      <c r="J27" s="128" t="s">
        <v>38</v>
      </c>
      <c r="K27" s="53" t="s">
        <v>160</v>
      </c>
      <c r="L27" s="53">
        <v>2</v>
      </c>
      <c r="N27" s="53">
        <v>1</v>
      </c>
      <c r="O27" s="53">
        <v>1</v>
      </c>
      <c r="P27" s="34">
        <v>0.75</v>
      </c>
      <c r="Q27" s="76">
        <f t="shared" si="0"/>
        <v>0.875</v>
      </c>
      <c r="R27" s="53">
        <v>13.8</v>
      </c>
      <c r="S27" s="53">
        <v>108.5</v>
      </c>
      <c r="T27" s="16">
        <f t="shared" si="1"/>
        <v>33</v>
      </c>
      <c r="U27" s="53">
        <v>138</v>
      </c>
      <c r="V27" s="130">
        <f t="shared" si="2"/>
        <v>4554</v>
      </c>
      <c r="W27" s="53">
        <v>4</v>
      </c>
      <c r="X27" s="128" t="s">
        <v>39</v>
      </c>
      <c r="Y27" s="53" t="s">
        <v>84</v>
      </c>
      <c r="Z27" s="53" t="s">
        <v>90</v>
      </c>
      <c r="AA27" s="53" t="s">
        <v>69</v>
      </c>
      <c r="AB27" s="128" t="s">
        <v>158</v>
      </c>
      <c r="AC27" s="34"/>
      <c r="AD27" s="34"/>
      <c r="AE27" s="28"/>
      <c r="AP27" s="27" t="s">
        <v>118</v>
      </c>
      <c r="AR27" s="23"/>
    </row>
    <row r="28" spans="1:48" x14ac:dyDescent="0.15">
      <c r="A28" s="128" t="s">
        <v>61</v>
      </c>
      <c r="B28" s="128" t="s">
        <v>157</v>
      </c>
      <c r="C28" s="53">
        <v>2019</v>
      </c>
      <c r="D28" s="129" t="s">
        <v>300</v>
      </c>
      <c r="E28" s="128" t="s">
        <v>284</v>
      </c>
      <c r="F28" s="128" t="s">
        <v>285</v>
      </c>
      <c r="G28" s="128" t="s">
        <v>42</v>
      </c>
      <c r="H28" s="53" t="s">
        <v>163</v>
      </c>
      <c r="I28" s="53" t="s">
        <v>159</v>
      </c>
      <c r="J28" s="128" t="s">
        <v>38</v>
      </c>
      <c r="K28" s="53" t="s">
        <v>160</v>
      </c>
      <c r="L28" s="53">
        <v>3</v>
      </c>
      <c r="N28" s="53">
        <v>1</v>
      </c>
      <c r="O28" s="53">
        <v>0.8</v>
      </c>
      <c r="P28" s="34">
        <v>0.7</v>
      </c>
      <c r="Q28" s="76">
        <f t="shared" si="0"/>
        <v>0.75</v>
      </c>
      <c r="R28" s="53">
        <v>14.2</v>
      </c>
      <c r="S28" s="53">
        <v>102</v>
      </c>
      <c r="T28" s="16">
        <f t="shared" si="1"/>
        <v>33</v>
      </c>
      <c r="U28" s="53">
        <v>138</v>
      </c>
      <c r="V28" s="130">
        <f t="shared" si="2"/>
        <v>4554</v>
      </c>
      <c r="W28" s="53">
        <v>4</v>
      </c>
      <c r="X28" s="128" t="s">
        <v>39</v>
      </c>
      <c r="Y28" s="53" t="s">
        <v>84</v>
      </c>
      <c r="Z28" s="53" t="s">
        <v>90</v>
      </c>
      <c r="AA28" s="53" t="s">
        <v>69</v>
      </c>
      <c r="AB28" s="128" t="s">
        <v>158</v>
      </c>
      <c r="AC28" s="34"/>
      <c r="AD28" s="34"/>
      <c r="AP28" s="27"/>
      <c r="AR28" s="23"/>
    </row>
    <row r="29" spans="1:48" x14ac:dyDescent="0.15">
      <c r="A29" s="128" t="s">
        <v>61</v>
      </c>
      <c r="B29" s="128" t="s">
        <v>157</v>
      </c>
      <c r="C29" s="53">
        <v>2019</v>
      </c>
      <c r="D29" s="129" t="s">
        <v>300</v>
      </c>
      <c r="E29" s="128" t="s">
        <v>284</v>
      </c>
      <c r="F29" s="128" t="s">
        <v>285</v>
      </c>
      <c r="G29" s="128" t="s">
        <v>42</v>
      </c>
      <c r="H29" s="53" t="s">
        <v>127</v>
      </c>
      <c r="I29" s="53" t="s">
        <v>159</v>
      </c>
      <c r="J29" s="128" t="s">
        <v>58</v>
      </c>
      <c r="K29" s="53" t="s">
        <v>59</v>
      </c>
      <c r="L29" s="53">
        <v>1</v>
      </c>
      <c r="N29" s="53">
        <v>4</v>
      </c>
      <c r="O29" s="53">
        <v>0.7</v>
      </c>
      <c r="P29" s="53">
        <v>0.6</v>
      </c>
      <c r="Q29" s="76">
        <f t="shared" si="0"/>
        <v>0.64999999999999991</v>
      </c>
      <c r="R29" s="53">
        <v>14.8</v>
      </c>
      <c r="S29" s="53">
        <v>73.5</v>
      </c>
      <c r="T29" s="16">
        <f t="shared" si="1"/>
        <v>42</v>
      </c>
      <c r="U29" s="53">
        <v>429</v>
      </c>
      <c r="V29" s="130">
        <f t="shared" si="2"/>
        <v>4504.5</v>
      </c>
      <c r="W29" s="53">
        <v>4</v>
      </c>
      <c r="X29" s="128" t="s">
        <v>39</v>
      </c>
      <c r="Y29" s="53" t="s">
        <v>84</v>
      </c>
      <c r="Z29" s="53" t="s">
        <v>90</v>
      </c>
      <c r="AA29" s="53" t="s">
        <v>69</v>
      </c>
      <c r="AB29" s="128" t="s">
        <v>158</v>
      </c>
      <c r="AC29" s="34"/>
    </row>
    <row r="30" spans="1:48" x14ac:dyDescent="0.15">
      <c r="A30" s="128" t="s">
        <v>61</v>
      </c>
      <c r="B30" s="128" t="s">
        <v>157</v>
      </c>
      <c r="C30" s="53">
        <v>2019</v>
      </c>
      <c r="D30" s="129" t="s">
        <v>300</v>
      </c>
      <c r="E30" s="128" t="s">
        <v>284</v>
      </c>
      <c r="F30" s="128" t="s">
        <v>285</v>
      </c>
      <c r="G30" s="128" t="s">
        <v>42</v>
      </c>
      <c r="H30" s="53" t="s">
        <v>127</v>
      </c>
      <c r="I30" s="53" t="s">
        <v>159</v>
      </c>
      <c r="J30" s="128" t="s">
        <v>58</v>
      </c>
      <c r="K30" s="53" t="s">
        <v>59</v>
      </c>
      <c r="L30" s="53">
        <v>2</v>
      </c>
      <c r="N30" s="53">
        <v>4</v>
      </c>
      <c r="O30" s="53">
        <v>0.5</v>
      </c>
      <c r="P30" s="34">
        <v>0.5</v>
      </c>
      <c r="Q30" s="76">
        <f t="shared" si="0"/>
        <v>0.5</v>
      </c>
      <c r="R30" s="53">
        <v>14.2</v>
      </c>
      <c r="S30" s="53">
        <v>71</v>
      </c>
      <c r="T30" s="16">
        <f t="shared" si="1"/>
        <v>42</v>
      </c>
      <c r="U30" s="53">
        <v>429</v>
      </c>
      <c r="V30" s="130">
        <f t="shared" si="2"/>
        <v>4504.5</v>
      </c>
      <c r="W30" s="53">
        <v>4</v>
      </c>
      <c r="X30" s="128" t="s">
        <v>39</v>
      </c>
      <c r="Y30" s="53" t="s">
        <v>84</v>
      </c>
      <c r="Z30" s="53" t="s">
        <v>90</v>
      </c>
      <c r="AA30" s="53" t="s">
        <v>69</v>
      </c>
      <c r="AB30" s="128" t="s">
        <v>158</v>
      </c>
      <c r="AC30" s="34"/>
    </row>
    <row r="31" spans="1:48" x14ac:dyDescent="0.15">
      <c r="A31" s="128" t="s">
        <v>61</v>
      </c>
      <c r="B31" s="128" t="s">
        <v>157</v>
      </c>
      <c r="C31" s="53">
        <v>2019</v>
      </c>
      <c r="D31" s="129" t="s">
        <v>300</v>
      </c>
      <c r="E31" s="128" t="s">
        <v>284</v>
      </c>
      <c r="F31" s="128" t="s">
        <v>285</v>
      </c>
      <c r="G31" s="128" t="s">
        <v>42</v>
      </c>
      <c r="H31" s="53" t="s">
        <v>127</v>
      </c>
      <c r="I31" s="53" t="s">
        <v>159</v>
      </c>
      <c r="J31" s="128" t="s">
        <v>58</v>
      </c>
      <c r="K31" s="53" t="s">
        <v>59</v>
      </c>
      <c r="L31" s="53">
        <v>3</v>
      </c>
      <c r="N31" s="53">
        <v>4</v>
      </c>
      <c r="O31" s="53">
        <v>0.8</v>
      </c>
      <c r="P31" s="53">
        <v>0.8</v>
      </c>
      <c r="Q31" s="76">
        <f t="shared" si="0"/>
        <v>0.8</v>
      </c>
      <c r="R31" s="53">
        <v>14.6</v>
      </c>
      <c r="S31" s="53">
        <v>103</v>
      </c>
      <c r="T31" s="16">
        <f t="shared" si="1"/>
        <v>33</v>
      </c>
      <c r="U31" s="53">
        <v>429</v>
      </c>
      <c r="V31" s="130">
        <f t="shared" si="2"/>
        <v>3539.25</v>
      </c>
      <c r="W31" s="53">
        <v>4</v>
      </c>
      <c r="X31" s="128" t="s">
        <v>39</v>
      </c>
      <c r="Y31" s="53" t="s">
        <v>84</v>
      </c>
      <c r="Z31" s="53" t="s">
        <v>90</v>
      </c>
      <c r="AA31" s="53" t="s">
        <v>69</v>
      </c>
      <c r="AB31" s="128" t="s">
        <v>158</v>
      </c>
      <c r="AC31" s="34"/>
    </row>
    <row r="32" spans="1:48" x14ac:dyDescent="0.15">
      <c r="A32" s="128" t="s">
        <v>61</v>
      </c>
      <c r="B32" s="128" t="s">
        <v>157</v>
      </c>
      <c r="C32" s="53">
        <v>2019</v>
      </c>
      <c r="D32" s="129" t="s">
        <v>300</v>
      </c>
      <c r="E32" s="128" t="s">
        <v>133</v>
      </c>
      <c r="F32" s="128" t="s">
        <v>286</v>
      </c>
      <c r="G32" s="128" t="s">
        <v>42</v>
      </c>
      <c r="H32" s="53" t="s">
        <v>163</v>
      </c>
      <c r="I32" s="53" t="s">
        <v>159</v>
      </c>
      <c r="J32" s="128" t="s">
        <v>38</v>
      </c>
      <c r="K32" s="53" t="s">
        <v>160</v>
      </c>
      <c r="L32" s="53">
        <v>1</v>
      </c>
      <c r="N32" s="53">
        <v>1</v>
      </c>
      <c r="O32" s="53">
        <v>0.8</v>
      </c>
      <c r="P32" s="53">
        <v>0.5</v>
      </c>
      <c r="Q32" s="76">
        <f t="shared" si="0"/>
        <v>0.65</v>
      </c>
      <c r="R32" s="53">
        <v>14</v>
      </c>
      <c r="S32" s="53">
        <v>105</v>
      </c>
      <c r="T32" s="16">
        <f t="shared" si="1"/>
        <v>33</v>
      </c>
      <c r="U32" s="53">
        <v>105</v>
      </c>
      <c r="V32" s="130">
        <f t="shared" si="2"/>
        <v>3465</v>
      </c>
      <c r="W32" s="53">
        <v>9</v>
      </c>
      <c r="X32" s="128" t="s">
        <v>46</v>
      </c>
      <c r="Y32" s="53" t="s">
        <v>90</v>
      </c>
      <c r="Z32" s="53" t="s">
        <v>84</v>
      </c>
      <c r="AA32" s="53" t="s">
        <v>69</v>
      </c>
      <c r="AB32" s="128" t="s">
        <v>158</v>
      </c>
      <c r="AC32" s="34"/>
    </row>
    <row r="33" spans="1:29" x14ac:dyDescent="0.15">
      <c r="A33" s="128" t="s">
        <v>61</v>
      </c>
      <c r="B33" s="128" t="s">
        <v>157</v>
      </c>
      <c r="C33" s="53">
        <v>2019</v>
      </c>
      <c r="D33" s="129" t="s">
        <v>300</v>
      </c>
      <c r="E33" s="128" t="s">
        <v>133</v>
      </c>
      <c r="F33" s="128" t="s">
        <v>286</v>
      </c>
      <c r="G33" s="128" t="s">
        <v>42</v>
      </c>
      <c r="H33" s="53" t="s">
        <v>163</v>
      </c>
      <c r="I33" s="53" t="s">
        <v>159</v>
      </c>
      <c r="J33" s="128" t="s">
        <v>38</v>
      </c>
      <c r="K33" s="53" t="s">
        <v>160</v>
      </c>
      <c r="L33" s="53">
        <v>2</v>
      </c>
      <c r="N33" s="53">
        <v>1</v>
      </c>
      <c r="O33" s="53">
        <v>0.8</v>
      </c>
      <c r="P33" s="53">
        <v>0.7</v>
      </c>
      <c r="Q33" s="76">
        <f t="shared" si="0"/>
        <v>0.75</v>
      </c>
      <c r="R33" s="53">
        <v>13.9</v>
      </c>
      <c r="S33" s="53">
        <v>115</v>
      </c>
      <c r="T33" s="16">
        <f t="shared" si="1"/>
        <v>30</v>
      </c>
      <c r="U33" s="53">
        <v>105</v>
      </c>
      <c r="V33" s="130">
        <f t="shared" si="2"/>
        <v>3150</v>
      </c>
      <c r="W33" s="53">
        <v>9</v>
      </c>
      <c r="X33" s="128" t="s">
        <v>46</v>
      </c>
      <c r="Y33" s="53" t="s">
        <v>90</v>
      </c>
      <c r="Z33" s="53" t="s">
        <v>84</v>
      </c>
      <c r="AA33" s="53" t="s">
        <v>69</v>
      </c>
      <c r="AB33" s="128" t="s">
        <v>158</v>
      </c>
      <c r="AC33" s="34"/>
    </row>
    <row r="34" spans="1:29" x14ac:dyDescent="0.15">
      <c r="A34" s="128" t="s">
        <v>61</v>
      </c>
      <c r="B34" s="128" t="s">
        <v>157</v>
      </c>
      <c r="C34" s="53">
        <v>2019</v>
      </c>
      <c r="D34" s="129" t="s">
        <v>300</v>
      </c>
      <c r="E34" s="128" t="s">
        <v>133</v>
      </c>
      <c r="F34" s="128" t="s">
        <v>286</v>
      </c>
      <c r="G34" s="128" t="s">
        <v>42</v>
      </c>
      <c r="H34" s="53" t="s">
        <v>163</v>
      </c>
      <c r="I34" s="53" t="s">
        <v>159</v>
      </c>
      <c r="J34" s="128" t="s">
        <v>38</v>
      </c>
      <c r="K34" s="53" t="s">
        <v>160</v>
      </c>
      <c r="L34" s="53">
        <v>3</v>
      </c>
      <c r="N34" s="53">
        <v>1</v>
      </c>
      <c r="O34" s="53">
        <v>0.6</v>
      </c>
      <c r="P34" s="53">
        <v>0.6</v>
      </c>
      <c r="Q34" s="76">
        <f t="shared" si="0"/>
        <v>0.6</v>
      </c>
      <c r="R34" s="53">
        <v>14.3</v>
      </c>
      <c r="S34" s="53">
        <v>105.5</v>
      </c>
      <c r="T34" s="16">
        <f t="shared" si="1"/>
        <v>33</v>
      </c>
      <c r="U34" s="53">
        <v>105</v>
      </c>
      <c r="V34" s="130">
        <f t="shared" si="2"/>
        <v>3465</v>
      </c>
      <c r="W34" s="53">
        <v>9</v>
      </c>
      <c r="X34" s="128" t="s">
        <v>46</v>
      </c>
      <c r="Y34" s="53" t="s">
        <v>90</v>
      </c>
      <c r="Z34" s="53" t="s">
        <v>84</v>
      </c>
      <c r="AA34" s="53" t="s">
        <v>69</v>
      </c>
      <c r="AB34" s="128" t="s">
        <v>158</v>
      </c>
      <c r="AC34" s="34"/>
    </row>
    <row r="35" spans="1:29" x14ac:dyDescent="0.15">
      <c r="A35" s="128" t="s">
        <v>61</v>
      </c>
      <c r="B35" s="128" t="s">
        <v>157</v>
      </c>
      <c r="C35" s="53">
        <v>2019</v>
      </c>
      <c r="D35" s="129" t="s">
        <v>300</v>
      </c>
      <c r="E35" s="128" t="s">
        <v>133</v>
      </c>
      <c r="F35" s="128" t="s">
        <v>286</v>
      </c>
      <c r="G35" s="128" t="s">
        <v>42</v>
      </c>
      <c r="H35" s="53" t="s">
        <v>127</v>
      </c>
      <c r="I35" s="53" t="s">
        <v>159</v>
      </c>
      <c r="J35" s="128" t="s">
        <v>80</v>
      </c>
      <c r="K35" s="53" t="s">
        <v>45</v>
      </c>
      <c r="L35" s="53">
        <v>1</v>
      </c>
      <c r="N35" s="53">
        <v>4</v>
      </c>
      <c r="O35" s="53">
        <v>1.25</v>
      </c>
      <c r="P35" s="53">
        <v>1.3</v>
      </c>
      <c r="Q35" s="76">
        <f t="shared" si="0"/>
        <v>1.2749999999999999</v>
      </c>
      <c r="R35" s="53">
        <v>14.2</v>
      </c>
      <c r="S35" s="53">
        <v>87</v>
      </c>
      <c r="T35" s="16">
        <f t="shared" si="1"/>
        <v>36</v>
      </c>
      <c r="U35" s="53">
        <v>429</v>
      </c>
      <c r="V35" s="130">
        <f t="shared" si="2"/>
        <v>3861</v>
      </c>
      <c r="W35" s="53">
        <v>9</v>
      </c>
      <c r="X35" s="128" t="s">
        <v>46</v>
      </c>
      <c r="Y35" s="53" t="s">
        <v>90</v>
      </c>
      <c r="Z35" s="53" t="s">
        <v>84</v>
      </c>
      <c r="AA35" s="53" t="s">
        <v>69</v>
      </c>
      <c r="AB35" s="128" t="s">
        <v>158</v>
      </c>
      <c r="AC35" s="34"/>
    </row>
    <row r="36" spans="1:29" x14ac:dyDescent="0.15">
      <c r="A36" s="128" t="s">
        <v>61</v>
      </c>
      <c r="B36" s="128" t="s">
        <v>157</v>
      </c>
      <c r="C36" s="53">
        <v>2019</v>
      </c>
      <c r="D36" s="129" t="s">
        <v>300</v>
      </c>
      <c r="E36" s="128" t="s">
        <v>133</v>
      </c>
      <c r="F36" s="128" t="s">
        <v>286</v>
      </c>
      <c r="G36" s="128" t="s">
        <v>42</v>
      </c>
      <c r="H36" s="53" t="s">
        <v>127</v>
      </c>
      <c r="I36" s="53" t="s">
        <v>159</v>
      </c>
      <c r="J36" s="128" t="s">
        <v>80</v>
      </c>
      <c r="K36" s="53" t="s">
        <v>45</v>
      </c>
      <c r="L36" s="53">
        <v>2</v>
      </c>
      <c r="N36" s="53">
        <v>4</v>
      </c>
      <c r="O36" s="53">
        <v>0.8</v>
      </c>
      <c r="P36" s="53">
        <v>1.25</v>
      </c>
      <c r="Q36" s="76">
        <f t="shared" si="0"/>
        <v>1.0249999999999999</v>
      </c>
      <c r="R36" s="53">
        <v>14.4</v>
      </c>
      <c r="S36" s="53">
        <v>89.5</v>
      </c>
      <c r="T36" s="16">
        <f t="shared" si="1"/>
        <v>36</v>
      </c>
      <c r="U36" s="53">
        <v>429</v>
      </c>
      <c r="V36" s="130">
        <f t="shared" si="2"/>
        <v>3861</v>
      </c>
      <c r="W36" s="53">
        <v>9</v>
      </c>
      <c r="X36" s="128" t="s">
        <v>46</v>
      </c>
      <c r="Y36" s="53" t="s">
        <v>90</v>
      </c>
      <c r="Z36" s="53" t="s">
        <v>84</v>
      </c>
      <c r="AA36" s="53" t="s">
        <v>69</v>
      </c>
      <c r="AB36" s="128" t="s">
        <v>158</v>
      </c>
      <c r="AC36" s="34"/>
    </row>
    <row r="37" spans="1:29" x14ac:dyDescent="0.15">
      <c r="A37" s="128" t="s">
        <v>61</v>
      </c>
      <c r="B37" s="128" t="s">
        <v>157</v>
      </c>
      <c r="C37" s="53">
        <v>2019</v>
      </c>
      <c r="D37" s="129" t="s">
        <v>300</v>
      </c>
      <c r="E37" s="128" t="s">
        <v>133</v>
      </c>
      <c r="F37" s="128" t="s">
        <v>286</v>
      </c>
      <c r="G37" s="128" t="s">
        <v>42</v>
      </c>
      <c r="H37" s="53" t="s">
        <v>127</v>
      </c>
      <c r="I37" s="53" t="s">
        <v>159</v>
      </c>
      <c r="J37" s="128" t="s">
        <v>80</v>
      </c>
      <c r="K37" s="53" t="s">
        <v>45</v>
      </c>
      <c r="L37" s="53">
        <v>3</v>
      </c>
      <c r="N37" s="53">
        <v>4</v>
      </c>
      <c r="O37" s="53">
        <v>0.8</v>
      </c>
      <c r="P37" s="53">
        <v>0.8</v>
      </c>
      <c r="Q37" s="76">
        <f t="shared" si="0"/>
        <v>0.8</v>
      </c>
      <c r="R37" s="53">
        <v>14.5</v>
      </c>
      <c r="S37" s="53">
        <v>97</v>
      </c>
      <c r="T37" s="16">
        <f t="shared" si="1"/>
        <v>36</v>
      </c>
      <c r="U37" s="53">
        <v>429</v>
      </c>
      <c r="V37" s="130">
        <f t="shared" si="2"/>
        <v>3861</v>
      </c>
      <c r="W37" s="53">
        <v>9</v>
      </c>
      <c r="X37" s="128" t="s">
        <v>46</v>
      </c>
      <c r="Y37" s="53" t="s">
        <v>90</v>
      </c>
      <c r="Z37" s="53" t="s">
        <v>84</v>
      </c>
      <c r="AA37" s="53" t="s">
        <v>69</v>
      </c>
      <c r="AB37" s="128" t="s">
        <v>158</v>
      </c>
      <c r="AC37" s="34"/>
    </row>
    <row r="38" spans="1:29" x14ac:dyDescent="0.15">
      <c r="A38" s="128" t="s">
        <v>61</v>
      </c>
      <c r="B38" s="128" t="s">
        <v>157</v>
      </c>
      <c r="C38" s="53">
        <v>2019</v>
      </c>
      <c r="D38" s="129" t="s">
        <v>300</v>
      </c>
      <c r="E38" s="128" t="s">
        <v>287</v>
      </c>
      <c r="F38" s="128" t="s">
        <v>288</v>
      </c>
      <c r="G38" s="128" t="s">
        <v>42</v>
      </c>
      <c r="H38" s="53" t="s">
        <v>163</v>
      </c>
      <c r="I38" s="53" t="s">
        <v>159</v>
      </c>
      <c r="J38" s="128" t="s">
        <v>38</v>
      </c>
      <c r="K38" s="53" t="s">
        <v>160</v>
      </c>
      <c r="L38" s="53">
        <v>1</v>
      </c>
      <c r="N38" s="53">
        <v>1</v>
      </c>
      <c r="O38" s="53">
        <v>0.75</v>
      </c>
      <c r="P38" s="53">
        <v>0.75</v>
      </c>
      <c r="Q38" s="76">
        <f t="shared" si="0"/>
        <v>0.75</v>
      </c>
      <c r="R38" s="53">
        <v>14.4</v>
      </c>
      <c r="S38" s="53">
        <v>113.5</v>
      </c>
      <c r="T38" s="16">
        <f t="shared" si="1"/>
        <v>30</v>
      </c>
      <c r="U38" s="53">
        <v>138</v>
      </c>
      <c r="V38" s="130">
        <f t="shared" si="2"/>
        <v>4140</v>
      </c>
      <c r="W38" s="53">
        <v>8</v>
      </c>
      <c r="X38" s="128" t="s">
        <v>39</v>
      </c>
      <c r="Y38" s="53" t="s">
        <v>84</v>
      </c>
      <c r="Z38" s="53" t="s">
        <v>40</v>
      </c>
      <c r="AA38" s="53" t="s">
        <v>69</v>
      </c>
      <c r="AB38" s="128" t="s">
        <v>158</v>
      </c>
      <c r="AC38" s="34"/>
    </row>
    <row r="39" spans="1:29" x14ac:dyDescent="0.15">
      <c r="A39" s="128" t="s">
        <v>61</v>
      </c>
      <c r="B39" s="128" t="s">
        <v>157</v>
      </c>
      <c r="C39" s="53">
        <v>2019</v>
      </c>
      <c r="D39" s="129" t="s">
        <v>300</v>
      </c>
      <c r="E39" s="128" t="s">
        <v>287</v>
      </c>
      <c r="F39" s="128" t="s">
        <v>288</v>
      </c>
      <c r="G39" s="128" t="s">
        <v>42</v>
      </c>
      <c r="H39" s="53" t="s">
        <v>163</v>
      </c>
      <c r="I39" s="53" t="s">
        <v>159</v>
      </c>
      <c r="J39" s="128" t="s">
        <v>38</v>
      </c>
      <c r="K39" s="53" t="s">
        <v>160</v>
      </c>
      <c r="L39" s="53">
        <v>2</v>
      </c>
      <c r="N39" s="53">
        <v>1</v>
      </c>
      <c r="O39" s="53">
        <v>0.75</v>
      </c>
      <c r="P39" s="53">
        <v>0.75</v>
      </c>
      <c r="Q39" s="76">
        <f t="shared" si="0"/>
        <v>0.75</v>
      </c>
      <c r="R39" s="53">
        <v>14.4</v>
      </c>
      <c r="S39" s="53">
        <v>107</v>
      </c>
      <c r="T39" s="16">
        <f t="shared" si="1"/>
        <v>33</v>
      </c>
      <c r="U39" s="53">
        <v>138</v>
      </c>
      <c r="V39" s="130">
        <f t="shared" si="2"/>
        <v>4554</v>
      </c>
      <c r="W39" s="53">
        <v>8</v>
      </c>
      <c r="X39" s="128" t="s">
        <v>39</v>
      </c>
      <c r="Y39" s="53" t="s">
        <v>84</v>
      </c>
      <c r="Z39" s="53" t="s">
        <v>40</v>
      </c>
      <c r="AA39" s="53" t="s">
        <v>69</v>
      </c>
      <c r="AB39" s="128" t="s">
        <v>158</v>
      </c>
      <c r="AC39" s="34"/>
    </row>
    <row r="40" spans="1:29" x14ac:dyDescent="0.15">
      <c r="A40" s="128" t="s">
        <v>61</v>
      </c>
      <c r="B40" s="128" t="s">
        <v>157</v>
      </c>
      <c r="C40" s="53">
        <v>2019</v>
      </c>
      <c r="D40" s="129" t="s">
        <v>300</v>
      </c>
      <c r="E40" s="128" t="s">
        <v>287</v>
      </c>
      <c r="F40" s="128" t="s">
        <v>288</v>
      </c>
      <c r="G40" s="128" t="s">
        <v>42</v>
      </c>
      <c r="H40" s="53" t="s">
        <v>163</v>
      </c>
      <c r="I40" s="53" t="s">
        <v>159</v>
      </c>
      <c r="J40" s="128" t="s">
        <v>38</v>
      </c>
      <c r="K40" s="53" t="s">
        <v>160</v>
      </c>
      <c r="L40" s="53">
        <v>3</v>
      </c>
      <c r="N40" s="53">
        <v>1</v>
      </c>
      <c r="O40" s="53">
        <v>0.75</v>
      </c>
      <c r="P40" s="53">
        <v>0.6</v>
      </c>
      <c r="Q40" s="76">
        <f t="shared" si="0"/>
        <v>0.67500000000000004</v>
      </c>
      <c r="R40" s="53">
        <v>14.7</v>
      </c>
      <c r="S40" s="53">
        <v>112</v>
      </c>
      <c r="T40" s="16">
        <f t="shared" si="1"/>
        <v>33</v>
      </c>
      <c r="U40" s="53">
        <v>138</v>
      </c>
      <c r="V40" s="130">
        <f t="shared" si="2"/>
        <v>4554</v>
      </c>
      <c r="W40" s="53">
        <v>8</v>
      </c>
      <c r="X40" s="128" t="s">
        <v>39</v>
      </c>
      <c r="Y40" s="53" t="s">
        <v>84</v>
      </c>
      <c r="Z40" s="53" t="s">
        <v>40</v>
      </c>
      <c r="AA40" s="53" t="s">
        <v>69</v>
      </c>
      <c r="AB40" s="128" t="s">
        <v>158</v>
      </c>
      <c r="AC40" s="34"/>
    </row>
    <row r="41" spans="1:29" x14ac:dyDescent="0.15">
      <c r="A41" s="128" t="s">
        <v>61</v>
      </c>
      <c r="B41" s="128" t="s">
        <v>157</v>
      </c>
      <c r="C41" s="53">
        <v>2019</v>
      </c>
      <c r="D41" s="129" t="s">
        <v>300</v>
      </c>
      <c r="E41" s="128" t="s">
        <v>287</v>
      </c>
      <c r="F41" s="128" t="s">
        <v>288</v>
      </c>
      <c r="G41" s="128" t="s">
        <v>42</v>
      </c>
      <c r="H41" s="53" t="s">
        <v>163</v>
      </c>
      <c r="I41" s="53" t="s">
        <v>170</v>
      </c>
      <c r="J41" s="128" t="s">
        <v>38</v>
      </c>
      <c r="K41" s="53" t="s">
        <v>160</v>
      </c>
      <c r="L41" s="53">
        <v>1</v>
      </c>
      <c r="N41" s="53">
        <v>5</v>
      </c>
      <c r="O41" s="53">
        <v>0.2</v>
      </c>
      <c r="P41" s="53">
        <v>0.3</v>
      </c>
      <c r="Q41" s="76">
        <f t="shared" si="0"/>
        <v>0.25</v>
      </c>
      <c r="R41" s="53">
        <v>14.7</v>
      </c>
      <c r="S41" s="53">
        <v>79</v>
      </c>
      <c r="T41" s="16">
        <f t="shared" si="1"/>
        <v>39</v>
      </c>
      <c r="U41" s="53">
        <v>429</v>
      </c>
      <c r="V41" s="130">
        <f t="shared" si="2"/>
        <v>3346.2</v>
      </c>
      <c r="W41" s="53">
        <v>8</v>
      </c>
      <c r="X41" s="128" t="s">
        <v>39</v>
      </c>
      <c r="Y41" s="53" t="s">
        <v>84</v>
      </c>
      <c r="Z41" s="53" t="s">
        <v>40</v>
      </c>
      <c r="AA41" s="53" t="s">
        <v>69</v>
      </c>
      <c r="AB41" s="128" t="s">
        <v>158</v>
      </c>
      <c r="AC41" s="34"/>
    </row>
    <row r="42" spans="1:29" x14ac:dyDescent="0.15">
      <c r="A42" s="128" t="s">
        <v>61</v>
      </c>
      <c r="B42" s="128" t="s">
        <v>157</v>
      </c>
      <c r="C42" s="53">
        <v>2019</v>
      </c>
      <c r="D42" s="129" t="s">
        <v>300</v>
      </c>
      <c r="E42" s="128" t="s">
        <v>287</v>
      </c>
      <c r="F42" s="128" t="s">
        <v>288</v>
      </c>
      <c r="G42" s="128" t="s">
        <v>42</v>
      </c>
      <c r="H42" s="53" t="s">
        <v>163</v>
      </c>
      <c r="I42" s="53" t="s">
        <v>170</v>
      </c>
      <c r="J42" s="128" t="s">
        <v>38</v>
      </c>
      <c r="K42" s="53" t="s">
        <v>160</v>
      </c>
      <c r="L42" s="53">
        <v>2</v>
      </c>
      <c r="N42" s="53">
        <v>5</v>
      </c>
      <c r="O42" s="53">
        <v>0.2</v>
      </c>
      <c r="P42" s="53">
        <v>0.2</v>
      </c>
      <c r="Q42" s="76">
        <f t="shared" si="0"/>
        <v>0.2</v>
      </c>
      <c r="R42" s="53">
        <v>14.6</v>
      </c>
      <c r="S42" s="53">
        <v>73.5</v>
      </c>
      <c r="T42" s="16">
        <f t="shared" si="1"/>
        <v>42</v>
      </c>
      <c r="U42" s="53">
        <v>429</v>
      </c>
      <c r="V42" s="130">
        <f t="shared" si="2"/>
        <v>3603.6</v>
      </c>
      <c r="W42" s="53">
        <v>8</v>
      </c>
      <c r="X42" s="128" t="s">
        <v>39</v>
      </c>
      <c r="Y42" s="53" t="s">
        <v>84</v>
      </c>
      <c r="Z42" s="53" t="s">
        <v>40</v>
      </c>
      <c r="AA42" s="53" t="s">
        <v>69</v>
      </c>
      <c r="AB42" s="128" t="s">
        <v>158</v>
      </c>
      <c r="AC42" s="34"/>
    </row>
    <row r="43" spans="1:29" x14ac:dyDescent="0.15">
      <c r="A43" s="128" t="s">
        <v>61</v>
      </c>
      <c r="B43" s="128" t="s">
        <v>157</v>
      </c>
      <c r="C43" s="53">
        <v>2019</v>
      </c>
      <c r="D43" s="129" t="s">
        <v>300</v>
      </c>
      <c r="E43" s="128" t="s">
        <v>287</v>
      </c>
      <c r="F43" s="128" t="s">
        <v>288</v>
      </c>
      <c r="G43" s="128" t="s">
        <v>42</v>
      </c>
      <c r="H43" s="53" t="s">
        <v>163</v>
      </c>
      <c r="I43" s="53" t="s">
        <v>170</v>
      </c>
      <c r="J43" s="128" t="s">
        <v>38</v>
      </c>
      <c r="K43" s="53" t="s">
        <v>160</v>
      </c>
      <c r="L43" s="53">
        <v>3</v>
      </c>
      <c r="N43" s="53">
        <v>5</v>
      </c>
      <c r="O43" s="53">
        <v>0.2</v>
      </c>
      <c r="P43" s="53">
        <v>0.2</v>
      </c>
      <c r="Q43" s="76">
        <f t="shared" si="0"/>
        <v>0.2</v>
      </c>
      <c r="R43" s="53">
        <v>14.4</v>
      </c>
      <c r="S43" s="53">
        <v>75</v>
      </c>
      <c r="T43" s="16">
        <f t="shared" si="1"/>
        <v>42</v>
      </c>
      <c r="U43" s="53">
        <v>429</v>
      </c>
      <c r="V43" s="130">
        <f t="shared" si="2"/>
        <v>3603.6</v>
      </c>
      <c r="W43" s="53">
        <v>8</v>
      </c>
      <c r="X43" s="128" t="s">
        <v>39</v>
      </c>
      <c r="Y43" s="53" t="s">
        <v>84</v>
      </c>
      <c r="Z43" s="53" t="s">
        <v>40</v>
      </c>
      <c r="AA43" s="53" t="s">
        <v>69</v>
      </c>
      <c r="AB43" s="128" t="s">
        <v>158</v>
      </c>
      <c r="AC43" s="34"/>
    </row>
    <row r="44" spans="1:29" x14ac:dyDescent="0.15">
      <c r="A44" s="128" t="s">
        <v>61</v>
      </c>
      <c r="B44" s="128" t="s">
        <v>157</v>
      </c>
      <c r="C44" s="53">
        <v>2019</v>
      </c>
      <c r="D44" s="129" t="s">
        <v>300</v>
      </c>
      <c r="E44" s="128" t="s">
        <v>287</v>
      </c>
      <c r="F44" s="128" t="s">
        <v>288</v>
      </c>
      <c r="G44" s="128" t="s">
        <v>42</v>
      </c>
      <c r="H44" s="53" t="s">
        <v>127</v>
      </c>
      <c r="I44" s="53" t="s">
        <v>159</v>
      </c>
      <c r="J44" s="128" t="s">
        <v>80</v>
      </c>
      <c r="K44" s="53" t="s">
        <v>54</v>
      </c>
      <c r="L44" s="53">
        <v>1</v>
      </c>
      <c r="N44" s="53">
        <v>1</v>
      </c>
      <c r="O44" s="53">
        <v>1</v>
      </c>
      <c r="P44" s="53">
        <v>1</v>
      </c>
      <c r="Q44" s="76">
        <f t="shared" si="0"/>
        <v>1</v>
      </c>
      <c r="R44" s="53">
        <v>14.5</v>
      </c>
      <c r="S44" s="53">
        <v>125.5</v>
      </c>
      <c r="T44" s="16">
        <f t="shared" si="1"/>
        <v>27</v>
      </c>
      <c r="U44" s="53">
        <v>170</v>
      </c>
      <c r="V44" s="130">
        <f t="shared" si="2"/>
        <v>4590</v>
      </c>
      <c r="W44" s="53">
        <v>8</v>
      </c>
      <c r="X44" s="128" t="s">
        <v>39</v>
      </c>
      <c r="Y44" s="53" t="s">
        <v>84</v>
      </c>
      <c r="Z44" s="53" t="s">
        <v>40</v>
      </c>
      <c r="AA44" s="53" t="s">
        <v>69</v>
      </c>
      <c r="AB44" s="128" t="s">
        <v>158</v>
      </c>
    </row>
    <row r="45" spans="1:29" x14ac:dyDescent="0.15">
      <c r="A45" s="128" t="s">
        <v>61</v>
      </c>
      <c r="B45" s="128" t="s">
        <v>157</v>
      </c>
      <c r="C45" s="53">
        <v>2019</v>
      </c>
      <c r="D45" s="129" t="s">
        <v>300</v>
      </c>
      <c r="E45" s="128" t="s">
        <v>287</v>
      </c>
      <c r="F45" s="128" t="s">
        <v>288</v>
      </c>
      <c r="G45" s="128" t="s">
        <v>42</v>
      </c>
      <c r="H45" s="53" t="s">
        <v>127</v>
      </c>
      <c r="I45" s="53" t="s">
        <v>159</v>
      </c>
      <c r="J45" s="128" t="s">
        <v>80</v>
      </c>
      <c r="K45" s="53" t="s">
        <v>54</v>
      </c>
      <c r="L45" s="53">
        <v>2</v>
      </c>
      <c r="N45" s="53">
        <v>1</v>
      </c>
      <c r="O45" s="53">
        <v>1.5</v>
      </c>
      <c r="P45" s="53">
        <v>1.4</v>
      </c>
      <c r="Q45" s="76">
        <f t="shared" si="0"/>
        <v>1.45</v>
      </c>
      <c r="R45" s="53">
        <v>14.6</v>
      </c>
      <c r="S45" s="53">
        <v>127.5</v>
      </c>
      <c r="T45" s="16">
        <f t="shared" si="1"/>
        <v>27</v>
      </c>
      <c r="U45" s="53">
        <v>170</v>
      </c>
      <c r="V45" s="130">
        <f t="shared" si="2"/>
        <v>4590</v>
      </c>
      <c r="W45" s="53">
        <v>8</v>
      </c>
      <c r="X45" s="128" t="s">
        <v>39</v>
      </c>
      <c r="Y45" s="53" t="s">
        <v>84</v>
      </c>
      <c r="Z45" s="53" t="s">
        <v>40</v>
      </c>
      <c r="AA45" s="53" t="s">
        <v>69</v>
      </c>
      <c r="AB45" s="128" t="s">
        <v>158</v>
      </c>
    </row>
    <row r="46" spans="1:29" x14ac:dyDescent="0.15">
      <c r="A46" s="128" t="s">
        <v>61</v>
      </c>
      <c r="B46" s="128" t="s">
        <v>157</v>
      </c>
      <c r="C46" s="53">
        <v>2019</v>
      </c>
      <c r="D46" s="129" t="s">
        <v>300</v>
      </c>
      <c r="E46" s="128" t="s">
        <v>287</v>
      </c>
      <c r="F46" s="128" t="s">
        <v>288</v>
      </c>
      <c r="G46" s="128" t="s">
        <v>42</v>
      </c>
      <c r="H46" s="53" t="s">
        <v>127</v>
      </c>
      <c r="I46" s="53" t="s">
        <v>159</v>
      </c>
      <c r="J46" s="128" t="s">
        <v>80</v>
      </c>
      <c r="K46" s="53" t="s">
        <v>54</v>
      </c>
      <c r="L46" s="53">
        <v>3</v>
      </c>
      <c r="N46" s="53">
        <v>1</v>
      </c>
      <c r="O46" s="53">
        <v>0.75</v>
      </c>
      <c r="P46" s="53">
        <v>1.75</v>
      </c>
      <c r="Q46" s="76">
        <f t="shared" si="0"/>
        <v>1.25</v>
      </c>
      <c r="R46" s="53">
        <v>14.2</v>
      </c>
      <c r="S46" s="53">
        <v>134</v>
      </c>
      <c r="T46" s="16">
        <f t="shared" si="1"/>
        <v>25</v>
      </c>
      <c r="U46" s="53">
        <v>170</v>
      </c>
      <c r="V46" s="130">
        <f t="shared" si="2"/>
        <v>4250</v>
      </c>
      <c r="W46" s="53">
        <v>8</v>
      </c>
      <c r="X46" s="128" t="s">
        <v>39</v>
      </c>
      <c r="Y46" s="53" t="s">
        <v>84</v>
      </c>
      <c r="Z46" s="53" t="s">
        <v>40</v>
      </c>
      <c r="AA46" s="53" t="s">
        <v>69</v>
      </c>
      <c r="AB46" s="128" t="s">
        <v>158</v>
      </c>
    </row>
    <row r="47" spans="1:29" x14ac:dyDescent="0.15">
      <c r="A47" s="128" t="s">
        <v>61</v>
      </c>
      <c r="B47" s="128" t="s">
        <v>157</v>
      </c>
      <c r="C47" s="53">
        <v>2019</v>
      </c>
      <c r="D47" s="129" t="s">
        <v>300</v>
      </c>
      <c r="E47" s="128" t="s">
        <v>287</v>
      </c>
      <c r="F47" s="128" t="s">
        <v>288</v>
      </c>
      <c r="G47" s="128" t="s">
        <v>42</v>
      </c>
      <c r="H47" s="53" t="s">
        <v>127</v>
      </c>
      <c r="I47" s="53" t="s">
        <v>159</v>
      </c>
      <c r="J47" s="128" t="s">
        <v>80</v>
      </c>
      <c r="K47" s="53" t="s">
        <v>63</v>
      </c>
      <c r="L47" s="53">
        <v>1</v>
      </c>
      <c r="N47" s="53">
        <v>5</v>
      </c>
      <c r="O47" s="53">
        <v>0.75</v>
      </c>
      <c r="P47" s="53">
        <v>0.6</v>
      </c>
      <c r="Q47" s="76">
        <f t="shared" si="0"/>
        <v>0.67500000000000004</v>
      </c>
      <c r="R47" s="53">
        <v>14.6</v>
      </c>
      <c r="S47" s="53">
        <v>77</v>
      </c>
      <c r="T47" s="16">
        <f t="shared" si="1"/>
        <v>39</v>
      </c>
      <c r="U47" s="53">
        <v>429</v>
      </c>
      <c r="V47" s="130">
        <f t="shared" si="2"/>
        <v>3346.2</v>
      </c>
      <c r="W47" s="53">
        <v>8</v>
      </c>
      <c r="X47" s="128" t="s">
        <v>39</v>
      </c>
      <c r="Y47" s="53" t="s">
        <v>84</v>
      </c>
      <c r="Z47" s="53" t="s">
        <v>40</v>
      </c>
      <c r="AA47" s="53" t="s">
        <v>69</v>
      </c>
      <c r="AB47" s="128" t="s">
        <v>158</v>
      </c>
      <c r="AC47" s="34"/>
    </row>
    <row r="48" spans="1:29" x14ac:dyDescent="0.15">
      <c r="A48" s="128" t="s">
        <v>61</v>
      </c>
      <c r="B48" s="128" t="s">
        <v>157</v>
      </c>
      <c r="C48" s="53">
        <v>2019</v>
      </c>
      <c r="D48" s="129" t="s">
        <v>300</v>
      </c>
      <c r="E48" s="128" t="s">
        <v>287</v>
      </c>
      <c r="F48" s="128" t="s">
        <v>288</v>
      </c>
      <c r="G48" s="128" t="s">
        <v>42</v>
      </c>
      <c r="H48" s="53" t="s">
        <v>127</v>
      </c>
      <c r="I48" s="53" t="s">
        <v>159</v>
      </c>
      <c r="J48" s="128" t="s">
        <v>80</v>
      </c>
      <c r="K48" s="53" t="s">
        <v>63</v>
      </c>
      <c r="L48" s="53">
        <v>2</v>
      </c>
      <c r="N48" s="53">
        <v>5</v>
      </c>
      <c r="O48" s="53">
        <v>0.75</v>
      </c>
      <c r="P48" s="53">
        <v>0.8</v>
      </c>
      <c r="Q48" s="76">
        <f t="shared" si="0"/>
        <v>0.77500000000000002</v>
      </c>
      <c r="R48" s="53">
        <v>19</v>
      </c>
      <c r="S48" s="53">
        <v>70.5</v>
      </c>
      <c r="T48" s="16">
        <f t="shared" si="1"/>
        <v>50</v>
      </c>
      <c r="U48" s="53">
        <v>429</v>
      </c>
      <c r="V48" s="130">
        <f t="shared" si="2"/>
        <v>4290</v>
      </c>
      <c r="W48" s="53">
        <v>8</v>
      </c>
      <c r="X48" s="128" t="s">
        <v>39</v>
      </c>
      <c r="Y48" s="53" t="s">
        <v>84</v>
      </c>
      <c r="Z48" s="53" t="s">
        <v>40</v>
      </c>
      <c r="AA48" s="53" t="s">
        <v>69</v>
      </c>
      <c r="AB48" s="128" t="s">
        <v>158</v>
      </c>
      <c r="AC48" s="34"/>
    </row>
    <row r="49" spans="1:29" x14ac:dyDescent="0.15">
      <c r="A49" s="128" t="s">
        <v>61</v>
      </c>
      <c r="B49" s="128" t="s">
        <v>157</v>
      </c>
      <c r="C49" s="53">
        <v>2019</v>
      </c>
      <c r="D49" s="129" t="s">
        <v>300</v>
      </c>
      <c r="E49" s="128" t="s">
        <v>287</v>
      </c>
      <c r="F49" s="128" t="s">
        <v>288</v>
      </c>
      <c r="G49" s="128" t="s">
        <v>42</v>
      </c>
      <c r="H49" s="53" t="s">
        <v>127</v>
      </c>
      <c r="I49" s="53" t="s">
        <v>159</v>
      </c>
      <c r="J49" s="128" t="s">
        <v>80</v>
      </c>
      <c r="K49" s="53" t="s">
        <v>63</v>
      </c>
      <c r="L49" s="53">
        <v>3</v>
      </c>
      <c r="N49" s="53">
        <v>5</v>
      </c>
      <c r="O49" s="53">
        <v>0.6</v>
      </c>
      <c r="P49" s="53">
        <v>0.6</v>
      </c>
      <c r="Q49" s="76">
        <f t="shared" si="0"/>
        <v>0.6</v>
      </c>
      <c r="R49" s="53">
        <v>14.3</v>
      </c>
      <c r="S49" s="53">
        <v>72</v>
      </c>
      <c r="T49" s="16">
        <f t="shared" si="1"/>
        <v>42</v>
      </c>
      <c r="U49" s="53">
        <v>429</v>
      </c>
      <c r="V49" s="130">
        <f t="shared" si="2"/>
        <v>3603.6</v>
      </c>
      <c r="W49" s="53">
        <v>8</v>
      </c>
      <c r="X49" s="128" t="s">
        <v>39</v>
      </c>
      <c r="Y49" s="53" t="s">
        <v>84</v>
      </c>
      <c r="Z49" s="53" t="s">
        <v>40</v>
      </c>
      <c r="AA49" s="53" t="s">
        <v>69</v>
      </c>
      <c r="AB49" s="128" t="s">
        <v>158</v>
      </c>
      <c r="AC49" s="34"/>
    </row>
    <row r="50" spans="1:29" x14ac:dyDescent="0.15">
      <c r="A50" s="128" t="s">
        <v>61</v>
      </c>
      <c r="B50" s="128" t="s">
        <v>157</v>
      </c>
      <c r="C50" s="53">
        <v>2019</v>
      </c>
      <c r="D50" s="129" t="s">
        <v>300</v>
      </c>
      <c r="E50" s="128" t="s">
        <v>287</v>
      </c>
      <c r="F50" s="128" t="s">
        <v>288</v>
      </c>
      <c r="G50" s="128" t="s">
        <v>42</v>
      </c>
      <c r="H50" s="53" t="s">
        <v>206</v>
      </c>
      <c r="I50" s="53" t="s">
        <v>159</v>
      </c>
      <c r="J50" s="128" t="s">
        <v>38</v>
      </c>
      <c r="K50" s="53" t="s">
        <v>54</v>
      </c>
      <c r="L50" s="53">
        <v>1</v>
      </c>
      <c r="N50" s="53">
        <v>4</v>
      </c>
      <c r="O50" s="53">
        <v>0.75</v>
      </c>
      <c r="P50" s="53">
        <v>0.8</v>
      </c>
      <c r="Q50" s="76">
        <f t="shared" si="0"/>
        <v>0.77500000000000002</v>
      </c>
      <c r="R50" s="53">
        <v>14.5</v>
      </c>
      <c r="S50" s="53">
        <v>77</v>
      </c>
      <c r="T50" s="16">
        <f t="shared" si="1"/>
        <v>39</v>
      </c>
      <c r="U50" s="53">
        <v>645</v>
      </c>
      <c r="V50" s="130">
        <f t="shared" si="2"/>
        <v>6288.75</v>
      </c>
      <c r="W50" s="53">
        <v>8</v>
      </c>
      <c r="X50" s="128" t="s">
        <v>39</v>
      </c>
      <c r="Y50" s="53" t="s">
        <v>84</v>
      </c>
      <c r="Z50" s="53" t="s">
        <v>40</v>
      </c>
      <c r="AA50" s="53" t="s">
        <v>69</v>
      </c>
      <c r="AB50" s="128" t="s">
        <v>158</v>
      </c>
      <c r="AC50" s="34"/>
    </row>
    <row r="51" spans="1:29" x14ac:dyDescent="0.15">
      <c r="A51" s="128" t="s">
        <v>61</v>
      </c>
      <c r="B51" s="128" t="s">
        <v>157</v>
      </c>
      <c r="C51" s="53">
        <v>2019</v>
      </c>
      <c r="D51" s="129" t="s">
        <v>300</v>
      </c>
      <c r="E51" s="128" t="s">
        <v>287</v>
      </c>
      <c r="F51" s="128" t="s">
        <v>288</v>
      </c>
      <c r="G51" s="128" t="s">
        <v>42</v>
      </c>
      <c r="H51" s="53" t="s">
        <v>206</v>
      </c>
      <c r="I51" s="53" t="s">
        <v>159</v>
      </c>
      <c r="J51" s="128" t="s">
        <v>38</v>
      </c>
      <c r="K51" s="53" t="s">
        <v>54</v>
      </c>
      <c r="L51" s="53">
        <v>2</v>
      </c>
      <c r="N51" s="53">
        <v>4</v>
      </c>
      <c r="O51" s="53">
        <v>0.75</v>
      </c>
      <c r="P51" s="53">
        <v>0.4</v>
      </c>
      <c r="Q51" s="76">
        <f t="shared" si="0"/>
        <v>0.57499999999999996</v>
      </c>
      <c r="R51" s="53">
        <v>14.4</v>
      </c>
      <c r="S51" s="53">
        <v>71.5</v>
      </c>
      <c r="T51" s="16">
        <f t="shared" si="1"/>
        <v>42</v>
      </c>
      <c r="U51" s="53">
        <v>645</v>
      </c>
      <c r="V51" s="130">
        <f t="shared" si="2"/>
        <v>6772.5</v>
      </c>
      <c r="W51" s="53">
        <v>8</v>
      </c>
      <c r="X51" s="128" t="s">
        <v>39</v>
      </c>
      <c r="Y51" s="53" t="s">
        <v>84</v>
      </c>
      <c r="Z51" s="53" t="s">
        <v>40</v>
      </c>
      <c r="AA51" s="53" t="s">
        <v>69</v>
      </c>
      <c r="AB51" s="128" t="s">
        <v>158</v>
      </c>
      <c r="AC51" s="34"/>
    </row>
    <row r="52" spans="1:29" x14ac:dyDescent="0.15">
      <c r="A52" s="128" t="s">
        <v>61</v>
      </c>
      <c r="B52" s="128" t="s">
        <v>157</v>
      </c>
      <c r="C52" s="53">
        <v>2019</v>
      </c>
      <c r="D52" s="129" t="s">
        <v>300</v>
      </c>
      <c r="E52" s="128" t="s">
        <v>287</v>
      </c>
      <c r="F52" s="128" t="s">
        <v>288</v>
      </c>
      <c r="G52" s="128" t="s">
        <v>42</v>
      </c>
      <c r="H52" s="53" t="s">
        <v>206</v>
      </c>
      <c r="I52" s="53" t="s">
        <v>159</v>
      </c>
      <c r="J52" s="128" t="s">
        <v>38</v>
      </c>
      <c r="K52" s="53" t="s">
        <v>54</v>
      </c>
      <c r="L52" s="53">
        <v>3</v>
      </c>
      <c r="N52" s="53">
        <v>4</v>
      </c>
      <c r="O52" s="53">
        <v>0.5</v>
      </c>
      <c r="P52" s="53">
        <v>0.5</v>
      </c>
      <c r="Q52" s="76">
        <f t="shared" si="0"/>
        <v>0.5</v>
      </c>
      <c r="R52" s="53">
        <v>14.9</v>
      </c>
      <c r="S52" s="53">
        <v>76.5</v>
      </c>
      <c r="T52" s="16">
        <f t="shared" si="1"/>
        <v>39</v>
      </c>
      <c r="U52" s="53">
        <v>645</v>
      </c>
      <c r="V52" s="130">
        <f t="shared" si="2"/>
        <v>6288.75</v>
      </c>
      <c r="W52" s="53">
        <v>8</v>
      </c>
      <c r="X52" s="128" t="s">
        <v>39</v>
      </c>
      <c r="Y52" s="53" t="s">
        <v>84</v>
      </c>
      <c r="Z52" s="53" t="s">
        <v>40</v>
      </c>
      <c r="AA52" s="53" t="s">
        <v>69</v>
      </c>
      <c r="AB52" s="128" t="s">
        <v>158</v>
      </c>
      <c r="AC52" s="34"/>
    </row>
    <row r="53" spans="1:29" x14ac:dyDescent="0.15">
      <c r="A53" s="128" t="s">
        <v>61</v>
      </c>
      <c r="B53" s="128" t="s">
        <v>157</v>
      </c>
      <c r="C53" s="53">
        <v>2019</v>
      </c>
      <c r="D53" s="129" t="s">
        <v>300</v>
      </c>
      <c r="E53" s="128" t="s">
        <v>289</v>
      </c>
      <c r="F53" s="128" t="s">
        <v>288</v>
      </c>
      <c r="G53" s="128" t="s">
        <v>42</v>
      </c>
      <c r="H53" s="53" t="s">
        <v>163</v>
      </c>
      <c r="I53" s="53" t="s">
        <v>159</v>
      </c>
      <c r="J53" s="128" t="s">
        <v>38</v>
      </c>
      <c r="K53" s="53" t="s">
        <v>160</v>
      </c>
      <c r="L53" s="53">
        <v>1</v>
      </c>
      <c r="N53" s="53">
        <v>1</v>
      </c>
      <c r="O53" s="53">
        <v>0.75</v>
      </c>
      <c r="P53" s="53">
        <v>0.75</v>
      </c>
      <c r="Q53" s="76">
        <f t="shared" si="0"/>
        <v>0.75</v>
      </c>
      <c r="R53" s="53">
        <v>12.7</v>
      </c>
      <c r="S53" s="53">
        <v>111</v>
      </c>
      <c r="T53" s="16">
        <f t="shared" si="1"/>
        <v>33</v>
      </c>
      <c r="U53" s="53">
        <v>138</v>
      </c>
      <c r="V53" s="130">
        <f t="shared" si="2"/>
        <v>4554</v>
      </c>
      <c r="W53" s="53">
        <v>12</v>
      </c>
      <c r="X53" s="128" t="s">
        <v>46</v>
      </c>
      <c r="Y53" s="53" t="s">
        <v>84</v>
      </c>
      <c r="Z53" s="53" t="s">
        <v>90</v>
      </c>
      <c r="AA53" s="53" t="s">
        <v>40</v>
      </c>
      <c r="AB53" s="128" t="s">
        <v>158</v>
      </c>
      <c r="AC53" s="34"/>
    </row>
    <row r="54" spans="1:29" x14ac:dyDescent="0.15">
      <c r="A54" s="128" t="s">
        <v>61</v>
      </c>
      <c r="B54" s="128" t="s">
        <v>157</v>
      </c>
      <c r="C54" s="53">
        <v>2019</v>
      </c>
      <c r="D54" s="129" t="s">
        <v>300</v>
      </c>
      <c r="E54" s="128" t="s">
        <v>289</v>
      </c>
      <c r="F54" s="128" t="s">
        <v>288</v>
      </c>
      <c r="G54" s="128" t="s">
        <v>42</v>
      </c>
      <c r="H54" s="53" t="s">
        <v>163</v>
      </c>
      <c r="I54" s="53" t="s">
        <v>159</v>
      </c>
      <c r="J54" s="128" t="s">
        <v>38</v>
      </c>
      <c r="K54" s="53" t="s">
        <v>160</v>
      </c>
      <c r="L54" s="53">
        <v>2</v>
      </c>
      <c r="N54" s="53">
        <v>1</v>
      </c>
      <c r="O54" s="53">
        <v>0.6</v>
      </c>
      <c r="P54" s="53">
        <v>0.75</v>
      </c>
      <c r="Q54" s="76">
        <f t="shared" si="0"/>
        <v>0.67500000000000004</v>
      </c>
      <c r="R54" s="53">
        <v>14.3</v>
      </c>
      <c r="S54" s="53">
        <v>115</v>
      </c>
      <c r="T54" s="16">
        <f t="shared" si="1"/>
        <v>30</v>
      </c>
      <c r="U54" s="53">
        <v>138</v>
      </c>
      <c r="V54" s="130">
        <f t="shared" si="2"/>
        <v>4140</v>
      </c>
      <c r="W54" s="53">
        <v>12</v>
      </c>
      <c r="X54" s="128" t="s">
        <v>46</v>
      </c>
      <c r="Y54" s="53" t="s">
        <v>84</v>
      </c>
      <c r="Z54" s="53" t="s">
        <v>90</v>
      </c>
      <c r="AA54" s="53" t="s">
        <v>40</v>
      </c>
      <c r="AB54" s="128" t="s">
        <v>158</v>
      </c>
      <c r="AC54" s="34"/>
    </row>
    <row r="55" spans="1:29" x14ac:dyDescent="0.15">
      <c r="A55" s="128" t="s">
        <v>61</v>
      </c>
      <c r="B55" s="128" t="s">
        <v>157</v>
      </c>
      <c r="C55" s="53">
        <v>2019</v>
      </c>
      <c r="D55" s="129" t="s">
        <v>300</v>
      </c>
      <c r="E55" s="128" t="s">
        <v>289</v>
      </c>
      <c r="F55" s="128" t="s">
        <v>288</v>
      </c>
      <c r="G55" s="128" t="s">
        <v>42</v>
      </c>
      <c r="H55" s="53" t="s">
        <v>163</v>
      </c>
      <c r="I55" s="53" t="s">
        <v>159</v>
      </c>
      <c r="J55" s="128" t="s">
        <v>38</v>
      </c>
      <c r="K55" s="53" t="s">
        <v>160</v>
      </c>
      <c r="L55" s="53">
        <v>3</v>
      </c>
      <c r="N55" s="53">
        <v>1</v>
      </c>
      <c r="O55" s="53">
        <v>0.6</v>
      </c>
      <c r="P55" s="53">
        <v>0.5</v>
      </c>
      <c r="Q55" s="76">
        <f t="shared" si="0"/>
        <v>0.55000000000000004</v>
      </c>
      <c r="R55" s="53">
        <v>14.1</v>
      </c>
      <c r="S55" s="53">
        <v>113.5</v>
      </c>
      <c r="T55" s="16">
        <f t="shared" si="1"/>
        <v>30</v>
      </c>
      <c r="U55" s="53">
        <v>138</v>
      </c>
      <c r="V55" s="130">
        <f t="shared" si="2"/>
        <v>4140</v>
      </c>
      <c r="W55" s="53">
        <v>12</v>
      </c>
      <c r="X55" s="128" t="s">
        <v>46</v>
      </c>
      <c r="Y55" s="53" t="s">
        <v>84</v>
      </c>
      <c r="Z55" s="53" t="s">
        <v>90</v>
      </c>
      <c r="AA55" s="53" t="s">
        <v>40</v>
      </c>
      <c r="AB55" s="128" t="s">
        <v>158</v>
      </c>
      <c r="AC55" s="34"/>
    </row>
    <row r="56" spans="1:29" x14ac:dyDescent="0.15">
      <c r="A56" s="128" t="s">
        <v>61</v>
      </c>
      <c r="B56" s="128" t="s">
        <v>157</v>
      </c>
      <c r="C56" s="53">
        <v>2019</v>
      </c>
      <c r="D56" s="129" t="s">
        <v>300</v>
      </c>
      <c r="E56" s="128" t="s">
        <v>289</v>
      </c>
      <c r="F56" s="128" t="s">
        <v>288</v>
      </c>
      <c r="G56" s="128" t="s">
        <v>42</v>
      </c>
      <c r="H56" s="53" t="s">
        <v>127</v>
      </c>
      <c r="I56" s="53" t="s">
        <v>159</v>
      </c>
      <c r="J56" s="128" t="s">
        <v>80</v>
      </c>
      <c r="K56" s="53" t="s">
        <v>59</v>
      </c>
      <c r="L56" s="53">
        <v>1</v>
      </c>
      <c r="N56" s="53">
        <v>1</v>
      </c>
      <c r="O56" s="53">
        <v>1</v>
      </c>
      <c r="P56" s="53">
        <v>1.2</v>
      </c>
      <c r="Q56" s="76">
        <f t="shared" si="0"/>
        <v>1.1000000000000001</v>
      </c>
      <c r="R56" s="53">
        <v>14.6</v>
      </c>
      <c r="S56" s="53">
        <v>106</v>
      </c>
      <c r="T56" s="16">
        <f t="shared" si="1"/>
        <v>33</v>
      </c>
      <c r="U56" s="53">
        <v>138</v>
      </c>
      <c r="V56" s="130">
        <f t="shared" si="2"/>
        <v>4554</v>
      </c>
      <c r="W56" s="53">
        <v>12</v>
      </c>
      <c r="X56" s="128" t="s">
        <v>46</v>
      </c>
      <c r="Y56" s="53" t="s">
        <v>84</v>
      </c>
      <c r="Z56" s="53" t="s">
        <v>90</v>
      </c>
      <c r="AA56" s="53" t="s">
        <v>40</v>
      </c>
      <c r="AB56" s="128" t="s">
        <v>158</v>
      </c>
      <c r="AC56" s="34"/>
    </row>
    <row r="57" spans="1:29" x14ac:dyDescent="0.15">
      <c r="A57" s="128" t="s">
        <v>61</v>
      </c>
      <c r="B57" s="128" t="s">
        <v>157</v>
      </c>
      <c r="C57" s="53">
        <v>2019</v>
      </c>
      <c r="D57" s="129" t="s">
        <v>300</v>
      </c>
      <c r="E57" s="128" t="s">
        <v>289</v>
      </c>
      <c r="F57" s="128" t="s">
        <v>288</v>
      </c>
      <c r="G57" s="128" t="s">
        <v>42</v>
      </c>
      <c r="H57" s="53" t="s">
        <v>127</v>
      </c>
      <c r="I57" s="53" t="s">
        <v>159</v>
      </c>
      <c r="J57" s="128" t="s">
        <v>80</v>
      </c>
      <c r="K57" s="53" t="s">
        <v>59</v>
      </c>
      <c r="L57" s="53">
        <v>2</v>
      </c>
      <c r="N57" s="53">
        <v>1</v>
      </c>
      <c r="O57" s="53">
        <v>1.2</v>
      </c>
      <c r="P57" s="53">
        <v>1.3</v>
      </c>
      <c r="Q57" s="76">
        <f t="shared" si="0"/>
        <v>1.25</v>
      </c>
      <c r="R57" s="53">
        <v>14.3</v>
      </c>
      <c r="S57" s="53">
        <v>102.5</v>
      </c>
      <c r="T57" s="16">
        <f t="shared" si="1"/>
        <v>33</v>
      </c>
      <c r="U57" s="53">
        <v>138</v>
      </c>
      <c r="V57" s="130">
        <f t="shared" si="2"/>
        <v>4554</v>
      </c>
      <c r="W57" s="53">
        <v>12</v>
      </c>
      <c r="X57" s="128" t="s">
        <v>46</v>
      </c>
      <c r="Y57" s="53" t="s">
        <v>84</v>
      </c>
      <c r="Z57" s="53" t="s">
        <v>90</v>
      </c>
      <c r="AA57" s="53" t="s">
        <v>40</v>
      </c>
      <c r="AB57" s="128" t="s">
        <v>158</v>
      </c>
      <c r="AC57" s="34"/>
    </row>
    <row r="58" spans="1:29" x14ac:dyDescent="0.15">
      <c r="A58" s="128" t="s">
        <v>61</v>
      </c>
      <c r="B58" s="128" t="s">
        <v>157</v>
      </c>
      <c r="C58" s="53">
        <v>2019</v>
      </c>
      <c r="D58" s="129" t="s">
        <v>300</v>
      </c>
      <c r="E58" s="128" t="s">
        <v>289</v>
      </c>
      <c r="F58" s="128" t="s">
        <v>288</v>
      </c>
      <c r="G58" s="128" t="s">
        <v>42</v>
      </c>
      <c r="H58" s="53" t="s">
        <v>127</v>
      </c>
      <c r="I58" s="53" t="s">
        <v>159</v>
      </c>
      <c r="J58" s="128" t="s">
        <v>80</v>
      </c>
      <c r="K58" s="53" t="s">
        <v>59</v>
      </c>
      <c r="L58" s="53">
        <v>3</v>
      </c>
      <c r="N58" s="53">
        <v>1</v>
      </c>
      <c r="O58" s="53">
        <v>1</v>
      </c>
      <c r="P58" s="53">
        <v>0.8</v>
      </c>
      <c r="Q58" s="76">
        <f t="shared" si="0"/>
        <v>0.9</v>
      </c>
      <c r="R58" s="53">
        <v>14.5</v>
      </c>
      <c r="S58" s="53">
        <v>106.5</v>
      </c>
      <c r="T58" s="16">
        <f t="shared" si="1"/>
        <v>33</v>
      </c>
      <c r="U58" s="53">
        <v>138</v>
      </c>
      <c r="V58" s="130">
        <f t="shared" si="2"/>
        <v>4554</v>
      </c>
      <c r="W58" s="53">
        <v>12</v>
      </c>
      <c r="X58" s="128" t="s">
        <v>46</v>
      </c>
      <c r="Y58" s="53" t="s">
        <v>84</v>
      </c>
      <c r="Z58" s="53" t="s">
        <v>90</v>
      </c>
      <c r="AA58" s="53" t="s">
        <v>40</v>
      </c>
      <c r="AB58" s="128" t="s">
        <v>158</v>
      </c>
      <c r="AC58" s="34"/>
    </row>
    <row r="59" spans="1:29" x14ac:dyDescent="0.15">
      <c r="A59" s="128" t="s">
        <v>61</v>
      </c>
      <c r="B59" s="128" t="s">
        <v>157</v>
      </c>
      <c r="C59" s="53">
        <v>2019</v>
      </c>
      <c r="D59" s="129" t="s">
        <v>300</v>
      </c>
      <c r="E59" s="128" t="s">
        <v>289</v>
      </c>
      <c r="F59" s="128" t="s">
        <v>288</v>
      </c>
      <c r="G59" s="128" t="s">
        <v>42</v>
      </c>
      <c r="H59" s="53" t="s">
        <v>127</v>
      </c>
      <c r="I59" s="53" t="s">
        <v>159</v>
      </c>
      <c r="J59" s="128" t="s">
        <v>58</v>
      </c>
      <c r="K59" s="53" t="s">
        <v>59</v>
      </c>
      <c r="L59" s="53">
        <v>1</v>
      </c>
      <c r="N59" s="53">
        <v>4</v>
      </c>
      <c r="O59" s="53">
        <v>1</v>
      </c>
      <c r="P59" s="53">
        <v>0.8</v>
      </c>
      <c r="Q59" s="76">
        <f t="shared" si="0"/>
        <v>0.9</v>
      </c>
      <c r="R59" s="53">
        <v>14.8</v>
      </c>
      <c r="S59" s="53">
        <v>79</v>
      </c>
      <c r="T59" s="16">
        <f t="shared" si="1"/>
        <v>39</v>
      </c>
      <c r="U59" s="53">
        <v>429</v>
      </c>
      <c r="V59" s="130">
        <f t="shared" si="2"/>
        <v>4182.75</v>
      </c>
      <c r="W59" s="53">
        <v>12</v>
      </c>
      <c r="X59" s="128" t="s">
        <v>46</v>
      </c>
      <c r="Y59" s="53" t="s">
        <v>84</v>
      </c>
      <c r="Z59" s="53" t="s">
        <v>90</v>
      </c>
      <c r="AA59" s="53" t="s">
        <v>40</v>
      </c>
      <c r="AB59" s="128" t="s">
        <v>158</v>
      </c>
    </row>
    <row r="60" spans="1:29" x14ac:dyDescent="0.15">
      <c r="A60" s="128" t="s">
        <v>61</v>
      </c>
      <c r="B60" s="128" t="s">
        <v>157</v>
      </c>
      <c r="C60" s="53">
        <v>2019</v>
      </c>
      <c r="D60" s="129" t="s">
        <v>300</v>
      </c>
      <c r="E60" s="128" t="s">
        <v>289</v>
      </c>
      <c r="F60" s="128" t="s">
        <v>288</v>
      </c>
      <c r="G60" s="128" t="s">
        <v>42</v>
      </c>
      <c r="H60" s="53" t="s">
        <v>127</v>
      </c>
      <c r="I60" s="53" t="s">
        <v>159</v>
      </c>
      <c r="J60" s="128" t="s">
        <v>58</v>
      </c>
      <c r="K60" s="53" t="s">
        <v>59</v>
      </c>
      <c r="L60" s="53">
        <v>2</v>
      </c>
      <c r="N60" s="53">
        <v>4</v>
      </c>
      <c r="O60" s="53">
        <v>1.25</v>
      </c>
      <c r="P60" s="53">
        <v>1.1000000000000001</v>
      </c>
      <c r="Q60" s="76">
        <f t="shared" si="0"/>
        <v>1.175</v>
      </c>
      <c r="R60" s="53">
        <v>14.2</v>
      </c>
      <c r="S60" s="53">
        <v>80</v>
      </c>
      <c r="T60" s="16">
        <f t="shared" si="1"/>
        <v>39</v>
      </c>
      <c r="U60" s="53">
        <v>429</v>
      </c>
      <c r="V60" s="130">
        <f t="shared" si="2"/>
        <v>4182.75</v>
      </c>
      <c r="W60" s="53">
        <v>12</v>
      </c>
      <c r="X60" s="128" t="s">
        <v>46</v>
      </c>
      <c r="Y60" s="53" t="s">
        <v>84</v>
      </c>
      <c r="Z60" s="53" t="s">
        <v>90</v>
      </c>
      <c r="AA60" s="53" t="s">
        <v>40</v>
      </c>
      <c r="AB60" s="128" t="s">
        <v>158</v>
      </c>
    </row>
    <row r="61" spans="1:29" x14ac:dyDescent="0.15">
      <c r="A61" s="128" t="s">
        <v>61</v>
      </c>
      <c r="B61" s="128" t="s">
        <v>157</v>
      </c>
      <c r="C61" s="53">
        <v>2019</v>
      </c>
      <c r="D61" s="129" t="s">
        <v>300</v>
      </c>
      <c r="E61" s="128" t="s">
        <v>289</v>
      </c>
      <c r="F61" s="128" t="s">
        <v>288</v>
      </c>
      <c r="G61" s="128" t="s">
        <v>42</v>
      </c>
      <c r="H61" s="53" t="s">
        <v>127</v>
      </c>
      <c r="I61" s="53" t="s">
        <v>159</v>
      </c>
      <c r="J61" s="128" t="s">
        <v>58</v>
      </c>
      <c r="K61" s="53" t="s">
        <v>59</v>
      </c>
      <c r="L61" s="53">
        <v>3</v>
      </c>
      <c r="N61" s="53">
        <v>4</v>
      </c>
      <c r="O61" s="53">
        <v>0.8</v>
      </c>
      <c r="P61" s="53">
        <v>0.8</v>
      </c>
      <c r="Q61" s="76">
        <f t="shared" si="0"/>
        <v>0.8</v>
      </c>
      <c r="R61" s="53">
        <v>14.4</v>
      </c>
      <c r="S61" s="53">
        <v>87</v>
      </c>
      <c r="T61" s="16">
        <f t="shared" si="1"/>
        <v>36</v>
      </c>
      <c r="U61" s="53">
        <v>429</v>
      </c>
      <c r="V61" s="130">
        <f t="shared" si="2"/>
        <v>3861</v>
      </c>
      <c r="W61" s="53">
        <v>12</v>
      </c>
      <c r="X61" s="128" t="s">
        <v>46</v>
      </c>
      <c r="Y61" s="53" t="s">
        <v>84</v>
      </c>
      <c r="Z61" s="53" t="s">
        <v>90</v>
      </c>
      <c r="AA61" s="53" t="s">
        <v>40</v>
      </c>
      <c r="AB61" s="128" t="s">
        <v>158</v>
      </c>
    </row>
    <row r="62" spans="1:29" x14ac:dyDescent="0.15">
      <c r="A62" s="128" t="s">
        <v>61</v>
      </c>
      <c r="B62" s="128" t="s">
        <v>157</v>
      </c>
      <c r="C62" s="53">
        <v>2019</v>
      </c>
      <c r="D62" s="129" t="s">
        <v>300</v>
      </c>
      <c r="E62" s="128" t="s">
        <v>289</v>
      </c>
      <c r="F62" s="128" t="s">
        <v>288</v>
      </c>
      <c r="G62" s="128" t="s">
        <v>42</v>
      </c>
      <c r="H62" s="53" t="s">
        <v>127</v>
      </c>
      <c r="I62" s="53" t="s">
        <v>159</v>
      </c>
      <c r="J62" s="128" t="s">
        <v>80</v>
      </c>
      <c r="K62" s="53" t="s">
        <v>45</v>
      </c>
      <c r="L62" s="53">
        <v>1</v>
      </c>
      <c r="N62" s="53">
        <v>1</v>
      </c>
      <c r="O62" s="53">
        <v>1.95</v>
      </c>
      <c r="P62" s="53">
        <v>1.6</v>
      </c>
      <c r="Q62" s="76">
        <f>IF(OR(O62="",P62=""),"",AVERAGE(O62,P62))</f>
        <v>1.7749999999999999</v>
      </c>
      <c r="R62" s="53">
        <v>14.8</v>
      </c>
      <c r="S62" s="53">
        <v>106</v>
      </c>
      <c r="T62" s="16">
        <f t="shared" si="1"/>
        <v>33</v>
      </c>
      <c r="U62" s="53">
        <v>138</v>
      </c>
      <c r="V62" s="130">
        <f t="shared" si="2"/>
        <v>4554</v>
      </c>
      <c r="W62" s="53">
        <v>12</v>
      </c>
      <c r="X62" s="128" t="s">
        <v>46</v>
      </c>
      <c r="Y62" s="53" t="s">
        <v>84</v>
      </c>
      <c r="Z62" s="53" t="s">
        <v>90</v>
      </c>
      <c r="AA62" s="53" t="s">
        <v>40</v>
      </c>
      <c r="AB62" s="128" t="s">
        <v>158</v>
      </c>
    </row>
    <row r="63" spans="1:29" x14ac:dyDescent="0.15">
      <c r="A63" s="128" t="s">
        <v>61</v>
      </c>
      <c r="B63" s="128" t="s">
        <v>157</v>
      </c>
      <c r="C63" s="53">
        <v>2019</v>
      </c>
      <c r="D63" s="129" t="s">
        <v>300</v>
      </c>
      <c r="E63" s="128" t="s">
        <v>289</v>
      </c>
      <c r="F63" s="128" t="s">
        <v>288</v>
      </c>
      <c r="G63" s="128" t="s">
        <v>42</v>
      </c>
      <c r="H63" s="53" t="s">
        <v>127</v>
      </c>
      <c r="I63" s="53" t="s">
        <v>159</v>
      </c>
      <c r="J63" s="128" t="s">
        <v>80</v>
      </c>
      <c r="K63" s="53" t="s">
        <v>45</v>
      </c>
      <c r="L63" s="53">
        <v>2</v>
      </c>
      <c r="N63" s="53">
        <v>1</v>
      </c>
      <c r="O63" s="53">
        <v>1.3</v>
      </c>
      <c r="P63" s="53">
        <v>1.4</v>
      </c>
      <c r="Q63" s="76">
        <f t="shared" si="0"/>
        <v>1.35</v>
      </c>
      <c r="R63" s="53">
        <v>14.5</v>
      </c>
      <c r="S63" s="53">
        <v>101</v>
      </c>
      <c r="T63" s="16">
        <f t="shared" si="1"/>
        <v>33</v>
      </c>
      <c r="U63" s="53">
        <v>138</v>
      </c>
      <c r="V63" s="130">
        <f t="shared" si="2"/>
        <v>4554</v>
      </c>
      <c r="W63" s="53">
        <v>12</v>
      </c>
      <c r="X63" s="128" t="s">
        <v>46</v>
      </c>
      <c r="Y63" s="53" t="s">
        <v>84</v>
      </c>
      <c r="Z63" s="53" t="s">
        <v>90</v>
      </c>
      <c r="AA63" s="53" t="s">
        <v>40</v>
      </c>
      <c r="AB63" s="128" t="s">
        <v>158</v>
      </c>
    </row>
    <row r="64" spans="1:29" x14ac:dyDescent="0.15">
      <c r="A64" s="128" t="s">
        <v>61</v>
      </c>
      <c r="B64" s="128" t="s">
        <v>157</v>
      </c>
      <c r="C64" s="53">
        <v>2019</v>
      </c>
      <c r="D64" s="129" t="s">
        <v>300</v>
      </c>
      <c r="E64" s="128" t="s">
        <v>289</v>
      </c>
      <c r="F64" s="128" t="s">
        <v>288</v>
      </c>
      <c r="G64" s="128" t="s">
        <v>42</v>
      </c>
      <c r="H64" s="53" t="s">
        <v>127</v>
      </c>
      <c r="I64" s="53" t="s">
        <v>159</v>
      </c>
      <c r="J64" s="128" t="s">
        <v>80</v>
      </c>
      <c r="K64" s="53" t="s">
        <v>45</v>
      </c>
      <c r="L64" s="53">
        <v>3</v>
      </c>
      <c r="N64" s="53">
        <v>1</v>
      </c>
      <c r="O64" s="53">
        <v>1.75</v>
      </c>
      <c r="P64" s="53">
        <v>1.75</v>
      </c>
      <c r="Q64" s="76">
        <f t="shared" si="0"/>
        <v>1.75</v>
      </c>
      <c r="R64" s="53">
        <v>14.9</v>
      </c>
      <c r="S64" s="53">
        <v>106.5</v>
      </c>
      <c r="T64" s="16">
        <f t="shared" si="1"/>
        <v>33</v>
      </c>
      <c r="U64" s="53">
        <v>138</v>
      </c>
      <c r="V64" s="130">
        <f t="shared" si="2"/>
        <v>4554</v>
      </c>
      <c r="W64" s="53">
        <v>12</v>
      </c>
      <c r="X64" s="128" t="s">
        <v>46</v>
      </c>
      <c r="Y64" s="53" t="s">
        <v>84</v>
      </c>
      <c r="Z64" s="53" t="s">
        <v>90</v>
      </c>
      <c r="AA64" s="53" t="s">
        <v>40</v>
      </c>
      <c r="AB64" s="128" t="s">
        <v>158</v>
      </c>
    </row>
    <row r="65" spans="1:29" x14ac:dyDescent="0.15">
      <c r="A65" s="128"/>
      <c r="B65" s="128"/>
      <c r="D65" s="129"/>
      <c r="E65" s="128"/>
      <c r="F65" s="128"/>
      <c r="G65" s="128"/>
      <c r="J65" s="128"/>
      <c r="Q65" s="76" t="str">
        <f t="shared" si="0"/>
        <v/>
      </c>
      <c r="T65" s="16" t="str">
        <f t="shared" si="1"/>
        <v/>
      </c>
      <c r="V65" s="130" t="str">
        <f t="shared" si="2"/>
        <v/>
      </c>
      <c r="X65" s="128"/>
      <c r="AB65" s="128"/>
      <c r="AC65" s="34"/>
    </row>
    <row r="66" spans="1:29" x14ac:dyDescent="0.15">
      <c r="A66" s="128"/>
      <c r="B66" s="128"/>
      <c r="D66" s="129"/>
      <c r="E66" s="128"/>
      <c r="F66" s="128"/>
      <c r="G66" s="128"/>
      <c r="J66" s="128"/>
      <c r="Q66" s="76" t="str">
        <f t="shared" ref="Q66:Q79" si="3">IF(OR(O66="",P66=""),"",AVERAGE(O66,P66))</f>
        <v/>
      </c>
      <c r="T66" s="16" t="str">
        <f t="shared" ref="T66:T79" si="4">IF(H66="","",IF(OR(H66="GREEN",H66="GK"),IF(S66&gt;=$AX$2,VLOOKUP(S66,$AX$2:$AY$15,2,1),""),IF(S66&gt;=$AZ$2,VLOOKUP(S66,$AZ$2:$BA$15,2,1),"")))</f>
        <v/>
      </c>
      <c r="V66" s="130" t="str">
        <f t="shared" si="2"/>
        <v/>
      </c>
      <c r="X66" s="128"/>
      <c r="AB66" s="128"/>
      <c r="AC66" s="34"/>
    </row>
    <row r="67" spans="1:29" x14ac:dyDescent="0.15">
      <c r="A67" s="128"/>
      <c r="B67" s="128"/>
      <c r="D67" s="129"/>
      <c r="E67" s="128"/>
      <c r="F67" s="128"/>
      <c r="G67" s="128"/>
      <c r="J67" s="128"/>
      <c r="Q67" s="76" t="str">
        <f t="shared" si="3"/>
        <v/>
      </c>
      <c r="R67" s="34"/>
      <c r="T67" s="16" t="str">
        <f t="shared" si="4"/>
        <v/>
      </c>
      <c r="V67" s="130" t="str">
        <f t="shared" ref="V67:V79" si="5">IF(OR(N67="",U67="",T67=""),"",U67/N67*T67)</f>
        <v/>
      </c>
      <c r="X67" s="128"/>
      <c r="AB67" s="128"/>
      <c r="AC67" s="34"/>
    </row>
    <row r="68" spans="1:29" x14ac:dyDescent="0.15">
      <c r="A68" s="128"/>
      <c r="B68" s="128"/>
      <c r="D68" s="129"/>
      <c r="F68" s="128"/>
      <c r="G68" s="128"/>
      <c r="J68" s="128"/>
      <c r="Q68" s="76" t="str">
        <f t="shared" si="3"/>
        <v/>
      </c>
      <c r="T68" s="16" t="str">
        <f t="shared" si="4"/>
        <v/>
      </c>
      <c r="V68" s="130" t="str">
        <f t="shared" si="5"/>
        <v/>
      </c>
      <c r="X68" s="128"/>
      <c r="AB68" s="128"/>
      <c r="AC68" s="34"/>
    </row>
    <row r="69" spans="1:29" x14ac:dyDescent="0.15">
      <c r="A69" s="128"/>
      <c r="B69" s="128"/>
      <c r="D69" s="129"/>
      <c r="F69" s="128"/>
      <c r="G69" s="128"/>
      <c r="J69" s="128"/>
      <c r="Q69" s="76" t="str">
        <f t="shared" si="3"/>
        <v/>
      </c>
      <c r="R69" s="34"/>
      <c r="T69" s="16" t="str">
        <f t="shared" si="4"/>
        <v/>
      </c>
      <c r="V69" s="130" t="str">
        <f t="shared" si="5"/>
        <v/>
      </c>
      <c r="X69" s="128"/>
      <c r="AB69" s="128"/>
      <c r="AC69" s="34"/>
    </row>
    <row r="70" spans="1:29" x14ac:dyDescent="0.15">
      <c r="A70" s="128"/>
      <c r="B70" s="128"/>
      <c r="D70" s="129"/>
      <c r="F70" s="128"/>
      <c r="G70" s="128"/>
      <c r="J70" s="128"/>
      <c r="Q70" s="76" t="str">
        <f t="shared" si="3"/>
        <v/>
      </c>
      <c r="R70" s="34"/>
      <c r="T70" s="16" t="str">
        <f t="shared" si="4"/>
        <v/>
      </c>
      <c r="V70" s="130" t="str">
        <f t="shared" si="5"/>
        <v/>
      </c>
      <c r="X70" s="128"/>
      <c r="AB70" s="128"/>
      <c r="AC70" s="34"/>
    </row>
    <row r="71" spans="1:29" x14ac:dyDescent="0.15">
      <c r="A71" s="128"/>
      <c r="B71" s="128"/>
      <c r="D71" s="129"/>
      <c r="G71" s="128"/>
      <c r="J71" s="128"/>
      <c r="Q71" s="76" t="str">
        <f t="shared" si="3"/>
        <v/>
      </c>
      <c r="T71" s="16" t="str">
        <f t="shared" si="4"/>
        <v/>
      </c>
      <c r="V71" s="130" t="str">
        <f t="shared" si="5"/>
        <v/>
      </c>
      <c r="X71" s="128"/>
      <c r="AB71" s="128"/>
      <c r="AC71" s="34"/>
    </row>
    <row r="72" spans="1:29" x14ac:dyDescent="0.15">
      <c r="A72" s="128"/>
      <c r="B72" s="128"/>
      <c r="D72" s="129"/>
      <c r="G72" s="128"/>
      <c r="J72" s="128"/>
      <c r="Q72" s="76" t="str">
        <f t="shared" si="3"/>
        <v/>
      </c>
      <c r="T72" s="16" t="str">
        <f t="shared" si="4"/>
        <v/>
      </c>
      <c r="V72" s="130" t="str">
        <f t="shared" si="5"/>
        <v/>
      </c>
      <c r="X72" s="128"/>
      <c r="AB72" s="128"/>
      <c r="AC72" s="34"/>
    </row>
    <row r="73" spans="1:29" x14ac:dyDescent="0.15">
      <c r="A73" s="128"/>
      <c r="B73" s="128"/>
      <c r="D73" s="129"/>
      <c r="G73" s="128"/>
      <c r="J73" s="128"/>
      <c r="Q73" s="76" t="str">
        <f t="shared" si="3"/>
        <v/>
      </c>
      <c r="T73" s="16" t="str">
        <f t="shared" si="4"/>
        <v/>
      </c>
      <c r="V73" s="130" t="str">
        <f t="shared" si="5"/>
        <v/>
      </c>
      <c r="X73" s="128"/>
      <c r="AB73" s="128"/>
      <c r="AC73" s="34"/>
    </row>
    <row r="74" spans="1:29" x14ac:dyDescent="0.15">
      <c r="A74" s="128"/>
      <c r="B74" s="128"/>
      <c r="D74" s="129"/>
      <c r="G74" s="128"/>
      <c r="J74" s="128"/>
      <c r="Q74" s="76"/>
      <c r="V74" s="130"/>
      <c r="X74" s="128"/>
      <c r="AB74" s="128"/>
    </row>
    <row r="75" spans="1:29" x14ac:dyDescent="0.15">
      <c r="A75" s="128"/>
      <c r="B75" s="128"/>
      <c r="D75" s="129"/>
      <c r="G75" s="128"/>
      <c r="J75" s="128"/>
      <c r="Q75" s="76"/>
      <c r="V75" s="130"/>
      <c r="X75" s="128"/>
      <c r="AB75" s="128"/>
    </row>
    <row r="76" spans="1:29" x14ac:dyDescent="0.15">
      <c r="A76" s="128"/>
      <c r="B76" s="128"/>
      <c r="D76" s="129"/>
      <c r="G76" s="128"/>
      <c r="J76" s="128"/>
      <c r="Q76" s="76"/>
      <c r="V76" s="130"/>
      <c r="X76" s="128"/>
      <c r="AB76" s="128"/>
    </row>
    <row r="77" spans="1:29" x14ac:dyDescent="0.15">
      <c r="A77" s="128"/>
      <c r="B77" s="128"/>
      <c r="D77" s="129"/>
      <c r="G77" s="128"/>
      <c r="J77" s="128"/>
      <c r="Q77" s="76" t="str">
        <f t="shared" si="3"/>
        <v/>
      </c>
      <c r="T77" s="16" t="str">
        <f t="shared" si="4"/>
        <v/>
      </c>
      <c r="V77" s="130" t="str">
        <f t="shared" si="5"/>
        <v/>
      </c>
      <c r="X77" s="128"/>
      <c r="AB77" s="128"/>
    </row>
    <row r="78" spans="1:29" x14ac:dyDescent="0.15">
      <c r="A78" s="128"/>
      <c r="B78" s="128"/>
      <c r="D78" s="129"/>
      <c r="G78" s="128"/>
      <c r="J78" s="128"/>
      <c r="Q78" s="76" t="str">
        <f t="shared" si="3"/>
        <v/>
      </c>
      <c r="T78" s="16" t="str">
        <f t="shared" si="4"/>
        <v/>
      </c>
      <c r="V78" s="130" t="str">
        <f t="shared" si="5"/>
        <v/>
      </c>
      <c r="X78" s="128"/>
      <c r="AB78" s="128"/>
    </row>
    <row r="79" spans="1:29" x14ac:dyDescent="0.15">
      <c r="A79" s="128"/>
      <c r="B79" s="128"/>
      <c r="D79" s="129"/>
      <c r="G79" s="128"/>
      <c r="J79" s="128"/>
      <c r="Q79" s="76" t="str">
        <f t="shared" si="3"/>
        <v/>
      </c>
      <c r="T79" s="16" t="str">
        <f t="shared" si="4"/>
        <v/>
      </c>
      <c r="V79" s="130" t="str">
        <f t="shared" si="5"/>
        <v/>
      </c>
      <c r="X79" s="128"/>
      <c r="AB79" s="128"/>
    </row>
    <row r="80" spans="1:29" x14ac:dyDescent="0.15">
      <c r="A80" s="128"/>
      <c r="B80" s="128"/>
      <c r="D80" s="129"/>
      <c r="G80" s="128"/>
      <c r="J80" s="128"/>
      <c r="Q80" s="76"/>
      <c r="V80" s="130"/>
      <c r="X80" s="128"/>
      <c r="AB80" s="128"/>
    </row>
    <row r="81" spans="1:28" x14ac:dyDescent="0.15">
      <c r="A81" s="128"/>
      <c r="B81" s="128"/>
      <c r="D81" s="129"/>
      <c r="G81" s="128"/>
      <c r="J81" s="128"/>
      <c r="Q81" s="76"/>
      <c r="V81" s="130"/>
      <c r="X81" s="128"/>
      <c r="AB81" s="128"/>
    </row>
    <row r="82" spans="1:28" x14ac:dyDescent="0.15">
      <c r="A82" s="128"/>
      <c r="B82" s="128"/>
      <c r="D82" s="129"/>
      <c r="G82" s="128"/>
      <c r="J82" s="128"/>
      <c r="Q82" s="76"/>
      <c r="V82" s="130"/>
      <c r="X82" s="128"/>
      <c r="AB82" s="128"/>
    </row>
    <row r="83" spans="1:28" x14ac:dyDescent="0.15">
      <c r="A83" s="128"/>
      <c r="B83" s="128"/>
      <c r="D83" s="129"/>
      <c r="G83" s="128"/>
      <c r="J83" s="128"/>
      <c r="Q83" s="76"/>
      <c r="V83" s="130"/>
      <c r="X83" s="128"/>
      <c r="AB83" s="128"/>
    </row>
    <row r="84" spans="1:28" x14ac:dyDescent="0.15">
      <c r="A84" s="128"/>
      <c r="B84" s="128"/>
      <c r="D84" s="129"/>
      <c r="G84" s="128"/>
      <c r="J84" s="128"/>
      <c r="Q84" s="76"/>
      <c r="V84" s="130"/>
      <c r="X84" s="128"/>
      <c r="AB84" s="128"/>
    </row>
    <row r="85" spans="1:28" x14ac:dyDescent="0.15">
      <c r="A85" s="128"/>
      <c r="B85" s="128"/>
      <c r="D85" s="129"/>
      <c r="G85" s="128"/>
      <c r="J85" s="128"/>
      <c r="Q85" s="76"/>
      <c r="V85" s="130"/>
      <c r="X85" s="128"/>
      <c r="AB85" s="128"/>
    </row>
    <row r="86" spans="1:28" x14ac:dyDescent="0.15">
      <c r="A86" s="128"/>
      <c r="B86" s="128"/>
      <c r="D86" s="129"/>
      <c r="G86" s="128"/>
      <c r="J86" s="128"/>
      <c r="Q86" s="76"/>
      <c r="V86" s="130"/>
      <c r="X86" s="128"/>
      <c r="AB86" s="128"/>
    </row>
    <row r="87" spans="1:28" x14ac:dyDescent="0.15">
      <c r="A87" s="128"/>
      <c r="B87" s="128"/>
      <c r="D87" s="129"/>
      <c r="G87" s="128"/>
      <c r="J87" s="128"/>
      <c r="Q87" s="76"/>
      <c r="V87" s="130"/>
      <c r="X87" s="128"/>
      <c r="AB87" s="128"/>
    </row>
    <row r="88" spans="1:28" x14ac:dyDescent="0.15">
      <c r="A88" s="128"/>
      <c r="B88" s="128"/>
      <c r="D88" s="129"/>
      <c r="G88" s="128"/>
      <c r="J88" s="128"/>
      <c r="Q88" s="76"/>
      <c r="V88" s="130"/>
      <c r="X88" s="128"/>
      <c r="AB88" s="128"/>
    </row>
    <row r="89" spans="1:28" x14ac:dyDescent="0.15">
      <c r="A89" s="128"/>
      <c r="B89" s="128"/>
      <c r="D89" s="129"/>
      <c r="G89" s="128"/>
      <c r="J89" s="128"/>
      <c r="Q89" s="76"/>
      <c r="V89" s="130"/>
      <c r="X89" s="128"/>
      <c r="AB89" s="128"/>
    </row>
    <row r="90" spans="1:28" x14ac:dyDescent="0.15">
      <c r="A90" s="128"/>
      <c r="B90" s="128"/>
      <c r="D90" s="129"/>
      <c r="G90" s="128"/>
      <c r="J90" s="128"/>
      <c r="Q90" s="76"/>
      <c r="V90" s="130"/>
      <c r="X90" s="128"/>
      <c r="AB90" s="128"/>
    </row>
    <row r="91" spans="1:28" x14ac:dyDescent="0.15">
      <c r="A91" s="128"/>
      <c r="B91" s="128"/>
      <c r="D91" s="129"/>
      <c r="G91" s="128"/>
      <c r="J91" s="128"/>
      <c r="Q91" s="76"/>
      <c r="V91" s="130"/>
      <c r="X91" s="128"/>
      <c r="AB91" s="128"/>
    </row>
    <row r="92" spans="1:28" x14ac:dyDescent="0.15">
      <c r="A92" s="128"/>
      <c r="B92" s="128"/>
      <c r="D92" s="129"/>
      <c r="G92" s="128"/>
      <c r="J92" s="128"/>
      <c r="Q92" s="76"/>
      <c r="V92" s="130"/>
      <c r="X92" s="128"/>
      <c r="AB92" s="128"/>
    </row>
    <row r="93" spans="1:28" x14ac:dyDescent="0.15">
      <c r="A93" s="128"/>
      <c r="B93" s="128"/>
      <c r="D93" s="129"/>
      <c r="G93" s="128"/>
      <c r="J93" s="128"/>
      <c r="Q93" s="76"/>
      <c r="V93" s="130"/>
      <c r="X93" s="128"/>
      <c r="AB93" s="128"/>
    </row>
    <row r="94" spans="1:28" x14ac:dyDescent="0.15">
      <c r="A94" s="128"/>
      <c r="B94" s="128"/>
      <c r="D94" s="129"/>
      <c r="G94" s="128"/>
      <c r="J94" s="128"/>
      <c r="Q94" s="76"/>
      <c r="V94" s="130"/>
      <c r="X94" s="128"/>
      <c r="AB94" s="128"/>
    </row>
    <row r="95" spans="1:28" x14ac:dyDescent="0.15">
      <c r="A95" s="128"/>
      <c r="B95" s="128"/>
      <c r="D95" s="129"/>
    </row>
    <row r="96" spans="1:28" x14ac:dyDescent="0.15">
      <c r="A96" s="128"/>
      <c r="B96" s="128"/>
      <c r="D96" s="129"/>
      <c r="G96" s="128"/>
      <c r="J96" s="128"/>
      <c r="Q96" s="76"/>
      <c r="V96" s="130"/>
      <c r="X96" s="128"/>
      <c r="AB96" s="128"/>
    </row>
    <row r="97" spans="1:28" x14ac:dyDescent="0.15">
      <c r="A97" s="128"/>
      <c r="B97" s="128"/>
      <c r="D97" s="129"/>
      <c r="G97" s="128"/>
      <c r="J97" s="128"/>
      <c r="Q97" s="76"/>
      <c r="V97" s="130"/>
      <c r="X97" s="128"/>
      <c r="AB97" s="128"/>
    </row>
    <row r="98" spans="1:28" x14ac:dyDescent="0.15">
      <c r="A98" s="128"/>
      <c r="B98" s="128"/>
      <c r="D98" s="129"/>
      <c r="G98" s="128"/>
      <c r="J98" s="128"/>
      <c r="Q98" s="76"/>
      <c r="V98" s="130"/>
      <c r="X98" s="128"/>
      <c r="AB98" s="128"/>
    </row>
    <row r="99" spans="1:28" x14ac:dyDescent="0.15">
      <c r="A99" s="128"/>
      <c r="B99" s="128"/>
      <c r="D99" s="129"/>
      <c r="G99" s="128"/>
      <c r="J99" s="128"/>
      <c r="Q99" s="76"/>
      <c r="V99" s="130"/>
      <c r="X99" s="128"/>
      <c r="AB99" s="128"/>
    </row>
    <row r="100" spans="1:28" x14ac:dyDescent="0.15">
      <c r="A100" s="128"/>
      <c r="B100" s="128"/>
      <c r="D100" s="129"/>
      <c r="G100" s="128"/>
      <c r="J100" s="128"/>
      <c r="Q100" s="76"/>
      <c r="V100" s="130"/>
      <c r="X100" s="128"/>
      <c r="AB100" s="128"/>
    </row>
    <row r="101" spans="1:28" x14ac:dyDescent="0.15">
      <c r="A101" s="128"/>
      <c r="B101" s="128"/>
      <c r="D101" s="129"/>
      <c r="G101" s="128"/>
      <c r="J101" s="128"/>
      <c r="Q101" s="76"/>
      <c r="V101" s="130"/>
      <c r="X101" s="128"/>
      <c r="AB101" s="128"/>
    </row>
    <row r="102" spans="1:28" x14ac:dyDescent="0.15">
      <c r="A102" s="128"/>
      <c r="B102" s="128"/>
      <c r="D102" s="129"/>
      <c r="G102" s="128"/>
      <c r="J102" s="128"/>
      <c r="Q102" s="76"/>
      <c r="V102" s="130"/>
      <c r="X102" s="128"/>
      <c r="AB102" s="128"/>
    </row>
    <row r="103" spans="1:28" x14ac:dyDescent="0.15">
      <c r="A103" s="128"/>
      <c r="B103" s="128"/>
      <c r="D103" s="129"/>
      <c r="G103" s="128"/>
      <c r="J103" s="128"/>
      <c r="Q103" s="76"/>
      <c r="V103" s="130"/>
      <c r="X103" s="128"/>
      <c r="AB103" s="128"/>
    </row>
    <row r="104" spans="1:28" x14ac:dyDescent="0.15">
      <c r="A104" s="128"/>
      <c r="B104" s="128"/>
      <c r="D104" s="129"/>
      <c r="G104" s="128"/>
      <c r="J104" s="128"/>
      <c r="Q104" s="76"/>
      <c r="V104" s="130"/>
      <c r="X104" s="128"/>
      <c r="AB104" s="128"/>
    </row>
    <row r="105" spans="1:28" x14ac:dyDescent="0.15">
      <c r="A105" s="128"/>
      <c r="B105" s="128"/>
      <c r="D105" s="129"/>
      <c r="G105" s="128"/>
      <c r="J105" s="128"/>
      <c r="Q105" s="76"/>
      <c r="V105" s="130"/>
      <c r="X105" s="128"/>
      <c r="AB105" s="128"/>
    </row>
    <row r="106" spans="1:28" x14ac:dyDescent="0.15">
      <c r="A106" s="128"/>
      <c r="B106" s="128"/>
      <c r="D106" s="129"/>
      <c r="G106" s="128"/>
      <c r="J106" s="128"/>
      <c r="Q106" s="76"/>
      <c r="V106" s="130"/>
      <c r="X106" s="128"/>
      <c r="AB106" s="128"/>
    </row>
    <row r="107" spans="1:28" x14ac:dyDescent="0.15">
      <c r="A107" s="128"/>
      <c r="B107" s="128"/>
      <c r="D107" s="129"/>
      <c r="G107" s="128"/>
      <c r="J107" s="128"/>
      <c r="Q107" s="76"/>
      <c r="V107" s="130"/>
      <c r="X107" s="128"/>
      <c r="AB107" s="128"/>
    </row>
    <row r="108" spans="1:28" x14ac:dyDescent="0.15">
      <c r="A108" s="128"/>
      <c r="B108" s="128"/>
      <c r="D108" s="129"/>
      <c r="G108" s="128"/>
      <c r="J108" s="128"/>
      <c r="Q108" s="76"/>
      <c r="V108" s="130"/>
      <c r="X108" s="128"/>
      <c r="AB108" s="128"/>
    </row>
    <row r="109" spans="1:28" x14ac:dyDescent="0.15">
      <c r="A109" s="128"/>
      <c r="B109" s="128"/>
      <c r="D109" s="129"/>
      <c r="G109" s="128"/>
      <c r="J109" s="128"/>
      <c r="Q109" s="76"/>
      <c r="V109" s="130"/>
      <c r="X109" s="128"/>
      <c r="AB109" s="128"/>
    </row>
    <row r="110" spans="1:28" x14ac:dyDescent="0.15">
      <c r="A110" s="128"/>
      <c r="B110" s="128"/>
      <c r="D110" s="129"/>
      <c r="G110" s="128"/>
      <c r="J110" s="128"/>
      <c r="Q110" s="76"/>
      <c r="V110" s="130"/>
      <c r="X110" s="128"/>
      <c r="AB110" s="128"/>
    </row>
    <row r="111" spans="1:28" x14ac:dyDescent="0.15">
      <c r="A111" s="128"/>
      <c r="B111" s="128"/>
      <c r="D111" s="129"/>
      <c r="G111" s="128"/>
      <c r="J111" s="128"/>
      <c r="Q111" s="76"/>
      <c r="V111" s="130"/>
      <c r="X111" s="128"/>
      <c r="AB111" s="128"/>
    </row>
    <row r="112" spans="1:28" x14ac:dyDescent="0.15">
      <c r="A112" s="128"/>
      <c r="B112" s="128"/>
      <c r="D112" s="129"/>
      <c r="G112" s="128"/>
      <c r="J112" s="128"/>
      <c r="Q112" s="76"/>
      <c r="V112" s="130"/>
      <c r="X112" s="128"/>
      <c r="AB112" s="128"/>
    </row>
    <row r="113" spans="1:4" x14ac:dyDescent="0.15">
      <c r="A113" s="128"/>
      <c r="B113" s="128"/>
      <c r="D113" s="129"/>
    </row>
    <row r="114" spans="1:4" x14ac:dyDescent="0.15">
      <c r="A114" s="128"/>
      <c r="B114" s="128"/>
      <c r="D114" s="129"/>
    </row>
    <row r="115" spans="1:4" x14ac:dyDescent="0.15">
      <c r="A115" s="128"/>
      <c r="B115" s="128"/>
      <c r="D115" s="129"/>
    </row>
    <row r="116" spans="1:4" x14ac:dyDescent="0.15">
      <c r="A116" s="128"/>
      <c r="B116" s="128"/>
      <c r="D116" s="129"/>
    </row>
    <row r="117" spans="1:4" x14ac:dyDescent="0.15">
      <c r="A117" s="128"/>
      <c r="B117" s="128"/>
      <c r="D117" s="129"/>
    </row>
  </sheetData>
  <autoFilter ref="A1:BA1" xr:uid="{00000000-0009-0000-0000-000004000000}"/>
  <phoneticPr fontId="3"/>
  <dataValidations count="21">
    <dataValidation type="list" allowBlank="1" showInputMessage="1" showErrorMessage="1" sqref="K2:K120" xr:uid="{08DAFF48-B0EE-48B5-A699-1FAF1E40979D}">
      <formula1>$AR$2:$AR$26</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D54A87A7-40F9-48F4-A89D-A24DA5C44118}">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K981814:K98190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K916278:K916367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K850742:K850831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K785206:K785295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K719670:K719759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K654134:K65422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K588598:K588687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K523062:K523151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K457526:K457615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K391990:K392079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K326454:K32654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K260918:K261007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K195382:K195471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K129846:K129935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K64310:K64399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RNW2:RNW73 RXS2:RXS73 SHO2:SHO73 SRK2:SRK73 TBG2:TBG73 TLC2:TLC73 TUY2:TUY73 UEU2:UEU73 UOQ2:UOQ73 UYM2:UYM73 VII2:VII73 VSE2:VSE73 WCA2:WCA73 WLW2:WLW73 WVS2:WVS73" xr:uid="{69F5E1F6-0746-483F-80A6-90D21B1EC5A1}">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J981814:J98190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J916278:J916367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J850742:J850831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J785206:J785295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J719670:J719759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J654134:J65422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J588598:J588687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J523062:J523151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J457526:J457615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J391990:J392079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J326454:J32654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J260918:J261007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J195382:J195471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J129846:J129935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J64310:J64399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RNV2:RNV73 RXR2:RXR73 SHN2:SHN73 SRJ2:SRJ73 TBF2:TBF73 TLB2:TLB73 TUX2:TUX73 UET2:UET73 UOP2:UOP73 UYL2:UYL73 VIH2:VIH73 VSD2:VSD73 WBZ2:WBZ73 WLV2:WLV73 WVR2:WVR73" xr:uid="{837FDE40-F8A8-45EA-9D43-850708DB54F7}">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xr:uid="{37F10521-0B63-427E-88EE-CB1C4FB6CB6E}">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xr:uid="{82E8E522-5D80-4826-B6BD-BE93358766E0}">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96:X500 X2:X94" xr:uid="{80143F94-60C3-4C54-9940-5CAADCF57B3F}">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B2:B117" xr:uid="{9CFF2483-CFE0-4DD1-86F6-6ADBBBEF2205}"/>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xr:uid="{4E0AA009-DA6E-4A97-9828-C23ADE21AC29}">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96:G500 G2:G94" xr:uid="{084234B9-8D01-4C56-8116-C97B9E2A5F43}">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xr:uid="{4BCF8350-0C37-4A8E-9A76-F73DD05EEE35}">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96:I500 I2:I94" xr:uid="{C2A608AC-6DF9-4B0B-8874-F45A4EB3F396}">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xr:uid="{0F242605-7DDD-4DB8-A28F-5B66D71FB850}">
      <formula1>$AV$2:$AV$22</formula1>
    </dataValidation>
    <dataValidation type="list" allowBlank="1" showInputMessage="1" showErrorMessage="1" sqref="K121:K500" xr:uid="{B588A8AA-E6DB-431B-8A9F-F7C44763F1D6}">
      <formula1>$AR$2:$AR$25</formula1>
    </dataValidation>
    <dataValidation type="list" allowBlank="1" showInputMessage="1" showErrorMessage="1" sqref="J96:J500 J2:J94" xr:uid="{635F54E5-2CB5-4BD4-BCC0-3F29CD1D1040}">
      <formula1>$AP$2:$AP$27</formula1>
    </dataValidation>
    <dataValidation type="list" allowBlank="1" showInputMessage="1" showErrorMessage="1" sqref="F96:F500 F2:F94" xr:uid="{A5526467-1BA9-4D9B-8D07-9D4D0262CEF6}">
      <formula1>$AH$2:$AH$10</formula1>
    </dataValidation>
    <dataValidation type="list" allowBlank="1" showInputMessage="1" showErrorMessage="1" sqref="E96:E500 E2:E94" xr:uid="{DC48CF4A-A044-4769-BA0F-5B1A7E3C3761}">
      <formula1>$AG$2:$AG$11</formula1>
    </dataValidation>
    <dataValidation type="list" allowBlank="1" showInputMessage="1" showErrorMessage="1" sqref="A2:A500" xr:uid="{6BBD29C7-FF0A-4A0A-BA04-9B8920D41B31}">
      <formula1>$AE$2:$AE$19</formula1>
    </dataValidation>
    <dataValidation type="list" allowBlank="1" showInputMessage="1" showErrorMessage="1" sqref="H96:H500 H2:H94" xr:uid="{D020BE69-D1DF-41E4-B8A6-409EEC50FDCC}">
      <formula1>$AL$2:$AL$8</formula1>
    </dataValidation>
    <dataValidation type="list" allowBlank="1" showInputMessage="1" showErrorMessage="1" sqref="Y96:AA500 Y2:AA94" xr:uid="{A40E1CFB-8CC2-4B31-8587-F2CF440A7EC3}">
      <formula1>$AV$2:$AV$21</formula1>
    </dataValidation>
    <dataValidation type="decimal" allowBlank="1" showInputMessage="1" showErrorMessage="1" error="硬度を正しく入力して下さい。" sqref="O96:P500 O5:P10 P11:P16 O17:P34 O41:P94 P35:P40" xr:uid="{3FDBF22C-0799-4D5C-B52D-E69CC739FF05}">
      <formula1>0</formula1>
      <formula2>7</formula2>
    </dataValidation>
  </dataValidations>
  <pageMargins left="0.25" right="0.25" top="0.75" bottom="0.75" header="0.3" footer="0.3"/>
  <pageSetup paperSize="9" scale="28"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38BFE-6F40-489B-A3C5-26D8667CF5AF}">
  <dimension ref="A1:BA112"/>
  <sheetViews>
    <sheetView zoomScale="85" zoomScaleNormal="85" workbookViewId="0">
      <selection activeCell="D47" sqref="D47"/>
    </sheetView>
  </sheetViews>
  <sheetFormatPr defaultColWidth="8.875" defaultRowHeight="13.5" x14ac:dyDescent="0.15"/>
  <cols>
    <col min="1" max="3" width="8.875" style="53"/>
    <col min="4" max="4" width="13.5" style="53" bestFit="1" customWidth="1"/>
    <col min="5" max="5" width="9.625" style="53" bestFit="1" customWidth="1"/>
    <col min="6" max="16" width="8.875" style="53"/>
    <col min="17" max="17" width="8.875" style="16"/>
    <col min="18" max="19" width="8.875" style="53"/>
    <col min="20" max="20" width="8.875" style="16"/>
    <col min="21" max="21" width="8.875" style="53"/>
    <col min="22" max="22" width="8.875" style="16"/>
    <col min="23" max="32" width="8.875" style="53"/>
    <col min="33" max="33" width="19.625" style="53" bestFit="1" customWidth="1"/>
    <col min="34" max="259" width="8.875" style="53"/>
    <col min="260" max="260" width="10.5" style="53" bestFit="1" customWidth="1"/>
    <col min="261" max="261" width="9.625" style="53" bestFit="1" customWidth="1"/>
    <col min="262" max="515" width="8.875" style="53"/>
    <col min="516" max="516" width="10.5" style="53" bestFit="1" customWidth="1"/>
    <col min="517" max="517" width="9.625" style="53" bestFit="1" customWidth="1"/>
    <col min="518" max="771" width="8.875" style="53"/>
    <col min="772" max="772" width="10.5" style="53" bestFit="1" customWidth="1"/>
    <col min="773" max="773" width="9.625" style="53" bestFit="1" customWidth="1"/>
    <col min="774" max="1027" width="8.875" style="53"/>
    <col min="1028" max="1028" width="10.5" style="53" bestFit="1" customWidth="1"/>
    <col min="1029" max="1029" width="9.625" style="53" bestFit="1" customWidth="1"/>
    <col min="1030" max="1283" width="8.875" style="53"/>
    <col min="1284" max="1284" width="10.5" style="53" bestFit="1" customWidth="1"/>
    <col min="1285" max="1285" width="9.625" style="53" bestFit="1" customWidth="1"/>
    <col min="1286" max="1539" width="8.875" style="53"/>
    <col min="1540" max="1540" width="10.5" style="53" bestFit="1" customWidth="1"/>
    <col min="1541" max="1541" width="9.625" style="53" bestFit="1" customWidth="1"/>
    <col min="1542" max="1795" width="8.875" style="53"/>
    <col min="1796" max="1796" width="10.5" style="53" bestFit="1" customWidth="1"/>
    <col min="1797" max="1797" width="9.625" style="53" bestFit="1" customWidth="1"/>
    <col min="1798" max="2051" width="8.875" style="53"/>
    <col min="2052" max="2052" width="10.5" style="53" bestFit="1" customWidth="1"/>
    <col min="2053" max="2053" width="9.625" style="53" bestFit="1" customWidth="1"/>
    <col min="2054" max="2307" width="8.875" style="53"/>
    <col min="2308" max="2308" width="10.5" style="53" bestFit="1" customWidth="1"/>
    <col min="2309" max="2309" width="9.625" style="53" bestFit="1" customWidth="1"/>
    <col min="2310" max="2563" width="8.875" style="53"/>
    <col min="2564" max="2564" width="10.5" style="53" bestFit="1" customWidth="1"/>
    <col min="2565" max="2565" width="9.625" style="53" bestFit="1" customWidth="1"/>
    <col min="2566" max="2819" width="8.875" style="53"/>
    <col min="2820" max="2820" width="10.5" style="53" bestFit="1" customWidth="1"/>
    <col min="2821" max="2821" width="9.625" style="53" bestFit="1" customWidth="1"/>
    <col min="2822" max="3075" width="8.875" style="53"/>
    <col min="3076" max="3076" width="10.5" style="53" bestFit="1" customWidth="1"/>
    <col min="3077" max="3077" width="9.625" style="53" bestFit="1" customWidth="1"/>
    <col min="3078" max="3331" width="8.875" style="53"/>
    <col min="3332" max="3332" width="10.5" style="53" bestFit="1" customWidth="1"/>
    <col min="3333" max="3333" width="9.625" style="53" bestFit="1" customWidth="1"/>
    <col min="3334" max="3587" width="8.875" style="53"/>
    <col min="3588" max="3588" width="10.5" style="53" bestFit="1" customWidth="1"/>
    <col min="3589" max="3589" width="9.625" style="53" bestFit="1" customWidth="1"/>
    <col min="3590" max="3843" width="8.875" style="53"/>
    <col min="3844" max="3844" width="10.5" style="53" bestFit="1" customWidth="1"/>
    <col min="3845" max="3845" width="9.625" style="53" bestFit="1" customWidth="1"/>
    <col min="3846" max="4099" width="8.875" style="53"/>
    <col min="4100" max="4100" width="10.5" style="53" bestFit="1" customWidth="1"/>
    <col min="4101" max="4101" width="9.625" style="53" bestFit="1" customWidth="1"/>
    <col min="4102" max="4355" width="8.875" style="53"/>
    <col min="4356" max="4356" width="10.5" style="53" bestFit="1" customWidth="1"/>
    <col min="4357" max="4357" width="9.625" style="53" bestFit="1" customWidth="1"/>
    <col min="4358" max="4611" width="8.875" style="53"/>
    <col min="4612" max="4612" width="10.5" style="53" bestFit="1" customWidth="1"/>
    <col min="4613" max="4613" width="9.625" style="53" bestFit="1" customWidth="1"/>
    <col min="4614" max="4867" width="8.875" style="53"/>
    <col min="4868" max="4868" width="10.5" style="53" bestFit="1" customWidth="1"/>
    <col min="4869" max="4869" width="9.625" style="53" bestFit="1" customWidth="1"/>
    <col min="4870" max="5123" width="8.875" style="53"/>
    <col min="5124" max="5124" width="10.5" style="53" bestFit="1" customWidth="1"/>
    <col min="5125" max="5125" width="9.625" style="53" bestFit="1" customWidth="1"/>
    <col min="5126" max="5379" width="8.875" style="53"/>
    <col min="5380" max="5380" width="10.5" style="53" bestFit="1" customWidth="1"/>
    <col min="5381" max="5381" width="9.625" style="53" bestFit="1" customWidth="1"/>
    <col min="5382" max="5635" width="8.875" style="53"/>
    <col min="5636" max="5636" width="10.5" style="53" bestFit="1" customWidth="1"/>
    <col min="5637" max="5637" width="9.625" style="53" bestFit="1" customWidth="1"/>
    <col min="5638" max="5891" width="8.875" style="53"/>
    <col min="5892" max="5892" width="10.5" style="53" bestFit="1" customWidth="1"/>
    <col min="5893" max="5893" width="9.625" style="53" bestFit="1" customWidth="1"/>
    <col min="5894" max="6147" width="8.875" style="53"/>
    <col min="6148" max="6148" width="10.5" style="53" bestFit="1" customWidth="1"/>
    <col min="6149" max="6149" width="9.625" style="53" bestFit="1" customWidth="1"/>
    <col min="6150" max="6403" width="8.875" style="53"/>
    <col min="6404" max="6404" width="10.5" style="53" bestFit="1" customWidth="1"/>
    <col min="6405" max="6405" width="9.625" style="53" bestFit="1" customWidth="1"/>
    <col min="6406" max="6659" width="8.875" style="53"/>
    <col min="6660" max="6660" width="10.5" style="53" bestFit="1" customWidth="1"/>
    <col min="6661" max="6661" width="9.625" style="53" bestFit="1" customWidth="1"/>
    <col min="6662" max="6915" width="8.875" style="53"/>
    <col min="6916" max="6916" width="10.5" style="53" bestFit="1" customWidth="1"/>
    <col min="6917" max="6917" width="9.625" style="53" bestFit="1" customWidth="1"/>
    <col min="6918" max="7171" width="8.875" style="53"/>
    <col min="7172" max="7172" width="10.5" style="53" bestFit="1" customWidth="1"/>
    <col min="7173" max="7173" width="9.625" style="53" bestFit="1" customWidth="1"/>
    <col min="7174" max="7427" width="8.875" style="53"/>
    <col min="7428" max="7428" width="10.5" style="53" bestFit="1" customWidth="1"/>
    <col min="7429" max="7429" width="9.625" style="53" bestFit="1" customWidth="1"/>
    <col min="7430" max="7683" width="8.875" style="53"/>
    <col min="7684" max="7684" width="10.5" style="53" bestFit="1" customWidth="1"/>
    <col min="7685" max="7685" width="9.625" style="53" bestFit="1" customWidth="1"/>
    <col min="7686" max="7939" width="8.875" style="53"/>
    <col min="7940" max="7940" width="10.5" style="53" bestFit="1" customWidth="1"/>
    <col min="7941" max="7941" width="9.625" style="53" bestFit="1" customWidth="1"/>
    <col min="7942" max="8195" width="8.875" style="53"/>
    <col min="8196" max="8196" width="10.5" style="53" bestFit="1" customWidth="1"/>
    <col min="8197" max="8197" width="9.625" style="53" bestFit="1" customWidth="1"/>
    <col min="8198" max="8451" width="8.875" style="53"/>
    <col min="8452" max="8452" width="10.5" style="53" bestFit="1" customWidth="1"/>
    <col min="8453" max="8453" width="9.625" style="53" bestFit="1" customWidth="1"/>
    <col min="8454" max="8707" width="8.875" style="53"/>
    <col min="8708" max="8708" width="10.5" style="53" bestFit="1" customWidth="1"/>
    <col min="8709" max="8709" width="9.625" style="53" bestFit="1" customWidth="1"/>
    <col min="8710" max="8963" width="8.875" style="53"/>
    <col min="8964" max="8964" width="10.5" style="53" bestFit="1" customWidth="1"/>
    <col min="8965" max="8965" width="9.625" style="53" bestFit="1" customWidth="1"/>
    <col min="8966" max="9219" width="8.875" style="53"/>
    <col min="9220" max="9220" width="10.5" style="53" bestFit="1" customWidth="1"/>
    <col min="9221" max="9221" width="9.625" style="53" bestFit="1" customWidth="1"/>
    <col min="9222" max="9475" width="8.875" style="53"/>
    <col min="9476" max="9476" width="10.5" style="53" bestFit="1" customWidth="1"/>
    <col min="9477" max="9477" width="9.625" style="53" bestFit="1" customWidth="1"/>
    <col min="9478" max="9731" width="8.875" style="53"/>
    <col min="9732" max="9732" width="10.5" style="53" bestFit="1" customWidth="1"/>
    <col min="9733" max="9733" width="9.625" style="53" bestFit="1" customWidth="1"/>
    <col min="9734" max="9987" width="8.875" style="53"/>
    <col min="9988" max="9988" width="10.5" style="53" bestFit="1" customWidth="1"/>
    <col min="9989" max="9989" width="9.625" style="53" bestFit="1" customWidth="1"/>
    <col min="9990" max="10243" width="8.875" style="53"/>
    <col min="10244" max="10244" width="10.5" style="53" bestFit="1" customWidth="1"/>
    <col min="10245" max="10245" width="9.625" style="53" bestFit="1" customWidth="1"/>
    <col min="10246" max="10499" width="8.875" style="53"/>
    <col min="10500" max="10500" width="10.5" style="53" bestFit="1" customWidth="1"/>
    <col min="10501" max="10501" width="9.625" style="53" bestFit="1" customWidth="1"/>
    <col min="10502" max="10755" width="8.875" style="53"/>
    <col min="10756" max="10756" width="10.5" style="53" bestFit="1" customWidth="1"/>
    <col min="10757" max="10757" width="9.625" style="53" bestFit="1" customWidth="1"/>
    <col min="10758" max="11011" width="8.875" style="53"/>
    <col min="11012" max="11012" width="10.5" style="53" bestFit="1" customWidth="1"/>
    <col min="11013" max="11013" width="9.625" style="53" bestFit="1" customWidth="1"/>
    <col min="11014" max="11267" width="8.875" style="53"/>
    <col min="11268" max="11268" width="10.5" style="53" bestFit="1" customWidth="1"/>
    <col min="11269" max="11269" width="9.625" style="53" bestFit="1" customWidth="1"/>
    <col min="11270" max="11523" width="8.875" style="53"/>
    <col min="11524" max="11524" width="10.5" style="53" bestFit="1" customWidth="1"/>
    <col min="11525" max="11525" width="9.625" style="53" bestFit="1" customWidth="1"/>
    <col min="11526" max="11779" width="8.875" style="53"/>
    <col min="11780" max="11780" width="10.5" style="53" bestFit="1" customWidth="1"/>
    <col min="11781" max="11781" width="9.625" style="53" bestFit="1" customWidth="1"/>
    <col min="11782" max="12035" width="8.875" style="53"/>
    <col min="12036" max="12036" width="10.5" style="53" bestFit="1" customWidth="1"/>
    <col min="12037" max="12037" width="9.625" style="53" bestFit="1" customWidth="1"/>
    <col min="12038" max="12291" width="8.875" style="53"/>
    <col min="12292" max="12292" width="10.5" style="53" bestFit="1" customWidth="1"/>
    <col min="12293" max="12293" width="9.625" style="53" bestFit="1" customWidth="1"/>
    <col min="12294" max="12547" width="8.875" style="53"/>
    <col min="12548" max="12548" width="10.5" style="53" bestFit="1" customWidth="1"/>
    <col min="12549" max="12549" width="9.625" style="53" bestFit="1" customWidth="1"/>
    <col min="12550" max="12803" width="8.875" style="53"/>
    <col min="12804" max="12804" width="10.5" style="53" bestFit="1" customWidth="1"/>
    <col min="12805" max="12805" width="9.625" style="53" bestFit="1" customWidth="1"/>
    <col min="12806" max="13059" width="8.875" style="53"/>
    <col min="13060" max="13060" width="10.5" style="53" bestFit="1" customWidth="1"/>
    <col min="13061" max="13061" width="9.625" style="53" bestFit="1" customWidth="1"/>
    <col min="13062" max="13315" width="8.875" style="53"/>
    <col min="13316" max="13316" width="10.5" style="53" bestFit="1" customWidth="1"/>
    <col min="13317" max="13317" width="9.625" style="53" bestFit="1" customWidth="1"/>
    <col min="13318" max="13571" width="8.875" style="53"/>
    <col min="13572" max="13572" width="10.5" style="53" bestFit="1" customWidth="1"/>
    <col min="13573" max="13573" width="9.625" style="53" bestFit="1" customWidth="1"/>
    <col min="13574" max="13827" width="8.875" style="53"/>
    <col min="13828" max="13828" width="10.5" style="53" bestFit="1" customWidth="1"/>
    <col min="13829" max="13829" width="9.625" style="53" bestFit="1" customWidth="1"/>
    <col min="13830" max="14083" width="8.875" style="53"/>
    <col min="14084" max="14084" width="10.5" style="53" bestFit="1" customWidth="1"/>
    <col min="14085" max="14085" width="9.625" style="53" bestFit="1" customWidth="1"/>
    <col min="14086" max="14339" width="8.875" style="53"/>
    <col min="14340" max="14340" width="10.5" style="53" bestFit="1" customWidth="1"/>
    <col min="14341" max="14341" width="9.625" style="53" bestFit="1" customWidth="1"/>
    <col min="14342" max="14595" width="8.875" style="53"/>
    <col min="14596" max="14596" width="10.5" style="53" bestFit="1" customWidth="1"/>
    <col min="14597" max="14597" width="9.625" style="53" bestFit="1" customWidth="1"/>
    <col min="14598" max="14851" width="8.875" style="53"/>
    <col min="14852" max="14852" width="10.5" style="53" bestFit="1" customWidth="1"/>
    <col min="14853" max="14853" width="9.625" style="53" bestFit="1" customWidth="1"/>
    <col min="14854" max="15107" width="8.875" style="53"/>
    <col min="15108" max="15108" width="10.5" style="53" bestFit="1" customWidth="1"/>
    <col min="15109" max="15109" width="9.625" style="53" bestFit="1" customWidth="1"/>
    <col min="15110" max="15363" width="8.875" style="53"/>
    <col min="15364" max="15364" width="10.5" style="53" bestFit="1" customWidth="1"/>
    <col min="15365" max="15365" width="9.625" style="53" bestFit="1" customWidth="1"/>
    <col min="15366" max="15619" width="8.875" style="53"/>
    <col min="15620" max="15620" width="10.5" style="53" bestFit="1" customWidth="1"/>
    <col min="15621" max="15621" width="9.625" style="53" bestFit="1" customWidth="1"/>
    <col min="15622" max="15875" width="8.875" style="53"/>
    <col min="15876" max="15876" width="10.5" style="53" bestFit="1" customWidth="1"/>
    <col min="15877" max="15877" width="9.625" style="53" bestFit="1" customWidth="1"/>
    <col min="15878" max="16131" width="8.875" style="53"/>
    <col min="16132" max="16132" width="10.5" style="53" bestFit="1" customWidth="1"/>
    <col min="16133" max="16133" width="9.625" style="53" bestFit="1" customWidth="1"/>
    <col min="16134" max="16384" width="8.875"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302</v>
      </c>
      <c r="O1" s="56" t="s">
        <v>14</v>
      </c>
      <c r="P1" s="56" t="s">
        <v>15</v>
      </c>
      <c r="Q1" s="3" t="s">
        <v>16</v>
      </c>
      <c r="R1" s="56" t="s">
        <v>17</v>
      </c>
      <c r="S1" s="56" t="s">
        <v>18</v>
      </c>
      <c r="T1" s="3" t="s">
        <v>19</v>
      </c>
      <c r="U1" s="58" t="s">
        <v>303</v>
      </c>
      <c r="V1" s="5" t="s">
        <v>20</v>
      </c>
      <c r="W1" s="56" t="s">
        <v>21</v>
      </c>
      <c r="X1" s="45" t="s">
        <v>22</v>
      </c>
      <c r="Y1" s="45" t="s">
        <v>23</v>
      </c>
      <c r="Z1" s="45" t="s">
        <v>24</v>
      </c>
      <c r="AA1" s="46"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59</v>
      </c>
      <c r="B2" s="53" t="s">
        <v>304</v>
      </c>
      <c r="C2" s="62">
        <v>2019</v>
      </c>
      <c r="D2" s="138" t="s">
        <v>169</v>
      </c>
      <c r="E2" s="53" t="s">
        <v>305</v>
      </c>
      <c r="F2" s="53" t="s">
        <v>306</v>
      </c>
      <c r="G2" s="53" t="s">
        <v>36</v>
      </c>
      <c r="H2" s="53" t="s">
        <v>127</v>
      </c>
      <c r="I2" s="53" t="s">
        <v>159</v>
      </c>
      <c r="J2" s="53" t="s">
        <v>250</v>
      </c>
      <c r="K2" s="53" t="s">
        <v>307</v>
      </c>
      <c r="L2" s="53">
        <v>1</v>
      </c>
      <c r="N2" s="53">
        <v>5</v>
      </c>
      <c r="O2" s="53">
        <v>0.92</v>
      </c>
      <c r="P2" s="53">
        <v>0.85</v>
      </c>
      <c r="Q2" s="76">
        <f>IF(OR(O2="",P2=""),"",AVERAGE(O2,P2))</f>
        <v>0.88500000000000001</v>
      </c>
      <c r="R2" s="53">
        <v>14.6</v>
      </c>
      <c r="S2" s="53">
        <v>90</v>
      </c>
      <c r="T2" s="16">
        <f t="shared" ref="T2:T43" si="0">IF(H2="","",IF(OR(H2="GREEN",H2="GK"),IF(S2&gt;=$AX$2,VLOOKUP(S2,$AX$2:$AY$12,2,1),""),IF(S2&gt;=$AZ$2,VLOOKUP(S2,$AZ$2:$BA$12,2,1),"")))</f>
        <v>36</v>
      </c>
      <c r="U2" s="53">
        <v>398</v>
      </c>
      <c r="V2" s="16">
        <f t="shared" ref="V2:V43" si="1">IF(J2="","",IF(OR(J2="GREEN",J2="GK"),IF(U2&gt;=$AX$2,VLOOKUP(U2,$AX$2:$AY$12,2,1),""),IF(U2&gt;=$AZ$2,VLOOKUP(U2,$AZ$2:$BA$12,2,1),"")))</f>
        <v>25</v>
      </c>
      <c r="W2" s="53">
        <v>2</v>
      </c>
      <c r="X2" s="53" t="s">
        <v>39</v>
      </c>
      <c r="Y2" s="53" t="s">
        <v>84</v>
      </c>
      <c r="Z2" s="53" t="s">
        <v>90</v>
      </c>
      <c r="AA2" s="53" t="s">
        <v>40</v>
      </c>
      <c r="AB2" s="53" t="s">
        <v>308</v>
      </c>
      <c r="AE2" s="64" t="s">
        <v>35</v>
      </c>
      <c r="AG2" s="139" t="s">
        <v>309</v>
      </c>
      <c r="AH2" s="140" t="s">
        <v>310</v>
      </c>
      <c r="AJ2" s="67" t="s">
        <v>36</v>
      </c>
      <c r="AL2" s="67" t="s">
        <v>127</v>
      </c>
      <c r="AN2" s="67" t="s">
        <v>311</v>
      </c>
      <c r="AP2" s="67" t="s">
        <v>38</v>
      </c>
      <c r="AR2" s="67" t="s">
        <v>120</v>
      </c>
      <c r="AT2" s="67" t="s">
        <v>39</v>
      </c>
      <c r="AV2" s="23" t="s">
        <v>55</v>
      </c>
      <c r="AX2" s="68">
        <v>1</v>
      </c>
      <c r="AY2" s="69">
        <v>50</v>
      </c>
      <c r="AZ2" s="69">
        <v>1</v>
      </c>
      <c r="BA2" s="70">
        <v>50</v>
      </c>
    </row>
    <row r="3" spans="1:53" x14ac:dyDescent="0.15">
      <c r="A3" s="53" t="s">
        <v>59</v>
      </c>
      <c r="B3" s="53" t="s">
        <v>304</v>
      </c>
      <c r="C3" s="62">
        <v>2019</v>
      </c>
      <c r="D3" s="138" t="s">
        <v>169</v>
      </c>
      <c r="E3" s="53" t="s">
        <v>305</v>
      </c>
      <c r="F3" s="53" t="s">
        <v>306</v>
      </c>
      <c r="G3" s="53" t="s">
        <v>36</v>
      </c>
      <c r="H3" s="53" t="s">
        <v>127</v>
      </c>
      <c r="I3" s="53" t="s">
        <v>159</v>
      </c>
      <c r="J3" s="53" t="s">
        <v>250</v>
      </c>
      <c r="K3" s="53" t="s">
        <v>307</v>
      </c>
      <c r="L3" s="53">
        <v>2</v>
      </c>
      <c r="N3" s="53">
        <v>5</v>
      </c>
      <c r="O3" s="53">
        <v>0.82</v>
      </c>
      <c r="P3" s="53">
        <v>0.7</v>
      </c>
      <c r="Q3" s="76">
        <f t="shared" ref="Q3:Q43" si="2">IF(OR(O3="",P3=""),"",AVERAGE(O3,P3))</f>
        <v>0.76</v>
      </c>
      <c r="R3" s="53">
        <v>14.7</v>
      </c>
      <c r="S3" s="53">
        <v>104</v>
      </c>
      <c r="T3" s="16">
        <f t="shared" si="0"/>
        <v>33</v>
      </c>
      <c r="U3" s="53">
        <v>398</v>
      </c>
      <c r="V3" s="16">
        <f t="shared" si="1"/>
        <v>25</v>
      </c>
      <c r="W3" s="53">
        <v>2</v>
      </c>
      <c r="X3" s="53" t="s">
        <v>39</v>
      </c>
      <c r="Y3" s="53" t="s">
        <v>84</v>
      </c>
      <c r="Z3" s="53" t="s">
        <v>90</v>
      </c>
      <c r="AA3" s="53" t="s">
        <v>40</v>
      </c>
      <c r="AB3" s="53" t="s">
        <v>308</v>
      </c>
      <c r="AE3" s="22" t="s">
        <v>41</v>
      </c>
      <c r="AG3" s="139" t="s">
        <v>312</v>
      </c>
      <c r="AH3" s="140" t="s">
        <v>306</v>
      </c>
      <c r="AJ3" s="23" t="s">
        <v>42</v>
      </c>
      <c r="AL3" s="23" t="s">
        <v>128</v>
      </c>
      <c r="AN3" s="23" t="s">
        <v>43</v>
      </c>
      <c r="AP3" s="23" t="s">
        <v>44</v>
      </c>
      <c r="AR3" s="23" t="s">
        <v>45</v>
      </c>
      <c r="AT3" s="23" t="s">
        <v>46</v>
      </c>
      <c r="AV3" s="23" t="s">
        <v>313</v>
      </c>
      <c r="AX3" s="24">
        <v>72</v>
      </c>
      <c r="AY3" s="25">
        <v>46</v>
      </c>
      <c r="AZ3" s="25">
        <v>71</v>
      </c>
      <c r="BA3" s="26">
        <v>42</v>
      </c>
    </row>
    <row r="4" spans="1:53" x14ac:dyDescent="0.15">
      <c r="A4" s="53" t="s">
        <v>59</v>
      </c>
      <c r="B4" s="53" t="s">
        <v>304</v>
      </c>
      <c r="C4" s="62">
        <v>2019</v>
      </c>
      <c r="D4" s="138" t="s">
        <v>169</v>
      </c>
      <c r="E4" s="53" t="s">
        <v>305</v>
      </c>
      <c r="F4" s="53" t="s">
        <v>306</v>
      </c>
      <c r="G4" s="53" t="s">
        <v>36</v>
      </c>
      <c r="H4" s="53" t="s">
        <v>127</v>
      </c>
      <c r="I4" s="53" t="s">
        <v>314</v>
      </c>
      <c r="J4" s="53" t="s">
        <v>250</v>
      </c>
      <c r="K4" s="53" t="s">
        <v>307</v>
      </c>
      <c r="L4" s="53">
        <v>3</v>
      </c>
      <c r="N4" s="53">
        <v>5</v>
      </c>
      <c r="O4" s="53">
        <v>0.77</v>
      </c>
      <c r="P4" s="53">
        <v>0.71</v>
      </c>
      <c r="Q4" s="76">
        <f t="shared" si="2"/>
        <v>0.74</v>
      </c>
      <c r="R4" s="53">
        <v>14.4</v>
      </c>
      <c r="S4" s="53">
        <v>105</v>
      </c>
      <c r="T4" s="16">
        <f t="shared" si="0"/>
        <v>33</v>
      </c>
      <c r="U4" s="53">
        <v>398</v>
      </c>
      <c r="V4" s="16">
        <f t="shared" si="1"/>
        <v>25</v>
      </c>
      <c r="W4" s="53">
        <v>2</v>
      </c>
      <c r="X4" s="53" t="s">
        <v>39</v>
      </c>
      <c r="Y4" s="53" t="s">
        <v>84</v>
      </c>
      <c r="Z4" s="53" t="s">
        <v>90</v>
      </c>
      <c r="AA4" s="53" t="s">
        <v>40</v>
      </c>
      <c r="AB4" s="53" t="s">
        <v>308</v>
      </c>
      <c r="AE4" s="22" t="s">
        <v>34</v>
      </c>
      <c r="AG4" s="139" t="s">
        <v>315</v>
      </c>
      <c r="AH4" s="140" t="s">
        <v>316</v>
      </c>
      <c r="AJ4" s="27" t="s">
        <v>48</v>
      </c>
      <c r="AL4" s="27" t="s">
        <v>129</v>
      </c>
      <c r="AN4" s="28" t="s">
        <v>49</v>
      </c>
      <c r="AP4" s="23" t="s">
        <v>93</v>
      </c>
      <c r="AR4" s="23" t="s">
        <v>307</v>
      </c>
      <c r="AT4" s="28"/>
      <c r="AV4" s="23" t="s">
        <v>317</v>
      </c>
      <c r="AX4" s="24">
        <v>75</v>
      </c>
      <c r="AY4" s="25">
        <v>42</v>
      </c>
      <c r="AZ4" s="25">
        <v>76</v>
      </c>
      <c r="BA4" s="26">
        <v>39</v>
      </c>
    </row>
    <row r="5" spans="1:53" x14ac:dyDescent="0.15">
      <c r="A5" s="53" t="s">
        <v>59</v>
      </c>
      <c r="B5" s="53" t="s">
        <v>304</v>
      </c>
      <c r="C5" s="62">
        <v>2019</v>
      </c>
      <c r="D5" s="138" t="s">
        <v>169</v>
      </c>
      <c r="E5" s="53" t="s">
        <v>309</v>
      </c>
      <c r="F5" s="53" t="s">
        <v>310</v>
      </c>
      <c r="G5" s="53" t="s">
        <v>36</v>
      </c>
      <c r="H5" s="53" t="s">
        <v>127</v>
      </c>
      <c r="I5" s="53" t="s">
        <v>159</v>
      </c>
      <c r="J5" s="53" t="s">
        <v>80</v>
      </c>
      <c r="K5" s="53" t="s">
        <v>307</v>
      </c>
      <c r="L5" s="53">
        <v>1</v>
      </c>
      <c r="N5" s="53">
        <v>6</v>
      </c>
      <c r="O5" s="53">
        <v>1.1399999999999999</v>
      </c>
      <c r="P5" s="53">
        <v>1.05</v>
      </c>
      <c r="Q5" s="76">
        <f t="shared" si="2"/>
        <v>1.095</v>
      </c>
      <c r="R5" s="53">
        <v>11.6</v>
      </c>
      <c r="S5" s="53">
        <v>70</v>
      </c>
      <c r="T5" s="16">
        <f t="shared" si="0"/>
        <v>50</v>
      </c>
      <c r="U5" s="53">
        <v>397</v>
      </c>
      <c r="V5" s="16">
        <f t="shared" si="1"/>
        <v>25</v>
      </c>
      <c r="W5" s="53">
        <v>8</v>
      </c>
      <c r="X5" s="53" t="s">
        <v>39</v>
      </c>
      <c r="Y5" s="53" t="s">
        <v>84</v>
      </c>
      <c r="Z5" s="53" t="s">
        <v>40</v>
      </c>
      <c r="AA5" s="53" t="s">
        <v>90</v>
      </c>
      <c r="AB5" s="53" t="s">
        <v>308</v>
      </c>
      <c r="AE5" s="22" t="s">
        <v>51</v>
      </c>
      <c r="AG5" s="139" t="s">
        <v>318</v>
      </c>
      <c r="AH5" s="140" t="s">
        <v>319</v>
      </c>
      <c r="AJ5" s="28"/>
      <c r="AL5" s="73" t="s">
        <v>66</v>
      </c>
      <c r="AN5" s="73" t="s">
        <v>52</v>
      </c>
      <c r="AP5" s="23" t="s">
        <v>320</v>
      </c>
      <c r="AR5" s="23" t="s">
        <v>54</v>
      </c>
      <c r="AV5" s="23" t="s">
        <v>321</v>
      </c>
      <c r="AX5" s="24">
        <v>84</v>
      </c>
      <c r="AY5" s="25">
        <v>39</v>
      </c>
      <c r="AZ5" s="25">
        <v>84</v>
      </c>
      <c r="BA5" s="26">
        <v>36</v>
      </c>
    </row>
    <row r="6" spans="1:53" x14ac:dyDescent="0.15">
      <c r="A6" s="53" t="s">
        <v>59</v>
      </c>
      <c r="B6" s="53" t="s">
        <v>304</v>
      </c>
      <c r="C6" s="62">
        <v>2019</v>
      </c>
      <c r="D6" s="138" t="s">
        <v>169</v>
      </c>
      <c r="E6" s="53" t="s">
        <v>309</v>
      </c>
      <c r="F6" s="53" t="s">
        <v>310</v>
      </c>
      <c r="G6" s="53" t="s">
        <v>36</v>
      </c>
      <c r="H6" s="53" t="s">
        <v>127</v>
      </c>
      <c r="I6" s="53" t="s">
        <v>159</v>
      </c>
      <c r="J6" s="53" t="s">
        <v>80</v>
      </c>
      <c r="K6" s="53" t="s">
        <v>307</v>
      </c>
      <c r="L6" s="53">
        <v>2</v>
      </c>
      <c r="N6" s="53">
        <v>6</v>
      </c>
      <c r="O6" s="53">
        <v>0.98</v>
      </c>
      <c r="P6" s="53">
        <v>1.04</v>
      </c>
      <c r="Q6" s="76">
        <f t="shared" si="2"/>
        <v>1.01</v>
      </c>
      <c r="R6" s="53">
        <v>10.3</v>
      </c>
      <c r="S6" s="53">
        <v>78</v>
      </c>
      <c r="T6" s="16">
        <f t="shared" si="0"/>
        <v>39</v>
      </c>
      <c r="U6" s="53">
        <v>397</v>
      </c>
      <c r="V6" s="16">
        <f t="shared" si="1"/>
        <v>25</v>
      </c>
      <c r="W6" s="53">
        <v>8</v>
      </c>
      <c r="X6" s="53" t="s">
        <v>39</v>
      </c>
      <c r="Y6" s="53" t="s">
        <v>84</v>
      </c>
      <c r="Z6" s="53" t="s">
        <v>40</v>
      </c>
      <c r="AA6" s="53" t="s">
        <v>90</v>
      </c>
      <c r="AB6" s="53" t="s">
        <v>308</v>
      </c>
      <c r="AE6" s="22" t="s">
        <v>56</v>
      </c>
      <c r="AG6" s="139" t="s">
        <v>322</v>
      </c>
      <c r="AH6" s="140" t="s">
        <v>323</v>
      </c>
      <c r="AL6" s="73" t="s">
        <v>99</v>
      </c>
      <c r="AN6" s="73" t="s">
        <v>57</v>
      </c>
      <c r="AP6" s="23" t="s">
        <v>53</v>
      </c>
      <c r="AR6" s="23" t="s">
        <v>324</v>
      </c>
      <c r="AV6" s="23" t="s">
        <v>60</v>
      </c>
      <c r="AX6" s="24">
        <v>97</v>
      </c>
      <c r="AY6" s="25">
        <v>36</v>
      </c>
      <c r="AZ6" s="25">
        <v>99</v>
      </c>
      <c r="BA6" s="26">
        <v>33</v>
      </c>
    </row>
    <row r="7" spans="1:53" x14ac:dyDescent="0.15">
      <c r="A7" s="53" t="s">
        <v>59</v>
      </c>
      <c r="B7" s="53" t="s">
        <v>304</v>
      </c>
      <c r="C7" s="62">
        <v>2019</v>
      </c>
      <c r="D7" s="138" t="s">
        <v>169</v>
      </c>
      <c r="E7" s="53" t="s">
        <v>309</v>
      </c>
      <c r="F7" s="53" t="s">
        <v>310</v>
      </c>
      <c r="G7" s="53" t="s">
        <v>36</v>
      </c>
      <c r="H7" s="53" t="s">
        <v>127</v>
      </c>
      <c r="I7" s="53" t="s">
        <v>159</v>
      </c>
      <c r="J7" s="53" t="s">
        <v>80</v>
      </c>
      <c r="K7" s="53" t="s">
        <v>307</v>
      </c>
      <c r="L7" s="53">
        <v>3</v>
      </c>
      <c r="N7" s="53">
        <v>6</v>
      </c>
      <c r="O7" s="53">
        <v>1.1200000000000001</v>
      </c>
      <c r="P7" s="53">
        <v>1.1000000000000001</v>
      </c>
      <c r="Q7" s="76">
        <f t="shared" si="2"/>
        <v>1.1100000000000001</v>
      </c>
      <c r="R7" s="53">
        <v>12.8</v>
      </c>
      <c r="S7" s="53">
        <v>77</v>
      </c>
      <c r="T7" s="16">
        <f t="shared" si="0"/>
        <v>39</v>
      </c>
      <c r="U7" s="53">
        <v>397</v>
      </c>
      <c r="V7" s="16">
        <f t="shared" si="1"/>
        <v>25</v>
      </c>
      <c r="W7" s="53">
        <v>8</v>
      </c>
      <c r="X7" s="53" t="s">
        <v>39</v>
      </c>
      <c r="Y7" s="53" t="s">
        <v>84</v>
      </c>
      <c r="Z7" s="53" t="s">
        <v>40</v>
      </c>
      <c r="AA7" s="53" t="s">
        <v>90</v>
      </c>
      <c r="AB7" s="53" t="s">
        <v>308</v>
      </c>
      <c r="AE7" s="22" t="s">
        <v>61</v>
      </c>
      <c r="AG7" s="139" t="s">
        <v>325</v>
      </c>
      <c r="AH7" s="140" t="s">
        <v>326</v>
      </c>
      <c r="AL7" s="34" t="s">
        <v>109</v>
      </c>
      <c r="AP7" s="23" t="s">
        <v>58</v>
      </c>
      <c r="AR7" s="23" t="s">
        <v>327</v>
      </c>
      <c r="AV7" s="23" t="s">
        <v>64</v>
      </c>
      <c r="AX7" s="24">
        <v>109</v>
      </c>
      <c r="AY7" s="25">
        <v>33</v>
      </c>
      <c r="AZ7" s="25">
        <v>113</v>
      </c>
      <c r="BA7" s="26">
        <v>30</v>
      </c>
    </row>
    <row r="8" spans="1:53" x14ac:dyDescent="0.15">
      <c r="A8" s="53" t="s">
        <v>59</v>
      </c>
      <c r="B8" s="53" t="s">
        <v>304</v>
      </c>
      <c r="C8" s="62">
        <v>2019</v>
      </c>
      <c r="D8" s="138" t="s">
        <v>169</v>
      </c>
      <c r="E8" s="53" t="s">
        <v>318</v>
      </c>
      <c r="F8" s="53" t="s">
        <v>319</v>
      </c>
      <c r="G8" s="53" t="s">
        <v>36</v>
      </c>
      <c r="H8" s="53" t="s">
        <v>163</v>
      </c>
      <c r="I8" s="53" t="s">
        <v>159</v>
      </c>
      <c r="J8" s="53" t="s">
        <v>38</v>
      </c>
      <c r="K8" s="53" t="s">
        <v>160</v>
      </c>
      <c r="L8" s="53">
        <v>1</v>
      </c>
      <c r="N8" s="53">
        <v>4</v>
      </c>
      <c r="O8" s="53">
        <v>0.32</v>
      </c>
      <c r="P8" s="53">
        <v>0.3</v>
      </c>
      <c r="Q8" s="76">
        <f t="shared" si="2"/>
        <v>0.31</v>
      </c>
      <c r="R8" s="53">
        <v>14.9</v>
      </c>
      <c r="S8" s="53">
        <v>106</v>
      </c>
      <c r="T8" s="16">
        <f t="shared" si="0"/>
        <v>33</v>
      </c>
      <c r="U8" s="53">
        <v>399</v>
      </c>
      <c r="V8" s="16">
        <f t="shared" si="1"/>
        <v>25</v>
      </c>
      <c r="W8" s="53">
        <v>2</v>
      </c>
      <c r="X8" s="53" t="s">
        <v>39</v>
      </c>
      <c r="Y8" s="53" t="s">
        <v>84</v>
      </c>
      <c r="Z8" s="53" t="s">
        <v>90</v>
      </c>
      <c r="AA8" s="53" t="s">
        <v>69</v>
      </c>
      <c r="AB8" s="53" t="s">
        <v>308</v>
      </c>
      <c r="AE8" s="22" t="s">
        <v>51</v>
      </c>
      <c r="AG8" s="139" t="s">
        <v>318</v>
      </c>
      <c r="AH8" s="140" t="s">
        <v>319</v>
      </c>
      <c r="AJ8" s="28"/>
      <c r="AL8" s="73" t="s">
        <v>66</v>
      </c>
      <c r="AN8" s="73" t="s">
        <v>52</v>
      </c>
      <c r="AP8" s="23" t="s">
        <v>320</v>
      </c>
      <c r="AR8" s="23" t="s">
        <v>54</v>
      </c>
      <c r="AV8" s="23" t="s">
        <v>321</v>
      </c>
      <c r="AX8" s="24">
        <v>84</v>
      </c>
      <c r="AY8" s="25">
        <v>39</v>
      </c>
      <c r="AZ8" s="25">
        <v>84</v>
      </c>
      <c r="BA8" s="26">
        <v>36</v>
      </c>
    </row>
    <row r="9" spans="1:53" x14ac:dyDescent="0.15">
      <c r="A9" s="53" t="s">
        <v>59</v>
      </c>
      <c r="B9" s="53" t="s">
        <v>304</v>
      </c>
      <c r="C9" s="62">
        <v>2019</v>
      </c>
      <c r="D9" s="138" t="s">
        <v>169</v>
      </c>
      <c r="E9" s="53" t="s">
        <v>318</v>
      </c>
      <c r="F9" s="53" t="s">
        <v>319</v>
      </c>
      <c r="G9" s="53" t="s">
        <v>36</v>
      </c>
      <c r="H9" s="53" t="s">
        <v>163</v>
      </c>
      <c r="I9" s="53" t="s">
        <v>159</v>
      </c>
      <c r="J9" s="53" t="s">
        <v>38</v>
      </c>
      <c r="K9" s="53" t="s">
        <v>160</v>
      </c>
      <c r="L9" s="53">
        <v>2</v>
      </c>
      <c r="N9" s="53">
        <v>4</v>
      </c>
      <c r="O9" s="53">
        <v>0.21</v>
      </c>
      <c r="P9" s="53">
        <v>0.24</v>
      </c>
      <c r="Q9" s="76">
        <f t="shared" si="2"/>
        <v>0.22499999999999998</v>
      </c>
      <c r="R9" s="53">
        <v>13.4</v>
      </c>
      <c r="S9" s="53">
        <v>97</v>
      </c>
      <c r="T9" s="16">
        <f t="shared" si="0"/>
        <v>36</v>
      </c>
      <c r="U9" s="53">
        <v>399</v>
      </c>
      <c r="V9" s="16">
        <f t="shared" si="1"/>
        <v>25</v>
      </c>
      <c r="W9" s="53">
        <v>2</v>
      </c>
      <c r="X9" s="53" t="s">
        <v>39</v>
      </c>
      <c r="Y9" s="53" t="s">
        <v>84</v>
      </c>
      <c r="Z9" s="53" t="s">
        <v>90</v>
      </c>
      <c r="AA9" s="53" t="s">
        <v>69</v>
      </c>
      <c r="AB9" s="53" t="s">
        <v>308</v>
      </c>
      <c r="AE9" s="22" t="s">
        <v>56</v>
      </c>
      <c r="AG9" s="139" t="s">
        <v>322</v>
      </c>
      <c r="AH9" s="140" t="s">
        <v>323</v>
      </c>
      <c r="AL9" s="73" t="s">
        <v>99</v>
      </c>
      <c r="AN9" s="73" t="s">
        <v>57</v>
      </c>
      <c r="AP9" s="23" t="s">
        <v>53</v>
      </c>
      <c r="AR9" s="23" t="s">
        <v>324</v>
      </c>
      <c r="AV9" s="23" t="s">
        <v>60</v>
      </c>
      <c r="AX9" s="24">
        <v>97</v>
      </c>
      <c r="AY9" s="25">
        <v>36</v>
      </c>
      <c r="AZ9" s="25">
        <v>99</v>
      </c>
      <c r="BA9" s="26">
        <v>33</v>
      </c>
    </row>
    <row r="10" spans="1:53" x14ac:dyDescent="0.15">
      <c r="A10" s="53" t="s">
        <v>59</v>
      </c>
      <c r="B10" s="53" t="s">
        <v>304</v>
      </c>
      <c r="C10" s="62">
        <v>2019</v>
      </c>
      <c r="D10" s="138" t="s">
        <v>169</v>
      </c>
      <c r="E10" s="53" t="s">
        <v>318</v>
      </c>
      <c r="F10" s="53" t="s">
        <v>319</v>
      </c>
      <c r="G10" s="53" t="s">
        <v>36</v>
      </c>
      <c r="H10" s="53" t="s">
        <v>163</v>
      </c>
      <c r="I10" s="53" t="s">
        <v>159</v>
      </c>
      <c r="J10" s="53" t="s">
        <v>38</v>
      </c>
      <c r="K10" s="53" t="s">
        <v>160</v>
      </c>
      <c r="L10" s="53">
        <v>3</v>
      </c>
      <c r="N10" s="53">
        <v>4</v>
      </c>
      <c r="O10" s="53">
        <v>0.33</v>
      </c>
      <c r="P10" s="53">
        <v>0.3</v>
      </c>
      <c r="Q10" s="76">
        <f t="shared" si="2"/>
        <v>0.315</v>
      </c>
      <c r="R10" s="53">
        <v>14.5</v>
      </c>
      <c r="S10" s="53">
        <v>100</v>
      </c>
      <c r="T10" s="16">
        <f t="shared" si="0"/>
        <v>33</v>
      </c>
      <c r="U10" s="53">
        <v>399</v>
      </c>
      <c r="V10" s="16">
        <f t="shared" si="1"/>
        <v>25</v>
      </c>
      <c r="W10" s="53">
        <v>2</v>
      </c>
      <c r="X10" s="53" t="s">
        <v>39</v>
      </c>
      <c r="Y10" s="53" t="s">
        <v>84</v>
      </c>
      <c r="Z10" s="53" t="s">
        <v>90</v>
      </c>
      <c r="AA10" s="53" t="s">
        <v>69</v>
      </c>
      <c r="AB10" s="53" t="s">
        <v>308</v>
      </c>
      <c r="AE10" s="22" t="s">
        <v>61</v>
      </c>
      <c r="AG10" s="139" t="s">
        <v>325</v>
      </c>
      <c r="AH10" s="140" t="s">
        <v>326</v>
      </c>
      <c r="AL10" s="34" t="s">
        <v>109</v>
      </c>
      <c r="AP10" s="23" t="s">
        <v>58</v>
      </c>
      <c r="AR10" s="23" t="s">
        <v>327</v>
      </c>
      <c r="AV10" s="23" t="s">
        <v>64</v>
      </c>
      <c r="AX10" s="24">
        <v>109</v>
      </c>
      <c r="AY10" s="25">
        <v>33</v>
      </c>
      <c r="AZ10" s="25">
        <v>113</v>
      </c>
      <c r="BA10" s="26">
        <v>30</v>
      </c>
    </row>
    <row r="11" spans="1:53" x14ac:dyDescent="0.15">
      <c r="A11" s="53" t="s">
        <v>59</v>
      </c>
      <c r="B11" s="53" t="s">
        <v>304</v>
      </c>
      <c r="C11" s="62">
        <v>2019</v>
      </c>
      <c r="D11" s="138" t="s">
        <v>169</v>
      </c>
      <c r="E11" s="53" t="s">
        <v>318</v>
      </c>
      <c r="F11" s="53" t="s">
        <v>319</v>
      </c>
      <c r="G11" s="53" t="s">
        <v>36</v>
      </c>
      <c r="H11" s="53" t="s">
        <v>127</v>
      </c>
      <c r="I11" s="53" t="s">
        <v>159</v>
      </c>
      <c r="J11" s="53" t="s">
        <v>250</v>
      </c>
      <c r="K11" s="53" t="s">
        <v>307</v>
      </c>
      <c r="L11" s="53">
        <v>1</v>
      </c>
      <c r="N11" s="53">
        <v>5</v>
      </c>
      <c r="O11" s="53">
        <v>0.6</v>
      </c>
      <c r="P11" s="53">
        <v>0.55000000000000004</v>
      </c>
      <c r="Q11" s="76">
        <f t="shared" si="2"/>
        <v>0.57499999999999996</v>
      </c>
      <c r="R11" s="53">
        <v>15.5</v>
      </c>
      <c r="S11" s="53">
        <v>100</v>
      </c>
      <c r="T11" s="16">
        <f t="shared" si="0"/>
        <v>33</v>
      </c>
      <c r="U11" s="53">
        <v>399</v>
      </c>
      <c r="V11" s="16">
        <f t="shared" si="1"/>
        <v>25</v>
      </c>
      <c r="W11" s="53">
        <v>2</v>
      </c>
      <c r="X11" s="53" t="s">
        <v>39</v>
      </c>
      <c r="Y11" s="53" t="s">
        <v>84</v>
      </c>
      <c r="Z11" s="53" t="s">
        <v>90</v>
      </c>
      <c r="AA11" s="53" t="s">
        <v>69</v>
      </c>
      <c r="AB11" s="53" t="s">
        <v>308</v>
      </c>
      <c r="AE11" s="22" t="s">
        <v>59</v>
      </c>
      <c r="AG11" s="141" t="s">
        <v>161</v>
      </c>
      <c r="AH11" s="140" t="s">
        <v>328</v>
      </c>
      <c r="AL11" s="34" t="s">
        <v>134</v>
      </c>
      <c r="AP11" s="23" t="s">
        <v>62</v>
      </c>
      <c r="AR11" s="23" t="s">
        <v>81</v>
      </c>
      <c r="AV11" s="23" t="s">
        <v>97</v>
      </c>
      <c r="AX11" s="24">
        <v>119</v>
      </c>
      <c r="AY11" s="25">
        <v>30</v>
      </c>
      <c r="AZ11" s="25">
        <v>121</v>
      </c>
      <c r="BA11" s="26">
        <v>27</v>
      </c>
    </row>
    <row r="12" spans="1:53" x14ac:dyDescent="0.15">
      <c r="A12" s="53" t="s">
        <v>59</v>
      </c>
      <c r="B12" s="53" t="s">
        <v>304</v>
      </c>
      <c r="C12" s="62">
        <v>2019</v>
      </c>
      <c r="D12" s="138" t="s">
        <v>169</v>
      </c>
      <c r="E12" s="53" t="s">
        <v>318</v>
      </c>
      <c r="F12" s="53" t="s">
        <v>319</v>
      </c>
      <c r="G12" s="53" t="s">
        <v>36</v>
      </c>
      <c r="H12" s="53" t="s">
        <v>127</v>
      </c>
      <c r="I12" s="53" t="s">
        <v>159</v>
      </c>
      <c r="J12" s="53" t="s">
        <v>250</v>
      </c>
      <c r="K12" s="53" t="s">
        <v>307</v>
      </c>
      <c r="L12" s="53">
        <v>2</v>
      </c>
      <c r="N12" s="53">
        <v>5</v>
      </c>
      <c r="O12" s="53">
        <v>0.47</v>
      </c>
      <c r="P12" s="53">
        <v>0.55000000000000004</v>
      </c>
      <c r="Q12" s="76">
        <f t="shared" si="2"/>
        <v>0.51</v>
      </c>
      <c r="R12" s="53">
        <v>15.4</v>
      </c>
      <c r="S12" s="53">
        <v>91</v>
      </c>
      <c r="T12" s="16">
        <f t="shared" si="0"/>
        <v>36</v>
      </c>
      <c r="U12" s="53">
        <v>399</v>
      </c>
      <c r="V12" s="16">
        <f t="shared" si="1"/>
        <v>25</v>
      </c>
      <c r="W12" s="53">
        <v>2</v>
      </c>
      <c r="X12" s="53" t="s">
        <v>39</v>
      </c>
      <c r="Y12" s="53" t="s">
        <v>84</v>
      </c>
      <c r="Z12" s="53" t="s">
        <v>90</v>
      </c>
      <c r="AA12" s="53" t="s">
        <v>69</v>
      </c>
      <c r="AB12" s="53" t="s">
        <v>308</v>
      </c>
      <c r="AE12" s="22" t="s">
        <v>98</v>
      </c>
      <c r="AG12" s="141" t="s">
        <v>329</v>
      </c>
      <c r="AH12" s="140" t="s">
        <v>328</v>
      </c>
      <c r="AL12" s="73"/>
      <c r="AP12" s="23" t="s">
        <v>330</v>
      </c>
      <c r="AR12" s="23" t="s">
        <v>89</v>
      </c>
      <c r="AV12" s="23" t="s">
        <v>102</v>
      </c>
      <c r="AX12" s="24">
        <v>128</v>
      </c>
      <c r="AY12" s="25">
        <v>27</v>
      </c>
      <c r="AZ12" s="25">
        <v>129</v>
      </c>
      <c r="BA12" s="26">
        <v>25</v>
      </c>
    </row>
    <row r="13" spans="1:53" x14ac:dyDescent="0.15">
      <c r="A13" s="53" t="s">
        <v>59</v>
      </c>
      <c r="B13" s="53" t="s">
        <v>304</v>
      </c>
      <c r="C13" s="62">
        <v>2019</v>
      </c>
      <c r="D13" s="138" t="s">
        <v>169</v>
      </c>
      <c r="E13" s="53" t="s">
        <v>318</v>
      </c>
      <c r="F13" s="53" t="s">
        <v>319</v>
      </c>
      <c r="G13" s="53" t="s">
        <v>36</v>
      </c>
      <c r="H13" s="53" t="s">
        <v>127</v>
      </c>
      <c r="I13" s="53" t="s">
        <v>159</v>
      </c>
      <c r="J13" s="53" t="s">
        <v>250</v>
      </c>
      <c r="K13" s="53" t="s">
        <v>307</v>
      </c>
      <c r="L13" s="53">
        <v>3</v>
      </c>
      <c r="N13" s="53">
        <v>5</v>
      </c>
      <c r="O13" s="53">
        <v>0.66</v>
      </c>
      <c r="P13" s="53">
        <v>0.7</v>
      </c>
      <c r="Q13" s="76">
        <f t="shared" si="2"/>
        <v>0.67999999999999994</v>
      </c>
      <c r="R13" s="53">
        <v>13.9</v>
      </c>
      <c r="S13" s="53">
        <v>94</v>
      </c>
      <c r="T13" s="16">
        <f t="shared" si="0"/>
        <v>36</v>
      </c>
      <c r="U13" s="53">
        <v>399</v>
      </c>
      <c r="V13" s="16">
        <f t="shared" si="1"/>
        <v>25</v>
      </c>
      <c r="W13" s="53">
        <v>2</v>
      </c>
      <c r="X13" s="53" t="s">
        <v>39</v>
      </c>
      <c r="Y13" s="53" t="s">
        <v>84</v>
      </c>
      <c r="Z13" s="53" t="s">
        <v>90</v>
      </c>
      <c r="AA13" s="53" t="s">
        <v>69</v>
      </c>
      <c r="AB13" s="53" t="s">
        <v>308</v>
      </c>
      <c r="AE13" s="22" t="s">
        <v>103</v>
      </c>
      <c r="AG13" s="139" t="s">
        <v>331</v>
      </c>
      <c r="AH13" s="140" t="s">
        <v>319</v>
      </c>
      <c r="AL13" s="83"/>
      <c r="AP13" s="23" t="s">
        <v>100</v>
      </c>
      <c r="AR13" s="23" t="s">
        <v>123</v>
      </c>
      <c r="AV13" s="23" t="s">
        <v>106</v>
      </c>
      <c r="AX13" s="24">
        <v>138</v>
      </c>
      <c r="AY13" s="25">
        <v>25</v>
      </c>
      <c r="AZ13" s="25">
        <v>138</v>
      </c>
      <c r="BA13" s="26">
        <v>22</v>
      </c>
    </row>
    <row r="14" spans="1:53" x14ac:dyDescent="0.15">
      <c r="A14" s="53" t="s">
        <v>59</v>
      </c>
      <c r="B14" s="53" t="s">
        <v>304</v>
      </c>
      <c r="C14" s="62">
        <v>2019</v>
      </c>
      <c r="D14" s="138" t="s">
        <v>169</v>
      </c>
      <c r="E14" s="53" t="s">
        <v>331</v>
      </c>
      <c r="F14" s="53" t="s">
        <v>319</v>
      </c>
      <c r="G14" s="53" t="s">
        <v>36</v>
      </c>
      <c r="H14" s="53" t="s">
        <v>163</v>
      </c>
      <c r="I14" s="53" t="s">
        <v>159</v>
      </c>
      <c r="J14" s="53" t="s">
        <v>38</v>
      </c>
      <c r="K14" s="53" t="s">
        <v>160</v>
      </c>
      <c r="L14" s="53">
        <v>1</v>
      </c>
      <c r="N14" s="53">
        <v>4</v>
      </c>
      <c r="O14" s="53">
        <v>0.48</v>
      </c>
      <c r="P14" s="53">
        <v>0.55000000000000004</v>
      </c>
      <c r="Q14" s="76">
        <f t="shared" si="2"/>
        <v>0.51500000000000001</v>
      </c>
      <c r="R14" s="53">
        <v>13.7</v>
      </c>
      <c r="S14" s="53">
        <v>85</v>
      </c>
      <c r="T14" s="16">
        <f t="shared" si="0"/>
        <v>36</v>
      </c>
      <c r="U14" s="53">
        <v>321</v>
      </c>
      <c r="V14" s="16">
        <f t="shared" si="1"/>
        <v>25</v>
      </c>
      <c r="W14" s="53">
        <v>1</v>
      </c>
      <c r="X14" s="53" t="s">
        <v>46</v>
      </c>
      <c r="Y14" s="53" t="s">
        <v>84</v>
      </c>
      <c r="Z14" s="53" t="s">
        <v>40</v>
      </c>
      <c r="AA14" s="53" t="s">
        <v>90</v>
      </c>
      <c r="AB14" s="53" t="s">
        <v>308</v>
      </c>
      <c r="AE14" s="22" t="s">
        <v>65</v>
      </c>
      <c r="AG14" s="141" t="s">
        <v>332</v>
      </c>
      <c r="AH14" s="140" t="s">
        <v>333</v>
      </c>
      <c r="AL14" s="83"/>
      <c r="AP14" s="23" t="s">
        <v>334</v>
      </c>
      <c r="AR14" s="23" t="s">
        <v>335</v>
      </c>
      <c r="AV14" s="23" t="s">
        <v>336</v>
      </c>
      <c r="AX14" s="24">
        <v>151</v>
      </c>
      <c r="AY14" s="25">
        <v>22</v>
      </c>
      <c r="AZ14" s="25">
        <v>152</v>
      </c>
      <c r="BA14" s="26">
        <v>18</v>
      </c>
    </row>
    <row r="15" spans="1:53" x14ac:dyDescent="0.15">
      <c r="A15" s="53" t="s">
        <v>59</v>
      </c>
      <c r="B15" s="53" t="s">
        <v>304</v>
      </c>
      <c r="C15" s="62">
        <v>2019</v>
      </c>
      <c r="D15" s="138" t="s">
        <v>169</v>
      </c>
      <c r="E15" s="53" t="s">
        <v>331</v>
      </c>
      <c r="F15" s="53" t="s">
        <v>319</v>
      </c>
      <c r="G15" s="53" t="s">
        <v>36</v>
      </c>
      <c r="H15" s="53" t="s">
        <v>163</v>
      </c>
      <c r="I15" s="53" t="s">
        <v>159</v>
      </c>
      <c r="J15" s="53" t="s">
        <v>38</v>
      </c>
      <c r="K15" s="53" t="s">
        <v>160</v>
      </c>
      <c r="L15" s="53">
        <v>2</v>
      </c>
      <c r="N15" s="53">
        <v>4</v>
      </c>
      <c r="O15" s="53">
        <v>0.44</v>
      </c>
      <c r="P15" s="53">
        <v>0.42</v>
      </c>
      <c r="Q15" s="76">
        <f t="shared" si="2"/>
        <v>0.43</v>
      </c>
      <c r="R15" s="53">
        <v>14</v>
      </c>
      <c r="S15" s="53">
        <v>89</v>
      </c>
      <c r="T15" s="16">
        <f t="shared" si="0"/>
        <v>36</v>
      </c>
      <c r="U15" s="53">
        <v>321</v>
      </c>
      <c r="V15" s="16">
        <f t="shared" si="1"/>
        <v>25</v>
      </c>
      <c r="W15" s="53">
        <v>1</v>
      </c>
      <c r="X15" s="53" t="s">
        <v>46</v>
      </c>
      <c r="Y15" s="53" t="s">
        <v>84</v>
      </c>
      <c r="Z15" s="53" t="s">
        <v>40</v>
      </c>
      <c r="AA15" s="53" t="s">
        <v>90</v>
      </c>
      <c r="AB15" s="53" t="s">
        <v>308</v>
      </c>
      <c r="AE15" s="22" t="s">
        <v>70</v>
      </c>
      <c r="AG15" s="23"/>
      <c r="AH15" s="142"/>
      <c r="AL15" s="83"/>
      <c r="AP15" s="23" t="s">
        <v>67</v>
      </c>
      <c r="AR15" s="23" t="s">
        <v>124</v>
      </c>
      <c r="AV15" s="23" t="s">
        <v>72</v>
      </c>
      <c r="AX15" s="31">
        <v>180</v>
      </c>
      <c r="AY15" s="32">
        <v>18</v>
      </c>
      <c r="AZ15" s="32">
        <v>181</v>
      </c>
      <c r="BA15" s="33">
        <v>16</v>
      </c>
    </row>
    <row r="16" spans="1:53" x14ac:dyDescent="0.15">
      <c r="A16" s="53" t="s">
        <v>59</v>
      </c>
      <c r="B16" s="53" t="s">
        <v>304</v>
      </c>
      <c r="C16" s="62">
        <v>2019</v>
      </c>
      <c r="D16" s="138" t="s">
        <v>169</v>
      </c>
      <c r="E16" s="53" t="s">
        <v>331</v>
      </c>
      <c r="F16" s="53" t="s">
        <v>319</v>
      </c>
      <c r="G16" s="53" t="s">
        <v>36</v>
      </c>
      <c r="H16" s="53" t="s">
        <v>163</v>
      </c>
      <c r="I16" s="53" t="s">
        <v>159</v>
      </c>
      <c r="J16" s="53" t="s">
        <v>38</v>
      </c>
      <c r="K16" s="53" t="s">
        <v>160</v>
      </c>
      <c r="L16" s="53">
        <v>3</v>
      </c>
      <c r="N16" s="53">
        <v>4</v>
      </c>
      <c r="O16" s="53">
        <v>0.41</v>
      </c>
      <c r="P16" s="53">
        <v>0.49</v>
      </c>
      <c r="Q16" s="76">
        <f t="shared" si="2"/>
        <v>0.44999999999999996</v>
      </c>
      <c r="R16" s="53">
        <v>14.7</v>
      </c>
      <c r="S16" s="53">
        <v>82</v>
      </c>
      <c r="T16" s="16">
        <f t="shared" si="0"/>
        <v>39</v>
      </c>
      <c r="U16" s="53">
        <v>321</v>
      </c>
      <c r="V16" s="16">
        <f t="shared" si="1"/>
        <v>25</v>
      </c>
      <c r="W16" s="53">
        <v>1</v>
      </c>
      <c r="X16" s="53" t="s">
        <v>46</v>
      </c>
      <c r="Y16" s="53" t="s">
        <v>84</v>
      </c>
      <c r="Z16" s="53" t="s">
        <v>40</v>
      </c>
      <c r="AA16" s="53" t="s">
        <v>90</v>
      </c>
      <c r="AB16" s="53" t="s">
        <v>308</v>
      </c>
      <c r="AE16" s="22" t="s">
        <v>73</v>
      </c>
      <c r="AG16" s="23"/>
      <c r="AH16" s="23"/>
      <c r="AP16" s="23" t="s">
        <v>71</v>
      </c>
      <c r="AR16" s="23" t="s">
        <v>103</v>
      </c>
      <c r="AV16" s="23" t="s">
        <v>75</v>
      </c>
    </row>
    <row r="17" spans="1:48" x14ac:dyDescent="0.15">
      <c r="A17" s="53" t="s">
        <v>59</v>
      </c>
      <c r="B17" s="53" t="s">
        <v>304</v>
      </c>
      <c r="C17" s="62">
        <v>2019</v>
      </c>
      <c r="D17" s="138" t="s">
        <v>169</v>
      </c>
      <c r="E17" s="53" t="s">
        <v>331</v>
      </c>
      <c r="F17" s="53" t="s">
        <v>319</v>
      </c>
      <c r="G17" s="53" t="s">
        <v>36</v>
      </c>
      <c r="H17" s="53" t="s">
        <v>128</v>
      </c>
      <c r="I17" s="53" t="s">
        <v>159</v>
      </c>
      <c r="J17" s="53" t="s">
        <v>80</v>
      </c>
      <c r="K17" s="53" t="s">
        <v>327</v>
      </c>
      <c r="L17" s="53">
        <v>1</v>
      </c>
      <c r="N17" s="53">
        <v>4</v>
      </c>
      <c r="O17" s="53">
        <v>0.5</v>
      </c>
      <c r="P17" s="53">
        <v>0.55000000000000004</v>
      </c>
      <c r="Q17" s="76">
        <f t="shared" si="2"/>
        <v>0.52500000000000002</v>
      </c>
      <c r="R17" s="53">
        <v>12.9</v>
      </c>
      <c r="S17" s="53">
        <v>88</v>
      </c>
      <c r="T17" s="16">
        <f t="shared" si="0"/>
        <v>36</v>
      </c>
      <c r="U17" s="53">
        <v>518</v>
      </c>
      <c r="V17" s="16">
        <f t="shared" si="1"/>
        <v>25</v>
      </c>
      <c r="W17" s="53">
        <v>1</v>
      </c>
      <c r="X17" s="53" t="s">
        <v>46</v>
      </c>
      <c r="Y17" s="53" t="s">
        <v>84</v>
      </c>
      <c r="Z17" s="53" t="s">
        <v>40</v>
      </c>
      <c r="AA17" s="53" t="s">
        <v>90</v>
      </c>
      <c r="AB17" s="53" t="s">
        <v>308</v>
      </c>
      <c r="AE17" s="22" t="s">
        <v>76</v>
      </c>
      <c r="AG17" s="23"/>
      <c r="AH17" s="23"/>
      <c r="AP17" s="23" t="s">
        <v>337</v>
      </c>
      <c r="AR17" s="23" t="s">
        <v>125</v>
      </c>
      <c r="AV17" s="23" t="s">
        <v>78</v>
      </c>
    </row>
    <row r="18" spans="1:48" x14ac:dyDescent="0.15">
      <c r="A18" s="53" t="s">
        <v>59</v>
      </c>
      <c r="B18" s="53" t="s">
        <v>304</v>
      </c>
      <c r="C18" s="62">
        <v>2019</v>
      </c>
      <c r="D18" s="138" t="s">
        <v>169</v>
      </c>
      <c r="E18" s="53" t="s">
        <v>331</v>
      </c>
      <c r="F18" s="53" t="s">
        <v>319</v>
      </c>
      <c r="G18" s="53" t="s">
        <v>36</v>
      </c>
      <c r="H18" s="53" t="s">
        <v>128</v>
      </c>
      <c r="I18" s="53" t="s">
        <v>159</v>
      </c>
      <c r="J18" s="53" t="s">
        <v>80</v>
      </c>
      <c r="K18" s="53" t="s">
        <v>327</v>
      </c>
      <c r="L18" s="53">
        <v>2</v>
      </c>
      <c r="N18" s="53">
        <v>4</v>
      </c>
      <c r="O18" s="53">
        <v>0.61</v>
      </c>
      <c r="P18" s="53">
        <v>0.74</v>
      </c>
      <c r="Q18" s="76">
        <f t="shared" si="2"/>
        <v>0.67500000000000004</v>
      </c>
      <c r="R18" s="53">
        <v>14.1</v>
      </c>
      <c r="S18" s="53">
        <v>89</v>
      </c>
      <c r="T18" s="16">
        <f t="shared" si="0"/>
        <v>36</v>
      </c>
      <c r="U18" s="53">
        <v>518</v>
      </c>
      <c r="V18" s="16">
        <f t="shared" si="1"/>
        <v>25</v>
      </c>
      <c r="W18" s="53">
        <v>1</v>
      </c>
      <c r="X18" s="53" t="s">
        <v>46</v>
      </c>
      <c r="Y18" s="53" t="s">
        <v>84</v>
      </c>
      <c r="Z18" s="53" t="s">
        <v>40</v>
      </c>
      <c r="AA18" s="53" t="s">
        <v>90</v>
      </c>
      <c r="AB18" s="53" t="s">
        <v>308</v>
      </c>
      <c r="AE18" s="22" t="s">
        <v>79</v>
      </c>
      <c r="AG18" s="23"/>
      <c r="AH18" s="23"/>
      <c r="AP18" s="23" t="s">
        <v>338</v>
      </c>
      <c r="AR18" s="23" t="s">
        <v>94</v>
      </c>
      <c r="AV18" s="23" t="s">
        <v>107</v>
      </c>
    </row>
    <row r="19" spans="1:48" x14ac:dyDescent="0.15">
      <c r="A19" s="53" t="s">
        <v>59</v>
      </c>
      <c r="B19" s="53" t="s">
        <v>304</v>
      </c>
      <c r="C19" s="62">
        <v>2019</v>
      </c>
      <c r="D19" s="138" t="s">
        <v>169</v>
      </c>
      <c r="E19" s="53" t="s">
        <v>331</v>
      </c>
      <c r="F19" s="53" t="s">
        <v>319</v>
      </c>
      <c r="G19" s="53" t="s">
        <v>36</v>
      </c>
      <c r="H19" s="53" t="s">
        <v>128</v>
      </c>
      <c r="I19" s="53" t="s">
        <v>159</v>
      </c>
      <c r="J19" s="53" t="s">
        <v>80</v>
      </c>
      <c r="K19" s="53" t="s">
        <v>327</v>
      </c>
      <c r="L19" s="53">
        <v>3</v>
      </c>
      <c r="N19" s="53">
        <v>4</v>
      </c>
      <c r="O19" s="53">
        <v>0.64</v>
      </c>
      <c r="P19" s="53">
        <v>0.73</v>
      </c>
      <c r="Q19" s="76">
        <f t="shared" si="2"/>
        <v>0.68500000000000005</v>
      </c>
      <c r="R19" s="53">
        <v>12.7</v>
      </c>
      <c r="S19" s="53">
        <v>84</v>
      </c>
      <c r="T19" s="16">
        <f t="shared" si="0"/>
        <v>36</v>
      </c>
      <c r="U19" s="53">
        <v>518</v>
      </c>
      <c r="V19" s="16">
        <f t="shared" si="1"/>
        <v>25</v>
      </c>
      <c r="W19" s="53">
        <v>1</v>
      </c>
      <c r="X19" s="53" t="s">
        <v>46</v>
      </c>
      <c r="Y19" s="53" t="s">
        <v>84</v>
      </c>
      <c r="Z19" s="53" t="s">
        <v>40</v>
      </c>
      <c r="AA19" s="53" t="s">
        <v>90</v>
      </c>
      <c r="AB19" s="53" t="s">
        <v>308</v>
      </c>
      <c r="AE19" s="22" t="s">
        <v>82</v>
      </c>
      <c r="AG19" s="28"/>
      <c r="AH19" s="28"/>
      <c r="AP19" s="23" t="s">
        <v>80</v>
      </c>
      <c r="AR19" s="23" t="s">
        <v>63</v>
      </c>
      <c r="AV19" s="23" t="s">
        <v>84</v>
      </c>
    </row>
    <row r="20" spans="1:48" x14ac:dyDescent="0.15">
      <c r="A20" s="53" t="s">
        <v>59</v>
      </c>
      <c r="B20" s="53" t="s">
        <v>304</v>
      </c>
      <c r="C20" s="62">
        <v>2019</v>
      </c>
      <c r="D20" s="138" t="s">
        <v>169</v>
      </c>
      <c r="E20" s="53" t="s">
        <v>329</v>
      </c>
      <c r="F20" s="53" t="s">
        <v>328</v>
      </c>
      <c r="G20" s="53" t="s">
        <v>36</v>
      </c>
      <c r="H20" s="53" t="s">
        <v>163</v>
      </c>
      <c r="I20" s="53" t="s">
        <v>159</v>
      </c>
      <c r="J20" s="53" t="s">
        <v>38</v>
      </c>
      <c r="K20" s="53" t="s">
        <v>160</v>
      </c>
      <c r="L20" s="53">
        <v>1</v>
      </c>
      <c r="N20" s="53">
        <v>4</v>
      </c>
      <c r="O20" s="53">
        <v>0.24</v>
      </c>
      <c r="P20" s="53">
        <v>0.23</v>
      </c>
      <c r="Q20" s="76">
        <f t="shared" si="2"/>
        <v>0.23499999999999999</v>
      </c>
      <c r="R20" s="53">
        <v>15.3</v>
      </c>
      <c r="S20" s="53">
        <v>101</v>
      </c>
      <c r="T20" s="16">
        <f t="shared" si="0"/>
        <v>33</v>
      </c>
      <c r="U20" s="53">
        <v>398</v>
      </c>
      <c r="V20" s="16">
        <f t="shared" si="1"/>
        <v>25</v>
      </c>
      <c r="W20" s="53">
        <v>2</v>
      </c>
      <c r="X20" s="53" t="s">
        <v>39</v>
      </c>
      <c r="Y20" s="53" t="s">
        <v>84</v>
      </c>
      <c r="Z20" s="53" t="s">
        <v>90</v>
      </c>
      <c r="AA20" s="53" t="s">
        <v>40</v>
      </c>
      <c r="AB20" s="53" t="s">
        <v>308</v>
      </c>
      <c r="AE20" s="22" t="s">
        <v>85</v>
      </c>
      <c r="AP20" s="27" t="s">
        <v>110</v>
      </c>
      <c r="AR20" s="23" t="s">
        <v>96</v>
      </c>
      <c r="AV20" s="23" t="s">
        <v>86</v>
      </c>
    </row>
    <row r="21" spans="1:48" x14ac:dyDescent="0.15">
      <c r="A21" s="53" t="s">
        <v>59</v>
      </c>
      <c r="B21" s="53" t="s">
        <v>304</v>
      </c>
      <c r="C21" s="62">
        <v>2019</v>
      </c>
      <c r="D21" s="138" t="s">
        <v>169</v>
      </c>
      <c r="E21" s="53" t="s">
        <v>329</v>
      </c>
      <c r="F21" s="53" t="s">
        <v>328</v>
      </c>
      <c r="G21" s="53" t="s">
        <v>36</v>
      </c>
      <c r="H21" s="53" t="s">
        <v>163</v>
      </c>
      <c r="I21" s="53" t="s">
        <v>159</v>
      </c>
      <c r="J21" s="53" t="s">
        <v>38</v>
      </c>
      <c r="K21" s="53" t="s">
        <v>160</v>
      </c>
      <c r="L21" s="53">
        <v>2</v>
      </c>
      <c r="N21" s="53">
        <v>4</v>
      </c>
      <c r="O21" s="53">
        <v>0.33</v>
      </c>
      <c r="P21" s="53">
        <v>0.36</v>
      </c>
      <c r="Q21" s="76">
        <f t="shared" si="2"/>
        <v>0.34499999999999997</v>
      </c>
      <c r="R21" s="53">
        <v>13.9</v>
      </c>
      <c r="S21" s="53">
        <v>101</v>
      </c>
      <c r="T21" s="16">
        <f t="shared" si="0"/>
        <v>33</v>
      </c>
      <c r="U21" s="53">
        <v>398</v>
      </c>
      <c r="V21" s="16">
        <f t="shared" si="1"/>
        <v>25</v>
      </c>
      <c r="W21" s="53">
        <v>2</v>
      </c>
      <c r="X21" s="53" t="s">
        <v>39</v>
      </c>
      <c r="Y21" s="53" t="s">
        <v>84</v>
      </c>
      <c r="Z21" s="53" t="s">
        <v>90</v>
      </c>
      <c r="AA21" s="53" t="s">
        <v>40</v>
      </c>
      <c r="AB21" s="53" t="s">
        <v>308</v>
      </c>
      <c r="AE21" s="22" t="s">
        <v>87</v>
      </c>
      <c r="AP21" s="27" t="s">
        <v>339</v>
      </c>
      <c r="AR21" s="23" t="s">
        <v>101</v>
      </c>
      <c r="AV21" s="23" t="s">
        <v>88</v>
      </c>
    </row>
    <row r="22" spans="1:48" x14ac:dyDescent="0.15">
      <c r="A22" s="53" t="s">
        <v>59</v>
      </c>
      <c r="B22" s="53" t="s">
        <v>304</v>
      </c>
      <c r="C22" s="62">
        <v>2019</v>
      </c>
      <c r="D22" s="138" t="s">
        <v>169</v>
      </c>
      <c r="E22" s="53" t="s">
        <v>329</v>
      </c>
      <c r="F22" s="53" t="s">
        <v>328</v>
      </c>
      <c r="G22" s="53" t="s">
        <v>36</v>
      </c>
      <c r="H22" s="53" t="s">
        <v>163</v>
      </c>
      <c r="I22" s="53" t="s">
        <v>159</v>
      </c>
      <c r="J22" s="53" t="s">
        <v>38</v>
      </c>
      <c r="K22" s="53" t="s">
        <v>160</v>
      </c>
      <c r="L22" s="53">
        <v>3</v>
      </c>
      <c r="N22" s="53">
        <v>4</v>
      </c>
      <c r="O22" s="53">
        <v>0.35</v>
      </c>
      <c r="P22" s="53">
        <v>0.42</v>
      </c>
      <c r="Q22" s="76">
        <f t="shared" si="2"/>
        <v>0.38500000000000001</v>
      </c>
      <c r="R22" s="53">
        <v>14.1</v>
      </c>
      <c r="S22" s="53">
        <v>106</v>
      </c>
      <c r="T22" s="16">
        <f t="shared" si="0"/>
        <v>33</v>
      </c>
      <c r="U22" s="53">
        <v>398</v>
      </c>
      <c r="V22" s="16">
        <f t="shared" si="1"/>
        <v>25</v>
      </c>
      <c r="W22" s="53">
        <v>2</v>
      </c>
      <c r="X22" s="53" t="s">
        <v>39</v>
      </c>
      <c r="Y22" s="53" t="s">
        <v>84</v>
      </c>
      <c r="Z22" s="53" t="s">
        <v>90</v>
      </c>
      <c r="AA22" s="53" t="s">
        <v>40</v>
      </c>
      <c r="AB22" s="53" t="s">
        <v>308</v>
      </c>
      <c r="AE22" s="35" t="s">
        <v>89</v>
      </c>
      <c r="AP22" s="27" t="s">
        <v>112</v>
      </c>
      <c r="AR22" s="23" t="s">
        <v>126</v>
      </c>
      <c r="AV22" s="23" t="s">
        <v>340</v>
      </c>
    </row>
    <row r="23" spans="1:48" x14ac:dyDescent="0.15">
      <c r="A23" s="53" t="s">
        <v>59</v>
      </c>
      <c r="B23" s="53" t="s">
        <v>304</v>
      </c>
      <c r="C23" s="62">
        <v>2019</v>
      </c>
      <c r="D23" s="138" t="s">
        <v>169</v>
      </c>
      <c r="E23" s="53" t="s">
        <v>161</v>
      </c>
      <c r="F23" s="53" t="s">
        <v>328</v>
      </c>
      <c r="G23" s="53" t="s">
        <v>36</v>
      </c>
      <c r="H23" s="53" t="s">
        <v>163</v>
      </c>
      <c r="I23" s="53" t="s">
        <v>159</v>
      </c>
      <c r="J23" s="53" t="s">
        <v>38</v>
      </c>
      <c r="K23" s="53" t="s">
        <v>160</v>
      </c>
      <c r="L23" s="53">
        <v>1</v>
      </c>
      <c r="N23" s="53">
        <v>4</v>
      </c>
      <c r="O23" s="53">
        <v>0.28999999999999998</v>
      </c>
      <c r="P23" s="53">
        <v>0.34</v>
      </c>
      <c r="Q23" s="76">
        <f t="shared" si="2"/>
        <v>0.315</v>
      </c>
      <c r="R23" s="53">
        <v>14.8</v>
      </c>
      <c r="S23" s="53">
        <v>105</v>
      </c>
      <c r="T23" s="16">
        <f t="shared" si="0"/>
        <v>33</v>
      </c>
      <c r="U23" s="53">
        <v>398</v>
      </c>
      <c r="V23" s="16">
        <f t="shared" si="1"/>
        <v>25</v>
      </c>
      <c r="W23" s="53">
        <v>1</v>
      </c>
      <c r="X23" s="53" t="s">
        <v>46</v>
      </c>
      <c r="Y23" s="53" t="s">
        <v>84</v>
      </c>
      <c r="Z23" s="53" t="s">
        <v>40</v>
      </c>
      <c r="AA23" s="53" t="s">
        <v>90</v>
      </c>
      <c r="AB23" s="53" t="s">
        <v>308</v>
      </c>
      <c r="AE23" s="35"/>
      <c r="AP23" s="27" t="s">
        <v>113</v>
      </c>
      <c r="AR23" s="23" t="s">
        <v>105</v>
      </c>
      <c r="AV23" s="27" t="s">
        <v>135</v>
      </c>
    </row>
    <row r="24" spans="1:48" x14ac:dyDescent="0.15">
      <c r="A24" s="53" t="s">
        <v>59</v>
      </c>
      <c r="B24" s="53" t="s">
        <v>304</v>
      </c>
      <c r="C24" s="62">
        <v>2019</v>
      </c>
      <c r="D24" s="138" t="s">
        <v>169</v>
      </c>
      <c r="E24" s="53" t="s">
        <v>161</v>
      </c>
      <c r="F24" s="53" t="s">
        <v>328</v>
      </c>
      <c r="G24" s="53" t="s">
        <v>36</v>
      </c>
      <c r="H24" s="53" t="s">
        <v>163</v>
      </c>
      <c r="I24" s="53" t="s">
        <v>159</v>
      </c>
      <c r="J24" s="53" t="s">
        <v>38</v>
      </c>
      <c r="K24" s="53" t="s">
        <v>160</v>
      </c>
      <c r="L24" s="53">
        <v>2</v>
      </c>
      <c r="N24" s="53">
        <v>4</v>
      </c>
      <c r="O24" s="53">
        <v>0.43</v>
      </c>
      <c r="P24" s="53">
        <v>0.39</v>
      </c>
      <c r="Q24" s="76">
        <f t="shared" si="2"/>
        <v>0.41000000000000003</v>
      </c>
      <c r="R24" s="53">
        <v>14.1</v>
      </c>
      <c r="S24" s="53">
        <v>95</v>
      </c>
      <c r="T24" s="16">
        <f t="shared" si="0"/>
        <v>36</v>
      </c>
      <c r="U24" s="53">
        <v>398</v>
      </c>
      <c r="V24" s="16">
        <f t="shared" si="1"/>
        <v>25</v>
      </c>
      <c r="W24" s="53">
        <v>1</v>
      </c>
      <c r="X24" s="53" t="s">
        <v>46</v>
      </c>
      <c r="Y24" s="53" t="s">
        <v>84</v>
      </c>
      <c r="Z24" s="53" t="s">
        <v>40</v>
      </c>
      <c r="AA24" s="53" t="s">
        <v>90</v>
      </c>
      <c r="AB24" s="53" t="s">
        <v>308</v>
      </c>
      <c r="AE24" s="28"/>
      <c r="AP24" s="27" t="s">
        <v>341</v>
      </c>
      <c r="AR24" s="23" t="s">
        <v>68</v>
      </c>
      <c r="AV24" s="27" t="s">
        <v>136</v>
      </c>
    </row>
    <row r="25" spans="1:48" x14ac:dyDescent="0.15">
      <c r="A25" s="53" t="s">
        <v>59</v>
      </c>
      <c r="B25" s="53" t="s">
        <v>304</v>
      </c>
      <c r="C25" s="62">
        <v>2019</v>
      </c>
      <c r="D25" s="138" t="s">
        <v>169</v>
      </c>
      <c r="E25" s="53" t="s">
        <v>161</v>
      </c>
      <c r="F25" s="53" t="s">
        <v>328</v>
      </c>
      <c r="G25" s="53" t="s">
        <v>36</v>
      </c>
      <c r="H25" s="53" t="s">
        <v>163</v>
      </c>
      <c r="I25" s="53" t="s">
        <v>159</v>
      </c>
      <c r="J25" s="53" t="s">
        <v>38</v>
      </c>
      <c r="K25" s="53" t="s">
        <v>160</v>
      </c>
      <c r="L25" s="53">
        <v>3</v>
      </c>
      <c r="N25" s="53">
        <v>4</v>
      </c>
      <c r="O25" s="53">
        <v>0.35</v>
      </c>
      <c r="P25" s="53">
        <v>0.41</v>
      </c>
      <c r="Q25" s="76">
        <f t="shared" si="2"/>
        <v>0.38</v>
      </c>
      <c r="R25" s="53">
        <v>15.2</v>
      </c>
      <c r="S25" s="53">
        <v>98</v>
      </c>
      <c r="T25" s="16">
        <f t="shared" si="0"/>
        <v>36</v>
      </c>
      <c r="U25" s="53">
        <v>398</v>
      </c>
      <c r="V25" s="16">
        <f t="shared" si="1"/>
        <v>25</v>
      </c>
      <c r="W25" s="53">
        <v>1</v>
      </c>
      <c r="X25" s="53" t="s">
        <v>46</v>
      </c>
      <c r="Y25" s="53" t="s">
        <v>84</v>
      </c>
      <c r="Z25" s="53" t="s">
        <v>40</v>
      </c>
      <c r="AA25" s="53" t="s">
        <v>90</v>
      </c>
      <c r="AB25" s="53" t="s">
        <v>308</v>
      </c>
      <c r="AP25" s="27" t="s">
        <v>342</v>
      </c>
      <c r="AR25" s="23" t="s">
        <v>83</v>
      </c>
      <c r="AV25" s="27" t="s">
        <v>343</v>
      </c>
    </row>
    <row r="26" spans="1:48" x14ac:dyDescent="0.15">
      <c r="A26" s="53" t="s">
        <v>59</v>
      </c>
      <c r="B26" s="53" t="s">
        <v>304</v>
      </c>
      <c r="C26" s="62">
        <v>2019</v>
      </c>
      <c r="D26" s="138" t="s">
        <v>169</v>
      </c>
      <c r="E26" s="53" t="s">
        <v>161</v>
      </c>
      <c r="F26" s="53" t="s">
        <v>328</v>
      </c>
      <c r="G26" s="53" t="s">
        <v>36</v>
      </c>
      <c r="H26" s="53" t="s">
        <v>127</v>
      </c>
      <c r="I26" s="53" t="s">
        <v>159</v>
      </c>
      <c r="J26" s="53" t="s">
        <v>250</v>
      </c>
      <c r="K26" s="53" t="s">
        <v>307</v>
      </c>
      <c r="L26" s="53">
        <v>1</v>
      </c>
      <c r="N26" s="53">
        <v>5</v>
      </c>
      <c r="O26" s="53">
        <v>0.22</v>
      </c>
      <c r="P26" s="53">
        <v>0.21</v>
      </c>
      <c r="Q26" s="76">
        <f t="shared" si="2"/>
        <v>0.215</v>
      </c>
      <c r="R26" s="53">
        <v>14</v>
      </c>
      <c r="S26" s="53">
        <v>80</v>
      </c>
      <c r="T26" s="16">
        <f t="shared" si="0"/>
        <v>39</v>
      </c>
      <c r="U26" s="53">
        <v>298</v>
      </c>
      <c r="V26" s="16">
        <f t="shared" si="1"/>
        <v>25</v>
      </c>
      <c r="W26" s="53">
        <v>1</v>
      </c>
      <c r="X26" s="53" t="s">
        <v>46</v>
      </c>
      <c r="Y26" s="53" t="s">
        <v>84</v>
      </c>
      <c r="Z26" s="53" t="s">
        <v>40</v>
      </c>
      <c r="AA26" s="53" t="s">
        <v>90</v>
      </c>
      <c r="AB26" s="53" t="s">
        <v>308</v>
      </c>
      <c r="AP26" s="27" t="s">
        <v>137</v>
      </c>
      <c r="AR26" s="23" t="s">
        <v>61</v>
      </c>
      <c r="AV26" s="27" t="s">
        <v>344</v>
      </c>
    </row>
    <row r="27" spans="1:48" x14ac:dyDescent="0.15">
      <c r="A27" s="53" t="s">
        <v>59</v>
      </c>
      <c r="B27" s="53" t="s">
        <v>304</v>
      </c>
      <c r="C27" s="62">
        <v>2019</v>
      </c>
      <c r="D27" s="138" t="s">
        <v>169</v>
      </c>
      <c r="E27" s="53" t="s">
        <v>161</v>
      </c>
      <c r="F27" s="53" t="s">
        <v>328</v>
      </c>
      <c r="G27" s="53" t="s">
        <v>36</v>
      </c>
      <c r="H27" s="53" t="s">
        <v>127</v>
      </c>
      <c r="I27" s="53" t="s">
        <v>159</v>
      </c>
      <c r="J27" s="53" t="s">
        <v>250</v>
      </c>
      <c r="K27" s="53" t="s">
        <v>307</v>
      </c>
      <c r="L27" s="53">
        <v>2</v>
      </c>
      <c r="N27" s="53">
        <v>5</v>
      </c>
      <c r="O27" s="53">
        <v>0.36</v>
      </c>
      <c r="P27" s="53">
        <v>0.34</v>
      </c>
      <c r="Q27" s="76">
        <f t="shared" si="2"/>
        <v>0.35</v>
      </c>
      <c r="R27" s="53">
        <v>13.2</v>
      </c>
      <c r="S27" s="53">
        <v>79</v>
      </c>
      <c r="T27" s="16">
        <f t="shared" si="0"/>
        <v>39</v>
      </c>
      <c r="U27" s="53">
        <v>298</v>
      </c>
      <c r="V27" s="16">
        <f t="shared" si="1"/>
        <v>25</v>
      </c>
      <c r="W27" s="53">
        <v>1</v>
      </c>
      <c r="X27" s="53" t="s">
        <v>46</v>
      </c>
      <c r="Y27" s="53" t="s">
        <v>84</v>
      </c>
      <c r="Z27" s="53" t="s">
        <v>40</v>
      </c>
      <c r="AA27" s="53" t="s">
        <v>90</v>
      </c>
      <c r="AB27" s="53" t="s">
        <v>308</v>
      </c>
      <c r="AP27" s="27" t="s">
        <v>138</v>
      </c>
      <c r="AR27" s="23" t="s">
        <v>91</v>
      </c>
      <c r="AV27" s="27" t="s">
        <v>345</v>
      </c>
    </row>
    <row r="28" spans="1:48" x14ac:dyDescent="0.15">
      <c r="A28" s="53" t="s">
        <v>59</v>
      </c>
      <c r="B28" s="53" t="s">
        <v>304</v>
      </c>
      <c r="C28" s="62">
        <v>2019</v>
      </c>
      <c r="D28" s="138" t="s">
        <v>169</v>
      </c>
      <c r="E28" s="53" t="s">
        <v>161</v>
      </c>
      <c r="F28" s="53" t="s">
        <v>328</v>
      </c>
      <c r="G28" s="53" t="s">
        <v>36</v>
      </c>
      <c r="H28" s="53" t="s">
        <v>127</v>
      </c>
      <c r="I28" s="53" t="s">
        <v>159</v>
      </c>
      <c r="J28" s="53" t="s">
        <v>250</v>
      </c>
      <c r="K28" s="53" t="s">
        <v>307</v>
      </c>
      <c r="L28" s="53">
        <v>3</v>
      </c>
      <c r="N28" s="53">
        <v>5</v>
      </c>
      <c r="O28" s="53">
        <v>0.4</v>
      </c>
      <c r="P28" s="53">
        <v>0.41</v>
      </c>
      <c r="Q28" s="76">
        <f t="shared" si="2"/>
        <v>0.40500000000000003</v>
      </c>
      <c r="R28" s="53">
        <v>12.9</v>
      </c>
      <c r="S28" s="53">
        <v>80</v>
      </c>
      <c r="T28" s="16">
        <f t="shared" si="0"/>
        <v>39</v>
      </c>
      <c r="U28" s="53">
        <v>298</v>
      </c>
      <c r="V28" s="16">
        <f t="shared" si="1"/>
        <v>25</v>
      </c>
      <c r="W28" s="53">
        <v>1</v>
      </c>
      <c r="X28" s="53" t="s">
        <v>46</v>
      </c>
      <c r="Y28" s="53" t="s">
        <v>84</v>
      </c>
      <c r="Z28" s="53" t="s">
        <v>40</v>
      </c>
      <c r="AA28" s="53" t="s">
        <v>90</v>
      </c>
      <c r="AB28" s="53" t="s">
        <v>308</v>
      </c>
      <c r="AP28" s="27" t="s">
        <v>116</v>
      </c>
      <c r="AR28" s="27" t="s">
        <v>92</v>
      </c>
      <c r="AV28" s="27" t="s">
        <v>346</v>
      </c>
    </row>
    <row r="29" spans="1:48" x14ac:dyDescent="0.15">
      <c r="A29" s="53" t="s">
        <v>59</v>
      </c>
      <c r="B29" s="53" t="s">
        <v>304</v>
      </c>
      <c r="C29" s="62">
        <v>2019</v>
      </c>
      <c r="D29" s="138" t="s">
        <v>169</v>
      </c>
      <c r="E29" s="53" t="s">
        <v>325</v>
      </c>
      <c r="F29" s="53" t="s">
        <v>326</v>
      </c>
      <c r="G29" s="53" t="s">
        <v>36</v>
      </c>
      <c r="H29" s="53" t="s">
        <v>163</v>
      </c>
      <c r="I29" s="53" t="s">
        <v>159</v>
      </c>
      <c r="J29" s="53" t="s">
        <v>38</v>
      </c>
      <c r="K29" s="53" t="s">
        <v>160</v>
      </c>
      <c r="L29" s="53">
        <v>1</v>
      </c>
      <c r="N29" s="53">
        <v>3</v>
      </c>
      <c r="O29" s="53">
        <v>0.42</v>
      </c>
      <c r="P29" s="53">
        <v>0.41</v>
      </c>
      <c r="Q29" s="76">
        <f t="shared" si="2"/>
        <v>0.41499999999999998</v>
      </c>
      <c r="R29" s="53">
        <v>15.7</v>
      </c>
      <c r="S29" s="53">
        <v>106</v>
      </c>
      <c r="T29" s="16">
        <f t="shared" si="0"/>
        <v>33</v>
      </c>
      <c r="U29" s="53">
        <v>299</v>
      </c>
      <c r="V29" s="16">
        <f t="shared" si="1"/>
        <v>25</v>
      </c>
      <c r="W29" s="53">
        <v>2</v>
      </c>
      <c r="X29" s="53" t="s">
        <v>39</v>
      </c>
      <c r="Y29" s="53" t="s">
        <v>69</v>
      </c>
      <c r="Z29" s="53" t="s">
        <v>84</v>
      </c>
      <c r="AA29" s="53" t="s">
        <v>90</v>
      </c>
      <c r="AB29" s="53" t="s">
        <v>308</v>
      </c>
      <c r="AP29" s="27" t="s">
        <v>117</v>
      </c>
      <c r="AR29" s="27" t="s">
        <v>347</v>
      </c>
      <c r="AV29" s="27"/>
    </row>
    <row r="30" spans="1:48" x14ac:dyDescent="0.15">
      <c r="A30" s="53" t="s">
        <v>59</v>
      </c>
      <c r="B30" s="53" t="s">
        <v>304</v>
      </c>
      <c r="C30" s="62">
        <v>2019</v>
      </c>
      <c r="D30" s="138" t="s">
        <v>169</v>
      </c>
      <c r="E30" s="53" t="s">
        <v>325</v>
      </c>
      <c r="F30" s="53" t="s">
        <v>326</v>
      </c>
      <c r="G30" s="53" t="s">
        <v>36</v>
      </c>
      <c r="H30" s="53" t="s">
        <v>163</v>
      </c>
      <c r="I30" s="53" t="s">
        <v>159</v>
      </c>
      <c r="J30" s="53" t="s">
        <v>38</v>
      </c>
      <c r="K30" s="53" t="s">
        <v>160</v>
      </c>
      <c r="L30" s="53">
        <v>2</v>
      </c>
      <c r="N30" s="53">
        <v>3</v>
      </c>
      <c r="O30" s="53">
        <v>0.55000000000000004</v>
      </c>
      <c r="P30" s="53">
        <v>0.63</v>
      </c>
      <c r="Q30" s="76">
        <f t="shared" si="2"/>
        <v>0.59000000000000008</v>
      </c>
      <c r="R30" s="53">
        <v>12.9</v>
      </c>
      <c r="S30" s="53">
        <v>109</v>
      </c>
      <c r="T30" s="16">
        <f t="shared" si="0"/>
        <v>33</v>
      </c>
      <c r="U30" s="53">
        <v>299</v>
      </c>
      <c r="V30" s="16">
        <f t="shared" si="1"/>
        <v>25</v>
      </c>
      <c r="W30" s="53">
        <v>2</v>
      </c>
      <c r="X30" s="53" t="s">
        <v>39</v>
      </c>
      <c r="Y30" s="53" t="s">
        <v>69</v>
      </c>
      <c r="Z30" s="53" t="s">
        <v>84</v>
      </c>
      <c r="AA30" s="53" t="s">
        <v>90</v>
      </c>
      <c r="AB30" s="53" t="s">
        <v>308</v>
      </c>
      <c r="AP30" s="27" t="s">
        <v>118</v>
      </c>
      <c r="AR30" s="28" t="s">
        <v>153</v>
      </c>
      <c r="AV30" s="27"/>
    </row>
    <row r="31" spans="1:48" x14ac:dyDescent="0.15">
      <c r="A31" s="53" t="s">
        <v>59</v>
      </c>
      <c r="B31" s="53" t="s">
        <v>304</v>
      </c>
      <c r="C31" s="62">
        <v>2019</v>
      </c>
      <c r="D31" s="138" t="s">
        <v>169</v>
      </c>
      <c r="E31" s="53" t="s">
        <v>325</v>
      </c>
      <c r="F31" s="53" t="s">
        <v>326</v>
      </c>
      <c r="G31" s="53" t="s">
        <v>36</v>
      </c>
      <c r="H31" s="53" t="s">
        <v>163</v>
      </c>
      <c r="I31" s="53" t="s">
        <v>159</v>
      </c>
      <c r="J31" s="53" t="s">
        <v>38</v>
      </c>
      <c r="K31" s="53" t="s">
        <v>160</v>
      </c>
      <c r="L31" s="53">
        <v>3</v>
      </c>
      <c r="N31" s="53">
        <v>3</v>
      </c>
      <c r="O31" s="53">
        <v>0.56999999999999995</v>
      </c>
      <c r="P31" s="53">
        <v>0.56999999999999995</v>
      </c>
      <c r="Q31" s="76">
        <f t="shared" si="2"/>
        <v>0.56999999999999995</v>
      </c>
      <c r="R31" s="53">
        <v>13.8</v>
      </c>
      <c r="S31" s="53">
        <v>113</v>
      </c>
      <c r="T31" s="16">
        <f t="shared" si="0"/>
        <v>30</v>
      </c>
      <c r="U31" s="53">
        <v>299</v>
      </c>
      <c r="V31" s="16">
        <f t="shared" si="1"/>
        <v>25</v>
      </c>
      <c r="W31" s="53">
        <v>2</v>
      </c>
      <c r="X31" s="53" t="s">
        <v>39</v>
      </c>
      <c r="Y31" s="53" t="s">
        <v>69</v>
      </c>
      <c r="Z31" s="53" t="s">
        <v>84</v>
      </c>
      <c r="AA31" s="53" t="s">
        <v>90</v>
      </c>
      <c r="AB31" s="53" t="s">
        <v>308</v>
      </c>
      <c r="AV31" s="27"/>
    </row>
    <row r="32" spans="1:48" x14ac:dyDescent="0.15">
      <c r="A32" s="53" t="s">
        <v>59</v>
      </c>
      <c r="B32" s="53" t="s">
        <v>304</v>
      </c>
      <c r="C32" s="62">
        <v>2019</v>
      </c>
      <c r="D32" s="138" t="s">
        <v>169</v>
      </c>
      <c r="E32" s="53" t="s">
        <v>325</v>
      </c>
      <c r="F32" s="53" t="s">
        <v>326</v>
      </c>
      <c r="G32" s="53" t="s">
        <v>36</v>
      </c>
      <c r="H32" s="53" t="s">
        <v>164</v>
      </c>
      <c r="I32" s="53" t="s">
        <v>159</v>
      </c>
      <c r="J32" s="53" t="s">
        <v>38</v>
      </c>
      <c r="K32" s="53" t="s">
        <v>324</v>
      </c>
      <c r="L32" s="53">
        <v>1</v>
      </c>
      <c r="N32" s="53">
        <v>4</v>
      </c>
      <c r="O32" s="53">
        <v>0.45</v>
      </c>
      <c r="P32" s="53">
        <v>0.42</v>
      </c>
      <c r="Q32" s="76">
        <f t="shared" si="2"/>
        <v>0.435</v>
      </c>
      <c r="R32" s="53">
        <v>15.3</v>
      </c>
      <c r="S32" s="53">
        <v>91</v>
      </c>
      <c r="T32" s="16">
        <f t="shared" si="0"/>
        <v>39</v>
      </c>
      <c r="U32" s="53">
        <v>599</v>
      </c>
      <c r="V32" s="16">
        <f t="shared" si="1"/>
        <v>25</v>
      </c>
      <c r="W32" s="53">
        <v>1</v>
      </c>
      <c r="X32" s="53" t="s">
        <v>39</v>
      </c>
      <c r="Y32" s="53" t="s">
        <v>69</v>
      </c>
      <c r="Z32" s="53" t="s">
        <v>84</v>
      </c>
      <c r="AA32" s="53" t="s">
        <v>90</v>
      </c>
      <c r="AB32" s="53" t="s">
        <v>308</v>
      </c>
      <c r="AP32" s="27" t="s">
        <v>117</v>
      </c>
      <c r="AR32" s="27" t="s">
        <v>347</v>
      </c>
      <c r="AV32" s="27"/>
    </row>
    <row r="33" spans="1:48" x14ac:dyDescent="0.15">
      <c r="A33" s="53" t="s">
        <v>59</v>
      </c>
      <c r="B33" s="53" t="s">
        <v>304</v>
      </c>
      <c r="C33" s="62">
        <v>2019</v>
      </c>
      <c r="D33" s="138" t="s">
        <v>169</v>
      </c>
      <c r="E33" s="53" t="s">
        <v>325</v>
      </c>
      <c r="F33" s="53" t="s">
        <v>326</v>
      </c>
      <c r="G33" s="53" t="s">
        <v>36</v>
      </c>
      <c r="H33" s="53" t="s">
        <v>164</v>
      </c>
      <c r="I33" s="53" t="s">
        <v>159</v>
      </c>
      <c r="J33" s="53" t="s">
        <v>38</v>
      </c>
      <c r="K33" s="53" t="s">
        <v>324</v>
      </c>
      <c r="L33" s="53">
        <v>2</v>
      </c>
      <c r="N33" s="53">
        <v>4</v>
      </c>
      <c r="O33" s="53">
        <v>0.37</v>
      </c>
      <c r="P33" s="53">
        <v>0.3</v>
      </c>
      <c r="Q33" s="76">
        <f t="shared" si="2"/>
        <v>0.33499999999999996</v>
      </c>
      <c r="R33" s="53">
        <v>14.4</v>
      </c>
      <c r="S33" s="53">
        <v>85</v>
      </c>
      <c r="T33" s="16">
        <f t="shared" si="0"/>
        <v>39</v>
      </c>
      <c r="U33" s="53">
        <v>599</v>
      </c>
      <c r="V33" s="16">
        <f t="shared" si="1"/>
        <v>25</v>
      </c>
      <c r="W33" s="53">
        <v>1</v>
      </c>
      <c r="X33" s="53" t="s">
        <v>39</v>
      </c>
      <c r="Y33" s="53" t="s">
        <v>69</v>
      </c>
      <c r="Z33" s="53" t="s">
        <v>84</v>
      </c>
      <c r="AA33" s="53" t="s">
        <v>90</v>
      </c>
      <c r="AB33" s="53" t="s">
        <v>308</v>
      </c>
      <c r="AP33" s="27" t="s">
        <v>118</v>
      </c>
      <c r="AR33" s="28" t="s">
        <v>153</v>
      </c>
      <c r="AV33" s="27"/>
    </row>
    <row r="34" spans="1:48" x14ac:dyDescent="0.15">
      <c r="A34" s="53" t="s">
        <v>59</v>
      </c>
      <c r="B34" s="53" t="s">
        <v>304</v>
      </c>
      <c r="C34" s="62">
        <v>2019</v>
      </c>
      <c r="D34" s="138" t="s">
        <v>169</v>
      </c>
      <c r="E34" s="53" t="s">
        <v>325</v>
      </c>
      <c r="F34" s="53" t="s">
        <v>326</v>
      </c>
      <c r="G34" s="53" t="s">
        <v>36</v>
      </c>
      <c r="H34" s="53" t="s">
        <v>164</v>
      </c>
      <c r="I34" s="53" t="s">
        <v>159</v>
      </c>
      <c r="J34" s="53" t="s">
        <v>38</v>
      </c>
      <c r="K34" s="53" t="s">
        <v>324</v>
      </c>
      <c r="L34" s="53">
        <v>3</v>
      </c>
      <c r="N34" s="53">
        <v>4</v>
      </c>
      <c r="O34" s="53">
        <v>0.28999999999999998</v>
      </c>
      <c r="P34" s="53">
        <v>0.25</v>
      </c>
      <c r="Q34" s="76">
        <f t="shared" si="2"/>
        <v>0.27</v>
      </c>
      <c r="R34" s="53">
        <v>12.2</v>
      </c>
      <c r="S34" s="53">
        <v>85</v>
      </c>
      <c r="T34" s="16">
        <f t="shared" si="0"/>
        <v>39</v>
      </c>
      <c r="U34" s="53">
        <v>599</v>
      </c>
      <c r="V34" s="16">
        <f t="shared" si="1"/>
        <v>25</v>
      </c>
      <c r="W34" s="53">
        <v>1</v>
      </c>
      <c r="X34" s="53" t="s">
        <v>39</v>
      </c>
      <c r="Y34" s="53" t="s">
        <v>69</v>
      </c>
      <c r="Z34" s="53" t="s">
        <v>84</v>
      </c>
      <c r="AA34" s="53" t="s">
        <v>90</v>
      </c>
      <c r="AB34" s="53" t="s">
        <v>308</v>
      </c>
      <c r="AV34" s="27"/>
    </row>
    <row r="35" spans="1:48" x14ac:dyDescent="0.15">
      <c r="A35" s="53" t="s">
        <v>59</v>
      </c>
      <c r="B35" s="53" t="s">
        <v>304</v>
      </c>
      <c r="C35" s="62">
        <v>2019</v>
      </c>
      <c r="D35" s="138" t="s">
        <v>169</v>
      </c>
      <c r="E35" s="53" t="s">
        <v>315</v>
      </c>
      <c r="F35" s="53" t="s">
        <v>316</v>
      </c>
      <c r="G35" s="53" t="s">
        <v>36</v>
      </c>
      <c r="H35" s="53" t="s">
        <v>163</v>
      </c>
      <c r="I35" s="53" t="s">
        <v>159</v>
      </c>
      <c r="J35" s="53" t="s">
        <v>38</v>
      </c>
      <c r="K35" s="53" t="s">
        <v>160</v>
      </c>
      <c r="L35" s="53">
        <v>1</v>
      </c>
      <c r="N35" s="53">
        <v>6</v>
      </c>
      <c r="O35" s="53">
        <v>0.22</v>
      </c>
      <c r="P35" s="53">
        <v>0.25</v>
      </c>
      <c r="Q35" s="76">
        <f t="shared" si="2"/>
        <v>0.23499999999999999</v>
      </c>
      <c r="R35" s="53">
        <v>16.399999999999999</v>
      </c>
      <c r="S35" s="53">
        <v>98</v>
      </c>
      <c r="T35" s="16">
        <f t="shared" si="0"/>
        <v>36</v>
      </c>
      <c r="U35" s="53">
        <v>350</v>
      </c>
      <c r="V35" s="16">
        <f t="shared" si="1"/>
        <v>25</v>
      </c>
      <c r="W35" s="53">
        <v>2</v>
      </c>
      <c r="X35" s="53" t="s">
        <v>39</v>
      </c>
      <c r="Y35" s="53" t="s">
        <v>90</v>
      </c>
      <c r="Z35" s="53" t="s">
        <v>69</v>
      </c>
      <c r="AA35" s="53" t="s">
        <v>84</v>
      </c>
      <c r="AB35" s="53" t="s">
        <v>308</v>
      </c>
      <c r="AV35" s="27"/>
    </row>
    <row r="36" spans="1:48" x14ac:dyDescent="0.15">
      <c r="A36" s="53" t="s">
        <v>59</v>
      </c>
      <c r="B36" s="53" t="s">
        <v>304</v>
      </c>
      <c r="C36" s="62">
        <v>2019</v>
      </c>
      <c r="D36" s="138" t="s">
        <v>169</v>
      </c>
      <c r="E36" s="53" t="s">
        <v>315</v>
      </c>
      <c r="F36" s="53" t="s">
        <v>316</v>
      </c>
      <c r="G36" s="53" t="s">
        <v>36</v>
      </c>
      <c r="H36" s="53" t="s">
        <v>163</v>
      </c>
      <c r="I36" s="53" t="s">
        <v>159</v>
      </c>
      <c r="J36" s="53" t="s">
        <v>38</v>
      </c>
      <c r="K36" s="53" t="s">
        <v>160</v>
      </c>
      <c r="L36" s="53">
        <v>2</v>
      </c>
      <c r="N36" s="53">
        <v>6</v>
      </c>
      <c r="O36" s="53">
        <v>0.44</v>
      </c>
      <c r="P36" s="53">
        <v>0.49</v>
      </c>
      <c r="Q36" s="76">
        <f t="shared" si="2"/>
        <v>0.46499999999999997</v>
      </c>
      <c r="R36" s="53">
        <v>15.9</v>
      </c>
      <c r="S36" s="53">
        <v>100</v>
      </c>
      <c r="T36" s="16">
        <f t="shared" si="0"/>
        <v>33</v>
      </c>
      <c r="U36" s="53">
        <v>350</v>
      </c>
      <c r="V36" s="16">
        <f t="shared" si="1"/>
        <v>25</v>
      </c>
      <c r="W36" s="53">
        <v>2</v>
      </c>
      <c r="X36" s="53" t="s">
        <v>39</v>
      </c>
      <c r="Y36" s="53" t="s">
        <v>90</v>
      </c>
      <c r="Z36" s="53" t="s">
        <v>69</v>
      </c>
      <c r="AA36" s="53" t="s">
        <v>84</v>
      </c>
      <c r="AB36" s="53" t="s">
        <v>308</v>
      </c>
      <c r="AV36" s="27"/>
    </row>
    <row r="37" spans="1:48" x14ac:dyDescent="0.15">
      <c r="A37" s="53" t="s">
        <v>59</v>
      </c>
      <c r="B37" s="53" t="s">
        <v>304</v>
      </c>
      <c r="C37" s="62">
        <v>2019</v>
      </c>
      <c r="D37" s="138" t="s">
        <v>169</v>
      </c>
      <c r="E37" s="53" t="s">
        <v>315</v>
      </c>
      <c r="F37" s="53" t="s">
        <v>316</v>
      </c>
      <c r="G37" s="53" t="s">
        <v>36</v>
      </c>
      <c r="H37" s="53" t="s">
        <v>163</v>
      </c>
      <c r="I37" s="53" t="s">
        <v>159</v>
      </c>
      <c r="J37" s="53" t="s">
        <v>38</v>
      </c>
      <c r="K37" s="53" t="s">
        <v>160</v>
      </c>
      <c r="L37" s="53">
        <v>3</v>
      </c>
      <c r="N37" s="53">
        <v>6</v>
      </c>
      <c r="O37" s="53">
        <v>0.42</v>
      </c>
      <c r="P37" s="53">
        <v>0.35</v>
      </c>
      <c r="Q37" s="76">
        <f t="shared" si="2"/>
        <v>0.38500000000000001</v>
      </c>
      <c r="R37" s="53">
        <v>15.3</v>
      </c>
      <c r="S37" s="53">
        <v>102</v>
      </c>
      <c r="T37" s="16">
        <f t="shared" si="0"/>
        <v>33</v>
      </c>
      <c r="U37" s="53">
        <v>350</v>
      </c>
      <c r="V37" s="16">
        <f t="shared" si="1"/>
        <v>25</v>
      </c>
      <c r="W37" s="53">
        <v>2</v>
      </c>
      <c r="X37" s="53" t="s">
        <v>39</v>
      </c>
      <c r="Y37" s="53" t="s">
        <v>90</v>
      </c>
      <c r="Z37" s="53" t="s">
        <v>69</v>
      </c>
      <c r="AA37" s="53" t="s">
        <v>84</v>
      </c>
      <c r="AB37" s="53" t="s">
        <v>308</v>
      </c>
      <c r="AV37" s="27"/>
    </row>
    <row r="38" spans="1:48" x14ac:dyDescent="0.15">
      <c r="A38" s="53" t="s">
        <v>59</v>
      </c>
      <c r="B38" s="53" t="s">
        <v>304</v>
      </c>
      <c r="C38" s="62">
        <v>2019</v>
      </c>
      <c r="D38" s="138" t="s">
        <v>169</v>
      </c>
      <c r="E38" s="53" t="s">
        <v>332</v>
      </c>
      <c r="F38" s="53" t="s">
        <v>333</v>
      </c>
      <c r="G38" s="53" t="s">
        <v>36</v>
      </c>
      <c r="H38" s="53" t="s">
        <v>127</v>
      </c>
      <c r="I38" s="53" t="s">
        <v>159</v>
      </c>
      <c r="J38" s="53" t="s">
        <v>80</v>
      </c>
      <c r="K38" s="53" t="s">
        <v>307</v>
      </c>
      <c r="L38" s="53">
        <v>1</v>
      </c>
      <c r="N38" s="53">
        <v>6</v>
      </c>
      <c r="O38" s="53">
        <v>1.27</v>
      </c>
      <c r="P38" s="53">
        <v>1.18</v>
      </c>
      <c r="Q38" s="76">
        <f t="shared" si="2"/>
        <v>1.2250000000000001</v>
      </c>
      <c r="R38" s="53">
        <v>10.6</v>
      </c>
      <c r="S38" s="53">
        <v>75</v>
      </c>
      <c r="T38" s="16">
        <f t="shared" si="0"/>
        <v>42</v>
      </c>
      <c r="U38" s="53">
        <v>358</v>
      </c>
      <c r="V38" s="16">
        <f t="shared" si="1"/>
        <v>25</v>
      </c>
      <c r="W38" s="53">
        <v>1</v>
      </c>
      <c r="X38" s="53" t="s">
        <v>39</v>
      </c>
      <c r="Y38" s="53" t="s">
        <v>40</v>
      </c>
      <c r="Z38" s="53" t="s">
        <v>84</v>
      </c>
      <c r="AA38" s="53" t="s">
        <v>90</v>
      </c>
      <c r="AB38" s="53" t="s">
        <v>308</v>
      </c>
      <c r="AV38" s="27"/>
    </row>
    <row r="39" spans="1:48" x14ac:dyDescent="0.15">
      <c r="A39" s="53" t="s">
        <v>59</v>
      </c>
      <c r="B39" s="53" t="s">
        <v>304</v>
      </c>
      <c r="C39" s="62">
        <v>2019</v>
      </c>
      <c r="D39" s="138" t="s">
        <v>169</v>
      </c>
      <c r="E39" s="53" t="s">
        <v>332</v>
      </c>
      <c r="F39" s="53" t="s">
        <v>333</v>
      </c>
      <c r="G39" s="53" t="s">
        <v>36</v>
      </c>
      <c r="H39" s="53" t="s">
        <v>127</v>
      </c>
      <c r="I39" s="53" t="s">
        <v>159</v>
      </c>
      <c r="J39" s="53" t="s">
        <v>80</v>
      </c>
      <c r="K39" s="53" t="s">
        <v>307</v>
      </c>
      <c r="L39" s="53">
        <v>2</v>
      </c>
      <c r="N39" s="53">
        <v>6</v>
      </c>
      <c r="O39" s="53">
        <v>1.29</v>
      </c>
      <c r="P39" s="53">
        <v>1.31</v>
      </c>
      <c r="Q39" s="76">
        <f t="shared" si="2"/>
        <v>1.3</v>
      </c>
      <c r="R39" s="53">
        <v>11.9</v>
      </c>
      <c r="S39" s="53">
        <v>71</v>
      </c>
      <c r="T39" s="16">
        <f t="shared" si="0"/>
        <v>42</v>
      </c>
      <c r="U39" s="53">
        <v>358</v>
      </c>
      <c r="V39" s="16">
        <f t="shared" si="1"/>
        <v>25</v>
      </c>
      <c r="W39" s="53">
        <v>1</v>
      </c>
      <c r="X39" s="53" t="s">
        <v>39</v>
      </c>
      <c r="Y39" s="53" t="s">
        <v>40</v>
      </c>
      <c r="Z39" s="53" t="s">
        <v>84</v>
      </c>
      <c r="AA39" s="53" t="s">
        <v>90</v>
      </c>
      <c r="AB39" s="53" t="s">
        <v>308</v>
      </c>
      <c r="AV39" s="27"/>
    </row>
    <row r="40" spans="1:48" x14ac:dyDescent="0.15">
      <c r="A40" s="53" t="s">
        <v>59</v>
      </c>
      <c r="B40" s="53" t="s">
        <v>304</v>
      </c>
      <c r="C40" s="62">
        <v>2019</v>
      </c>
      <c r="D40" s="138" t="s">
        <v>169</v>
      </c>
      <c r="E40" s="53" t="s">
        <v>332</v>
      </c>
      <c r="F40" s="53" t="s">
        <v>333</v>
      </c>
      <c r="G40" s="53" t="s">
        <v>36</v>
      </c>
      <c r="H40" s="53" t="s">
        <v>127</v>
      </c>
      <c r="I40" s="53" t="s">
        <v>159</v>
      </c>
      <c r="J40" s="53" t="s">
        <v>80</v>
      </c>
      <c r="K40" s="53" t="s">
        <v>307</v>
      </c>
      <c r="L40" s="53">
        <v>3</v>
      </c>
      <c r="N40" s="53">
        <v>6</v>
      </c>
      <c r="O40" s="53">
        <v>1.24</v>
      </c>
      <c r="P40" s="53">
        <v>1.28</v>
      </c>
      <c r="Q40" s="76">
        <f t="shared" si="2"/>
        <v>1.26</v>
      </c>
      <c r="R40" s="53">
        <v>11</v>
      </c>
      <c r="S40" s="53">
        <v>78</v>
      </c>
      <c r="T40" s="16">
        <f t="shared" si="0"/>
        <v>39</v>
      </c>
      <c r="U40" s="53">
        <v>358</v>
      </c>
      <c r="V40" s="16">
        <f t="shared" si="1"/>
        <v>25</v>
      </c>
      <c r="W40" s="53">
        <v>1</v>
      </c>
      <c r="X40" s="53" t="s">
        <v>39</v>
      </c>
      <c r="Y40" s="53" t="s">
        <v>40</v>
      </c>
      <c r="Z40" s="53" t="s">
        <v>84</v>
      </c>
      <c r="AA40" s="53" t="s">
        <v>90</v>
      </c>
      <c r="AB40" s="53" t="s">
        <v>308</v>
      </c>
      <c r="AV40" s="27"/>
    </row>
    <row r="41" spans="1:48" x14ac:dyDescent="0.15">
      <c r="A41" s="53" t="s">
        <v>59</v>
      </c>
      <c r="B41" s="53" t="s">
        <v>304</v>
      </c>
      <c r="C41" s="62">
        <v>2019</v>
      </c>
      <c r="D41" s="138" t="s">
        <v>169</v>
      </c>
      <c r="E41" s="53" t="s">
        <v>322</v>
      </c>
      <c r="F41" s="53" t="s">
        <v>323</v>
      </c>
      <c r="G41" s="53" t="s">
        <v>36</v>
      </c>
      <c r="H41" s="53" t="s">
        <v>163</v>
      </c>
      <c r="I41" s="53" t="s">
        <v>159</v>
      </c>
      <c r="J41" s="53" t="s">
        <v>38</v>
      </c>
      <c r="K41" s="53" t="s">
        <v>160</v>
      </c>
      <c r="L41" s="53">
        <v>1</v>
      </c>
      <c r="N41" s="53">
        <v>4</v>
      </c>
      <c r="O41" s="53">
        <v>0.39</v>
      </c>
      <c r="P41" s="53">
        <v>0.45</v>
      </c>
      <c r="Q41" s="76">
        <f t="shared" si="2"/>
        <v>0.42000000000000004</v>
      </c>
      <c r="R41" s="53">
        <v>14.2</v>
      </c>
      <c r="S41" s="53">
        <v>100</v>
      </c>
      <c r="T41" s="16">
        <f t="shared" si="0"/>
        <v>33</v>
      </c>
      <c r="U41" s="53">
        <v>321</v>
      </c>
      <c r="V41" s="16">
        <f t="shared" si="1"/>
        <v>25</v>
      </c>
      <c r="W41" s="53">
        <v>1</v>
      </c>
      <c r="X41" s="53" t="s">
        <v>39</v>
      </c>
      <c r="Y41" s="53" t="s">
        <v>84</v>
      </c>
      <c r="Z41" s="53" t="s">
        <v>90</v>
      </c>
      <c r="AA41" s="53" t="s">
        <v>69</v>
      </c>
      <c r="AB41" s="53" t="s">
        <v>308</v>
      </c>
      <c r="AV41" s="27"/>
    </row>
    <row r="42" spans="1:48" x14ac:dyDescent="0.15">
      <c r="A42" s="53" t="s">
        <v>59</v>
      </c>
      <c r="B42" s="53" t="s">
        <v>304</v>
      </c>
      <c r="C42" s="62">
        <v>2019</v>
      </c>
      <c r="D42" s="138" t="s">
        <v>169</v>
      </c>
      <c r="E42" s="53" t="s">
        <v>322</v>
      </c>
      <c r="F42" s="53" t="s">
        <v>323</v>
      </c>
      <c r="G42" s="53" t="s">
        <v>36</v>
      </c>
      <c r="H42" s="53" t="s">
        <v>163</v>
      </c>
      <c r="I42" s="53" t="s">
        <v>159</v>
      </c>
      <c r="J42" s="53" t="s">
        <v>38</v>
      </c>
      <c r="K42" s="53" t="s">
        <v>160</v>
      </c>
      <c r="L42" s="53">
        <v>2</v>
      </c>
      <c r="N42" s="53">
        <v>4</v>
      </c>
      <c r="O42" s="53">
        <v>0.25</v>
      </c>
      <c r="P42" s="53">
        <v>0.28000000000000003</v>
      </c>
      <c r="Q42" s="76">
        <f t="shared" si="2"/>
        <v>0.26500000000000001</v>
      </c>
      <c r="R42" s="53">
        <v>14.4</v>
      </c>
      <c r="S42" s="53">
        <v>100</v>
      </c>
      <c r="T42" s="16">
        <f t="shared" si="0"/>
        <v>33</v>
      </c>
      <c r="U42" s="53">
        <v>321</v>
      </c>
      <c r="V42" s="16">
        <f t="shared" si="1"/>
        <v>25</v>
      </c>
      <c r="W42" s="53">
        <v>1</v>
      </c>
      <c r="X42" s="53" t="s">
        <v>39</v>
      </c>
      <c r="Y42" s="53" t="s">
        <v>84</v>
      </c>
      <c r="Z42" s="53" t="s">
        <v>90</v>
      </c>
      <c r="AA42" s="53" t="s">
        <v>69</v>
      </c>
      <c r="AB42" s="53" t="s">
        <v>308</v>
      </c>
      <c r="AV42" s="27"/>
    </row>
    <row r="43" spans="1:48" x14ac:dyDescent="0.15">
      <c r="A43" s="53" t="s">
        <v>59</v>
      </c>
      <c r="B43" s="53" t="s">
        <v>304</v>
      </c>
      <c r="C43" s="62">
        <v>2019</v>
      </c>
      <c r="D43" s="138" t="s">
        <v>169</v>
      </c>
      <c r="E43" s="53" t="s">
        <v>322</v>
      </c>
      <c r="F43" s="53" t="s">
        <v>323</v>
      </c>
      <c r="G43" s="53" t="s">
        <v>36</v>
      </c>
      <c r="H43" s="53" t="s">
        <v>163</v>
      </c>
      <c r="I43" s="53" t="s">
        <v>159</v>
      </c>
      <c r="J43" s="53" t="s">
        <v>38</v>
      </c>
      <c r="K43" s="53" t="s">
        <v>160</v>
      </c>
      <c r="L43" s="53">
        <v>3</v>
      </c>
      <c r="N43" s="53">
        <v>4</v>
      </c>
      <c r="O43" s="53">
        <v>0.44</v>
      </c>
      <c r="P43" s="53">
        <v>0.37</v>
      </c>
      <c r="Q43" s="76">
        <f t="shared" si="2"/>
        <v>0.40500000000000003</v>
      </c>
      <c r="R43" s="53">
        <v>14.2</v>
      </c>
      <c r="S43" s="53">
        <v>105</v>
      </c>
      <c r="T43" s="16">
        <f t="shared" si="0"/>
        <v>33</v>
      </c>
      <c r="U43" s="53">
        <v>321</v>
      </c>
      <c r="V43" s="16">
        <f t="shared" si="1"/>
        <v>25</v>
      </c>
      <c r="W43" s="53">
        <v>1</v>
      </c>
      <c r="X43" s="53" t="s">
        <v>39</v>
      </c>
      <c r="Y43" s="53" t="s">
        <v>84</v>
      </c>
      <c r="Z43" s="53" t="s">
        <v>90</v>
      </c>
      <c r="AA43" s="53" t="s">
        <v>69</v>
      </c>
      <c r="AB43" s="53" t="s">
        <v>308</v>
      </c>
      <c r="AV43" s="27"/>
    </row>
    <row r="44" spans="1:48" x14ac:dyDescent="0.15">
      <c r="C44" s="62"/>
      <c r="D44" s="138"/>
      <c r="Q44" s="76"/>
    </row>
    <row r="45" spans="1:48" x14ac:dyDescent="0.15">
      <c r="C45" s="62"/>
      <c r="D45" s="138"/>
      <c r="Q45" s="76"/>
    </row>
    <row r="46" spans="1:48" x14ac:dyDescent="0.15">
      <c r="C46" s="62"/>
      <c r="D46" s="138"/>
      <c r="Q46" s="76"/>
    </row>
    <row r="47" spans="1:48" x14ac:dyDescent="0.15">
      <c r="C47" s="62"/>
      <c r="D47" s="138"/>
      <c r="Q47" s="76"/>
    </row>
    <row r="48" spans="1:48" x14ac:dyDescent="0.15">
      <c r="C48" s="62"/>
      <c r="Q48" s="76"/>
    </row>
    <row r="49" spans="3:22" x14ac:dyDescent="0.15">
      <c r="C49" s="62"/>
      <c r="Q49" s="76"/>
    </row>
    <row r="50" spans="3:22" x14ac:dyDescent="0.15">
      <c r="C50" s="62"/>
      <c r="Q50" s="76"/>
    </row>
    <row r="51" spans="3:22" x14ac:dyDescent="0.15">
      <c r="C51" s="62"/>
      <c r="Q51" s="76"/>
    </row>
    <row r="52" spans="3:22" x14ac:dyDescent="0.15">
      <c r="C52" s="62"/>
      <c r="Q52" s="76"/>
    </row>
    <row r="53" spans="3:22" x14ac:dyDescent="0.15">
      <c r="C53" s="62"/>
      <c r="Q53" s="76"/>
    </row>
    <row r="54" spans="3:22" x14ac:dyDescent="0.15">
      <c r="C54" s="62"/>
      <c r="Q54" s="76"/>
    </row>
    <row r="55" spans="3:22" x14ac:dyDescent="0.15">
      <c r="C55" s="62"/>
      <c r="Q55" s="76"/>
    </row>
    <row r="56" spans="3:22" x14ac:dyDescent="0.15">
      <c r="C56" s="62"/>
      <c r="Q56" s="76"/>
    </row>
    <row r="57" spans="3:22" x14ac:dyDescent="0.15">
      <c r="C57" s="62"/>
      <c r="Q57" s="76"/>
    </row>
    <row r="58" spans="3:22" x14ac:dyDescent="0.15">
      <c r="C58" s="62"/>
      <c r="Q58" s="76"/>
    </row>
    <row r="59" spans="3:22" x14ac:dyDescent="0.15">
      <c r="C59" s="62"/>
    </row>
    <row r="60" spans="3:22" x14ac:dyDescent="0.15">
      <c r="C60" s="62"/>
    </row>
    <row r="61" spans="3:22" x14ac:dyDescent="0.15">
      <c r="Q61" s="16" t="str">
        <f t="shared" ref="Q61:Q112" si="3">IF(OR(O61="",P61=""),"",AVERAGE(O61,P61))</f>
        <v/>
      </c>
      <c r="T61" s="16" t="str">
        <f t="shared" ref="T61:T112" si="4">IF(H61="","",IF(OR(H61="GREEN",H61="GK"),IF(S61&gt;=$AX$2,VLOOKUP(S61,$AX$2:$AY$12,2,1),""),IF(S61&gt;=$AZ$2,VLOOKUP(S61,$AZ$2:$BA$12,2,1),"")))</f>
        <v/>
      </c>
      <c r="V61" s="16" t="str">
        <f t="shared" ref="V61:V112" si="5">IF(J61="","",IF(OR(J61="GREEN",J61="GK"),IF(U61&gt;=$AX$2,VLOOKUP(U61,$AX$2:$AY$12,2,1),""),IF(U61&gt;=$AZ$2,VLOOKUP(U61,$AZ$2:$BA$12,2,1),"")))</f>
        <v/>
      </c>
    </row>
    <row r="62" spans="3:22" x14ac:dyDescent="0.15">
      <c r="Q62" s="16" t="str">
        <f t="shared" si="3"/>
        <v/>
      </c>
      <c r="T62" s="16" t="str">
        <f t="shared" si="4"/>
        <v/>
      </c>
      <c r="V62" s="16" t="str">
        <f t="shared" si="5"/>
        <v/>
      </c>
    </row>
    <row r="63" spans="3:22" x14ac:dyDescent="0.15">
      <c r="Q63" s="16" t="str">
        <f t="shared" si="3"/>
        <v/>
      </c>
      <c r="T63" s="16" t="str">
        <f t="shared" si="4"/>
        <v/>
      </c>
      <c r="V63" s="16" t="str">
        <f t="shared" si="5"/>
        <v/>
      </c>
    </row>
    <row r="64" spans="3:22" x14ac:dyDescent="0.15">
      <c r="Q64" s="16" t="str">
        <f t="shared" si="3"/>
        <v/>
      </c>
      <c r="T64" s="16" t="str">
        <f t="shared" si="4"/>
        <v/>
      </c>
      <c r="V64" s="16" t="str">
        <f t="shared" si="5"/>
        <v/>
      </c>
    </row>
    <row r="65" spans="17:22" x14ac:dyDescent="0.15">
      <c r="Q65" s="16" t="str">
        <f t="shared" si="3"/>
        <v/>
      </c>
      <c r="T65" s="16" t="str">
        <f t="shared" si="4"/>
        <v/>
      </c>
      <c r="V65" s="16" t="str">
        <f t="shared" si="5"/>
        <v/>
      </c>
    </row>
    <row r="66" spans="17:22" x14ac:dyDescent="0.15">
      <c r="Q66" s="16" t="str">
        <f t="shared" si="3"/>
        <v/>
      </c>
      <c r="T66" s="16" t="str">
        <f t="shared" si="4"/>
        <v/>
      </c>
      <c r="V66" s="16" t="str">
        <f t="shared" si="5"/>
        <v/>
      </c>
    </row>
    <row r="67" spans="17:22" x14ac:dyDescent="0.15">
      <c r="Q67" s="16" t="str">
        <f t="shared" si="3"/>
        <v/>
      </c>
      <c r="T67" s="16" t="str">
        <f t="shared" si="4"/>
        <v/>
      </c>
      <c r="V67" s="16" t="str">
        <f t="shared" si="5"/>
        <v/>
      </c>
    </row>
    <row r="68" spans="17:22" x14ac:dyDescent="0.15">
      <c r="Q68" s="16" t="str">
        <f t="shared" si="3"/>
        <v/>
      </c>
      <c r="T68" s="16" t="str">
        <f t="shared" si="4"/>
        <v/>
      </c>
      <c r="V68" s="16" t="str">
        <f t="shared" si="5"/>
        <v/>
      </c>
    </row>
    <row r="69" spans="17:22" x14ac:dyDescent="0.15">
      <c r="Q69" s="16" t="str">
        <f t="shared" si="3"/>
        <v/>
      </c>
      <c r="T69" s="16" t="str">
        <f t="shared" si="4"/>
        <v/>
      </c>
      <c r="V69" s="16" t="str">
        <f t="shared" si="5"/>
        <v/>
      </c>
    </row>
    <row r="70" spans="17:22" x14ac:dyDescent="0.15">
      <c r="Q70" s="16" t="str">
        <f t="shared" si="3"/>
        <v/>
      </c>
      <c r="T70" s="16" t="str">
        <f t="shared" si="4"/>
        <v/>
      </c>
      <c r="V70" s="16" t="str">
        <f t="shared" si="5"/>
        <v/>
      </c>
    </row>
    <row r="71" spans="17:22" x14ac:dyDescent="0.15">
      <c r="Q71" s="16" t="str">
        <f t="shared" si="3"/>
        <v/>
      </c>
      <c r="T71" s="16" t="str">
        <f t="shared" si="4"/>
        <v/>
      </c>
      <c r="V71" s="16" t="str">
        <f t="shared" si="5"/>
        <v/>
      </c>
    </row>
    <row r="72" spans="17:22" x14ac:dyDescent="0.15">
      <c r="Q72" s="16" t="str">
        <f t="shared" si="3"/>
        <v/>
      </c>
      <c r="T72" s="16" t="str">
        <f t="shared" si="4"/>
        <v/>
      </c>
      <c r="V72" s="16" t="str">
        <f t="shared" si="5"/>
        <v/>
      </c>
    </row>
    <row r="73" spans="17:22" x14ac:dyDescent="0.15">
      <c r="Q73" s="16" t="str">
        <f t="shared" si="3"/>
        <v/>
      </c>
      <c r="T73" s="16" t="str">
        <f t="shared" si="4"/>
        <v/>
      </c>
      <c r="V73" s="16" t="str">
        <f t="shared" si="5"/>
        <v/>
      </c>
    </row>
    <row r="74" spans="17:22" x14ac:dyDescent="0.15">
      <c r="Q74" s="16" t="str">
        <f t="shared" si="3"/>
        <v/>
      </c>
      <c r="T74" s="16" t="str">
        <f t="shared" si="4"/>
        <v/>
      </c>
      <c r="V74" s="16" t="str">
        <f t="shared" si="5"/>
        <v/>
      </c>
    </row>
    <row r="75" spans="17:22" x14ac:dyDescent="0.15">
      <c r="Q75" s="16" t="str">
        <f t="shared" si="3"/>
        <v/>
      </c>
      <c r="T75" s="16" t="str">
        <f t="shared" si="4"/>
        <v/>
      </c>
      <c r="V75" s="16" t="str">
        <f t="shared" si="5"/>
        <v/>
      </c>
    </row>
    <row r="76" spans="17:22" x14ac:dyDescent="0.15">
      <c r="Q76" s="16" t="str">
        <f t="shared" si="3"/>
        <v/>
      </c>
      <c r="T76" s="16" t="str">
        <f t="shared" si="4"/>
        <v/>
      </c>
      <c r="V76" s="16" t="str">
        <f t="shared" si="5"/>
        <v/>
      </c>
    </row>
    <row r="77" spans="17:22" x14ac:dyDescent="0.15">
      <c r="Q77" s="16" t="str">
        <f t="shared" si="3"/>
        <v/>
      </c>
      <c r="T77" s="16" t="str">
        <f t="shared" si="4"/>
        <v/>
      </c>
      <c r="V77" s="16" t="str">
        <f t="shared" si="5"/>
        <v/>
      </c>
    </row>
    <row r="78" spans="17:22" x14ac:dyDescent="0.15">
      <c r="Q78" s="16" t="str">
        <f t="shared" si="3"/>
        <v/>
      </c>
      <c r="T78" s="16" t="str">
        <f t="shared" si="4"/>
        <v/>
      </c>
      <c r="V78" s="16" t="str">
        <f t="shared" si="5"/>
        <v/>
      </c>
    </row>
    <row r="79" spans="17:22" x14ac:dyDescent="0.15">
      <c r="Q79" s="16" t="str">
        <f t="shared" si="3"/>
        <v/>
      </c>
      <c r="T79" s="16" t="str">
        <f t="shared" si="4"/>
        <v/>
      </c>
      <c r="V79" s="16" t="str">
        <f t="shared" si="5"/>
        <v/>
      </c>
    </row>
    <row r="80" spans="17:22" x14ac:dyDescent="0.15">
      <c r="Q80" s="16" t="str">
        <f t="shared" si="3"/>
        <v/>
      </c>
      <c r="T80" s="16" t="str">
        <f t="shared" si="4"/>
        <v/>
      </c>
      <c r="V80" s="16" t="str">
        <f t="shared" si="5"/>
        <v/>
      </c>
    </row>
    <row r="81" spans="17:22" x14ac:dyDescent="0.15">
      <c r="Q81" s="16" t="str">
        <f t="shared" si="3"/>
        <v/>
      </c>
      <c r="T81" s="16" t="str">
        <f t="shared" si="4"/>
        <v/>
      </c>
      <c r="V81" s="16" t="str">
        <f t="shared" si="5"/>
        <v/>
      </c>
    </row>
    <row r="82" spans="17:22" x14ac:dyDescent="0.15">
      <c r="Q82" s="16" t="str">
        <f t="shared" si="3"/>
        <v/>
      </c>
      <c r="T82" s="16" t="str">
        <f t="shared" si="4"/>
        <v/>
      </c>
      <c r="V82" s="16" t="str">
        <f t="shared" si="5"/>
        <v/>
      </c>
    </row>
    <row r="83" spans="17:22" x14ac:dyDescent="0.15">
      <c r="Q83" s="16" t="str">
        <f t="shared" si="3"/>
        <v/>
      </c>
      <c r="T83" s="16" t="str">
        <f t="shared" si="4"/>
        <v/>
      </c>
      <c r="V83" s="16" t="str">
        <f t="shared" si="5"/>
        <v/>
      </c>
    </row>
    <row r="84" spans="17:22" x14ac:dyDescent="0.15">
      <c r="Q84" s="16" t="str">
        <f t="shared" si="3"/>
        <v/>
      </c>
      <c r="T84" s="16" t="str">
        <f t="shared" si="4"/>
        <v/>
      </c>
      <c r="V84" s="16" t="str">
        <f t="shared" si="5"/>
        <v/>
      </c>
    </row>
    <row r="85" spans="17:22" x14ac:dyDescent="0.15">
      <c r="Q85" s="16" t="str">
        <f t="shared" si="3"/>
        <v/>
      </c>
      <c r="T85" s="16" t="str">
        <f t="shared" si="4"/>
        <v/>
      </c>
      <c r="V85" s="16" t="str">
        <f t="shared" si="5"/>
        <v/>
      </c>
    </row>
    <row r="86" spans="17:22" x14ac:dyDescent="0.15">
      <c r="Q86" s="16" t="str">
        <f t="shared" si="3"/>
        <v/>
      </c>
      <c r="T86" s="16" t="str">
        <f t="shared" si="4"/>
        <v/>
      </c>
      <c r="V86" s="16" t="str">
        <f t="shared" si="5"/>
        <v/>
      </c>
    </row>
    <row r="87" spans="17:22" x14ac:dyDescent="0.15">
      <c r="Q87" s="16" t="str">
        <f t="shared" si="3"/>
        <v/>
      </c>
      <c r="T87" s="16" t="str">
        <f t="shared" si="4"/>
        <v/>
      </c>
      <c r="V87" s="16" t="str">
        <f t="shared" si="5"/>
        <v/>
      </c>
    </row>
    <row r="88" spans="17:22" x14ac:dyDescent="0.15">
      <c r="Q88" s="16" t="str">
        <f t="shared" si="3"/>
        <v/>
      </c>
      <c r="T88" s="16" t="str">
        <f t="shared" si="4"/>
        <v/>
      </c>
      <c r="V88" s="16" t="str">
        <f t="shared" si="5"/>
        <v/>
      </c>
    </row>
    <row r="89" spans="17:22" x14ac:dyDescent="0.15">
      <c r="Q89" s="16" t="str">
        <f t="shared" si="3"/>
        <v/>
      </c>
      <c r="T89" s="16" t="str">
        <f t="shared" si="4"/>
        <v/>
      </c>
      <c r="V89" s="16" t="str">
        <f t="shared" si="5"/>
        <v/>
      </c>
    </row>
    <row r="90" spans="17:22" x14ac:dyDescent="0.15">
      <c r="Q90" s="16" t="str">
        <f t="shared" si="3"/>
        <v/>
      </c>
      <c r="T90" s="16" t="str">
        <f t="shared" si="4"/>
        <v/>
      </c>
      <c r="V90" s="16" t="str">
        <f t="shared" si="5"/>
        <v/>
      </c>
    </row>
    <row r="91" spans="17:22" x14ac:dyDescent="0.15">
      <c r="Q91" s="16" t="str">
        <f t="shared" si="3"/>
        <v/>
      </c>
      <c r="T91" s="16" t="str">
        <f t="shared" si="4"/>
        <v/>
      </c>
      <c r="V91" s="16" t="str">
        <f t="shared" si="5"/>
        <v/>
      </c>
    </row>
    <row r="92" spans="17:22" x14ac:dyDescent="0.15">
      <c r="Q92" s="16" t="str">
        <f t="shared" si="3"/>
        <v/>
      </c>
      <c r="T92" s="16" t="str">
        <f t="shared" si="4"/>
        <v/>
      </c>
      <c r="V92" s="16" t="str">
        <f t="shared" si="5"/>
        <v/>
      </c>
    </row>
    <row r="93" spans="17:22" x14ac:dyDescent="0.15">
      <c r="Q93" s="16" t="str">
        <f t="shared" si="3"/>
        <v/>
      </c>
      <c r="T93" s="16" t="str">
        <f t="shared" si="4"/>
        <v/>
      </c>
      <c r="V93" s="16" t="str">
        <f t="shared" si="5"/>
        <v/>
      </c>
    </row>
    <row r="94" spans="17:22" x14ac:dyDescent="0.15">
      <c r="Q94" s="16" t="str">
        <f t="shared" si="3"/>
        <v/>
      </c>
      <c r="T94" s="16" t="str">
        <f t="shared" si="4"/>
        <v/>
      </c>
      <c r="V94" s="16" t="str">
        <f t="shared" si="5"/>
        <v/>
      </c>
    </row>
    <row r="95" spans="17:22" x14ac:dyDescent="0.15">
      <c r="Q95" s="16" t="str">
        <f t="shared" si="3"/>
        <v/>
      </c>
      <c r="T95" s="16" t="str">
        <f t="shared" si="4"/>
        <v/>
      </c>
      <c r="V95" s="16" t="str">
        <f t="shared" si="5"/>
        <v/>
      </c>
    </row>
    <row r="96" spans="17:22" x14ac:dyDescent="0.15">
      <c r="Q96" s="16" t="str">
        <f t="shared" si="3"/>
        <v/>
      </c>
      <c r="T96" s="16" t="str">
        <f t="shared" si="4"/>
        <v/>
      </c>
      <c r="V96" s="16" t="str">
        <f t="shared" si="5"/>
        <v/>
      </c>
    </row>
    <row r="97" spans="17:22" x14ac:dyDescent="0.15">
      <c r="Q97" s="16" t="str">
        <f t="shared" si="3"/>
        <v/>
      </c>
      <c r="T97" s="16" t="str">
        <f t="shared" si="4"/>
        <v/>
      </c>
      <c r="V97" s="16" t="str">
        <f t="shared" si="5"/>
        <v/>
      </c>
    </row>
    <row r="98" spans="17:22" x14ac:dyDescent="0.15">
      <c r="Q98" s="16" t="str">
        <f t="shared" si="3"/>
        <v/>
      </c>
      <c r="T98" s="16" t="str">
        <f t="shared" si="4"/>
        <v/>
      </c>
      <c r="V98" s="16" t="str">
        <f t="shared" si="5"/>
        <v/>
      </c>
    </row>
    <row r="99" spans="17:22" x14ac:dyDescent="0.15">
      <c r="Q99" s="16" t="str">
        <f t="shared" si="3"/>
        <v/>
      </c>
      <c r="T99" s="16" t="str">
        <f t="shared" si="4"/>
        <v/>
      </c>
      <c r="V99" s="16" t="str">
        <f t="shared" si="5"/>
        <v/>
      </c>
    </row>
    <row r="100" spans="17:22" x14ac:dyDescent="0.15">
      <c r="Q100" s="16" t="str">
        <f t="shared" si="3"/>
        <v/>
      </c>
      <c r="T100" s="16" t="str">
        <f t="shared" si="4"/>
        <v/>
      </c>
      <c r="V100" s="16" t="str">
        <f t="shared" si="5"/>
        <v/>
      </c>
    </row>
    <row r="101" spans="17:22" x14ac:dyDescent="0.15">
      <c r="Q101" s="16" t="str">
        <f t="shared" si="3"/>
        <v/>
      </c>
      <c r="T101" s="16" t="str">
        <f t="shared" si="4"/>
        <v/>
      </c>
      <c r="V101" s="16" t="str">
        <f t="shared" si="5"/>
        <v/>
      </c>
    </row>
    <row r="102" spans="17:22" x14ac:dyDescent="0.15">
      <c r="Q102" s="16" t="str">
        <f t="shared" si="3"/>
        <v/>
      </c>
      <c r="T102" s="16" t="str">
        <f t="shared" si="4"/>
        <v/>
      </c>
      <c r="V102" s="16" t="str">
        <f t="shared" si="5"/>
        <v/>
      </c>
    </row>
    <row r="103" spans="17:22" x14ac:dyDescent="0.15">
      <c r="Q103" s="16" t="str">
        <f t="shared" si="3"/>
        <v/>
      </c>
      <c r="T103" s="16" t="str">
        <f t="shared" si="4"/>
        <v/>
      </c>
      <c r="V103" s="16" t="str">
        <f t="shared" si="5"/>
        <v/>
      </c>
    </row>
    <row r="104" spans="17:22" x14ac:dyDescent="0.15">
      <c r="Q104" s="16" t="str">
        <f t="shared" si="3"/>
        <v/>
      </c>
      <c r="T104" s="16" t="str">
        <f t="shared" si="4"/>
        <v/>
      </c>
      <c r="V104" s="16" t="str">
        <f t="shared" si="5"/>
        <v/>
      </c>
    </row>
    <row r="105" spans="17:22" x14ac:dyDescent="0.15">
      <c r="Q105" s="16" t="str">
        <f t="shared" si="3"/>
        <v/>
      </c>
      <c r="T105" s="16" t="str">
        <f t="shared" si="4"/>
        <v/>
      </c>
      <c r="V105" s="16" t="str">
        <f t="shared" si="5"/>
        <v/>
      </c>
    </row>
    <row r="106" spans="17:22" x14ac:dyDescent="0.15">
      <c r="Q106" s="16" t="str">
        <f t="shared" si="3"/>
        <v/>
      </c>
      <c r="T106" s="16" t="str">
        <f t="shared" si="4"/>
        <v/>
      </c>
      <c r="V106" s="16" t="str">
        <f t="shared" si="5"/>
        <v/>
      </c>
    </row>
    <row r="107" spans="17:22" x14ac:dyDescent="0.15">
      <c r="Q107" s="16" t="str">
        <f t="shared" si="3"/>
        <v/>
      </c>
      <c r="T107" s="16" t="str">
        <f t="shared" si="4"/>
        <v/>
      </c>
      <c r="V107" s="16" t="str">
        <f t="shared" si="5"/>
        <v/>
      </c>
    </row>
    <row r="108" spans="17:22" x14ac:dyDescent="0.15">
      <c r="Q108" s="16" t="str">
        <f t="shared" si="3"/>
        <v/>
      </c>
      <c r="T108" s="16" t="str">
        <f t="shared" si="4"/>
        <v/>
      </c>
      <c r="V108" s="16" t="str">
        <f t="shared" si="5"/>
        <v/>
      </c>
    </row>
    <row r="109" spans="17:22" x14ac:dyDescent="0.15">
      <c r="Q109" s="16" t="str">
        <f t="shared" si="3"/>
        <v/>
      </c>
      <c r="T109" s="16" t="str">
        <f t="shared" si="4"/>
        <v/>
      </c>
      <c r="V109" s="16" t="str">
        <f t="shared" si="5"/>
        <v/>
      </c>
    </row>
    <row r="110" spans="17:22" x14ac:dyDescent="0.15">
      <c r="Q110" s="16" t="str">
        <f t="shared" si="3"/>
        <v/>
      </c>
      <c r="T110" s="16" t="str">
        <f t="shared" si="4"/>
        <v/>
      </c>
      <c r="V110" s="16" t="str">
        <f t="shared" si="5"/>
        <v/>
      </c>
    </row>
    <row r="111" spans="17:22" x14ac:dyDescent="0.15">
      <c r="Q111" s="16" t="str">
        <f t="shared" si="3"/>
        <v/>
      </c>
      <c r="T111" s="16" t="str">
        <f t="shared" si="4"/>
        <v/>
      </c>
      <c r="V111" s="16" t="str">
        <f t="shared" si="5"/>
        <v/>
      </c>
    </row>
    <row r="112" spans="17:22" x14ac:dyDescent="0.15">
      <c r="Q112" s="16" t="str">
        <f t="shared" si="3"/>
        <v/>
      </c>
      <c r="T112" s="16" t="str">
        <f t="shared" si="4"/>
        <v/>
      </c>
      <c r="V112" s="16" t="str">
        <f t="shared" si="5"/>
        <v/>
      </c>
    </row>
  </sheetData>
  <autoFilter ref="A1:BA112" xr:uid="{00000000-0009-0000-0000-000000000000}"/>
  <phoneticPr fontId="3"/>
  <dataValidations count="19">
    <dataValidation type="list" allowBlank="1" showInputMessage="1" showErrorMessage="1" sqref="K2:K394" xr:uid="{999C096B-2443-4F48-B2D5-8E7AEFCEA95D}">
      <formula1>$AR$2:$AR$27</formula1>
    </dataValidation>
    <dataValidation type="list" allowBlank="1" showInputMessage="1" showErrorMessage="1" sqref="E2:E452" xr:uid="{AF8B9216-B4F2-4576-9BB9-01935F22B802}">
      <formula1>$AG$2:$AG$11</formula1>
    </dataValidation>
    <dataValidation type="list" allowBlank="1" showInputMessage="1" showErrorMessage="1" sqref="H2:H452" xr:uid="{4D895C1B-1CF1-486C-8C88-2B20661329A1}">
      <formula1>$AL$2:$AL$8</formula1>
    </dataValidation>
    <dataValidation type="decimal" allowBlank="1" showInputMessage="1" showErrorMessage="1" error="硬度を正しく入力して下さい。" sqref="O2:P452" xr:uid="{E88E2633-2878-4C51-9A52-69C4A5F9CB66}">
      <formula1>0</formula1>
      <formula2>7</formula2>
    </dataValidation>
    <dataValidation type="list" allowBlank="1" showInputMessage="1" showErrorMessage="1" sqref="F2:F1406" xr:uid="{62E70672-425B-48D2-9175-965C5D44D138}">
      <formula1>$AH$2:$AH$11</formula1>
    </dataValidation>
    <dataValidation type="list" allowBlank="1" showInputMessage="1" showErrorMessage="1" sqref="Y2:AA543" xr:uid="{5D781B1E-DFD2-42E5-A8B9-5275ADB6F20C}">
      <formula1>$AV$2:$AV$38</formula1>
    </dataValidation>
    <dataValidation type="list" allowBlank="1" showInputMessage="1" showErrorMessage="1" sqref="J2:J43" xr:uid="{C2D73CC0-C62E-4892-A4B5-034E33B6B749}">
      <formula1>$AP$2:$AP$38</formula1>
    </dataValidation>
    <dataValidation type="list" allowBlank="1" showInputMessage="1" showErrorMessage="1" sqref="WVS982994:WVS983059 K65490:K65555 JG65490:JG65555 TC65490:TC65555 ACY65490:ACY65555 AMU65490:AMU65555 AWQ65490:AWQ65555 BGM65490:BGM65555 BQI65490:BQI65555 CAE65490:CAE65555 CKA65490:CKA65555 CTW65490:CTW65555 DDS65490:DDS65555 DNO65490:DNO65555 DXK65490:DXK65555 EHG65490:EHG65555 ERC65490:ERC65555 FAY65490:FAY65555 FKU65490:FKU65555 FUQ65490:FUQ65555 GEM65490:GEM65555 GOI65490:GOI65555 GYE65490:GYE65555 HIA65490:HIA65555 HRW65490:HRW65555 IBS65490:IBS65555 ILO65490:ILO65555 IVK65490:IVK65555 JFG65490:JFG65555 JPC65490:JPC65555 JYY65490:JYY65555 KIU65490:KIU65555 KSQ65490:KSQ65555 LCM65490:LCM65555 LMI65490:LMI65555 LWE65490:LWE65555 MGA65490:MGA65555 MPW65490:MPW65555 MZS65490:MZS65555 NJO65490:NJO65555 NTK65490:NTK65555 ODG65490:ODG65555 ONC65490:ONC65555 OWY65490:OWY65555 PGU65490:PGU65555 PQQ65490:PQQ65555 QAM65490:QAM65555 QKI65490:QKI65555 QUE65490:QUE65555 REA65490:REA65555 RNW65490:RNW65555 RXS65490:RXS65555 SHO65490:SHO65555 SRK65490:SRK65555 TBG65490:TBG65555 TLC65490:TLC65555 TUY65490:TUY65555 UEU65490:UEU65555 UOQ65490:UOQ65555 UYM65490:UYM65555 VII65490:VII65555 VSE65490:VSE65555 WCA65490:WCA65555 WLW65490:WLW65555 WVS65490:WVS65555 K131026:K131091 JG131026:JG131091 TC131026:TC131091 ACY131026:ACY131091 AMU131026:AMU131091 AWQ131026:AWQ131091 BGM131026:BGM131091 BQI131026:BQI131091 CAE131026:CAE131091 CKA131026:CKA131091 CTW131026:CTW131091 DDS131026:DDS131091 DNO131026:DNO131091 DXK131026:DXK131091 EHG131026:EHG131091 ERC131026:ERC131091 FAY131026:FAY131091 FKU131026:FKU131091 FUQ131026:FUQ131091 GEM131026:GEM131091 GOI131026:GOI131091 GYE131026:GYE131091 HIA131026:HIA131091 HRW131026:HRW131091 IBS131026:IBS131091 ILO131026:ILO131091 IVK131026:IVK131091 JFG131026:JFG131091 JPC131026:JPC131091 JYY131026:JYY131091 KIU131026:KIU131091 KSQ131026:KSQ131091 LCM131026:LCM131091 LMI131026:LMI131091 LWE131026:LWE131091 MGA131026:MGA131091 MPW131026:MPW131091 MZS131026:MZS131091 NJO131026:NJO131091 NTK131026:NTK131091 ODG131026:ODG131091 ONC131026:ONC131091 OWY131026:OWY131091 PGU131026:PGU131091 PQQ131026:PQQ131091 QAM131026:QAM131091 QKI131026:QKI131091 QUE131026:QUE131091 REA131026:REA131091 RNW131026:RNW131091 RXS131026:RXS131091 SHO131026:SHO131091 SRK131026:SRK131091 TBG131026:TBG131091 TLC131026:TLC131091 TUY131026:TUY131091 UEU131026:UEU131091 UOQ131026:UOQ131091 UYM131026:UYM131091 VII131026:VII131091 VSE131026:VSE131091 WCA131026:WCA131091 WLW131026:WLW131091 WVS131026:WVS131091 K196562:K196627 JG196562:JG196627 TC196562:TC196627 ACY196562:ACY196627 AMU196562:AMU196627 AWQ196562:AWQ196627 BGM196562:BGM196627 BQI196562:BQI196627 CAE196562:CAE196627 CKA196562:CKA196627 CTW196562:CTW196627 DDS196562:DDS196627 DNO196562:DNO196627 DXK196562:DXK196627 EHG196562:EHG196627 ERC196562:ERC196627 FAY196562:FAY196627 FKU196562:FKU196627 FUQ196562:FUQ196627 GEM196562:GEM196627 GOI196562:GOI196627 GYE196562:GYE196627 HIA196562:HIA196627 HRW196562:HRW196627 IBS196562:IBS196627 ILO196562:ILO196627 IVK196562:IVK196627 JFG196562:JFG196627 JPC196562:JPC196627 JYY196562:JYY196627 KIU196562:KIU196627 KSQ196562:KSQ196627 LCM196562:LCM196627 LMI196562:LMI196627 LWE196562:LWE196627 MGA196562:MGA196627 MPW196562:MPW196627 MZS196562:MZS196627 NJO196562:NJO196627 NTK196562:NTK196627 ODG196562:ODG196627 ONC196562:ONC196627 OWY196562:OWY196627 PGU196562:PGU196627 PQQ196562:PQQ196627 QAM196562:QAM196627 QKI196562:QKI196627 QUE196562:QUE196627 REA196562:REA196627 RNW196562:RNW196627 RXS196562:RXS196627 SHO196562:SHO196627 SRK196562:SRK196627 TBG196562:TBG196627 TLC196562:TLC196627 TUY196562:TUY196627 UEU196562:UEU196627 UOQ196562:UOQ196627 UYM196562:UYM196627 VII196562:VII196627 VSE196562:VSE196627 WCA196562:WCA196627 WLW196562:WLW196627 WVS196562:WVS196627 K262098:K262163 JG262098:JG262163 TC262098:TC262163 ACY262098:ACY262163 AMU262098:AMU262163 AWQ262098:AWQ262163 BGM262098:BGM262163 BQI262098:BQI262163 CAE262098:CAE262163 CKA262098:CKA262163 CTW262098:CTW262163 DDS262098:DDS262163 DNO262098:DNO262163 DXK262098:DXK262163 EHG262098:EHG262163 ERC262098:ERC262163 FAY262098:FAY262163 FKU262098:FKU262163 FUQ262098:FUQ262163 GEM262098:GEM262163 GOI262098:GOI262163 GYE262098:GYE262163 HIA262098:HIA262163 HRW262098:HRW262163 IBS262098:IBS262163 ILO262098:ILO262163 IVK262098:IVK262163 JFG262098:JFG262163 JPC262098:JPC262163 JYY262098:JYY262163 KIU262098:KIU262163 KSQ262098:KSQ262163 LCM262098:LCM262163 LMI262098:LMI262163 LWE262098:LWE262163 MGA262098:MGA262163 MPW262098:MPW262163 MZS262098:MZS262163 NJO262098:NJO262163 NTK262098:NTK262163 ODG262098:ODG262163 ONC262098:ONC262163 OWY262098:OWY262163 PGU262098:PGU262163 PQQ262098:PQQ262163 QAM262098:QAM262163 QKI262098:QKI262163 QUE262098:QUE262163 REA262098:REA262163 RNW262098:RNW262163 RXS262098:RXS262163 SHO262098:SHO262163 SRK262098:SRK262163 TBG262098:TBG262163 TLC262098:TLC262163 TUY262098:TUY262163 UEU262098:UEU262163 UOQ262098:UOQ262163 UYM262098:UYM262163 VII262098:VII262163 VSE262098:VSE262163 WCA262098:WCA262163 WLW262098:WLW262163 WVS262098:WVS262163 K327634:K327699 JG327634:JG327699 TC327634:TC327699 ACY327634:ACY327699 AMU327634:AMU327699 AWQ327634:AWQ327699 BGM327634:BGM327699 BQI327634:BQI327699 CAE327634:CAE327699 CKA327634:CKA327699 CTW327634:CTW327699 DDS327634:DDS327699 DNO327634:DNO327699 DXK327634:DXK327699 EHG327634:EHG327699 ERC327634:ERC327699 FAY327634:FAY327699 FKU327634:FKU327699 FUQ327634:FUQ327699 GEM327634:GEM327699 GOI327634:GOI327699 GYE327634:GYE327699 HIA327634:HIA327699 HRW327634:HRW327699 IBS327634:IBS327699 ILO327634:ILO327699 IVK327634:IVK327699 JFG327634:JFG327699 JPC327634:JPC327699 JYY327634:JYY327699 KIU327634:KIU327699 KSQ327634:KSQ327699 LCM327634:LCM327699 LMI327634:LMI327699 LWE327634:LWE327699 MGA327634:MGA327699 MPW327634:MPW327699 MZS327634:MZS327699 NJO327634:NJO327699 NTK327634:NTK327699 ODG327634:ODG327699 ONC327634:ONC327699 OWY327634:OWY327699 PGU327634:PGU327699 PQQ327634:PQQ327699 QAM327634:QAM327699 QKI327634:QKI327699 QUE327634:QUE327699 REA327634:REA327699 RNW327634:RNW327699 RXS327634:RXS327699 SHO327634:SHO327699 SRK327634:SRK327699 TBG327634:TBG327699 TLC327634:TLC327699 TUY327634:TUY327699 UEU327634:UEU327699 UOQ327634:UOQ327699 UYM327634:UYM327699 VII327634:VII327699 VSE327634:VSE327699 WCA327634:WCA327699 WLW327634:WLW327699 WVS327634:WVS327699 K393170:K393235 JG393170:JG393235 TC393170:TC393235 ACY393170:ACY393235 AMU393170:AMU393235 AWQ393170:AWQ393235 BGM393170:BGM393235 BQI393170:BQI393235 CAE393170:CAE393235 CKA393170:CKA393235 CTW393170:CTW393235 DDS393170:DDS393235 DNO393170:DNO393235 DXK393170:DXK393235 EHG393170:EHG393235 ERC393170:ERC393235 FAY393170:FAY393235 FKU393170:FKU393235 FUQ393170:FUQ393235 GEM393170:GEM393235 GOI393170:GOI393235 GYE393170:GYE393235 HIA393170:HIA393235 HRW393170:HRW393235 IBS393170:IBS393235 ILO393170:ILO393235 IVK393170:IVK393235 JFG393170:JFG393235 JPC393170:JPC393235 JYY393170:JYY393235 KIU393170:KIU393235 KSQ393170:KSQ393235 LCM393170:LCM393235 LMI393170:LMI393235 LWE393170:LWE393235 MGA393170:MGA393235 MPW393170:MPW393235 MZS393170:MZS393235 NJO393170:NJO393235 NTK393170:NTK393235 ODG393170:ODG393235 ONC393170:ONC393235 OWY393170:OWY393235 PGU393170:PGU393235 PQQ393170:PQQ393235 QAM393170:QAM393235 QKI393170:QKI393235 QUE393170:QUE393235 REA393170:REA393235 RNW393170:RNW393235 RXS393170:RXS393235 SHO393170:SHO393235 SRK393170:SRK393235 TBG393170:TBG393235 TLC393170:TLC393235 TUY393170:TUY393235 UEU393170:UEU393235 UOQ393170:UOQ393235 UYM393170:UYM393235 VII393170:VII393235 VSE393170:VSE393235 WCA393170:WCA393235 WLW393170:WLW393235 WVS393170:WVS393235 K458706:K458771 JG458706:JG458771 TC458706:TC458771 ACY458706:ACY458771 AMU458706:AMU458771 AWQ458706:AWQ458771 BGM458706:BGM458771 BQI458706:BQI458771 CAE458706:CAE458771 CKA458706:CKA458771 CTW458706:CTW458771 DDS458706:DDS458771 DNO458706:DNO458771 DXK458706:DXK458771 EHG458706:EHG458771 ERC458706:ERC458771 FAY458706:FAY458771 FKU458706:FKU458771 FUQ458706:FUQ458771 GEM458706:GEM458771 GOI458706:GOI458771 GYE458706:GYE458771 HIA458706:HIA458771 HRW458706:HRW458771 IBS458706:IBS458771 ILO458706:ILO458771 IVK458706:IVK458771 JFG458706:JFG458771 JPC458706:JPC458771 JYY458706:JYY458771 KIU458706:KIU458771 KSQ458706:KSQ458771 LCM458706:LCM458771 LMI458706:LMI458771 LWE458706:LWE458771 MGA458706:MGA458771 MPW458706:MPW458771 MZS458706:MZS458771 NJO458706:NJO458771 NTK458706:NTK458771 ODG458706:ODG458771 ONC458706:ONC458771 OWY458706:OWY458771 PGU458706:PGU458771 PQQ458706:PQQ458771 QAM458706:QAM458771 QKI458706:QKI458771 QUE458706:QUE458771 REA458706:REA458771 RNW458706:RNW458771 RXS458706:RXS458771 SHO458706:SHO458771 SRK458706:SRK458771 TBG458706:TBG458771 TLC458706:TLC458771 TUY458706:TUY458771 UEU458706:UEU458771 UOQ458706:UOQ458771 UYM458706:UYM458771 VII458706:VII458771 VSE458706:VSE458771 WCA458706:WCA458771 WLW458706:WLW458771 WVS458706:WVS458771 K524242:K524307 JG524242:JG524307 TC524242:TC524307 ACY524242:ACY524307 AMU524242:AMU524307 AWQ524242:AWQ524307 BGM524242:BGM524307 BQI524242:BQI524307 CAE524242:CAE524307 CKA524242:CKA524307 CTW524242:CTW524307 DDS524242:DDS524307 DNO524242:DNO524307 DXK524242:DXK524307 EHG524242:EHG524307 ERC524242:ERC524307 FAY524242:FAY524307 FKU524242:FKU524307 FUQ524242:FUQ524307 GEM524242:GEM524307 GOI524242:GOI524307 GYE524242:GYE524307 HIA524242:HIA524307 HRW524242:HRW524307 IBS524242:IBS524307 ILO524242:ILO524307 IVK524242:IVK524307 JFG524242:JFG524307 JPC524242:JPC524307 JYY524242:JYY524307 KIU524242:KIU524307 KSQ524242:KSQ524307 LCM524242:LCM524307 LMI524242:LMI524307 LWE524242:LWE524307 MGA524242:MGA524307 MPW524242:MPW524307 MZS524242:MZS524307 NJO524242:NJO524307 NTK524242:NTK524307 ODG524242:ODG524307 ONC524242:ONC524307 OWY524242:OWY524307 PGU524242:PGU524307 PQQ524242:PQQ524307 QAM524242:QAM524307 QKI524242:QKI524307 QUE524242:QUE524307 REA524242:REA524307 RNW524242:RNW524307 RXS524242:RXS524307 SHO524242:SHO524307 SRK524242:SRK524307 TBG524242:TBG524307 TLC524242:TLC524307 TUY524242:TUY524307 UEU524242:UEU524307 UOQ524242:UOQ524307 UYM524242:UYM524307 VII524242:VII524307 VSE524242:VSE524307 WCA524242:WCA524307 WLW524242:WLW524307 WVS524242:WVS524307 K589778:K589843 JG589778:JG589843 TC589778:TC589843 ACY589778:ACY589843 AMU589778:AMU589843 AWQ589778:AWQ589843 BGM589778:BGM589843 BQI589778:BQI589843 CAE589778:CAE589843 CKA589778:CKA589843 CTW589778:CTW589843 DDS589778:DDS589843 DNO589778:DNO589843 DXK589778:DXK589843 EHG589778:EHG589843 ERC589778:ERC589843 FAY589778:FAY589843 FKU589778:FKU589843 FUQ589778:FUQ589843 GEM589778:GEM589843 GOI589778:GOI589843 GYE589778:GYE589843 HIA589778:HIA589843 HRW589778:HRW589843 IBS589778:IBS589843 ILO589778:ILO589843 IVK589778:IVK589843 JFG589778:JFG589843 JPC589778:JPC589843 JYY589778:JYY589843 KIU589778:KIU589843 KSQ589778:KSQ589843 LCM589778:LCM589843 LMI589778:LMI589843 LWE589778:LWE589843 MGA589778:MGA589843 MPW589778:MPW589843 MZS589778:MZS589843 NJO589778:NJO589843 NTK589778:NTK589843 ODG589778:ODG589843 ONC589778:ONC589843 OWY589778:OWY589843 PGU589778:PGU589843 PQQ589778:PQQ589843 QAM589778:QAM589843 QKI589778:QKI589843 QUE589778:QUE589843 REA589778:REA589843 RNW589778:RNW589843 RXS589778:RXS589843 SHO589778:SHO589843 SRK589778:SRK589843 TBG589778:TBG589843 TLC589778:TLC589843 TUY589778:TUY589843 UEU589778:UEU589843 UOQ589778:UOQ589843 UYM589778:UYM589843 VII589778:VII589843 VSE589778:VSE589843 WCA589778:WCA589843 WLW589778:WLW589843 WVS589778:WVS589843 K655314:K655379 JG655314:JG655379 TC655314:TC655379 ACY655314:ACY655379 AMU655314:AMU655379 AWQ655314:AWQ655379 BGM655314:BGM655379 BQI655314:BQI655379 CAE655314:CAE655379 CKA655314:CKA655379 CTW655314:CTW655379 DDS655314:DDS655379 DNO655314:DNO655379 DXK655314:DXK655379 EHG655314:EHG655379 ERC655314:ERC655379 FAY655314:FAY655379 FKU655314:FKU655379 FUQ655314:FUQ655379 GEM655314:GEM655379 GOI655314:GOI655379 GYE655314:GYE655379 HIA655314:HIA655379 HRW655314:HRW655379 IBS655314:IBS655379 ILO655314:ILO655379 IVK655314:IVK655379 JFG655314:JFG655379 JPC655314:JPC655379 JYY655314:JYY655379 KIU655314:KIU655379 KSQ655314:KSQ655379 LCM655314:LCM655379 LMI655314:LMI655379 LWE655314:LWE655379 MGA655314:MGA655379 MPW655314:MPW655379 MZS655314:MZS655379 NJO655314:NJO655379 NTK655314:NTK655379 ODG655314:ODG655379 ONC655314:ONC655379 OWY655314:OWY655379 PGU655314:PGU655379 PQQ655314:PQQ655379 QAM655314:QAM655379 QKI655314:QKI655379 QUE655314:QUE655379 REA655314:REA655379 RNW655314:RNW655379 RXS655314:RXS655379 SHO655314:SHO655379 SRK655314:SRK655379 TBG655314:TBG655379 TLC655314:TLC655379 TUY655314:TUY655379 UEU655314:UEU655379 UOQ655314:UOQ655379 UYM655314:UYM655379 VII655314:VII655379 VSE655314:VSE655379 WCA655314:WCA655379 WLW655314:WLW655379 WVS655314:WVS655379 K720850:K720915 JG720850:JG720915 TC720850:TC720915 ACY720850:ACY720915 AMU720850:AMU720915 AWQ720850:AWQ720915 BGM720850:BGM720915 BQI720850:BQI720915 CAE720850:CAE720915 CKA720850:CKA720915 CTW720850:CTW720915 DDS720850:DDS720915 DNO720850:DNO720915 DXK720850:DXK720915 EHG720850:EHG720915 ERC720850:ERC720915 FAY720850:FAY720915 FKU720850:FKU720915 FUQ720850:FUQ720915 GEM720850:GEM720915 GOI720850:GOI720915 GYE720850:GYE720915 HIA720850:HIA720915 HRW720850:HRW720915 IBS720850:IBS720915 ILO720850:ILO720915 IVK720850:IVK720915 JFG720850:JFG720915 JPC720850:JPC720915 JYY720850:JYY720915 KIU720850:KIU720915 KSQ720850:KSQ720915 LCM720850:LCM720915 LMI720850:LMI720915 LWE720850:LWE720915 MGA720850:MGA720915 MPW720850:MPW720915 MZS720850:MZS720915 NJO720850:NJO720915 NTK720850:NTK720915 ODG720850:ODG720915 ONC720850:ONC720915 OWY720850:OWY720915 PGU720850:PGU720915 PQQ720850:PQQ720915 QAM720850:QAM720915 QKI720850:QKI720915 QUE720850:QUE720915 REA720850:REA720915 RNW720850:RNW720915 RXS720850:RXS720915 SHO720850:SHO720915 SRK720850:SRK720915 TBG720850:TBG720915 TLC720850:TLC720915 TUY720850:TUY720915 UEU720850:UEU720915 UOQ720850:UOQ720915 UYM720850:UYM720915 VII720850:VII720915 VSE720850:VSE720915 WCA720850:WCA720915 WLW720850:WLW720915 WVS720850:WVS720915 K786386:K786451 JG786386:JG786451 TC786386:TC786451 ACY786386:ACY786451 AMU786386:AMU786451 AWQ786386:AWQ786451 BGM786386:BGM786451 BQI786386:BQI786451 CAE786386:CAE786451 CKA786386:CKA786451 CTW786386:CTW786451 DDS786386:DDS786451 DNO786386:DNO786451 DXK786386:DXK786451 EHG786386:EHG786451 ERC786386:ERC786451 FAY786386:FAY786451 FKU786386:FKU786451 FUQ786386:FUQ786451 GEM786386:GEM786451 GOI786386:GOI786451 GYE786386:GYE786451 HIA786386:HIA786451 HRW786386:HRW786451 IBS786386:IBS786451 ILO786386:ILO786451 IVK786386:IVK786451 JFG786386:JFG786451 JPC786386:JPC786451 JYY786386:JYY786451 KIU786386:KIU786451 KSQ786386:KSQ786451 LCM786386:LCM786451 LMI786386:LMI786451 LWE786386:LWE786451 MGA786386:MGA786451 MPW786386:MPW786451 MZS786386:MZS786451 NJO786386:NJO786451 NTK786386:NTK786451 ODG786386:ODG786451 ONC786386:ONC786451 OWY786386:OWY786451 PGU786386:PGU786451 PQQ786386:PQQ786451 QAM786386:QAM786451 QKI786386:QKI786451 QUE786386:QUE786451 REA786386:REA786451 RNW786386:RNW786451 RXS786386:RXS786451 SHO786386:SHO786451 SRK786386:SRK786451 TBG786386:TBG786451 TLC786386:TLC786451 TUY786386:TUY786451 UEU786386:UEU786451 UOQ786386:UOQ786451 UYM786386:UYM786451 VII786386:VII786451 VSE786386:VSE786451 WCA786386:WCA786451 WLW786386:WLW786451 WVS786386:WVS786451 K851922:K851987 JG851922:JG851987 TC851922:TC851987 ACY851922:ACY851987 AMU851922:AMU851987 AWQ851922:AWQ851987 BGM851922:BGM851987 BQI851922:BQI851987 CAE851922:CAE851987 CKA851922:CKA851987 CTW851922:CTW851987 DDS851922:DDS851987 DNO851922:DNO851987 DXK851922:DXK851987 EHG851922:EHG851987 ERC851922:ERC851987 FAY851922:FAY851987 FKU851922:FKU851987 FUQ851922:FUQ851987 GEM851922:GEM851987 GOI851922:GOI851987 GYE851922:GYE851987 HIA851922:HIA851987 HRW851922:HRW851987 IBS851922:IBS851987 ILO851922:ILO851987 IVK851922:IVK851987 JFG851922:JFG851987 JPC851922:JPC851987 JYY851922:JYY851987 KIU851922:KIU851987 KSQ851922:KSQ851987 LCM851922:LCM851987 LMI851922:LMI851987 LWE851922:LWE851987 MGA851922:MGA851987 MPW851922:MPW851987 MZS851922:MZS851987 NJO851922:NJO851987 NTK851922:NTK851987 ODG851922:ODG851987 ONC851922:ONC851987 OWY851922:OWY851987 PGU851922:PGU851987 PQQ851922:PQQ851987 QAM851922:QAM851987 QKI851922:QKI851987 QUE851922:QUE851987 REA851922:REA851987 RNW851922:RNW851987 RXS851922:RXS851987 SHO851922:SHO851987 SRK851922:SRK851987 TBG851922:TBG851987 TLC851922:TLC851987 TUY851922:TUY851987 UEU851922:UEU851987 UOQ851922:UOQ851987 UYM851922:UYM851987 VII851922:VII851987 VSE851922:VSE851987 WCA851922:WCA851987 WLW851922:WLW851987 WVS851922:WVS851987 K917458:K917523 JG917458:JG917523 TC917458:TC917523 ACY917458:ACY917523 AMU917458:AMU917523 AWQ917458:AWQ917523 BGM917458:BGM917523 BQI917458:BQI917523 CAE917458:CAE917523 CKA917458:CKA917523 CTW917458:CTW917523 DDS917458:DDS917523 DNO917458:DNO917523 DXK917458:DXK917523 EHG917458:EHG917523 ERC917458:ERC917523 FAY917458:FAY917523 FKU917458:FKU917523 FUQ917458:FUQ917523 GEM917458:GEM917523 GOI917458:GOI917523 GYE917458:GYE917523 HIA917458:HIA917523 HRW917458:HRW917523 IBS917458:IBS917523 ILO917458:ILO917523 IVK917458:IVK917523 JFG917458:JFG917523 JPC917458:JPC917523 JYY917458:JYY917523 KIU917458:KIU917523 KSQ917458:KSQ917523 LCM917458:LCM917523 LMI917458:LMI917523 LWE917458:LWE917523 MGA917458:MGA917523 MPW917458:MPW917523 MZS917458:MZS917523 NJO917458:NJO917523 NTK917458:NTK917523 ODG917458:ODG917523 ONC917458:ONC917523 OWY917458:OWY917523 PGU917458:PGU917523 PQQ917458:PQQ917523 QAM917458:QAM917523 QKI917458:QKI917523 QUE917458:QUE917523 REA917458:REA917523 RNW917458:RNW917523 RXS917458:RXS917523 SHO917458:SHO917523 SRK917458:SRK917523 TBG917458:TBG917523 TLC917458:TLC917523 TUY917458:TUY917523 UEU917458:UEU917523 UOQ917458:UOQ917523 UYM917458:UYM917523 VII917458:VII917523 VSE917458:VSE917523 WCA917458:WCA917523 WLW917458:WLW917523 WVS917458:WVS917523 K982994:K983059 JG982994:JG983059 TC982994:TC983059 ACY982994:ACY983059 AMU982994:AMU983059 AWQ982994:AWQ983059 BGM982994:BGM983059 BQI982994:BQI983059 CAE982994:CAE983059 CKA982994:CKA983059 CTW982994:CTW983059 DDS982994:DDS983059 DNO982994:DNO983059 DXK982994:DXK983059 EHG982994:EHG983059 ERC982994:ERC983059 FAY982994:FAY983059 FKU982994:FKU983059 FUQ982994:FUQ983059 GEM982994:GEM983059 GOI982994:GOI983059 GYE982994:GYE983059 HIA982994:HIA983059 HRW982994:HRW983059 IBS982994:IBS983059 ILO982994:ILO983059 IVK982994:IVK983059 JFG982994:JFG983059 JPC982994:JPC983059 JYY982994:JYY983059 KIU982994:KIU983059 KSQ982994:KSQ983059 LCM982994:LCM983059 LMI982994:LMI983059 LWE982994:LWE983059 MGA982994:MGA983059 MPW982994:MPW983059 MZS982994:MZS983059 NJO982994:NJO983059 NTK982994:NTK983059 ODG982994:ODG983059 ONC982994:ONC983059 OWY982994:OWY983059 PGU982994:PGU983059 PQQ982994:PQQ983059 QAM982994:QAM983059 QKI982994:QKI983059 QUE982994:QUE983059 REA982994:REA983059 RNW982994:RNW983059 RXS982994:RXS983059 SHO982994:SHO983059 SRK982994:SRK983059 TBG982994:TBG983059 TLC982994:TLC983059 TUY982994:TUY983059 UEU982994:UEU983059 UOQ982994:UOQ983059 UYM982994:UYM983059 VII982994:VII983059 VSE982994:VSE983059 WCA982994:WCA983059 WLW982994:WLW983059 K395:K452 WVS2:WVS43 JG2:JG43 TC2:TC43 ACY2:ACY43 AMU2:AMU43 AWQ2:AWQ43 BGM2:BGM43 BQI2:BQI43 CAE2:CAE43 CKA2:CKA43 CTW2:CTW43 DDS2:DDS43 DNO2:DNO43 DXK2:DXK43 EHG2:EHG43 ERC2:ERC43 FAY2:FAY43 FKU2:FKU43 FUQ2:FUQ43 GEM2:GEM43 GOI2:GOI43 GYE2:GYE43 HIA2:HIA43 HRW2:HRW43 IBS2:IBS43 ILO2:ILO43 IVK2:IVK43 JFG2:JFG43 JPC2:JPC43 JYY2:JYY43 KIU2:KIU43 KSQ2:KSQ43 LCM2:LCM43 LMI2:LMI43 LWE2:LWE43 MGA2:MGA43 MPW2:MPW43 MZS2:MZS43 NJO2:NJO43 NTK2:NTK43 ODG2:ODG43 ONC2:ONC43 OWY2:OWY43 PGU2:PGU43 PQQ2:PQQ43 QAM2:QAM43 QKI2:QKI43 QUE2:QUE43 REA2:REA43 RNW2:RNW43 RXS2:RXS43 SHO2:SHO43 SRK2:SRK43 TBG2:TBG43 TLC2:TLC43 TUY2:TUY43 UEU2:UEU43 UOQ2:UOQ43 UYM2:UYM43 VII2:VII43 VSE2:VSE43 WCA2:WCA43 WLW2:WLW43" xr:uid="{F222DEE7-25BD-4AB4-8451-1BF674430001}">
      <formula1>$AR$2:$AR$25</formula1>
    </dataValidation>
    <dataValidation type="list" allowBlank="1" showInputMessage="1" showErrorMessage="1" sqref="WVR982994:WVR983059 J65490:J65555 JF65490:JF65555 TB65490:TB65555 ACX65490:ACX65555 AMT65490:AMT65555 AWP65490:AWP65555 BGL65490:BGL65555 BQH65490:BQH65555 CAD65490:CAD65555 CJZ65490:CJZ65555 CTV65490:CTV65555 DDR65490:DDR65555 DNN65490:DNN65555 DXJ65490:DXJ65555 EHF65490:EHF65555 ERB65490:ERB65555 FAX65490:FAX65555 FKT65490:FKT65555 FUP65490:FUP65555 GEL65490:GEL65555 GOH65490:GOH65555 GYD65490:GYD65555 HHZ65490:HHZ65555 HRV65490:HRV65555 IBR65490:IBR65555 ILN65490:ILN65555 IVJ65490:IVJ65555 JFF65490:JFF65555 JPB65490:JPB65555 JYX65490:JYX65555 KIT65490:KIT65555 KSP65490:KSP65555 LCL65490:LCL65555 LMH65490:LMH65555 LWD65490:LWD65555 MFZ65490:MFZ65555 MPV65490:MPV65555 MZR65490:MZR65555 NJN65490:NJN65555 NTJ65490:NTJ65555 ODF65490:ODF65555 ONB65490:ONB65555 OWX65490:OWX65555 PGT65490:PGT65555 PQP65490:PQP65555 QAL65490:QAL65555 QKH65490:QKH65555 QUD65490:QUD65555 RDZ65490:RDZ65555 RNV65490:RNV65555 RXR65490:RXR65555 SHN65490:SHN65555 SRJ65490:SRJ65555 TBF65490:TBF65555 TLB65490:TLB65555 TUX65490:TUX65555 UET65490:UET65555 UOP65490:UOP65555 UYL65490:UYL65555 VIH65490:VIH65555 VSD65490:VSD65555 WBZ65490:WBZ65555 WLV65490:WLV65555 WVR65490:WVR65555 J131026:J131091 JF131026:JF131091 TB131026:TB131091 ACX131026:ACX131091 AMT131026:AMT131091 AWP131026:AWP131091 BGL131026:BGL131091 BQH131026:BQH131091 CAD131026:CAD131091 CJZ131026:CJZ131091 CTV131026:CTV131091 DDR131026:DDR131091 DNN131026:DNN131091 DXJ131026:DXJ131091 EHF131026:EHF131091 ERB131026:ERB131091 FAX131026:FAX131091 FKT131026:FKT131091 FUP131026:FUP131091 GEL131026:GEL131091 GOH131026:GOH131091 GYD131026:GYD131091 HHZ131026:HHZ131091 HRV131026:HRV131091 IBR131026:IBR131091 ILN131026:ILN131091 IVJ131026:IVJ131091 JFF131026:JFF131091 JPB131026:JPB131091 JYX131026:JYX131091 KIT131026:KIT131091 KSP131026:KSP131091 LCL131026:LCL131091 LMH131026:LMH131091 LWD131026:LWD131091 MFZ131026:MFZ131091 MPV131026:MPV131091 MZR131026:MZR131091 NJN131026:NJN131091 NTJ131026:NTJ131091 ODF131026:ODF131091 ONB131026:ONB131091 OWX131026:OWX131091 PGT131026:PGT131091 PQP131026:PQP131091 QAL131026:QAL131091 QKH131026:QKH131091 QUD131026:QUD131091 RDZ131026:RDZ131091 RNV131026:RNV131091 RXR131026:RXR131091 SHN131026:SHN131091 SRJ131026:SRJ131091 TBF131026:TBF131091 TLB131026:TLB131091 TUX131026:TUX131091 UET131026:UET131091 UOP131026:UOP131091 UYL131026:UYL131091 VIH131026:VIH131091 VSD131026:VSD131091 WBZ131026:WBZ131091 WLV131026:WLV131091 WVR131026:WVR131091 J196562:J196627 JF196562:JF196627 TB196562:TB196627 ACX196562:ACX196627 AMT196562:AMT196627 AWP196562:AWP196627 BGL196562:BGL196627 BQH196562:BQH196627 CAD196562:CAD196627 CJZ196562:CJZ196627 CTV196562:CTV196627 DDR196562:DDR196627 DNN196562:DNN196627 DXJ196562:DXJ196627 EHF196562:EHF196627 ERB196562:ERB196627 FAX196562:FAX196627 FKT196562:FKT196627 FUP196562:FUP196627 GEL196562:GEL196627 GOH196562:GOH196627 GYD196562:GYD196627 HHZ196562:HHZ196627 HRV196562:HRV196627 IBR196562:IBR196627 ILN196562:ILN196627 IVJ196562:IVJ196627 JFF196562:JFF196627 JPB196562:JPB196627 JYX196562:JYX196627 KIT196562:KIT196627 KSP196562:KSP196627 LCL196562:LCL196627 LMH196562:LMH196627 LWD196562:LWD196627 MFZ196562:MFZ196627 MPV196562:MPV196627 MZR196562:MZR196627 NJN196562:NJN196627 NTJ196562:NTJ196627 ODF196562:ODF196627 ONB196562:ONB196627 OWX196562:OWX196627 PGT196562:PGT196627 PQP196562:PQP196627 QAL196562:QAL196627 QKH196562:QKH196627 QUD196562:QUD196627 RDZ196562:RDZ196627 RNV196562:RNV196627 RXR196562:RXR196627 SHN196562:SHN196627 SRJ196562:SRJ196627 TBF196562:TBF196627 TLB196562:TLB196627 TUX196562:TUX196627 UET196562:UET196627 UOP196562:UOP196627 UYL196562:UYL196627 VIH196562:VIH196627 VSD196562:VSD196627 WBZ196562:WBZ196627 WLV196562:WLV196627 WVR196562:WVR196627 J262098:J262163 JF262098:JF262163 TB262098:TB262163 ACX262098:ACX262163 AMT262098:AMT262163 AWP262098:AWP262163 BGL262098:BGL262163 BQH262098:BQH262163 CAD262098:CAD262163 CJZ262098:CJZ262163 CTV262098:CTV262163 DDR262098:DDR262163 DNN262098:DNN262163 DXJ262098:DXJ262163 EHF262098:EHF262163 ERB262098:ERB262163 FAX262098:FAX262163 FKT262098:FKT262163 FUP262098:FUP262163 GEL262098:GEL262163 GOH262098:GOH262163 GYD262098:GYD262163 HHZ262098:HHZ262163 HRV262098:HRV262163 IBR262098:IBR262163 ILN262098:ILN262163 IVJ262098:IVJ262163 JFF262098:JFF262163 JPB262098:JPB262163 JYX262098:JYX262163 KIT262098:KIT262163 KSP262098:KSP262163 LCL262098:LCL262163 LMH262098:LMH262163 LWD262098:LWD262163 MFZ262098:MFZ262163 MPV262098:MPV262163 MZR262098:MZR262163 NJN262098:NJN262163 NTJ262098:NTJ262163 ODF262098:ODF262163 ONB262098:ONB262163 OWX262098:OWX262163 PGT262098:PGT262163 PQP262098:PQP262163 QAL262098:QAL262163 QKH262098:QKH262163 QUD262098:QUD262163 RDZ262098:RDZ262163 RNV262098:RNV262163 RXR262098:RXR262163 SHN262098:SHN262163 SRJ262098:SRJ262163 TBF262098:TBF262163 TLB262098:TLB262163 TUX262098:TUX262163 UET262098:UET262163 UOP262098:UOP262163 UYL262098:UYL262163 VIH262098:VIH262163 VSD262098:VSD262163 WBZ262098:WBZ262163 WLV262098:WLV262163 WVR262098:WVR262163 J327634:J327699 JF327634:JF327699 TB327634:TB327699 ACX327634:ACX327699 AMT327634:AMT327699 AWP327634:AWP327699 BGL327634:BGL327699 BQH327634:BQH327699 CAD327634:CAD327699 CJZ327634:CJZ327699 CTV327634:CTV327699 DDR327634:DDR327699 DNN327634:DNN327699 DXJ327634:DXJ327699 EHF327634:EHF327699 ERB327634:ERB327699 FAX327634:FAX327699 FKT327634:FKT327699 FUP327634:FUP327699 GEL327634:GEL327699 GOH327634:GOH327699 GYD327634:GYD327699 HHZ327634:HHZ327699 HRV327634:HRV327699 IBR327634:IBR327699 ILN327634:ILN327699 IVJ327634:IVJ327699 JFF327634:JFF327699 JPB327634:JPB327699 JYX327634:JYX327699 KIT327634:KIT327699 KSP327634:KSP327699 LCL327634:LCL327699 LMH327634:LMH327699 LWD327634:LWD327699 MFZ327634:MFZ327699 MPV327634:MPV327699 MZR327634:MZR327699 NJN327634:NJN327699 NTJ327634:NTJ327699 ODF327634:ODF327699 ONB327634:ONB327699 OWX327634:OWX327699 PGT327634:PGT327699 PQP327634:PQP327699 QAL327634:QAL327699 QKH327634:QKH327699 QUD327634:QUD327699 RDZ327634:RDZ327699 RNV327634:RNV327699 RXR327634:RXR327699 SHN327634:SHN327699 SRJ327634:SRJ327699 TBF327634:TBF327699 TLB327634:TLB327699 TUX327634:TUX327699 UET327634:UET327699 UOP327634:UOP327699 UYL327634:UYL327699 VIH327634:VIH327699 VSD327634:VSD327699 WBZ327634:WBZ327699 WLV327634:WLV327699 WVR327634:WVR327699 J393170:J393235 JF393170:JF393235 TB393170:TB393235 ACX393170:ACX393235 AMT393170:AMT393235 AWP393170:AWP393235 BGL393170:BGL393235 BQH393170:BQH393235 CAD393170:CAD393235 CJZ393170:CJZ393235 CTV393170:CTV393235 DDR393170:DDR393235 DNN393170:DNN393235 DXJ393170:DXJ393235 EHF393170:EHF393235 ERB393170:ERB393235 FAX393170:FAX393235 FKT393170:FKT393235 FUP393170:FUP393235 GEL393170:GEL393235 GOH393170:GOH393235 GYD393170:GYD393235 HHZ393170:HHZ393235 HRV393170:HRV393235 IBR393170:IBR393235 ILN393170:ILN393235 IVJ393170:IVJ393235 JFF393170:JFF393235 JPB393170:JPB393235 JYX393170:JYX393235 KIT393170:KIT393235 KSP393170:KSP393235 LCL393170:LCL393235 LMH393170:LMH393235 LWD393170:LWD393235 MFZ393170:MFZ393235 MPV393170:MPV393235 MZR393170:MZR393235 NJN393170:NJN393235 NTJ393170:NTJ393235 ODF393170:ODF393235 ONB393170:ONB393235 OWX393170:OWX393235 PGT393170:PGT393235 PQP393170:PQP393235 QAL393170:QAL393235 QKH393170:QKH393235 QUD393170:QUD393235 RDZ393170:RDZ393235 RNV393170:RNV393235 RXR393170:RXR393235 SHN393170:SHN393235 SRJ393170:SRJ393235 TBF393170:TBF393235 TLB393170:TLB393235 TUX393170:TUX393235 UET393170:UET393235 UOP393170:UOP393235 UYL393170:UYL393235 VIH393170:VIH393235 VSD393170:VSD393235 WBZ393170:WBZ393235 WLV393170:WLV393235 WVR393170:WVR393235 J458706:J458771 JF458706:JF458771 TB458706:TB458771 ACX458706:ACX458771 AMT458706:AMT458771 AWP458706:AWP458771 BGL458706:BGL458771 BQH458706:BQH458771 CAD458706:CAD458771 CJZ458706:CJZ458771 CTV458706:CTV458771 DDR458706:DDR458771 DNN458706:DNN458771 DXJ458706:DXJ458771 EHF458706:EHF458771 ERB458706:ERB458771 FAX458706:FAX458771 FKT458706:FKT458771 FUP458706:FUP458771 GEL458706:GEL458771 GOH458706:GOH458771 GYD458706:GYD458771 HHZ458706:HHZ458771 HRV458706:HRV458771 IBR458706:IBR458771 ILN458706:ILN458771 IVJ458706:IVJ458771 JFF458706:JFF458771 JPB458706:JPB458771 JYX458706:JYX458771 KIT458706:KIT458771 KSP458706:KSP458771 LCL458706:LCL458771 LMH458706:LMH458771 LWD458706:LWD458771 MFZ458706:MFZ458771 MPV458706:MPV458771 MZR458706:MZR458771 NJN458706:NJN458771 NTJ458706:NTJ458771 ODF458706:ODF458771 ONB458706:ONB458771 OWX458706:OWX458771 PGT458706:PGT458771 PQP458706:PQP458771 QAL458706:QAL458771 QKH458706:QKH458771 QUD458706:QUD458771 RDZ458706:RDZ458771 RNV458706:RNV458771 RXR458706:RXR458771 SHN458706:SHN458771 SRJ458706:SRJ458771 TBF458706:TBF458771 TLB458706:TLB458771 TUX458706:TUX458771 UET458706:UET458771 UOP458706:UOP458771 UYL458706:UYL458771 VIH458706:VIH458771 VSD458706:VSD458771 WBZ458706:WBZ458771 WLV458706:WLV458771 WVR458706:WVR458771 J524242:J524307 JF524242:JF524307 TB524242:TB524307 ACX524242:ACX524307 AMT524242:AMT524307 AWP524242:AWP524307 BGL524242:BGL524307 BQH524242:BQH524307 CAD524242:CAD524307 CJZ524242:CJZ524307 CTV524242:CTV524307 DDR524242:DDR524307 DNN524242:DNN524307 DXJ524242:DXJ524307 EHF524242:EHF524307 ERB524242:ERB524307 FAX524242:FAX524307 FKT524242:FKT524307 FUP524242:FUP524307 GEL524242:GEL524307 GOH524242:GOH524307 GYD524242:GYD524307 HHZ524242:HHZ524307 HRV524242:HRV524307 IBR524242:IBR524307 ILN524242:ILN524307 IVJ524242:IVJ524307 JFF524242:JFF524307 JPB524242:JPB524307 JYX524242:JYX524307 KIT524242:KIT524307 KSP524242:KSP524307 LCL524242:LCL524307 LMH524242:LMH524307 LWD524242:LWD524307 MFZ524242:MFZ524307 MPV524242:MPV524307 MZR524242:MZR524307 NJN524242:NJN524307 NTJ524242:NTJ524307 ODF524242:ODF524307 ONB524242:ONB524307 OWX524242:OWX524307 PGT524242:PGT524307 PQP524242:PQP524307 QAL524242:QAL524307 QKH524242:QKH524307 QUD524242:QUD524307 RDZ524242:RDZ524307 RNV524242:RNV524307 RXR524242:RXR524307 SHN524242:SHN524307 SRJ524242:SRJ524307 TBF524242:TBF524307 TLB524242:TLB524307 TUX524242:TUX524307 UET524242:UET524307 UOP524242:UOP524307 UYL524242:UYL524307 VIH524242:VIH524307 VSD524242:VSD524307 WBZ524242:WBZ524307 WLV524242:WLV524307 WVR524242:WVR524307 J589778:J589843 JF589778:JF589843 TB589778:TB589843 ACX589778:ACX589843 AMT589778:AMT589843 AWP589778:AWP589843 BGL589778:BGL589843 BQH589778:BQH589843 CAD589778:CAD589843 CJZ589778:CJZ589843 CTV589778:CTV589843 DDR589778:DDR589843 DNN589778:DNN589843 DXJ589778:DXJ589843 EHF589778:EHF589843 ERB589778:ERB589843 FAX589778:FAX589843 FKT589778:FKT589843 FUP589778:FUP589843 GEL589778:GEL589843 GOH589778:GOH589843 GYD589778:GYD589843 HHZ589778:HHZ589843 HRV589778:HRV589843 IBR589778:IBR589843 ILN589778:ILN589843 IVJ589778:IVJ589843 JFF589778:JFF589843 JPB589778:JPB589843 JYX589778:JYX589843 KIT589778:KIT589843 KSP589778:KSP589843 LCL589778:LCL589843 LMH589778:LMH589843 LWD589778:LWD589843 MFZ589778:MFZ589843 MPV589778:MPV589843 MZR589778:MZR589843 NJN589778:NJN589843 NTJ589778:NTJ589843 ODF589778:ODF589843 ONB589778:ONB589843 OWX589778:OWX589843 PGT589778:PGT589843 PQP589778:PQP589843 QAL589778:QAL589843 QKH589778:QKH589843 QUD589778:QUD589843 RDZ589778:RDZ589843 RNV589778:RNV589843 RXR589778:RXR589843 SHN589778:SHN589843 SRJ589778:SRJ589843 TBF589778:TBF589843 TLB589778:TLB589843 TUX589778:TUX589843 UET589778:UET589843 UOP589778:UOP589843 UYL589778:UYL589843 VIH589778:VIH589843 VSD589778:VSD589843 WBZ589778:WBZ589843 WLV589778:WLV589843 WVR589778:WVR589843 J655314:J655379 JF655314:JF655379 TB655314:TB655379 ACX655314:ACX655379 AMT655314:AMT655379 AWP655314:AWP655379 BGL655314:BGL655379 BQH655314:BQH655379 CAD655314:CAD655379 CJZ655314:CJZ655379 CTV655314:CTV655379 DDR655314:DDR655379 DNN655314:DNN655379 DXJ655314:DXJ655379 EHF655314:EHF655379 ERB655314:ERB655379 FAX655314:FAX655379 FKT655314:FKT655379 FUP655314:FUP655379 GEL655314:GEL655379 GOH655314:GOH655379 GYD655314:GYD655379 HHZ655314:HHZ655379 HRV655314:HRV655379 IBR655314:IBR655379 ILN655314:ILN655379 IVJ655314:IVJ655379 JFF655314:JFF655379 JPB655314:JPB655379 JYX655314:JYX655379 KIT655314:KIT655379 KSP655314:KSP655379 LCL655314:LCL655379 LMH655314:LMH655379 LWD655314:LWD655379 MFZ655314:MFZ655379 MPV655314:MPV655379 MZR655314:MZR655379 NJN655314:NJN655379 NTJ655314:NTJ655379 ODF655314:ODF655379 ONB655314:ONB655379 OWX655314:OWX655379 PGT655314:PGT655379 PQP655314:PQP655379 QAL655314:QAL655379 QKH655314:QKH655379 QUD655314:QUD655379 RDZ655314:RDZ655379 RNV655314:RNV655379 RXR655314:RXR655379 SHN655314:SHN655379 SRJ655314:SRJ655379 TBF655314:TBF655379 TLB655314:TLB655379 TUX655314:TUX655379 UET655314:UET655379 UOP655314:UOP655379 UYL655314:UYL655379 VIH655314:VIH655379 VSD655314:VSD655379 WBZ655314:WBZ655379 WLV655314:WLV655379 WVR655314:WVR655379 J720850:J720915 JF720850:JF720915 TB720850:TB720915 ACX720850:ACX720915 AMT720850:AMT720915 AWP720850:AWP720915 BGL720850:BGL720915 BQH720850:BQH720915 CAD720850:CAD720915 CJZ720850:CJZ720915 CTV720850:CTV720915 DDR720850:DDR720915 DNN720850:DNN720915 DXJ720850:DXJ720915 EHF720850:EHF720915 ERB720850:ERB720915 FAX720850:FAX720915 FKT720850:FKT720915 FUP720850:FUP720915 GEL720850:GEL720915 GOH720850:GOH720915 GYD720850:GYD720915 HHZ720850:HHZ720915 HRV720850:HRV720915 IBR720850:IBR720915 ILN720850:ILN720915 IVJ720850:IVJ720915 JFF720850:JFF720915 JPB720850:JPB720915 JYX720850:JYX720915 KIT720850:KIT720915 KSP720850:KSP720915 LCL720850:LCL720915 LMH720850:LMH720915 LWD720850:LWD720915 MFZ720850:MFZ720915 MPV720850:MPV720915 MZR720850:MZR720915 NJN720850:NJN720915 NTJ720850:NTJ720915 ODF720850:ODF720915 ONB720850:ONB720915 OWX720850:OWX720915 PGT720850:PGT720915 PQP720850:PQP720915 QAL720850:QAL720915 QKH720850:QKH720915 QUD720850:QUD720915 RDZ720850:RDZ720915 RNV720850:RNV720915 RXR720850:RXR720915 SHN720850:SHN720915 SRJ720850:SRJ720915 TBF720850:TBF720915 TLB720850:TLB720915 TUX720850:TUX720915 UET720850:UET720915 UOP720850:UOP720915 UYL720850:UYL720915 VIH720850:VIH720915 VSD720850:VSD720915 WBZ720850:WBZ720915 WLV720850:WLV720915 WVR720850:WVR720915 J786386:J786451 JF786386:JF786451 TB786386:TB786451 ACX786386:ACX786451 AMT786386:AMT786451 AWP786386:AWP786451 BGL786386:BGL786451 BQH786386:BQH786451 CAD786386:CAD786451 CJZ786386:CJZ786451 CTV786386:CTV786451 DDR786386:DDR786451 DNN786386:DNN786451 DXJ786386:DXJ786451 EHF786386:EHF786451 ERB786386:ERB786451 FAX786386:FAX786451 FKT786386:FKT786451 FUP786386:FUP786451 GEL786386:GEL786451 GOH786386:GOH786451 GYD786386:GYD786451 HHZ786386:HHZ786451 HRV786386:HRV786451 IBR786386:IBR786451 ILN786386:ILN786451 IVJ786386:IVJ786451 JFF786386:JFF786451 JPB786386:JPB786451 JYX786386:JYX786451 KIT786386:KIT786451 KSP786386:KSP786451 LCL786386:LCL786451 LMH786386:LMH786451 LWD786386:LWD786451 MFZ786386:MFZ786451 MPV786386:MPV786451 MZR786386:MZR786451 NJN786386:NJN786451 NTJ786386:NTJ786451 ODF786386:ODF786451 ONB786386:ONB786451 OWX786386:OWX786451 PGT786386:PGT786451 PQP786386:PQP786451 QAL786386:QAL786451 QKH786386:QKH786451 QUD786386:QUD786451 RDZ786386:RDZ786451 RNV786386:RNV786451 RXR786386:RXR786451 SHN786386:SHN786451 SRJ786386:SRJ786451 TBF786386:TBF786451 TLB786386:TLB786451 TUX786386:TUX786451 UET786386:UET786451 UOP786386:UOP786451 UYL786386:UYL786451 VIH786386:VIH786451 VSD786386:VSD786451 WBZ786386:WBZ786451 WLV786386:WLV786451 WVR786386:WVR786451 J851922:J851987 JF851922:JF851987 TB851922:TB851987 ACX851922:ACX851987 AMT851922:AMT851987 AWP851922:AWP851987 BGL851922:BGL851987 BQH851922:BQH851987 CAD851922:CAD851987 CJZ851922:CJZ851987 CTV851922:CTV851987 DDR851922:DDR851987 DNN851922:DNN851987 DXJ851922:DXJ851987 EHF851922:EHF851987 ERB851922:ERB851987 FAX851922:FAX851987 FKT851922:FKT851987 FUP851922:FUP851987 GEL851922:GEL851987 GOH851922:GOH851987 GYD851922:GYD851987 HHZ851922:HHZ851987 HRV851922:HRV851987 IBR851922:IBR851987 ILN851922:ILN851987 IVJ851922:IVJ851987 JFF851922:JFF851987 JPB851922:JPB851987 JYX851922:JYX851987 KIT851922:KIT851987 KSP851922:KSP851987 LCL851922:LCL851987 LMH851922:LMH851987 LWD851922:LWD851987 MFZ851922:MFZ851987 MPV851922:MPV851987 MZR851922:MZR851987 NJN851922:NJN851987 NTJ851922:NTJ851987 ODF851922:ODF851987 ONB851922:ONB851987 OWX851922:OWX851987 PGT851922:PGT851987 PQP851922:PQP851987 QAL851922:QAL851987 QKH851922:QKH851987 QUD851922:QUD851987 RDZ851922:RDZ851987 RNV851922:RNV851987 RXR851922:RXR851987 SHN851922:SHN851987 SRJ851922:SRJ851987 TBF851922:TBF851987 TLB851922:TLB851987 TUX851922:TUX851987 UET851922:UET851987 UOP851922:UOP851987 UYL851922:UYL851987 VIH851922:VIH851987 VSD851922:VSD851987 WBZ851922:WBZ851987 WLV851922:WLV851987 WVR851922:WVR851987 J917458:J917523 JF917458:JF917523 TB917458:TB917523 ACX917458:ACX917523 AMT917458:AMT917523 AWP917458:AWP917523 BGL917458:BGL917523 BQH917458:BQH917523 CAD917458:CAD917523 CJZ917458:CJZ917523 CTV917458:CTV917523 DDR917458:DDR917523 DNN917458:DNN917523 DXJ917458:DXJ917523 EHF917458:EHF917523 ERB917458:ERB917523 FAX917458:FAX917523 FKT917458:FKT917523 FUP917458:FUP917523 GEL917458:GEL917523 GOH917458:GOH917523 GYD917458:GYD917523 HHZ917458:HHZ917523 HRV917458:HRV917523 IBR917458:IBR917523 ILN917458:ILN917523 IVJ917458:IVJ917523 JFF917458:JFF917523 JPB917458:JPB917523 JYX917458:JYX917523 KIT917458:KIT917523 KSP917458:KSP917523 LCL917458:LCL917523 LMH917458:LMH917523 LWD917458:LWD917523 MFZ917458:MFZ917523 MPV917458:MPV917523 MZR917458:MZR917523 NJN917458:NJN917523 NTJ917458:NTJ917523 ODF917458:ODF917523 ONB917458:ONB917523 OWX917458:OWX917523 PGT917458:PGT917523 PQP917458:PQP917523 QAL917458:QAL917523 QKH917458:QKH917523 QUD917458:QUD917523 RDZ917458:RDZ917523 RNV917458:RNV917523 RXR917458:RXR917523 SHN917458:SHN917523 SRJ917458:SRJ917523 TBF917458:TBF917523 TLB917458:TLB917523 TUX917458:TUX917523 UET917458:UET917523 UOP917458:UOP917523 UYL917458:UYL917523 VIH917458:VIH917523 VSD917458:VSD917523 WBZ917458:WBZ917523 WLV917458:WLV917523 WVR917458:WVR917523 J982994:J983059 JF982994:JF983059 TB982994:TB983059 ACX982994:ACX983059 AMT982994:AMT983059 AWP982994:AWP983059 BGL982994:BGL983059 BQH982994:BQH983059 CAD982994:CAD983059 CJZ982994:CJZ983059 CTV982994:CTV983059 DDR982994:DDR983059 DNN982994:DNN983059 DXJ982994:DXJ983059 EHF982994:EHF983059 ERB982994:ERB983059 FAX982994:FAX983059 FKT982994:FKT983059 FUP982994:FUP983059 GEL982994:GEL983059 GOH982994:GOH983059 GYD982994:GYD983059 HHZ982994:HHZ983059 HRV982994:HRV983059 IBR982994:IBR983059 ILN982994:ILN983059 IVJ982994:IVJ983059 JFF982994:JFF983059 JPB982994:JPB983059 JYX982994:JYX983059 KIT982994:KIT983059 KSP982994:KSP983059 LCL982994:LCL983059 LMH982994:LMH983059 LWD982994:LWD983059 MFZ982994:MFZ983059 MPV982994:MPV983059 MZR982994:MZR983059 NJN982994:NJN983059 NTJ982994:NTJ983059 ODF982994:ODF983059 ONB982994:ONB983059 OWX982994:OWX983059 PGT982994:PGT983059 PQP982994:PQP983059 QAL982994:QAL983059 QKH982994:QKH983059 QUD982994:QUD983059 RDZ982994:RDZ983059 RNV982994:RNV983059 RXR982994:RXR983059 SHN982994:SHN983059 SRJ982994:SRJ983059 TBF982994:TBF983059 TLB982994:TLB983059 TUX982994:TUX983059 UET982994:UET983059 UOP982994:UOP983059 UYL982994:UYL983059 VIH982994:VIH983059 VSD982994:VSD983059 WBZ982994:WBZ983059 WLV982994:WLV983059 J44:J452 WLV2:WLV43 WVR2:WVR43 JF2:JF43 TB2:TB43 ACX2:ACX43 AMT2:AMT43 AWP2:AWP43 BGL2:BGL43 BQH2:BQH43 CAD2:CAD43 CJZ2:CJZ43 CTV2:CTV43 DDR2:DDR43 DNN2:DNN43 DXJ2:DXJ43 EHF2:EHF43 ERB2:ERB43 FAX2:FAX43 FKT2:FKT43 FUP2:FUP43 GEL2:GEL43 GOH2:GOH43 GYD2:GYD43 HHZ2:HHZ43 HRV2:HRV43 IBR2:IBR43 ILN2:ILN43 IVJ2:IVJ43 JFF2:JFF43 JPB2:JPB43 JYX2:JYX43 KIT2:KIT43 KSP2:KSP43 LCL2:LCL43 LMH2:LMH43 LWD2:LWD43 MFZ2:MFZ43 MPV2:MPV43 MZR2:MZR43 NJN2:NJN43 NTJ2:NTJ43 ODF2:ODF43 ONB2:ONB43 OWX2:OWX43 PGT2:PGT43 PQP2:PQP43 QAL2:QAL43 QKH2:QKH43 QUD2:QUD43 RDZ2:RDZ43 RNV2:RNV43 RXR2:RXR43 SHN2:SHN43 SRJ2:SRJ43 TBF2:TBF43 TLB2:TLB43 TUX2:TUX43 UET2:UET43 UOP2:UOP43 UYL2:UYL43 VIH2:VIH43 VSD2:VSD43 WBZ2:WBZ43" xr:uid="{7D3468EA-F7E7-4C13-B186-71DF7956C2EE}">
      <formula1>$AP$2:$AP$27</formula1>
    </dataValidation>
    <dataValidation type="list" allowBlank="1" showInputMessage="1" showErrorMessage="1" sqref="WVP982994:WVP983059 H65490:H65555 JD65490:JD65555 SZ65490:SZ65555 ACV65490:ACV65555 AMR65490:AMR65555 AWN65490:AWN65555 BGJ65490:BGJ65555 BQF65490:BQF65555 CAB65490:CAB65555 CJX65490:CJX65555 CTT65490:CTT65555 DDP65490:DDP65555 DNL65490:DNL65555 DXH65490:DXH65555 EHD65490:EHD65555 EQZ65490:EQZ65555 FAV65490:FAV65555 FKR65490:FKR65555 FUN65490:FUN65555 GEJ65490:GEJ65555 GOF65490:GOF65555 GYB65490:GYB65555 HHX65490:HHX65555 HRT65490:HRT65555 IBP65490:IBP65555 ILL65490:ILL65555 IVH65490:IVH65555 JFD65490:JFD65555 JOZ65490:JOZ65555 JYV65490:JYV65555 KIR65490:KIR65555 KSN65490:KSN65555 LCJ65490:LCJ65555 LMF65490:LMF65555 LWB65490:LWB65555 MFX65490:MFX65555 MPT65490:MPT65555 MZP65490:MZP65555 NJL65490:NJL65555 NTH65490:NTH65555 ODD65490:ODD65555 OMZ65490:OMZ65555 OWV65490:OWV65555 PGR65490:PGR65555 PQN65490:PQN65555 QAJ65490:QAJ65555 QKF65490:QKF65555 QUB65490:QUB65555 RDX65490:RDX65555 RNT65490:RNT65555 RXP65490:RXP65555 SHL65490:SHL65555 SRH65490:SRH65555 TBD65490:TBD65555 TKZ65490:TKZ65555 TUV65490:TUV65555 UER65490:UER65555 UON65490:UON65555 UYJ65490:UYJ65555 VIF65490:VIF65555 VSB65490:VSB65555 WBX65490:WBX65555 WLT65490:WLT65555 WVP65490:WVP65555 H131026:H131091 JD131026:JD131091 SZ131026:SZ131091 ACV131026:ACV131091 AMR131026:AMR131091 AWN131026:AWN131091 BGJ131026:BGJ131091 BQF131026:BQF131091 CAB131026:CAB131091 CJX131026:CJX131091 CTT131026:CTT131091 DDP131026:DDP131091 DNL131026:DNL131091 DXH131026:DXH131091 EHD131026:EHD131091 EQZ131026:EQZ131091 FAV131026:FAV131091 FKR131026:FKR131091 FUN131026:FUN131091 GEJ131026:GEJ131091 GOF131026:GOF131091 GYB131026:GYB131091 HHX131026:HHX131091 HRT131026:HRT131091 IBP131026:IBP131091 ILL131026:ILL131091 IVH131026:IVH131091 JFD131026:JFD131091 JOZ131026:JOZ131091 JYV131026:JYV131091 KIR131026:KIR131091 KSN131026:KSN131091 LCJ131026:LCJ131091 LMF131026:LMF131091 LWB131026:LWB131091 MFX131026:MFX131091 MPT131026:MPT131091 MZP131026:MZP131091 NJL131026:NJL131091 NTH131026:NTH131091 ODD131026:ODD131091 OMZ131026:OMZ131091 OWV131026:OWV131091 PGR131026:PGR131091 PQN131026:PQN131091 QAJ131026:QAJ131091 QKF131026:QKF131091 QUB131026:QUB131091 RDX131026:RDX131091 RNT131026:RNT131091 RXP131026:RXP131091 SHL131026:SHL131091 SRH131026:SRH131091 TBD131026:TBD131091 TKZ131026:TKZ131091 TUV131026:TUV131091 UER131026:UER131091 UON131026:UON131091 UYJ131026:UYJ131091 VIF131026:VIF131091 VSB131026:VSB131091 WBX131026:WBX131091 WLT131026:WLT131091 WVP131026:WVP131091 H196562:H196627 JD196562:JD196627 SZ196562:SZ196627 ACV196562:ACV196627 AMR196562:AMR196627 AWN196562:AWN196627 BGJ196562:BGJ196627 BQF196562:BQF196627 CAB196562:CAB196627 CJX196562:CJX196627 CTT196562:CTT196627 DDP196562:DDP196627 DNL196562:DNL196627 DXH196562:DXH196627 EHD196562:EHD196627 EQZ196562:EQZ196627 FAV196562:FAV196627 FKR196562:FKR196627 FUN196562:FUN196627 GEJ196562:GEJ196627 GOF196562:GOF196627 GYB196562:GYB196627 HHX196562:HHX196627 HRT196562:HRT196627 IBP196562:IBP196627 ILL196562:ILL196627 IVH196562:IVH196627 JFD196562:JFD196627 JOZ196562:JOZ196627 JYV196562:JYV196627 KIR196562:KIR196627 KSN196562:KSN196627 LCJ196562:LCJ196627 LMF196562:LMF196627 LWB196562:LWB196627 MFX196562:MFX196627 MPT196562:MPT196627 MZP196562:MZP196627 NJL196562:NJL196627 NTH196562:NTH196627 ODD196562:ODD196627 OMZ196562:OMZ196627 OWV196562:OWV196627 PGR196562:PGR196627 PQN196562:PQN196627 QAJ196562:QAJ196627 QKF196562:QKF196627 QUB196562:QUB196627 RDX196562:RDX196627 RNT196562:RNT196627 RXP196562:RXP196627 SHL196562:SHL196627 SRH196562:SRH196627 TBD196562:TBD196627 TKZ196562:TKZ196627 TUV196562:TUV196627 UER196562:UER196627 UON196562:UON196627 UYJ196562:UYJ196627 VIF196562:VIF196627 VSB196562:VSB196627 WBX196562:WBX196627 WLT196562:WLT196627 WVP196562:WVP196627 H262098:H262163 JD262098:JD262163 SZ262098:SZ262163 ACV262098:ACV262163 AMR262098:AMR262163 AWN262098:AWN262163 BGJ262098:BGJ262163 BQF262098:BQF262163 CAB262098:CAB262163 CJX262098:CJX262163 CTT262098:CTT262163 DDP262098:DDP262163 DNL262098:DNL262163 DXH262098:DXH262163 EHD262098:EHD262163 EQZ262098:EQZ262163 FAV262098:FAV262163 FKR262098:FKR262163 FUN262098:FUN262163 GEJ262098:GEJ262163 GOF262098:GOF262163 GYB262098:GYB262163 HHX262098:HHX262163 HRT262098:HRT262163 IBP262098:IBP262163 ILL262098:ILL262163 IVH262098:IVH262163 JFD262098:JFD262163 JOZ262098:JOZ262163 JYV262098:JYV262163 KIR262098:KIR262163 KSN262098:KSN262163 LCJ262098:LCJ262163 LMF262098:LMF262163 LWB262098:LWB262163 MFX262098:MFX262163 MPT262098:MPT262163 MZP262098:MZP262163 NJL262098:NJL262163 NTH262098:NTH262163 ODD262098:ODD262163 OMZ262098:OMZ262163 OWV262098:OWV262163 PGR262098:PGR262163 PQN262098:PQN262163 QAJ262098:QAJ262163 QKF262098:QKF262163 QUB262098:QUB262163 RDX262098:RDX262163 RNT262098:RNT262163 RXP262098:RXP262163 SHL262098:SHL262163 SRH262098:SRH262163 TBD262098:TBD262163 TKZ262098:TKZ262163 TUV262098:TUV262163 UER262098:UER262163 UON262098:UON262163 UYJ262098:UYJ262163 VIF262098:VIF262163 VSB262098:VSB262163 WBX262098:WBX262163 WLT262098:WLT262163 WVP262098:WVP262163 H327634:H327699 JD327634:JD327699 SZ327634:SZ327699 ACV327634:ACV327699 AMR327634:AMR327699 AWN327634:AWN327699 BGJ327634:BGJ327699 BQF327634:BQF327699 CAB327634:CAB327699 CJX327634:CJX327699 CTT327634:CTT327699 DDP327634:DDP327699 DNL327634:DNL327699 DXH327634:DXH327699 EHD327634:EHD327699 EQZ327634:EQZ327699 FAV327634:FAV327699 FKR327634:FKR327699 FUN327634:FUN327699 GEJ327634:GEJ327699 GOF327634:GOF327699 GYB327634:GYB327699 HHX327634:HHX327699 HRT327634:HRT327699 IBP327634:IBP327699 ILL327634:ILL327699 IVH327634:IVH327699 JFD327634:JFD327699 JOZ327634:JOZ327699 JYV327634:JYV327699 KIR327634:KIR327699 KSN327634:KSN327699 LCJ327634:LCJ327699 LMF327634:LMF327699 LWB327634:LWB327699 MFX327634:MFX327699 MPT327634:MPT327699 MZP327634:MZP327699 NJL327634:NJL327699 NTH327634:NTH327699 ODD327634:ODD327699 OMZ327634:OMZ327699 OWV327634:OWV327699 PGR327634:PGR327699 PQN327634:PQN327699 QAJ327634:QAJ327699 QKF327634:QKF327699 QUB327634:QUB327699 RDX327634:RDX327699 RNT327634:RNT327699 RXP327634:RXP327699 SHL327634:SHL327699 SRH327634:SRH327699 TBD327634:TBD327699 TKZ327634:TKZ327699 TUV327634:TUV327699 UER327634:UER327699 UON327634:UON327699 UYJ327634:UYJ327699 VIF327634:VIF327699 VSB327634:VSB327699 WBX327634:WBX327699 WLT327634:WLT327699 WVP327634:WVP327699 H393170:H393235 JD393170:JD393235 SZ393170:SZ393235 ACV393170:ACV393235 AMR393170:AMR393235 AWN393170:AWN393235 BGJ393170:BGJ393235 BQF393170:BQF393235 CAB393170:CAB393235 CJX393170:CJX393235 CTT393170:CTT393235 DDP393170:DDP393235 DNL393170:DNL393235 DXH393170:DXH393235 EHD393170:EHD393235 EQZ393170:EQZ393235 FAV393170:FAV393235 FKR393170:FKR393235 FUN393170:FUN393235 GEJ393170:GEJ393235 GOF393170:GOF393235 GYB393170:GYB393235 HHX393170:HHX393235 HRT393170:HRT393235 IBP393170:IBP393235 ILL393170:ILL393235 IVH393170:IVH393235 JFD393170:JFD393235 JOZ393170:JOZ393235 JYV393170:JYV393235 KIR393170:KIR393235 KSN393170:KSN393235 LCJ393170:LCJ393235 LMF393170:LMF393235 LWB393170:LWB393235 MFX393170:MFX393235 MPT393170:MPT393235 MZP393170:MZP393235 NJL393170:NJL393235 NTH393170:NTH393235 ODD393170:ODD393235 OMZ393170:OMZ393235 OWV393170:OWV393235 PGR393170:PGR393235 PQN393170:PQN393235 QAJ393170:QAJ393235 QKF393170:QKF393235 QUB393170:QUB393235 RDX393170:RDX393235 RNT393170:RNT393235 RXP393170:RXP393235 SHL393170:SHL393235 SRH393170:SRH393235 TBD393170:TBD393235 TKZ393170:TKZ393235 TUV393170:TUV393235 UER393170:UER393235 UON393170:UON393235 UYJ393170:UYJ393235 VIF393170:VIF393235 VSB393170:VSB393235 WBX393170:WBX393235 WLT393170:WLT393235 WVP393170:WVP393235 H458706:H458771 JD458706:JD458771 SZ458706:SZ458771 ACV458706:ACV458771 AMR458706:AMR458771 AWN458706:AWN458771 BGJ458706:BGJ458771 BQF458706:BQF458771 CAB458706:CAB458771 CJX458706:CJX458771 CTT458706:CTT458771 DDP458706:DDP458771 DNL458706:DNL458771 DXH458706:DXH458771 EHD458706:EHD458771 EQZ458706:EQZ458771 FAV458706:FAV458771 FKR458706:FKR458771 FUN458706:FUN458771 GEJ458706:GEJ458771 GOF458706:GOF458771 GYB458706:GYB458771 HHX458706:HHX458771 HRT458706:HRT458771 IBP458706:IBP458771 ILL458706:ILL458771 IVH458706:IVH458771 JFD458706:JFD458771 JOZ458706:JOZ458771 JYV458706:JYV458771 KIR458706:KIR458771 KSN458706:KSN458771 LCJ458706:LCJ458771 LMF458706:LMF458771 LWB458706:LWB458771 MFX458706:MFX458771 MPT458706:MPT458771 MZP458706:MZP458771 NJL458706:NJL458771 NTH458706:NTH458771 ODD458706:ODD458771 OMZ458706:OMZ458771 OWV458706:OWV458771 PGR458706:PGR458771 PQN458706:PQN458771 QAJ458706:QAJ458771 QKF458706:QKF458771 QUB458706:QUB458771 RDX458706:RDX458771 RNT458706:RNT458771 RXP458706:RXP458771 SHL458706:SHL458771 SRH458706:SRH458771 TBD458706:TBD458771 TKZ458706:TKZ458771 TUV458706:TUV458771 UER458706:UER458771 UON458706:UON458771 UYJ458706:UYJ458771 VIF458706:VIF458771 VSB458706:VSB458771 WBX458706:WBX458771 WLT458706:WLT458771 WVP458706:WVP458771 H524242:H524307 JD524242:JD524307 SZ524242:SZ524307 ACV524242:ACV524307 AMR524242:AMR524307 AWN524242:AWN524307 BGJ524242:BGJ524307 BQF524242:BQF524307 CAB524242:CAB524307 CJX524242:CJX524307 CTT524242:CTT524307 DDP524242:DDP524307 DNL524242:DNL524307 DXH524242:DXH524307 EHD524242:EHD524307 EQZ524242:EQZ524307 FAV524242:FAV524307 FKR524242:FKR524307 FUN524242:FUN524307 GEJ524242:GEJ524307 GOF524242:GOF524307 GYB524242:GYB524307 HHX524242:HHX524307 HRT524242:HRT524307 IBP524242:IBP524307 ILL524242:ILL524307 IVH524242:IVH524307 JFD524242:JFD524307 JOZ524242:JOZ524307 JYV524242:JYV524307 KIR524242:KIR524307 KSN524242:KSN524307 LCJ524242:LCJ524307 LMF524242:LMF524307 LWB524242:LWB524307 MFX524242:MFX524307 MPT524242:MPT524307 MZP524242:MZP524307 NJL524242:NJL524307 NTH524242:NTH524307 ODD524242:ODD524307 OMZ524242:OMZ524307 OWV524242:OWV524307 PGR524242:PGR524307 PQN524242:PQN524307 QAJ524242:QAJ524307 QKF524242:QKF524307 QUB524242:QUB524307 RDX524242:RDX524307 RNT524242:RNT524307 RXP524242:RXP524307 SHL524242:SHL524307 SRH524242:SRH524307 TBD524242:TBD524307 TKZ524242:TKZ524307 TUV524242:TUV524307 UER524242:UER524307 UON524242:UON524307 UYJ524242:UYJ524307 VIF524242:VIF524307 VSB524242:VSB524307 WBX524242:WBX524307 WLT524242:WLT524307 WVP524242:WVP524307 H589778:H589843 JD589778:JD589843 SZ589778:SZ589843 ACV589778:ACV589843 AMR589778:AMR589843 AWN589778:AWN589843 BGJ589778:BGJ589843 BQF589778:BQF589843 CAB589778:CAB589843 CJX589778:CJX589843 CTT589778:CTT589843 DDP589778:DDP589843 DNL589778:DNL589843 DXH589778:DXH589843 EHD589778:EHD589843 EQZ589778:EQZ589843 FAV589778:FAV589843 FKR589778:FKR589843 FUN589778:FUN589843 GEJ589778:GEJ589843 GOF589778:GOF589843 GYB589778:GYB589843 HHX589778:HHX589843 HRT589778:HRT589843 IBP589778:IBP589843 ILL589778:ILL589843 IVH589778:IVH589843 JFD589778:JFD589843 JOZ589778:JOZ589843 JYV589778:JYV589843 KIR589778:KIR589843 KSN589778:KSN589843 LCJ589778:LCJ589843 LMF589778:LMF589843 LWB589778:LWB589843 MFX589778:MFX589843 MPT589778:MPT589843 MZP589778:MZP589843 NJL589778:NJL589843 NTH589778:NTH589843 ODD589778:ODD589843 OMZ589778:OMZ589843 OWV589778:OWV589843 PGR589778:PGR589843 PQN589778:PQN589843 QAJ589778:QAJ589843 QKF589778:QKF589843 QUB589778:QUB589843 RDX589778:RDX589843 RNT589778:RNT589843 RXP589778:RXP589843 SHL589778:SHL589843 SRH589778:SRH589843 TBD589778:TBD589843 TKZ589778:TKZ589843 TUV589778:TUV589843 UER589778:UER589843 UON589778:UON589843 UYJ589778:UYJ589843 VIF589778:VIF589843 VSB589778:VSB589843 WBX589778:WBX589843 WLT589778:WLT589843 WVP589778:WVP589843 H655314:H655379 JD655314:JD655379 SZ655314:SZ655379 ACV655314:ACV655379 AMR655314:AMR655379 AWN655314:AWN655379 BGJ655314:BGJ655379 BQF655314:BQF655379 CAB655314:CAB655379 CJX655314:CJX655379 CTT655314:CTT655379 DDP655314:DDP655379 DNL655314:DNL655379 DXH655314:DXH655379 EHD655314:EHD655379 EQZ655314:EQZ655379 FAV655314:FAV655379 FKR655314:FKR655379 FUN655314:FUN655379 GEJ655314:GEJ655379 GOF655314:GOF655379 GYB655314:GYB655379 HHX655314:HHX655379 HRT655314:HRT655379 IBP655314:IBP655379 ILL655314:ILL655379 IVH655314:IVH655379 JFD655314:JFD655379 JOZ655314:JOZ655379 JYV655314:JYV655379 KIR655314:KIR655379 KSN655314:KSN655379 LCJ655314:LCJ655379 LMF655314:LMF655379 LWB655314:LWB655379 MFX655314:MFX655379 MPT655314:MPT655379 MZP655314:MZP655379 NJL655314:NJL655379 NTH655314:NTH655379 ODD655314:ODD655379 OMZ655314:OMZ655379 OWV655314:OWV655379 PGR655314:PGR655379 PQN655314:PQN655379 QAJ655314:QAJ655379 QKF655314:QKF655379 QUB655314:QUB655379 RDX655314:RDX655379 RNT655314:RNT655379 RXP655314:RXP655379 SHL655314:SHL655379 SRH655314:SRH655379 TBD655314:TBD655379 TKZ655314:TKZ655379 TUV655314:TUV655379 UER655314:UER655379 UON655314:UON655379 UYJ655314:UYJ655379 VIF655314:VIF655379 VSB655314:VSB655379 WBX655314:WBX655379 WLT655314:WLT655379 WVP655314:WVP655379 H720850:H720915 JD720850:JD720915 SZ720850:SZ720915 ACV720850:ACV720915 AMR720850:AMR720915 AWN720850:AWN720915 BGJ720850:BGJ720915 BQF720850:BQF720915 CAB720850:CAB720915 CJX720850:CJX720915 CTT720850:CTT720915 DDP720850:DDP720915 DNL720850:DNL720915 DXH720850:DXH720915 EHD720850:EHD720915 EQZ720850:EQZ720915 FAV720850:FAV720915 FKR720850:FKR720915 FUN720850:FUN720915 GEJ720850:GEJ720915 GOF720850:GOF720915 GYB720850:GYB720915 HHX720850:HHX720915 HRT720850:HRT720915 IBP720850:IBP720915 ILL720850:ILL720915 IVH720850:IVH720915 JFD720850:JFD720915 JOZ720850:JOZ720915 JYV720850:JYV720915 KIR720850:KIR720915 KSN720850:KSN720915 LCJ720850:LCJ720915 LMF720850:LMF720915 LWB720850:LWB720915 MFX720850:MFX720915 MPT720850:MPT720915 MZP720850:MZP720915 NJL720850:NJL720915 NTH720850:NTH720915 ODD720850:ODD720915 OMZ720850:OMZ720915 OWV720850:OWV720915 PGR720850:PGR720915 PQN720850:PQN720915 QAJ720850:QAJ720915 QKF720850:QKF720915 QUB720850:QUB720915 RDX720850:RDX720915 RNT720850:RNT720915 RXP720850:RXP720915 SHL720850:SHL720915 SRH720850:SRH720915 TBD720850:TBD720915 TKZ720850:TKZ720915 TUV720850:TUV720915 UER720850:UER720915 UON720850:UON720915 UYJ720850:UYJ720915 VIF720850:VIF720915 VSB720850:VSB720915 WBX720850:WBX720915 WLT720850:WLT720915 WVP720850:WVP720915 H786386:H786451 JD786386:JD786451 SZ786386:SZ786451 ACV786386:ACV786451 AMR786386:AMR786451 AWN786386:AWN786451 BGJ786386:BGJ786451 BQF786386:BQF786451 CAB786386:CAB786451 CJX786386:CJX786451 CTT786386:CTT786451 DDP786386:DDP786451 DNL786386:DNL786451 DXH786386:DXH786451 EHD786386:EHD786451 EQZ786386:EQZ786451 FAV786386:FAV786451 FKR786386:FKR786451 FUN786386:FUN786451 GEJ786386:GEJ786451 GOF786386:GOF786451 GYB786386:GYB786451 HHX786386:HHX786451 HRT786386:HRT786451 IBP786386:IBP786451 ILL786386:ILL786451 IVH786386:IVH786451 JFD786386:JFD786451 JOZ786386:JOZ786451 JYV786386:JYV786451 KIR786386:KIR786451 KSN786386:KSN786451 LCJ786386:LCJ786451 LMF786386:LMF786451 LWB786386:LWB786451 MFX786386:MFX786451 MPT786386:MPT786451 MZP786386:MZP786451 NJL786386:NJL786451 NTH786386:NTH786451 ODD786386:ODD786451 OMZ786386:OMZ786451 OWV786386:OWV786451 PGR786386:PGR786451 PQN786386:PQN786451 QAJ786386:QAJ786451 QKF786386:QKF786451 QUB786386:QUB786451 RDX786386:RDX786451 RNT786386:RNT786451 RXP786386:RXP786451 SHL786386:SHL786451 SRH786386:SRH786451 TBD786386:TBD786451 TKZ786386:TKZ786451 TUV786386:TUV786451 UER786386:UER786451 UON786386:UON786451 UYJ786386:UYJ786451 VIF786386:VIF786451 VSB786386:VSB786451 WBX786386:WBX786451 WLT786386:WLT786451 WVP786386:WVP786451 H851922:H851987 JD851922:JD851987 SZ851922:SZ851987 ACV851922:ACV851987 AMR851922:AMR851987 AWN851922:AWN851987 BGJ851922:BGJ851987 BQF851922:BQF851987 CAB851922:CAB851987 CJX851922:CJX851987 CTT851922:CTT851987 DDP851922:DDP851987 DNL851922:DNL851987 DXH851922:DXH851987 EHD851922:EHD851987 EQZ851922:EQZ851987 FAV851922:FAV851987 FKR851922:FKR851987 FUN851922:FUN851987 GEJ851922:GEJ851987 GOF851922:GOF851987 GYB851922:GYB851987 HHX851922:HHX851987 HRT851922:HRT851987 IBP851922:IBP851987 ILL851922:ILL851987 IVH851922:IVH851987 JFD851922:JFD851987 JOZ851922:JOZ851987 JYV851922:JYV851987 KIR851922:KIR851987 KSN851922:KSN851987 LCJ851922:LCJ851987 LMF851922:LMF851987 LWB851922:LWB851987 MFX851922:MFX851987 MPT851922:MPT851987 MZP851922:MZP851987 NJL851922:NJL851987 NTH851922:NTH851987 ODD851922:ODD851987 OMZ851922:OMZ851987 OWV851922:OWV851987 PGR851922:PGR851987 PQN851922:PQN851987 QAJ851922:QAJ851987 QKF851922:QKF851987 QUB851922:QUB851987 RDX851922:RDX851987 RNT851922:RNT851987 RXP851922:RXP851987 SHL851922:SHL851987 SRH851922:SRH851987 TBD851922:TBD851987 TKZ851922:TKZ851987 TUV851922:TUV851987 UER851922:UER851987 UON851922:UON851987 UYJ851922:UYJ851987 VIF851922:VIF851987 VSB851922:VSB851987 WBX851922:WBX851987 WLT851922:WLT851987 WVP851922:WVP851987 H917458:H917523 JD917458:JD917523 SZ917458:SZ917523 ACV917458:ACV917523 AMR917458:AMR917523 AWN917458:AWN917523 BGJ917458:BGJ917523 BQF917458:BQF917523 CAB917458:CAB917523 CJX917458:CJX917523 CTT917458:CTT917523 DDP917458:DDP917523 DNL917458:DNL917523 DXH917458:DXH917523 EHD917458:EHD917523 EQZ917458:EQZ917523 FAV917458:FAV917523 FKR917458:FKR917523 FUN917458:FUN917523 GEJ917458:GEJ917523 GOF917458:GOF917523 GYB917458:GYB917523 HHX917458:HHX917523 HRT917458:HRT917523 IBP917458:IBP917523 ILL917458:ILL917523 IVH917458:IVH917523 JFD917458:JFD917523 JOZ917458:JOZ917523 JYV917458:JYV917523 KIR917458:KIR917523 KSN917458:KSN917523 LCJ917458:LCJ917523 LMF917458:LMF917523 LWB917458:LWB917523 MFX917458:MFX917523 MPT917458:MPT917523 MZP917458:MZP917523 NJL917458:NJL917523 NTH917458:NTH917523 ODD917458:ODD917523 OMZ917458:OMZ917523 OWV917458:OWV917523 PGR917458:PGR917523 PQN917458:PQN917523 QAJ917458:QAJ917523 QKF917458:QKF917523 QUB917458:QUB917523 RDX917458:RDX917523 RNT917458:RNT917523 RXP917458:RXP917523 SHL917458:SHL917523 SRH917458:SRH917523 TBD917458:TBD917523 TKZ917458:TKZ917523 TUV917458:TUV917523 UER917458:UER917523 UON917458:UON917523 UYJ917458:UYJ917523 VIF917458:VIF917523 VSB917458:VSB917523 WBX917458:WBX917523 WLT917458:WLT917523 WVP917458:WVP917523 H982994:H983059 JD982994:JD983059 SZ982994:SZ983059 ACV982994:ACV983059 AMR982994:AMR983059 AWN982994:AWN983059 BGJ982994:BGJ983059 BQF982994:BQF983059 CAB982994:CAB983059 CJX982994:CJX983059 CTT982994:CTT983059 DDP982994:DDP983059 DNL982994:DNL983059 DXH982994:DXH983059 EHD982994:EHD983059 EQZ982994:EQZ983059 FAV982994:FAV983059 FKR982994:FKR983059 FUN982994:FUN983059 GEJ982994:GEJ983059 GOF982994:GOF983059 GYB982994:GYB983059 HHX982994:HHX983059 HRT982994:HRT983059 IBP982994:IBP983059 ILL982994:ILL983059 IVH982994:IVH983059 JFD982994:JFD983059 JOZ982994:JOZ983059 JYV982994:JYV983059 KIR982994:KIR983059 KSN982994:KSN983059 LCJ982994:LCJ983059 LMF982994:LMF983059 LWB982994:LWB983059 MFX982994:MFX983059 MPT982994:MPT983059 MZP982994:MZP983059 NJL982994:NJL983059 NTH982994:NTH983059 ODD982994:ODD983059 OMZ982994:OMZ983059 OWV982994:OWV983059 PGR982994:PGR983059 PQN982994:PQN983059 QAJ982994:QAJ983059 QKF982994:QKF983059 QUB982994:QUB983059 RDX982994:RDX983059 RNT982994:RNT983059 RXP982994:RXP983059 SHL982994:SHL983059 SRH982994:SRH983059 TBD982994:TBD983059 TKZ982994:TKZ983059 TUV982994:TUV983059 UER982994:UER983059 UON982994:UON983059 UYJ982994:UYJ983059 VIF982994:VIF983059 VSB982994:VSB983059 WBX982994:WBX983059 WLT982994:WLT983059 WLT2:WLT43 WVP2:WVP43 JD2:JD43 SZ2:SZ43 ACV2:ACV43 AMR2:AMR43 AWN2:AWN43 BGJ2:BGJ43 BQF2:BQF43 CAB2:CAB43 CJX2:CJX43 CTT2:CTT43 DDP2:DDP43 DNL2:DNL43 DXH2:DXH43 EHD2:EHD43 EQZ2:EQZ43 FAV2:FAV43 FKR2:FKR43 FUN2:FUN43 GEJ2:GEJ43 GOF2:GOF43 GYB2:GYB43 HHX2:HHX43 HRT2:HRT43 IBP2:IBP43 ILL2:ILL43 IVH2:IVH43 JFD2:JFD43 JOZ2:JOZ43 JYV2:JYV43 KIR2:KIR43 KSN2:KSN43 LCJ2:LCJ43 LMF2:LMF43 LWB2:LWB43 MFX2:MFX43 MPT2:MPT43 MZP2:MZP43 NJL2:NJL43 NTH2:NTH43 ODD2:ODD43 OMZ2:OMZ43 OWV2:OWV43 PGR2:PGR43 PQN2:PQN43 QAJ2:QAJ43 QKF2:QKF43 QUB2:QUB43 RDX2:RDX43 RNT2:RNT43 RXP2:RXP43 SHL2:SHL43 SRH2:SRH43 TBD2:TBD43 TKZ2:TKZ43 TUV2:TUV43 UER2:UER43 UON2:UON43 UYJ2:UYJ43 VIF2:VIF43 VSB2:VSB43 WBX2:WBX43" xr:uid="{BCCC6F66-EAA6-487E-A7B8-6414F9697E67}">
      <formula1>$AL$4:$AL$12</formula1>
    </dataValidation>
    <dataValidation type="list" allowBlank="1" showInputMessage="1" showErrorMessage="1" sqref="A64315:A64380 IW64315:IW64380 SS64315:SS64380 ACO64315:ACO64380 AMK64315:AMK64380 AWG64315:AWG64380 BGC64315:BGC64380 BPY64315:BPY64380 BZU64315:BZU64380 CJQ64315:CJQ64380 CTM64315:CTM64380 DDI64315:DDI64380 DNE64315:DNE64380 DXA64315:DXA64380 EGW64315:EGW64380 EQS64315:EQS64380 FAO64315:FAO64380 FKK64315:FKK64380 FUG64315:FUG64380 GEC64315:GEC64380 GNY64315:GNY64380 GXU64315:GXU64380 HHQ64315:HHQ64380 HRM64315:HRM64380 IBI64315:IBI64380 ILE64315:ILE64380 IVA64315:IVA64380 JEW64315:JEW64380 JOS64315:JOS64380 JYO64315:JYO64380 KIK64315:KIK64380 KSG64315:KSG64380 LCC64315:LCC64380 LLY64315:LLY64380 LVU64315:LVU64380 MFQ64315:MFQ64380 MPM64315:MPM64380 MZI64315:MZI64380 NJE64315:NJE64380 NTA64315:NTA64380 OCW64315:OCW64380 OMS64315:OMS64380 OWO64315:OWO64380 PGK64315:PGK64380 PQG64315:PQG64380 QAC64315:QAC64380 QJY64315:QJY64380 QTU64315:QTU64380 RDQ64315:RDQ64380 RNM64315:RNM64380 RXI64315:RXI64380 SHE64315:SHE64380 SRA64315:SRA64380 TAW64315:TAW64380 TKS64315:TKS64380 TUO64315:TUO64380 UEK64315:UEK64380 UOG64315:UOG64380 UYC64315:UYC64380 VHY64315:VHY64380 VRU64315:VRU64380 WBQ64315:WBQ64380 WLM64315:WLM64380 WVI64315:WVI64380 A129851:A129916 IW129851:IW129916 SS129851:SS129916 ACO129851:ACO129916 AMK129851:AMK129916 AWG129851:AWG129916 BGC129851:BGC129916 BPY129851:BPY129916 BZU129851:BZU129916 CJQ129851:CJQ129916 CTM129851:CTM129916 DDI129851:DDI129916 DNE129851:DNE129916 DXA129851:DXA129916 EGW129851:EGW129916 EQS129851:EQS129916 FAO129851:FAO129916 FKK129851:FKK129916 FUG129851:FUG129916 GEC129851:GEC129916 GNY129851:GNY129916 GXU129851:GXU129916 HHQ129851:HHQ129916 HRM129851:HRM129916 IBI129851:IBI129916 ILE129851:ILE129916 IVA129851:IVA129916 JEW129851:JEW129916 JOS129851:JOS129916 JYO129851:JYO129916 KIK129851:KIK129916 KSG129851:KSG129916 LCC129851:LCC129916 LLY129851:LLY129916 LVU129851:LVU129916 MFQ129851:MFQ129916 MPM129851:MPM129916 MZI129851:MZI129916 NJE129851:NJE129916 NTA129851:NTA129916 OCW129851:OCW129916 OMS129851:OMS129916 OWO129851:OWO129916 PGK129851:PGK129916 PQG129851:PQG129916 QAC129851:QAC129916 QJY129851:QJY129916 QTU129851:QTU129916 RDQ129851:RDQ129916 RNM129851:RNM129916 RXI129851:RXI129916 SHE129851:SHE129916 SRA129851:SRA129916 TAW129851:TAW129916 TKS129851:TKS129916 TUO129851:TUO129916 UEK129851:UEK129916 UOG129851:UOG129916 UYC129851:UYC129916 VHY129851:VHY129916 VRU129851:VRU129916 WBQ129851:WBQ129916 WLM129851:WLM129916 WVI129851:WVI129916 A195387:A195452 IW195387:IW195452 SS195387:SS195452 ACO195387:ACO195452 AMK195387:AMK195452 AWG195387:AWG195452 BGC195387:BGC195452 BPY195387:BPY195452 BZU195387:BZU195452 CJQ195387:CJQ195452 CTM195387:CTM195452 DDI195387:DDI195452 DNE195387:DNE195452 DXA195387:DXA195452 EGW195387:EGW195452 EQS195387:EQS195452 FAO195387:FAO195452 FKK195387:FKK195452 FUG195387:FUG195452 GEC195387:GEC195452 GNY195387:GNY195452 GXU195387:GXU195452 HHQ195387:HHQ195452 HRM195387:HRM195452 IBI195387:IBI195452 ILE195387:ILE195452 IVA195387:IVA195452 JEW195387:JEW195452 JOS195387:JOS195452 JYO195387:JYO195452 KIK195387:KIK195452 KSG195387:KSG195452 LCC195387:LCC195452 LLY195387:LLY195452 LVU195387:LVU195452 MFQ195387:MFQ195452 MPM195387:MPM195452 MZI195387:MZI195452 NJE195387:NJE195452 NTA195387:NTA195452 OCW195387:OCW195452 OMS195387:OMS195452 OWO195387:OWO195452 PGK195387:PGK195452 PQG195387:PQG195452 QAC195387:QAC195452 QJY195387:QJY195452 QTU195387:QTU195452 RDQ195387:RDQ195452 RNM195387:RNM195452 RXI195387:RXI195452 SHE195387:SHE195452 SRA195387:SRA195452 TAW195387:TAW195452 TKS195387:TKS195452 TUO195387:TUO195452 UEK195387:UEK195452 UOG195387:UOG195452 UYC195387:UYC195452 VHY195387:VHY195452 VRU195387:VRU195452 WBQ195387:WBQ195452 WLM195387:WLM195452 WVI195387:WVI195452 A260923:A260988 IW260923:IW260988 SS260923:SS260988 ACO260923:ACO260988 AMK260923:AMK260988 AWG260923:AWG260988 BGC260923:BGC260988 BPY260923:BPY260988 BZU260923:BZU260988 CJQ260923:CJQ260988 CTM260923:CTM260988 DDI260923:DDI260988 DNE260923:DNE260988 DXA260923:DXA260988 EGW260923:EGW260988 EQS260923:EQS260988 FAO260923:FAO260988 FKK260923:FKK260988 FUG260923:FUG260988 GEC260923:GEC260988 GNY260923:GNY260988 GXU260923:GXU260988 HHQ260923:HHQ260988 HRM260923:HRM260988 IBI260923:IBI260988 ILE260923:ILE260988 IVA260923:IVA260988 JEW260923:JEW260988 JOS260923:JOS260988 JYO260923:JYO260988 KIK260923:KIK260988 KSG260923:KSG260988 LCC260923:LCC260988 LLY260923:LLY260988 LVU260923:LVU260988 MFQ260923:MFQ260988 MPM260923:MPM260988 MZI260923:MZI260988 NJE260923:NJE260988 NTA260923:NTA260988 OCW260923:OCW260988 OMS260923:OMS260988 OWO260923:OWO260988 PGK260923:PGK260988 PQG260923:PQG260988 QAC260923:QAC260988 QJY260923:QJY260988 QTU260923:QTU260988 RDQ260923:RDQ260988 RNM260923:RNM260988 RXI260923:RXI260988 SHE260923:SHE260988 SRA260923:SRA260988 TAW260923:TAW260988 TKS260923:TKS260988 TUO260923:TUO260988 UEK260923:UEK260988 UOG260923:UOG260988 UYC260923:UYC260988 VHY260923:VHY260988 VRU260923:VRU260988 WBQ260923:WBQ260988 WLM260923:WLM260988 WVI260923:WVI260988 A326459:A326524 IW326459:IW326524 SS326459:SS326524 ACO326459:ACO326524 AMK326459:AMK326524 AWG326459:AWG326524 BGC326459:BGC326524 BPY326459:BPY326524 BZU326459:BZU326524 CJQ326459:CJQ326524 CTM326459:CTM326524 DDI326459:DDI326524 DNE326459:DNE326524 DXA326459:DXA326524 EGW326459:EGW326524 EQS326459:EQS326524 FAO326459:FAO326524 FKK326459:FKK326524 FUG326459:FUG326524 GEC326459:GEC326524 GNY326459:GNY326524 GXU326459:GXU326524 HHQ326459:HHQ326524 HRM326459:HRM326524 IBI326459:IBI326524 ILE326459:ILE326524 IVA326459:IVA326524 JEW326459:JEW326524 JOS326459:JOS326524 JYO326459:JYO326524 KIK326459:KIK326524 KSG326459:KSG326524 LCC326459:LCC326524 LLY326459:LLY326524 LVU326459:LVU326524 MFQ326459:MFQ326524 MPM326459:MPM326524 MZI326459:MZI326524 NJE326459:NJE326524 NTA326459:NTA326524 OCW326459:OCW326524 OMS326459:OMS326524 OWO326459:OWO326524 PGK326459:PGK326524 PQG326459:PQG326524 QAC326459:QAC326524 QJY326459:QJY326524 QTU326459:QTU326524 RDQ326459:RDQ326524 RNM326459:RNM326524 RXI326459:RXI326524 SHE326459:SHE326524 SRA326459:SRA326524 TAW326459:TAW326524 TKS326459:TKS326524 TUO326459:TUO326524 UEK326459:UEK326524 UOG326459:UOG326524 UYC326459:UYC326524 VHY326459:VHY326524 VRU326459:VRU326524 WBQ326459:WBQ326524 WLM326459:WLM326524 WVI326459:WVI326524 A391995:A392060 IW391995:IW392060 SS391995:SS392060 ACO391995:ACO392060 AMK391995:AMK392060 AWG391995:AWG392060 BGC391995:BGC392060 BPY391995:BPY392060 BZU391995:BZU392060 CJQ391995:CJQ392060 CTM391995:CTM392060 DDI391995:DDI392060 DNE391995:DNE392060 DXA391995:DXA392060 EGW391995:EGW392060 EQS391995:EQS392060 FAO391995:FAO392060 FKK391995:FKK392060 FUG391995:FUG392060 GEC391995:GEC392060 GNY391995:GNY392060 GXU391995:GXU392060 HHQ391995:HHQ392060 HRM391995:HRM392060 IBI391995:IBI392060 ILE391995:ILE392060 IVA391995:IVA392060 JEW391995:JEW392060 JOS391995:JOS392060 JYO391995:JYO392060 KIK391995:KIK392060 KSG391995:KSG392060 LCC391995:LCC392060 LLY391995:LLY392060 LVU391995:LVU392060 MFQ391995:MFQ392060 MPM391995:MPM392060 MZI391995:MZI392060 NJE391995:NJE392060 NTA391995:NTA392060 OCW391995:OCW392060 OMS391995:OMS392060 OWO391995:OWO392060 PGK391995:PGK392060 PQG391995:PQG392060 QAC391995:QAC392060 QJY391995:QJY392060 QTU391995:QTU392060 RDQ391995:RDQ392060 RNM391995:RNM392060 RXI391995:RXI392060 SHE391995:SHE392060 SRA391995:SRA392060 TAW391995:TAW392060 TKS391995:TKS392060 TUO391995:TUO392060 UEK391995:UEK392060 UOG391995:UOG392060 UYC391995:UYC392060 VHY391995:VHY392060 VRU391995:VRU392060 WBQ391995:WBQ392060 WLM391995:WLM392060 WVI391995:WVI392060 A457531:A457596 IW457531:IW457596 SS457531:SS457596 ACO457531:ACO457596 AMK457531:AMK457596 AWG457531:AWG457596 BGC457531:BGC457596 BPY457531:BPY457596 BZU457531:BZU457596 CJQ457531:CJQ457596 CTM457531:CTM457596 DDI457531:DDI457596 DNE457531:DNE457596 DXA457531:DXA457596 EGW457531:EGW457596 EQS457531:EQS457596 FAO457531:FAO457596 FKK457531:FKK457596 FUG457531:FUG457596 GEC457531:GEC457596 GNY457531:GNY457596 GXU457531:GXU457596 HHQ457531:HHQ457596 HRM457531:HRM457596 IBI457531:IBI457596 ILE457531:ILE457596 IVA457531:IVA457596 JEW457531:JEW457596 JOS457531:JOS457596 JYO457531:JYO457596 KIK457531:KIK457596 KSG457531:KSG457596 LCC457531:LCC457596 LLY457531:LLY457596 LVU457531:LVU457596 MFQ457531:MFQ457596 MPM457531:MPM457596 MZI457531:MZI457596 NJE457531:NJE457596 NTA457531:NTA457596 OCW457531:OCW457596 OMS457531:OMS457596 OWO457531:OWO457596 PGK457531:PGK457596 PQG457531:PQG457596 QAC457531:QAC457596 QJY457531:QJY457596 QTU457531:QTU457596 RDQ457531:RDQ457596 RNM457531:RNM457596 RXI457531:RXI457596 SHE457531:SHE457596 SRA457531:SRA457596 TAW457531:TAW457596 TKS457531:TKS457596 TUO457531:TUO457596 UEK457531:UEK457596 UOG457531:UOG457596 UYC457531:UYC457596 VHY457531:VHY457596 VRU457531:VRU457596 WBQ457531:WBQ457596 WLM457531:WLM457596 WVI457531:WVI457596 A523067:A523132 IW523067:IW523132 SS523067:SS523132 ACO523067:ACO523132 AMK523067:AMK523132 AWG523067:AWG523132 BGC523067:BGC523132 BPY523067:BPY523132 BZU523067:BZU523132 CJQ523067:CJQ523132 CTM523067:CTM523132 DDI523067:DDI523132 DNE523067:DNE523132 DXA523067:DXA523132 EGW523067:EGW523132 EQS523067:EQS523132 FAO523067:FAO523132 FKK523067:FKK523132 FUG523067:FUG523132 GEC523067:GEC523132 GNY523067:GNY523132 GXU523067:GXU523132 HHQ523067:HHQ523132 HRM523067:HRM523132 IBI523067:IBI523132 ILE523067:ILE523132 IVA523067:IVA523132 JEW523067:JEW523132 JOS523067:JOS523132 JYO523067:JYO523132 KIK523067:KIK523132 KSG523067:KSG523132 LCC523067:LCC523132 LLY523067:LLY523132 LVU523067:LVU523132 MFQ523067:MFQ523132 MPM523067:MPM523132 MZI523067:MZI523132 NJE523067:NJE523132 NTA523067:NTA523132 OCW523067:OCW523132 OMS523067:OMS523132 OWO523067:OWO523132 PGK523067:PGK523132 PQG523067:PQG523132 QAC523067:QAC523132 QJY523067:QJY523132 QTU523067:QTU523132 RDQ523067:RDQ523132 RNM523067:RNM523132 RXI523067:RXI523132 SHE523067:SHE523132 SRA523067:SRA523132 TAW523067:TAW523132 TKS523067:TKS523132 TUO523067:TUO523132 UEK523067:UEK523132 UOG523067:UOG523132 UYC523067:UYC523132 VHY523067:VHY523132 VRU523067:VRU523132 WBQ523067:WBQ523132 WLM523067:WLM523132 WVI523067:WVI523132 A588603:A588668 IW588603:IW588668 SS588603:SS588668 ACO588603:ACO588668 AMK588603:AMK588668 AWG588603:AWG588668 BGC588603:BGC588668 BPY588603:BPY588668 BZU588603:BZU588668 CJQ588603:CJQ588668 CTM588603:CTM588668 DDI588603:DDI588668 DNE588603:DNE588668 DXA588603:DXA588668 EGW588603:EGW588668 EQS588603:EQS588668 FAO588603:FAO588668 FKK588603:FKK588668 FUG588603:FUG588668 GEC588603:GEC588668 GNY588603:GNY588668 GXU588603:GXU588668 HHQ588603:HHQ588668 HRM588603:HRM588668 IBI588603:IBI588668 ILE588603:ILE588668 IVA588603:IVA588668 JEW588603:JEW588668 JOS588603:JOS588668 JYO588603:JYO588668 KIK588603:KIK588668 KSG588603:KSG588668 LCC588603:LCC588668 LLY588603:LLY588668 LVU588603:LVU588668 MFQ588603:MFQ588668 MPM588603:MPM588668 MZI588603:MZI588668 NJE588603:NJE588668 NTA588603:NTA588668 OCW588603:OCW588668 OMS588603:OMS588668 OWO588603:OWO588668 PGK588603:PGK588668 PQG588603:PQG588668 QAC588603:QAC588668 QJY588603:QJY588668 QTU588603:QTU588668 RDQ588603:RDQ588668 RNM588603:RNM588668 RXI588603:RXI588668 SHE588603:SHE588668 SRA588603:SRA588668 TAW588603:TAW588668 TKS588603:TKS588668 TUO588603:TUO588668 UEK588603:UEK588668 UOG588603:UOG588668 UYC588603:UYC588668 VHY588603:VHY588668 VRU588603:VRU588668 WBQ588603:WBQ588668 WLM588603:WLM588668 WVI588603:WVI588668 A654139:A654204 IW654139:IW654204 SS654139:SS654204 ACO654139:ACO654204 AMK654139:AMK654204 AWG654139:AWG654204 BGC654139:BGC654204 BPY654139:BPY654204 BZU654139:BZU654204 CJQ654139:CJQ654204 CTM654139:CTM654204 DDI654139:DDI654204 DNE654139:DNE654204 DXA654139:DXA654204 EGW654139:EGW654204 EQS654139:EQS654204 FAO654139:FAO654204 FKK654139:FKK654204 FUG654139:FUG654204 GEC654139:GEC654204 GNY654139:GNY654204 GXU654139:GXU654204 HHQ654139:HHQ654204 HRM654139:HRM654204 IBI654139:IBI654204 ILE654139:ILE654204 IVA654139:IVA654204 JEW654139:JEW654204 JOS654139:JOS654204 JYO654139:JYO654204 KIK654139:KIK654204 KSG654139:KSG654204 LCC654139:LCC654204 LLY654139:LLY654204 LVU654139:LVU654204 MFQ654139:MFQ654204 MPM654139:MPM654204 MZI654139:MZI654204 NJE654139:NJE654204 NTA654139:NTA654204 OCW654139:OCW654204 OMS654139:OMS654204 OWO654139:OWO654204 PGK654139:PGK654204 PQG654139:PQG654204 QAC654139:QAC654204 QJY654139:QJY654204 QTU654139:QTU654204 RDQ654139:RDQ654204 RNM654139:RNM654204 RXI654139:RXI654204 SHE654139:SHE654204 SRA654139:SRA654204 TAW654139:TAW654204 TKS654139:TKS654204 TUO654139:TUO654204 UEK654139:UEK654204 UOG654139:UOG654204 UYC654139:UYC654204 VHY654139:VHY654204 VRU654139:VRU654204 WBQ654139:WBQ654204 WLM654139:WLM654204 WVI654139:WVI654204 A719675:A719740 IW719675:IW719740 SS719675:SS719740 ACO719675:ACO719740 AMK719675:AMK719740 AWG719675:AWG719740 BGC719675:BGC719740 BPY719675:BPY719740 BZU719675:BZU719740 CJQ719675:CJQ719740 CTM719675:CTM719740 DDI719675:DDI719740 DNE719675:DNE719740 DXA719675:DXA719740 EGW719675:EGW719740 EQS719675:EQS719740 FAO719675:FAO719740 FKK719675:FKK719740 FUG719675:FUG719740 GEC719675:GEC719740 GNY719675:GNY719740 GXU719675:GXU719740 HHQ719675:HHQ719740 HRM719675:HRM719740 IBI719675:IBI719740 ILE719675:ILE719740 IVA719675:IVA719740 JEW719675:JEW719740 JOS719675:JOS719740 JYO719675:JYO719740 KIK719675:KIK719740 KSG719675:KSG719740 LCC719675:LCC719740 LLY719675:LLY719740 LVU719675:LVU719740 MFQ719675:MFQ719740 MPM719675:MPM719740 MZI719675:MZI719740 NJE719675:NJE719740 NTA719675:NTA719740 OCW719675:OCW719740 OMS719675:OMS719740 OWO719675:OWO719740 PGK719675:PGK719740 PQG719675:PQG719740 QAC719675:QAC719740 QJY719675:QJY719740 QTU719675:QTU719740 RDQ719675:RDQ719740 RNM719675:RNM719740 RXI719675:RXI719740 SHE719675:SHE719740 SRA719675:SRA719740 TAW719675:TAW719740 TKS719675:TKS719740 TUO719675:TUO719740 UEK719675:UEK719740 UOG719675:UOG719740 UYC719675:UYC719740 VHY719675:VHY719740 VRU719675:VRU719740 WBQ719675:WBQ719740 WLM719675:WLM719740 WVI719675:WVI719740 A785211:A785276 IW785211:IW785276 SS785211:SS785276 ACO785211:ACO785276 AMK785211:AMK785276 AWG785211:AWG785276 BGC785211:BGC785276 BPY785211:BPY785276 BZU785211:BZU785276 CJQ785211:CJQ785276 CTM785211:CTM785276 DDI785211:DDI785276 DNE785211:DNE785276 DXA785211:DXA785276 EGW785211:EGW785276 EQS785211:EQS785276 FAO785211:FAO785276 FKK785211:FKK785276 FUG785211:FUG785276 GEC785211:GEC785276 GNY785211:GNY785276 GXU785211:GXU785276 HHQ785211:HHQ785276 HRM785211:HRM785276 IBI785211:IBI785276 ILE785211:ILE785276 IVA785211:IVA785276 JEW785211:JEW785276 JOS785211:JOS785276 JYO785211:JYO785276 KIK785211:KIK785276 KSG785211:KSG785276 LCC785211:LCC785276 LLY785211:LLY785276 LVU785211:LVU785276 MFQ785211:MFQ785276 MPM785211:MPM785276 MZI785211:MZI785276 NJE785211:NJE785276 NTA785211:NTA785276 OCW785211:OCW785276 OMS785211:OMS785276 OWO785211:OWO785276 PGK785211:PGK785276 PQG785211:PQG785276 QAC785211:QAC785276 QJY785211:QJY785276 QTU785211:QTU785276 RDQ785211:RDQ785276 RNM785211:RNM785276 RXI785211:RXI785276 SHE785211:SHE785276 SRA785211:SRA785276 TAW785211:TAW785276 TKS785211:TKS785276 TUO785211:TUO785276 UEK785211:UEK785276 UOG785211:UOG785276 UYC785211:UYC785276 VHY785211:VHY785276 VRU785211:VRU785276 WBQ785211:WBQ785276 WLM785211:WLM785276 WVI785211:WVI785276 A850747:A850812 IW850747:IW850812 SS850747:SS850812 ACO850747:ACO850812 AMK850747:AMK850812 AWG850747:AWG850812 BGC850747:BGC850812 BPY850747:BPY850812 BZU850747:BZU850812 CJQ850747:CJQ850812 CTM850747:CTM850812 DDI850747:DDI850812 DNE850747:DNE850812 DXA850747:DXA850812 EGW850747:EGW850812 EQS850747:EQS850812 FAO850747:FAO850812 FKK850747:FKK850812 FUG850747:FUG850812 GEC850747:GEC850812 GNY850747:GNY850812 GXU850747:GXU850812 HHQ850747:HHQ850812 HRM850747:HRM850812 IBI850747:IBI850812 ILE850747:ILE850812 IVA850747:IVA850812 JEW850747:JEW850812 JOS850747:JOS850812 JYO850747:JYO850812 KIK850747:KIK850812 KSG850747:KSG850812 LCC850747:LCC850812 LLY850747:LLY850812 LVU850747:LVU850812 MFQ850747:MFQ850812 MPM850747:MPM850812 MZI850747:MZI850812 NJE850747:NJE850812 NTA850747:NTA850812 OCW850747:OCW850812 OMS850747:OMS850812 OWO850747:OWO850812 PGK850747:PGK850812 PQG850747:PQG850812 QAC850747:QAC850812 QJY850747:QJY850812 QTU850747:QTU850812 RDQ850747:RDQ850812 RNM850747:RNM850812 RXI850747:RXI850812 SHE850747:SHE850812 SRA850747:SRA850812 TAW850747:TAW850812 TKS850747:TKS850812 TUO850747:TUO850812 UEK850747:UEK850812 UOG850747:UOG850812 UYC850747:UYC850812 VHY850747:VHY850812 VRU850747:VRU850812 WBQ850747:WBQ850812 WLM850747:WLM850812 WVI850747:WVI850812 A916283:A916348 IW916283:IW916348 SS916283:SS916348 ACO916283:ACO916348 AMK916283:AMK916348 AWG916283:AWG916348 BGC916283:BGC916348 BPY916283:BPY916348 BZU916283:BZU916348 CJQ916283:CJQ916348 CTM916283:CTM916348 DDI916283:DDI916348 DNE916283:DNE916348 DXA916283:DXA916348 EGW916283:EGW916348 EQS916283:EQS916348 FAO916283:FAO916348 FKK916283:FKK916348 FUG916283:FUG916348 GEC916283:GEC916348 GNY916283:GNY916348 GXU916283:GXU916348 HHQ916283:HHQ916348 HRM916283:HRM916348 IBI916283:IBI916348 ILE916283:ILE916348 IVA916283:IVA916348 JEW916283:JEW916348 JOS916283:JOS916348 JYO916283:JYO916348 KIK916283:KIK916348 KSG916283:KSG916348 LCC916283:LCC916348 LLY916283:LLY916348 LVU916283:LVU916348 MFQ916283:MFQ916348 MPM916283:MPM916348 MZI916283:MZI916348 NJE916283:NJE916348 NTA916283:NTA916348 OCW916283:OCW916348 OMS916283:OMS916348 OWO916283:OWO916348 PGK916283:PGK916348 PQG916283:PQG916348 QAC916283:QAC916348 QJY916283:QJY916348 QTU916283:QTU916348 RDQ916283:RDQ916348 RNM916283:RNM916348 RXI916283:RXI916348 SHE916283:SHE916348 SRA916283:SRA916348 TAW916283:TAW916348 TKS916283:TKS916348 TUO916283:TUO916348 UEK916283:UEK916348 UOG916283:UOG916348 UYC916283:UYC916348 VHY916283:VHY916348 VRU916283:VRU916348 WBQ916283:WBQ916348 WLM916283:WLM916348 WVI916283:WVI916348 A981819:A981884 IW981819:IW981884 SS981819:SS981884 ACO981819:ACO981884 AMK981819:AMK981884 AWG981819:AWG981884 BGC981819:BGC981884 BPY981819:BPY981884 BZU981819:BZU981884 CJQ981819:CJQ981884 CTM981819:CTM981884 DDI981819:DDI981884 DNE981819:DNE981884 DXA981819:DXA981884 EGW981819:EGW981884 EQS981819:EQS981884 FAO981819:FAO981884 FKK981819:FKK981884 FUG981819:FUG981884 GEC981819:GEC981884 GNY981819:GNY981884 GXU981819:GXU981884 HHQ981819:HHQ981884 HRM981819:HRM981884 IBI981819:IBI981884 ILE981819:ILE981884 IVA981819:IVA981884 JEW981819:JEW981884 JOS981819:JOS981884 JYO981819:JYO981884 KIK981819:KIK981884 KSG981819:KSG981884 LCC981819:LCC981884 LLY981819:LLY981884 LVU981819:LVU981884 MFQ981819:MFQ981884 MPM981819:MPM981884 MZI981819:MZI981884 NJE981819:NJE981884 NTA981819:NTA981884 OCW981819:OCW981884 OMS981819:OMS981884 OWO981819:OWO981884 PGK981819:PGK981884 PQG981819:PQG981884 QAC981819:QAC981884 QJY981819:QJY981884 QTU981819:QTU981884 RDQ981819:RDQ981884 RNM981819:RNM981884 RXI981819:RXI981884 SHE981819:SHE981884 SRA981819:SRA981884 TAW981819:TAW981884 TKS981819:TKS981884 TUO981819:TUO981884 UEK981819:UEK981884 UOG981819:UOG981884 UYC981819:UYC981884 VHY981819:VHY981884 VRU981819:VRU981884 WBQ981819:WBQ981884 WLM981819:WLM981884 WVI981819:WVI981884 A1047355:A1047420 IW1047355:IW1047420 SS1047355:SS1047420 ACO1047355:ACO1047420 AMK1047355:AMK1047420 AWG1047355:AWG1047420 BGC1047355:BGC1047420 BPY1047355:BPY1047420 BZU1047355:BZU1047420 CJQ1047355:CJQ1047420 CTM1047355:CTM1047420 DDI1047355:DDI1047420 DNE1047355:DNE1047420 DXA1047355:DXA1047420 EGW1047355:EGW1047420 EQS1047355:EQS1047420 FAO1047355:FAO1047420 FKK1047355:FKK1047420 FUG1047355:FUG1047420 GEC1047355:GEC1047420 GNY1047355:GNY1047420 GXU1047355:GXU1047420 HHQ1047355:HHQ1047420 HRM1047355:HRM1047420 IBI1047355:IBI1047420 ILE1047355:ILE1047420 IVA1047355:IVA1047420 JEW1047355:JEW1047420 JOS1047355:JOS1047420 JYO1047355:JYO1047420 KIK1047355:KIK1047420 KSG1047355:KSG1047420 LCC1047355:LCC1047420 LLY1047355:LLY1047420 LVU1047355:LVU1047420 MFQ1047355:MFQ1047420 MPM1047355:MPM1047420 MZI1047355:MZI1047420 NJE1047355:NJE1047420 NTA1047355:NTA1047420 OCW1047355:OCW1047420 OMS1047355:OMS1047420 OWO1047355:OWO1047420 PGK1047355:PGK1047420 PQG1047355:PQG1047420 QAC1047355:QAC1047420 QJY1047355:QJY1047420 QTU1047355:QTU1047420 RDQ1047355:RDQ1047420 RNM1047355:RNM1047420 RXI1047355:RXI1047420 SHE1047355:SHE1047420 SRA1047355:SRA1047420 TAW1047355:TAW1047420 TKS1047355:TKS1047420 TUO1047355:TUO1047420 UEK1047355:UEK1047420 UOG1047355:UOG1047420 UYC1047355:UYC1047420 VHY1047355:VHY1047420 VRU1047355:VRU1047420 WBQ1047355:WBQ1047420 WLM1047355:WLM1047420 WVI1047355:WVI1047420 WVI982994:WVI983065 A65490:A65561 IW65490:IW65561 SS65490:SS65561 ACO65490:ACO65561 AMK65490:AMK65561 AWG65490:AWG65561 BGC65490:BGC65561 BPY65490:BPY65561 BZU65490:BZU65561 CJQ65490:CJQ65561 CTM65490:CTM65561 DDI65490:DDI65561 DNE65490:DNE65561 DXA65490:DXA65561 EGW65490:EGW65561 EQS65490:EQS65561 FAO65490:FAO65561 FKK65490:FKK65561 FUG65490:FUG65561 GEC65490:GEC65561 GNY65490:GNY65561 GXU65490:GXU65561 HHQ65490:HHQ65561 HRM65490:HRM65561 IBI65490:IBI65561 ILE65490:ILE65561 IVA65490:IVA65561 JEW65490:JEW65561 JOS65490:JOS65561 JYO65490:JYO65561 KIK65490:KIK65561 KSG65490:KSG65561 LCC65490:LCC65561 LLY65490:LLY65561 LVU65490:LVU65561 MFQ65490:MFQ65561 MPM65490:MPM65561 MZI65490:MZI65561 NJE65490:NJE65561 NTA65490:NTA65561 OCW65490:OCW65561 OMS65490:OMS65561 OWO65490:OWO65561 PGK65490:PGK65561 PQG65490:PQG65561 QAC65490:QAC65561 QJY65490:QJY65561 QTU65490:QTU65561 RDQ65490:RDQ65561 RNM65490:RNM65561 RXI65490:RXI65561 SHE65490:SHE65561 SRA65490:SRA65561 TAW65490:TAW65561 TKS65490:TKS65561 TUO65490:TUO65561 UEK65490:UEK65561 UOG65490:UOG65561 UYC65490:UYC65561 VHY65490:VHY65561 VRU65490:VRU65561 WBQ65490:WBQ65561 WLM65490:WLM65561 WVI65490:WVI65561 A131026:A131097 IW131026:IW131097 SS131026:SS131097 ACO131026:ACO131097 AMK131026:AMK131097 AWG131026:AWG131097 BGC131026:BGC131097 BPY131026:BPY131097 BZU131026:BZU131097 CJQ131026:CJQ131097 CTM131026:CTM131097 DDI131026:DDI131097 DNE131026:DNE131097 DXA131026:DXA131097 EGW131026:EGW131097 EQS131026:EQS131097 FAO131026:FAO131097 FKK131026:FKK131097 FUG131026:FUG131097 GEC131026:GEC131097 GNY131026:GNY131097 GXU131026:GXU131097 HHQ131026:HHQ131097 HRM131026:HRM131097 IBI131026:IBI131097 ILE131026:ILE131097 IVA131026:IVA131097 JEW131026:JEW131097 JOS131026:JOS131097 JYO131026:JYO131097 KIK131026:KIK131097 KSG131026:KSG131097 LCC131026:LCC131097 LLY131026:LLY131097 LVU131026:LVU131097 MFQ131026:MFQ131097 MPM131026:MPM131097 MZI131026:MZI131097 NJE131026:NJE131097 NTA131026:NTA131097 OCW131026:OCW131097 OMS131026:OMS131097 OWO131026:OWO131097 PGK131026:PGK131097 PQG131026:PQG131097 QAC131026:QAC131097 QJY131026:QJY131097 QTU131026:QTU131097 RDQ131026:RDQ131097 RNM131026:RNM131097 RXI131026:RXI131097 SHE131026:SHE131097 SRA131026:SRA131097 TAW131026:TAW131097 TKS131026:TKS131097 TUO131026:TUO131097 UEK131026:UEK131097 UOG131026:UOG131097 UYC131026:UYC131097 VHY131026:VHY131097 VRU131026:VRU131097 WBQ131026:WBQ131097 WLM131026:WLM131097 WVI131026:WVI131097 A196562:A196633 IW196562:IW196633 SS196562:SS196633 ACO196562:ACO196633 AMK196562:AMK196633 AWG196562:AWG196633 BGC196562:BGC196633 BPY196562:BPY196633 BZU196562:BZU196633 CJQ196562:CJQ196633 CTM196562:CTM196633 DDI196562:DDI196633 DNE196562:DNE196633 DXA196562:DXA196633 EGW196562:EGW196633 EQS196562:EQS196633 FAO196562:FAO196633 FKK196562:FKK196633 FUG196562:FUG196633 GEC196562:GEC196633 GNY196562:GNY196633 GXU196562:GXU196633 HHQ196562:HHQ196633 HRM196562:HRM196633 IBI196562:IBI196633 ILE196562:ILE196633 IVA196562:IVA196633 JEW196562:JEW196633 JOS196562:JOS196633 JYO196562:JYO196633 KIK196562:KIK196633 KSG196562:KSG196633 LCC196562:LCC196633 LLY196562:LLY196633 LVU196562:LVU196633 MFQ196562:MFQ196633 MPM196562:MPM196633 MZI196562:MZI196633 NJE196562:NJE196633 NTA196562:NTA196633 OCW196562:OCW196633 OMS196562:OMS196633 OWO196562:OWO196633 PGK196562:PGK196633 PQG196562:PQG196633 QAC196562:QAC196633 QJY196562:QJY196633 QTU196562:QTU196633 RDQ196562:RDQ196633 RNM196562:RNM196633 RXI196562:RXI196633 SHE196562:SHE196633 SRA196562:SRA196633 TAW196562:TAW196633 TKS196562:TKS196633 TUO196562:TUO196633 UEK196562:UEK196633 UOG196562:UOG196633 UYC196562:UYC196633 VHY196562:VHY196633 VRU196562:VRU196633 WBQ196562:WBQ196633 WLM196562:WLM196633 WVI196562:WVI196633 A262098:A262169 IW262098:IW262169 SS262098:SS262169 ACO262098:ACO262169 AMK262098:AMK262169 AWG262098:AWG262169 BGC262098:BGC262169 BPY262098:BPY262169 BZU262098:BZU262169 CJQ262098:CJQ262169 CTM262098:CTM262169 DDI262098:DDI262169 DNE262098:DNE262169 DXA262098:DXA262169 EGW262098:EGW262169 EQS262098:EQS262169 FAO262098:FAO262169 FKK262098:FKK262169 FUG262098:FUG262169 GEC262098:GEC262169 GNY262098:GNY262169 GXU262098:GXU262169 HHQ262098:HHQ262169 HRM262098:HRM262169 IBI262098:IBI262169 ILE262098:ILE262169 IVA262098:IVA262169 JEW262098:JEW262169 JOS262098:JOS262169 JYO262098:JYO262169 KIK262098:KIK262169 KSG262098:KSG262169 LCC262098:LCC262169 LLY262098:LLY262169 LVU262098:LVU262169 MFQ262098:MFQ262169 MPM262098:MPM262169 MZI262098:MZI262169 NJE262098:NJE262169 NTA262098:NTA262169 OCW262098:OCW262169 OMS262098:OMS262169 OWO262098:OWO262169 PGK262098:PGK262169 PQG262098:PQG262169 QAC262098:QAC262169 QJY262098:QJY262169 QTU262098:QTU262169 RDQ262098:RDQ262169 RNM262098:RNM262169 RXI262098:RXI262169 SHE262098:SHE262169 SRA262098:SRA262169 TAW262098:TAW262169 TKS262098:TKS262169 TUO262098:TUO262169 UEK262098:UEK262169 UOG262098:UOG262169 UYC262098:UYC262169 VHY262098:VHY262169 VRU262098:VRU262169 WBQ262098:WBQ262169 WLM262098:WLM262169 WVI262098:WVI262169 A327634:A327705 IW327634:IW327705 SS327634:SS327705 ACO327634:ACO327705 AMK327634:AMK327705 AWG327634:AWG327705 BGC327634:BGC327705 BPY327634:BPY327705 BZU327634:BZU327705 CJQ327634:CJQ327705 CTM327634:CTM327705 DDI327634:DDI327705 DNE327634:DNE327705 DXA327634:DXA327705 EGW327634:EGW327705 EQS327634:EQS327705 FAO327634:FAO327705 FKK327634:FKK327705 FUG327634:FUG327705 GEC327634:GEC327705 GNY327634:GNY327705 GXU327634:GXU327705 HHQ327634:HHQ327705 HRM327634:HRM327705 IBI327634:IBI327705 ILE327634:ILE327705 IVA327634:IVA327705 JEW327634:JEW327705 JOS327634:JOS327705 JYO327634:JYO327705 KIK327634:KIK327705 KSG327634:KSG327705 LCC327634:LCC327705 LLY327634:LLY327705 LVU327634:LVU327705 MFQ327634:MFQ327705 MPM327634:MPM327705 MZI327634:MZI327705 NJE327634:NJE327705 NTA327634:NTA327705 OCW327634:OCW327705 OMS327634:OMS327705 OWO327634:OWO327705 PGK327634:PGK327705 PQG327634:PQG327705 QAC327634:QAC327705 QJY327634:QJY327705 QTU327634:QTU327705 RDQ327634:RDQ327705 RNM327634:RNM327705 RXI327634:RXI327705 SHE327634:SHE327705 SRA327634:SRA327705 TAW327634:TAW327705 TKS327634:TKS327705 TUO327634:TUO327705 UEK327634:UEK327705 UOG327634:UOG327705 UYC327634:UYC327705 VHY327634:VHY327705 VRU327634:VRU327705 WBQ327634:WBQ327705 WLM327634:WLM327705 WVI327634:WVI327705 A393170:A393241 IW393170:IW393241 SS393170:SS393241 ACO393170:ACO393241 AMK393170:AMK393241 AWG393170:AWG393241 BGC393170:BGC393241 BPY393170:BPY393241 BZU393170:BZU393241 CJQ393170:CJQ393241 CTM393170:CTM393241 DDI393170:DDI393241 DNE393170:DNE393241 DXA393170:DXA393241 EGW393170:EGW393241 EQS393170:EQS393241 FAO393170:FAO393241 FKK393170:FKK393241 FUG393170:FUG393241 GEC393170:GEC393241 GNY393170:GNY393241 GXU393170:GXU393241 HHQ393170:HHQ393241 HRM393170:HRM393241 IBI393170:IBI393241 ILE393170:ILE393241 IVA393170:IVA393241 JEW393170:JEW393241 JOS393170:JOS393241 JYO393170:JYO393241 KIK393170:KIK393241 KSG393170:KSG393241 LCC393170:LCC393241 LLY393170:LLY393241 LVU393170:LVU393241 MFQ393170:MFQ393241 MPM393170:MPM393241 MZI393170:MZI393241 NJE393170:NJE393241 NTA393170:NTA393241 OCW393170:OCW393241 OMS393170:OMS393241 OWO393170:OWO393241 PGK393170:PGK393241 PQG393170:PQG393241 QAC393170:QAC393241 QJY393170:QJY393241 QTU393170:QTU393241 RDQ393170:RDQ393241 RNM393170:RNM393241 RXI393170:RXI393241 SHE393170:SHE393241 SRA393170:SRA393241 TAW393170:TAW393241 TKS393170:TKS393241 TUO393170:TUO393241 UEK393170:UEK393241 UOG393170:UOG393241 UYC393170:UYC393241 VHY393170:VHY393241 VRU393170:VRU393241 WBQ393170:WBQ393241 WLM393170:WLM393241 WVI393170:WVI393241 A458706:A458777 IW458706:IW458777 SS458706:SS458777 ACO458706:ACO458777 AMK458706:AMK458777 AWG458706:AWG458777 BGC458706:BGC458777 BPY458706:BPY458777 BZU458706:BZU458777 CJQ458706:CJQ458777 CTM458706:CTM458777 DDI458706:DDI458777 DNE458706:DNE458777 DXA458706:DXA458777 EGW458706:EGW458777 EQS458706:EQS458777 FAO458706:FAO458777 FKK458706:FKK458777 FUG458706:FUG458777 GEC458706:GEC458777 GNY458706:GNY458777 GXU458706:GXU458777 HHQ458706:HHQ458777 HRM458706:HRM458777 IBI458706:IBI458777 ILE458706:ILE458777 IVA458706:IVA458777 JEW458706:JEW458777 JOS458706:JOS458777 JYO458706:JYO458777 KIK458706:KIK458777 KSG458706:KSG458777 LCC458706:LCC458777 LLY458706:LLY458777 LVU458706:LVU458777 MFQ458706:MFQ458777 MPM458706:MPM458777 MZI458706:MZI458777 NJE458706:NJE458777 NTA458706:NTA458777 OCW458706:OCW458777 OMS458706:OMS458777 OWO458706:OWO458777 PGK458706:PGK458777 PQG458706:PQG458777 QAC458706:QAC458777 QJY458706:QJY458777 QTU458706:QTU458777 RDQ458706:RDQ458777 RNM458706:RNM458777 RXI458706:RXI458777 SHE458706:SHE458777 SRA458706:SRA458777 TAW458706:TAW458777 TKS458706:TKS458777 TUO458706:TUO458777 UEK458706:UEK458777 UOG458706:UOG458777 UYC458706:UYC458777 VHY458706:VHY458777 VRU458706:VRU458777 WBQ458706:WBQ458777 WLM458706:WLM458777 WVI458706:WVI458777 A524242:A524313 IW524242:IW524313 SS524242:SS524313 ACO524242:ACO524313 AMK524242:AMK524313 AWG524242:AWG524313 BGC524242:BGC524313 BPY524242:BPY524313 BZU524242:BZU524313 CJQ524242:CJQ524313 CTM524242:CTM524313 DDI524242:DDI524313 DNE524242:DNE524313 DXA524242:DXA524313 EGW524242:EGW524313 EQS524242:EQS524313 FAO524242:FAO524313 FKK524242:FKK524313 FUG524242:FUG524313 GEC524242:GEC524313 GNY524242:GNY524313 GXU524242:GXU524313 HHQ524242:HHQ524313 HRM524242:HRM524313 IBI524242:IBI524313 ILE524242:ILE524313 IVA524242:IVA524313 JEW524242:JEW524313 JOS524242:JOS524313 JYO524242:JYO524313 KIK524242:KIK524313 KSG524242:KSG524313 LCC524242:LCC524313 LLY524242:LLY524313 LVU524242:LVU524313 MFQ524242:MFQ524313 MPM524242:MPM524313 MZI524242:MZI524313 NJE524242:NJE524313 NTA524242:NTA524313 OCW524242:OCW524313 OMS524242:OMS524313 OWO524242:OWO524313 PGK524242:PGK524313 PQG524242:PQG524313 QAC524242:QAC524313 QJY524242:QJY524313 QTU524242:QTU524313 RDQ524242:RDQ524313 RNM524242:RNM524313 RXI524242:RXI524313 SHE524242:SHE524313 SRA524242:SRA524313 TAW524242:TAW524313 TKS524242:TKS524313 TUO524242:TUO524313 UEK524242:UEK524313 UOG524242:UOG524313 UYC524242:UYC524313 VHY524242:VHY524313 VRU524242:VRU524313 WBQ524242:WBQ524313 WLM524242:WLM524313 WVI524242:WVI524313 A589778:A589849 IW589778:IW589849 SS589778:SS589849 ACO589778:ACO589849 AMK589778:AMK589849 AWG589778:AWG589849 BGC589778:BGC589849 BPY589778:BPY589849 BZU589778:BZU589849 CJQ589778:CJQ589849 CTM589778:CTM589849 DDI589778:DDI589849 DNE589778:DNE589849 DXA589778:DXA589849 EGW589778:EGW589849 EQS589778:EQS589849 FAO589778:FAO589849 FKK589778:FKK589849 FUG589778:FUG589849 GEC589778:GEC589849 GNY589778:GNY589849 GXU589778:GXU589849 HHQ589778:HHQ589849 HRM589778:HRM589849 IBI589778:IBI589849 ILE589778:ILE589849 IVA589778:IVA589849 JEW589778:JEW589849 JOS589778:JOS589849 JYO589778:JYO589849 KIK589778:KIK589849 KSG589778:KSG589849 LCC589778:LCC589849 LLY589778:LLY589849 LVU589778:LVU589849 MFQ589778:MFQ589849 MPM589778:MPM589849 MZI589778:MZI589849 NJE589778:NJE589849 NTA589778:NTA589849 OCW589778:OCW589849 OMS589778:OMS589849 OWO589778:OWO589849 PGK589778:PGK589849 PQG589778:PQG589849 QAC589778:QAC589849 QJY589778:QJY589849 QTU589778:QTU589849 RDQ589778:RDQ589849 RNM589778:RNM589849 RXI589778:RXI589849 SHE589778:SHE589849 SRA589778:SRA589849 TAW589778:TAW589849 TKS589778:TKS589849 TUO589778:TUO589849 UEK589778:UEK589849 UOG589778:UOG589849 UYC589778:UYC589849 VHY589778:VHY589849 VRU589778:VRU589849 WBQ589778:WBQ589849 WLM589778:WLM589849 WVI589778:WVI589849 A655314:A655385 IW655314:IW655385 SS655314:SS655385 ACO655314:ACO655385 AMK655314:AMK655385 AWG655314:AWG655385 BGC655314:BGC655385 BPY655314:BPY655385 BZU655314:BZU655385 CJQ655314:CJQ655385 CTM655314:CTM655385 DDI655314:DDI655385 DNE655314:DNE655385 DXA655314:DXA655385 EGW655314:EGW655385 EQS655314:EQS655385 FAO655314:FAO655385 FKK655314:FKK655385 FUG655314:FUG655385 GEC655314:GEC655385 GNY655314:GNY655385 GXU655314:GXU655385 HHQ655314:HHQ655385 HRM655314:HRM655385 IBI655314:IBI655385 ILE655314:ILE655385 IVA655314:IVA655385 JEW655314:JEW655385 JOS655314:JOS655385 JYO655314:JYO655385 KIK655314:KIK655385 KSG655314:KSG655385 LCC655314:LCC655385 LLY655314:LLY655385 LVU655314:LVU655385 MFQ655314:MFQ655385 MPM655314:MPM655385 MZI655314:MZI655385 NJE655314:NJE655385 NTA655314:NTA655385 OCW655314:OCW655385 OMS655314:OMS655385 OWO655314:OWO655385 PGK655314:PGK655385 PQG655314:PQG655385 QAC655314:QAC655385 QJY655314:QJY655385 QTU655314:QTU655385 RDQ655314:RDQ655385 RNM655314:RNM655385 RXI655314:RXI655385 SHE655314:SHE655385 SRA655314:SRA655385 TAW655314:TAW655385 TKS655314:TKS655385 TUO655314:TUO655385 UEK655314:UEK655385 UOG655314:UOG655385 UYC655314:UYC655385 VHY655314:VHY655385 VRU655314:VRU655385 WBQ655314:WBQ655385 WLM655314:WLM655385 WVI655314:WVI655385 A720850:A720921 IW720850:IW720921 SS720850:SS720921 ACO720850:ACO720921 AMK720850:AMK720921 AWG720850:AWG720921 BGC720850:BGC720921 BPY720850:BPY720921 BZU720850:BZU720921 CJQ720850:CJQ720921 CTM720850:CTM720921 DDI720850:DDI720921 DNE720850:DNE720921 DXA720850:DXA720921 EGW720850:EGW720921 EQS720850:EQS720921 FAO720850:FAO720921 FKK720850:FKK720921 FUG720850:FUG720921 GEC720850:GEC720921 GNY720850:GNY720921 GXU720850:GXU720921 HHQ720850:HHQ720921 HRM720850:HRM720921 IBI720850:IBI720921 ILE720850:ILE720921 IVA720850:IVA720921 JEW720850:JEW720921 JOS720850:JOS720921 JYO720850:JYO720921 KIK720850:KIK720921 KSG720850:KSG720921 LCC720850:LCC720921 LLY720850:LLY720921 LVU720850:LVU720921 MFQ720850:MFQ720921 MPM720850:MPM720921 MZI720850:MZI720921 NJE720850:NJE720921 NTA720850:NTA720921 OCW720850:OCW720921 OMS720850:OMS720921 OWO720850:OWO720921 PGK720850:PGK720921 PQG720850:PQG720921 QAC720850:QAC720921 QJY720850:QJY720921 QTU720850:QTU720921 RDQ720850:RDQ720921 RNM720850:RNM720921 RXI720850:RXI720921 SHE720850:SHE720921 SRA720850:SRA720921 TAW720850:TAW720921 TKS720850:TKS720921 TUO720850:TUO720921 UEK720850:UEK720921 UOG720850:UOG720921 UYC720850:UYC720921 VHY720850:VHY720921 VRU720850:VRU720921 WBQ720850:WBQ720921 WLM720850:WLM720921 WVI720850:WVI720921 A786386:A786457 IW786386:IW786457 SS786386:SS786457 ACO786386:ACO786457 AMK786386:AMK786457 AWG786386:AWG786457 BGC786386:BGC786457 BPY786386:BPY786457 BZU786386:BZU786457 CJQ786386:CJQ786457 CTM786386:CTM786457 DDI786386:DDI786457 DNE786386:DNE786457 DXA786386:DXA786457 EGW786386:EGW786457 EQS786386:EQS786457 FAO786386:FAO786457 FKK786386:FKK786457 FUG786386:FUG786457 GEC786386:GEC786457 GNY786386:GNY786457 GXU786386:GXU786457 HHQ786386:HHQ786457 HRM786386:HRM786457 IBI786386:IBI786457 ILE786386:ILE786457 IVA786386:IVA786457 JEW786386:JEW786457 JOS786386:JOS786457 JYO786386:JYO786457 KIK786386:KIK786457 KSG786386:KSG786457 LCC786386:LCC786457 LLY786386:LLY786457 LVU786386:LVU786457 MFQ786386:MFQ786457 MPM786386:MPM786457 MZI786386:MZI786457 NJE786386:NJE786457 NTA786386:NTA786457 OCW786386:OCW786457 OMS786386:OMS786457 OWO786386:OWO786457 PGK786386:PGK786457 PQG786386:PQG786457 QAC786386:QAC786457 QJY786386:QJY786457 QTU786386:QTU786457 RDQ786386:RDQ786457 RNM786386:RNM786457 RXI786386:RXI786457 SHE786386:SHE786457 SRA786386:SRA786457 TAW786386:TAW786457 TKS786386:TKS786457 TUO786386:TUO786457 UEK786386:UEK786457 UOG786386:UOG786457 UYC786386:UYC786457 VHY786386:VHY786457 VRU786386:VRU786457 WBQ786386:WBQ786457 WLM786386:WLM786457 WVI786386:WVI786457 A851922:A851993 IW851922:IW851993 SS851922:SS851993 ACO851922:ACO851993 AMK851922:AMK851993 AWG851922:AWG851993 BGC851922:BGC851993 BPY851922:BPY851993 BZU851922:BZU851993 CJQ851922:CJQ851993 CTM851922:CTM851993 DDI851922:DDI851993 DNE851922:DNE851993 DXA851922:DXA851993 EGW851922:EGW851993 EQS851922:EQS851993 FAO851922:FAO851993 FKK851922:FKK851993 FUG851922:FUG851993 GEC851922:GEC851993 GNY851922:GNY851993 GXU851922:GXU851993 HHQ851922:HHQ851993 HRM851922:HRM851993 IBI851922:IBI851993 ILE851922:ILE851993 IVA851922:IVA851993 JEW851922:JEW851993 JOS851922:JOS851993 JYO851922:JYO851993 KIK851922:KIK851993 KSG851922:KSG851993 LCC851922:LCC851993 LLY851922:LLY851993 LVU851922:LVU851993 MFQ851922:MFQ851993 MPM851922:MPM851993 MZI851922:MZI851993 NJE851922:NJE851993 NTA851922:NTA851993 OCW851922:OCW851993 OMS851922:OMS851993 OWO851922:OWO851993 PGK851922:PGK851993 PQG851922:PQG851993 QAC851922:QAC851993 QJY851922:QJY851993 QTU851922:QTU851993 RDQ851922:RDQ851993 RNM851922:RNM851993 RXI851922:RXI851993 SHE851922:SHE851993 SRA851922:SRA851993 TAW851922:TAW851993 TKS851922:TKS851993 TUO851922:TUO851993 UEK851922:UEK851993 UOG851922:UOG851993 UYC851922:UYC851993 VHY851922:VHY851993 VRU851922:VRU851993 WBQ851922:WBQ851993 WLM851922:WLM851993 WVI851922:WVI851993 A917458:A917529 IW917458:IW917529 SS917458:SS917529 ACO917458:ACO917529 AMK917458:AMK917529 AWG917458:AWG917529 BGC917458:BGC917529 BPY917458:BPY917529 BZU917458:BZU917529 CJQ917458:CJQ917529 CTM917458:CTM917529 DDI917458:DDI917529 DNE917458:DNE917529 DXA917458:DXA917529 EGW917458:EGW917529 EQS917458:EQS917529 FAO917458:FAO917529 FKK917458:FKK917529 FUG917458:FUG917529 GEC917458:GEC917529 GNY917458:GNY917529 GXU917458:GXU917529 HHQ917458:HHQ917529 HRM917458:HRM917529 IBI917458:IBI917529 ILE917458:ILE917529 IVA917458:IVA917529 JEW917458:JEW917529 JOS917458:JOS917529 JYO917458:JYO917529 KIK917458:KIK917529 KSG917458:KSG917529 LCC917458:LCC917529 LLY917458:LLY917529 LVU917458:LVU917529 MFQ917458:MFQ917529 MPM917458:MPM917529 MZI917458:MZI917529 NJE917458:NJE917529 NTA917458:NTA917529 OCW917458:OCW917529 OMS917458:OMS917529 OWO917458:OWO917529 PGK917458:PGK917529 PQG917458:PQG917529 QAC917458:QAC917529 QJY917458:QJY917529 QTU917458:QTU917529 RDQ917458:RDQ917529 RNM917458:RNM917529 RXI917458:RXI917529 SHE917458:SHE917529 SRA917458:SRA917529 TAW917458:TAW917529 TKS917458:TKS917529 TUO917458:TUO917529 UEK917458:UEK917529 UOG917458:UOG917529 UYC917458:UYC917529 VHY917458:VHY917529 VRU917458:VRU917529 WBQ917458:WBQ917529 WLM917458:WLM917529 WVI917458:WVI917529 A982994:A983065 IW982994:IW983065 SS982994:SS983065 ACO982994:ACO983065 AMK982994:AMK983065 AWG982994:AWG983065 BGC982994:BGC983065 BPY982994:BPY983065 BZU982994:BZU983065 CJQ982994:CJQ983065 CTM982994:CTM983065 DDI982994:DDI983065 DNE982994:DNE983065 DXA982994:DXA983065 EGW982994:EGW983065 EQS982994:EQS983065 FAO982994:FAO983065 FKK982994:FKK983065 FUG982994:FUG983065 GEC982994:GEC983065 GNY982994:GNY983065 GXU982994:GXU983065 HHQ982994:HHQ983065 HRM982994:HRM983065 IBI982994:IBI983065 ILE982994:ILE983065 IVA982994:IVA983065 JEW982994:JEW983065 JOS982994:JOS983065 JYO982994:JYO983065 KIK982994:KIK983065 KSG982994:KSG983065 LCC982994:LCC983065 LLY982994:LLY983065 LVU982994:LVU983065 MFQ982994:MFQ983065 MPM982994:MPM983065 MZI982994:MZI983065 NJE982994:NJE983065 NTA982994:NTA983065 OCW982994:OCW983065 OMS982994:OMS983065 OWO982994:OWO983065 PGK982994:PGK983065 PQG982994:PQG983065 QAC982994:QAC983065 QJY982994:QJY983065 QTU982994:QTU983065 RDQ982994:RDQ983065 RNM982994:RNM983065 RXI982994:RXI983065 SHE982994:SHE983065 SRA982994:SRA983065 TAW982994:TAW983065 TKS982994:TKS983065 TUO982994:TUO983065 UEK982994:UEK983065 UOG982994:UOG983065 UYC982994:UYC983065 VHY982994:VHY983065 VRU982994:VRU983065 WBQ982994:WBQ983065 WLM982994:WLM983065 SS2:SS43 ACO2:ACO43 IW2:IW43 WVI2:WVI43 WLM2:WLM43 WBQ2:WBQ43 VRU2:VRU43 VHY2:VHY43 UYC2:UYC43 UOG2:UOG43 UEK2:UEK43 TUO2:TUO43 TKS2:TKS43 TAW2:TAW43 SRA2:SRA43 SHE2:SHE43 RXI2:RXI43 RNM2:RNM43 RDQ2:RDQ43 QTU2:QTU43 QJY2:QJY43 QAC2:QAC43 PQG2:PQG43 PGK2:PGK43 OWO2:OWO43 OMS2:OMS43 OCW2:OCW43 NTA2:NTA43 NJE2:NJE43 MZI2:MZI43 MPM2:MPM43 MFQ2:MFQ43 LVU2:LVU43 LLY2:LLY43 LCC2:LCC43 KSG2:KSG43 KIK2:KIK43 JYO2:JYO43 JOS2:JOS43 JEW2:JEW43 IVA2:IVA43 ILE2:ILE43 IBI2:IBI43 HRM2:HRM43 HHQ2:HHQ43 GXU2:GXU43 GNY2:GNY43 GEC2:GEC43 FUG2:FUG43 FKK2:FKK43 FAO2:FAO43 EQS2:EQS43 EGW2:EGW43 DXA2:DXA43 DNE2:DNE43 DDI2:DDI43 CTM2:CTM43 CJQ2:CJQ43 BZU2:BZU43 BPY2:BPY43 BGC2:BGC43 AWG2:AWG43 AMK2:AMK43 A2:A452" xr:uid="{3B62A6FB-CF26-49CC-926D-812FC3312E48}">
      <formula1>$AE$2:$AE$19</formula1>
    </dataValidation>
    <dataValidation type="list" allowBlank="1" showInputMessage="1" showErrorMessage="1" sqref="X64315:X64380 JT64315:JT64380 TP64315:TP64380 ADL64315:ADL64380 ANH64315:ANH64380 AXD64315:AXD64380 BGZ64315:BGZ64380 BQV64315:BQV64380 CAR64315:CAR64380 CKN64315:CKN64380 CUJ64315:CUJ64380 DEF64315:DEF64380 DOB64315:DOB64380 DXX64315:DXX64380 EHT64315:EHT64380 ERP64315:ERP64380 FBL64315:FBL64380 FLH64315:FLH64380 FVD64315:FVD64380 GEZ64315:GEZ64380 GOV64315:GOV64380 GYR64315:GYR64380 HIN64315:HIN64380 HSJ64315:HSJ64380 ICF64315:ICF64380 IMB64315:IMB64380 IVX64315:IVX64380 JFT64315:JFT64380 JPP64315:JPP64380 JZL64315:JZL64380 KJH64315:KJH64380 KTD64315:KTD64380 LCZ64315:LCZ64380 LMV64315:LMV64380 LWR64315:LWR64380 MGN64315:MGN64380 MQJ64315:MQJ64380 NAF64315:NAF64380 NKB64315:NKB64380 NTX64315:NTX64380 ODT64315:ODT64380 ONP64315:ONP64380 OXL64315:OXL64380 PHH64315:PHH64380 PRD64315:PRD64380 QAZ64315:QAZ64380 QKV64315:QKV64380 QUR64315:QUR64380 REN64315:REN64380 ROJ64315:ROJ64380 RYF64315:RYF64380 SIB64315:SIB64380 SRX64315:SRX64380 TBT64315:TBT64380 TLP64315:TLP64380 TVL64315:TVL64380 UFH64315:UFH64380 UPD64315:UPD64380 UYZ64315:UYZ64380 VIV64315:VIV64380 VSR64315:VSR64380 WCN64315:WCN64380 WMJ64315:WMJ64380 WWF64315:WWF64380 X129851:X129916 JT129851:JT129916 TP129851:TP129916 ADL129851:ADL129916 ANH129851:ANH129916 AXD129851:AXD129916 BGZ129851:BGZ129916 BQV129851:BQV129916 CAR129851:CAR129916 CKN129851:CKN129916 CUJ129851:CUJ129916 DEF129851:DEF129916 DOB129851:DOB129916 DXX129851:DXX129916 EHT129851:EHT129916 ERP129851:ERP129916 FBL129851:FBL129916 FLH129851:FLH129916 FVD129851:FVD129916 GEZ129851:GEZ129916 GOV129851:GOV129916 GYR129851:GYR129916 HIN129851:HIN129916 HSJ129851:HSJ129916 ICF129851:ICF129916 IMB129851:IMB129916 IVX129851:IVX129916 JFT129851:JFT129916 JPP129851:JPP129916 JZL129851:JZL129916 KJH129851:KJH129916 KTD129851:KTD129916 LCZ129851:LCZ129916 LMV129851:LMV129916 LWR129851:LWR129916 MGN129851:MGN129916 MQJ129851:MQJ129916 NAF129851:NAF129916 NKB129851:NKB129916 NTX129851:NTX129916 ODT129851:ODT129916 ONP129851:ONP129916 OXL129851:OXL129916 PHH129851:PHH129916 PRD129851:PRD129916 QAZ129851:QAZ129916 QKV129851:QKV129916 QUR129851:QUR129916 REN129851:REN129916 ROJ129851:ROJ129916 RYF129851:RYF129916 SIB129851:SIB129916 SRX129851:SRX129916 TBT129851:TBT129916 TLP129851:TLP129916 TVL129851:TVL129916 UFH129851:UFH129916 UPD129851:UPD129916 UYZ129851:UYZ129916 VIV129851:VIV129916 VSR129851:VSR129916 WCN129851:WCN129916 WMJ129851:WMJ129916 WWF129851:WWF129916 X195387:X195452 JT195387:JT195452 TP195387:TP195452 ADL195387:ADL195452 ANH195387:ANH195452 AXD195387:AXD195452 BGZ195387:BGZ195452 BQV195387:BQV195452 CAR195387:CAR195452 CKN195387:CKN195452 CUJ195387:CUJ195452 DEF195387:DEF195452 DOB195387:DOB195452 DXX195387:DXX195452 EHT195387:EHT195452 ERP195387:ERP195452 FBL195387:FBL195452 FLH195387:FLH195452 FVD195387:FVD195452 GEZ195387:GEZ195452 GOV195387:GOV195452 GYR195387:GYR195452 HIN195387:HIN195452 HSJ195387:HSJ195452 ICF195387:ICF195452 IMB195387:IMB195452 IVX195387:IVX195452 JFT195387:JFT195452 JPP195387:JPP195452 JZL195387:JZL195452 KJH195387:KJH195452 KTD195387:KTD195452 LCZ195387:LCZ195452 LMV195387:LMV195452 LWR195387:LWR195452 MGN195387:MGN195452 MQJ195387:MQJ195452 NAF195387:NAF195452 NKB195387:NKB195452 NTX195387:NTX195452 ODT195387:ODT195452 ONP195387:ONP195452 OXL195387:OXL195452 PHH195387:PHH195452 PRD195387:PRD195452 QAZ195387:QAZ195452 QKV195387:QKV195452 QUR195387:QUR195452 REN195387:REN195452 ROJ195387:ROJ195452 RYF195387:RYF195452 SIB195387:SIB195452 SRX195387:SRX195452 TBT195387:TBT195452 TLP195387:TLP195452 TVL195387:TVL195452 UFH195387:UFH195452 UPD195387:UPD195452 UYZ195387:UYZ195452 VIV195387:VIV195452 VSR195387:VSR195452 WCN195387:WCN195452 WMJ195387:WMJ195452 WWF195387:WWF195452 X260923:X260988 JT260923:JT260988 TP260923:TP260988 ADL260923:ADL260988 ANH260923:ANH260988 AXD260923:AXD260988 BGZ260923:BGZ260988 BQV260923:BQV260988 CAR260923:CAR260988 CKN260923:CKN260988 CUJ260923:CUJ260988 DEF260923:DEF260988 DOB260923:DOB260988 DXX260923:DXX260988 EHT260923:EHT260988 ERP260923:ERP260988 FBL260923:FBL260988 FLH260923:FLH260988 FVD260923:FVD260988 GEZ260923:GEZ260988 GOV260923:GOV260988 GYR260923:GYR260988 HIN260923:HIN260988 HSJ260923:HSJ260988 ICF260923:ICF260988 IMB260923:IMB260988 IVX260923:IVX260988 JFT260923:JFT260988 JPP260923:JPP260988 JZL260923:JZL260988 KJH260923:KJH260988 KTD260923:KTD260988 LCZ260923:LCZ260988 LMV260923:LMV260988 LWR260923:LWR260988 MGN260923:MGN260988 MQJ260923:MQJ260988 NAF260923:NAF260988 NKB260923:NKB260988 NTX260923:NTX260988 ODT260923:ODT260988 ONP260923:ONP260988 OXL260923:OXL260988 PHH260923:PHH260988 PRD260923:PRD260988 QAZ260923:QAZ260988 QKV260923:QKV260988 QUR260923:QUR260988 REN260923:REN260988 ROJ260923:ROJ260988 RYF260923:RYF260988 SIB260923:SIB260988 SRX260923:SRX260988 TBT260923:TBT260988 TLP260923:TLP260988 TVL260923:TVL260988 UFH260923:UFH260988 UPD260923:UPD260988 UYZ260923:UYZ260988 VIV260923:VIV260988 VSR260923:VSR260988 WCN260923:WCN260988 WMJ260923:WMJ260988 WWF260923:WWF260988 X326459:X326524 JT326459:JT326524 TP326459:TP326524 ADL326459:ADL326524 ANH326459:ANH326524 AXD326459:AXD326524 BGZ326459:BGZ326524 BQV326459:BQV326524 CAR326459:CAR326524 CKN326459:CKN326524 CUJ326459:CUJ326524 DEF326459:DEF326524 DOB326459:DOB326524 DXX326459:DXX326524 EHT326459:EHT326524 ERP326459:ERP326524 FBL326459:FBL326524 FLH326459:FLH326524 FVD326459:FVD326524 GEZ326459:GEZ326524 GOV326459:GOV326524 GYR326459:GYR326524 HIN326459:HIN326524 HSJ326459:HSJ326524 ICF326459:ICF326524 IMB326459:IMB326524 IVX326459:IVX326524 JFT326459:JFT326524 JPP326459:JPP326524 JZL326459:JZL326524 KJH326459:KJH326524 KTD326459:KTD326524 LCZ326459:LCZ326524 LMV326459:LMV326524 LWR326459:LWR326524 MGN326459:MGN326524 MQJ326459:MQJ326524 NAF326459:NAF326524 NKB326459:NKB326524 NTX326459:NTX326524 ODT326459:ODT326524 ONP326459:ONP326524 OXL326459:OXL326524 PHH326459:PHH326524 PRD326459:PRD326524 QAZ326459:QAZ326524 QKV326459:QKV326524 QUR326459:QUR326524 REN326459:REN326524 ROJ326459:ROJ326524 RYF326459:RYF326524 SIB326459:SIB326524 SRX326459:SRX326524 TBT326459:TBT326524 TLP326459:TLP326524 TVL326459:TVL326524 UFH326459:UFH326524 UPD326459:UPD326524 UYZ326459:UYZ326524 VIV326459:VIV326524 VSR326459:VSR326524 WCN326459:WCN326524 WMJ326459:WMJ326524 WWF326459:WWF326524 X391995:X392060 JT391995:JT392060 TP391995:TP392060 ADL391995:ADL392060 ANH391995:ANH392060 AXD391995:AXD392060 BGZ391995:BGZ392060 BQV391995:BQV392060 CAR391995:CAR392060 CKN391995:CKN392060 CUJ391995:CUJ392060 DEF391995:DEF392060 DOB391995:DOB392060 DXX391995:DXX392060 EHT391995:EHT392060 ERP391995:ERP392060 FBL391995:FBL392060 FLH391995:FLH392060 FVD391995:FVD392060 GEZ391995:GEZ392060 GOV391995:GOV392060 GYR391995:GYR392060 HIN391995:HIN392060 HSJ391995:HSJ392060 ICF391995:ICF392060 IMB391995:IMB392060 IVX391995:IVX392060 JFT391995:JFT392060 JPP391995:JPP392060 JZL391995:JZL392060 KJH391995:KJH392060 KTD391995:KTD392060 LCZ391995:LCZ392060 LMV391995:LMV392060 LWR391995:LWR392060 MGN391995:MGN392060 MQJ391995:MQJ392060 NAF391995:NAF392060 NKB391995:NKB392060 NTX391995:NTX392060 ODT391995:ODT392060 ONP391995:ONP392060 OXL391995:OXL392060 PHH391995:PHH392060 PRD391995:PRD392060 QAZ391995:QAZ392060 QKV391995:QKV392060 QUR391995:QUR392060 REN391995:REN392060 ROJ391995:ROJ392060 RYF391995:RYF392060 SIB391995:SIB392060 SRX391995:SRX392060 TBT391995:TBT392060 TLP391995:TLP392060 TVL391995:TVL392060 UFH391995:UFH392060 UPD391995:UPD392060 UYZ391995:UYZ392060 VIV391995:VIV392060 VSR391995:VSR392060 WCN391995:WCN392060 WMJ391995:WMJ392060 WWF391995:WWF392060 X457531:X457596 JT457531:JT457596 TP457531:TP457596 ADL457531:ADL457596 ANH457531:ANH457596 AXD457531:AXD457596 BGZ457531:BGZ457596 BQV457531:BQV457596 CAR457531:CAR457596 CKN457531:CKN457596 CUJ457531:CUJ457596 DEF457531:DEF457596 DOB457531:DOB457596 DXX457531:DXX457596 EHT457531:EHT457596 ERP457531:ERP457596 FBL457531:FBL457596 FLH457531:FLH457596 FVD457531:FVD457596 GEZ457531:GEZ457596 GOV457531:GOV457596 GYR457531:GYR457596 HIN457531:HIN457596 HSJ457531:HSJ457596 ICF457531:ICF457596 IMB457531:IMB457596 IVX457531:IVX457596 JFT457531:JFT457596 JPP457531:JPP457596 JZL457531:JZL457596 KJH457531:KJH457596 KTD457531:KTD457596 LCZ457531:LCZ457596 LMV457531:LMV457596 LWR457531:LWR457596 MGN457531:MGN457596 MQJ457531:MQJ457596 NAF457531:NAF457596 NKB457531:NKB457596 NTX457531:NTX457596 ODT457531:ODT457596 ONP457531:ONP457596 OXL457531:OXL457596 PHH457531:PHH457596 PRD457531:PRD457596 QAZ457531:QAZ457596 QKV457531:QKV457596 QUR457531:QUR457596 REN457531:REN457596 ROJ457531:ROJ457596 RYF457531:RYF457596 SIB457531:SIB457596 SRX457531:SRX457596 TBT457531:TBT457596 TLP457531:TLP457596 TVL457531:TVL457596 UFH457531:UFH457596 UPD457531:UPD457596 UYZ457531:UYZ457596 VIV457531:VIV457596 VSR457531:VSR457596 WCN457531:WCN457596 WMJ457531:WMJ457596 WWF457531:WWF457596 X523067:X523132 JT523067:JT523132 TP523067:TP523132 ADL523067:ADL523132 ANH523067:ANH523132 AXD523067:AXD523132 BGZ523067:BGZ523132 BQV523067:BQV523132 CAR523067:CAR523132 CKN523067:CKN523132 CUJ523067:CUJ523132 DEF523067:DEF523132 DOB523067:DOB523132 DXX523067:DXX523132 EHT523067:EHT523132 ERP523067:ERP523132 FBL523067:FBL523132 FLH523067:FLH523132 FVD523067:FVD523132 GEZ523067:GEZ523132 GOV523067:GOV523132 GYR523067:GYR523132 HIN523067:HIN523132 HSJ523067:HSJ523132 ICF523067:ICF523132 IMB523067:IMB523132 IVX523067:IVX523132 JFT523067:JFT523132 JPP523067:JPP523132 JZL523067:JZL523132 KJH523067:KJH523132 KTD523067:KTD523132 LCZ523067:LCZ523132 LMV523067:LMV523132 LWR523067:LWR523132 MGN523067:MGN523132 MQJ523067:MQJ523132 NAF523067:NAF523132 NKB523067:NKB523132 NTX523067:NTX523132 ODT523067:ODT523132 ONP523067:ONP523132 OXL523067:OXL523132 PHH523067:PHH523132 PRD523067:PRD523132 QAZ523067:QAZ523132 QKV523067:QKV523132 QUR523067:QUR523132 REN523067:REN523132 ROJ523067:ROJ523132 RYF523067:RYF523132 SIB523067:SIB523132 SRX523067:SRX523132 TBT523067:TBT523132 TLP523067:TLP523132 TVL523067:TVL523132 UFH523067:UFH523132 UPD523067:UPD523132 UYZ523067:UYZ523132 VIV523067:VIV523132 VSR523067:VSR523132 WCN523067:WCN523132 WMJ523067:WMJ523132 WWF523067:WWF523132 X588603:X588668 JT588603:JT588668 TP588603:TP588668 ADL588603:ADL588668 ANH588603:ANH588668 AXD588603:AXD588668 BGZ588603:BGZ588668 BQV588603:BQV588668 CAR588603:CAR588668 CKN588603:CKN588668 CUJ588603:CUJ588668 DEF588603:DEF588668 DOB588603:DOB588668 DXX588603:DXX588668 EHT588603:EHT588668 ERP588603:ERP588668 FBL588603:FBL588668 FLH588603:FLH588668 FVD588603:FVD588668 GEZ588603:GEZ588668 GOV588603:GOV588668 GYR588603:GYR588668 HIN588603:HIN588668 HSJ588603:HSJ588668 ICF588603:ICF588668 IMB588603:IMB588668 IVX588603:IVX588668 JFT588603:JFT588668 JPP588603:JPP588668 JZL588603:JZL588668 KJH588603:KJH588668 KTD588603:KTD588668 LCZ588603:LCZ588668 LMV588603:LMV588668 LWR588603:LWR588668 MGN588603:MGN588668 MQJ588603:MQJ588668 NAF588603:NAF588668 NKB588603:NKB588668 NTX588603:NTX588668 ODT588603:ODT588668 ONP588603:ONP588668 OXL588603:OXL588668 PHH588603:PHH588668 PRD588603:PRD588668 QAZ588603:QAZ588668 QKV588603:QKV588668 QUR588603:QUR588668 REN588603:REN588668 ROJ588603:ROJ588668 RYF588603:RYF588668 SIB588603:SIB588668 SRX588603:SRX588668 TBT588603:TBT588668 TLP588603:TLP588668 TVL588603:TVL588668 UFH588603:UFH588668 UPD588603:UPD588668 UYZ588603:UYZ588668 VIV588603:VIV588668 VSR588603:VSR588668 WCN588603:WCN588668 WMJ588603:WMJ588668 WWF588603:WWF588668 X654139:X654204 JT654139:JT654204 TP654139:TP654204 ADL654139:ADL654204 ANH654139:ANH654204 AXD654139:AXD654204 BGZ654139:BGZ654204 BQV654139:BQV654204 CAR654139:CAR654204 CKN654139:CKN654204 CUJ654139:CUJ654204 DEF654139:DEF654204 DOB654139:DOB654204 DXX654139:DXX654204 EHT654139:EHT654204 ERP654139:ERP654204 FBL654139:FBL654204 FLH654139:FLH654204 FVD654139:FVD654204 GEZ654139:GEZ654204 GOV654139:GOV654204 GYR654139:GYR654204 HIN654139:HIN654204 HSJ654139:HSJ654204 ICF654139:ICF654204 IMB654139:IMB654204 IVX654139:IVX654204 JFT654139:JFT654204 JPP654139:JPP654204 JZL654139:JZL654204 KJH654139:KJH654204 KTD654139:KTD654204 LCZ654139:LCZ654204 LMV654139:LMV654204 LWR654139:LWR654204 MGN654139:MGN654204 MQJ654139:MQJ654204 NAF654139:NAF654204 NKB654139:NKB654204 NTX654139:NTX654204 ODT654139:ODT654204 ONP654139:ONP654204 OXL654139:OXL654204 PHH654139:PHH654204 PRD654139:PRD654204 QAZ654139:QAZ654204 QKV654139:QKV654204 QUR654139:QUR654204 REN654139:REN654204 ROJ654139:ROJ654204 RYF654139:RYF654204 SIB654139:SIB654204 SRX654139:SRX654204 TBT654139:TBT654204 TLP654139:TLP654204 TVL654139:TVL654204 UFH654139:UFH654204 UPD654139:UPD654204 UYZ654139:UYZ654204 VIV654139:VIV654204 VSR654139:VSR654204 WCN654139:WCN654204 WMJ654139:WMJ654204 WWF654139:WWF654204 X719675:X719740 JT719675:JT719740 TP719675:TP719740 ADL719675:ADL719740 ANH719675:ANH719740 AXD719675:AXD719740 BGZ719675:BGZ719740 BQV719675:BQV719740 CAR719675:CAR719740 CKN719675:CKN719740 CUJ719675:CUJ719740 DEF719675:DEF719740 DOB719675:DOB719740 DXX719675:DXX719740 EHT719675:EHT719740 ERP719675:ERP719740 FBL719675:FBL719740 FLH719675:FLH719740 FVD719675:FVD719740 GEZ719675:GEZ719740 GOV719675:GOV719740 GYR719675:GYR719740 HIN719675:HIN719740 HSJ719675:HSJ719740 ICF719675:ICF719740 IMB719675:IMB719740 IVX719675:IVX719740 JFT719675:JFT719740 JPP719675:JPP719740 JZL719675:JZL719740 KJH719675:KJH719740 KTD719675:KTD719740 LCZ719675:LCZ719740 LMV719675:LMV719740 LWR719675:LWR719740 MGN719675:MGN719740 MQJ719675:MQJ719740 NAF719675:NAF719740 NKB719675:NKB719740 NTX719675:NTX719740 ODT719675:ODT719740 ONP719675:ONP719740 OXL719675:OXL719740 PHH719675:PHH719740 PRD719675:PRD719740 QAZ719675:QAZ719740 QKV719675:QKV719740 QUR719675:QUR719740 REN719675:REN719740 ROJ719675:ROJ719740 RYF719675:RYF719740 SIB719675:SIB719740 SRX719675:SRX719740 TBT719675:TBT719740 TLP719675:TLP719740 TVL719675:TVL719740 UFH719675:UFH719740 UPD719675:UPD719740 UYZ719675:UYZ719740 VIV719675:VIV719740 VSR719675:VSR719740 WCN719675:WCN719740 WMJ719675:WMJ719740 WWF719675:WWF719740 X785211:X785276 JT785211:JT785276 TP785211:TP785276 ADL785211:ADL785276 ANH785211:ANH785276 AXD785211:AXD785276 BGZ785211:BGZ785276 BQV785211:BQV785276 CAR785211:CAR785276 CKN785211:CKN785276 CUJ785211:CUJ785276 DEF785211:DEF785276 DOB785211:DOB785276 DXX785211:DXX785276 EHT785211:EHT785276 ERP785211:ERP785276 FBL785211:FBL785276 FLH785211:FLH785276 FVD785211:FVD785276 GEZ785211:GEZ785276 GOV785211:GOV785276 GYR785211:GYR785276 HIN785211:HIN785276 HSJ785211:HSJ785276 ICF785211:ICF785276 IMB785211:IMB785276 IVX785211:IVX785276 JFT785211:JFT785276 JPP785211:JPP785276 JZL785211:JZL785276 KJH785211:KJH785276 KTD785211:KTD785276 LCZ785211:LCZ785276 LMV785211:LMV785276 LWR785211:LWR785276 MGN785211:MGN785276 MQJ785211:MQJ785276 NAF785211:NAF785276 NKB785211:NKB785276 NTX785211:NTX785276 ODT785211:ODT785276 ONP785211:ONP785276 OXL785211:OXL785276 PHH785211:PHH785276 PRD785211:PRD785276 QAZ785211:QAZ785276 QKV785211:QKV785276 QUR785211:QUR785276 REN785211:REN785276 ROJ785211:ROJ785276 RYF785211:RYF785276 SIB785211:SIB785276 SRX785211:SRX785276 TBT785211:TBT785276 TLP785211:TLP785276 TVL785211:TVL785276 UFH785211:UFH785276 UPD785211:UPD785276 UYZ785211:UYZ785276 VIV785211:VIV785276 VSR785211:VSR785276 WCN785211:WCN785276 WMJ785211:WMJ785276 WWF785211:WWF785276 X850747:X850812 JT850747:JT850812 TP850747:TP850812 ADL850747:ADL850812 ANH850747:ANH850812 AXD850747:AXD850812 BGZ850747:BGZ850812 BQV850747:BQV850812 CAR850747:CAR850812 CKN850747:CKN850812 CUJ850747:CUJ850812 DEF850747:DEF850812 DOB850747:DOB850812 DXX850747:DXX850812 EHT850747:EHT850812 ERP850747:ERP850812 FBL850747:FBL850812 FLH850747:FLH850812 FVD850747:FVD850812 GEZ850747:GEZ850812 GOV850747:GOV850812 GYR850747:GYR850812 HIN850747:HIN850812 HSJ850747:HSJ850812 ICF850747:ICF850812 IMB850747:IMB850812 IVX850747:IVX850812 JFT850747:JFT850812 JPP850747:JPP850812 JZL850747:JZL850812 KJH850747:KJH850812 KTD850747:KTD850812 LCZ850747:LCZ850812 LMV850747:LMV850812 LWR850747:LWR850812 MGN850747:MGN850812 MQJ850747:MQJ850812 NAF850747:NAF850812 NKB850747:NKB850812 NTX850747:NTX850812 ODT850747:ODT850812 ONP850747:ONP850812 OXL850747:OXL850812 PHH850747:PHH850812 PRD850747:PRD850812 QAZ850747:QAZ850812 QKV850747:QKV850812 QUR850747:QUR850812 REN850747:REN850812 ROJ850747:ROJ850812 RYF850747:RYF850812 SIB850747:SIB850812 SRX850747:SRX850812 TBT850747:TBT850812 TLP850747:TLP850812 TVL850747:TVL850812 UFH850747:UFH850812 UPD850747:UPD850812 UYZ850747:UYZ850812 VIV850747:VIV850812 VSR850747:VSR850812 WCN850747:WCN850812 WMJ850747:WMJ850812 WWF850747:WWF850812 X916283:X916348 JT916283:JT916348 TP916283:TP916348 ADL916283:ADL916348 ANH916283:ANH916348 AXD916283:AXD916348 BGZ916283:BGZ916348 BQV916283:BQV916348 CAR916283:CAR916348 CKN916283:CKN916348 CUJ916283:CUJ916348 DEF916283:DEF916348 DOB916283:DOB916348 DXX916283:DXX916348 EHT916283:EHT916348 ERP916283:ERP916348 FBL916283:FBL916348 FLH916283:FLH916348 FVD916283:FVD916348 GEZ916283:GEZ916348 GOV916283:GOV916348 GYR916283:GYR916348 HIN916283:HIN916348 HSJ916283:HSJ916348 ICF916283:ICF916348 IMB916283:IMB916348 IVX916283:IVX916348 JFT916283:JFT916348 JPP916283:JPP916348 JZL916283:JZL916348 KJH916283:KJH916348 KTD916283:KTD916348 LCZ916283:LCZ916348 LMV916283:LMV916348 LWR916283:LWR916348 MGN916283:MGN916348 MQJ916283:MQJ916348 NAF916283:NAF916348 NKB916283:NKB916348 NTX916283:NTX916348 ODT916283:ODT916348 ONP916283:ONP916348 OXL916283:OXL916348 PHH916283:PHH916348 PRD916283:PRD916348 QAZ916283:QAZ916348 QKV916283:QKV916348 QUR916283:QUR916348 REN916283:REN916348 ROJ916283:ROJ916348 RYF916283:RYF916348 SIB916283:SIB916348 SRX916283:SRX916348 TBT916283:TBT916348 TLP916283:TLP916348 TVL916283:TVL916348 UFH916283:UFH916348 UPD916283:UPD916348 UYZ916283:UYZ916348 VIV916283:VIV916348 VSR916283:VSR916348 WCN916283:WCN916348 WMJ916283:WMJ916348 WWF916283:WWF916348 X981819:X981884 JT981819:JT981884 TP981819:TP981884 ADL981819:ADL981884 ANH981819:ANH981884 AXD981819:AXD981884 BGZ981819:BGZ981884 BQV981819:BQV981884 CAR981819:CAR981884 CKN981819:CKN981884 CUJ981819:CUJ981884 DEF981819:DEF981884 DOB981819:DOB981884 DXX981819:DXX981884 EHT981819:EHT981884 ERP981819:ERP981884 FBL981819:FBL981884 FLH981819:FLH981884 FVD981819:FVD981884 GEZ981819:GEZ981884 GOV981819:GOV981884 GYR981819:GYR981884 HIN981819:HIN981884 HSJ981819:HSJ981884 ICF981819:ICF981884 IMB981819:IMB981884 IVX981819:IVX981884 JFT981819:JFT981884 JPP981819:JPP981884 JZL981819:JZL981884 KJH981819:KJH981884 KTD981819:KTD981884 LCZ981819:LCZ981884 LMV981819:LMV981884 LWR981819:LWR981884 MGN981819:MGN981884 MQJ981819:MQJ981884 NAF981819:NAF981884 NKB981819:NKB981884 NTX981819:NTX981884 ODT981819:ODT981884 ONP981819:ONP981884 OXL981819:OXL981884 PHH981819:PHH981884 PRD981819:PRD981884 QAZ981819:QAZ981884 QKV981819:QKV981884 QUR981819:QUR981884 REN981819:REN981884 ROJ981819:ROJ981884 RYF981819:RYF981884 SIB981819:SIB981884 SRX981819:SRX981884 TBT981819:TBT981884 TLP981819:TLP981884 TVL981819:TVL981884 UFH981819:UFH981884 UPD981819:UPD981884 UYZ981819:UYZ981884 VIV981819:VIV981884 VSR981819:VSR981884 WCN981819:WCN981884 WMJ981819:WMJ981884 WWF981819:WWF981884 X1047355:X1047420 JT1047355:JT1047420 TP1047355:TP1047420 ADL1047355:ADL1047420 ANH1047355:ANH1047420 AXD1047355:AXD1047420 BGZ1047355:BGZ1047420 BQV1047355:BQV1047420 CAR1047355:CAR1047420 CKN1047355:CKN1047420 CUJ1047355:CUJ1047420 DEF1047355:DEF1047420 DOB1047355:DOB1047420 DXX1047355:DXX1047420 EHT1047355:EHT1047420 ERP1047355:ERP1047420 FBL1047355:FBL1047420 FLH1047355:FLH1047420 FVD1047355:FVD1047420 GEZ1047355:GEZ1047420 GOV1047355:GOV1047420 GYR1047355:GYR1047420 HIN1047355:HIN1047420 HSJ1047355:HSJ1047420 ICF1047355:ICF1047420 IMB1047355:IMB1047420 IVX1047355:IVX1047420 JFT1047355:JFT1047420 JPP1047355:JPP1047420 JZL1047355:JZL1047420 KJH1047355:KJH1047420 KTD1047355:KTD1047420 LCZ1047355:LCZ1047420 LMV1047355:LMV1047420 LWR1047355:LWR1047420 MGN1047355:MGN1047420 MQJ1047355:MQJ1047420 NAF1047355:NAF1047420 NKB1047355:NKB1047420 NTX1047355:NTX1047420 ODT1047355:ODT1047420 ONP1047355:ONP1047420 OXL1047355:OXL1047420 PHH1047355:PHH1047420 PRD1047355:PRD1047420 QAZ1047355:QAZ1047420 QKV1047355:QKV1047420 QUR1047355:QUR1047420 REN1047355:REN1047420 ROJ1047355:ROJ1047420 RYF1047355:RYF1047420 SIB1047355:SIB1047420 SRX1047355:SRX1047420 TBT1047355:TBT1047420 TLP1047355:TLP1047420 TVL1047355:TVL1047420 UFH1047355:UFH1047420 UPD1047355:UPD1047420 UYZ1047355:UYZ1047420 VIV1047355:VIV1047420 VSR1047355:VSR1047420 WCN1047355:WCN1047420 WMJ1047355:WMJ1047420 WWF1047355:WWF1047420 WWF982994:WWF983059 X65490:X65555 JT65490:JT65555 TP65490:TP65555 ADL65490:ADL65555 ANH65490:ANH65555 AXD65490:AXD65555 BGZ65490:BGZ65555 BQV65490:BQV65555 CAR65490:CAR65555 CKN65490:CKN65555 CUJ65490:CUJ65555 DEF65490:DEF65555 DOB65490:DOB65555 DXX65490:DXX65555 EHT65490:EHT65555 ERP65490:ERP65555 FBL65490:FBL65555 FLH65490:FLH65555 FVD65490:FVD65555 GEZ65490:GEZ65555 GOV65490:GOV65555 GYR65490:GYR65555 HIN65490:HIN65555 HSJ65490:HSJ65555 ICF65490:ICF65555 IMB65490:IMB65555 IVX65490:IVX65555 JFT65490:JFT65555 JPP65490:JPP65555 JZL65490:JZL65555 KJH65490:KJH65555 KTD65490:KTD65555 LCZ65490:LCZ65555 LMV65490:LMV65555 LWR65490:LWR65555 MGN65490:MGN65555 MQJ65490:MQJ65555 NAF65490:NAF65555 NKB65490:NKB65555 NTX65490:NTX65555 ODT65490:ODT65555 ONP65490:ONP65555 OXL65490:OXL65555 PHH65490:PHH65555 PRD65490:PRD65555 QAZ65490:QAZ65555 QKV65490:QKV65555 QUR65490:QUR65555 REN65490:REN65555 ROJ65490:ROJ65555 RYF65490:RYF65555 SIB65490:SIB65555 SRX65490:SRX65555 TBT65490:TBT65555 TLP65490:TLP65555 TVL65490:TVL65555 UFH65490:UFH65555 UPD65490:UPD65555 UYZ65490:UYZ65555 VIV65490:VIV65555 VSR65490:VSR65555 WCN65490:WCN65555 WMJ65490:WMJ65555 WWF65490:WWF65555 X131026:X131091 JT131026:JT131091 TP131026:TP131091 ADL131026:ADL131091 ANH131026:ANH131091 AXD131026:AXD131091 BGZ131026:BGZ131091 BQV131026:BQV131091 CAR131026:CAR131091 CKN131026:CKN131091 CUJ131026:CUJ131091 DEF131026:DEF131091 DOB131026:DOB131091 DXX131026:DXX131091 EHT131026:EHT131091 ERP131026:ERP131091 FBL131026:FBL131091 FLH131026:FLH131091 FVD131026:FVD131091 GEZ131026:GEZ131091 GOV131026:GOV131091 GYR131026:GYR131091 HIN131026:HIN131091 HSJ131026:HSJ131091 ICF131026:ICF131091 IMB131026:IMB131091 IVX131026:IVX131091 JFT131026:JFT131091 JPP131026:JPP131091 JZL131026:JZL131091 KJH131026:KJH131091 KTD131026:KTD131091 LCZ131026:LCZ131091 LMV131026:LMV131091 LWR131026:LWR131091 MGN131026:MGN131091 MQJ131026:MQJ131091 NAF131026:NAF131091 NKB131026:NKB131091 NTX131026:NTX131091 ODT131026:ODT131091 ONP131026:ONP131091 OXL131026:OXL131091 PHH131026:PHH131091 PRD131026:PRD131091 QAZ131026:QAZ131091 QKV131026:QKV131091 QUR131026:QUR131091 REN131026:REN131091 ROJ131026:ROJ131091 RYF131026:RYF131091 SIB131026:SIB131091 SRX131026:SRX131091 TBT131026:TBT131091 TLP131026:TLP131091 TVL131026:TVL131091 UFH131026:UFH131091 UPD131026:UPD131091 UYZ131026:UYZ131091 VIV131026:VIV131091 VSR131026:VSR131091 WCN131026:WCN131091 WMJ131026:WMJ131091 WWF131026:WWF131091 X196562:X196627 JT196562:JT196627 TP196562:TP196627 ADL196562:ADL196627 ANH196562:ANH196627 AXD196562:AXD196627 BGZ196562:BGZ196627 BQV196562:BQV196627 CAR196562:CAR196627 CKN196562:CKN196627 CUJ196562:CUJ196627 DEF196562:DEF196627 DOB196562:DOB196627 DXX196562:DXX196627 EHT196562:EHT196627 ERP196562:ERP196627 FBL196562:FBL196627 FLH196562:FLH196627 FVD196562:FVD196627 GEZ196562:GEZ196627 GOV196562:GOV196627 GYR196562:GYR196627 HIN196562:HIN196627 HSJ196562:HSJ196627 ICF196562:ICF196627 IMB196562:IMB196627 IVX196562:IVX196627 JFT196562:JFT196627 JPP196562:JPP196627 JZL196562:JZL196627 KJH196562:KJH196627 KTD196562:KTD196627 LCZ196562:LCZ196627 LMV196562:LMV196627 LWR196562:LWR196627 MGN196562:MGN196627 MQJ196562:MQJ196627 NAF196562:NAF196627 NKB196562:NKB196627 NTX196562:NTX196627 ODT196562:ODT196627 ONP196562:ONP196627 OXL196562:OXL196627 PHH196562:PHH196627 PRD196562:PRD196627 QAZ196562:QAZ196627 QKV196562:QKV196627 QUR196562:QUR196627 REN196562:REN196627 ROJ196562:ROJ196627 RYF196562:RYF196627 SIB196562:SIB196627 SRX196562:SRX196627 TBT196562:TBT196627 TLP196562:TLP196627 TVL196562:TVL196627 UFH196562:UFH196627 UPD196562:UPD196627 UYZ196562:UYZ196627 VIV196562:VIV196627 VSR196562:VSR196627 WCN196562:WCN196627 WMJ196562:WMJ196627 WWF196562:WWF196627 X262098:X262163 JT262098:JT262163 TP262098:TP262163 ADL262098:ADL262163 ANH262098:ANH262163 AXD262098:AXD262163 BGZ262098:BGZ262163 BQV262098:BQV262163 CAR262098:CAR262163 CKN262098:CKN262163 CUJ262098:CUJ262163 DEF262098:DEF262163 DOB262098:DOB262163 DXX262098:DXX262163 EHT262098:EHT262163 ERP262098:ERP262163 FBL262098:FBL262163 FLH262098:FLH262163 FVD262098:FVD262163 GEZ262098:GEZ262163 GOV262098:GOV262163 GYR262098:GYR262163 HIN262098:HIN262163 HSJ262098:HSJ262163 ICF262098:ICF262163 IMB262098:IMB262163 IVX262098:IVX262163 JFT262098:JFT262163 JPP262098:JPP262163 JZL262098:JZL262163 KJH262098:KJH262163 KTD262098:KTD262163 LCZ262098:LCZ262163 LMV262098:LMV262163 LWR262098:LWR262163 MGN262098:MGN262163 MQJ262098:MQJ262163 NAF262098:NAF262163 NKB262098:NKB262163 NTX262098:NTX262163 ODT262098:ODT262163 ONP262098:ONP262163 OXL262098:OXL262163 PHH262098:PHH262163 PRD262098:PRD262163 QAZ262098:QAZ262163 QKV262098:QKV262163 QUR262098:QUR262163 REN262098:REN262163 ROJ262098:ROJ262163 RYF262098:RYF262163 SIB262098:SIB262163 SRX262098:SRX262163 TBT262098:TBT262163 TLP262098:TLP262163 TVL262098:TVL262163 UFH262098:UFH262163 UPD262098:UPD262163 UYZ262098:UYZ262163 VIV262098:VIV262163 VSR262098:VSR262163 WCN262098:WCN262163 WMJ262098:WMJ262163 WWF262098:WWF262163 X327634:X327699 JT327634:JT327699 TP327634:TP327699 ADL327634:ADL327699 ANH327634:ANH327699 AXD327634:AXD327699 BGZ327634:BGZ327699 BQV327634:BQV327699 CAR327634:CAR327699 CKN327634:CKN327699 CUJ327634:CUJ327699 DEF327634:DEF327699 DOB327634:DOB327699 DXX327634:DXX327699 EHT327634:EHT327699 ERP327634:ERP327699 FBL327634:FBL327699 FLH327634:FLH327699 FVD327634:FVD327699 GEZ327634:GEZ327699 GOV327634:GOV327699 GYR327634:GYR327699 HIN327634:HIN327699 HSJ327634:HSJ327699 ICF327634:ICF327699 IMB327634:IMB327699 IVX327634:IVX327699 JFT327634:JFT327699 JPP327634:JPP327699 JZL327634:JZL327699 KJH327634:KJH327699 KTD327634:KTD327699 LCZ327634:LCZ327699 LMV327634:LMV327699 LWR327634:LWR327699 MGN327634:MGN327699 MQJ327634:MQJ327699 NAF327634:NAF327699 NKB327634:NKB327699 NTX327634:NTX327699 ODT327634:ODT327699 ONP327634:ONP327699 OXL327634:OXL327699 PHH327634:PHH327699 PRD327634:PRD327699 QAZ327634:QAZ327699 QKV327634:QKV327699 QUR327634:QUR327699 REN327634:REN327699 ROJ327634:ROJ327699 RYF327634:RYF327699 SIB327634:SIB327699 SRX327634:SRX327699 TBT327634:TBT327699 TLP327634:TLP327699 TVL327634:TVL327699 UFH327634:UFH327699 UPD327634:UPD327699 UYZ327634:UYZ327699 VIV327634:VIV327699 VSR327634:VSR327699 WCN327634:WCN327699 WMJ327634:WMJ327699 WWF327634:WWF327699 X393170:X393235 JT393170:JT393235 TP393170:TP393235 ADL393170:ADL393235 ANH393170:ANH393235 AXD393170:AXD393235 BGZ393170:BGZ393235 BQV393170:BQV393235 CAR393170:CAR393235 CKN393170:CKN393235 CUJ393170:CUJ393235 DEF393170:DEF393235 DOB393170:DOB393235 DXX393170:DXX393235 EHT393170:EHT393235 ERP393170:ERP393235 FBL393170:FBL393235 FLH393170:FLH393235 FVD393170:FVD393235 GEZ393170:GEZ393235 GOV393170:GOV393235 GYR393170:GYR393235 HIN393170:HIN393235 HSJ393170:HSJ393235 ICF393170:ICF393235 IMB393170:IMB393235 IVX393170:IVX393235 JFT393170:JFT393235 JPP393170:JPP393235 JZL393170:JZL393235 KJH393170:KJH393235 KTD393170:KTD393235 LCZ393170:LCZ393235 LMV393170:LMV393235 LWR393170:LWR393235 MGN393170:MGN393235 MQJ393170:MQJ393235 NAF393170:NAF393235 NKB393170:NKB393235 NTX393170:NTX393235 ODT393170:ODT393235 ONP393170:ONP393235 OXL393170:OXL393235 PHH393170:PHH393235 PRD393170:PRD393235 QAZ393170:QAZ393235 QKV393170:QKV393235 QUR393170:QUR393235 REN393170:REN393235 ROJ393170:ROJ393235 RYF393170:RYF393235 SIB393170:SIB393235 SRX393170:SRX393235 TBT393170:TBT393235 TLP393170:TLP393235 TVL393170:TVL393235 UFH393170:UFH393235 UPD393170:UPD393235 UYZ393170:UYZ393235 VIV393170:VIV393235 VSR393170:VSR393235 WCN393170:WCN393235 WMJ393170:WMJ393235 WWF393170:WWF393235 X458706:X458771 JT458706:JT458771 TP458706:TP458771 ADL458706:ADL458771 ANH458706:ANH458771 AXD458706:AXD458771 BGZ458706:BGZ458771 BQV458706:BQV458771 CAR458706:CAR458771 CKN458706:CKN458771 CUJ458706:CUJ458771 DEF458706:DEF458771 DOB458706:DOB458771 DXX458706:DXX458771 EHT458706:EHT458771 ERP458706:ERP458771 FBL458706:FBL458771 FLH458706:FLH458771 FVD458706:FVD458771 GEZ458706:GEZ458771 GOV458706:GOV458771 GYR458706:GYR458771 HIN458706:HIN458771 HSJ458706:HSJ458771 ICF458706:ICF458771 IMB458706:IMB458771 IVX458706:IVX458771 JFT458706:JFT458771 JPP458706:JPP458771 JZL458706:JZL458771 KJH458706:KJH458771 KTD458706:KTD458771 LCZ458706:LCZ458771 LMV458706:LMV458771 LWR458706:LWR458771 MGN458706:MGN458771 MQJ458706:MQJ458771 NAF458706:NAF458771 NKB458706:NKB458771 NTX458706:NTX458771 ODT458706:ODT458771 ONP458706:ONP458771 OXL458706:OXL458771 PHH458706:PHH458771 PRD458706:PRD458771 QAZ458706:QAZ458771 QKV458706:QKV458771 QUR458706:QUR458771 REN458706:REN458771 ROJ458706:ROJ458771 RYF458706:RYF458771 SIB458706:SIB458771 SRX458706:SRX458771 TBT458706:TBT458771 TLP458706:TLP458771 TVL458706:TVL458771 UFH458706:UFH458771 UPD458706:UPD458771 UYZ458706:UYZ458771 VIV458706:VIV458771 VSR458706:VSR458771 WCN458706:WCN458771 WMJ458706:WMJ458771 WWF458706:WWF458771 X524242:X524307 JT524242:JT524307 TP524242:TP524307 ADL524242:ADL524307 ANH524242:ANH524307 AXD524242:AXD524307 BGZ524242:BGZ524307 BQV524242:BQV524307 CAR524242:CAR524307 CKN524242:CKN524307 CUJ524242:CUJ524307 DEF524242:DEF524307 DOB524242:DOB524307 DXX524242:DXX524307 EHT524242:EHT524307 ERP524242:ERP524307 FBL524242:FBL524307 FLH524242:FLH524307 FVD524242:FVD524307 GEZ524242:GEZ524307 GOV524242:GOV524307 GYR524242:GYR524307 HIN524242:HIN524307 HSJ524242:HSJ524307 ICF524242:ICF524307 IMB524242:IMB524307 IVX524242:IVX524307 JFT524242:JFT524307 JPP524242:JPP524307 JZL524242:JZL524307 KJH524242:KJH524307 KTD524242:KTD524307 LCZ524242:LCZ524307 LMV524242:LMV524307 LWR524242:LWR524307 MGN524242:MGN524307 MQJ524242:MQJ524307 NAF524242:NAF524307 NKB524242:NKB524307 NTX524242:NTX524307 ODT524242:ODT524307 ONP524242:ONP524307 OXL524242:OXL524307 PHH524242:PHH524307 PRD524242:PRD524307 QAZ524242:QAZ524307 QKV524242:QKV524307 QUR524242:QUR524307 REN524242:REN524307 ROJ524242:ROJ524307 RYF524242:RYF524307 SIB524242:SIB524307 SRX524242:SRX524307 TBT524242:TBT524307 TLP524242:TLP524307 TVL524242:TVL524307 UFH524242:UFH524307 UPD524242:UPD524307 UYZ524242:UYZ524307 VIV524242:VIV524307 VSR524242:VSR524307 WCN524242:WCN524307 WMJ524242:WMJ524307 WWF524242:WWF524307 X589778:X589843 JT589778:JT589843 TP589778:TP589843 ADL589778:ADL589843 ANH589778:ANH589843 AXD589778:AXD589843 BGZ589778:BGZ589843 BQV589778:BQV589843 CAR589778:CAR589843 CKN589778:CKN589843 CUJ589778:CUJ589843 DEF589778:DEF589843 DOB589778:DOB589843 DXX589778:DXX589843 EHT589778:EHT589843 ERP589778:ERP589843 FBL589778:FBL589843 FLH589778:FLH589843 FVD589778:FVD589843 GEZ589778:GEZ589843 GOV589778:GOV589843 GYR589778:GYR589843 HIN589778:HIN589843 HSJ589778:HSJ589843 ICF589778:ICF589843 IMB589778:IMB589843 IVX589778:IVX589843 JFT589778:JFT589843 JPP589778:JPP589843 JZL589778:JZL589843 KJH589778:KJH589843 KTD589778:KTD589843 LCZ589778:LCZ589843 LMV589778:LMV589843 LWR589778:LWR589843 MGN589778:MGN589843 MQJ589778:MQJ589843 NAF589778:NAF589843 NKB589778:NKB589843 NTX589778:NTX589843 ODT589778:ODT589843 ONP589778:ONP589843 OXL589778:OXL589843 PHH589778:PHH589843 PRD589778:PRD589843 QAZ589778:QAZ589843 QKV589778:QKV589843 QUR589778:QUR589843 REN589778:REN589843 ROJ589778:ROJ589843 RYF589778:RYF589843 SIB589778:SIB589843 SRX589778:SRX589843 TBT589778:TBT589843 TLP589778:TLP589843 TVL589778:TVL589843 UFH589778:UFH589843 UPD589778:UPD589843 UYZ589778:UYZ589843 VIV589778:VIV589843 VSR589778:VSR589843 WCN589778:WCN589843 WMJ589778:WMJ589843 WWF589778:WWF589843 X655314:X655379 JT655314:JT655379 TP655314:TP655379 ADL655314:ADL655379 ANH655314:ANH655379 AXD655314:AXD655379 BGZ655314:BGZ655379 BQV655314:BQV655379 CAR655314:CAR655379 CKN655314:CKN655379 CUJ655314:CUJ655379 DEF655314:DEF655379 DOB655314:DOB655379 DXX655314:DXX655379 EHT655314:EHT655379 ERP655314:ERP655379 FBL655314:FBL655379 FLH655314:FLH655379 FVD655314:FVD655379 GEZ655314:GEZ655379 GOV655314:GOV655379 GYR655314:GYR655379 HIN655314:HIN655379 HSJ655314:HSJ655379 ICF655314:ICF655379 IMB655314:IMB655379 IVX655314:IVX655379 JFT655314:JFT655379 JPP655314:JPP655379 JZL655314:JZL655379 KJH655314:KJH655379 KTD655314:KTD655379 LCZ655314:LCZ655379 LMV655314:LMV655379 LWR655314:LWR655379 MGN655314:MGN655379 MQJ655314:MQJ655379 NAF655314:NAF655379 NKB655314:NKB655379 NTX655314:NTX655379 ODT655314:ODT655379 ONP655314:ONP655379 OXL655314:OXL655379 PHH655314:PHH655379 PRD655314:PRD655379 QAZ655314:QAZ655379 QKV655314:QKV655379 QUR655314:QUR655379 REN655314:REN655379 ROJ655314:ROJ655379 RYF655314:RYF655379 SIB655314:SIB655379 SRX655314:SRX655379 TBT655314:TBT655379 TLP655314:TLP655379 TVL655314:TVL655379 UFH655314:UFH655379 UPD655314:UPD655379 UYZ655314:UYZ655379 VIV655314:VIV655379 VSR655314:VSR655379 WCN655314:WCN655379 WMJ655314:WMJ655379 WWF655314:WWF655379 X720850:X720915 JT720850:JT720915 TP720850:TP720915 ADL720850:ADL720915 ANH720850:ANH720915 AXD720850:AXD720915 BGZ720850:BGZ720915 BQV720850:BQV720915 CAR720850:CAR720915 CKN720850:CKN720915 CUJ720850:CUJ720915 DEF720850:DEF720915 DOB720850:DOB720915 DXX720850:DXX720915 EHT720850:EHT720915 ERP720850:ERP720915 FBL720850:FBL720915 FLH720850:FLH720915 FVD720850:FVD720915 GEZ720850:GEZ720915 GOV720850:GOV720915 GYR720850:GYR720915 HIN720850:HIN720915 HSJ720850:HSJ720915 ICF720850:ICF720915 IMB720850:IMB720915 IVX720850:IVX720915 JFT720850:JFT720915 JPP720850:JPP720915 JZL720850:JZL720915 KJH720850:KJH720915 KTD720850:KTD720915 LCZ720850:LCZ720915 LMV720850:LMV720915 LWR720850:LWR720915 MGN720850:MGN720915 MQJ720850:MQJ720915 NAF720850:NAF720915 NKB720850:NKB720915 NTX720850:NTX720915 ODT720850:ODT720915 ONP720850:ONP720915 OXL720850:OXL720915 PHH720850:PHH720915 PRD720850:PRD720915 QAZ720850:QAZ720915 QKV720850:QKV720915 QUR720850:QUR720915 REN720850:REN720915 ROJ720850:ROJ720915 RYF720850:RYF720915 SIB720850:SIB720915 SRX720850:SRX720915 TBT720850:TBT720915 TLP720850:TLP720915 TVL720850:TVL720915 UFH720850:UFH720915 UPD720850:UPD720915 UYZ720850:UYZ720915 VIV720850:VIV720915 VSR720850:VSR720915 WCN720850:WCN720915 WMJ720850:WMJ720915 WWF720850:WWF720915 X786386:X786451 JT786386:JT786451 TP786386:TP786451 ADL786386:ADL786451 ANH786386:ANH786451 AXD786386:AXD786451 BGZ786386:BGZ786451 BQV786386:BQV786451 CAR786386:CAR786451 CKN786386:CKN786451 CUJ786386:CUJ786451 DEF786386:DEF786451 DOB786386:DOB786451 DXX786386:DXX786451 EHT786386:EHT786451 ERP786386:ERP786451 FBL786386:FBL786451 FLH786386:FLH786451 FVD786386:FVD786451 GEZ786386:GEZ786451 GOV786386:GOV786451 GYR786386:GYR786451 HIN786386:HIN786451 HSJ786386:HSJ786451 ICF786386:ICF786451 IMB786386:IMB786451 IVX786386:IVX786451 JFT786386:JFT786451 JPP786386:JPP786451 JZL786386:JZL786451 KJH786386:KJH786451 KTD786386:KTD786451 LCZ786386:LCZ786451 LMV786386:LMV786451 LWR786386:LWR786451 MGN786386:MGN786451 MQJ786386:MQJ786451 NAF786386:NAF786451 NKB786386:NKB786451 NTX786386:NTX786451 ODT786386:ODT786451 ONP786386:ONP786451 OXL786386:OXL786451 PHH786386:PHH786451 PRD786386:PRD786451 QAZ786386:QAZ786451 QKV786386:QKV786451 QUR786386:QUR786451 REN786386:REN786451 ROJ786386:ROJ786451 RYF786386:RYF786451 SIB786386:SIB786451 SRX786386:SRX786451 TBT786386:TBT786451 TLP786386:TLP786451 TVL786386:TVL786451 UFH786386:UFH786451 UPD786386:UPD786451 UYZ786386:UYZ786451 VIV786386:VIV786451 VSR786386:VSR786451 WCN786386:WCN786451 WMJ786386:WMJ786451 WWF786386:WWF786451 X851922:X851987 JT851922:JT851987 TP851922:TP851987 ADL851922:ADL851987 ANH851922:ANH851987 AXD851922:AXD851987 BGZ851922:BGZ851987 BQV851922:BQV851987 CAR851922:CAR851987 CKN851922:CKN851987 CUJ851922:CUJ851987 DEF851922:DEF851987 DOB851922:DOB851987 DXX851922:DXX851987 EHT851922:EHT851987 ERP851922:ERP851987 FBL851922:FBL851987 FLH851922:FLH851987 FVD851922:FVD851987 GEZ851922:GEZ851987 GOV851922:GOV851987 GYR851922:GYR851987 HIN851922:HIN851987 HSJ851922:HSJ851987 ICF851922:ICF851987 IMB851922:IMB851987 IVX851922:IVX851987 JFT851922:JFT851987 JPP851922:JPP851987 JZL851922:JZL851987 KJH851922:KJH851987 KTD851922:KTD851987 LCZ851922:LCZ851987 LMV851922:LMV851987 LWR851922:LWR851987 MGN851922:MGN851987 MQJ851922:MQJ851987 NAF851922:NAF851987 NKB851922:NKB851987 NTX851922:NTX851987 ODT851922:ODT851987 ONP851922:ONP851987 OXL851922:OXL851987 PHH851922:PHH851987 PRD851922:PRD851987 QAZ851922:QAZ851987 QKV851922:QKV851987 QUR851922:QUR851987 REN851922:REN851987 ROJ851922:ROJ851987 RYF851922:RYF851987 SIB851922:SIB851987 SRX851922:SRX851987 TBT851922:TBT851987 TLP851922:TLP851987 TVL851922:TVL851987 UFH851922:UFH851987 UPD851922:UPD851987 UYZ851922:UYZ851987 VIV851922:VIV851987 VSR851922:VSR851987 WCN851922:WCN851987 WMJ851922:WMJ851987 WWF851922:WWF851987 X917458:X917523 JT917458:JT917523 TP917458:TP917523 ADL917458:ADL917523 ANH917458:ANH917523 AXD917458:AXD917523 BGZ917458:BGZ917523 BQV917458:BQV917523 CAR917458:CAR917523 CKN917458:CKN917523 CUJ917458:CUJ917523 DEF917458:DEF917523 DOB917458:DOB917523 DXX917458:DXX917523 EHT917458:EHT917523 ERP917458:ERP917523 FBL917458:FBL917523 FLH917458:FLH917523 FVD917458:FVD917523 GEZ917458:GEZ917523 GOV917458:GOV917523 GYR917458:GYR917523 HIN917458:HIN917523 HSJ917458:HSJ917523 ICF917458:ICF917523 IMB917458:IMB917523 IVX917458:IVX917523 JFT917458:JFT917523 JPP917458:JPP917523 JZL917458:JZL917523 KJH917458:KJH917523 KTD917458:KTD917523 LCZ917458:LCZ917523 LMV917458:LMV917523 LWR917458:LWR917523 MGN917458:MGN917523 MQJ917458:MQJ917523 NAF917458:NAF917523 NKB917458:NKB917523 NTX917458:NTX917523 ODT917458:ODT917523 ONP917458:ONP917523 OXL917458:OXL917523 PHH917458:PHH917523 PRD917458:PRD917523 QAZ917458:QAZ917523 QKV917458:QKV917523 QUR917458:QUR917523 REN917458:REN917523 ROJ917458:ROJ917523 RYF917458:RYF917523 SIB917458:SIB917523 SRX917458:SRX917523 TBT917458:TBT917523 TLP917458:TLP917523 TVL917458:TVL917523 UFH917458:UFH917523 UPD917458:UPD917523 UYZ917458:UYZ917523 VIV917458:VIV917523 VSR917458:VSR917523 WCN917458:WCN917523 WMJ917458:WMJ917523 WWF917458:WWF917523 X982994:X983059 JT982994:JT983059 TP982994:TP983059 ADL982994:ADL983059 ANH982994:ANH983059 AXD982994:AXD983059 BGZ982994:BGZ983059 BQV982994:BQV983059 CAR982994:CAR983059 CKN982994:CKN983059 CUJ982994:CUJ983059 DEF982994:DEF983059 DOB982994:DOB983059 DXX982994:DXX983059 EHT982994:EHT983059 ERP982994:ERP983059 FBL982994:FBL983059 FLH982994:FLH983059 FVD982994:FVD983059 GEZ982994:GEZ983059 GOV982994:GOV983059 GYR982994:GYR983059 HIN982994:HIN983059 HSJ982994:HSJ983059 ICF982994:ICF983059 IMB982994:IMB983059 IVX982994:IVX983059 JFT982994:JFT983059 JPP982994:JPP983059 JZL982994:JZL983059 KJH982994:KJH983059 KTD982994:KTD983059 LCZ982994:LCZ983059 LMV982994:LMV983059 LWR982994:LWR983059 MGN982994:MGN983059 MQJ982994:MQJ983059 NAF982994:NAF983059 NKB982994:NKB983059 NTX982994:NTX983059 ODT982994:ODT983059 ONP982994:ONP983059 OXL982994:OXL983059 PHH982994:PHH983059 PRD982994:PRD983059 QAZ982994:QAZ983059 QKV982994:QKV983059 QUR982994:QUR983059 REN982994:REN983059 ROJ982994:ROJ983059 RYF982994:RYF983059 SIB982994:SIB983059 SRX982994:SRX983059 TBT982994:TBT983059 TLP982994:TLP983059 TVL982994:TVL983059 UFH982994:UFH983059 UPD982994:UPD983059 UYZ982994:UYZ983059 VIV982994:VIV983059 VSR982994:VSR983059 WCN982994:WCN983059 WMJ982994:WMJ983059 WMJ2:WMJ43 WWF2:WWF43 JT2:JT43 TP2:TP43 ADL2:ADL43 ANH2:ANH43 AXD2:AXD43 BGZ2:BGZ43 BQV2:BQV43 CAR2:CAR43 CKN2:CKN43 CUJ2:CUJ43 DEF2:DEF43 DOB2:DOB43 DXX2:DXX43 EHT2:EHT43 ERP2:ERP43 FBL2:FBL43 FLH2:FLH43 FVD2:FVD43 GEZ2:GEZ43 GOV2:GOV43 GYR2:GYR43 HIN2:HIN43 HSJ2:HSJ43 ICF2:ICF43 IMB2:IMB43 IVX2:IVX43 JFT2:JFT43 JPP2:JPP43 JZL2:JZL43 KJH2:KJH43 KTD2:KTD43 LCZ2:LCZ43 LMV2:LMV43 LWR2:LWR43 MGN2:MGN43 MQJ2:MQJ43 NAF2:NAF43 NKB2:NKB43 NTX2:NTX43 ODT2:ODT43 ONP2:ONP43 OXL2:OXL43 PHH2:PHH43 PRD2:PRD43 QAZ2:QAZ43 QKV2:QKV43 QUR2:QUR43 REN2:REN43 ROJ2:ROJ43 RYF2:RYF43 SIB2:SIB43 SRX2:SRX43 TBT2:TBT43 TLP2:TLP43 TVL2:TVL43 UFH2:UFH43 UPD2:UPD43 UYZ2:UYZ43 VIV2:VIV43 VSR2:VSR43 WCN2:WCN43 X2:X452" xr:uid="{7AB28023-2DD3-44F0-BBAB-FB3D0320B280}">
      <formula1>$AT$2:$AT$3</formula1>
    </dataValidation>
    <dataValidation type="list" allowBlank="1" showInputMessage="1" showErrorMessage="1" sqref="G64315:G64382 JC64315:JC64382 SY64315:SY64382 ACU64315:ACU64382 AMQ64315:AMQ64382 AWM64315:AWM64382 BGI64315:BGI64382 BQE64315:BQE64382 CAA64315:CAA64382 CJW64315:CJW64382 CTS64315:CTS64382 DDO64315:DDO64382 DNK64315:DNK64382 DXG64315:DXG64382 EHC64315:EHC64382 EQY64315:EQY64382 FAU64315:FAU64382 FKQ64315:FKQ64382 FUM64315:FUM64382 GEI64315:GEI64382 GOE64315:GOE64382 GYA64315:GYA64382 HHW64315:HHW64382 HRS64315:HRS64382 IBO64315:IBO64382 ILK64315:ILK64382 IVG64315:IVG64382 JFC64315:JFC64382 JOY64315:JOY64382 JYU64315:JYU64382 KIQ64315:KIQ64382 KSM64315:KSM64382 LCI64315:LCI64382 LME64315:LME64382 LWA64315:LWA64382 MFW64315:MFW64382 MPS64315:MPS64382 MZO64315:MZO64382 NJK64315:NJK64382 NTG64315:NTG64382 ODC64315:ODC64382 OMY64315:OMY64382 OWU64315:OWU64382 PGQ64315:PGQ64382 PQM64315:PQM64382 QAI64315:QAI64382 QKE64315:QKE64382 QUA64315:QUA64382 RDW64315:RDW64382 RNS64315:RNS64382 RXO64315:RXO64382 SHK64315:SHK64382 SRG64315:SRG64382 TBC64315:TBC64382 TKY64315:TKY64382 TUU64315:TUU64382 UEQ64315:UEQ64382 UOM64315:UOM64382 UYI64315:UYI64382 VIE64315:VIE64382 VSA64315:VSA64382 WBW64315:WBW64382 WLS64315:WLS64382 WVO64315:WVO64382 G129851:G129918 JC129851:JC129918 SY129851:SY129918 ACU129851:ACU129918 AMQ129851:AMQ129918 AWM129851:AWM129918 BGI129851:BGI129918 BQE129851:BQE129918 CAA129851:CAA129918 CJW129851:CJW129918 CTS129851:CTS129918 DDO129851:DDO129918 DNK129851:DNK129918 DXG129851:DXG129918 EHC129851:EHC129918 EQY129851:EQY129918 FAU129851:FAU129918 FKQ129851:FKQ129918 FUM129851:FUM129918 GEI129851:GEI129918 GOE129851:GOE129918 GYA129851:GYA129918 HHW129851:HHW129918 HRS129851:HRS129918 IBO129851:IBO129918 ILK129851:ILK129918 IVG129851:IVG129918 JFC129851:JFC129918 JOY129851:JOY129918 JYU129851:JYU129918 KIQ129851:KIQ129918 KSM129851:KSM129918 LCI129851:LCI129918 LME129851:LME129918 LWA129851:LWA129918 MFW129851:MFW129918 MPS129851:MPS129918 MZO129851:MZO129918 NJK129851:NJK129918 NTG129851:NTG129918 ODC129851:ODC129918 OMY129851:OMY129918 OWU129851:OWU129918 PGQ129851:PGQ129918 PQM129851:PQM129918 QAI129851:QAI129918 QKE129851:QKE129918 QUA129851:QUA129918 RDW129851:RDW129918 RNS129851:RNS129918 RXO129851:RXO129918 SHK129851:SHK129918 SRG129851:SRG129918 TBC129851:TBC129918 TKY129851:TKY129918 TUU129851:TUU129918 UEQ129851:UEQ129918 UOM129851:UOM129918 UYI129851:UYI129918 VIE129851:VIE129918 VSA129851:VSA129918 WBW129851:WBW129918 WLS129851:WLS129918 WVO129851:WVO129918 G195387:G195454 JC195387:JC195454 SY195387:SY195454 ACU195387:ACU195454 AMQ195387:AMQ195454 AWM195387:AWM195454 BGI195387:BGI195454 BQE195387:BQE195454 CAA195387:CAA195454 CJW195387:CJW195454 CTS195387:CTS195454 DDO195387:DDO195454 DNK195387:DNK195454 DXG195387:DXG195454 EHC195387:EHC195454 EQY195387:EQY195454 FAU195387:FAU195454 FKQ195387:FKQ195454 FUM195387:FUM195454 GEI195387:GEI195454 GOE195387:GOE195454 GYA195387:GYA195454 HHW195387:HHW195454 HRS195387:HRS195454 IBO195387:IBO195454 ILK195387:ILK195454 IVG195387:IVG195454 JFC195387:JFC195454 JOY195387:JOY195454 JYU195387:JYU195454 KIQ195387:KIQ195454 KSM195387:KSM195454 LCI195387:LCI195454 LME195387:LME195454 LWA195387:LWA195454 MFW195387:MFW195454 MPS195387:MPS195454 MZO195387:MZO195454 NJK195387:NJK195454 NTG195387:NTG195454 ODC195387:ODC195454 OMY195387:OMY195454 OWU195387:OWU195454 PGQ195387:PGQ195454 PQM195387:PQM195454 QAI195387:QAI195454 QKE195387:QKE195454 QUA195387:QUA195454 RDW195387:RDW195454 RNS195387:RNS195454 RXO195387:RXO195454 SHK195387:SHK195454 SRG195387:SRG195454 TBC195387:TBC195454 TKY195387:TKY195454 TUU195387:TUU195454 UEQ195387:UEQ195454 UOM195387:UOM195454 UYI195387:UYI195454 VIE195387:VIE195454 VSA195387:VSA195454 WBW195387:WBW195454 WLS195387:WLS195454 WVO195387:WVO195454 G260923:G260990 JC260923:JC260990 SY260923:SY260990 ACU260923:ACU260990 AMQ260923:AMQ260990 AWM260923:AWM260990 BGI260923:BGI260990 BQE260923:BQE260990 CAA260923:CAA260990 CJW260923:CJW260990 CTS260923:CTS260990 DDO260923:DDO260990 DNK260923:DNK260990 DXG260923:DXG260990 EHC260923:EHC260990 EQY260923:EQY260990 FAU260923:FAU260990 FKQ260923:FKQ260990 FUM260923:FUM260990 GEI260923:GEI260990 GOE260923:GOE260990 GYA260923:GYA260990 HHW260923:HHW260990 HRS260923:HRS260990 IBO260923:IBO260990 ILK260923:ILK260990 IVG260923:IVG260990 JFC260923:JFC260990 JOY260923:JOY260990 JYU260923:JYU260990 KIQ260923:KIQ260990 KSM260923:KSM260990 LCI260923:LCI260990 LME260923:LME260990 LWA260923:LWA260990 MFW260923:MFW260990 MPS260923:MPS260990 MZO260923:MZO260990 NJK260923:NJK260990 NTG260923:NTG260990 ODC260923:ODC260990 OMY260923:OMY260990 OWU260923:OWU260990 PGQ260923:PGQ260990 PQM260923:PQM260990 QAI260923:QAI260990 QKE260923:QKE260990 QUA260923:QUA260990 RDW260923:RDW260990 RNS260923:RNS260990 RXO260923:RXO260990 SHK260923:SHK260990 SRG260923:SRG260990 TBC260923:TBC260990 TKY260923:TKY260990 TUU260923:TUU260990 UEQ260923:UEQ260990 UOM260923:UOM260990 UYI260923:UYI260990 VIE260923:VIE260990 VSA260923:VSA260990 WBW260923:WBW260990 WLS260923:WLS260990 WVO260923:WVO260990 G326459:G326526 JC326459:JC326526 SY326459:SY326526 ACU326459:ACU326526 AMQ326459:AMQ326526 AWM326459:AWM326526 BGI326459:BGI326526 BQE326459:BQE326526 CAA326459:CAA326526 CJW326459:CJW326526 CTS326459:CTS326526 DDO326459:DDO326526 DNK326459:DNK326526 DXG326459:DXG326526 EHC326459:EHC326526 EQY326459:EQY326526 FAU326459:FAU326526 FKQ326459:FKQ326526 FUM326459:FUM326526 GEI326459:GEI326526 GOE326459:GOE326526 GYA326459:GYA326526 HHW326459:HHW326526 HRS326459:HRS326526 IBO326459:IBO326526 ILK326459:ILK326526 IVG326459:IVG326526 JFC326459:JFC326526 JOY326459:JOY326526 JYU326459:JYU326526 KIQ326459:KIQ326526 KSM326459:KSM326526 LCI326459:LCI326526 LME326459:LME326526 LWA326459:LWA326526 MFW326459:MFW326526 MPS326459:MPS326526 MZO326459:MZO326526 NJK326459:NJK326526 NTG326459:NTG326526 ODC326459:ODC326526 OMY326459:OMY326526 OWU326459:OWU326526 PGQ326459:PGQ326526 PQM326459:PQM326526 QAI326459:QAI326526 QKE326459:QKE326526 QUA326459:QUA326526 RDW326459:RDW326526 RNS326459:RNS326526 RXO326459:RXO326526 SHK326459:SHK326526 SRG326459:SRG326526 TBC326459:TBC326526 TKY326459:TKY326526 TUU326459:TUU326526 UEQ326459:UEQ326526 UOM326459:UOM326526 UYI326459:UYI326526 VIE326459:VIE326526 VSA326459:VSA326526 WBW326459:WBW326526 WLS326459:WLS326526 WVO326459:WVO326526 G391995:G392062 JC391995:JC392062 SY391995:SY392062 ACU391995:ACU392062 AMQ391995:AMQ392062 AWM391995:AWM392062 BGI391995:BGI392062 BQE391995:BQE392062 CAA391995:CAA392062 CJW391995:CJW392062 CTS391995:CTS392062 DDO391995:DDO392062 DNK391995:DNK392062 DXG391995:DXG392062 EHC391995:EHC392062 EQY391995:EQY392062 FAU391995:FAU392062 FKQ391995:FKQ392062 FUM391995:FUM392062 GEI391995:GEI392062 GOE391995:GOE392062 GYA391995:GYA392062 HHW391995:HHW392062 HRS391995:HRS392062 IBO391995:IBO392062 ILK391995:ILK392062 IVG391995:IVG392062 JFC391995:JFC392062 JOY391995:JOY392062 JYU391995:JYU392062 KIQ391995:KIQ392062 KSM391995:KSM392062 LCI391995:LCI392062 LME391995:LME392062 LWA391995:LWA392062 MFW391995:MFW392062 MPS391995:MPS392062 MZO391995:MZO392062 NJK391995:NJK392062 NTG391995:NTG392062 ODC391995:ODC392062 OMY391995:OMY392062 OWU391995:OWU392062 PGQ391995:PGQ392062 PQM391995:PQM392062 QAI391995:QAI392062 QKE391995:QKE392062 QUA391995:QUA392062 RDW391995:RDW392062 RNS391995:RNS392062 RXO391995:RXO392062 SHK391995:SHK392062 SRG391995:SRG392062 TBC391995:TBC392062 TKY391995:TKY392062 TUU391995:TUU392062 UEQ391995:UEQ392062 UOM391995:UOM392062 UYI391995:UYI392062 VIE391995:VIE392062 VSA391995:VSA392062 WBW391995:WBW392062 WLS391995:WLS392062 WVO391995:WVO392062 G457531:G457598 JC457531:JC457598 SY457531:SY457598 ACU457531:ACU457598 AMQ457531:AMQ457598 AWM457531:AWM457598 BGI457531:BGI457598 BQE457531:BQE457598 CAA457531:CAA457598 CJW457531:CJW457598 CTS457531:CTS457598 DDO457531:DDO457598 DNK457531:DNK457598 DXG457531:DXG457598 EHC457531:EHC457598 EQY457531:EQY457598 FAU457531:FAU457598 FKQ457531:FKQ457598 FUM457531:FUM457598 GEI457531:GEI457598 GOE457531:GOE457598 GYA457531:GYA457598 HHW457531:HHW457598 HRS457531:HRS457598 IBO457531:IBO457598 ILK457531:ILK457598 IVG457531:IVG457598 JFC457531:JFC457598 JOY457531:JOY457598 JYU457531:JYU457598 KIQ457531:KIQ457598 KSM457531:KSM457598 LCI457531:LCI457598 LME457531:LME457598 LWA457531:LWA457598 MFW457531:MFW457598 MPS457531:MPS457598 MZO457531:MZO457598 NJK457531:NJK457598 NTG457531:NTG457598 ODC457531:ODC457598 OMY457531:OMY457598 OWU457531:OWU457598 PGQ457531:PGQ457598 PQM457531:PQM457598 QAI457531:QAI457598 QKE457531:QKE457598 QUA457531:QUA457598 RDW457531:RDW457598 RNS457531:RNS457598 RXO457531:RXO457598 SHK457531:SHK457598 SRG457531:SRG457598 TBC457531:TBC457598 TKY457531:TKY457598 TUU457531:TUU457598 UEQ457531:UEQ457598 UOM457531:UOM457598 UYI457531:UYI457598 VIE457531:VIE457598 VSA457531:VSA457598 WBW457531:WBW457598 WLS457531:WLS457598 WVO457531:WVO457598 G523067:G523134 JC523067:JC523134 SY523067:SY523134 ACU523067:ACU523134 AMQ523067:AMQ523134 AWM523067:AWM523134 BGI523067:BGI523134 BQE523067:BQE523134 CAA523067:CAA523134 CJW523067:CJW523134 CTS523067:CTS523134 DDO523067:DDO523134 DNK523067:DNK523134 DXG523067:DXG523134 EHC523067:EHC523134 EQY523067:EQY523134 FAU523067:FAU523134 FKQ523067:FKQ523134 FUM523067:FUM523134 GEI523067:GEI523134 GOE523067:GOE523134 GYA523067:GYA523134 HHW523067:HHW523134 HRS523067:HRS523134 IBO523067:IBO523134 ILK523067:ILK523134 IVG523067:IVG523134 JFC523067:JFC523134 JOY523067:JOY523134 JYU523067:JYU523134 KIQ523067:KIQ523134 KSM523067:KSM523134 LCI523067:LCI523134 LME523067:LME523134 LWA523067:LWA523134 MFW523067:MFW523134 MPS523067:MPS523134 MZO523067:MZO523134 NJK523067:NJK523134 NTG523067:NTG523134 ODC523067:ODC523134 OMY523067:OMY523134 OWU523067:OWU523134 PGQ523067:PGQ523134 PQM523067:PQM523134 QAI523067:QAI523134 QKE523067:QKE523134 QUA523067:QUA523134 RDW523067:RDW523134 RNS523067:RNS523134 RXO523067:RXO523134 SHK523067:SHK523134 SRG523067:SRG523134 TBC523067:TBC523134 TKY523067:TKY523134 TUU523067:TUU523134 UEQ523067:UEQ523134 UOM523067:UOM523134 UYI523067:UYI523134 VIE523067:VIE523134 VSA523067:VSA523134 WBW523067:WBW523134 WLS523067:WLS523134 WVO523067:WVO523134 G588603:G588670 JC588603:JC588670 SY588603:SY588670 ACU588603:ACU588670 AMQ588603:AMQ588670 AWM588603:AWM588670 BGI588603:BGI588670 BQE588603:BQE588670 CAA588603:CAA588670 CJW588603:CJW588670 CTS588603:CTS588670 DDO588603:DDO588670 DNK588603:DNK588670 DXG588603:DXG588670 EHC588603:EHC588670 EQY588603:EQY588670 FAU588603:FAU588670 FKQ588603:FKQ588670 FUM588603:FUM588670 GEI588603:GEI588670 GOE588603:GOE588670 GYA588603:GYA588670 HHW588603:HHW588670 HRS588603:HRS588670 IBO588603:IBO588670 ILK588603:ILK588670 IVG588603:IVG588670 JFC588603:JFC588670 JOY588603:JOY588670 JYU588603:JYU588670 KIQ588603:KIQ588670 KSM588603:KSM588670 LCI588603:LCI588670 LME588603:LME588670 LWA588603:LWA588670 MFW588603:MFW588670 MPS588603:MPS588670 MZO588603:MZO588670 NJK588603:NJK588670 NTG588603:NTG588670 ODC588603:ODC588670 OMY588603:OMY588670 OWU588603:OWU588670 PGQ588603:PGQ588670 PQM588603:PQM588670 QAI588603:QAI588670 QKE588603:QKE588670 QUA588603:QUA588670 RDW588603:RDW588670 RNS588603:RNS588670 RXO588603:RXO588670 SHK588603:SHK588670 SRG588603:SRG588670 TBC588603:TBC588670 TKY588603:TKY588670 TUU588603:TUU588670 UEQ588603:UEQ588670 UOM588603:UOM588670 UYI588603:UYI588670 VIE588603:VIE588670 VSA588603:VSA588670 WBW588603:WBW588670 WLS588603:WLS588670 WVO588603:WVO588670 G654139:G654206 JC654139:JC654206 SY654139:SY654206 ACU654139:ACU654206 AMQ654139:AMQ654206 AWM654139:AWM654206 BGI654139:BGI654206 BQE654139:BQE654206 CAA654139:CAA654206 CJW654139:CJW654206 CTS654139:CTS654206 DDO654139:DDO654206 DNK654139:DNK654206 DXG654139:DXG654206 EHC654139:EHC654206 EQY654139:EQY654206 FAU654139:FAU654206 FKQ654139:FKQ654206 FUM654139:FUM654206 GEI654139:GEI654206 GOE654139:GOE654206 GYA654139:GYA654206 HHW654139:HHW654206 HRS654139:HRS654206 IBO654139:IBO654206 ILK654139:ILK654206 IVG654139:IVG654206 JFC654139:JFC654206 JOY654139:JOY654206 JYU654139:JYU654206 KIQ654139:KIQ654206 KSM654139:KSM654206 LCI654139:LCI654206 LME654139:LME654206 LWA654139:LWA654206 MFW654139:MFW654206 MPS654139:MPS654206 MZO654139:MZO654206 NJK654139:NJK654206 NTG654139:NTG654206 ODC654139:ODC654206 OMY654139:OMY654206 OWU654139:OWU654206 PGQ654139:PGQ654206 PQM654139:PQM654206 QAI654139:QAI654206 QKE654139:QKE654206 QUA654139:QUA654206 RDW654139:RDW654206 RNS654139:RNS654206 RXO654139:RXO654206 SHK654139:SHK654206 SRG654139:SRG654206 TBC654139:TBC654206 TKY654139:TKY654206 TUU654139:TUU654206 UEQ654139:UEQ654206 UOM654139:UOM654206 UYI654139:UYI654206 VIE654139:VIE654206 VSA654139:VSA654206 WBW654139:WBW654206 WLS654139:WLS654206 WVO654139:WVO654206 G719675:G719742 JC719675:JC719742 SY719675:SY719742 ACU719675:ACU719742 AMQ719675:AMQ719742 AWM719675:AWM719742 BGI719675:BGI719742 BQE719675:BQE719742 CAA719675:CAA719742 CJW719675:CJW719742 CTS719675:CTS719742 DDO719675:DDO719742 DNK719675:DNK719742 DXG719675:DXG719742 EHC719675:EHC719742 EQY719675:EQY719742 FAU719675:FAU719742 FKQ719675:FKQ719742 FUM719675:FUM719742 GEI719675:GEI719742 GOE719675:GOE719742 GYA719675:GYA719742 HHW719675:HHW719742 HRS719675:HRS719742 IBO719675:IBO719742 ILK719675:ILK719742 IVG719675:IVG719742 JFC719675:JFC719742 JOY719675:JOY719742 JYU719675:JYU719742 KIQ719675:KIQ719742 KSM719675:KSM719742 LCI719675:LCI719742 LME719675:LME719742 LWA719675:LWA719742 MFW719675:MFW719742 MPS719675:MPS719742 MZO719675:MZO719742 NJK719675:NJK719742 NTG719675:NTG719742 ODC719675:ODC719742 OMY719675:OMY719742 OWU719675:OWU719742 PGQ719675:PGQ719742 PQM719675:PQM719742 QAI719675:QAI719742 QKE719675:QKE719742 QUA719675:QUA719742 RDW719675:RDW719742 RNS719675:RNS719742 RXO719675:RXO719742 SHK719675:SHK719742 SRG719675:SRG719742 TBC719675:TBC719742 TKY719675:TKY719742 TUU719675:TUU719742 UEQ719675:UEQ719742 UOM719675:UOM719742 UYI719675:UYI719742 VIE719675:VIE719742 VSA719675:VSA719742 WBW719675:WBW719742 WLS719675:WLS719742 WVO719675:WVO719742 G785211:G785278 JC785211:JC785278 SY785211:SY785278 ACU785211:ACU785278 AMQ785211:AMQ785278 AWM785211:AWM785278 BGI785211:BGI785278 BQE785211:BQE785278 CAA785211:CAA785278 CJW785211:CJW785278 CTS785211:CTS785278 DDO785211:DDO785278 DNK785211:DNK785278 DXG785211:DXG785278 EHC785211:EHC785278 EQY785211:EQY785278 FAU785211:FAU785278 FKQ785211:FKQ785278 FUM785211:FUM785278 GEI785211:GEI785278 GOE785211:GOE785278 GYA785211:GYA785278 HHW785211:HHW785278 HRS785211:HRS785278 IBO785211:IBO785278 ILK785211:ILK785278 IVG785211:IVG785278 JFC785211:JFC785278 JOY785211:JOY785278 JYU785211:JYU785278 KIQ785211:KIQ785278 KSM785211:KSM785278 LCI785211:LCI785278 LME785211:LME785278 LWA785211:LWA785278 MFW785211:MFW785278 MPS785211:MPS785278 MZO785211:MZO785278 NJK785211:NJK785278 NTG785211:NTG785278 ODC785211:ODC785278 OMY785211:OMY785278 OWU785211:OWU785278 PGQ785211:PGQ785278 PQM785211:PQM785278 QAI785211:QAI785278 QKE785211:QKE785278 QUA785211:QUA785278 RDW785211:RDW785278 RNS785211:RNS785278 RXO785211:RXO785278 SHK785211:SHK785278 SRG785211:SRG785278 TBC785211:TBC785278 TKY785211:TKY785278 TUU785211:TUU785278 UEQ785211:UEQ785278 UOM785211:UOM785278 UYI785211:UYI785278 VIE785211:VIE785278 VSA785211:VSA785278 WBW785211:WBW785278 WLS785211:WLS785278 WVO785211:WVO785278 G850747:G850814 JC850747:JC850814 SY850747:SY850814 ACU850747:ACU850814 AMQ850747:AMQ850814 AWM850747:AWM850814 BGI850747:BGI850814 BQE850747:BQE850814 CAA850747:CAA850814 CJW850747:CJW850814 CTS850747:CTS850814 DDO850747:DDO850814 DNK850747:DNK850814 DXG850747:DXG850814 EHC850747:EHC850814 EQY850747:EQY850814 FAU850747:FAU850814 FKQ850747:FKQ850814 FUM850747:FUM850814 GEI850747:GEI850814 GOE850747:GOE850814 GYA850747:GYA850814 HHW850747:HHW850814 HRS850747:HRS850814 IBO850747:IBO850814 ILK850747:ILK850814 IVG850747:IVG850814 JFC850747:JFC850814 JOY850747:JOY850814 JYU850747:JYU850814 KIQ850747:KIQ850814 KSM850747:KSM850814 LCI850747:LCI850814 LME850747:LME850814 LWA850747:LWA850814 MFW850747:MFW850814 MPS850747:MPS850814 MZO850747:MZO850814 NJK850747:NJK850814 NTG850747:NTG850814 ODC850747:ODC850814 OMY850747:OMY850814 OWU850747:OWU850814 PGQ850747:PGQ850814 PQM850747:PQM850814 QAI850747:QAI850814 QKE850747:QKE850814 QUA850747:QUA850814 RDW850747:RDW850814 RNS850747:RNS850814 RXO850747:RXO850814 SHK850747:SHK850814 SRG850747:SRG850814 TBC850747:TBC850814 TKY850747:TKY850814 TUU850747:TUU850814 UEQ850747:UEQ850814 UOM850747:UOM850814 UYI850747:UYI850814 VIE850747:VIE850814 VSA850747:VSA850814 WBW850747:WBW850814 WLS850747:WLS850814 WVO850747:WVO850814 G916283:G916350 JC916283:JC916350 SY916283:SY916350 ACU916283:ACU916350 AMQ916283:AMQ916350 AWM916283:AWM916350 BGI916283:BGI916350 BQE916283:BQE916350 CAA916283:CAA916350 CJW916283:CJW916350 CTS916283:CTS916350 DDO916283:DDO916350 DNK916283:DNK916350 DXG916283:DXG916350 EHC916283:EHC916350 EQY916283:EQY916350 FAU916283:FAU916350 FKQ916283:FKQ916350 FUM916283:FUM916350 GEI916283:GEI916350 GOE916283:GOE916350 GYA916283:GYA916350 HHW916283:HHW916350 HRS916283:HRS916350 IBO916283:IBO916350 ILK916283:ILK916350 IVG916283:IVG916350 JFC916283:JFC916350 JOY916283:JOY916350 JYU916283:JYU916350 KIQ916283:KIQ916350 KSM916283:KSM916350 LCI916283:LCI916350 LME916283:LME916350 LWA916283:LWA916350 MFW916283:MFW916350 MPS916283:MPS916350 MZO916283:MZO916350 NJK916283:NJK916350 NTG916283:NTG916350 ODC916283:ODC916350 OMY916283:OMY916350 OWU916283:OWU916350 PGQ916283:PGQ916350 PQM916283:PQM916350 QAI916283:QAI916350 QKE916283:QKE916350 QUA916283:QUA916350 RDW916283:RDW916350 RNS916283:RNS916350 RXO916283:RXO916350 SHK916283:SHK916350 SRG916283:SRG916350 TBC916283:TBC916350 TKY916283:TKY916350 TUU916283:TUU916350 UEQ916283:UEQ916350 UOM916283:UOM916350 UYI916283:UYI916350 VIE916283:VIE916350 VSA916283:VSA916350 WBW916283:WBW916350 WLS916283:WLS916350 WVO916283:WVO916350 G981819:G981886 JC981819:JC981886 SY981819:SY981886 ACU981819:ACU981886 AMQ981819:AMQ981886 AWM981819:AWM981886 BGI981819:BGI981886 BQE981819:BQE981886 CAA981819:CAA981886 CJW981819:CJW981886 CTS981819:CTS981886 DDO981819:DDO981886 DNK981819:DNK981886 DXG981819:DXG981886 EHC981819:EHC981886 EQY981819:EQY981886 FAU981819:FAU981886 FKQ981819:FKQ981886 FUM981819:FUM981886 GEI981819:GEI981886 GOE981819:GOE981886 GYA981819:GYA981886 HHW981819:HHW981886 HRS981819:HRS981886 IBO981819:IBO981886 ILK981819:ILK981886 IVG981819:IVG981886 JFC981819:JFC981886 JOY981819:JOY981886 JYU981819:JYU981886 KIQ981819:KIQ981886 KSM981819:KSM981886 LCI981819:LCI981886 LME981819:LME981886 LWA981819:LWA981886 MFW981819:MFW981886 MPS981819:MPS981886 MZO981819:MZO981886 NJK981819:NJK981886 NTG981819:NTG981886 ODC981819:ODC981886 OMY981819:OMY981886 OWU981819:OWU981886 PGQ981819:PGQ981886 PQM981819:PQM981886 QAI981819:QAI981886 QKE981819:QKE981886 QUA981819:QUA981886 RDW981819:RDW981886 RNS981819:RNS981886 RXO981819:RXO981886 SHK981819:SHK981886 SRG981819:SRG981886 TBC981819:TBC981886 TKY981819:TKY981886 TUU981819:TUU981886 UEQ981819:UEQ981886 UOM981819:UOM981886 UYI981819:UYI981886 VIE981819:VIE981886 VSA981819:VSA981886 WBW981819:WBW981886 WLS981819:WLS981886 WVO981819:WVO981886 G1047355:G1047422 JC1047355:JC1047422 SY1047355:SY1047422 ACU1047355:ACU1047422 AMQ1047355:AMQ1047422 AWM1047355:AWM1047422 BGI1047355:BGI1047422 BQE1047355:BQE1047422 CAA1047355:CAA1047422 CJW1047355:CJW1047422 CTS1047355:CTS1047422 DDO1047355:DDO1047422 DNK1047355:DNK1047422 DXG1047355:DXG1047422 EHC1047355:EHC1047422 EQY1047355:EQY1047422 FAU1047355:FAU1047422 FKQ1047355:FKQ1047422 FUM1047355:FUM1047422 GEI1047355:GEI1047422 GOE1047355:GOE1047422 GYA1047355:GYA1047422 HHW1047355:HHW1047422 HRS1047355:HRS1047422 IBO1047355:IBO1047422 ILK1047355:ILK1047422 IVG1047355:IVG1047422 JFC1047355:JFC1047422 JOY1047355:JOY1047422 JYU1047355:JYU1047422 KIQ1047355:KIQ1047422 KSM1047355:KSM1047422 LCI1047355:LCI1047422 LME1047355:LME1047422 LWA1047355:LWA1047422 MFW1047355:MFW1047422 MPS1047355:MPS1047422 MZO1047355:MZO1047422 NJK1047355:NJK1047422 NTG1047355:NTG1047422 ODC1047355:ODC1047422 OMY1047355:OMY1047422 OWU1047355:OWU1047422 PGQ1047355:PGQ1047422 PQM1047355:PQM1047422 QAI1047355:QAI1047422 QKE1047355:QKE1047422 QUA1047355:QUA1047422 RDW1047355:RDW1047422 RNS1047355:RNS1047422 RXO1047355:RXO1047422 SHK1047355:SHK1047422 SRG1047355:SRG1047422 TBC1047355:TBC1047422 TKY1047355:TKY1047422 TUU1047355:TUU1047422 UEQ1047355:UEQ1047422 UOM1047355:UOM1047422 UYI1047355:UYI1047422 VIE1047355:VIE1047422 VSA1047355:VSA1047422 WBW1047355:WBW1047422 WLS1047355:WLS1047422 WVO1047355:WVO1047422 WVO982994:WVO983065 G65490:G65561 JC65490:JC65561 SY65490:SY65561 ACU65490:ACU65561 AMQ65490:AMQ65561 AWM65490:AWM65561 BGI65490:BGI65561 BQE65490:BQE65561 CAA65490:CAA65561 CJW65490:CJW65561 CTS65490:CTS65561 DDO65490:DDO65561 DNK65490:DNK65561 DXG65490:DXG65561 EHC65490:EHC65561 EQY65490:EQY65561 FAU65490:FAU65561 FKQ65490:FKQ65561 FUM65490:FUM65561 GEI65490:GEI65561 GOE65490:GOE65561 GYA65490:GYA65561 HHW65490:HHW65561 HRS65490:HRS65561 IBO65490:IBO65561 ILK65490:ILK65561 IVG65490:IVG65561 JFC65490:JFC65561 JOY65490:JOY65561 JYU65490:JYU65561 KIQ65490:KIQ65561 KSM65490:KSM65561 LCI65490:LCI65561 LME65490:LME65561 LWA65490:LWA65561 MFW65490:MFW65561 MPS65490:MPS65561 MZO65490:MZO65561 NJK65490:NJK65561 NTG65490:NTG65561 ODC65490:ODC65561 OMY65490:OMY65561 OWU65490:OWU65561 PGQ65490:PGQ65561 PQM65490:PQM65561 QAI65490:QAI65561 QKE65490:QKE65561 QUA65490:QUA65561 RDW65490:RDW65561 RNS65490:RNS65561 RXO65490:RXO65561 SHK65490:SHK65561 SRG65490:SRG65561 TBC65490:TBC65561 TKY65490:TKY65561 TUU65490:TUU65561 UEQ65490:UEQ65561 UOM65490:UOM65561 UYI65490:UYI65561 VIE65490:VIE65561 VSA65490:VSA65561 WBW65490:WBW65561 WLS65490:WLS65561 WVO65490:WVO65561 G131026:G131097 JC131026:JC131097 SY131026:SY131097 ACU131026:ACU131097 AMQ131026:AMQ131097 AWM131026:AWM131097 BGI131026:BGI131097 BQE131026:BQE131097 CAA131026:CAA131097 CJW131026:CJW131097 CTS131026:CTS131097 DDO131026:DDO131097 DNK131026:DNK131097 DXG131026:DXG131097 EHC131026:EHC131097 EQY131026:EQY131097 FAU131026:FAU131097 FKQ131026:FKQ131097 FUM131026:FUM131097 GEI131026:GEI131097 GOE131026:GOE131097 GYA131026:GYA131097 HHW131026:HHW131097 HRS131026:HRS131097 IBO131026:IBO131097 ILK131026:ILK131097 IVG131026:IVG131097 JFC131026:JFC131097 JOY131026:JOY131097 JYU131026:JYU131097 KIQ131026:KIQ131097 KSM131026:KSM131097 LCI131026:LCI131097 LME131026:LME131097 LWA131026:LWA131097 MFW131026:MFW131097 MPS131026:MPS131097 MZO131026:MZO131097 NJK131026:NJK131097 NTG131026:NTG131097 ODC131026:ODC131097 OMY131026:OMY131097 OWU131026:OWU131097 PGQ131026:PGQ131097 PQM131026:PQM131097 QAI131026:QAI131097 QKE131026:QKE131097 QUA131026:QUA131097 RDW131026:RDW131097 RNS131026:RNS131097 RXO131026:RXO131097 SHK131026:SHK131097 SRG131026:SRG131097 TBC131026:TBC131097 TKY131026:TKY131097 TUU131026:TUU131097 UEQ131026:UEQ131097 UOM131026:UOM131097 UYI131026:UYI131097 VIE131026:VIE131097 VSA131026:VSA131097 WBW131026:WBW131097 WLS131026:WLS131097 WVO131026:WVO131097 G196562:G196633 JC196562:JC196633 SY196562:SY196633 ACU196562:ACU196633 AMQ196562:AMQ196633 AWM196562:AWM196633 BGI196562:BGI196633 BQE196562:BQE196633 CAA196562:CAA196633 CJW196562:CJW196633 CTS196562:CTS196633 DDO196562:DDO196633 DNK196562:DNK196633 DXG196562:DXG196633 EHC196562:EHC196633 EQY196562:EQY196633 FAU196562:FAU196633 FKQ196562:FKQ196633 FUM196562:FUM196633 GEI196562:GEI196633 GOE196562:GOE196633 GYA196562:GYA196633 HHW196562:HHW196633 HRS196562:HRS196633 IBO196562:IBO196633 ILK196562:ILK196633 IVG196562:IVG196633 JFC196562:JFC196633 JOY196562:JOY196633 JYU196562:JYU196633 KIQ196562:KIQ196633 KSM196562:KSM196633 LCI196562:LCI196633 LME196562:LME196633 LWA196562:LWA196633 MFW196562:MFW196633 MPS196562:MPS196633 MZO196562:MZO196633 NJK196562:NJK196633 NTG196562:NTG196633 ODC196562:ODC196633 OMY196562:OMY196633 OWU196562:OWU196633 PGQ196562:PGQ196633 PQM196562:PQM196633 QAI196562:QAI196633 QKE196562:QKE196633 QUA196562:QUA196633 RDW196562:RDW196633 RNS196562:RNS196633 RXO196562:RXO196633 SHK196562:SHK196633 SRG196562:SRG196633 TBC196562:TBC196633 TKY196562:TKY196633 TUU196562:TUU196633 UEQ196562:UEQ196633 UOM196562:UOM196633 UYI196562:UYI196633 VIE196562:VIE196633 VSA196562:VSA196633 WBW196562:WBW196633 WLS196562:WLS196633 WVO196562:WVO196633 G262098:G262169 JC262098:JC262169 SY262098:SY262169 ACU262098:ACU262169 AMQ262098:AMQ262169 AWM262098:AWM262169 BGI262098:BGI262169 BQE262098:BQE262169 CAA262098:CAA262169 CJW262098:CJW262169 CTS262098:CTS262169 DDO262098:DDO262169 DNK262098:DNK262169 DXG262098:DXG262169 EHC262098:EHC262169 EQY262098:EQY262169 FAU262098:FAU262169 FKQ262098:FKQ262169 FUM262098:FUM262169 GEI262098:GEI262169 GOE262098:GOE262169 GYA262098:GYA262169 HHW262098:HHW262169 HRS262098:HRS262169 IBO262098:IBO262169 ILK262098:ILK262169 IVG262098:IVG262169 JFC262098:JFC262169 JOY262098:JOY262169 JYU262098:JYU262169 KIQ262098:KIQ262169 KSM262098:KSM262169 LCI262098:LCI262169 LME262098:LME262169 LWA262098:LWA262169 MFW262098:MFW262169 MPS262098:MPS262169 MZO262098:MZO262169 NJK262098:NJK262169 NTG262098:NTG262169 ODC262098:ODC262169 OMY262098:OMY262169 OWU262098:OWU262169 PGQ262098:PGQ262169 PQM262098:PQM262169 QAI262098:QAI262169 QKE262098:QKE262169 QUA262098:QUA262169 RDW262098:RDW262169 RNS262098:RNS262169 RXO262098:RXO262169 SHK262098:SHK262169 SRG262098:SRG262169 TBC262098:TBC262169 TKY262098:TKY262169 TUU262098:TUU262169 UEQ262098:UEQ262169 UOM262098:UOM262169 UYI262098:UYI262169 VIE262098:VIE262169 VSA262098:VSA262169 WBW262098:WBW262169 WLS262098:WLS262169 WVO262098:WVO262169 G327634:G327705 JC327634:JC327705 SY327634:SY327705 ACU327634:ACU327705 AMQ327634:AMQ327705 AWM327634:AWM327705 BGI327634:BGI327705 BQE327634:BQE327705 CAA327634:CAA327705 CJW327634:CJW327705 CTS327634:CTS327705 DDO327634:DDO327705 DNK327634:DNK327705 DXG327634:DXG327705 EHC327634:EHC327705 EQY327634:EQY327705 FAU327634:FAU327705 FKQ327634:FKQ327705 FUM327634:FUM327705 GEI327634:GEI327705 GOE327634:GOE327705 GYA327634:GYA327705 HHW327634:HHW327705 HRS327634:HRS327705 IBO327634:IBO327705 ILK327634:ILK327705 IVG327634:IVG327705 JFC327634:JFC327705 JOY327634:JOY327705 JYU327634:JYU327705 KIQ327634:KIQ327705 KSM327634:KSM327705 LCI327634:LCI327705 LME327634:LME327705 LWA327634:LWA327705 MFW327634:MFW327705 MPS327634:MPS327705 MZO327634:MZO327705 NJK327634:NJK327705 NTG327634:NTG327705 ODC327634:ODC327705 OMY327634:OMY327705 OWU327634:OWU327705 PGQ327634:PGQ327705 PQM327634:PQM327705 QAI327634:QAI327705 QKE327634:QKE327705 QUA327634:QUA327705 RDW327634:RDW327705 RNS327634:RNS327705 RXO327634:RXO327705 SHK327634:SHK327705 SRG327634:SRG327705 TBC327634:TBC327705 TKY327634:TKY327705 TUU327634:TUU327705 UEQ327634:UEQ327705 UOM327634:UOM327705 UYI327634:UYI327705 VIE327634:VIE327705 VSA327634:VSA327705 WBW327634:WBW327705 WLS327634:WLS327705 WVO327634:WVO327705 G393170:G393241 JC393170:JC393241 SY393170:SY393241 ACU393170:ACU393241 AMQ393170:AMQ393241 AWM393170:AWM393241 BGI393170:BGI393241 BQE393170:BQE393241 CAA393170:CAA393241 CJW393170:CJW393241 CTS393170:CTS393241 DDO393170:DDO393241 DNK393170:DNK393241 DXG393170:DXG393241 EHC393170:EHC393241 EQY393170:EQY393241 FAU393170:FAU393241 FKQ393170:FKQ393241 FUM393170:FUM393241 GEI393170:GEI393241 GOE393170:GOE393241 GYA393170:GYA393241 HHW393170:HHW393241 HRS393170:HRS393241 IBO393170:IBO393241 ILK393170:ILK393241 IVG393170:IVG393241 JFC393170:JFC393241 JOY393170:JOY393241 JYU393170:JYU393241 KIQ393170:KIQ393241 KSM393170:KSM393241 LCI393170:LCI393241 LME393170:LME393241 LWA393170:LWA393241 MFW393170:MFW393241 MPS393170:MPS393241 MZO393170:MZO393241 NJK393170:NJK393241 NTG393170:NTG393241 ODC393170:ODC393241 OMY393170:OMY393241 OWU393170:OWU393241 PGQ393170:PGQ393241 PQM393170:PQM393241 QAI393170:QAI393241 QKE393170:QKE393241 QUA393170:QUA393241 RDW393170:RDW393241 RNS393170:RNS393241 RXO393170:RXO393241 SHK393170:SHK393241 SRG393170:SRG393241 TBC393170:TBC393241 TKY393170:TKY393241 TUU393170:TUU393241 UEQ393170:UEQ393241 UOM393170:UOM393241 UYI393170:UYI393241 VIE393170:VIE393241 VSA393170:VSA393241 WBW393170:WBW393241 WLS393170:WLS393241 WVO393170:WVO393241 G458706:G458777 JC458706:JC458777 SY458706:SY458777 ACU458706:ACU458777 AMQ458706:AMQ458777 AWM458706:AWM458777 BGI458706:BGI458777 BQE458706:BQE458777 CAA458706:CAA458777 CJW458706:CJW458777 CTS458706:CTS458777 DDO458706:DDO458777 DNK458706:DNK458777 DXG458706:DXG458777 EHC458706:EHC458777 EQY458706:EQY458777 FAU458706:FAU458777 FKQ458706:FKQ458777 FUM458706:FUM458777 GEI458706:GEI458777 GOE458706:GOE458777 GYA458706:GYA458777 HHW458706:HHW458777 HRS458706:HRS458777 IBO458706:IBO458777 ILK458706:ILK458777 IVG458706:IVG458777 JFC458706:JFC458777 JOY458706:JOY458777 JYU458706:JYU458777 KIQ458706:KIQ458777 KSM458706:KSM458777 LCI458706:LCI458777 LME458706:LME458777 LWA458706:LWA458777 MFW458706:MFW458777 MPS458706:MPS458777 MZO458706:MZO458777 NJK458706:NJK458777 NTG458706:NTG458777 ODC458706:ODC458777 OMY458706:OMY458777 OWU458706:OWU458777 PGQ458706:PGQ458777 PQM458706:PQM458777 QAI458706:QAI458777 QKE458706:QKE458777 QUA458706:QUA458777 RDW458706:RDW458777 RNS458706:RNS458777 RXO458706:RXO458777 SHK458706:SHK458777 SRG458706:SRG458777 TBC458706:TBC458777 TKY458706:TKY458777 TUU458706:TUU458777 UEQ458706:UEQ458777 UOM458706:UOM458777 UYI458706:UYI458777 VIE458706:VIE458777 VSA458706:VSA458777 WBW458706:WBW458777 WLS458706:WLS458777 WVO458706:WVO458777 G524242:G524313 JC524242:JC524313 SY524242:SY524313 ACU524242:ACU524313 AMQ524242:AMQ524313 AWM524242:AWM524313 BGI524242:BGI524313 BQE524242:BQE524313 CAA524242:CAA524313 CJW524242:CJW524313 CTS524242:CTS524313 DDO524242:DDO524313 DNK524242:DNK524313 DXG524242:DXG524313 EHC524242:EHC524313 EQY524242:EQY524313 FAU524242:FAU524313 FKQ524242:FKQ524313 FUM524242:FUM524313 GEI524242:GEI524313 GOE524242:GOE524313 GYA524242:GYA524313 HHW524242:HHW524313 HRS524242:HRS524313 IBO524242:IBO524313 ILK524242:ILK524313 IVG524242:IVG524313 JFC524242:JFC524313 JOY524242:JOY524313 JYU524242:JYU524313 KIQ524242:KIQ524313 KSM524242:KSM524313 LCI524242:LCI524313 LME524242:LME524313 LWA524242:LWA524313 MFW524242:MFW524313 MPS524242:MPS524313 MZO524242:MZO524313 NJK524242:NJK524313 NTG524242:NTG524313 ODC524242:ODC524313 OMY524242:OMY524313 OWU524242:OWU524313 PGQ524242:PGQ524313 PQM524242:PQM524313 QAI524242:QAI524313 QKE524242:QKE524313 QUA524242:QUA524313 RDW524242:RDW524313 RNS524242:RNS524313 RXO524242:RXO524313 SHK524242:SHK524313 SRG524242:SRG524313 TBC524242:TBC524313 TKY524242:TKY524313 TUU524242:TUU524313 UEQ524242:UEQ524313 UOM524242:UOM524313 UYI524242:UYI524313 VIE524242:VIE524313 VSA524242:VSA524313 WBW524242:WBW524313 WLS524242:WLS524313 WVO524242:WVO524313 G589778:G589849 JC589778:JC589849 SY589778:SY589849 ACU589778:ACU589849 AMQ589778:AMQ589849 AWM589778:AWM589849 BGI589778:BGI589849 BQE589778:BQE589849 CAA589778:CAA589849 CJW589778:CJW589849 CTS589778:CTS589849 DDO589778:DDO589849 DNK589778:DNK589849 DXG589778:DXG589849 EHC589778:EHC589849 EQY589778:EQY589849 FAU589778:FAU589849 FKQ589778:FKQ589849 FUM589778:FUM589849 GEI589778:GEI589849 GOE589778:GOE589849 GYA589778:GYA589849 HHW589778:HHW589849 HRS589778:HRS589849 IBO589778:IBO589849 ILK589778:ILK589849 IVG589778:IVG589849 JFC589778:JFC589849 JOY589778:JOY589849 JYU589778:JYU589849 KIQ589778:KIQ589849 KSM589778:KSM589849 LCI589778:LCI589849 LME589778:LME589849 LWA589778:LWA589849 MFW589778:MFW589849 MPS589778:MPS589849 MZO589778:MZO589849 NJK589778:NJK589849 NTG589778:NTG589849 ODC589778:ODC589849 OMY589778:OMY589849 OWU589778:OWU589849 PGQ589778:PGQ589849 PQM589778:PQM589849 QAI589778:QAI589849 QKE589778:QKE589849 QUA589778:QUA589849 RDW589778:RDW589849 RNS589778:RNS589849 RXO589778:RXO589849 SHK589778:SHK589849 SRG589778:SRG589849 TBC589778:TBC589849 TKY589778:TKY589849 TUU589778:TUU589849 UEQ589778:UEQ589849 UOM589778:UOM589849 UYI589778:UYI589849 VIE589778:VIE589849 VSA589778:VSA589849 WBW589778:WBW589849 WLS589778:WLS589849 WVO589778:WVO589849 G655314:G655385 JC655314:JC655385 SY655314:SY655385 ACU655314:ACU655385 AMQ655314:AMQ655385 AWM655314:AWM655385 BGI655314:BGI655385 BQE655314:BQE655385 CAA655314:CAA655385 CJW655314:CJW655385 CTS655314:CTS655385 DDO655314:DDO655385 DNK655314:DNK655385 DXG655314:DXG655385 EHC655314:EHC655385 EQY655314:EQY655385 FAU655314:FAU655385 FKQ655314:FKQ655385 FUM655314:FUM655385 GEI655314:GEI655385 GOE655314:GOE655385 GYA655314:GYA655385 HHW655314:HHW655385 HRS655314:HRS655385 IBO655314:IBO655385 ILK655314:ILK655385 IVG655314:IVG655385 JFC655314:JFC655385 JOY655314:JOY655385 JYU655314:JYU655385 KIQ655314:KIQ655385 KSM655314:KSM655385 LCI655314:LCI655385 LME655314:LME655385 LWA655314:LWA655385 MFW655314:MFW655385 MPS655314:MPS655385 MZO655314:MZO655385 NJK655314:NJK655385 NTG655314:NTG655385 ODC655314:ODC655385 OMY655314:OMY655385 OWU655314:OWU655385 PGQ655314:PGQ655385 PQM655314:PQM655385 QAI655314:QAI655385 QKE655314:QKE655385 QUA655314:QUA655385 RDW655314:RDW655385 RNS655314:RNS655385 RXO655314:RXO655385 SHK655314:SHK655385 SRG655314:SRG655385 TBC655314:TBC655385 TKY655314:TKY655385 TUU655314:TUU655385 UEQ655314:UEQ655385 UOM655314:UOM655385 UYI655314:UYI655385 VIE655314:VIE655385 VSA655314:VSA655385 WBW655314:WBW655385 WLS655314:WLS655385 WVO655314:WVO655385 G720850:G720921 JC720850:JC720921 SY720850:SY720921 ACU720850:ACU720921 AMQ720850:AMQ720921 AWM720850:AWM720921 BGI720850:BGI720921 BQE720850:BQE720921 CAA720850:CAA720921 CJW720850:CJW720921 CTS720850:CTS720921 DDO720850:DDO720921 DNK720850:DNK720921 DXG720850:DXG720921 EHC720850:EHC720921 EQY720850:EQY720921 FAU720850:FAU720921 FKQ720850:FKQ720921 FUM720850:FUM720921 GEI720850:GEI720921 GOE720850:GOE720921 GYA720850:GYA720921 HHW720850:HHW720921 HRS720850:HRS720921 IBO720850:IBO720921 ILK720850:ILK720921 IVG720850:IVG720921 JFC720850:JFC720921 JOY720850:JOY720921 JYU720850:JYU720921 KIQ720850:KIQ720921 KSM720850:KSM720921 LCI720850:LCI720921 LME720850:LME720921 LWA720850:LWA720921 MFW720850:MFW720921 MPS720850:MPS720921 MZO720850:MZO720921 NJK720850:NJK720921 NTG720850:NTG720921 ODC720850:ODC720921 OMY720850:OMY720921 OWU720850:OWU720921 PGQ720850:PGQ720921 PQM720850:PQM720921 QAI720850:QAI720921 QKE720850:QKE720921 QUA720850:QUA720921 RDW720850:RDW720921 RNS720850:RNS720921 RXO720850:RXO720921 SHK720850:SHK720921 SRG720850:SRG720921 TBC720850:TBC720921 TKY720850:TKY720921 TUU720850:TUU720921 UEQ720850:UEQ720921 UOM720850:UOM720921 UYI720850:UYI720921 VIE720850:VIE720921 VSA720850:VSA720921 WBW720850:WBW720921 WLS720850:WLS720921 WVO720850:WVO720921 G786386:G786457 JC786386:JC786457 SY786386:SY786457 ACU786386:ACU786457 AMQ786386:AMQ786457 AWM786386:AWM786457 BGI786386:BGI786457 BQE786386:BQE786457 CAA786386:CAA786457 CJW786386:CJW786457 CTS786386:CTS786457 DDO786386:DDO786457 DNK786386:DNK786457 DXG786386:DXG786457 EHC786386:EHC786457 EQY786386:EQY786457 FAU786386:FAU786457 FKQ786386:FKQ786457 FUM786386:FUM786457 GEI786386:GEI786457 GOE786386:GOE786457 GYA786386:GYA786457 HHW786386:HHW786457 HRS786386:HRS786457 IBO786386:IBO786457 ILK786386:ILK786457 IVG786386:IVG786457 JFC786386:JFC786457 JOY786386:JOY786457 JYU786386:JYU786457 KIQ786386:KIQ786457 KSM786386:KSM786457 LCI786386:LCI786457 LME786386:LME786457 LWA786386:LWA786457 MFW786386:MFW786457 MPS786386:MPS786457 MZO786386:MZO786457 NJK786386:NJK786457 NTG786386:NTG786457 ODC786386:ODC786457 OMY786386:OMY786457 OWU786386:OWU786457 PGQ786386:PGQ786457 PQM786386:PQM786457 QAI786386:QAI786457 QKE786386:QKE786457 QUA786386:QUA786457 RDW786386:RDW786457 RNS786386:RNS786457 RXO786386:RXO786457 SHK786386:SHK786457 SRG786386:SRG786457 TBC786386:TBC786457 TKY786386:TKY786457 TUU786386:TUU786457 UEQ786386:UEQ786457 UOM786386:UOM786457 UYI786386:UYI786457 VIE786386:VIE786457 VSA786386:VSA786457 WBW786386:WBW786457 WLS786386:WLS786457 WVO786386:WVO786457 G851922:G851993 JC851922:JC851993 SY851922:SY851993 ACU851922:ACU851993 AMQ851922:AMQ851993 AWM851922:AWM851993 BGI851922:BGI851993 BQE851922:BQE851993 CAA851922:CAA851993 CJW851922:CJW851993 CTS851922:CTS851993 DDO851922:DDO851993 DNK851922:DNK851993 DXG851922:DXG851993 EHC851922:EHC851993 EQY851922:EQY851993 FAU851922:FAU851993 FKQ851922:FKQ851993 FUM851922:FUM851993 GEI851922:GEI851993 GOE851922:GOE851993 GYA851922:GYA851993 HHW851922:HHW851993 HRS851922:HRS851993 IBO851922:IBO851993 ILK851922:ILK851993 IVG851922:IVG851993 JFC851922:JFC851993 JOY851922:JOY851993 JYU851922:JYU851993 KIQ851922:KIQ851993 KSM851922:KSM851993 LCI851922:LCI851993 LME851922:LME851993 LWA851922:LWA851993 MFW851922:MFW851993 MPS851922:MPS851993 MZO851922:MZO851993 NJK851922:NJK851993 NTG851922:NTG851993 ODC851922:ODC851993 OMY851922:OMY851993 OWU851922:OWU851993 PGQ851922:PGQ851993 PQM851922:PQM851993 QAI851922:QAI851993 QKE851922:QKE851993 QUA851922:QUA851993 RDW851922:RDW851993 RNS851922:RNS851993 RXO851922:RXO851993 SHK851922:SHK851993 SRG851922:SRG851993 TBC851922:TBC851993 TKY851922:TKY851993 TUU851922:TUU851993 UEQ851922:UEQ851993 UOM851922:UOM851993 UYI851922:UYI851993 VIE851922:VIE851993 VSA851922:VSA851993 WBW851922:WBW851993 WLS851922:WLS851993 WVO851922:WVO851993 G917458:G917529 JC917458:JC917529 SY917458:SY917529 ACU917458:ACU917529 AMQ917458:AMQ917529 AWM917458:AWM917529 BGI917458:BGI917529 BQE917458:BQE917529 CAA917458:CAA917529 CJW917458:CJW917529 CTS917458:CTS917529 DDO917458:DDO917529 DNK917458:DNK917529 DXG917458:DXG917529 EHC917458:EHC917529 EQY917458:EQY917529 FAU917458:FAU917529 FKQ917458:FKQ917529 FUM917458:FUM917529 GEI917458:GEI917529 GOE917458:GOE917529 GYA917458:GYA917529 HHW917458:HHW917529 HRS917458:HRS917529 IBO917458:IBO917529 ILK917458:ILK917529 IVG917458:IVG917529 JFC917458:JFC917529 JOY917458:JOY917529 JYU917458:JYU917529 KIQ917458:KIQ917529 KSM917458:KSM917529 LCI917458:LCI917529 LME917458:LME917529 LWA917458:LWA917529 MFW917458:MFW917529 MPS917458:MPS917529 MZO917458:MZO917529 NJK917458:NJK917529 NTG917458:NTG917529 ODC917458:ODC917529 OMY917458:OMY917529 OWU917458:OWU917529 PGQ917458:PGQ917529 PQM917458:PQM917529 QAI917458:QAI917529 QKE917458:QKE917529 QUA917458:QUA917529 RDW917458:RDW917529 RNS917458:RNS917529 RXO917458:RXO917529 SHK917458:SHK917529 SRG917458:SRG917529 TBC917458:TBC917529 TKY917458:TKY917529 TUU917458:TUU917529 UEQ917458:UEQ917529 UOM917458:UOM917529 UYI917458:UYI917529 VIE917458:VIE917529 VSA917458:VSA917529 WBW917458:WBW917529 WLS917458:WLS917529 WVO917458:WVO917529 G982994:G983065 JC982994:JC983065 SY982994:SY983065 ACU982994:ACU983065 AMQ982994:AMQ983065 AWM982994:AWM983065 BGI982994:BGI983065 BQE982994:BQE983065 CAA982994:CAA983065 CJW982994:CJW983065 CTS982994:CTS983065 DDO982994:DDO983065 DNK982994:DNK983065 DXG982994:DXG983065 EHC982994:EHC983065 EQY982994:EQY983065 FAU982994:FAU983065 FKQ982994:FKQ983065 FUM982994:FUM983065 GEI982994:GEI983065 GOE982994:GOE983065 GYA982994:GYA983065 HHW982994:HHW983065 HRS982994:HRS983065 IBO982994:IBO983065 ILK982994:ILK983065 IVG982994:IVG983065 JFC982994:JFC983065 JOY982994:JOY983065 JYU982994:JYU983065 KIQ982994:KIQ983065 KSM982994:KSM983065 LCI982994:LCI983065 LME982994:LME983065 LWA982994:LWA983065 MFW982994:MFW983065 MPS982994:MPS983065 MZO982994:MZO983065 NJK982994:NJK983065 NTG982994:NTG983065 ODC982994:ODC983065 OMY982994:OMY983065 OWU982994:OWU983065 PGQ982994:PGQ983065 PQM982994:PQM983065 QAI982994:QAI983065 QKE982994:QKE983065 QUA982994:QUA983065 RDW982994:RDW983065 RNS982994:RNS983065 RXO982994:RXO983065 SHK982994:SHK983065 SRG982994:SRG983065 TBC982994:TBC983065 TKY982994:TKY983065 TUU982994:TUU983065 UEQ982994:UEQ983065 UOM982994:UOM983065 UYI982994:UYI983065 VIE982994:VIE983065 VSA982994:VSA983065 WBW982994:WBW983065 WLS982994:WLS983065 SY2:SY43 ACU2:ACU43 JC2:JC43 WVO2:WVO43 WLS2:WLS43 WBW2:WBW43 VSA2:VSA43 VIE2:VIE43 UYI2:UYI43 UOM2:UOM43 UEQ2:UEQ43 TUU2:TUU43 TKY2:TKY43 TBC2:TBC43 SRG2:SRG43 SHK2:SHK43 RXO2:RXO43 RNS2:RNS43 RDW2:RDW43 QUA2:QUA43 QKE2:QKE43 QAI2:QAI43 PQM2:PQM43 PGQ2:PGQ43 OWU2:OWU43 OMY2:OMY43 ODC2:ODC43 NTG2:NTG43 NJK2:NJK43 MZO2:MZO43 MPS2:MPS43 MFW2:MFW43 LWA2:LWA43 LME2:LME43 LCI2:LCI43 KSM2:KSM43 KIQ2:KIQ43 JYU2:JYU43 JOY2:JOY43 JFC2:JFC43 IVG2:IVG43 ILK2:ILK43 IBO2:IBO43 HRS2:HRS43 HHW2:HHW43 GYA2:GYA43 GOE2:GOE43 GEI2:GEI43 FUM2:FUM43 FKQ2:FKQ43 FAU2:FAU43 EQY2:EQY43 EHC2:EHC43 DXG2:DXG43 DNK2:DNK43 DDO2:DDO43 CTS2:CTS43 CJW2:CJW43 CAA2:CAA43 BQE2:BQE43 BGI2:BGI43 AWM2:AWM43 AMQ2:AMQ43 G2:G452" xr:uid="{41B08CB6-1E6A-42FE-8A31-9966CA4CF6B8}">
      <formula1>$AJ$2:$AJ$4</formula1>
    </dataValidation>
    <dataValidation type="list" allowBlank="1" showInputMessage="1" showErrorMessage="1" sqref="I64315:I64380 JE64315:JE64380 TA64315:TA64380 ACW64315:ACW64380 AMS64315:AMS64380 AWO64315:AWO64380 BGK64315:BGK64380 BQG64315:BQG64380 CAC64315:CAC64380 CJY64315:CJY64380 CTU64315:CTU64380 DDQ64315:DDQ64380 DNM64315:DNM64380 DXI64315:DXI64380 EHE64315:EHE64380 ERA64315:ERA64380 FAW64315:FAW64380 FKS64315:FKS64380 FUO64315:FUO64380 GEK64315:GEK64380 GOG64315:GOG64380 GYC64315:GYC64380 HHY64315:HHY64380 HRU64315:HRU64380 IBQ64315:IBQ64380 ILM64315:ILM64380 IVI64315:IVI64380 JFE64315:JFE64380 JPA64315:JPA64380 JYW64315:JYW64380 KIS64315:KIS64380 KSO64315:KSO64380 LCK64315:LCK64380 LMG64315:LMG64380 LWC64315:LWC64380 MFY64315:MFY64380 MPU64315:MPU64380 MZQ64315:MZQ64380 NJM64315:NJM64380 NTI64315:NTI64380 ODE64315:ODE64380 ONA64315:ONA64380 OWW64315:OWW64380 PGS64315:PGS64380 PQO64315:PQO64380 QAK64315:QAK64380 QKG64315:QKG64380 QUC64315:QUC64380 RDY64315:RDY64380 RNU64315:RNU64380 RXQ64315:RXQ64380 SHM64315:SHM64380 SRI64315:SRI64380 TBE64315:TBE64380 TLA64315:TLA64380 TUW64315:TUW64380 UES64315:UES64380 UOO64315:UOO64380 UYK64315:UYK64380 VIG64315:VIG64380 VSC64315:VSC64380 WBY64315:WBY64380 WLU64315:WLU64380 WVQ64315:WVQ64380 I129851:I129916 JE129851:JE129916 TA129851:TA129916 ACW129851:ACW129916 AMS129851:AMS129916 AWO129851:AWO129916 BGK129851:BGK129916 BQG129851:BQG129916 CAC129851:CAC129916 CJY129851:CJY129916 CTU129851:CTU129916 DDQ129851:DDQ129916 DNM129851:DNM129916 DXI129851:DXI129916 EHE129851:EHE129916 ERA129851:ERA129916 FAW129851:FAW129916 FKS129851:FKS129916 FUO129851:FUO129916 GEK129851:GEK129916 GOG129851:GOG129916 GYC129851:GYC129916 HHY129851:HHY129916 HRU129851:HRU129916 IBQ129851:IBQ129916 ILM129851:ILM129916 IVI129851:IVI129916 JFE129851:JFE129916 JPA129851:JPA129916 JYW129851:JYW129916 KIS129851:KIS129916 KSO129851:KSO129916 LCK129851:LCK129916 LMG129851:LMG129916 LWC129851:LWC129916 MFY129851:MFY129916 MPU129851:MPU129916 MZQ129851:MZQ129916 NJM129851:NJM129916 NTI129851:NTI129916 ODE129851:ODE129916 ONA129851:ONA129916 OWW129851:OWW129916 PGS129851:PGS129916 PQO129851:PQO129916 QAK129851:QAK129916 QKG129851:QKG129916 QUC129851:QUC129916 RDY129851:RDY129916 RNU129851:RNU129916 RXQ129851:RXQ129916 SHM129851:SHM129916 SRI129851:SRI129916 TBE129851:TBE129916 TLA129851:TLA129916 TUW129851:TUW129916 UES129851:UES129916 UOO129851:UOO129916 UYK129851:UYK129916 VIG129851:VIG129916 VSC129851:VSC129916 WBY129851:WBY129916 WLU129851:WLU129916 WVQ129851:WVQ129916 I195387:I195452 JE195387:JE195452 TA195387:TA195452 ACW195387:ACW195452 AMS195387:AMS195452 AWO195387:AWO195452 BGK195387:BGK195452 BQG195387:BQG195452 CAC195387:CAC195452 CJY195387:CJY195452 CTU195387:CTU195452 DDQ195387:DDQ195452 DNM195387:DNM195452 DXI195387:DXI195452 EHE195387:EHE195452 ERA195387:ERA195452 FAW195387:FAW195452 FKS195387:FKS195452 FUO195387:FUO195452 GEK195387:GEK195452 GOG195387:GOG195452 GYC195387:GYC195452 HHY195387:HHY195452 HRU195387:HRU195452 IBQ195387:IBQ195452 ILM195387:ILM195452 IVI195387:IVI195452 JFE195387:JFE195452 JPA195387:JPA195452 JYW195387:JYW195452 KIS195387:KIS195452 KSO195387:KSO195452 LCK195387:LCK195452 LMG195387:LMG195452 LWC195387:LWC195452 MFY195387:MFY195452 MPU195387:MPU195452 MZQ195387:MZQ195452 NJM195387:NJM195452 NTI195387:NTI195452 ODE195387:ODE195452 ONA195387:ONA195452 OWW195387:OWW195452 PGS195387:PGS195452 PQO195387:PQO195452 QAK195387:QAK195452 QKG195387:QKG195452 QUC195387:QUC195452 RDY195387:RDY195452 RNU195387:RNU195452 RXQ195387:RXQ195452 SHM195387:SHM195452 SRI195387:SRI195452 TBE195387:TBE195452 TLA195387:TLA195452 TUW195387:TUW195452 UES195387:UES195452 UOO195387:UOO195452 UYK195387:UYK195452 VIG195387:VIG195452 VSC195387:VSC195452 WBY195387:WBY195452 WLU195387:WLU195452 WVQ195387:WVQ195452 I260923:I260988 JE260923:JE260988 TA260923:TA260988 ACW260923:ACW260988 AMS260923:AMS260988 AWO260923:AWO260988 BGK260923:BGK260988 BQG260923:BQG260988 CAC260923:CAC260988 CJY260923:CJY260988 CTU260923:CTU260988 DDQ260923:DDQ260988 DNM260923:DNM260988 DXI260923:DXI260988 EHE260923:EHE260988 ERA260923:ERA260988 FAW260923:FAW260988 FKS260923:FKS260988 FUO260923:FUO260988 GEK260923:GEK260988 GOG260923:GOG260988 GYC260923:GYC260988 HHY260923:HHY260988 HRU260923:HRU260988 IBQ260923:IBQ260988 ILM260923:ILM260988 IVI260923:IVI260988 JFE260923:JFE260988 JPA260923:JPA260988 JYW260923:JYW260988 KIS260923:KIS260988 KSO260923:KSO260988 LCK260923:LCK260988 LMG260923:LMG260988 LWC260923:LWC260988 MFY260923:MFY260988 MPU260923:MPU260988 MZQ260923:MZQ260988 NJM260923:NJM260988 NTI260923:NTI260988 ODE260923:ODE260988 ONA260923:ONA260988 OWW260923:OWW260988 PGS260923:PGS260988 PQO260923:PQO260988 QAK260923:QAK260988 QKG260923:QKG260988 QUC260923:QUC260988 RDY260923:RDY260988 RNU260923:RNU260988 RXQ260923:RXQ260988 SHM260923:SHM260988 SRI260923:SRI260988 TBE260923:TBE260988 TLA260923:TLA260988 TUW260923:TUW260988 UES260923:UES260988 UOO260923:UOO260988 UYK260923:UYK260988 VIG260923:VIG260988 VSC260923:VSC260988 WBY260923:WBY260988 WLU260923:WLU260988 WVQ260923:WVQ260988 I326459:I326524 JE326459:JE326524 TA326459:TA326524 ACW326459:ACW326524 AMS326459:AMS326524 AWO326459:AWO326524 BGK326459:BGK326524 BQG326459:BQG326524 CAC326459:CAC326524 CJY326459:CJY326524 CTU326459:CTU326524 DDQ326459:DDQ326524 DNM326459:DNM326524 DXI326459:DXI326524 EHE326459:EHE326524 ERA326459:ERA326524 FAW326459:FAW326524 FKS326459:FKS326524 FUO326459:FUO326524 GEK326459:GEK326524 GOG326459:GOG326524 GYC326459:GYC326524 HHY326459:HHY326524 HRU326459:HRU326524 IBQ326459:IBQ326524 ILM326459:ILM326524 IVI326459:IVI326524 JFE326459:JFE326524 JPA326459:JPA326524 JYW326459:JYW326524 KIS326459:KIS326524 KSO326459:KSO326524 LCK326459:LCK326524 LMG326459:LMG326524 LWC326459:LWC326524 MFY326459:MFY326524 MPU326459:MPU326524 MZQ326459:MZQ326524 NJM326459:NJM326524 NTI326459:NTI326524 ODE326459:ODE326524 ONA326459:ONA326524 OWW326459:OWW326524 PGS326459:PGS326524 PQO326459:PQO326524 QAK326459:QAK326524 QKG326459:QKG326524 QUC326459:QUC326524 RDY326459:RDY326524 RNU326459:RNU326524 RXQ326459:RXQ326524 SHM326459:SHM326524 SRI326459:SRI326524 TBE326459:TBE326524 TLA326459:TLA326524 TUW326459:TUW326524 UES326459:UES326524 UOO326459:UOO326524 UYK326459:UYK326524 VIG326459:VIG326524 VSC326459:VSC326524 WBY326459:WBY326524 WLU326459:WLU326524 WVQ326459:WVQ326524 I391995:I392060 JE391995:JE392060 TA391995:TA392060 ACW391995:ACW392060 AMS391995:AMS392060 AWO391995:AWO392060 BGK391995:BGK392060 BQG391995:BQG392060 CAC391995:CAC392060 CJY391995:CJY392060 CTU391995:CTU392060 DDQ391995:DDQ392060 DNM391995:DNM392060 DXI391995:DXI392060 EHE391995:EHE392060 ERA391995:ERA392060 FAW391995:FAW392060 FKS391995:FKS392060 FUO391995:FUO392060 GEK391995:GEK392060 GOG391995:GOG392060 GYC391995:GYC392060 HHY391995:HHY392060 HRU391995:HRU392060 IBQ391995:IBQ392060 ILM391995:ILM392060 IVI391995:IVI392060 JFE391995:JFE392060 JPA391995:JPA392060 JYW391995:JYW392060 KIS391995:KIS392060 KSO391995:KSO392060 LCK391995:LCK392060 LMG391995:LMG392060 LWC391995:LWC392060 MFY391995:MFY392060 MPU391995:MPU392060 MZQ391995:MZQ392060 NJM391995:NJM392060 NTI391995:NTI392060 ODE391995:ODE392060 ONA391995:ONA392060 OWW391995:OWW392060 PGS391995:PGS392060 PQO391995:PQO392060 QAK391995:QAK392060 QKG391995:QKG392060 QUC391995:QUC392060 RDY391995:RDY392060 RNU391995:RNU392060 RXQ391995:RXQ392060 SHM391995:SHM392060 SRI391995:SRI392060 TBE391995:TBE392060 TLA391995:TLA392060 TUW391995:TUW392060 UES391995:UES392060 UOO391995:UOO392060 UYK391995:UYK392060 VIG391995:VIG392060 VSC391995:VSC392060 WBY391995:WBY392060 WLU391995:WLU392060 WVQ391995:WVQ392060 I457531:I457596 JE457531:JE457596 TA457531:TA457596 ACW457531:ACW457596 AMS457531:AMS457596 AWO457531:AWO457596 BGK457531:BGK457596 BQG457531:BQG457596 CAC457531:CAC457596 CJY457531:CJY457596 CTU457531:CTU457596 DDQ457531:DDQ457596 DNM457531:DNM457596 DXI457531:DXI457596 EHE457531:EHE457596 ERA457531:ERA457596 FAW457531:FAW457596 FKS457531:FKS457596 FUO457531:FUO457596 GEK457531:GEK457596 GOG457531:GOG457596 GYC457531:GYC457596 HHY457531:HHY457596 HRU457531:HRU457596 IBQ457531:IBQ457596 ILM457531:ILM457596 IVI457531:IVI457596 JFE457531:JFE457596 JPA457531:JPA457596 JYW457531:JYW457596 KIS457531:KIS457596 KSO457531:KSO457596 LCK457531:LCK457596 LMG457531:LMG457596 LWC457531:LWC457596 MFY457531:MFY457596 MPU457531:MPU457596 MZQ457531:MZQ457596 NJM457531:NJM457596 NTI457531:NTI457596 ODE457531:ODE457596 ONA457531:ONA457596 OWW457531:OWW457596 PGS457531:PGS457596 PQO457531:PQO457596 QAK457531:QAK457596 QKG457531:QKG457596 QUC457531:QUC457596 RDY457531:RDY457596 RNU457531:RNU457596 RXQ457531:RXQ457596 SHM457531:SHM457596 SRI457531:SRI457596 TBE457531:TBE457596 TLA457531:TLA457596 TUW457531:TUW457596 UES457531:UES457596 UOO457531:UOO457596 UYK457531:UYK457596 VIG457531:VIG457596 VSC457531:VSC457596 WBY457531:WBY457596 WLU457531:WLU457596 WVQ457531:WVQ457596 I523067:I523132 JE523067:JE523132 TA523067:TA523132 ACW523067:ACW523132 AMS523067:AMS523132 AWO523067:AWO523132 BGK523067:BGK523132 BQG523067:BQG523132 CAC523067:CAC523132 CJY523067:CJY523132 CTU523067:CTU523132 DDQ523067:DDQ523132 DNM523067:DNM523132 DXI523067:DXI523132 EHE523067:EHE523132 ERA523067:ERA523132 FAW523067:FAW523132 FKS523067:FKS523132 FUO523067:FUO523132 GEK523067:GEK523132 GOG523067:GOG523132 GYC523067:GYC523132 HHY523067:HHY523132 HRU523067:HRU523132 IBQ523067:IBQ523132 ILM523067:ILM523132 IVI523067:IVI523132 JFE523067:JFE523132 JPA523067:JPA523132 JYW523067:JYW523132 KIS523067:KIS523132 KSO523067:KSO523132 LCK523067:LCK523132 LMG523067:LMG523132 LWC523067:LWC523132 MFY523067:MFY523132 MPU523067:MPU523132 MZQ523067:MZQ523132 NJM523067:NJM523132 NTI523067:NTI523132 ODE523067:ODE523132 ONA523067:ONA523132 OWW523067:OWW523132 PGS523067:PGS523132 PQO523067:PQO523132 QAK523067:QAK523132 QKG523067:QKG523132 QUC523067:QUC523132 RDY523067:RDY523132 RNU523067:RNU523132 RXQ523067:RXQ523132 SHM523067:SHM523132 SRI523067:SRI523132 TBE523067:TBE523132 TLA523067:TLA523132 TUW523067:TUW523132 UES523067:UES523132 UOO523067:UOO523132 UYK523067:UYK523132 VIG523067:VIG523132 VSC523067:VSC523132 WBY523067:WBY523132 WLU523067:WLU523132 WVQ523067:WVQ523132 I588603:I588668 JE588603:JE588668 TA588603:TA588668 ACW588603:ACW588668 AMS588603:AMS588668 AWO588603:AWO588668 BGK588603:BGK588668 BQG588603:BQG588668 CAC588603:CAC588668 CJY588603:CJY588668 CTU588603:CTU588668 DDQ588603:DDQ588668 DNM588603:DNM588668 DXI588603:DXI588668 EHE588603:EHE588668 ERA588603:ERA588668 FAW588603:FAW588668 FKS588603:FKS588668 FUO588603:FUO588668 GEK588603:GEK588668 GOG588603:GOG588668 GYC588603:GYC588668 HHY588603:HHY588668 HRU588603:HRU588668 IBQ588603:IBQ588668 ILM588603:ILM588668 IVI588603:IVI588668 JFE588603:JFE588668 JPA588603:JPA588668 JYW588603:JYW588668 KIS588603:KIS588668 KSO588603:KSO588668 LCK588603:LCK588668 LMG588603:LMG588668 LWC588603:LWC588668 MFY588603:MFY588668 MPU588603:MPU588668 MZQ588603:MZQ588668 NJM588603:NJM588668 NTI588603:NTI588668 ODE588603:ODE588668 ONA588603:ONA588668 OWW588603:OWW588668 PGS588603:PGS588668 PQO588603:PQO588668 QAK588603:QAK588668 QKG588603:QKG588668 QUC588603:QUC588668 RDY588603:RDY588668 RNU588603:RNU588668 RXQ588603:RXQ588668 SHM588603:SHM588668 SRI588603:SRI588668 TBE588603:TBE588668 TLA588603:TLA588668 TUW588603:TUW588668 UES588603:UES588668 UOO588603:UOO588668 UYK588603:UYK588668 VIG588603:VIG588668 VSC588603:VSC588668 WBY588603:WBY588668 WLU588603:WLU588668 WVQ588603:WVQ588668 I654139:I654204 JE654139:JE654204 TA654139:TA654204 ACW654139:ACW654204 AMS654139:AMS654204 AWO654139:AWO654204 BGK654139:BGK654204 BQG654139:BQG654204 CAC654139:CAC654204 CJY654139:CJY654204 CTU654139:CTU654204 DDQ654139:DDQ654204 DNM654139:DNM654204 DXI654139:DXI654204 EHE654139:EHE654204 ERA654139:ERA654204 FAW654139:FAW654204 FKS654139:FKS654204 FUO654139:FUO654204 GEK654139:GEK654204 GOG654139:GOG654204 GYC654139:GYC654204 HHY654139:HHY654204 HRU654139:HRU654204 IBQ654139:IBQ654204 ILM654139:ILM654204 IVI654139:IVI654204 JFE654139:JFE654204 JPA654139:JPA654204 JYW654139:JYW654204 KIS654139:KIS654204 KSO654139:KSO654204 LCK654139:LCK654204 LMG654139:LMG654204 LWC654139:LWC654204 MFY654139:MFY654204 MPU654139:MPU654204 MZQ654139:MZQ654204 NJM654139:NJM654204 NTI654139:NTI654204 ODE654139:ODE654204 ONA654139:ONA654204 OWW654139:OWW654204 PGS654139:PGS654204 PQO654139:PQO654204 QAK654139:QAK654204 QKG654139:QKG654204 QUC654139:QUC654204 RDY654139:RDY654204 RNU654139:RNU654204 RXQ654139:RXQ654204 SHM654139:SHM654204 SRI654139:SRI654204 TBE654139:TBE654204 TLA654139:TLA654204 TUW654139:TUW654204 UES654139:UES654204 UOO654139:UOO654204 UYK654139:UYK654204 VIG654139:VIG654204 VSC654139:VSC654204 WBY654139:WBY654204 WLU654139:WLU654204 WVQ654139:WVQ654204 I719675:I719740 JE719675:JE719740 TA719675:TA719740 ACW719675:ACW719740 AMS719675:AMS719740 AWO719675:AWO719740 BGK719675:BGK719740 BQG719675:BQG719740 CAC719675:CAC719740 CJY719675:CJY719740 CTU719675:CTU719740 DDQ719675:DDQ719740 DNM719675:DNM719740 DXI719675:DXI719740 EHE719675:EHE719740 ERA719675:ERA719740 FAW719675:FAW719740 FKS719675:FKS719740 FUO719675:FUO719740 GEK719675:GEK719740 GOG719675:GOG719740 GYC719675:GYC719740 HHY719675:HHY719740 HRU719675:HRU719740 IBQ719675:IBQ719740 ILM719675:ILM719740 IVI719675:IVI719740 JFE719675:JFE719740 JPA719675:JPA719740 JYW719675:JYW719740 KIS719675:KIS719740 KSO719675:KSO719740 LCK719675:LCK719740 LMG719675:LMG719740 LWC719675:LWC719740 MFY719675:MFY719740 MPU719675:MPU719740 MZQ719675:MZQ719740 NJM719675:NJM719740 NTI719675:NTI719740 ODE719675:ODE719740 ONA719675:ONA719740 OWW719675:OWW719740 PGS719675:PGS719740 PQO719675:PQO719740 QAK719675:QAK719740 QKG719675:QKG719740 QUC719675:QUC719740 RDY719675:RDY719740 RNU719675:RNU719740 RXQ719675:RXQ719740 SHM719675:SHM719740 SRI719675:SRI719740 TBE719675:TBE719740 TLA719675:TLA719740 TUW719675:TUW719740 UES719675:UES719740 UOO719675:UOO719740 UYK719675:UYK719740 VIG719675:VIG719740 VSC719675:VSC719740 WBY719675:WBY719740 WLU719675:WLU719740 WVQ719675:WVQ719740 I785211:I785276 JE785211:JE785276 TA785211:TA785276 ACW785211:ACW785276 AMS785211:AMS785276 AWO785211:AWO785276 BGK785211:BGK785276 BQG785211:BQG785276 CAC785211:CAC785276 CJY785211:CJY785276 CTU785211:CTU785276 DDQ785211:DDQ785276 DNM785211:DNM785276 DXI785211:DXI785276 EHE785211:EHE785276 ERA785211:ERA785276 FAW785211:FAW785276 FKS785211:FKS785276 FUO785211:FUO785276 GEK785211:GEK785276 GOG785211:GOG785276 GYC785211:GYC785276 HHY785211:HHY785276 HRU785211:HRU785276 IBQ785211:IBQ785276 ILM785211:ILM785276 IVI785211:IVI785276 JFE785211:JFE785276 JPA785211:JPA785276 JYW785211:JYW785276 KIS785211:KIS785276 KSO785211:KSO785276 LCK785211:LCK785276 LMG785211:LMG785276 LWC785211:LWC785276 MFY785211:MFY785276 MPU785211:MPU785276 MZQ785211:MZQ785276 NJM785211:NJM785276 NTI785211:NTI785276 ODE785211:ODE785276 ONA785211:ONA785276 OWW785211:OWW785276 PGS785211:PGS785276 PQO785211:PQO785276 QAK785211:QAK785276 QKG785211:QKG785276 QUC785211:QUC785276 RDY785211:RDY785276 RNU785211:RNU785276 RXQ785211:RXQ785276 SHM785211:SHM785276 SRI785211:SRI785276 TBE785211:TBE785276 TLA785211:TLA785276 TUW785211:TUW785276 UES785211:UES785276 UOO785211:UOO785276 UYK785211:UYK785276 VIG785211:VIG785276 VSC785211:VSC785276 WBY785211:WBY785276 WLU785211:WLU785276 WVQ785211:WVQ785276 I850747:I850812 JE850747:JE850812 TA850747:TA850812 ACW850747:ACW850812 AMS850747:AMS850812 AWO850747:AWO850812 BGK850747:BGK850812 BQG850747:BQG850812 CAC850747:CAC850812 CJY850747:CJY850812 CTU850747:CTU850812 DDQ850747:DDQ850812 DNM850747:DNM850812 DXI850747:DXI850812 EHE850747:EHE850812 ERA850747:ERA850812 FAW850747:FAW850812 FKS850747:FKS850812 FUO850747:FUO850812 GEK850747:GEK850812 GOG850747:GOG850812 GYC850747:GYC850812 HHY850747:HHY850812 HRU850747:HRU850812 IBQ850747:IBQ850812 ILM850747:ILM850812 IVI850747:IVI850812 JFE850747:JFE850812 JPA850747:JPA850812 JYW850747:JYW850812 KIS850747:KIS850812 KSO850747:KSO850812 LCK850747:LCK850812 LMG850747:LMG850812 LWC850747:LWC850812 MFY850747:MFY850812 MPU850747:MPU850812 MZQ850747:MZQ850812 NJM850747:NJM850812 NTI850747:NTI850812 ODE850747:ODE850812 ONA850747:ONA850812 OWW850747:OWW850812 PGS850747:PGS850812 PQO850747:PQO850812 QAK850747:QAK850812 QKG850747:QKG850812 QUC850747:QUC850812 RDY850747:RDY850812 RNU850747:RNU850812 RXQ850747:RXQ850812 SHM850747:SHM850812 SRI850747:SRI850812 TBE850747:TBE850812 TLA850747:TLA850812 TUW850747:TUW850812 UES850747:UES850812 UOO850747:UOO850812 UYK850747:UYK850812 VIG850747:VIG850812 VSC850747:VSC850812 WBY850747:WBY850812 WLU850747:WLU850812 WVQ850747:WVQ850812 I916283:I916348 JE916283:JE916348 TA916283:TA916348 ACW916283:ACW916348 AMS916283:AMS916348 AWO916283:AWO916348 BGK916283:BGK916348 BQG916283:BQG916348 CAC916283:CAC916348 CJY916283:CJY916348 CTU916283:CTU916348 DDQ916283:DDQ916348 DNM916283:DNM916348 DXI916283:DXI916348 EHE916283:EHE916348 ERA916283:ERA916348 FAW916283:FAW916348 FKS916283:FKS916348 FUO916283:FUO916348 GEK916283:GEK916348 GOG916283:GOG916348 GYC916283:GYC916348 HHY916283:HHY916348 HRU916283:HRU916348 IBQ916283:IBQ916348 ILM916283:ILM916348 IVI916283:IVI916348 JFE916283:JFE916348 JPA916283:JPA916348 JYW916283:JYW916348 KIS916283:KIS916348 KSO916283:KSO916348 LCK916283:LCK916348 LMG916283:LMG916348 LWC916283:LWC916348 MFY916283:MFY916348 MPU916283:MPU916348 MZQ916283:MZQ916348 NJM916283:NJM916348 NTI916283:NTI916348 ODE916283:ODE916348 ONA916283:ONA916348 OWW916283:OWW916348 PGS916283:PGS916348 PQO916283:PQO916348 QAK916283:QAK916348 QKG916283:QKG916348 QUC916283:QUC916348 RDY916283:RDY916348 RNU916283:RNU916348 RXQ916283:RXQ916348 SHM916283:SHM916348 SRI916283:SRI916348 TBE916283:TBE916348 TLA916283:TLA916348 TUW916283:TUW916348 UES916283:UES916348 UOO916283:UOO916348 UYK916283:UYK916348 VIG916283:VIG916348 VSC916283:VSC916348 WBY916283:WBY916348 WLU916283:WLU916348 WVQ916283:WVQ916348 I981819:I981884 JE981819:JE981884 TA981819:TA981884 ACW981819:ACW981884 AMS981819:AMS981884 AWO981819:AWO981884 BGK981819:BGK981884 BQG981819:BQG981884 CAC981819:CAC981884 CJY981819:CJY981884 CTU981819:CTU981884 DDQ981819:DDQ981884 DNM981819:DNM981884 DXI981819:DXI981884 EHE981819:EHE981884 ERA981819:ERA981884 FAW981819:FAW981884 FKS981819:FKS981884 FUO981819:FUO981884 GEK981819:GEK981884 GOG981819:GOG981884 GYC981819:GYC981884 HHY981819:HHY981884 HRU981819:HRU981884 IBQ981819:IBQ981884 ILM981819:ILM981884 IVI981819:IVI981884 JFE981819:JFE981884 JPA981819:JPA981884 JYW981819:JYW981884 KIS981819:KIS981884 KSO981819:KSO981884 LCK981819:LCK981884 LMG981819:LMG981884 LWC981819:LWC981884 MFY981819:MFY981884 MPU981819:MPU981884 MZQ981819:MZQ981884 NJM981819:NJM981884 NTI981819:NTI981884 ODE981819:ODE981884 ONA981819:ONA981884 OWW981819:OWW981884 PGS981819:PGS981884 PQO981819:PQO981884 QAK981819:QAK981884 QKG981819:QKG981884 QUC981819:QUC981884 RDY981819:RDY981884 RNU981819:RNU981884 RXQ981819:RXQ981884 SHM981819:SHM981884 SRI981819:SRI981884 TBE981819:TBE981884 TLA981819:TLA981884 TUW981819:TUW981884 UES981819:UES981884 UOO981819:UOO981884 UYK981819:UYK981884 VIG981819:VIG981884 VSC981819:VSC981884 WBY981819:WBY981884 WLU981819:WLU981884 WVQ981819:WVQ981884 I1047355:I1047420 JE1047355:JE1047420 TA1047355:TA1047420 ACW1047355:ACW1047420 AMS1047355:AMS1047420 AWO1047355:AWO1047420 BGK1047355:BGK1047420 BQG1047355:BQG1047420 CAC1047355:CAC1047420 CJY1047355:CJY1047420 CTU1047355:CTU1047420 DDQ1047355:DDQ1047420 DNM1047355:DNM1047420 DXI1047355:DXI1047420 EHE1047355:EHE1047420 ERA1047355:ERA1047420 FAW1047355:FAW1047420 FKS1047355:FKS1047420 FUO1047355:FUO1047420 GEK1047355:GEK1047420 GOG1047355:GOG1047420 GYC1047355:GYC1047420 HHY1047355:HHY1047420 HRU1047355:HRU1047420 IBQ1047355:IBQ1047420 ILM1047355:ILM1047420 IVI1047355:IVI1047420 JFE1047355:JFE1047420 JPA1047355:JPA1047420 JYW1047355:JYW1047420 KIS1047355:KIS1047420 KSO1047355:KSO1047420 LCK1047355:LCK1047420 LMG1047355:LMG1047420 LWC1047355:LWC1047420 MFY1047355:MFY1047420 MPU1047355:MPU1047420 MZQ1047355:MZQ1047420 NJM1047355:NJM1047420 NTI1047355:NTI1047420 ODE1047355:ODE1047420 ONA1047355:ONA1047420 OWW1047355:OWW1047420 PGS1047355:PGS1047420 PQO1047355:PQO1047420 QAK1047355:QAK1047420 QKG1047355:QKG1047420 QUC1047355:QUC1047420 RDY1047355:RDY1047420 RNU1047355:RNU1047420 RXQ1047355:RXQ1047420 SHM1047355:SHM1047420 SRI1047355:SRI1047420 TBE1047355:TBE1047420 TLA1047355:TLA1047420 TUW1047355:TUW1047420 UES1047355:UES1047420 UOO1047355:UOO1047420 UYK1047355:UYK1047420 VIG1047355:VIG1047420 VSC1047355:VSC1047420 WBY1047355:WBY1047420 WLU1047355:WLU1047420 WVQ1047355:WVQ1047420 WVQ982994:WVQ983059 I65490:I65555 JE65490:JE65555 TA65490:TA65555 ACW65490:ACW65555 AMS65490:AMS65555 AWO65490:AWO65555 BGK65490:BGK65555 BQG65490:BQG65555 CAC65490:CAC65555 CJY65490:CJY65555 CTU65490:CTU65555 DDQ65490:DDQ65555 DNM65490:DNM65555 DXI65490:DXI65555 EHE65490:EHE65555 ERA65490:ERA65555 FAW65490:FAW65555 FKS65490:FKS65555 FUO65490:FUO65555 GEK65490:GEK65555 GOG65490:GOG65555 GYC65490:GYC65555 HHY65490:HHY65555 HRU65490:HRU65555 IBQ65490:IBQ65555 ILM65490:ILM65555 IVI65490:IVI65555 JFE65490:JFE65555 JPA65490:JPA65555 JYW65490:JYW65555 KIS65490:KIS65555 KSO65490:KSO65555 LCK65490:LCK65555 LMG65490:LMG65555 LWC65490:LWC65555 MFY65490:MFY65555 MPU65490:MPU65555 MZQ65490:MZQ65555 NJM65490:NJM65555 NTI65490:NTI65555 ODE65490:ODE65555 ONA65490:ONA65555 OWW65490:OWW65555 PGS65490:PGS65555 PQO65490:PQO65555 QAK65490:QAK65555 QKG65490:QKG65555 QUC65490:QUC65555 RDY65490:RDY65555 RNU65490:RNU65555 RXQ65490:RXQ65555 SHM65490:SHM65555 SRI65490:SRI65555 TBE65490:TBE65555 TLA65490:TLA65555 TUW65490:TUW65555 UES65490:UES65555 UOO65490:UOO65555 UYK65490:UYK65555 VIG65490:VIG65555 VSC65490:VSC65555 WBY65490:WBY65555 WLU65490:WLU65555 WVQ65490:WVQ65555 I131026:I131091 JE131026:JE131091 TA131026:TA131091 ACW131026:ACW131091 AMS131026:AMS131091 AWO131026:AWO131091 BGK131026:BGK131091 BQG131026:BQG131091 CAC131026:CAC131091 CJY131026:CJY131091 CTU131026:CTU131091 DDQ131026:DDQ131091 DNM131026:DNM131091 DXI131026:DXI131091 EHE131026:EHE131091 ERA131026:ERA131091 FAW131026:FAW131091 FKS131026:FKS131091 FUO131026:FUO131091 GEK131026:GEK131091 GOG131026:GOG131091 GYC131026:GYC131091 HHY131026:HHY131091 HRU131026:HRU131091 IBQ131026:IBQ131091 ILM131026:ILM131091 IVI131026:IVI131091 JFE131026:JFE131091 JPA131026:JPA131091 JYW131026:JYW131091 KIS131026:KIS131091 KSO131026:KSO131091 LCK131026:LCK131091 LMG131026:LMG131091 LWC131026:LWC131091 MFY131026:MFY131091 MPU131026:MPU131091 MZQ131026:MZQ131091 NJM131026:NJM131091 NTI131026:NTI131091 ODE131026:ODE131091 ONA131026:ONA131091 OWW131026:OWW131091 PGS131026:PGS131091 PQO131026:PQO131091 QAK131026:QAK131091 QKG131026:QKG131091 QUC131026:QUC131091 RDY131026:RDY131091 RNU131026:RNU131091 RXQ131026:RXQ131091 SHM131026:SHM131091 SRI131026:SRI131091 TBE131026:TBE131091 TLA131026:TLA131091 TUW131026:TUW131091 UES131026:UES131091 UOO131026:UOO131091 UYK131026:UYK131091 VIG131026:VIG131091 VSC131026:VSC131091 WBY131026:WBY131091 WLU131026:WLU131091 WVQ131026:WVQ131091 I196562:I196627 JE196562:JE196627 TA196562:TA196627 ACW196562:ACW196627 AMS196562:AMS196627 AWO196562:AWO196627 BGK196562:BGK196627 BQG196562:BQG196627 CAC196562:CAC196627 CJY196562:CJY196627 CTU196562:CTU196627 DDQ196562:DDQ196627 DNM196562:DNM196627 DXI196562:DXI196627 EHE196562:EHE196627 ERA196562:ERA196627 FAW196562:FAW196627 FKS196562:FKS196627 FUO196562:FUO196627 GEK196562:GEK196627 GOG196562:GOG196627 GYC196562:GYC196627 HHY196562:HHY196627 HRU196562:HRU196627 IBQ196562:IBQ196627 ILM196562:ILM196627 IVI196562:IVI196627 JFE196562:JFE196627 JPA196562:JPA196627 JYW196562:JYW196627 KIS196562:KIS196627 KSO196562:KSO196627 LCK196562:LCK196627 LMG196562:LMG196627 LWC196562:LWC196627 MFY196562:MFY196627 MPU196562:MPU196627 MZQ196562:MZQ196627 NJM196562:NJM196627 NTI196562:NTI196627 ODE196562:ODE196627 ONA196562:ONA196627 OWW196562:OWW196627 PGS196562:PGS196627 PQO196562:PQO196627 QAK196562:QAK196627 QKG196562:QKG196627 QUC196562:QUC196627 RDY196562:RDY196627 RNU196562:RNU196627 RXQ196562:RXQ196627 SHM196562:SHM196627 SRI196562:SRI196627 TBE196562:TBE196627 TLA196562:TLA196627 TUW196562:TUW196627 UES196562:UES196627 UOO196562:UOO196627 UYK196562:UYK196627 VIG196562:VIG196627 VSC196562:VSC196627 WBY196562:WBY196627 WLU196562:WLU196627 WVQ196562:WVQ196627 I262098:I262163 JE262098:JE262163 TA262098:TA262163 ACW262098:ACW262163 AMS262098:AMS262163 AWO262098:AWO262163 BGK262098:BGK262163 BQG262098:BQG262163 CAC262098:CAC262163 CJY262098:CJY262163 CTU262098:CTU262163 DDQ262098:DDQ262163 DNM262098:DNM262163 DXI262098:DXI262163 EHE262098:EHE262163 ERA262098:ERA262163 FAW262098:FAW262163 FKS262098:FKS262163 FUO262098:FUO262163 GEK262098:GEK262163 GOG262098:GOG262163 GYC262098:GYC262163 HHY262098:HHY262163 HRU262098:HRU262163 IBQ262098:IBQ262163 ILM262098:ILM262163 IVI262098:IVI262163 JFE262098:JFE262163 JPA262098:JPA262163 JYW262098:JYW262163 KIS262098:KIS262163 KSO262098:KSO262163 LCK262098:LCK262163 LMG262098:LMG262163 LWC262098:LWC262163 MFY262098:MFY262163 MPU262098:MPU262163 MZQ262098:MZQ262163 NJM262098:NJM262163 NTI262098:NTI262163 ODE262098:ODE262163 ONA262098:ONA262163 OWW262098:OWW262163 PGS262098:PGS262163 PQO262098:PQO262163 QAK262098:QAK262163 QKG262098:QKG262163 QUC262098:QUC262163 RDY262098:RDY262163 RNU262098:RNU262163 RXQ262098:RXQ262163 SHM262098:SHM262163 SRI262098:SRI262163 TBE262098:TBE262163 TLA262098:TLA262163 TUW262098:TUW262163 UES262098:UES262163 UOO262098:UOO262163 UYK262098:UYK262163 VIG262098:VIG262163 VSC262098:VSC262163 WBY262098:WBY262163 WLU262098:WLU262163 WVQ262098:WVQ262163 I327634:I327699 JE327634:JE327699 TA327634:TA327699 ACW327634:ACW327699 AMS327634:AMS327699 AWO327634:AWO327699 BGK327634:BGK327699 BQG327634:BQG327699 CAC327634:CAC327699 CJY327634:CJY327699 CTU327634:CTU327699 DDQ327634:DDQ327699 DNM327634:DNM327699 DXI327634:DXI327699 EHE327634:EHE327699 ERA327634:ERA327699 FAW327634:FAW327699 FKS327634:FKS327699 FUO327634:FUO327699 GEK327634:GEK327699 GOG327634:GOG327699 GYC327634:GYC327699 HHY327634:HHY327699 HRU327634:HRU327699 IBQ327634:IBQ327699 ILM327634:ILM327699 IVI327634:IVI327699 JFE327634:JFE327699 JPA327634:JPA327699 JYW327634:JYW327699 KIS327634:KIS327699 KSO327634:KSO327699 LCK327634:LCK327699 LMG327634:LMG327699 LWC327634:LWC327699 MFY327634:MFY327699 MPU327634:MPU327699 MZQ327634:MZQ327699 NJM327634:NJM327699 NTI327634:NTI327699 ODE327634:ODE327699 ONA327634:ONA327699 OWW327634:OWW327699 PGS327634:PGS327699 PQO327634:PQO327699 QAK327634:QAK327699 QKG327634:QKG327699 QUC327634:QUC327699 RDY327634:RDY327699 RNU327634:RNU327699 RXQ327634:RXQ327699 SHM327634:SHM327699 SRI327634:SRI327699 TBE327634:TBE327699 TLA327634:TLA327699 TUW327634:TUW327699 UES327634:UES327699 UOO327634:UOO327699 UYK327634:UYK327699 VIG327634:VIG327699 VSC327634:VSC327699 WBY327634:WBY327699 WLU327634:WLU327699 WVQ327634:WVQ327699 I393170:I393235 JE393170:JE393235 TA393170:TA393235 ACW393170:ACW393235 AMS393170:AMS393235 AWO393170:AWO393235 BGK393170:BGK393235 BQG393170:BQG393235 CAC393170:CAC393235 CJY393170:CJY393235 CTU393170:CTU393235 DDQ393170:DDQ393235 DNM393170:DNM393235 DXI393170:DXI393235 EHE393170:EHE393235 ERA393170:ERA393235 FAW393170:FAW393235 FKS393170:FKS393235 FUO393170:FUO393235 GEK393170:GEK393235 GOG393170:GOG393235 GYC393170:GYC393235 HHY393170:HHY393235 HRU393170:HRU393235 IBQ393170:IBQ393235 ILM393170:ILM393235 IVI393170:IVI393235 JFE393170:JFE393235 JPA393170:JPA393235 JYW393170:JYW393235 KIS393170:KIS393235 KSO393170:KSO393235 LCK393170:LCK393235 LMG393170:LMG393235 LWC393170:LWC393235 MFY393170:MFY393235 MPU393170:MPU393235 MZQ393170:MZQ393235 NJM393170:NJM393235 NTI393170:NTI393235 ODE393170:ODE393235 ONA393170:ONA393235 OWW393170:OWW393235 PGS393170:PGS393235 PQO393170:PQO393235 QAK393170:QAK393235 QKG393170:QKG393235 QUC393170:QUC393235 RDY393170:RDY393235 RNU393170:RNU393235 RXQ393170:RXQ393235 SHM393170:SHM393235 SRI393170:SRI393235 TBE393170:TBE393235 TLA393170:TLA393235 TUW393170:TUW393235 UES393170:UES393235 UOO393170:UOO393235 UYK393170:UYK393235 VIG393170:VIG393235 VSC393170:VSC393235 WBY393170:WBY393235 WLU393170:WLU393235 WVQ393170:WVQ393235 I458706:I458771 JE458706:JE458771 TA458706:TA458771 ACW458706:ACW458771 AMS458706:AMS458771 AWO458706:AWO458771 BGK458706:BGK458771 BQG458706:BQG458771 CAC458706:CAC458771 CJY458706:CJY458771 CTU458706:CTU458771 DDQ458706:DDQ458771 DNM458706:DNM458771 DXI458706:DXI458771 EHE458706:EHE458771 ERA458706:ERA458771 FAW458706:FAW458771 FKS458706:FKS458771 FUO458706:FUO458771 GEK458706:GEK458771 GOG458706:GOG458771 GYC458706:GYC458771 HHY458706:HHY458771 HRU458706:HRU458771 IBQ458706:IBQ458771 ILM458706:ILM458771 IVI458706:IVI458771 JFE458706:JFE458771 JPA458706:JPA458771 JYW458706:JYW458771 KIS458706:KIS458771 KSO458706:KSO458771 LCK458706:LCK458771 LMG458706:LMG458771 LWC458706:LWC458771 MFY458706:MFY458771 MPU458706:MPU458771 MZQ458706:MZQ458771 NJM458706:NJM458771 NTI458706:NTI458771 ODE458706:ODE458771 ONA458706:ONA458771 OWW458706:OWW458771 PGS458706:PGS458771 PQO458706:PQO458771 QAK458706:QAK458771 QKG458706:QKG458771 QUC458706:QUC458771 RDY458706:RDY458771 RNU458706:RNU458771 RXQ458706:RXQ458771 SHM458706:SHM458771 SRI458706:SRI458771 TBE458706:TBE458771 TLA458706:TLA458771 TUW458706:TUW458771 UES458706:UES458771 UOO458706:UOO458771 UYK458706:UYK458771 VIG458706:VIG458771 VSC458706:VSC458771 WBY458706:WBY458771 WLU458706:WLU458771 WVQ458706:WVQ458771 I524242:I524307 JE524242:JE524307 TA524242:TA524307 ACW524242:ACW524307 AMS524242:AMS524307 AWO524242:AWO524307 BGK524242:BGK524307 BQG524242:BQG524307 CAC524242:CAC524307 CJY524242:CJY524307 CTU524242:CTU524307 DDQ524242:DDQ524307 DNM524242:DNM524307 DXI524242:DXI524307 EHE524242:EHE524307 ERA524242:ERA524307 FAW524242:FAW524307 FKS524242:FKS524307 FUO524242:FUO524307 GEK524242:GEK524307 GOG524242:GOG524307 GYC524242:GYC524307 HHY524242:HHY524307 HRU524242:HRU524307 IBQ524242:IBQ524307 ILM524242:ILM524307 IVI524242:IVI524307 JFE524242:JFE524307 JPA524242:JPA524307 JYW524242:JYW524307 KIS524242:KIS524307 KSO524242:KSO524307 LCK524242:LCK524307 LMG524242:LMG524307 LWC524242:LWC524307 MFY524242:MFY524307 MPU524242:MPU524307 MZQ524242:MZQ524307 NJM524242:NJM524307 NTI524242:NTI524307 ODE524242:ODE524307 ONA524242:ONA524307 OWW524242:OWW524307 PGS524242:PGS524307 PQO524242:PQO524307 QAK524242:QAK524307 QKG524242:QKG524307 QUC524242:QUC524307 RDY524242:RDY524307 RNU524242:RNU524307 RXQ524242:RXQ524307 SHM524242:SHM524307 SRI524242:SRI524307 TBE524242:TBE524307 TLA524242:TLA524307 TUW524242:TUW524307 UES524242:UES524307 UOO524242:UOO524307 UYK524242:UYK524307 VIG524242:VIG524307 VSC524242:VSC524307 WBY524242:WBY524307 WLU524242:WLU524307 WVQ524242:WVQ524307 I589778:I589843 JE589778:JE589843 TA589778:TA589843 ACW589778:ACW589843 AMS589778:AMS589843 AWO589778:AWO589843 BGK589778:BGK589843 BQG589778:BQG589843 CAC589778:CAC589843 CJY589778:CJY589843 CTU589778:CTU589843 DDQ589778:DDQ589843 DNM589778:DNM589843 DXI589778:DXI589843 EHE589778:EHE589843 ERA589778:ERA589843 FAW589778:FAW589843 FKS589778:FKS589843 FUO589778:FUO589843 GEK589778:GEK589843 GOG589778:GOG589843 GYC589778:GYC589843 HHY589778:HHY589843 HRU589778:HRU589843 IBQ589778:IBQ589843 ILM589778:ILM589843 IVI589778:IVI589843 JFE589778:JFE589843 JPA589778:JPA589843 JYW589778:JYW589843 KIS589778:KIS589843 KSO589778:KSO589843 LCK589778:LCK589843 LMG589778:LMG589843 LWC589778:LWC589843 MFY589778:MFY589843 MPU589778:MPU589843 MZQ589778:MZQ589843 NJM589778:NJM589843 NTI589778:NTI589843 ODE589778:ODE589843 ONA589778:ONA589843 OWW589778:OWW589843 PGS589778:PGS589843 PQO589778:PQO589843 QAK589778:QAK589843 QKG589778:QKG589843 QUC589778:QUC589843 RDY589778:RDY589843 RNU589778:RNU589843 RXQ589778:RXQ589843 SHM589778:SHM589843 SRI589778:SRI589843 TBE589778:TBE589843 TLA589778:TLA589843 TUW589778:TUW589843 UES589778:UES589843 UOO589778:UOO589843 UYK589778:UYK589843 VIG589778:VIG589843 VSC589778:VSC589843 WBY589778:WBY589843 WLU589778:WLU589843 WVQ589778:WVQ589843 I655314:I655379 JE655314:JE655379 TA655314:TA655379 ACW655314:ACW655379 AMS655314:AMS655379 AWO655314:AWO655379 BGK655314:BGK655379 BQG655314:BQG655379 CAC655314:CAC655379 CJY655314:CJY655379 CTU655314:CTU655379 DDQ655314:DDQ655379 DNM655314:DNM655379 DXI655314:DXI655379 EHE655314:EHE655379 ERA655314:ERA655379 FAW655314:FAW655379 FKS655314:FKS655379 FUO655314:FUO655379 GEK655314:GEK655379 GOG655314:GOG655379 GYC655314:GYC655379 HHY655314:HHY655379 HRU655314:HRU655379 IBQ655314:IBQ655379 ILM655314:ILM655379 IVI655314:IVI655379 JFE655314:JFE655379 JPA655314:JPA655379 JYW655314:JYW655379 KIS655314:KIS655379 KSO655314:KSO655379 LCK655314:LCK655379 LMG655314:LMG655379 LWC655314:LWC655379 MFY655314:MFY655379 MPU655314:MPU655379 MZQ655314:MZQ655379 NJM655314:NJM655379 NTI655314:NTI655379 ODE655314:ODE655379 ONA655314:ONA655379 OWW655314:OWW655379 PGS655314:PGS655379 PQO655314:PQO655379 QAK655314:QAK655379 QKG655314:QKG655379 QUC655314:QUC655379 RDY655314:RDY655379 RNU655314:RNU655379 RXQ655314:RXQ655379 SHM655314:SHM655379 SRI655314:SRI655379 TBE655314:TBE655379 TLA655314:TLA655379 TUW655314:TUW655379 UES655314:UES655379 UOO655314:UOO655379 UYK655314:UYK655379 VIG655314:VIG655379 VSC655314:VSC655379 WBY655314:WBY655379 WLU655314:WLU655379 WVQ655314:WVQ655379 I720850:I720915 JE720850:JE720915 TA720850:TA720915 ACW720850:ACW720915 AMS720850:AMS720915 AWO720850:AWO720915 BGK720850:BGK720915 BQG720850:BQG720915 CAC720850:CAC720915 CJY720850:CJY720915 CTU720850:CTU720915 DDQ720850:DDQ720915 DNM720850:DNM720915 DXI720850:DXI720915 EHE720850:EHE720915 ERA720850:ERA720915 FAW720850:FAW720915 FKS720850:FKS720915 FUO720850:FUO720915 GEK720850:GEK720915 GOG720850:GOG720915 GYC720850:GYC720915 HHY720850:HHY720915 HRU720850:HRU720915 IBQ720850:IBQ720915 ILM720850:ILM720915 IVI720850:IVI720915 JFE720850:JFE720915 JPA720850:JPA720915 JYW720850:JYW720915 KIS720850:KIS720915 KSO720850:KSO720915 LCK720850:LCK720915 LMG720850:LMG720915 LWC720850:LWC720915 MFY720850:MFY720915 MPU720850:MPU720915 MZQ720850:MZQ720915 NJM720850:NJM720915 NTI720850:NTI720915 ODE720850:ODE720915 ONA720850:ONA720915 OWW720850:OWW720915 PGS720850:PGS720915 PQO720850:PQO720915 QAK720850:QAK720915 QKG720850:QKG720915 QUC720850:QUC720915 RDY720850:RDY720915 RNU720850:RNU720915 RXQ720850:RXQ720915 SHM720850:SHM720915 SRI720850:SRI720915 TBE720850:TBE720915 TLA720850:TLA720915 TUW720850:TUW720915 UES720850:UES720915 UOO720850:UOO720915 UYK720850:UYK720915 VIG720850:VIG720915 VSC720850:VSC720915 WBY720850:WBY720915 WLU720850:WLU720915 WVQ720850:WVQ720915 I786386:I786451 JE786386:JE786451 TA786386:TA786451 ACW786386:ACW786451 AMS786386:AMS786451 AWO786386:AWO786451 BGK786386:BGK786451 BQG786386:BQG786451 CAC786386:CAC786451 CJY786386:CJY786451 CTU786386:CTU786451 DDQ786386:DDQ786451 DNM786386:DNM786451 DXI786386:DXI786451 EHE786386:EHE786451 ERA786386:ERA786451 FAW786386:FAW786451 FKS786386:FKS786451 FUO786386:FUO786451 GEK786386:GEK786451 GOG786386:GOG786451 GYC786386:GYC786451 HHY786386:HHY786451 HRU786386:HRU786451 IBQ786386:IBQ786451 ILM786386:ILM786451 IVI786386:IVI786451 JFE786386:JFE786451 JPA786386:JPA786451 JYW786386:JYW786451 KIS786386:KIS786451 KSO786386:KSO786451 LCK786386:LCK786451 LMG786386:LMG786451 LWC786386:LWC786451 MFY786386:MFY786451 MPU786386:MPU786451 MZQ786386:MZQ786451 NJM786386:NJM786451 NTI786386:NTI786451 ODE786386:ODE786451 ONA786386:ONA786451 OWW786386:OWW786451 PGS786386:PGS786451 PQO786386:PQO786451 QAK786386:QAK786451 QKG786386:QKG786451 QUC786386:QUC786451 RDY786386:RDY786451 RNU786386:RNU786451 RXQ786386:RXQ786451 SHM786386:SHM786451 SRI786386:SRI786451 TBE786386:TBE786451 TLA786386:TLA786451 TUW786386:TUW786451 UES786386:UES786451 UOO786386:UOO786451 UYK786386:UYK786451 VIG786386:VIG786451 VSC786386:VSC786451 WBY786386:WBY786451 WLU786386:WLU786451 WVQ786386:WVQ786451 I851922:I851987 JE851922:JE851987 TA851922:TA851987 ACW851922:ACW851987 AMS851922:AMS851987 AWO851922:AWO851987 BGK851922:BGK851987 BQG851922:BQG851987 CAC851922:CAC851987 CJY851922:CJY851987 CTU851922:CTU851987 DDQ851922:DDQ851987 DNM851922:DNM851987 DXI851922:DXI851987 EHE851922:EHE851987 ERA851922:ERA851987 FAW851922:FAW851987 FKS851922:FKS851987 FUO851922:FUO851987 GEK851922:GEK851987 GOG851922:GOG851987 GYC851922:GYC851987 HHY851922:HHY851987 HRU851922:HRU851987 IBQ851922:IBQ851987 ILM851922:ILM851987 IVI851922:IVI851987 JFE851922:JFE851987 JPA851922:JPA851987 JYW851922:JYW851987 KIS851922:KIS851987 KSO851922:KSO851987 LCK851922:LCK851987 LMG851922:LMG851987 LWC851922:LWC851987 MFY851922:MFY851987 MPU851922:MPU851987 MZQ851922:MZQ851987 NJM851922:NJM851987 NTI851922:NTI851987 ODE851922:ODE851987 ONA851922:ONA851987 OWW851922:OWW851987 PGS851922:PGS851987 PQO851922:PQO851987 QAK851922:QAK851987 QKG851922:QKG851987 QUC851922:QUC851987 RDY851922:RDY851987 RNU851922:RNU851987 RXQ851922:RXQ851987 SHM851922:SHM851987 SRI851922:SRI851987 TBE851922:TBE851987 TLA851922:TLA851987 TUW851922:TUW851987 UES851922:UES851987 UOO851922:UOO851987 UYK851922:UYK851987 VIG851922:VIG851987 VSC851922:VSC851987 WBY851922:WBY851987 WLU851922:WLU851987 WVQ851922:WVQ851987 I917458:I917523 JE917458:JE917523 TA917458:TA917523 ACW917458:ACW917523 AMS917458:AMS917523 AWO917458:AWO917523 BGK917458:BGK917523 BQG917458:BQG917523 CAC917458:CAC917523 CJY917458:CJY917523 CTU917458:CTU917523 DDQ917458:DDQ917523 DNM917458:DNM917523 DXI917458:DXI917523 EHE917458:EHE917523 ERA917458:ERA917523 FAW917458:FAW917523 FKS917458:FKS917523 FUO917458:FUO917523 GEK917458:GEK917523 GOG917458:GOG917523 GYC917458:GYC917523 HHY917458:HHY917523 HRU917458:HRU917523 IBQ917458:IBQ917523 ILM917458:ILM917523 IVI917458:IVI917523 JFE917458:JFE917523 JPA917458:JPA917523 JYW917458:JYW917523 KIS917458:KIS917523 KSO917458:KSO917523 LCK917458:LCK917523 LMG917458:LMG917523 LWC917458:LWC917523 MFY917458:MFY917523 MPU917458:MPU917523 MZQ917458:MZQ917523 NJM917458:NJM917523 NTI917458:NTI917523 ODE917458:ODE917523 ONA917458:ONA917523 OWW917458:OWW917523 PGS917458:PGS917523 PQO917458:PQO917523 QAK917458:QAK917523 QKG917458:QKG917523 QUC917458:QUC917523 RDY917458:RDY917523 RNU917458:RNU917523 RXQ917458:RXQ917523 SHM917458:SHM917523 SRI917458:SRI917523 TBE917458:TBE917523 TLA917458:TLA917523 TUW917458:TUW917523 UES917458:UES917523 UOO917458:UOO917523 UYK917458:UYK917523 VIG917458:VIG917523 VSC917458:VSC917523 WBY917458:WBY917523 WLU917458:WLU917523 WVQ917458:WVQ917523 I982994:I983059 JE982994:JE983059 TA982994:TA983059 ACW982994:ACW983059 AMS982994:AMS983059 AWO982994:AWO983059 BGK982994:BGK983059 BQG982994:BQG983059 CAC982994:CAC983059 CJY982994:CJY983059 CTU982994:CTU983059 DDQ982994:DDQ983059 DNM982994:DNM983059 DXI982994:DXI983059 EHE982994:EHE983059 ERA982994:ERA983059 FAW982994:FAW983059 FKS982994:FKS983059 FUO982994:FUO983059 GEK982994:GEK983059 GOG982994:GOG983059 GYC982994:GYC983059 HHY982994:HHY983059 HRU982994:HRU983059 IBQ982994:IBQ983059 ILM982994:ILM983059 IVI982994:IVI983059 JFE982994:JFE983059 JPA982994:JPA983059 JYW982994:JYW983059 KIS982994:KIS983059 KSO982994:KSO983059 LCK982994:LCK983059 LMG982994:LMG983059 LWC982994:LWC983059 MFY982994:MFY983059 MPU982994:MPU983059 MZQ982994:MZQ983059 NJM982994:NJM983059 NTI982994:NTI983059 ODE982994:ODE983059 ONA982994:ONA983059 OWW982994:OWW983059 PGS982994:PGS983059 PQO982994:PQO983059 QAK982994:QAK983059 QKG982994:QKG983059 QUC982994:QUC983059 RDY982994:RDY983059 RNU982994:RNU983059 RXQ982994:RXQ983059 SHM982994:SHM983059 SRI982994:SRI983059 TBE982994:TBE983059 TLA982994:TLA983059 TUW982994:TUW983059 UES982994:UES983059 UOO982994:UOO983059 UYK982994:UYK983059 VIG982994:VIG983059 VSC982994:VSC983059 WBY982994:WBY983059 WLU982994:WLU983059 WVQ2:WVQ43 WLU2:WLU43 JE2:JE43 TA2:TA43 ACW2:ACW43 AMS2:AMS43 AWO2:AWO43 BGK2:BGK43 BQG2:BQG43 CAC2:CAC43 CJY2:CJY43 CTU2:CTU43 DDQ2:DDQ43 DNM2:DNM43 DXI2:DXI43 EHE2:EHE43 ERA2:ERA43 FAW2:FAW43 FKS2:FKS43 FUO2:FUO43 GEK2:GEK43 GOG2:GOG43 GYC2:GYC43 HHY2:HHY43 HRU2:HRU43 IBQ2:IBQ43 ILM2:ILM43 IVI2:IVI43 JFE2:JFE43 JPA2:JPA43 JYW2:JYW43 KIS2:KIS43 KSO2:KSO43 LCK2:LCK43 LMG2:LMG43 LWC2:LWC43 MFY2:MFY43 MPU2:MPU43 MZQ2:MZQ43 NJM2:NJM43 NTI2:NTI43 ODE2:ODE43 ONA2:ONA43 OWW2:OWW43 PGS2:PGS43 PQO2:PQO43 QAK2:QAK43 QKG2:QKG43 QUC2:QUC43 RDY2:RDY43 RNU2:RNU43 RXQ2:RXQ43 SHM2:SHM43 SRI2:SRI43 TBE2:TBE43 TLA2:TLA43 TUW2:TUW43 UES2:UES43 UOO2:UOO43 UYK2:UYK43 VIG2:VIG43 VSC2:VSC43 WBY2:WBY43 I2:I452" xr:uid="{F3D786D0-B700-44E8-8DDF-6D0613924F7D}">
      <formula1>$AN$5:$AN$6</formula1>
    </dataValidation>
    <dataValidation type="list" allowBlank="1" showInputMessage="1" showErrorMessage="1" sqref="J64315:J64380 JF64315:JF64380 TB64315:TB64380 ACX64315:ACX64380 AMT64315:AMT64380 AWP64315:AWP64380 BGL64315:BGL64380 BQH64315:BQH64380 CAD64315:CAD64380 CJZ64315:CJZ64380 CTV64315:CTV64380 DDR64315:DDR64380 DNN64315:DNN64380 DXJ64315:DXJ64380 EHF64315:EHF64380 ERB64315:ERB64380 FAX64315:FAX64380 FKT64315:FKT64380 FUP64315:FUP64380 GEL64315:GEL64380 GOH64315:GOH64380 GYD64315:GYD64380 HHZ64315:HHZ64380 HRV64315:HRV64380 IBR64315:IBR64380 ILN64315:ILN64380 IVJ64315:IVJ64380 JFF64315:JFF64380 JPB64315:JPB64380 JYX64315:JYX64380 KIT64315:KIT64380 KSP64315:KSP64380 LCL64315:LCL64380 LMH64315:LMH64380 LWD64315:LWD64380 MFZ64315:MFZ64380 MPV64315:MPV64380 MZR64315:MZR64380 NJN64315:NJN64380 NTJ64315:NTJ64380 ODF64315:ODF64380 ONB64315:ONB64380 OWX64315:OWX64380 PGT64315:PGT64380 PQP64315:PQP64380 QAL64315:QAL64380 QKH64315:QKH64380 QUD64315:QUD64380 RDZ64315:RDZ64380 RNV64315:RNV64380 RXR64315:RXR64380 SHN64315:SHN64380 SRJ64315:SRJ64380 TBF64315:TBF64380 TLB64315:TLB64380 TUX64315:TUX64380 UET64315:UET64380 UOP64315:UOP64380 UYL64315:UYL64380 VIH64315:VIH64380 VSD64315:VSD64380 WBZ64315:WBZ64380 WLV64315:WLV64380 WVR64315:WVR64380 J129851:J129916 JF129851:JF129916 TB129851:TB129916 ACX129851:ACX129916 AMT129851:AMT129916 AWP129851:AWP129916 BGL129851:BGL129916 BQH129851:BQH129916 CAD129851:CAD129916 CJZ129851:CJZ129916 CTV129851:CTV129916 DDR129851:DDR129916 DNN129851:DNN129916 DXJ129851:DXJ129916 EHF129851:EHF129916 ERB129851:ERB129916 FAX129851:FAX129916 FKT129851:FKT129916 FUP129851:FUP129916 GEL129851:GEL129916 GOH129851:GOH129916 GYD129851:GYD129916 HHZ129851:HHZ129916 HRV129851:HRV129916 IBR129851:IBR129916 ILN129851:ILN129916 IVJ129851:IVJ129916 JFF129851:JFF129916 JPB129851:JPB129916 JYX129851:JYX129916 KIT129851:KIT129916 KSP129851:KSP129916 LCL129851:LCL129916 LMH129851:LMH129916 LWD129851:LWD129916 MFZ129851:MFZ129916 MPV129851:MPV129916 MZR129851:MZR129916 NJN129851:NJN129916 NTJ129851:NTJ129916 ODF129851:ODF129916 ONB129851:ONB129916 OWX129851:OWX129916 PGT129851:PGT129916 PQP129851:PQP129916 QAL129851:QAL129916 QKH129851:QKH129916 QUD129851:QUD129916 RDZ129851:RDZ129916 RNV129851:RNV129916 RXR129851:RXR129916 SHN129851:SHN129916 SRJ129851:SRJ129916 TBF129851:TBF129916 TLB129851:TLB129916 TUX129851:TUX129916 UET129851:UET129916 UOP129851:UOP129916 UYL129851:UYL129916 VIH129851:VIH129916 VSD129851:VSD129916 WBZ129851:WBZ129916 WLV129851:WLV129916 WVR129851:WVR129916 J195387:J195452 JF195387:JF195452 TB195387:TB195452 ACX195387:ACX195452 AMT195387:AMT195452 AWP195387:AWP195452 BGL195387:BGL195452 BQH195387:BQH195452 CAD195387:CAD195452 CJZ195387:CJZ195452 CTV195387:CTV195452 DDR195387:DDR195452 DNN195387:DNN195452 DXJ195387:DXJ195452 EHF195387:EHF195452 ERB195387:ERB195452 FAX195387:FAX195452 FKT195387:FKT195452 FUP195387:FUP195452 GEL195387:GEL195452 GOH195387:GOH195452 GYD195387:GYD195452 HHZ195387:HHZ195452 HRV195387:HRV195452 IBR195387:IBR195452 ILN195387:ILN195452 IVJ195387:IVJ195452 JFF195387:JFF195452 JPB195387:JPB195452 JYX195387:JYX195452 KIT195387:KIT195452 KSP195387:KSP195452 LCL195387:LCL195452 LMH195387:LMH195452 LWD195387:LWD195452 MFZ195387:MFZ195452 MPV195387:MPV195452 MZR195387:MZR195452 NJN195387:NJN195452 NTJ195387:NTJ195452 ODF195387:ODF195452 ONB195387:ONB195452 OWX195387:OWX195452 PGT195387:PGT195452 PQP195387:PQP195452 QAL195387:QAL195452 QKH195387:QKH195452 QUD195387:QUD195452 RDZ195387:RDZ195452 RNV195387:RNV195452 RXR195387:RXR195452 SHN195387:SHN195452 SRJ195387:SRJ195452 TBF195387:TBF195452 TLB195387:TLB195452 TUX195387:TUX195452 UET195387:UET195452 UOP195387:UOP195452 UYL195387:UYL195452 VIH195387:VIH195452 VSD195387:VSD195452 WBZ195387:WBZ195452 WLV195387:WLV195452 WVR195387:WVR195452 J260923:J260988 JF260923:JF260988 TB260923:TB260988 ACX260923:ACX260988 AMT260923:AMT260988 AWP260923:AWP260988 BGL260923:BGL260988 BQH260923:BQH260988 CAD260923:CAD260988 CJZ260923:CJZ260988 CTV260923:CTV260988 DDR260923:DDR260988 DNN260923:DNN260988 DXJ260923:DXJ260988 EHF260923:EHF260988 ERB260923:ERB260988 FAX260923:FAX260988 FKT260923:FKT260988 FUP260923:FUP260988 GEL260923:GEL260988 GOH260923:GOH260988 GYD260923:GYD260988 HHZ260923:HHZ260988 HRV260923:HRV260988 IBR260923:IBR260988 ILN260923:ILN260988 IVJ260923:IVJ260988 JFF260923:JFF260988 JPB260923:JPB260988 JYX260923:JYX260988 KIT260923:KIT260988 KSP260923:KSP260988 LCL260923:LCL260988 LMH260923:LMH260988 LWD260923:LWD260988 MFZ260923:MFZ260988 MPV260923:MPV260988 MZR260923:MZR260988 NJN260923:NJN260988 NTJ260923:NTJ260988 ODF260923:ODF260988 ONB260923:ONB260988 OWX260923:OWX260988 PGT260923:PGT260988 PQP260923:PQP260988 QAL260923:QAL260988 QKH260923:QKH260988 QUD260923:QUD260988 RDZ260923:RDZ260988 RNV260923:RNV260988 RXR260923:RXR260988 SHN260923:SHN260988 SRJ260923:SRJ260988 TBF260923:TBF260988 TLB260923:TLB260988 TUX260923:TUX260988 UET260923:UET260988 UOP260923:UOP260988 UYL260923:UYL260988 VIH260923:VIH260988 VSD260923:VSD260988 WBZ260923:WBZ260988 WLV260923:WLV260988 WVR260923:WVR260988 J326459:J326524 JF326459:JF326524 TB326459:TB326524 ACX326459:ACX326524 AMT326459:AMT326524 AWP326459:AWP326524 BGL326459:BGL326524 BQH326459:BQH326524 CAD326459:CAD326524 CJZ326459:CJZ326524 CTV326459:CTV326524 DDR326459:DDR326524 DNN326459:DNN326524 DXJ326459:DXJ326524 EHF326459:EHF326524 ERB326459:ERB326524 FAX326459:FAX326524 FKT326459:FKT326524 FUP326459:FUP326524 GEL326459:GEL326524 GOH326459:GOH326524 GYD326459:GYD326524 HHZ326459:HHZ326524 HRV326459:HRV326524 IBR326459:IBR326524 ILN326459:ILN326524 IVJ326459:IVJ326524 JFF326459:JFF326524 JPB326459:JPB326524 JYX326459:JYX326524 KIT326459:KIT326524 KSP326459:KSP326524 LCL326459:LCL326524 LMH326459:LMH326524 LWD326459:LWD326524 MFZ326459:MFZ326524 MPV326459:MPV326524 MZR326459:MZR326524 NJN326459:NJN326524 NTJ326459:NTJ326524 ODF326459:ODF326524 ONB326459:ONB326524 OWX326459:OWX326524 PGT326459:PGT326524 PQP326459:PQP326524 QAL326459:QAL326524 QKH326459:QKH326524 QUD326459:QUD326524 RDZ326459:RDZ326524 RNV326459:RNV326524 RXR326459:RXR326524 SHN326459:SHN326524 SRJ326459:SRJ326524 TBF326459:TBF326524 TLB326459:TLB326524 TUX326459:TUX326524 UET326459:UET326524 UOP326459:UOP326524 UYL326459:UYL326524 VIH326459:VIH326524 VSD326459:VSD326524 WBZ326459:WBZ326524 WLV326459:WLV326524 WVR326459:WVR326524 J391995:J392060 JF391995:JF392060 TB391995:TB392060 ACX391995:ACX392060 AMT391995:AMT392060 AWP391995:AWP392060 BGL391995:BGL392060 BQH391995:BQH392060 CAD391995:CAD392060 CJZ391995:CJZ392060 CTV391995:CTV392060 DDR391995:DDR392060 DNN391995:DNN392060 DXJ391995:DXJ392060 EHF391995:EHF392060 ERB391995:ERB392060 FAX391995:FAX392060 FKT391995:FKT392060 FUP391995:FUP392060 GEL391995:GEL392060 GOH391995:GOH392060 GYD391995:GYD392060 HHZ391995:HHZ392060 HRV391995:HRV392060 IBR391995:IBR392060 ILN391995:ILN392060 IVJ391995:IVJ392060 JFF391995:JFF392060 JPB391995:JPB392060 JYX391995:JYX392060 KIT391995:KIT392060 KSP391995:KSP392060 LCL391995:LCL392060 LMH391995:LMH392060 LWD391995:LWD392060 MFZ391995:MFZ392060 MPV391995:MPV392060 MZR391995:MZR392060 NJN391995:NJN392060 NTJ391995:NTJ392060 ODF391995:ODF392060 ONB391995:ONB392060 OWX391995:OWX392060 PGT391995:PGT392060 PQP391995:PQP392060 QAL391995:QAL392060 QKH391995:QKH392060 QUD391995:QUD392060 RDZ391995:RDZ392060 RNV391995:RNV392060 RXR391995:RXR392060 SHN391995:SHN392060 SRJ391995:SRJ392060 TBF391995:TBF392060 TLB391995:TLB392060 TUX391995:TUX392060 UET391995:UET392060 UOP391995:UOP392060 UYL391995:UYL392060 VIH391995:VIH392060 VSD391995:VSD392060 WBZ391995:WBZ392060 WLV391995:WLV392060 WVR391995:WVR392060 J457531:J457596 JF457531:JF457596 TB457531:TB457596 ACX457531:ACX457596 AMT457531:AMT457596 AWP457531:AWP457596 BGL457531:BGL457596 BQH457531:BQH457596 CAD457531:CAD457596 CJZ457531:CJZ457596 CTV457531:CTV457596 DDR457531:DDR457596 DNN457531:DNN457596 DXJ457531:DXJ457596 EHF457531:EHF457596 ERB457531:ERB457596 FAX457531:FAX457596 FKT457531:FKT457596 FUP457531:FUP457596 GEL457531:GEL457596 GOH457531:GOH457596 GYD457531:GYD457596 HHZ457531:HHZ457596 HRV457531:HRV457596 IBR457531:IBR457596 ILN457531:ILN457596 IVJ457531:IVJ457596 JFF457531:JFF457596 JPB457531:JPB457596 JYX457531:JYX457596 KIT457531:KIT457596 KSP457531:KSP457596 LCL457531:LCL457596 LMH457531:LMH457596 LWD457531:LWD457596 MFZ457531:MFZ457596 MPV457531:MPV457596 MZR457531:MZR457596 NJN457531:NJN457596 NTJ457531:NTJ457596 ODF457531:ODF457596 ONB457531:ONB457596 OWX457531:OWX457596 PGT457531:PGT457596 PQP457531:PQP457596 QAL457531:QAL457596 QKH457531:QKH457596 QUD457531:QUD457596 RDZ457531:RDZ457596 RNV457531:RNV457596 RXR457531:RXR457596 SHN457531:SHN457596 SRJ457531:SRJ457596 TBF457531:TBF457596 TLB457531:TLB457596 TUX457531:TUX457596 UET457531:UET457596 UOP457531:UOP457596 UYL457531:UYL457596 VIH457531:VIH457596 VSD457531:VSD457596 WBZ457531:WBZ457596 WLV457531:WLV457596 WVR457531:WVR457596 J523067:J523132 JF523067:JF523132 TB523067:TB523132 ACX523067:ACX523132 AMT523067:AMT523132 AWP523067:AWP523132 BGL523067:BGL523132 BQH523067:BQH523132 CAD523067:CAD523132 CJZ523067:CJZ523132 CTV523067:CTV523132 DDR523067:DDR523132 DNN523067:DNN523132 DXJ523067:DXJ523132 EHF523067:EHF523132 ERB523067:ERB523132 FAX523067:FAX523132 FKT523067:FKT523132 FUP523067:FUP523132 GEL523067:GEL523132 GOH523067:GOH523132 GYD523067:GYD523132 HHZ523067:HHZ523132 HRV523067:HRV523132 IBR523067:IBR523132 ILN523067:ILN523132 IVJ523067:IVJ523132 JFF523067:JFF523132 JPB523067:JPB523132 JYX523067:JYX523132 KIT523067:KIT523132 KSP523067:KSP523132 LCL523067:LCL523132 LMH523067:LMH523132 LWD523067:LWD523132 MFZ523067:MFZ523132 MPV523067:MPV523132 MZR523067:MZR523132 NJN523067:NJN523132 NTJ523067:NTJ523132 ODF523067:ODF523132 ONB523067:ONB523132 OWX523067:OWX523132 PGT523067:PGT523132 PQP523067:PQP523132 QAL523067:QAL523132 QKH523067:QKH523132 QUD523067:QUD523132 RDZ523067:RDZ523132 RNV523067:RNV523132 RXR523067:RXR523132 SHN523067:SHN523132 SRJ523067:SRJ523132 TBF523067:TBF523132 TLB523067:TLB523132 TUX523067:TUX523132 UET523067:UET523132 UOP523067:UOP523132 UYL523067:UYL523132 VIH523067:VIH523132 VSD523067:VSD523132 WBZ523067:WBZ523132 WLV523067:WLV523132 WVR523067:WVR523132 J588603:J588668 JF588603:JF588668 TB588603:TB588668 ACX588603:ACX588668 AMT588603:AMT588668 AWP588603:AWP588668 BGL588603:BGL588668 BQH588603:BQH588668 CAD588603:CAD588668 CJZ588603:CJZ588668 CTV588603:CTV588668 DDR588603:DDR588668 DNN588603:DNN588668 DXJ588603:DXJ588668 EHF588603:EHF588668 ERB588603:ERB588668 FAX588603:FAX588668 FKT588603:FKT588668 FUP588603:FUP588668 GEL588603:GEL588668 GOH588603:GOH588668 GYD588603:GYD588668 HHZ588603:HHZ588668 HRV588603:HRV588668 IBR588603:IBR588668 ILN588603:ILN588668 IVJ588603:IVJ588668 JFF588603:JFF588668 JPB588603:JPB588668 JYX588603:JYX588668 KIT588603:KIT588668 KSP588603:KSP588668 LCL588603:LCL588668 LMH588603:LMH588668 LWD588603:LWD588668 MFZ588603:MFZ588668 MPV588603:MPV588668 MZR588603:MZR588668 NJN588603:NJN588668 NTJ588603:NTJ588668 ODF588603:ODF588668 ONB588603:ONB588668 OWX588603:OWX588668 PGT588603:PGT588668 PQP588603:PQP588668 QAL588603:QAL588668 QKH588603:QKH588668 QUD588603:QUD588668 RDZ588603:RDZ588668 RNV588603:RNV588668 RXR588603:RXR588668 SHN588603:SHN588668 SRJ588603:SRJ588668 TBF588603:TBF588668 TLB588603:TLB588668 TUX588603:TUX588668 UET588603:UET588668 UOP588603:UOP588668 UYL588603:UYL588668 VIH588603:VIH588668 VSD588603:VSD588668 WBZ588603:WBZ588668 WLV588603:WLV588668 WVR588603:WVR588668 J654139:J654204 JF654139:JF654204 TB654139:TB654204 ACX654139:ACX654204 AMT654139:AMT654204 AWP654139:AWP654204 BGL654139:BGL654204 BQH654139:BQH654204 CAD654139:CAD654204 CJZ654139:CJZ654204 CTV654139:CTV654204 DDR654139:DDR654204 DNN654139:DNN654204 DXJ654139:DXJ654204 EHF654139:EHF654204 ERB654139:ERB654204 FAX654139:FAX654204 FKT654139:FKT654204 FUP654139:FUP654204 GEL654139:GEL654204 GOH654139:GOH654204 GYD654139:GYD654204 HHZ654139:HHZ654204 HRV654139:HRV654204 IBR654139:IBR654204 ILN654139:ILN654204 IVJ654139:IVJ654204 JFF654139:JFF654204 JPB654139:JPB654204 JYX654139:JYX654204 KIT654139:KIT654204 KSP654139:KSP654204 LCL654139:LCL654204 LMH654139:LMH654204 LWD654139:LWD654204 MFZ654139:MFZ654204 MPV654139:MPV654204 MZR654139:MZR654204 NJN654139:NJN654204 NTJ654139:NTJ654204 ODF654139:ODF654204 ONB654139:ONB654204 OWX654139:OWX654204 PGT654139:PGT654204 PQP654139:PQP654204 QAL654139:QAL654204 QKH654139:QKH654204 QUD654139:QUD654204 RDZ654139:RDZ654204 RNV654139:RNV654204 RXR654139:RXR654204 SHN654139:SHN654204 SRJ654139:SRJ654204 TBF654139:TBF654204 TLB654139:TLB654204 TUX654139:TUX654204 UET654139:UET654204 UOP654139:UOP654204 UYL654139:UYL654204 VIH654139:VIH654204 VSD654139:VSD654204 WBZ654139:WBZ654204 WLV654139:WLV654204 WVR654139:WVR654204 J719675:J719740 JF719675:JF719740 TB719675:TB719740 ACX719675:ACX719740 AMT719675:AMT719740 AWP719675:AWP719740 BGL719675:BGL719740 BQH719675:BQH719740 CAD719675:CAD719740 CJZ719675:CJZ719740 CTV719675:CTV719740 DDR719675:DDR719740 DNN719675:DNN719740 DXJ719675:DXJ719740 EHF719675:EHF719740 ERB719675:ERB719740 FAX719675:FAX719740 FKT719675:FKT719740 FUP719675:FUP719740 GEL719675:GEL719740 GOH719675:GOH719740 GYD719675:GYD719740 HHZ719675:HHZ719740 HRV719675:HRV719740 IBR719675:IBR719740 ILN719675:ILN719740 IVJ719675:IVJ719740 JFF719675:JFF719740 JPB719675:JPB719740 JYX719675:JYX719740 KIT719675:KIT719740 KSP719675:KSP719740 LCL719675:LCL719740 LMH719675:LMH719740 LWD719675:LWD719740 MFZ719675:MFZ719740 MPV719675:MPV719740 MZR719675:MZR719740 NJN719675:NJN719740 NTJ719675:NTJ719740 ODF719675:ODF719740 ONB719675:ONB719740 OWX719675:OWX719740 PGT719675:PGT719740 PQP719675:PQP719740 QAL719675:QAL719740 QKH719675:QKH719740 QUD719675:QUD719740 RDZ719675:RDZ719740 RNV719675:RNV719740 RXR719675:RXR719740 SHN719675:SHN719740 SRJ719675:SRJ719740 TBF719675:TBF719740 TLB719675:TLB719740 TUX719675:TUX719740 UET719675:UET719740 UOP719675:UOP719740 UYL719675:UYL719740 VIH719675:VIH719740 VSD719675:VSD719740 WBZ719675:WBZ719740 WLV719675:WLV719740 WVR719675:WVR719740 J785211:J785276 JF785211:JF785276 TB785211:TB785276 ACX785211:ACX785276 AMT785211:AMT785276 AWP785211:AWP785276 BGL785211:BGL785276 BQH785211:BQH785276 CAD785211:CAD785276 CJZ785211:CJZ785276 CTV785211:CTV785276 DDR785211:DDR785276 DNN785211:DNN785276 DXJ785211:DXJ785276 EHF785211:EHF785276 ERB785211:ERB785276 FAX785211:FAX785276 FKT785211:FKT785276 FUP785211:FUP785276 GEL785211:GEL785276 GOH785211:GOH785276 GYD785211:GYD785276 HHZ785211:HHZ785276 HRV785211:HRV785276 IBR785211:IBR785276 ILN785211:ILN785276 IVJ785211:IVJ785276 JFF785211:JFF785276 JPB785211:JPB785276 JYX785211:JYX785276 KIT785211:KIT785276 KSP785211:KSP785276 LCL785211:LCL785276 LMH785211:LMH785276 LWD785211:LWD785276 MFZ785211:MFZ785276 MPV785211:MPV785276 MZR785211:MZR785276 NJN785211:NJN785276 NTJ785211:NTJ785276 ODF785211:ODF785276 ONB785211:ONB785276 OWX785211:OWX785276 PGT785211:PGT785276 PQP785211:PQP785276 QAL785211:QAL785276 QKH785211:QKH785276 QUD785211:QUD785276 RDZ785211:RDZ785276 RNV785211:RNV785276 RXR785211:RXR785276 SHN785211:SHN785276 SRJ785211:SRJ785276 TBF785211:TBF785276 TLB785211:TLB785276 TUX785211:TUX785276 UET785211:UET785276 UOP785211:UOP785276 UYL785211:UYL785276 VIH785211:VIH785276 VSD785211:VSD785276 WBZ785211:WBZ785276 WLV785211:WLV785276 WVR785211:WVR785276 J850747:J850812 JF850747:JF850812 TB850747:TB850812 ACX850747:ACX850812 AMT850747:AMT850812 AWP850747:AWP850812 BGL850747:BGL850812 BQH850747:BQH850812 CAD850747:CAD850812 CJZ850747:CJZ850812 CTV850747:CTV850812 DDR850747:DDR850812 DNN850747:DNN850812 DXJ850747:DXJ850812 EHF850747:EHF850812 ERB850747:ERB850812 FAX850747:FAX850812 FKT850747:FKT850812 FUP850747:FUP850812 GEL850747:GEL850812 GOH850747:GOH850812 GYD850747:GYD850812 HHZ850747:HHZ850812 HRV850747:HRV850812 IBR850747:IBR850812 ILN850747:ILN850812 IVJ850747:IVJ850812 JFF850747:JFF850812 JPB850747:JPB850812 JYX850747:JYX850812 KIT850747:KIT850812 KSP850747:KSP850812 LCL850747:LCL850812 LMH850747:LMH850812 LWD850747:LWD850812 MFZ850747:MFZ850812 MPV850747:MPV850812 MZR850747:MZR850812 NJN850747:NJN850812 NTJ850747:NTJ850812 ODF850747:ODF850812 ONB850747:ONB850812 OWX850747:OWX850812 PGT850747:PGT850812 PQP850747:PQP850812 QAL850747:QAL850812 QKH850747:QKH850812 QUD850747:QUD850812 RDZ850747:RDZ850812 RNV850747:RNV850812 RXR850747:RXR850812 SHN850747:SHN850812 SRJ850747:SRJ850812 TBF850747:TBF850812 TLB850747:TLB850812 TUX850747:TUX850812 UET850747:UET850812 UOP850747:UOP850812 UYL850747:UYL850812 VIH850747:VIH850812 VSD850747:VSD850812 WBZ850747:WBZ850812 WLV850747:WLV850812 WVR850747:WVR850812 J916283:J916348 JF916283:JF916348 TB916283:TB916348 ACX916283:ACX916348 AMT916283:AMT916348 AWP916283:AWP916348 BGL916283:BGL916348 BQH916283:BQH916348 CAD916283:CAD916348 CJZ916283:CJZ916348 CTV916283:CTV916348 DDR916283:DDR916348 DNN916283:DNN916348 DXJ916283:DXJ916348 EHF916283:EHF916348 ERB916283:ERB916348 FAX916283:FAX916348 FKT916283:FKT916348 FUP916283:FUP916348 GEL916283:GEL916348 GOH916283:GOH916348 GYD916283:GYD916348 HHZ916283:HHZ916348 HRV916283:HRV916348 IBR916283:IBR916348 ILN916283:ILN916348 IVJ916283:IVJ916348 JFF916283:JFF916348 JPB916283:JPB916348 JYX916283:JYX916348 KIT916283:KIT916348 KSP916283:KSP916348 LCL916283:LCL916348 LMH916283:LMH916348 LWD916283:LWD916348 MFZ916283:MFZ916348 MPV916283:MPV916348 MZR916283:MZR916348 NJN916283:NJN916348 NTJ916283:NTJ916348 ODF916283:ODF916348 ONB916283:ONB916348 OWX916283:OWX916348 PGT916283:PGT916348 PQP916283:PQP916348 QAL916283:QAL916348 QKH916283:QKH916348 QUD916283:QUD916348 RDZ916283:RDZ916348 RNV916283:RNV916348 RXR916283:RXR916348 SHN916283:SHN916348 SRJ916283:SRJ916348 TBF916283:TBF916348 TLB916283:TLB916348 TUX916283:TUX916348 UET916283:UET916348 UOP916283:UOP916348 UYL916283:UYL916348 VIH916283:VIH916348 VSD916283:VSD916348 WBZ916283:WBZ916348 WLV916283:WLV916348 WVR916283:WVR916348 J981819:J981884 JF981819:JF981884 TB981819:TB981884 ACX981819:ACX981884 AMT981819:AMT981884 AWP981819:AWP981884 BGL981819:BGL981884 BQH981819:BQH981884 CAD981819:CAD981884 CJZ981819:CJZ981884 CTV981819:CTV981884 DDR981819:DDR981884 DNN981819:DNN981884 DXJ981819:DXJ981884 EHF981819:EHF981884 ERB981819:ERB981884 FAX981819:FAX981884 FKT981819:FKT981884 FUP981819:FUP981884 GEL981819:GEL981884 GOH981819:GOH981884 GYD981819:GYD981884 HHZ981819:HHZ981884 HRV981819:HRV981884 IBR981819:IBR981884 ILN981819:ILN981884 IVJ981819:IVJ981884 JFF981819:JFF981884 JPB981819:JPB981884 JYX981819:JYX981884 KIT981819:KIT981884 KSP981819:KSP981884 LCL981819:LCL981884 LMH981819:LMH981884 LWD981819:LWD981884 MFZ981819:MFZ981884 MPV981819:MPV981884 MZR981819:MZR981884 NJN981819:NJN981884 NTJ981819:NTJ981884 ODF981819:ODF981884 ONB981819:ONB981884 OWX981819:OWX981884 PGT981819:PGT981884 PQP981819:PQP981884 QAL981819:QAL981884 QKH981819:QKH981884 QUD981819:QUD981884 RDZ981819:RDZ981884 RNV981819:RNV981884 RXR981819:RXR981884 SHN981819:SHN981884 SRJ981819:SRJ981884 TBF981819:TBF981884 TLB981819:TLB981884 TUX981819:TUX981884 UET981819:UET981884 UOP981819:UOP981884 UYL981819:UYL981884 VIH981819:VIH981884 VSD981819:VSD981884 WBZ981819:WBZ981884 WLV981819:WLV981884 WVR981819:WVR981884 J1047355:J1047420 JF1047355:JF1047420 TB1047355:TB1047420 ACX1047355:ACX1047420 AMT1047355:AMT1047420 AWP1047355:AWP1047420 BGL1047355:BGL1047420 BQH1047355:BQH1047420 CAD1047355:CAD1047420 CJZ1047355:CJZ1047420 CTV1047355:CTV1047420 DDR1047355:DDR1047420 DNN1047355:DNN1047420 DXJ1047355:DXJ1047420 EHF1047355:EHF1047420 ERB1047355:ERB1047420 FAX1047355:FAX1047420 FKT1047355:FKT1047420 FUP1047355:FUP1047420 GEL1047355:GEL1047420 GOH1047355:GOH1047420 GYD1047355:GYD1047420 HHZ1047355:HHZ1047420 HRV1047355:HRV1047420 IBR1047355:IBR1047420 ILN1047355:ILN1047420 IVJ1047355:IVJ1047420 JFF1047355:JFF1047420 JPB1047355:JPB1047420 JYX1047355:JYX1047420 KIT1047355:KIT1047420 KSP1047355:KSP1047420 LCL1047355:LCL1047420 LMH1047355:LMH1047420 LWD1047355:LWD1047420 MFZ1047355:MFZ1047420 MPV1047355:MPV1047420 MZR1047355:MZR1047420 NJN1047355:NJN1047420 NTJ1047355:NTJ1047420 ODF1047355:ODF1047420 ONB1047355:ONB1047420 OWX1047355:OWX1047420 PGT1047355:PGT1047420 PQP1047355:PQP1047420 QAL1047355:QAL1047420 QKH1047355:QKH1047420 QUD1047355:QUD1047420 RDZ1047355:RDZ1047420 RNV1047355:RNV1047420 RXR1047355:RXR1047420 SHN1047355:SHN1047420 SRJ1047355:SRJ1047420 TBF1047355:TBF1047420 TLB1047355:TLB1047420 TUX1047355:TUX1047420 UET1047355:UET1047420 UOP1047355:UOP1047420 UYL1047355:UYL1047420 VIH1047355:VIH1047420 VSD1047355:VSD1047420 WBZ1047355:WBZ1047420 WLV1047355:WLV1047420 WVR1047355:WVR1047420" xr:uid="{891E9C97-C9D5-4A77-95DF-266FF97F203C}">
      <formula1>$AP$2:$AP$15</formula1>
    </dataValidation>
    <dataValidation type="list" allowBlank="1" showInputMessage="1" showErrorMessage="1" sqref="K64315:K64380 JG64315:JG64380 TC64315:TC64380 ACY64315:ACY64380 AMU64315:AMU64380 AWQ64315:AWQ64380 BGM64315:BGM64380 BQI64315:BQI64380 CAE64315:CAE64380 CKA64315:CKA64380 CTW64315:CTW64380 DDS64315:DDS64380 DNO64315:DNO64380 DXK64315:DXK64380 EHG64315:EHG64380 ERC64315:ERC64380 FAY64315:FAY64380 FKU64315:FKU64380 FUQ64315:FUQ64380 GEM64315:GEM64380 GOI64315:GOI64380 GYE64315:GYE64380 HIA64315:HIA64380 HRW64315:HRW64380 IBS64315:IBS64380 ILO64315:ILO64380 IVK64315:IVK64380 JFG64315:JFG64380 JPC64315:JPC64380 JYY64315:JYY64380 KIU64315:KIU64380 KSQ64315:KSQ64380 LCM64315:LCM64380 LMI64315:LMI64380 LWE64315:LWE64380 MGA64315:MGA64380 MPW64315:MPW64380 MZS64315:MZS64380 NJO64315:NJO64380 NTK64315:NTK64380 ODG64315:ODG64380 ONC64315:ONC64380 OWY64315:OWY64380 PGU64315:PGU64380 PQQ64315:PQQ64380 QAM64315:QAM64380 QKI64315:QKI64380 QUE64315:QUE64380 REA64315:REA64380 RNW64315:RNW64380 RXS64315:RXS64380 SHO64315:SHO64380 SRK64315:SRK64380 TBG64315:TBG64380 TLC64315:TLC64380 TUY64315:TUY64380 UEU64315:UEU64380 UOQ64315:UOQ64380 UYM64315:UYM64380 VII64315:VII64380 VSE64315:VSE64380 WCA64315:WCA64380 WLW64315:WLW64380 WVS64315:WVS64380 K129851:K129916 JG129851:JG129916 TC129851:TC129916 ACY129851:ACY129916 AMU129851:AMU129916 AWQ129851:AWQ129916 BGM129851:BGM129916 BQI129851:BQI129916 CAE129851:CAE129916 CKA129851:CKA129916 CTW129851:CTW129916 DDS129851:DDS129916 DNO129851:DNO129916 DXK129851:DXK129916 EHG129851:EHG129916 ERC129851:ERC129916 FAY129851:FAY129916 FKU129851:FKU129916 FUQ129851:FUQ129916 GEM129851:GEM129916 GOI129851:GOI129916 GYE129851:GYE129916 HIA129851:HIA129916 HRW129851:HRW129916 IBS129851:IBS129916 ILO129851:ILO129916 IVK129851:IVK129916 JFG129851:JFG129916 JPC129851:JPC129916 JYY129851:JYY129916 KIU129851:KIU129916 KSQ129851:KSQ129916 LCM129851:LCM129916 LMI129851:LMI129916 LWE129851:LWE129916 MGA129851:MGA129916 MPW129851:MPW129916 MZS129851:MZS129916 NJO129851:NJO129916 NTK129851:NTK129916 ODG129851:ODG129916 ONC129851:ONC129916 OWY129851:OWY129916 PGU129851:PGU129916 PQQ129851:PQQ129916 QAM129851:QAM129916 QKI129851:QKI129916 QUE129851:QUE129916 REA129851:REA129916 RNW129851:RNW129916 RXS129851:RXS129916 SHO129851:SHO129916 SRK129851:SRK129916 TBG129851:TBG129916 TLC129851:TLC129916 TUY129851:TUY129916 UEU129851:UEU129916 UOQ129851:UOQ129916 UYM129851:UYM129916 VII129851:VII129916 VSE129851:VSE129916 WCA129851:WCA129916 WLW129851:WLW129916 WVS129851:WVS129916 K195387:K195452 JG195387:JG195452 TC195387:TC195452 ACY195387:ACY195452 AMU195387:AMU195452 AWQ195387:AWQ195452 BGM195387:BGM195452 BQI195387:BQI195452 CAE195387:CAE195452 CKA195387:CKA195452 CTW195387:CTW195452 DDS195387:DDS195452 DNO195387:DNO195452 DXK195387:DXK195452 EHG195387:EHG195452 ERC195387:ERC195452 FAY195387:FAY195452 FKU195387:FKU195452 FUQ195387:FUQ195452 GEM195387:GEM195452 GOI195387:GOI195452 GYE195387:GYE195452 HIA195387:HIA195452 HRW195387:HRW195452 IBS195387:IBS195452 ILO195387:ILO195452 IVK195387:IVK195452 JFG195387:JFG195452 JPC195387:JPC195452 JYY195387:JYY195452 KIU195387:KIU195452 KSQ195387:KSQ195452 LCM195387:LCM195452 LMI195387:LMI195452 LWE195387:LWE195452 MGA195387:MGA195452 MPW195387:MPW195452 MZS195387:MZS195452 NJO195387:NJO195452 NTK195387:NTK195452 ODG195387:ODG195452 ONC195387:ONC195452 OWY195387:OWY195452 PGU195387:PGU195452 PQQ195387:PQQ195452 QAM195387:QAM195452 QKI195387:QKI195452 QUE195387:QUE195452 REA195387:REA195452 RNW195387:RNW195452 RXS195387:RXS195452 SHO195387:SHO195452 SRK195387:SRK195452 TBG195387:TBG195452 TLC195387:TLC195452 TUY195387:TUY195452 UEU195387:UEU195452 UOQ195387:UOQ195452 UYM195387:UYM195452 VII195387:VII195452 VSE195387:VSE195452 WCA195387:WCA195452 WLW195387:WLW195452 WVS195387:WVS195452 K260923:K260988 JG260923:JG260988 TC260923:TC260988 ACY260923:ACY260988 AMU260923:AMU260988 AWQ260923:AWQ260988 BGM260923:BGM260988 BQI260923:BQI260988 CAE260923:CAE260988 CKA260923:CKA260988 CTW260923:CTW260988 DDS260923:DDS260988 DNO260923:DNO260988 DXK260923:DXK260988 EHG260923:EHG260988 ERC260923:ERC260988 FAY260923:FAY260988 FKU260923:FKU260988 FUQ260923:FUQ260988 GEM260923:GEM260988 GOI260923:GOI260988 GYE260923:GYE260988 HIA260923:HIA260988 HRW260923:HRW260988 IBS260923:IBS260988 ILO260923:ILO260988 IVK260923:IVK260988 JFG260923:JFG260988 JPC260923:JPC260988 JYY260923:JYY260988 KIU260923:KIU260988 KSQ260923:KSQ260988 LCM260923:LCM260988 LMI260923:LMI260988 LWE260923:LWE260988 MGA260923:MGA260988 MPW260923:MPW260988 MZS260923:MZS260988 NJO260923:NJO260988 NTK260923:NTK260988 ODG260923:ODG260988 ONC260923:ONC260988 OWY260923:OWY260988 PGU260923:PGU260988 PQQ260923:PQQ260988 QAM260923:QAM260988 QKI260923:QKI260988 QUE260923:QUE260988 REA260923:REA260988 RNW260923:RNW260988 RXS260923:RXS260988 SHO260923:SHO260988 SRK260923:SRK260988 TBG260923:TBG260988 TLC260923:TLC260988 TUY260923:TUY260988 UEU260923:UEU260988 UOQ260923:UOQ260988 UYM260923:UYM260988 VII260923:VII260988 VSE260923:VSE260988 WCA260923:WCA260988 WLW260923:WLW260988 WVS260923:WVS260988 K326459:K326524 JG326459:JG326524 TC326459:TC326524 ACY326459:ACY326524 AMU326459:AMU326524 AWQ326459:AWQ326524 BGM326459:BGM326524 BQI326459:BQI326524 CAE326459:CAE326524 CKA326459:CKA326524 CTW326459:CTW326524 DDS326459:DDS326524 DNO326459:DNO326524 DXK326459:DXK326524 EHG326459:EHG326524 ERC326459:ERC326524 FAY326459:FAY326524 FKU326459:FKU326524 FUQ326459:FUQ326524 GEM326459:GEM326524 GOI326459:GOI326524 GYE326459:GYE326524 HIA326459:HIA326524 HRW326459:HRW326524 IBS326459:IBS326524 ILO326459:ILO326524 IVK326459:IVK326524 JFG326459:JFG326524 JPC326459:JPC326524 JYY326459:JYY326524 KIU326459:KIU326524 KSQ326459:KSQ326524 LCM326459:LCM326524 LMI326459:LMI326524 LWE326459:LWE326524 MGA326459:MGA326524 MPW326459:MPW326524 MZS326459:MZS326524 NJO326459:NJO326524 NTK326459:NTK326524 ODG326459:ODG326524 ONC326459:ONC326524 OWY326459:OWY326524 PGU326459:PGU326524 PQQ326459:PQQ326524 QAM326459:QAM326524 QKI326459:QKI326524 QUE326459:QUE326524 REA326459:REA326524 RNW326459:RNW326524 RXS326459:RXS326524 SHO326459:SHO326524 SRK326459:SRK326524 TBG326459:TBG326524 TLC326459:TLC326524 TUY326459:TUY326524 UEU326459:UEU326524 UOQ326459:UOQ326524 UYM326459:UYM326524 VII326459:VII326524 VSE326459:VSE326524 WCA326459:WCA326524 WLW326459:WLW326524 WVS326459:WVS326524 K391995:K392060 JG391995:JG392060 TC391995:TC392060 ACY391995:ACY392060 AMU391995:AMU392060 AWQ391995:AWQ392060 BGM391995:BGM392060 BQI391995:BQI392060 CAE391995:CAE392060 CKA391995:CKA392060 CTW391995:CTW392060 DDS391995:DDS392060 DNO391995:DNO392060 DXK391995:DXK392060 EHG391995:EHG392060 ERC391995:ERC392060 FAY391995:FAY392060 FKU391995:FKU392060 FUQ391995:FUQ392060 GEM391995:GEM392060 GOI391995:GOI392060 GYE391995:GYE392060 HIA391995:HIA392060 HRW391995:HRW392060 IBS391995:IBS392060 ILO391995:ILO392060 IVK391995:IVK392060 JFG391995:JFG392060 JPC391995:JPC392060 JYY391995:JYY392060 KIU391995:KIU392060 KSQ391995:KSQ392060 LCM391995:LCM392060 LMI391995:LMI392060 LWE391995:LWE392060 MGA391995:MGA392060 MPW391995:MPW392060 MZS391995:MZS392060 NJO391995:NJO392060 NTK391995:NTK392060 ODG391995:ODG392060 ONC391995:ONC392060 OWY391995:OWY392060 PGU391995:PGU392060 PQQ391995:PQQ392060 QAM391995:QAM392060 QKI391995:QKI392060 QUE391995:QUE392060 REA391995:REA392060 RNW391995:RNW392060 RXS391995:RXS392060 SHO391995:SHO392060 SRK391995:SRK392060 TBG391995:TBG392060 TLC391995:TLC392060 TUY391995:TUY392060 UEU391995:UEU392060 UOQ391995:UOQ392060 UYM391995:UYM392060 VII391995:VII392060 VSE391995:VSE392060 WCA391995:WCA392060 WLW391995:WLW392060 WVS391995:WVS392060 K457531:K457596 JG457531:JG457596 TC457531:TC457596 ACY457531:ACY457596 AMU457531:AMU457596 AWQ457531:AWQ457596 BGM457531:BGM457596 BQI457531:BQI457596 CAE457531:CAE457596 CKA457531:CKA457596 CTW457531:CTW457596 DDS457531:DDS457596 DNO457531:DNO457596 DXK457531:DXK457596 EHG457531:EHG457596 ERC457531:ERC457596 FAY457531:FAY457596 FKU457531:FKU457596 FUQ457531:FUQ457596 GEM457531:GEM457596 GOI457531:GOI457596 GYE457531:GYE457596 HIA457531:HIA457596 HRW457531:HRW457596 IBS457531:IBS457596 ILO457531:ILO457596 IVK457531:IVK457596 JFG457531:JFG457596 JPC457531:JPC457596 JYY457531:JYY457596 KIU457531:KIU457596 KSQ457531:KSQ457596 LCM457531:LCM457596 LMI457531:LMI457596 LWE457531:LWE457596 MGA457531:MGA457596 MPW457531:MPW457596 MZS457531:MZS457596 NJO457531:NJO457596 NTK457531:NTK457596 ODG457531:ODG457596 ONC457531:ONC457596 OWY457531:OWY457596 PGU457531:PGU457596 PQQ457531:PQQ457596 QAM457531:QAM457596 QKI457531:QKI457596 QUE457531:QUE457596 REA457531:REA457596 RNW457531:RNW457596 RXS457531:RXS457596 SHO457531:SHO457596 SRK457531:SRK457596 TBG457531:TBG457596 TLC457531:TLC457596 TUY457531:TUY457596 UEU457531:UEU457596 UOQ457531:UOQ457596 UYM457531:UYM457596 VII457531:VII457596 VSE457531:VSE457596 WCA457531:WCA457596 WLW457531:WLW457596 WVS457531:WVS457596 K523067:K523132 JG523067:JG523132 TC523067:TC523132 ACY523067:ACY523132 AMU523067:AMU523132 AWQ523067:AWQ523132 BGM523067:BGM523132 BQI523067:BQI523132 CAE523067:CAE523132 CKA523067:CKA523132 CTW523067:CTW523132 DDS523067:DDS523132 DNO523067:DNO523132 DXK523067:DXK523132 EHG523067:EHG523132 ERC523067:ERC523132 FAY523067:FAY523132 FKU523067:FKU523132 FUQ523067:FUQ523132 GEM523067:GEM523132 GOI523067:GOI523132 GYE523067:GYE523132 HIA523067:HIA523132 HRW523067:HRW523132 IBS523067:IBS523132 ILO523067:ILO523132 IVK523067:IVK523132 JFG523067:JFG523132 JPC523067:JPC523132 JYY523067:JYY523132 KIU523067:KIU523132 KSQ523067:KSQ523132 LCM523067:LCM523132 LMI523067:LMI523132 LWE523067:LWE523132 MGA523067:MGA523132 MPW523067:MPW523132 MZS523067:MZS523132 NJO523067:NJO523132 NTK523067:NTK523132 ODG523067:ODG523132 ONC523067:ONC523132 OWY523067:OWY523132 PGU523067:PGU523132 PQQ523067:PQQ523132 QAM523067:QAM523132 QKI523067:QKI523132 QUE523067:QUE523132 REA523067:REA523132 RNW523067:RNW523132 RXS523067:RXS523132 SHO523067:SHO523132 SRK523067:SRK523132 TBG523067:TBG523132 TLC523067:TLC523132 TUY523067:TUY523132 UEU523067:UEU523132 UOQ523067:UOQ523132 UYM523067:UYM523132 VII523067:VII523132 VSE523067:VSE523132 WCA523067:WCA523132 WLW523067:WLW523132 WVS523067:WVS523132 K588603:K588668 JG588603:JG588668 TC588603:TC588668 ACY588603:ACY588668 AMU588603:AMU588668 AWQ588603:AWQ588668 BGM588603:BGM588668 BQI588603:BQI588668 CAE588603:CAE588668 CKA588603:CKA588668 CTW588603:CTW588668 DDS588603:DDS588668 DNO588603:DNO588668 DXK588603:DXK588668 EHG588603:EHG588668 ERC588603:ERC588668 FAY588603:FAY588668 FKU588603:FKU588668 FUQ588603:FUQ588668 GEM588603:GEM588668 GOI588603:GOI588668 GYE588603:GYE588668 HIA588603:HIA588668 HRW588603:HRW588668 IBS588603:IBS588668 ILO588603:ILO588668 IVK588603:IVK588668 JFG588603:JFG588668 JPC588603:JPC588668 JYY588603:JYY588668 KIU588603:KIU588668 KSQ588603:KSQ588668 LCM588603:LCM588668 LMI588603:LMI588668 LWE588603:LWE588668 MGA588603:MGA588668 MPW588603:MPW588668 MZS588603:MZS588668 NJO588603:NJO588668 NTK588603:NTK588668 ODG588603:ODG588668 ONC588603:ONC588668 OWY588603:OWY588668 PGU588603:PGU588668 PQQ588603:PQQ588668 QAM588603:QAM588668 QKI588603:QKI588668 QUE588603:QUE588668 REA588603:REA588668 RNW588603:RNW588668 RXS588603:RXS588668 SHO588603:SHO588668 SRK588603:SRK588668 TBG588603:TBG588668 TLC588603:TLC588668 TUY588603:TUY588668 UEU588603:UEU588668 UOQ588603:UOQ588668 UYM588603:UYM588668 VII588603:VII588668 VSE588603:VSE588668 WCA588603:WCA588668 WLW588603:WLW588668 WVS588603:WVS588668 K654139:K654204 JG654139:JG654204 TC654139:TC654204 ACY654139:ACY654204 AMU654139:AMU654204 AWQ654139:AWQ654204 BGM654139:BGM654204 BQI654139:BQI654204 CAE654139:CAE654204 CKA654139:CKA654204 CTW654139:CTW654204 DDS654139:DDS654204 DNO654139:DNO654204 DXK654139:DXK654204 EHG654139:EHG654204 ERC654139:ERC654204 FAY654139:FAY654204 FKU654139:FKU654204 FUQ654139:FUQ654204 GEM654139:GEM654204 GOI654139:GOI654204 GYE654139:GYE654204 HIA654139:HIA654204 HRW654139:HRW654204 IBS654139:IBS654204 ILO654139:ILO654204 IVK654139:IVK654204 JFG654139:JFG654204 JPC654139:JPC654204 JYY654139:JYY654204 KIU654139:KIU654204 KSQ654139:KSQ654204 LCM654139:LCM654204 LMI654139:LMI654204 LWE654139:LWE654204 MGA654139:MGA654204 MPW654139:MPW654204 MZS654139:MZS654204 NJO654139:NJO654204 NTK654139:NTK654204 ODG654139:ODG654204 ONC654139:ONC654204 OWY654139:OWY654204 PGU654139:PGU654204 PQQ654139:PQQ654204 QAM654139:QAM654204 QKI654139:QKI654204 QUE654139:QUE654204 REA654139:REA654204 RNW654139:RNW654204 RXS654139:RXS654204 SHO654139:SHO654204 SRK654139:SRK654204 TBG654139:TBG654204 TLC654139:TLC654204 TUY654139:TUY654204 UEU654139:UEU654204 UOQ654139:UOQ654204 UYM654139:UYM654204 VII654139:VII654204 VSE654139:VSE654204 WCA654139:WCA654204 WLW654139:WLW654204 WVS654139:WVS654204 K719675:K719740 JG719675:JG719740 TC719675:TC719740 ACY719675:ACY719740 AMU719675:AMU719740 AWQ719675:AWQ719740 BGM719675:BGM719740 BQI719675:BQI719740 CAE719675:CAE719740 CKA719675:CKA719740 CTW719675:CTW719740 DDS719675:DDS719740 DNO719675:DNO719740 DXK719675:DXK719740 EHG719675:EHG719740 ERC719675:ERC719740 FAY719675:FAY719740 FKU719675:FKU719740 FUQ719675:FUQ719740 GEM719675:GEM719740 GOI719675:GOI719740 GYE719675:GYE719740 HIA719675:HIA719740 HRW719675:HRW719740 IBS719675:IBS719740 ILO719675:ILO719740 IVK719675:IVK719740 JFG719675:JFG719740 JPC719675:JPC719740 JYY719675:JYY719740 KIU719675:KIU719740 KSQ719675:KSQ719740 LCM719675:LCM719740 LMI719675:LMI719740 LWE719675:LWE719740 MGA719675:MGA719740 MPW719675:MPW719740 MZS719675:MZS719740 NJO719675:NJO719740 NTK719675:NTK719740 ODG719675:ODG719740 ONC719675:ONC719740 OWY719675:OWY719740 PGU719675:PGU719740 PQQ719675:PQQ719740 QAM719675:QAM719740 QKI719675:QKI719740 QUE719675:QUE719740 REA719675:REA719740 RNW719675:RNW719740 RXS719675:RXS719740 SHO719675:SHO719740 SRK719675:SRK719740 TBG719675:TBG719740 TLC719675:TLC719740 TUY719675:TUY719740 UEU719675:UEU719740 UOQ719675:UOQ719740 UYM719675:UYM719740 VII719675:VII719740 VSE719675:VSE719740 WCA719675:WCA719740 WLW719675:WLW719740 WVS719675:WVS719740 K785211:K785276 JG785211:JG785276 TC785211:TC785276 ACY785211:ACY785276 AMU785211:AMU785276 AWQ785211:AWQ785276 BGM785211:BGM785276 BQI785211:BQI785276 CAE785211:CAE785276 CKA785211:CKA785276 CTW785211:CTW785276 DDS785211:DDS785276 DNO785211:DNO785276 DXK785211:DXK785276 EHG785211:EHG785276 ERC785211:ERC785276 FAY785211:FAY785276 FKU785211:FKU785276 FUQ785211:FUQ785276 GEM785211:GEM785276 GOI785211:GOI785276 GYE785211:GYE785276 HIA785211:HIA785276 HRW785211:HRW785276 IBS785211:IBS785276 ILO785211:ILO785276 IVK785211:IVK785276 JFG785211:JFG785276 JPC785211:JPC785276 JYY785211:JYY785276 KIU785211:KIU785276 KSQ785211:KSQ785276 LCM785211:LCM785276 LMI785211:LMI785276 LWE785211:LWE785276 MGA785211:MGA785276 MPW785211:MPW785276 MZS785211:MZS785276 NJO785211:NJO785276 NTK785211:NTK785276 ODG785211:ODG785276 ONC785211:ONC785276 OWY785211:OWY785276 PGU785211:PGU785276 PQQ785211:PQQ785276 QAM785211:QAM785276 QKI785211:QKI785276 QUE785211:QUE785276 REA785211:REA785276 RNW785211:RNW785276 RXS785211:RXS785276 SHO785211:SHO785276 SRK785211:SRK785276 TBG785211:TBG785276 TLC785211:TLC785276 TUY785211:TUY785276 UEU785211:UEU785276 UOQ785211:UOQ785276 UYM785211:UYM785276 VII785211:VII785276 VSE785211:VSE785276 WCA785211:WCA785276 WLW785211:WLW785276 WVS785211:WVS785276 K850747:K850812 JG850747:JG850812 TC850747:TC850812 ACY850747:ACY850812 AMU850747:AMU850812 AWQ850747:AWQ850812 BGM850747:BGM850812 BQI850747:BQI850812 CAE850747:CAE850812 CKA850747:CKA850812 CTW850747:CTW850812 DDS850747:DDS850812 DNO850747:DNO850812 DXK850747:DXK850812 EHG850747:EHG850812 ERC850747:ERC850812 FAY850747:FAY850812 FKU850747:FKU850812 FUQ850747:FUQ850812 GEM850747:GEM850812 GOI850747:GOI850812 GYE850747:GYE850812 HIA850747:HIA850812 HRW850747:HRW850812 IBS850747:IBS850812 ILO850747:ILO850812 IVK850747:IVK850812 JFG850747:JFG850812 JPC850747:JPC850812 JYY850747:JYY850812 KIU850747:KIU850812 KSQ850747:KSQ850812 LCM850747:LCM850812 LMI850747:LMI850812 LWE850747:LWE850812 MGA850747:MGA850812 MPW850747:MPW850812 MZS850747:MZS850812 NJO850747:NJO850812 NTK850747:NTK850812 ODG850747:ODG850812 ONC850747:ONC850812 OWY850747:OWY850812 PGU850747:PGU850812 PQQ850747:PQQ850812 QAM850747:QAM850812 QKI850747:QKI850812 QUE850747:QUE850812 REA850747:REA850812 RNW850747:RNW850812 RXS850747:RXS850812 SHO850747:SHO850812 SRK850747:SRK850812 TBG850747:TBG850812 TLC850747:TLC850812 TUY850747:TUY850812 UEU850747:UEU850812 UOQ850747:UOQ850812 UYM850747:UYM850812 VII850747:VII850812 VSE850747:VSE850812 WCA850747:WCA850812 WLW850747:WLW850812 WVS850747:WVS850812 K916283:K916348 JG916283:JG916348 TC916283:TC916348 ACY916283:ACY916348 AMU916283:AMU916348 AWQ916283:AWQ916348 BGM916283:BGM916348 BQI916283:BQI916348 CAE916283:CAE916348 CKA916283:CKA916348 CTW916283:CTW916348 DDS916283:DDS916348 DNO916283:DNO916348 DXK916283:DXK916348 EHG916283:EHG916348 ERC916283:ERC916348 FAY916283:FAY916348 FKU916283:FKU916348 FUQ916283:FUQ916348 GEM916283:GEM916348 GOI916283:GOI916348 GYE916283:GYE916348 HIA916283:HIA916348 HRW916283:HRW916348 IBS916283:IBS916348 ILO916283:ILO916348 IVK916283:IVK916348 JFG916283:JFG916348 JPC916283:JPC916348 JYY916283:JYY916348 KIU916283:KIU916348 KSQ916283:KSQ916348 LCM916283:LCM916348 LMI916283:LMI916348 LWE916283:LWE916348 MGA916283:MGA916348 MPW916283:MPW916348 MZS916283:MZS916348 NJO916283:NJO916348 NTK916283:NTK916348 ODG916283:ODG916348 ONC916283:ONC916348 OWY916283:OWY916348 PGU916283:PGU916348 PQQ916283:PQQ916348 QAM916283:QAM916348 QKI916283:QKI916348 QUE916283:QUE916348 REA916283:REA916348 RNW916283:RNW916348 RXS916283:RXS916348 SHO916283:SHO916348 SRK916283:SRK916348 TBG916283:TBG916348 TLC916283:TLC916348 TUY916283:TUY916348 UEU916283:UEU916348 UOQ916283:UOQ916348 UYM916283:UYM916348 VII916283:VII916348 VSE916283:VSE916348 WCA916283:WCA916348 WLW916283:WLW916348 WVS916283:WVS916348 K981819:K981884 JG981819:JG981884 TC981819:TC981884 ACY981819:ACY981884 AMU981819:AMU981884 AWQ981819:AWQ981884 BGM981819:BGM981884 BQI981819:BQI981884 CAE981819:CAE981884 CKA981819:CKA981884 CTW981819:CTW981884 DDS981819:DDS981884 DNO981819:DNO981884 DXK981819:DXK981884 EHG981819:EHG981884 ERC981819:ERC981884 FAY981819:FAY981884 FKU981819:FKU981884 FUQ981819:FUQ981884 GEM981819:GEM981884 GOI981819:GOI981884 GYE981819:GYE981884 HIA981819:HIA981884 HRW981819:HRW981884 IBS981819:IBS981884 ILO981819:ILO981884 IVK981819:IVK981884 JFG981819:JFG981884 JPC981819:JPC981884 JYY981819:JYY981884 KIU981819:KIU981884 KSQ981819:KSQ981884 LCM981819:LCM981884 LMI981819:LMI981884 LWE981819:LWE981884 MGA981819:MGA981884 MPW981819:MPW981884 MZS981819:MZS981884 NJO981819:NJO981884 NTK981819:NTK981884 ODG981819:ODG981884 ONC981819:ONC981884 OWY981819:OWY981884 PGU981819:PGU981884 PQQ981819:PQQ981884 QAM981819:QAM981884 QKI981819:QKI981884 QUE981819:QUE981884 REA981819:REA981884 RNW981819:RNW981884 RXS981819:RXS981884 SHO981819:SHO981884 SRK981819:SRK981884 TBG981819:TBG981884 TLC981819:TLC981884 TUY981819:TUY981884 UEU981819:UEU981884 UOQ981819:UOQ981884 UYM981819:UYM981884 VII981819:VII981884 VSE981819:VSE981884 WCA981819:WCA981884 WLW981819:WLW981884 WVS981819:WVS981884 K1047355:K1047420 JG1047355:JG1047420 TC1047355:TC1047420 ACY1047355:ACY1047420 AMU1047355:AMU1047420 AWQ1047355:AWQ1047420 BGM1047355:BGM1047420 BQI1047355:BQI1047420 CAE1047355:CAE1047420 CKA1047355:CKA1047420 CTW1047355:CTW1047420 DDS1047355:DDS1047420 DNO1047355:DNO1047420 DXK1047355:DXK1047420 EHG1047355:EHG1047420 ERC1047355:ERC1047420 FAY1047355:FAY1047420 FKU1047355:FKU1047420 FUQ1047355:FUQ1047420 GEM1047355:GEM1047420 GOI1047355:GOI1047420 GYE1047355:GYE1047420 HIA1047355:HIA1047420 HRW1047355:HRW1047420 IBS1047355:IBS1047420 ILO1047355:ILO1047420 IVK1047355:IVK1047420 JFG1047355:JFG1047420 JPC1047355:JPC1047420 JYY1047355:JYY1047420 KIU1047355:KIU1047420 KSQ1047355:KSQ1047420 LCM1047355:LCM1047420 LMI1047355:LMI1047420 LWE1047355:LWE1047420 MGA1047355:MGA1047420 MPW1047355:MPW1047420 MZS1047355:MZS1047420 NJO1047355:NJO1047420 NTK1047355:NTK1047420 ODG1047355:ODG1047420 ONC1047355:ONC1047420 OWY1047355:OWY1047420 PGU1047355:PGU1047420 PQQ1047355:PQQ1047420 QAM1047355:QAM1047420 QKI1047355:QKI1047420 QUE1047355:QUE1047420 REA1047355:REA1047420 RNW1047355:RNW1047420 RXS1047355:RXS1047420 SHO1047355:SHO1047420 SRK1047355:SRK1047420 TBG1047355:TBG1047420 TLC1047355:TLC1047420 TUY1047355:TUY1047420 UEU1047355:UEU1047420 UOQ1047355:UOQ1047420 UYM1047355:UYM1047420 VII1047355:VII1047420 VSE1047355:VSE1047420 WCA1047355:WCA1047420 WLW1047355:WLW1047420 WVS1047355:WVS1047420" xr:uid="{E7C18130-FDF1-41CE-93F0-2F0DE486D005}">
      <formula1>$AR$2:$AR$24</formula1>
    </dataValidation>
    <dataValidation type="list" allowBlank="1" showInputMessage="1" showErrorMessage="1" sqref="Y64315:AA64380 JU64315:JW64380 TQ64315:TS64380 ADM64315:ADO64380 ANI64315:ANK64380 AXE64315:AXG64380 BHA64315:BHC64380 BQW64315:BQY64380 CAS64315:CAU64380 CKO64315:CKQ64380 CUK64315:CUM64380 DEG64315:DEI64380 DOC64315:DOE64380 DXY64315:DYA64380 EHU64315:EHW64380 ERQ64315:ERS64380 FBM64315:FBO64380 FLI64315:FLK64380 FVE64315:FVG64380 GFA64315:GFC64380 GOW64315:GOY64380 GYS64315:GYU64380 HIO64315:HIQ64380 HSK64315:HSM64380 ICG64315:ICI64380 IMC64315:IME64380 IVY64315:IWA64380 JFU64315:JFW64380 JPQ64315:JPS64380 JZM64315:JZO64380 KJI64315:KJK64380 KTE64315:KTG64380 LDA64315:LDC64380 LMW64315:LMY64380 LWS64315:LWU64380 MGO64315:MGQ64380 MQK64315:MQM64380 NAG64315:NAI64380 NKC64315:NKE64380 NTY64315:NUA64380 ODU64315:ODW64380 ONQ64315:ONS64380 OXM64315:OXO64380 PHI64315:PHK64380 PRE64315:PRG64380 QBA64315:QBC64380 QKW64315:QKY64380 QUS64315:QUU64380 REO64315:REQ64380 ROK64315:ROM64380 RYG64315:RYI64380 SIC64315:SIE64380 SRY64315:SSA64380 TBU64315:TBW64380 TLQ64315:TLS64380 TVM64315:TVO64380 UFI64315:UFK64380 UPE64315:UPG64380 UZA64315:UZC64380 VIW64315:VIY64380 VSS64315:VSU64380 WCO64315:WCQ64380 WMK64315:WMM64380 WWG64315:WWI64380 Y129851:AA129916 JU129851:JW129916 TQ129851:TS129916 ADM129851:ADO129916 ANI129851:ANK129916 AXE129851:AXG129916 BHA129851:BHC129916 BQW129851:BQY129916 CAS129851:CAU129916 CKO129851:CKQ129916 CUK129851:CUM129916 DEG129851:DEI129916 DOC129851:DOE129916 DXY129851:DYA129916 EHU129851:EHW129916 ERQ129851:ERS129916 FBM129851:FBO129916 FLI129851:FLK129916 FVE129851:FVG129916 GFA129851:GFC129916 GOW129851:GOY129916 GYS129851:GYU129916 HIO129851:HIQ129916 HSK129851:HSM129916 ICG129851:ICI129916 IMC129851:IME129916 IVY129851:IWA129916 JFU129851:JFW129916 JPQ129851:JPS129916 JZM129851:JZO129916 KJI129851:KJK129916 KTE129851:KTG129916 LDA129851:LDC129916 LMW129851:LMY129916 LWS129851:LWU129916 MGO129851:MGQ129916 MQK129851:MQM129916 NAG129851:NAI129916 NKC129851:NKE129916 NTY129851:NUA129916 ODU129851:ODW129916 ONQ129851:ONS129916 OXM129851:OXO129916 PHI129851:PHK129916 PRE129851:PRG129916 QBA129851:QBC129916 QKW129851:QKY129916 QUS129851:QUU129916 REO129851:REQ129916 ROK129851:ROM129916 RYG129851:RYI129916 SIC129851:SIE129916 SRY129851:SSA129916 TBU129851:TBW129916 TLQ129851:TLS129916 TVM129851:TVO129916 UFI129851:UFK129916 UPE129851:UPG129916 UZA129851:UZC129916 VIW129851:VIY129916 VSS129851:VSU129916 WCO129851:WCQ129916 WMK129851:WMM129916 WWG129851:WWI129916 Y195387:AA195452 JU195387:JW195452 TQ195387:TS195452 ADM195387:ADO195452 ANI195387:ANK195452 AXE195387:AXG195452 BHA195387:BHC195452 BQW195387:BQY195452 CAS195387:CAU195452 CKO195387:CKQ195452 CUK195387:CUM195452 DEG195387:DEI195452 DOC195387:DOE195452 DXY195387:DYA195452 EHU195387:EHW195452 ERQ195387:ERS195452 FBM195387:FBO195452 FLI195387:FLK195452 FVE195387:FVG195452 GFA195387:GFC195452 GOW195387:GOY195452 GYS195387:GYU195452 HIO195387:HIQ195452 HSK195387:HSM195452 ICG195387:ICI195452 IMC195387:IME195452 IVY195387:IWA195452 JFU195387:JFW195452 JPQ195387:JPS195452 JZM195387:JZO195452 KJI195387:KJK195452 KTE195387:KTG195452 LDA195387:LDC195452 LMW195387:LMY195452 LWS195387:LWU195452 MGO195387:MGQ195452 MQK195387:MQM195452 NAG195387:NAI195452 NKC195387:NKE195452 NTY195387:NUA195452 ODU195387:ODW195452 ONQ195387:ONS195452 OXM195387:OXO195452 PHI195387:PHK195452 PRE195387:PRG195452 QBA195387:QBC195452 QKW195387:QKY195452 QUS195387:QUU195452 REO195387:REQ195452 ROK195387:ROM195452 RYG195387:RYI195452 SIC195387:SIE195452 SRY195387:SSA195452 TBU195387:TBW195452 TLQ195387:TLS195452 TVM195387:TVO195452 UFI195387:UFK195452 UPE195387:UPG195452 UZA195387:UZC195452 VIW195387:VIY195452 VSS195387:VSU195452 WCO195387:WCQ195452 WMK195387:WMM195452 WWG195387:WWI195452 Y260923:AA260988 JU260923:JW260988 TQ260923:TS260988 ADM260923:ADO260988 ANI260923:ANK260988 AXE260923:AXG260988 BHA260923:BHC260988 BQW260923:BQY260988 CAS260923:CAU260988 CKO260923:CKQ260988 CUK260923:CUM260988 DEG260923:DEI260988 DOC260923:DOE260988 DXY260923:DYA260988 EHU260923:EHW260988 ERQ260923:ERS260988 FBM260923:FBO260988 FLI260923:FLK260988 FVE260923:FVG260988 GFA260923:GFC260988 GOW260923:GOY260988 GYS260923:GYU260988 HIO260923:HIQ260988 HSK260923:HSM260988 ICG260923:ICI260988 IMC260923:IME260988 IVY260923:IWA260988 JFU260923:JFW260988 JPQ260923:JPS260988 JZM260923:JZO260988 KJI260923:KJK260988 KTE260923:KTG260988 LDA260923:LDC260988 LMW260923:LMY260988 LWS260923:LWU260988 MGO260923:MGQ260988 MQK260923:MQM260988 NAG260923:NAI260988 NKC260923:NKE260988 NTY260923:NUA260988 ODU260923:ODW260988 ONQ260923:ONS260988 OXM260923:OXO260988 PHI260923:PHK260988 PRE260923:PRG260988 QBA260923:QBC260988 QKW260923:QKY260988 QUS260923:QUU260988 REO260923:REQ260988 ROK260923:ROM260988 RYG260923:RYI260988 SIC260923:SIE260988 SRY260923:SSA260988 TBU260923:TBW260988 TLQ260923:TLS260988 TVM260923:TVO260988 UFI260923:UFK260988 UPE260923:UPG260988 UZA260923:UZC260988 VIW260923:VIY260988 VSS260923:VSU260988 WCO260923:WCQ260988 WMK260923:WMM260988 WWG260923:WWI260988 Y326459:AA326524 JU326459:JW326524 TQ326459:TS326524 ADM326459:ADO326524 ANI326459:ANK326524 AXE326459:AXG326524 BHA326459:BHC326524 BQW326459:BQY326524 CAS326459:CAU326524 CKO326459:CKQ326524 CUK326459:CUM326524 DEG326459:DEI326524 DOC326459:DOE326524 DXY326459:DYA326524 EHU326459:EHW326524 ERQ326459:ERS326524 FBM326459:FBO326524 FLI326459:FLK326524 FVE326459:FVG326524 GFA326459:GFC326524 GOW326459:GOY326524 GYS326459:GYU326524 HIO326459:HIQ326524 HSK326459:HSM326524 ICG326459:ICI326524 IMC326459:IME326524 IVY326459:IWA326524 JFU326459:JFW326524 JPQ326459:JPS326524 JZM326459:JZO326524 KJI326459:KJK326524 KTE326459:KTG326524 LDA326459:LDC326524 LMW326459:LMY326524 LWS326459:LWU326524 MGO326459:MGQ326524 MQK326459:MQM326524 NAG326459:NAI326524 NKC326459:NKE326524 NTY326459:NUA326524 ODU326459:ODW326524 ONQ326459:ONS326524 OXM326459:OXO326524 PHI326459:PHK326524 PRE326459:PRG326524 QBA326459:QBC326524 QKW326459:QKY326524 QUS326459:QUU326524 REO326459:REQ326524 ROK326459:ROM326524 RYG326459:RYI326524 SIC326459:SIE326524 SRY326459:SSA326524 TBU326459:TBW326524 TLQ326459:TLS326524 TVM326459:TVO326524 UFI326459:UFK326524 UPE326459:UPG326524 UZA326459:UZC326524 VIW326459:VIY326524 VSS326459:VSU326524 WCO326459:WCQ326524 WMK326459:WMM326524 WWG326459:WWI326524 Y391995:AA392060 JU391995:JW392060 TQ391995:TS392060 ADM391995:ADO392060 ANI391995:ANK392060 AXE391995:AXG392060 BHA391995:BHC392060 BQW391995:BQY392060 CAS391995:CAU392060 CKO391995:CKQ392060 CUK391995:CUM392060 DEG391995:DEI392060 DOC391995:DOE392060 DXY391995:DYA392060 EHU391995:EHW392060 ERQ391995:ERS392060 FBM391995:FBO392060 FLI391995:FLK392060 FVE391995:FVG392060 GFA391995:GFC392060 GOW391995:GOY392060 GYS391995:GYU392060 HIO391995:HIQ392060 HSK391995:HSM392060 ICG391995:ICI392060 IMC391995:IME392060 IVY391995:IWA392060 JFU391995:JFW392060 JPQ391995:JPS392060 JZM391995:JZO392060 KJI391995:KJK392060 KTE391995:KTG392060 LDA391995:LDC392060 LMW391995:LMY392060 LWS391995:LWU392060 MGO391995:MGQ392060 MQK391995:MQM392060 NAG391995:NAI392060 NKC391995:NKE392060 NTY391995:NUA392060 ODU391995:ODW392060 ONQ391995:ONS392060 OXM391995:OXO392060 PHI391995:PHK392060 PRE391995:PRG392060 QBA391995:QBC392060 QKW391995:QKY392060 QUS391995:QUU392060 REO391995:REQ392060 ROK391995:ROM392060 RYG391995:RYI392060 SIC391995:SIE392060 SRY391995:SSA392060 TBU391995:TBW392060 TLQ391995:TLS392060 TVM391995:TVO392060 UFI391995:UFK392060 UPE391995:UPG392060 UZA391995:UZC392060 VIW391995:VIY392060 VSS391995:VSU392060 WCO391995:WCQ392060 WMK391995:WMM392060 WWG391995:WWI392060 Y457531:AA457596 JU457531:JW457596 TQ457531:TS457596 ADM457531:ADO457596 ANI457531:ANK457596 AXE457531:AXG457596 BHA457531:BHC457596 BQW457531:BQY457596 CAS457531:CAU457596 CKO457531:CKQ457596 CUK457531:CUM457596 DEG457531:DEI457596 DOC457531:DOE457596 DXY457531:DYA457596 EHU457531:EHW457596 ERQ457531:ERS457596 FBM457531:FBO457596 FLI457531:FLK457596 FVE457531:FVG457596 GFA457531:GFC457596 GOW457531:GOY457596 GYS457531:GYU457596 HIO457531:HIQ457596 HSK457531:HSM457596 ICG457531:ICI457596 IMC457531:IME457596 IVY457531:IWA457596 JFU457531:JFW457596 JPQ457531:JPS457596 JZM457531:JZO457596 KJI457531:KJK457596 KTE457531:KTG457596 LDA457531:LDC457596 LMW457531:LMY457596 LWS457531:LWU457596 MGO457531:MGQ457596 MQK457531:MQM457596 NAG457531:NAI457596 NKC457531:NKE457596 NTY457531:NUA457596 ODU457531:ODW457596 ONQ457531:ONS457596 OXM457531:OXO457596 PHI457531:PHK457596 PRE457531:PRG457596 QBA457531:QBC457596 QKW457531:QKY457596 QUS457531:QUU457596 REO457531:REQ457596 ROK457531:ROM457596 RYG457531:RYI457596 SIC457531:SIE457596 SRY457531:SSA457596 TBU457531:TBW457596 TLQ457531:TLS457596 TVM457531:TVO457596 UFI457531:UFK457596 UPE457531:UPG457596 UZA457531:UZC457596 VIW457531:VIY457596 VSS457531:VSU457596 WCO457531:WCQ457596 WMK457531:WMM457596 WWG457531:WWI457596 Y523067:AA523132 JU523067:JW523132 TQ523067:TS523132 ADM523067:ADO523132 ANI523067:ANK523132 AXE523067:AXG523132 BHA523067:BHC523132 BQW523067:BQY523132 CAS523067:CAU523132 CKO523067:CKQ523132 CUK523067:CUM523132 DEG523067:DEI523132 DOC523067:DOE523132 DXY523067:DYA523132 EHU523067:EHW523132 ERQ523067:ERS523132 FBM523067:FBO523132 FLI523067:FLK523132 FVE523067:FVG523132 GFA523067:GFC523132 GOW523067:GOY523132 GYS523067:GYU523132 HIO523067:HIQ523132 HSK523067:HSM523132 ICG523067:ICI523132 IMC523067:IME523132 IVY523067:IWA523132 JFU523067:JFW523132 JPQ523067:JPS523132 JZM523067:JZO523132 KJI523067:KJK523132 KTE523067:KTG523132 LDA523067:LDC523132 LMW523067:LMY523132 LWS523067:LWU523132 MGO523067:MGQ523132 MQK523067:MQM523132 NAG523067:NAI523132 NKC523067:NKE523132 NTY523067:NUA523132 ODU523067:ODW523132 ONQ523067:ONS523132 OXM523067:OXO523132 PHI523067:PHK523132 PRE523067:PRG523132 QBA523067:QBC523132 QKW523067:QKY523132 QUS523067:QUU523132 REO523067:REQ523132 ROK523067:ROM523132 RYG523067:RYI523132 SIC523067:SIE523132 SRY523067:SSA523132 TBU523067:TBW523132 TLQ523067:TLS523132 TVM523067:TVO523132 UFI523067:UFK523132 UPE523067:UPG523132 UZA523067:UZC523132 VIW523067:VIY523132 VSS523067:VSU523132 WCO523067:WCQ523132 WMK523067:WMM523132 WWG523067:WWI523132 Y588603:AA588668 JU588603:JW588668 TQ588603:TS588668 ADM588603:ADO588668 ANI588603:ANK588668 AXE588603:AXG588668 BHA588603:BHC588668 BQW588603:BQY588668 CAS588603:CAU588668 CKO588603:CKQ588668 CUK588603:CUM588668 DEG588603:DEI588668 DOC588603:DOE588668 DXY588603:DYA588668 EHU588603:EHW588668 ERQ588603:ERS588668 FBM588603:FBO588668 FLI588603:FLK588668 FVE588603:FVG588668 GFA588603:GFC588668 GOW588603:GOY588668 GYS588603:GYU588668 HIO588603:HIQ588668 HSK588603:HSM588668 ICG588603:ICI588668 IMC588603:IME588668 IVY588603:IWA588668 JFU588603:JFW588668 JPQ588603:JPS588668 JZM588603:JZO588668 KJI588603:KJK588668 KTE588603:KTG588668 LDA588603:LDC588668 LMW588603:LMY588668 LWS588603:LWU588668 MGO588603:MGQ588668 MQK588603:MQM588668 NAG588603:NAI588668 NKC588603:NKE588668 NTY588603:NUA588668 ODU588603:ODW588668 ONQ588603:ONS588668 OXM588603:OXO588668 PHI588603:PHK588668 PRE588603:PRG588668 QBA588603:QBC588668 QKW588603:QKY588668 QUS588603:QUU588668 REO588603:REQ588668 ROK588603:ROM588668 RYG588603:RYI588668 SIC588603:SIE588668 SRY588603:SSA588668 TBU588603:TBW588668 TLQ588603:TLS588668 TVM588603:TVO588668 UFI588603:UFK588668 UPE588603:UPG588668 UZA588603:UZC588668 VIW588603:VIY588668 VSS588603:VSU588668 WCO588603:WCQ588668 WMK588603:WMM588668 WWG588603:WWI588668 Y654139:AA654204 JU654139:JW654204 TQ654139:TS654204 ADM654139:ADO654204 ANI654139:ANK654204 AXE654139:AXG654204 BHA654139:BHC654204 BQW654139:BQY654204 CAS654139:CAU654204 CKO654139:CKQ654204 CUK654139:CUM654204 DEG654139:DEI654204 DOC654139:DOE654204 DXY654139:DYA654204 EHU654139:EHW654204 ERQ654139:ERS654204 FBM654139:FBO654204 FLI654139:FLK654204 FVE654139:FVG654204 GFA654139:GFC654204 GOW654139:GOY654204 GYS654139:GYU654204 HIO654139:HIQ654204 HSK654139:HSM654204 ICG654139:ICI654204 IMC654139:IME654204 IVY654139:IWA654204 JFU654139:JFW654204 JPQ654139:JPS654204 JZM654139:JZO654204 KJI654139:KJK654204 KTE654139:KTG654204 LDA654139:LDC654204 LMW654139:LMY654204 LWS654139:LWU654204 MGO654139:MGQ654204 MQK654139:MQM654204 NAG654139:NAI654204 NKC654139:NKE654204 NTY654139:NUA654204 ODU654139:ODW654204 ONQ654139:ONS654204 OXM654139:OXO654204 PHI654139:PHK654204 PRE654139:PRG654204 QBA654139:QBC654204 QKW654139:QKY654204 QUS654139:QUU654204 REO654139:REQ654204 ROK654139:ROM654204 RYG654139:RYI654204 SIC654139:SIE654204 SRY654139:SSA654204 TBU654139:TBW654204 TLQ654139:TLS654204 TVM654139:TVO654204 UFI654139:UFK654204 UPE654139:UPG654204 UZA654139:UZC654204 VIW654139:VIY654204 VSS654139:VSU654204 WCO654139:WCQ654204 WMK654139:WMM654204 WWG654139:WWI654204 Y719675:AA719740 JU719675:JW719740 TQ719675:TS719740 ADM719675:ADO719740 ANI719675:ANK719740 AXE719675:AXG719740 BHA719675:BHC719740 BQW719675:BQY719740 CAS719675:CAU719740 CKO719675:CKQ719740 CUK719675:CUM719740 DEG719675:DEI719740 DOC719675:DOE719740 DXY719675:DYA719740 EHU719675:EHW719740 ERQ719675:ERS719740 FBM719675:FBO719740 FLI719675:FLK719740 FVE719675:FVG719740 GFA719675:GFC719740 GOW719675:GOY719740 GYS719675:GYU719740 HIO719675:HIQ719740 HSK719675:HSM719740 ICG719675:ICI719740 IMC719675:IME719740 IVY719675:IWA719740 JFU719675:JFW719740 JPQ719675:JPS719740 JZM719675:JZO719740 KJI719675:KJK719740 KTE719675:KTG719740 LDA719675:LDC719740 LMW719675:LMY719740 LWS719675:LWU719740 MGO719675:MGQ719740 MQK719675:MQM719740 NAG719675:NAI719740 NKC719675:NKE719740 NTY719675:NUA719740 ODU719675:ODW719740 ONQ719675:ONS719740 OXM719675:OXO719740 PHI719675:PHK719740 PRE719675:PRG719740 QBA719675:QBC719740 QKW719675:QKY719740 QUS719675:QUU719740 REO719675:REQ719740 ROK719675:ROM719740 RYG719675:RYI719740 SIC719675:SIE719740 SRY719675:SSA719740 TBU719675:TBW719740 TLQ719675:TLS719740 TVM719675:TVO719740 UFI719675:UFK719740 UPE719675:UPG719740 UZA719675:UZC719740 VIW719675:VIY719740 VSS719675:VSU719740 WCO719675:WCQ719740 WMK719675:WMM719740 WWG719675:WWI719740 Y785211:AA785276 JU785211:JW785276 TQ785211:TS785276 ADM785211:ADO785276 ANI785211:ANK785276 AXE785211:AXG785276 BHA785211:BHC785276 BQW785211:BQY785276 CAS785211:CAU785276 CKO785211:CKQ785276 CUK785211:CUM785276 DEG785211:DEI785276 DOC785211:DOE785276 DXY785211:DYA785276 EHU785211:EHW785276 ERQ785211:ERS785276 FBM785211:FBO785276 FLI785211:FLK785276 FVE785211:FVG785276 GFA785211:GFC785276 GOW785211:GOY785276 GYS785211:GYU785276 HIO785211:HIQ785276 HSK785211:HSM785276 ICG785211:ICI785276 IMC785211:IME785276 IVY785211:IWA785276 JFU785211:JFW785276 JPQ785211:JPS785276 JZM785211:JZO785276 KJI785211:KJK785276 KTE785211:KTG785276 LDA785211:LDC785276 LMW785211:LMY785276 LWS785211:LWU785276 MGO785211:MGQ785276 MQK785211:MQM785276 NAG785211:NAI785276 NKC785211:NKE785276 NTY785211:NUA785276 ODU785211:ODW785276 ONQ785211:ONS785276 OXM785211:OXO785276 PHI785211:PHK785276 PRE785211:PRG785276 QBA785211:QBC785276 QKW785211:QKY785276 QUS785211:QUU785276 REO785211:REQ785276 ROK785211:ROM785276 RYG785211:RYI785276 SIC785211:SIE785276 SRY785211:SSA785276 TBU785211:TBW785276 TLQ785211:TLS785276 TVM785211:TVO785276 UFI785211:UFK785276 UPE785211:UPG785276 UZA785211:UZC785276 VIW785211:VIY785276 VSS785211:VSU785276 WCO785211:WCQ785276 WMK785211:WMM785276 WWG785211:WWI785276 Y850747:AA850812 JU850747:JW850812 TQ850747:TS850812 ADM850747:ADO850812 ANI850747:ANK850812 AXE850747:AXG850812 BHA850747:BHC850812 BQW850747:BQY850812 CAS850747:CAU850812 CKO850747:CKQ850812 CUK850747:CUM850812 DEG850747:DEI850812 DOC850747:DOE850812 DXY850747:DYA850812 EHU850747:EHW850812 ERQ850747:ERS850812 FBM850747:FBO850812 FLI850747:FLK850812 FVE850747:FVG850812 GFA850747:GFC850812 GOW850747:GOY850812 GYS850747:GYU850812 HIO850747:HIQ850812 HSK850747:HSM850812 ICG850747:ICI850812 IMC850747:IME850812 IVY850747:IWA850812 JFU850747:JFW850812 JPQ850747:JPS850812 JZM850747:JZO850812 KJI850747:KJK850812 KTE850747:KTG850812 LDA850747:LDC850812 LMW850747:LMY850812 LWS850747:LWU850812 MGO850747:MGQ850812 MQK850747:MQM850812 NAG850747:NAI850812 NKC850747:NKE850812 NTY850747:NUA850812 ODU850747:ODW850812 ONQ850747:ONS850812 OXM850747:OXO850812 PHI850747:PHK850812 PRE850747:PRG850812 QBA850747:QBC850812 QKW850747:QKY850812 QUS850747:QUU850812 REO850747:REQ850812 ROK850747:ROM850812 RYG850747:RYI850812 SIC850747:SIE850812 SRY850747:SSA850812 TBU850747:TBW850812 TLQ850747:TLS850812 TVM850747:TVO850812 UFI850747:UFK850812 UPE850747:UPG850812 UZA850747:UZC850812 VIW850747:VIY850812 VSS850747:VSU850812 WCO850747:WCQ850812 WMK850747:WMM850812 WWG850747:WWI850812 Y916283:AA916348 JU916283:JW916348 TQ916283:TS916348 ADM916283:ADO916348 ANI916283:ANK916348 AXE916283:AXG916348 BHA916283:BHC916348 BQW916283:BQY916348 CAS916283:CAU916348 CKO916283:CKQ916348 CUK916283:CUM916348 DEG916283:DEI916348 DOC916283:DOE916348 DXY916283:DYA916348 EHU916283:EHW916348 ERQ916283:ERS916348 FBM916283:FBO916348 FLI916283:FLK916348 FVE916283:FVG916348 GFA916283:GFC916348 GOW916283:GOY916348 GYS916283:GYU916348 HIO916283:HIQ916348 HSK916283:HSM916348 ICG916283:ICI916348 IMC916283:IME916348 IVY916283:IWA916348 JFU916283:JFW916348 JPQ916283:JPS916348 JZM916283:JZO916348 KJI916283:KJK916348 KTE916283:KTG916348 LDA916283:LDC916348 LMW916283:LMY916348 LWS916283:LWU916348 MGO916283:MGQ916348 MQK916283:MQM916348 NAG916283:NAI916348 NKC916283:NKE916348 NTY916283:NUA916348 ODU916283:ODW916348 ONQ916283:ONS916348 OXM916283:OXO916348 PHI916283:PHK916348 PRE916283:PRG916348 QBA916283:QBC916348 QKW916283:QKY916348 QUS916283:QUU916348 REO916283:REQ916348 ROK916283:ROM916348 RYG916283:RYI916348 SIC916283:SIE916348 SRY916283:SSA916348 TBU916283:TBW916348 TLQ916283:TLS916348 TVM916283:TVO916348 UFI916283:UFK916348 UPE916283:UPG916348 UZA916283:UZC916348 VIW916283:VIY916348 VSS916283:VSU916348 WCO916283:WCQ916348 WMK916283:WMM916348 WWG916283:WWI916348 Y981819:AA981884 JU981819:JW981884 TQ981819:TS981884 ADM981819:ADO981884 ANI981819:ANK981884 AXE981819:AXG981884 BHA981819:BHC981884 BQW981819:BQY981884 CAS981819:CAU981884 CKO981819:CKQ981884 CUK981819:CUM981884 DEG981819:DEI981884 DOC981819:DOE981884 DXY981819:DYA981884 EHU981819:EHW981884 ERQ981819:ERS981884 FBM981819:FBO981884 FLI981819:FLK981884 FVE981819:FVG981884 GFA981819:GFC981884 GOW981819:GOY981884 GYS981819:GYU981884 HIO981819:HIQ981884 HSK981819:HSM981884 ICG981819:ICI981884 IMC981819:IME981884 IVY981819:IWA981884 JFU981819:JFW981884 JPQ981819:JPS981884 JZM981819:JZO981884 KJI981819:KJK981884 KTE981819:KTG981884 LDA981819:LDC981884 LMW981819:LMY981884 LWS981819:LWU981884 MGO981819:MGQ981884 MQK981819:MQM981884 NAG981819:NAI981884 NKC981819:NKE981884 NTY981819:NUA981884 ODU981819:ODW981884 ONQ981819:ONS981884 OXM981819:OXO981884 PHI981819:PHK981884 PRE981819:PRG981884 QBA981819:QBC981884 QKW981819:QKY981884 QUS981819:QUU981884 REO981819:REQ981884 ROK981819:ROM981884 RYG981819:RYI981884 SIC981819:SIE981884 SRY981819:SSA981884 TBU981819:TBW981884 TLQ981819:TLS981884 TVM981819:TVO981884 UFI981819:UFK981884 UPE981819:UPG981884 UZA981819:UZC981884 VIW981819:VIY981884 VSS981819:VSU981884 WCO981819:WCQ981884 WMK981819:WMM981884 WWG981819:WWI981884 Y1047355:AA1047420 JU1047355:JW1047420 TQ1047355:TS1047420 ADM1047355:ADO1047420 ANI1047355:ANK1047420 AXE1047355:AXG1047420 BHA1047355:BHC1047420 BQW1047355:BQY1047420 CAS1047355:CAU1047420 CKO1047355:CKQ1047420 CUK1047355:CUM1047420 DEG1047355:DEI1047420 DOC1047355:DOE1047420 DXY1047355:DYA1047420 EHU1047355:EHW1047420 ERQ1047355:ERS1047420 FBM1047355:FBO1047420 FLI1047355:FLK1047420 FVE1047355:FVG1047420 GFA1047355:GFC1047420 GOW1047355:GOY1047420 GYS1047355:GYU1047420 HIO1047355:HIQ1047420 HSK1047355:HSM1047420 ICG1047355:ICI1047420 IMC1047355:IME1047420 IVY1047355:IWA1047420 JFU1047355:JFW1047420 JPQ1047355:JPS1047420 JZM1047355:JZO1047420 KJI1047355:KJK1047420 KTE1047355:KTG1047420 LDA1047355:LDC1047420 LMW1047355:LMY1047420 LWS1047355:LWU1047420 MGO1047355:MGQ1047420 MQK1047355:MQM1047420 NAG1047355:NAI1047420 NKC1047355:NKE1047420 NTY1047355:NUA1047420 ODU1047355:ODW1047420 ONQ1047355:ONS1047420 OXM1047355:OXO1047420 PHI1047355:PHK1047420 PRE1047355:PRG1047420 QBA1047355:QBC1047420 QKW1047355:QKY1047420 QUS1047355:QUU1047420 REO1047355:REQ1047420 ROK1047355:ROM1047420 RYG1047355:RYI1047420 SIC1047355:SIE1047420 SRY1047355:SSA1047420 TBU1047355:TBW1047420 TLQ1047355:TLS1047420 TVM1047355:TVO1047420 UFI1047355:UFK1047420 UPE1047355:UPG1047420 UZA1047355:UZC1047420 VIW1047355:VIY1047420 VSS1047355:VSU1047420 WCO1047355:WCQ1047420 WMK1047355:WMM1047420 WWG1047355:WWI1047420 WWG982994:WWI983059 Y65490:AA65555 JU65490:JW65555 TQ65490:TS65555 ADM65490:ADO65555 ANI65490:ANK65555 AXE65490:AXG65555 BHA65490:BHC65555 BQW65490:BQY65555 CAS65490:CAU65555 CKO65490:CKQ65555 CUK65490:CUM65555 DEG65490:DEI65555 DOC65490:DOE65555 DXY65490:DYA65555 EHU65490:EHW65555 ERQ65490:ERS65555 FBM65490:FBO65555 FLI65490:FLK65555 FVE65490:FVG65555 GFA65490:GFC65555 GOW65490:GOY65555 GYS65490:GYU65555 HIO65490:HIQ65555 HSK65490:HSM65555 ICG65490:ICI65555 IMC65490:IME65555 IVY65490:IWA65555 JFU65490:JFW65555 JPQ65490:JPS65555 JZM65490:JZO65555 KJI65490:KJK65555 KTE65490:KTG65555 LDA65490:LDC65555 LMW65490:LMY65555 LWS65490:LWU65555 MGO65490:MGQ65555 MQK65490:MQM65555 NAG65490:NAI65555 NKC65490:NKE65555 NTY65490:NUA65555 ODU65490:ODW65555 ONQ65490:ONS65555 OXM65490:OXO65555 PHI65490:PHK65555 PRE65490:PRG65555 QBA65490:QBC65555 QKW65490:QKY65555 QUS65490:QUU65555 REO65490:REQ65555 ROK65490:ROM65555 RYG65490:RYI65555 SIC65490:SIE65555 SRY65490:SSA65555 TBU65490:TBW65555 TLQ65490:TLS65555 TVM65490:TVO65555 UFI65490:UFK65555 UPE65490:UPG65555 UZA65490:UZC65555 VIW65490:VIY65555 VSS65490:VSU65555 WCO65490:WCQ65555 WMK65490:WMM65555 WWG65490:WWI65555 Y131026:AA131091 JU131026:JW131091 TQ131026:TS131091 ADM131026:ADO131091 ANI131026:ANK131091 AXE131026:AXG131091 BHA131026:BHC131091 BQW131026:BQY131091 CAS131026:CAU131091 CKO131026:CKQ131091 CUK131026:CUM131091 DEG131026:DEI131091 DOC131026:DOE131091 DXY131026:DYA131091 EHU131026:EHW131091 ERQ131026:ERS131091 FBM131026:FBO131091 FLI131026:FLK131091 FVE131026:FVG131091 GFA131026:GFC131091 GOW131026:GOY131091 GYS131026:GYU131091 HIO131026:HIQ131091 HSK131026:HSM131091 ICG131026:ICI131091 IMC131026:IME131091 IVY131026:IWA131091 JFU131026:JFW131091 JPQ131026:JPS131091 JZM131026:JZO131091 KJI131026:KJK131091 KTE131026:KTG131091 LDA131026:LDC131091 LMW131026:LMY131091 LWS131026:LWU131091 MGO131026:MGQ131091 MQK131026:MQM131091 NAG131026:NAI131091 NKC131026:NKE131091 NTY131026:NUA131091 ODU131026:ODW131091 ONQ131026:ONS131091 OXM131026:OXO131091 PHI131026:PHK131091 PRE131026:PRG131091 QBA131026:QBC131091 QKW131026:QKY131091 QUS131026:QUU131091 REO131026:REQ131091 ROK131026:ROM131091 RYG131026:RYI131091 SIC131026:SIE131091 SRY131026:SSA131091 TBU131026:TBW131091 TLQ131026:TLS131091 TVM131026:TVO131091 UFI131026:UFK131091 UPE131026:UPG131091 UZA131026:UZC131091 VIW131026:VIY131091 VSS131026:VSU131091 WCO131026:WCQ131091 WMK131026:WMM131091 WWG131026:WWI131091 Y196562:AA196627 JU196562:JW196627 TQ196562:TS196627 ADM196562:ADO196627 ANI196562:ANK196627 AXE196562:AXG196627 BHA196562:BHC196627 BQW196562:BQY196627 CAS196562:CAU196627 CKO196562:CKQ196627 CUK196562:CUM196627 DEG196562:DEI196627 DOC196562:DOE196627 DXY196562:DYA196627 EHU196562:EHW196627 ERQ196562:ERS196627 FBM196562:FBO196627 FLI196562:FLK196627 FVE196562:FVG196627 GFA196562:GFC196627 GOW196562:GOY196627 GYS196562:GYU196627 HIO196562:HIQ196627 HSK196562:HSM196627 ICG196562:ICI196627 IMC196562:IME196627 IVY196562:IWA196627 JFU196562:JFW196627 JPQ196562:JPS196627 JZM196562:JZO196627 KJI196562:KJK196627 KTE196562:KTG196627 LDA196562:LDC196627 LMW196562:LMY196627 LWS196562:LWU196627 MGO196562:MGQ196627 MQK196562:MQM196627 NAG196562:NAI196627 NKC196562:NKE196627 NTY196562:NUA196627 ODU196562:ODW196627 ONQ196562:ONS196627 OXM196562:OXO196627 PHI196562:PHK196627 PRE196562:PRG196627 QBA196562:QBC196627 QKW196562:QKY196627 QUS196562:QUU196627 REO196562:REQ196627 ROK196562:ROM196627 RYG196562:RYI196627 SIC196562:SIE196627 SRY196562:SSA196627 TBU196562:TBW196627 TLQ196562:TLS196627 TVM196562:TVO196627 UFI196562:UFK196627 UPE196562:UPG196627 UZA196562:UZC196627 VIW196562:VIY196627 VSS196562:VSU196627 WCO196562:WCQ196627 WMK196562:WMM196627 WWG196562:WWI196627 Y262098:AA262163 JU262098:JW262163 TQ262098:TS262163 ADM262098:ADO262163 ANI262098:ANK262163 AXE262098:AXG262163 BHA262098:BHC262163 BQW262098:BQY262163 CAS262098:CAU262163 CKO262098:CKQ262163 CUK262098:CUM262163 DEG262098:DEI262163 DOC262098:DOE262163 DXY262098:DYA262163 EHU262098:EHW262163 ERQ262098:ERS262163 FBM262098:FBO262163 FLI262098:FLK262163 FVE262098:FVG262163 GFA262098:GFC262163 GOW262098:GOY262163 GYS262098:GYU262163 HIO262098:HIQ262163 HSK262098:HSM262163 ICG262098:ICI262163 IMC262098:IME262163 IVY262098:IWA262163 JFU262098:JFW262163 JPQ262098:JPS262163 JZM262098:JZO262163 KJI262098:KJK262163 KTE262098:KTG262163 LDA262098:LDC262163 LMW262098:LMY262163 LWS262098:LWU262163 MGO262098:MGQ262163 MQK262098:MQM262163 NAG262098:NAI262163 NKC262098:NKE262163 NTY262098:NUA262163 ODU262098:ODW262163 ONQ262098:ONS262163 OXM262098:OXO262163 PHI262098:PHK262163 PRE262098:PRG262163 QBA262098:QBC262163 QKW262098:QKY262163 QUS262098:QUU262163 REO262098:REQ262163 ROK262098:ROM262163 RYG262098:RYI262163 SIC262098:SIE262163 SRY262098:SSA262163 TBU262098:TBW262163 TLQ262098:TLS262163 TVM262098:TVO262163 UFI262098:UFK262163 UPE262098:UPG262163 UZA262098:UZC262163 VIW262098:VIY262163 VSS262098:VSU262163 WCO262098:WCQ262163 WMK262098:WMM262163 WWG262098:WWI262163 Y327634:AA327699 JU327634:JW327699 TQ327634:TS327699 ADM327634:ADO327699 ANI327634:ANK327699 AXE327634:AXG327699 BHA327634:BHC327699 BQW327634:BQY327699 CAS327634:CAU327699 CKO327634:CKQ327699 CUK327634:CUM327699 DEG327634:DEI327699 DOC327634:DOE327699 DXY327634:DYA327699 EHU327634:EHW327699 ERQ327634:ERS327699 FBM327634:FBO327699 FLI327634:FLK327699 FVE327634:FVG327699 GFA327634:GFC327699 GOW327634:GOY327699 GYS327634:GYU327699 HIO327634:HIQ327699 HSK327634:HSM327699 ICG327634:ICI327699 IMC327634:IME327699 IVY327634:IWA327699 JFU327634:JFW327699 JPQ327634:JPS327699 JZM327634:JZO327699 KJI327634:KJK327699 KTE327634:KTG327699 LDA327634:LDC327699 LMW327634:LMY327699 LWS327634:LWU327699 MGO327634:MGQ327699 MQK327634:MQM327699 NAG327634:NAI327699 NKC327634:NKE327699 NTY327634:NUA327699 ODU327634:ODW327699 ONQ327634:ONS327699 OXM327634:OXO327699 PHI327634:PHK327699 PRE327634:PRG327699 QBA327634:QBC327699 QKW327634:QKY327699 QUS327634:QUU327699 REO327634:REQ327699 ROK327634:ROM327699 RYG327634:RYI327699 SIC327634:SIE327699 SRY327634:SSA327699 TBU327634:TBW327699 TLQ327634:TLS327699 TVM327634:TVO327699 UFI327634:UFK327699 UPE327634:UPG327699 UZA327634:UZC327699 VIW327634:VIY327699 VSS327634:VSU327699 WCO327634:WCQ327699 WMK327634:WMM327699 WWG327634:WWI327699 Y393170:AA393235 JU393170:JW393235 TQ393170:TS393235 ADM393170:ADO393235 ANI393170:ANK393235 AXE393170:AXG393235 BHA393170:BHC393235 BQW393170:BQY393235 CAS393170:CAU393235 CKO393170:CKQ393235 CUK393170:CUM393235 DEG393170:DEI393235 DOC393170:DOE393235 DXY393170:DYA393235 EHU393170:EHW393235 ERQ393170:ERS393235 FBM393170:FBO393235 FLI393170:FLK393235 FVE393170:FVG393235 GFA393170:GFC393235 GOW393170:GOY393235 GYS393170:GYU393235 HIO393170:HIQ393235 HSK393170:HSM393235 ICG393170:ICI393235 IMC393170:IME393235 IVY393170:IWA393235 JFU393170:JFW393235 JPQ393170:JPS393235 JZM393170:JZO393235 KJI393170:KJK393235 KTE393170:KTG393235 LDA393170:LDC393235 LMW393170:LMY393235 LWS393170:LWU393235 MGO393170:MGQ393235 MQK393170:MQM393235 NAG393170:NAI393235 NKC393170:NKE393235 NTY393170:NUA393235 ODU393170:ODW393235 ONQ393170:ONS393235 OXM393170:OXO393235 PHI393170:PHK393235 PRE393170:PRG393235 QBA393170:QBC393235 QKW393170:QKY393235 QUS393170:QUU393235 REO393170:REQ393235 ROK393170:ROM393235 RYG393170:RYI393235 SIC393170:SIE393235 SRY393170:SSA393235 TBU393170:TBW393235 TLQ393170:TLS393235 TVM393170:TVO393235 UFI393170:UFK393235 UPE393170:UPG393235 UZA393170:UZC393235 VIW393170:VIY393235 VSS393170:VSU393235 WCO393170:WCQ393235 WMK393170:WMM393235 WWG393170:WWI393235 Y458706:AA458771 JU458706:JW458771 TQ458706:TS458771 ADM458706:ADO458771 ANI458706:ANK458771 AXE458706:AXG458771 BHA458706:BHC458771 BQW458706:BQY458771 CAS458706:CAU458771 CKO458706:CKQ458771 CUK458706:CUM458771 DEG458706:DEI458771 DOC458706:DOE458771 DXY458706:DYA458771 EHU458706:EHW458771 ERQ458706:ERS458771 FBM458706:FBO458771 FLI458706:FLK458771 FVE458706:FVG458771 GFA458706:GFC458771 GOW458706:GOY458771 GYS458706:GYU458771 HIO458706:HIQ458771 HSK458706:HSM458771 ICG458706:ICI458771 IMC458706:IME458771 IVY458706:IWA458771 JFU458706:JFW458771 JPQ458706:JPS458771 JZM458706:JZO458771 KJI458706:KJK458771 KTE458706:KTG458771 LDA458706:LDC458771 LMW458706:LMY458771 LWS458706:LWU458771 MGO458706:MGQ458771 MQK458706:MQM458771 NAG458706:NAI458771 NKC458706:NKE458771 NTY458706:NUA458771 ODU458706:ODW458771 ONQ458706:ONS458771 OXM458706:OXO458771 PHI458706:PHK458771 PRE458706:PRG458771 QBA458706:QBC458771 QKW458706:QKY458771 QUS458706:QUU458771 REO458706:REQ458771 ROK458706:ROM458771 RYG458706:RYI458771 SIC458706:SIE458771 SRY458706:SSA458771 TBU458706:TBW458771 TLQ458706:TLS458771 TVM458706:TVO458771 UFI458706:UFK458771 UPE458706:UPG458771 UZA458706:UZC458771 VIW458706:VIY458771 VSS458706:VSU458771 WCO458706:WCQ458771 WMK458706:WMM458771 WWG458706:WWI458771 Y524242:AA524307 JU524242:JW524307 TQ524242:TS524307 ADM524242:ADO524307 ANI524242:ANK524307 AXE524242:AXG524307 BHA524242:BHC524307 BQW524242:BQY524307 CAS524242:CAU524307 CKO524242:CKQ524307 CUK524242:CUM524307 DEG524242:DEI524307 DOC524242:DOE524307 DXY524242:DYA524307 EHU524242:EHW524307 ERQ524242:ERS524307 FBM524242:FBO524307 FLI524242:FLK524307 FVE524242:FVG524307 GFA524242:GFC524307 GOW524242:GOY524307 GYS524242:GYU524307 HIO524242:HIQ524307 HSK524242:HSM524307 ICG524242:ICI524307 IMC524242:IME524307 IVY524242:IWA524307 JFU524242:JFW524307 JPQ524242:JPS524307 JZM524242:JZO524307 KJI524242:KJK524307 KTE524242:KTG524307 LDA524242:LDC524307 LMW524242:LMY524307 LWS524242:LWU524307 MGO524242:MGQ524307 MQK524242:MQM524307 NAG524242:NAI524307 NKC524242:NKE524307 NTY524242:NUA524307 ODU524242:ODW524307 ONQ524242:ONS524307 OXM524242:OXO524307 PHI524242:PHK524307 PRE524242:PRG524307 QBA524242:QBC524307 QKW524242:QKY524307 QUS524242:QUU524307 REO524242:REQ524307 ROK524242:ROM524307 RYG524242:RYI524307 SIC524242:SIE524307 SRY524242:SSA524307 TBU524242:TBW524307 TLQ524242:TLS524307 TVM524242:TVO524307 UFI524242:UFK524307 UPE524242:UPG524307 UZA524242:UZC524307 VIW524242:VIY524307 VSS524242:VSU524307 WCO524242:WCQ524307 WMK524242:WMM524307 WWG524242:WWI524307 Y589778:AA589843 JU589778:JW589843 TQ589778:TS589843 ADM589778:ADO589843 ANI589778:ANK589843 AXE589778:AXG589843 BHA589778:BHC589843 BQW589778:BQY589843 CAS589778:CAU589843 CKO589778:CKQ589843 CUK589778:CUM589843 DEG589778:DEI589843 DOC589778:DOE589843 DXY589778:DYA589843 EHU589778:EHW589843 ERQ589778:ERS589843 FBM589778:FBO589843 FLI589778:FLK589843 FVE589778:FVG589843 GFA589778:GFC589843 GOW589778:GOY589843 GYS589778:GYU589843 HIO589778:HIQ589843 HSK589778:HSM589843 ICG589778:ICI589843 IMC589778:IME589843 IVY589778:IWA589843 JFU589778:JFW589843 JPQ589778:JPS589843 JZM589778:JZO589843 KJI589778:KJK589843 KTE589778:KTG589843 LDA589778:LDC589843 LMW589778:LMY589843 LWS589778:LWU589843 MGO589778:MGQ589843 MQK589778:MQM589843 NAG589778:NAI589843 NKC589778:NKE589843 NTY589778:NUA589843 ODU589778:ODW589843 ONQ589778:ONS589843 OXM589778:OXO589843 PHI589778:PHK589843 PRE589778:PRG589843 QBA589778:QBC589843 QKW589778:QKY589843 QUS589778:QUU589843 REO589778:REQ589843 ROK589778:ROM589843 RYG589778:RYI589843 SIC589778:SIE589843 SRY589778:SSA589843 TBU589778:TBW589843 TLQ589778:TLS589843 TVM589778:TVO589843 UFI589778:UFK589843 UPE589778:UPG589843 UZA589778:UZC589843 VIW589778:VIY589843 VSS589778:VSU589843 WCO589778:WCQ589843 WMK589778:WMM589843 WWG589778:WWI589843 Y655314:AA655379 JU655314:JW655379 TQ655314:TS655379 ADM655314:ADO655379 ANI655314:ANK655379 AXE655314:AXG655379 BHA655314:BHC655379 BQW655314:BQY655379 CAS655314:CAU655379 CKO655314:CKQ655379 CUK655314:CUM655379 DEG655314:DEI655379 DOC655314:DOE655379 DXY655314:DYA655379 EHU655314:EHW655379 ERQ655314:ERS655379 FBM655314:FBO655379 FLI655314:FLK655379 FVE655314:FVG655379 GFA655314:GFC655379 GOW655314:GOY655379 GYS655314:GYU655379 HIO655314:HIQ655379 HSK655314:HSM655379 ICG655314:ICI655379 IMC655314:IME655379 IVY655314:IWA655379 JFU655314:JFW655379 JPQ655314:JPS655379 JZM655314:JZO655379 KJI655314:KJK655379 KTE655314:KTG655379 LDA655314:LDC655379 LMW655314:LMY655379 LWS655314:LWU655379 MGO655314:MGQ655379 MQK655314:MQM655379 NAG655314:NAI655379 NKC655314:NKE655379 NTY655314:NUA655379 ODU655314:ODW655379 ONQ655314:ONS655379 OXM655314:OXO655379 PHI655314:PHK655379 PRE655314:PRG655379 QBA655314:QBC655379 QKW655314:QKY655379 QUS655314:QUU655379 REO655314:REQ655379 ROK655314:ROM655379 RYG655314:RYI655379 SIC655314:SIE655379 SRY655314:SSA655379 TBU655314:TBW655379 TLQ655314:TLS655379 TVM655314:TVO655379 UFI655314:UFK655379 UPE655314:UPG655379 UZA655314:UZC655379 VIW655314:VIY655379 VSS655314:VSU655379 WCO655314:WCQ655379 WMK655314:WMM655379 WWG655314:WWI655379 Y720850:AA720915 JU720850:JW720915 TQ720850:TS720915 ADM720850:ADO720915 ANI720850:ANK720915 AXE720850:AXG720915 BHA720850:BHC720915 BQW720850:BQY720915 CAS720850:CAU720915 CKO720850:CKQ720915 CUK720850:CUM720915 DEG720850:DEI720915 DOC720850:DOE720915 DXY720850:DYA720915 EHU720850:EHW720915 ERQ720850:ERS720915 FBM720850:FBO720915 FLI720850:FLK720915 FVE720850:FVG720915 GFA720850:GFC720915 GOW720850:GOY720915 GYS720850:GYU720915 HIO720850:HIQ720915 HSK720850:HSM720915 ICG720850:ICI720915 IMC720850:IME720915 IVY720850:IWA720915 JFU720850:JFW720915 JPQ720850:JPS720915 JZM720850:JZO720915 KJI720850:KJK720915 KTE720850:KTG720915 LDA720850:LDC720915 LMW720850:LMY720915 LWS720850:LWU720915 MGO720850:MGQ720915 MQK720850:MQM720915 NAG720850:NAI720915 NKC720850:NKE720915 NTY720850:NUA720915 ODU720850:ODW720915 ONQ720850:ONS720915 OXM720850:OXO720915 PHI720850:PHK720915 PRE720850:PRG720915 QBA720850:QBC720915 QKW720850:QKY720915 QUS720850:QUU720915 REO720850:REQ720915 ROK720850:ROM720915 RYG720850:RYI720915 SIC720850:SIE720915 SRY720850:SSA720915 TBU720850:TBW720915 TLQ720850:TLS720915 TVM720850:TVO720915 UFI720850:UFK720915 UPE720850:UPG720915 UZA720850:UZC720915 VIW720850:VIY720915 VSS720850:VSU720915 WCO720850:WCQ720915 WMK720850:WMM720915 WWG720850:WWI720915 Y786386:AA786451 JU786386:JW786451 TQ786386:TS786451 ADM786386:ADO786451 ANI786386:ANK786451 AXE786386:AXG786451 BHA786386:BHC786451 BQW786386:BQY786451 CAS786386:CAU786451 CKO786386:CKQ786451 CUK786386:CUM786451 DEG786386:DEI786451 DOC786386:DOE786451 DXY786386:DYA786451 EHU786386:EHW786451 ERQ786386:ERS786451 FBM786386:FBO786451 FLI786386:FLK786451 FVE786386:FVG786451 GFA786386:GFC786451 GOW786386:GOY786451 GYS786386:GYU786451 HIO786386:HIQ786451 HSK786386:HSM786451 ICG786386:ICI786451 IMC786386:IME786451 IVY786386:IWA786451 JFU786386:JFW786451 JPQ786386:JPS786451 JZM786386:JZO786451 KJI786386:KJK786451 KTE786386:KTG786451 LDA786386:LDC786451 LMW786386:LMY786451 LWS786386:LWU786451 MGO786386:MGQ786451 MQK786386:MQM786451 NAG786386:NAI786451 NKC786386:NKE786451 NTY786386:NUA786451 ODU786386:ODW786451 ONQ786386:ONS786451 OXM786386:OXO786451 PHI786386:PHK786451 PRE786386:PRG786451 QBA786386:QBC786451 QKW786386:QKY786451 QUS786386:QUU786451 REO786386:REQ786451 ROK786386:ROM786451 RYG786386:RYI786451 SIC786386:SIE786451 SRY786386:SSA786451 TBU786386:TBW786451 TLQ786386:TLS786451 TVM786386:TVO786451 UFI786386:UFK786451 UPE786386:UPG786451 UZA786386:UZC786451 VIW786386:VIY786451 VSS786386:VSU786451 WCO786386:WCQ786451 WMK786386:WMM786451 WWG786386:WWI786451 Y851922:AA851987 JU851922:JW851987 TQ851922:TS851987 ADM851922:ADO851987 ANI851922:ANK851987 AXE851922:AXG851987 BHA851922:BHC851987 BQW851922:BQY851987 CAS851922:CAU851987 CKO851922:CKQ851987 CUK851922:CUM851987 DEG851922:DEI851987 DOC851922:DOE851987 DXY851922:DYA851987 EHU851922:EHW851987 ERQ851922:ERS851987 FBM851922:FBO851987 FLI851922:FLK851987 FVE851922:FVG851987 GFA851922:GFC851987 GOW851922:GOY851987 GYS851922:GYU851987 HIO851922:HIQ851987 HSK851922:HSM851987 ICG851922:ICI851987 IMC851922:IME851987 IVY851922:IWA851987 JFU851922:JFW851987 JPQ851922:JPS851987 JZM851922:JZO851987 KJI851922:KJK851987 KTE851922:KTG851987 LDA851922:LDC851987 LMW851922:LMY851987 LWS851922:LWU851987 MGO851922:MGQ851987 MQK851922:MQM851987 NAG851922:NAI851987 NKC851922:NKE851987 NTY851922:NUA851987 ODU851922:ODW851987 ONQ851922:ONS851987 OXM851922:OXO851987 PHI851922:PHK851987 PRE851922:PRG851987 QBA851922:QBC851987 QKW851922:QKY851987 QUS851922:QUU851987 REO851922:REQ851987 ROK851922:ROM851987 RYG851922:RYI851987 SIC851922:SIE851987 SRY851922:SSA851987 TBU851922:TBW851987 TLQ851922:TLS851987 TVM851922:TVO851987 UFI851922:UFK851987 UPE851922:UPG851987 UZA851922:UZC851987 VIW851922:VIY851987 VSS851922:VSU851987 WCO851922:WCQ851987 WMK851922:WMM851987 WWG851922:WWI851987 Y917458:AA917523 JU917458:JW917523 TQ917458:TS917523 ADM917458:ADO917523 ANI917458:ANK917523 AXE917458:AXG917523 BHA917458:BHC917523 BQW917458:BQY917523 CAS917458:CAU917523 CKO917458:CKQ917523 CUK917458:CUM917523 DEG917458:DEI917523 DOC917458:DOE917523 DXY917458:DYA917523 EHU917458:EHW917523 ERQ917458:ERS917523 FBM917458:FBO917523 FLI917458:FLK917523 FVE917458:FVG917523 GFA917458:GFC917523 GOW917458:GOY917523 GYS917458:GYU917523 HIO917458:HIQ917523 HSK917458:HSM917523 ICG917458:ICI917523 IMC917458:IME917523 IVY917458:IWA917523 JFU917458:JFW917523 JPQ917458:JPS917523 JZM917458:JZO917523 KJI917458:KJK917523 KTE917458:KTG917523 LDA917458:LDC917523 LMW917458:LMY917523 LWS917458:LWU917523 MGO917458:MGQ917523 MQK917458:MQM917523 NAG917458:NAI917523 NKC917458:NKE917523 NTY917458:NUA917523 ODU917458:ODW917523 ONQ917458:ONS917523 OXM917458:OXO917523 PHI917458:PHK917523 PRE917458:PRG917523 QBA917458:QBC917523 QKW917458:QKY917523 QUS917458:QUU917523 REO917458:REQ917523 ROK917458:ROM917523 RYG917458:RYI917523 SIC917458:SIE917523 SRY917458:SSA917523 TBU917458:TBW917523 TLQ917458:TLS917523 TVM917458:TVO917523 UFI917458:UFK917523 UPE917458:UPG917523 UZA917458:UZC917523 VIW917458:VIY917523 VSS917458:VSU917523 WCO917458:WCQ917523 WMK917458:WMM917523 WWG917458:WWI917523 Y982994:AA983059 JU982994:JW983059 TQ982994:TS983059 ADM982994:ADO983059 ANI982994:ANK983059 AXE982994:AXG983059 BHA982994:BHC983059 BQW982994:BQY983059 CAS982994:CAU983059 CKO982994:CKQ983059 CUK982994:CUM983059 DEG982994:DEI983059 DOC982994:DOE983059 DXY982994:DYA983059 EHU982994:EHW983059 ERQ982994:ERS983059 FBM982994:FBO983059 FLI982994:FLK983059 FVE982994:FVG983059 GFA982994:GFC983059 GOW982994:GOY983059 GYS982994:GYU983059 HIO982994:HIQ983059 HSK982994:HSM983059 ICG982994:ICI983059 IMC982994:IME983059 IVY982994:IWA983059 JFU982994:JFW983059 JPQ982994:JPS983059 JZM982994:JZO983059 KJI982994:KJK983059 KTE982994:KTG983059 LDA982994:LDC983059 LMW982994:LMY983059 LWS982994:LWU983059 MGO982994:MGQ983059 MQK982994:MQM983059 NAG982994:NAI983059 NKC982994:NKE983059 NTY982994:NUA983059 ODU982994:ODW983059 ONQ982994:ONS983059 OXM982994:OXO983059 PHI982994:PHK983059 PRE982994:PRG983059 QBA982994:QBC983059 QKW982994:QKY983059 QUS982994:QUU983059 REO982994:REQ983059 ROK982994:ROM983059 RYG982994:RYI983059 SIC982994:SIE983059 SRY982994:SSA983059 TBU982994:TBW983059 TLQ982994:TLS983059 TVM982994:TVO983059 UFI982994:UFK983059 UPE982994:UPG983059 UZA982994:UZC983059 VIW982994:VIY983059 VSS982994:VSU983059 WCO982994:WCQ983059 WMK982994:WMM983059 WMK2:WMM43 WWG2:WWI43 JU2:JW43 TQ2:TS43 ADM2:ADO43 ANI2:ANK43 AXE2:AXG43 BHA2:BHC43 BQW2:BQY43 CAS2:CAU43 CKO2:CKQ43 CUK2:CUM43 DEG2:DEI43 DOC2:DOE43 DXY2:DYA43 EHU2:EHW43 ERQ2:ERS43 FBM2:FBO43 FLI2:FLK43 FVE2:FVG43 GFA2:GFC43 GOW2:GOY43 GYS2:GYU43 HIO2:HIQ43 HSK2:HSM43 ICG2:ICI43 IMC2:IME43 IVY2:IWA43 JFU2:JFW43 JPQ2:JPS43 JZM2:JZO43 KJI2:KJK43 KTE2:KTG43 LDA2:LDC43 LMW2:LMY43 LWS2:LWU43 MGO2:MGQ43 MQK2:MQM43 NAG2:NAI43 NKC2:NKE43 NTY2:NUA43 ODU2:ODW43 ONQ2:ONS43 OXM2:OXO43 PHI2:PHK43 PRE2:PRG43 QBA2:QBC43 QKW2:QKY43 QUS2:QUU43 REO2:REQ43 ROK2:ROM43 RYG2:RYI43 SIC2:SIE43 SRY2:SSA43 TBU2:TBW43 TLQ2:TLS43 TVM2:TVO43 UFI2:UFK43 UPE2:UPG43 UZA2:UZC43 VIW2:VIY43 VSS2:VSU43 WCO2:WCQ43" xr:uid="{24BB4964-A717-41F4-8C71-FDEAB76B43DE}">
      <formula1>$AV$2:$AV$20</formula1>
    </dataValidation>
    <dataValidation type="list" allowBlank="1" showInputMessage="1" showErrorMessage="1" sqref="H64315:H64380 JD64315:JD64380 SZ64315:SZ64380 ACV64315:ACV64380 AMR64315:AMR64380 AWN64315:AWN64380 BGJ64315:BGJ64380 BQF64315:BQF64380 CAB64315:CAB64380 CJX64315:CJX64380 CTT64315:CTT64380 DDP64315:DDP64380 DNL64315:DNL64380 DXH64315:DXH64380 EHD64315:EHD64380 EQZ64315:EQZ64380 FAV64315:FAV64380 FKR64315:FKR64380 FUN64315:FUN64380 GEJ64315:GEJ64380 GOF64315:GOF64380 GYB64315:GYB64380 HHX64315:HHX64380 HRT64315:HRT64380 IBP64315:IBP64380 ILL64315:ILL64380 IVH64315:IVH64380 JFD64315:JFD64380 JOZ64315:JOZ64380 JYV64315:JYV64380 KIR64315:KIR64380 KSN64315:KSN64380 LCJ64315:LCJ64380 LMF64315:LMF64380 LWB64315:LWB64380 MFX64315:MFX64380 MPT64315:MPT64380 MZP64315:MZP64380 NJL64315:NJL64380 NTH64315:NTH64380 ODD64315:ODD64380 OMZ64315:OMZ64380 OWV64315:OWV64380 PGR64315:PGR64380 PQN64315:PQN64380 QAJ64315:QAJ64380 QKF64315:QKF64380 QUB64315:QUB64380 RDX64315:RDX64380 RNT64315:RNT64380 RXP64315:RXP64380 SHL64315:SHL64380 SRH64315:SRH64380 TBD64315:TBD64380 TKZ64315:TKZ64380 TUV64315:TUV64380 UER64315:UER64380 UON64315:UON64380 UYJ64315:UYJ64380 VIF64315:VIF64380 VSB64315:VSB64380 WBX64315:WBX64380 WLT64315:WLT64380 WVP64315:WVP64380 H129851:H129916 JD129851:JD129916 SZ129851:SZ129916 ACV129851:ACV129916 AMR129851:AMR129916 AWN129851:AWN129916 BGJ129851:BGJ129916 BQF129851:BQF129916 CAB129851:CAB129916 CJX129851:CJX129916 CTT129851:CTT129916 DDP129851:DDP129916 DNL129851:DNL129916 DXH129851:DXH129916 EHD129851:EHD129916 EQZ129851:EQZ129916 FAV129851:FAV129916 FKR129851:FKR129916 FUN129851:FUN129916 GEJ129851:GEJ129916 GOF129851:GOF129916 GYB129851:GYB129916 HHX129851:HHX129916 HRT129851:HRT129916 IBP129851:IBP129916 ILL129851:ILL129916 IVH129851:IVH129916 JFD129851:JFD129916 JOZ129851:JOZ129916 JYV129851:JYV129916 KIR129851:KIR129916 KSN129851:KSN129916 LCJ129851:LCJ129916 LMF129851:LMF129916 LWB129851:LWB129916 MFX129851:MFX129916 MPT129851:MPT129916 MZP129851:MZP129916 NJL129851:NJL129916 NTH129851:NTH129916 ODD129851:ODD129916 OMZ129851:OMZ129916 OWV129851:OWV129916 PGR129851:PGR129916 PQN129851:PQN129916 QAJ129851:QAJ129916 QKF129851:QKF129916 QUB129851:QUB129916 RDX129851:RDX129916 RNT129851:RNT129916 RXP129851:RXP129916 SHL129851:SHL129916 SRH129851:SRH129916 TBD129851:TBD129916 TKZ129851:TKZ129916 TUV129851:TUV129916 UER129851:UER129916 UON129851:UON129916 UYJ129851:UYJ129916 VIF129851:VIF129916 VSB129851:VSB129916 WBX129851:WBX129916 WLT129851:WLT129916 WVP129851:WVP129916 H195387:H195452 JD195387:JD195452 SZ195387:SZ195452 ACV195387:ACV195452 AMR195387:AMR195452 AWN195387:AWN195452 BGJ195387:BGJ195452 BQF195387:BQF195452 CAB195387:CAB195452 CJX195387:CJX195452 CTT195387:CTT195452 DDP195387:DDP195452 DNL195387:DNL195452 DXH195387:DXH195452 EHD195387:EHD195452 EQZ195387:EQZ195452 FAV195387:FAV195452 FKR195387:FKR195452 FUN195387:FUN195452 GEJ195387:GEJ195452 GOF195387:GOF195452 GYB195387:GYB195452 HHX195387:HHX195452 HRT195387:HRT195452 IBP195387:IBP195452 ILL195387:ILL195452 IVH195387:IVH195452 JFD195387:JFD195452 JOZ195387:JOZ195452 JYV195387:JYV195452 KIR195387:KIR195452 KSN195387:KSN195452 LCJ195387:LCJ195452 LMF195387:LMF195452 LWB195387:LWB195452 MFX195387:MFX195452 MPT195387:MPT195452 MZP195387:MZP195452 NJL195387:NJL195452 NTH195387:NTH195452 ODD195387:ODD195452 OMZ195387:OMZ195452 OWV195387:OWV195452 PGR195387:PGR195452 PQN195387:PQN195452 QAJ195387:QAJ195452 QKF195387:QKF195452 QUB195387:QUB195452 RDX195387:RDX195452 RNT195387:RNT195452 RXP195387:RXP195452 SHL195387:SHL195452 SRH195387:SRH195452 TBD195387:TBD195452 TKZ195387:TKZ195452 TUV195387:TUV195452 UER195387:UER195452 UON195387:UON195452 UYJ195387:UYJ195452 VIF195387:VIF195452 VSB195387:VSB195452 WBX195387:WBX195452 WLT195387:WLT195452 WVP195387:WVP195452 H260923:H260988 JD260923:JD260988 SZ260923:SZ260988 ACV260923:ACV260988 AMR260923:AMR260988 AWN260923:AWN260988 BGJ260923:BGJ260988 BQF260923:BQF260988 CAB260923:CAB260988 CJX260923:CJX260988 CTT260923:CTT260988 DDP260923:DDP260988 DNL260923:DNL260988 DXH260923:DXH260988 EHD260923:EHD260988 EQZ260923:EQZ260988 FAV260923:FAV260988 FKR260923:FKR260988 FUN260923:FUN260988 GEJ260923:GEJ260988 GOF260923:GOF260988 GYB260923:GYB260988 HHX260923:HHX260988 HRT260923:HRT260988 IBP260923:IBP260988 ILL260923:ILL260988 IVH260923:IVH260988 JFD260923:JFD260988 JOZ260923:JOZ260988 JYV260923:JYV260988 KIR260923:KIR260988 KSN260923:KSN260988 LCJ260923:LCJ260988 LMF260923:LMF260988 LWB260923:LWB260988 MFX260923:MFX260988 MPT260923:MPT260988 MZP260923:MZP260988 NJL260923:NJL260988 NTH260923:NTH260988 ODD260923:ODD260988 OMZ260923:OMZ260988 OWV260923:OWV260988 PGR260923:PGR260988 PQN260923:PQN260988 QAJ260923:QAJ260988 QKF260923:QKF260988 QUB260923:QUB260988 RDX260923:RDX260988 RNT260923:RNT260988 RXP260923:RXP260988 SHL260923:SHL260988 SRH260923:SRH260988 TBD260923:TBD260988 TKZ260923:TKZ260988 TUV260923:TUV260988 UER260923:UER260988 UON260923:UON260988 UYJ260923:UYJ260988 VIF260923:VIF260988 VSB260923:VSB260988 WBX260923:WBX260988 WLT260923:WLT260988 WVP260923:WVP260988 H326459:H326524 JD326459:JD326524 SZ326459:SZ326524 ACV326459:ACV326524 AMR326459:AMR326524 AWN326459:AWN326524 BGJ326459:BGJ326524 BQF326459:BQF326524 CAB326459:CAB326524 CJX326459:CJX326524 CTT326459:CTT326524 DDP326459:DDP326524 DNL326459:DNL326524 DXH326459:DXH326524 EHD326459:EHD326524 EQZ326459:EQZ326524 FAV326459:FAV326524 FKR326459:FKR326524 FUN326459:FUN326524 GEJ326459:GEJ326524 GOF326459:GOF326524 GYB326459:GYB326524 HHX326459:HHX326524 HRT326459:HRT326524 IBP326459:IBP326524 ILL326459:ILL326524 IVH326459:IVH326524 JFD326459:JFD326524 JOZ326459:JOZ326524 JYV326459:JYV326524 KIR326459:KIR326524 KSN326459:KSN326524 LCJ326459:LCJ326524 LMF326459:LMF326524 LWB326459:LWB326524 MFX326459:MFX326524 MPT326459:MPT326524 MZP326459:MZP326524 NJL326459:NJL326524 NTH326459:NTH326524 ODD326459:ODD326524 OMZ326459:OMZ326524 OWV326459:OWV326524 PGR326459:PGR326524 PQN326459:PQN326524 QAJ326459:QAJ326524 QKF326459:QKF326524 QUB326459:QUB326524 RDX326459:RDX326524 RNT326459:RNT326524 RXP326459:RXP326524 SHL326459:SHL326524 SRH326459:SRH326524 TBD326459:TBD326524 TKZ326459:TKZ326524 TUV326459:TUV326524 UER326459:UER326524 UON326459:UON326524 UYJ326459:UYJ326524 VIF326459:VIF326524 VSB326459:VSB326524 WBX326459:WBX326524 WLT326459:WLT326524 WVP326459:WVP326524 H391995:H392060 JD391995:JD392060 SZ391995:SZ392060 ACV391995:ACV392060 AMR391995:AMR392060 AWN391995:AWN392060 BGJ391995:BGJ392060 BQF391995:BQF392060 CAB391995:CAB392060 CJX391995:CJX392060 CTT391995:CTT392060 DDP391995:DDP392060 DNL391995:DNL392060 DXH391995:DXH392060 EHD391995:EHD392060 EQZ391995:EQZ392060 FAV391995:FAV392060 FKR391995:FKR392060 FUN391995:FUN392060 GEJ391995:GEJ392060 GOF391995:GOF392060 GYB391995:GYB392060 HHX391995:HHX392060 HRT391995:HRT392060 IBP391995:IBP392060 ILL391995:ILL392060 IVH391995:IVH392060 JFD391995:JFD392060 JOZ391995:JOZ392060 JYV391995:JYV392060 KIR391995:KIR392060 KSN391995:KSN392060 LCJ391995:LCJ392060 LMF391995:LMF392060 LWB391995:LWB392060 MFX391995:MFX392060 MPT391995:MPT392060 MZP391995:MZP392060 NJL391995:NJL392060 NTH391995:NTH392060 ODD391995:ODD392060 OMZ391995:OMZ392060 OWV391995:OWV392060 PGR391995:PGR392060 PQN391995:PQN392060 QAJ391995:QAJ392060 QKF391995:QKF392060 QUB391995:QUB392060 RDX391995:RDX392060 RNT391995:RNT392060 RXP391995:RXP392060 SHL391995:SHL392060 SRH391995:SRH392060 TBD391995:TBD392060 TKZ391995:TKZ392060 TUV391995:TUV392060 UER391995:UER392060 UON391995:UON392060 UYJ391995:UYJ392060 VIF391995:VIF392060 VSB391995:VSB392060 WBX391995:WBX392060 WLT391995:WLT392060 WVP391995:WVP392060 H457531:H457596 JD457531:JD457596 SZ457531:SZ457596 ACV457531:ACV457596 AMR457531:AMR457596 AWN457531:AWN457596 BGJ457531:BGJ457596 BQF457531:BQF457596 CAB457531:CAB457596 CJX457531:CJX457596 CTT457531:CTT457596 DDP457531:DDP457596 DNL457531:DNL457596 DXH457531:DXH457596 EHD457531:EHD457596 EQZ457531:EQZ457596 FAV457531:FAV457596 FKR457531:FKR457596 FUN457531:FUN457596 GEJ457531:GEJ457596 GOF457531:GOF457596 GYB457531:GYB457596 HHX457531:HHX457596 HRT457531:HRT457596 IBP457531:IBP457596 ILL457531:ILL457596 IVH457531:IVH457596 JFD457531:JFD457596 JOZ457531:JOZ457596 JYV457531:JYV457596 KIR457531:KIR457596 KSN457531:KSN457596 LCJ457531:LCJ457596 LMF457531:LMF457596 LWB457531:LWB457596 MFX457531:MFX457596 MPT457531:MPT457596 MZP457531:MZP457596 NJL457531:NJL457596 NTH457531:NTH457596 ODD457531:ODD457596 OMZ457531:OMZ457596 OWV457531:OWV457596 PGR457531:PGR457596 PQN457531:PQN457596 QAJ457531:QAJ457596 QKF457531:QKF457596 QUB457531:QUB457596 RDX457531:RDX457596 RNT457531:RNT457596 RXP457531:RXP457596 SHL457531:SHL457596 SRH457531:SRH457596 TBD457531:TBD457596 TKZ457531:TKZ457596 TUV457531:TUV457596 UER457531:UER457596 UON457531:UON457596 UYJ457531:UYJ457596 VIF457531:VIF457596 VSB457531:VSB457596 WBX457531:WBX457596 WLT457531:WLT457596 WVP457531:WVP457596 H523067:H523132 JD523067:JD523132 SZ523067:SZ523132 ACV523067:ACV523132 AMR523067:AMR523132 AWN523067:AWN523132 BGJ523067:BGJ523132 BQF523067:BQF523132 CAB523067:CAB523132 CJX523067:CJX523132 CTT523067:CTT523132 DDP523067:DDP523132 DNL523067:DNL523132 DXH523067:DXH523132 EHD523067:EHD523132 EQZ523067:EQZ523132 FAV523067:FAV523132 FKR523067:FKR523132 FUN523067:FUN523132 GEJ523067:GEJ523132 GOF523067:GOF523132 GYB523067:GYB523132 HHX523067:HHX523132 HRT523067:HRT523132 IBP523067:IBP523132 ILL523067:ILL523132 IVH523067:IVH523132 JFD523067:JFD523132 JOZ523067:JOZ523132 JYV523067:JYV523132 KIR523067:KIR523132 KSN523067:KSN523132 LCJ523067:LCJ523132 LMF523067:LMF523132 LWB523067:LWB523132 MFX523067:MFX523132 MPT523067:MPT523132 MZP523067:MZP523132 NJL523067:NJL523132 NTH523067:NTH523132 ODD523067:ODD523132 OMZ523067:OMZ523132 OWV523067:OWV523132 PGR523067:PGR523132 PQN523067:PQN523132 QAJ523067:QAJ523132 QKF523067:QKF523132 QUB523067:QUB523132 RDX523067:RDX523132 RNT523067:RNT523132 RXP523067:RXP523132 SHL523067:SHL523132 SRH523067:SRH523132 TBD523067:TBD523132 TKZ523067:TKZ523132 TUV523067:TUV523132 UER523067:UER523132 UON523067:UON523132 UYJ523067:UYJ523132 VIF523067:VIF523132 VSB523067:VSB523132 WBX523067:WBX523132 WLT523067:WLT523132 WVP523067:WVP523132 H588603:H588668 JD588603:JD588668 SZ588603:SZ588668 ACV588603:ACV588668 AMR588603:AMR588668 AWN588603:AWN588668 BGJ588603:BGJ588668 BQF588603:BQF588668 CAB588603:CAB588668 CJX588603:CJX588668 CTT588603:CTT588668 DDP588603:DDP588668 DNL588603:DNL588668 DXH588603:DXH588668 EHD588603:EHD588668 EQZ588603:EQZ588668 FAV588603:FAV588668 FKR588603:FKR588668 FUN588603:FUN588668 GEJ588603:GEJ588668 GOF588603:GOF588668 GYB588603:GYB588668 HHX588603:HHX588668 HRT588603:HRT588668 IBP588603:IBP588668 ILL588603:ILL588668 IVH588603:IVH588668 JFD588603:JFD588668 JOZ588603:JOZ588668 JYV588603:JYV588668 KIR588603:KIR588668 KSN588603:KSN588668 LCJ588603:LCJ588668 LMF588603:LMF588668 LWB588603:LWB588668 MFX588603:MFX588668 MPT588603:MPT588668 MZP588603:MZP588668 NJL588603:NJL588668 NTH588603:NTH588668 ODD588603:ODD588668 OMZ588603:OMZ588668 OWV588603:OWV588668 PGR588603:PGR588668 PQN588603:PQN588668 QAJ588603:QAJ588668 QKF588603:QKF588668 QUB588603:QUB588668 RDX588603:RDX588668 RNT588603:RNT588668 RXP588603:RXP588668 SHL588603:SHL588668 SRH588603:SRH588668 TBD588603:TBD588668 TKZ588603:TKZ588668 TUV588603:TUV588668 UER588603:UER588668 UON588603:UON588668 UYJ588603:UYJ588668 VIF588603:VIF588668 VSB588603:VSB588668 WBX588603:WBX588668 WLT588603:WLT588668 WVP588603:WVP588668 H654139:H654204 JD654139:JD654204 SZ654139:SZ654204 ACV654139:ACV654204 AMR654139:AMR654204 AWN654139:AWN654204 BGJ654139:BGJ654204 BQF654139:BQF654204 CAB654139:CAB654204 CJX654139:CJX654204 CTT654139:CTT654204 DDP654139:DDP654204 DNL654139:DNL654204 DXH654139:DXH654204 EHD654139:EHD654204 EQZ654139:EQZ654204 FAV654139:FAV654204 FKR654139:FKR654204 FUN654139:FUN654204 GEJ654139:GEJ654204 GOF654139:GOF654204 GYB654139:GYB654204 HHX654139:HHX654204 HRT654139:HRT654204 IBP654139:IBP654204 ILL654139:ILL654204 IVH654139:IVH654204 JFD654139:JFD654204 JOZ654139:JOZ654204 JYV654139:JYV654204 KIR654139:KIR654204 KSN654139:KSN654204 LCJ654139:LCJ654204 LMF654139:LMF654204 LWB654139:LWB654204 MFX654139:MFX654204 MPT654139:MPT654204 MZP654139:MZP654204 NJL654139:NJL654204 NTH654139:NTH654204 ODD654139:ODD654204 OMZ654139:OMZ654204 OWV654139:OWV654204 PGR654139:PGR654204 PQN654139:PQN654204 QAJ654139:QAJ654204 QKF654139:QKF654204 QUB654139:QUB654204 RDX654139:RDX654204 RNT654139:RNT654204 RXP654139:RXP654204 SHL654139:SHL654204 SRH654139:SRH654204 TBD654139:TBD654204 TKZ654139:TKZ654204 TUV654139:TUV654204 UER654139:UER654204 UON654139:UON654204 UYJ654139:UYJ654204 VIF654139:VIF654204 VSB654139:VSB654204 WBX654139:WBX654204 WLT654139:WLT654204 WVP654139:WVP654204 H719675:H719740 JD719675:JD719740 SZ719675:SZ719740 ACV719675:ACV719740 AMR719675:AMR719740 AWN719675:AWN719740 BGJ719675:BGJ719740 BQF719675:BQF719740 CAB719675:CAB719740 CJX719675:CJX719740 CTT719675:CTT719740 DDP719675:DDP719740 DNL719675:DNL719740 DXH719675:DXH719740 EHD719675:EHD719740 EQZ719675:EQZ719740 FAV719675:FAV719740 FKR719675:FKR719740 FUN719675:FUN719740 GEJ719675:GEJ719740 GOF719675:GOF719740 GYB719675:GYB719740 HHX719675:HHX719740 HRT719675:HRT719740 IBP719675:IBP719740 ILL719675:ILL719740 IVH719675:IVH719740 JFD719675:JFD719740 JOZ719675:JOZ719740 JYV719675:JYV719740 KIR719675:KIR719740 KSN719675:KSN719740 LCJ719675:LCJ719740 LMF719675:LMF719740 LWB719675:LWB719740 MFX719675:MFX719740 MPT719675:MPT719740 MZP719675:MZP719740 NJL719675:NJL719740 NTH719675:NTH719740 ODD719675:ODD719740 OMZ719675:OMZ719740 OWV719675:OWV719740 PGR719675:PGR719740 PQN719675:PQN719740 QAJ719675:QAJ719740 QKF719675:QKF719740 QUB719675:QUB719740 RDX719675:RDX719740 RNT719675:RNT719740 RXP719675:RXP719740 SHL719675:SHL719740 SRH719675:SRH719740 TBD719675:TBD719740 TKZ719675:TKZ719740 TUV719675:TUV719740 UER719675:UER719740 UON719675:UON719740 UYJ719675:UYJ719740 VIF719675:VIF719740 VSB719675:VSB719740 WBX719675:WBX719740 WLT719675:WLT719740 WVP719675:WVP719740 H785211:H785276 JD785211:JD785276 SZ785211:SZ785276 ACV785211:ACV785276 AMR785211:AMR785276 AWN785211:AWN785276 BGJ785211:BGJ785276 BQF785211:BQF785276 CAB785211:CAB785276 CJX785211:CJX785276 CTT785211:CTT785276 DDP785211:DDP785276 DNL785211:DNL785276 DXH785211:DXH785276 EHD785211:EHD785276 EQZ785211:EQZ785276 FAV785211:FAV785276 FKR785211:FKR785276 FUN785211:FUN785276 GEJ785211:GEJ785276 GOF785211:GOF785276 GYB785211:GYB785276 HHX785211:HHX785276 HRT785211:HRT785276 IBP785211:IBP785276 ILL785211:ILL785276 IVH785211:IVH785276 JFD785211:JFD785276 JOZ785211:JOZ785276 JYV785211:JYV785276 KIR785211:KIR785276 KSN785211:KSN785276 LCJ785211:LCJ785276 LMF785211:LMF785276 LWB785211:LWB785276 MFX785211:MFX785276 MPT785211:MPT785276 MZP785211:MZP785276 NJL785211:NJL785276 NTH785211:NTH785276 ODD785211:ODD785276 OMZ785211:OMZ785276 OWV785211:OWV785276 PGR785211:PGR785276 PQN785211:PQN785276 QAJ785211:QAJ785276 QKF785211:QKF785276 QUB785211:QUB785276 RDX785211:RDX785276 RNT785211:RNT785276 RXP785211:RXP785276 SHL785211:SHL785276 SRH785211:SRH785276 TBD785211:TBD785276 TKZ785211:TKZ785276 TUV785211:TUV785276 UER785211:UER785276 UON785211:UON785276 UYJ785211:UYJ785276 VIF785211:VIF785276 VSB785211:VSB785276 WBX785211:WBX785276 WLT785211:WLT785276 WVP785211:WVP785276 H850747:H850812 JD850747:JD850812 SZ850747:SZ850812 ACV850747:ACV850812 AMR850747:AMR850812 AWN850747:AWN850812 BGJ850747:BGJ850812 BQF850747:BQF850812 CAB850747:CAB850812 CJX850747:CJX850812 CTT850747:CTT850812 DDP850747:DDP850812 DNL850747:DNL850812 DXH850747:DXH850812 EHD850747:EHD850812 EQZ850747:EQZ850812 FAV850747:FAV850812 FKR850747:FKR850812 FUN850747:FUN850812 GEJ850747:GEJ850812 GOF850747:GOF850812 GYB850747:GYB850812 HHX850747:HHX850812 HRT850747:HRT850812 IBP850747:IBP850812 ILL850747:ILL850812 IVH850747:IVH850812 JFD850747:JFD850812 JOZ850747:JOZ850812 JYV850747:JYV850812 KIR850747:KIR850812 KSN850747:KSN850812 LCJ850747:LCJ850812 LMF850747:LMF850812 LWB850747:LWB850812 MFX850747:MFX850812 MPT850747:MPT850812 MZP850747:MZP850812 NJL850747:NJL850812 NTH850747:NTH850812 ODD850747:ODD850812 OMZ850747:OMZ850812 OWV850747:OWV850812 PGR850747:PGR850812 PQN850747:PQN850812 QAJ850747:QAJ850812 QKF850747:QKF850812 QUB850747:QUB850812 RDX850747:RDX850812 RNT850747:RNT850812 RXP850747:RXP850812 SHL850747:SHL850812 SRH850747:SRH850812 TBD850747:TBD850812 TKZ850747:TKZ850812 TUV850747:TUV850812 UER850747:UER850812 UON850747:UON850812 UYJ850747:UYJ850812 VIF850747:VIF850812 VSB850747:VSB850812 WBX850747:WBX850812 WLT850747:WLT850812 WVP850747:WVP850812 H916283:H916348 JD916283:JD916348 SZ916283:SZ916348 ACV916283:ACV916348 AMR916283:AMR916348 AWN916283:AWN916348 BGJ916283:BGJ916348 BQF916283:BQF916348 CAB916283:CAB916348 CJX916283:CJX916348 CTT916283:CTT916348 DDP916283:DDP916348 DNL916283:DNL916348 DXH916283:DXH916348 EHD916283:EHD916348 EQZ916283:EQZ916348 FAV916283:FAV916348 FKR916283:FKR916348 FUN916283:FUN916348 GEJ916283:GEJ916348 GOF916283:GOF916348 GYB916283:GYB916348 HHX916283:HHX916348 HRT916283:HRT916348 IBP916283:IBP916348 ILL916283:ILL916348 IVH916283:IVH916348 JFD916283:JFD916348 JOZ916283:JOZ916348 JYV916283:JYV916348 KIR916283:KIR916348 KSN916283:KSN916348 LCJ916283:LCJ916348 LMF916283:LMF916348 LWB916283:LWB916348 MFX916283:MFX916348 MPT916283:MPT916348 MZP916283:MZP916348 NJL916283:NJL916348 NTH916283:NTH916348 ODD916283:ODD916348 OMZ916283:OMZ916348 OWV916283:OWV916348 PGR916283:PGR916348 PQN916283:PQN916348 QAJ916283:QAJ916348 QKF916283:QKF916348 QUB916283:QUB916348 RDX916283:RDX916348 RNT916283:RNT916348 RXP916283:RXP916348 SHL916283:SHL916348 SRH916283:SRH916348 TBD916283:TBD916348 TKZ916283:TKZ916348 TUV916283:TUV916348 UER916283:UER916348 UON916283:UON916348 UYJ916283:UYJ916348 VIF916283:VIF916348 VSB916283:VSB916348 WBX916283:WBX916348 WLT916283:WLT916348 WVP916283:WVP916348 H981819:H981884 JD981819:JD981884 SZ981819:SZ981884 ACV981819:ACV981884 AMR981819:AMR981884 AWN981819:AWN981884 BGJ981819:BGJ981884 BQF981819:BQF981884 CAB981819:CAB981884 CJX981819:CJX981884 CTT981819:CTT981884 DDP981819:DDP981884 DNL981819:DNL981884 DXH981819:DXH981884 EHD981819:EHD981884 EQZ981819:EQZ981884 FAV981819:FAV981884 FKR981819:FKR981884 FUN981819:FUN981884 GEJ981819:GEJ981884 GOF981819:GOF981884 GYB981819:GYB981884 HHX981819:HHX981884 HRT981819:HRT981884 IBP981819:IBP981884 ILL981819:ILL981884 IVH981819:IVH981884 JFD981819:JFD981884 JOZ981819:JOZ981884 JYV981819:JYV981884 KIR981819:KIR981884 KSN981819:KSN981884 LCJ981819:LCJ981884 LMF981819:LMF981884 LWB981819:LWB981884 MFX981819:MFX981884 MPT981819:MPT981884 MZP981819:MZP981884 NJL981819:NJL981884 NTH981819:NTH981884 ODD981819:ODD981884 OMZ981819:OMZ981884 OWV981819:OWV981884 PGR981819:PGR981884 PQN981819:PQN981884 QAJ981819:QAJ981884 QKF981819:QKF981884 QUB981819:QUB981884 RDX981819:RDX981884 RNT981819:RNT981884 RXP981819:RXP981884 SHL981819:SHL981884 SRH981819:SRH981884 TBD981819:TBD981884 TKZ981819:TKZ981884 TUV981819:TUV981884 UER981819:UER981884 UON981819:UON981884 UYJ981819:UYJ981884 VIF981819:VIF981884 VSB981819:VSB981884 WBX981819:WBX981884 WLT981819:WLT981884 WVP981819:WVP981884 H1047355:H1047420 JD1047355:JD1047420 SZ1047355:SZ1047420 ACV1047355:ACV1047420 AMR1047355:AMR1047420 AWN1047355:AWN1047420 BGJ1047355:BGJ1047420 BQF1047355:BQF1047420 CAB1047355:CAB1047420 CJX1047355:CJX1047420 CTT1047355:CTT1047420 DDP1047355:DDP1047420 DNL1047355:DNL1047420 DXH1047355:DXH1047420 EHD1047355:EHD1047420 EQZ1047355:EQZ1047420 FAV1047355:FAV1047420 FKR1047355:FKR1047420 FUN1047355:FUN1047420 GEJ1047355:GEJ1047420 GOF1047355:GOF1047420 GYB1047355:GYB1047420 HHX1047355:HHX1047420 HRT1047355:HRT1047420 IBP1047355:IBP1047420 ILL1047355:ILL1047420 IVH1047355:IVH1047420 JFD1047355:JFD1047420 JOZ1047355:JOZ1047420 JYV1047355:JYV1047420 KIR1047355:KIR1047420 KSN1047355:KSN1047420 LCJ1047355:LCJ1047420 LMF1047355:LMF1047420 LWB1047355:LWB1047420 MFX1047355:MFX1047420 MPT1047355:MPT1047420 MZP1047355:MZP1047420 NJL1047355:NJL1047420 NTH1047355:NTH1047420 ODD1047355:ODD1047420 OMZ1047355:OMZ1047420 OWV1047355:OWV1047420 PGR1047355:PGR1047420 PQN1047355:PQN1047420 QAJ1047355:QAJ1047420 QKF1047355:QKF1047420 QUB1047355:QUB1047420 RDX1047355:RDX1047420 RNT1047355:RNT1047420 RXP1047355:RXP1047420 SHL1047355:SHL1047420 SRH1047355:SRH1047420 TBD1047355:TBD1047420 TKZ1047355:TKZ1047420 TUV1047355:TUV1047420 UER1047355:UER1047420 UON1047355:UON1047420 UYJ1047355:UYJ1047420 VIF1047355:VIF1047420 VSB1047355:VSB1047420 WBX1047355:WBX1047420 WLT1047355:WLT1047420 WVP1047355:WVP1047420" xr:uid="{3F1F8826-9E4C-4F63-8403-C86BE9D64271}">
      <formula1>$AL$5:$AL$12</formula1>
    </dataValidation>
    <dataValidation type="list" allowBlank="1" showInputMessage="1" showErrorMessage="1" sqref="E64315:F64380 WVM982994:WVN983065 WLQ982994:WLR983065 WBU982994:WBV983065 VRY982994:VRZ983065 VIC982994:VID983065 UYG982994:UYH983065 UOK982994:UOL983065 UEO982994:UEP983065 TUS982994:TUT983065 TKW982994:TKX983065 TBA982994:TBB983065 SRE982994:SRF983065 SHI982994:SHJ983065 RXM982994:RXN983065 RNQ982994:RNR983065 RDU982994:RDV983065 QTY982994:QTZ983065 QKC982994:QKD983065 QAG982994:QAH983065 PQK982994:PQL983065 PGO982994:PGP983065 OWS982994:OWT983065 OMW982994:OMX983065 ODA982994:ODB983065 NTE982994:NTF983065 NJI982994:NJJ983065 MZM982994:MZN983065 MPQ982994:MPR983065 MFU982994:MFV983065 LVY982994:LVZ983065 LMC982994:LMD983065 LCG982994:LCH983065 KSK982994:KSL983065 KIO982994:KIP983065 JYS982994:JYT983065 JOW982994:JOX983065 JFA982994:JFB983065 IVE982994:IVF983065 ILI982994:ILJ983065 IBM982994:IBN983065 HRQ982994:HRR983065 HHU982994:HHV983065 GXY982994:GXZ983065 GOC982994:GOD983065 GEG982994:GEH983065 FUK982994:FUL983065 FKO982994:FKP983065 FAS982994:FAT983065 EQW982994:EQX983065 EHA982994:EHB983065 DXE982994:DXF983065 DNI982994:DNJ983065 DDM982994:DDN983065 CTQ982994:CTR983065 CJU982994:CJV983065 BZY982994:BZZ983065 BQC982994:BQD983065 BGG982994:BGH983065 AWK982994:AWL983065 AMO982994:AMP983065 ACS982994:ACT983065 SW982994:SX983065 JA982994:JB983065 E982994:F983065 WVM917458:WVN917529 WLQ917458:WLR917529 WBU917458:WBV917529 VRY917458:VRZ917529 VIC917458:VID917529 UYG917458:UYH917529 UOK917458:UOL917529 UEO917458:UEP917529 TUS917458:TUT917529 TKW917458:TKX917529 TBA917458:TBB917529 SRE917458:SRF917529 SHI917458:SHJ917529 RXM917458:RXN917529 RNQ917458:RNR917529 RDU917458:RDV917529 QTY917458:QTZ917529 QKC917458:QKD917529 QAG917458:QAH917529 PQK917458:PQL917529 PGO917458:PGP917529 OWS917458:OWT917529 OMW917458:OMX917529 ODA917458:ODB917529 NTE917458:NTF917529 NJI917458:NJJ917529 MZM917458:MZN917529 MPQ917458:MPR917529 MFU917458:MFV917529 LVY917458:LVZ917529 LMC917458:LMD917529 LCG917458:LCH917529 KSK917458:KSL917529 KIO917458:KIP917529 JYS917458:JYT917529 JOW917458:JOX917529 JFA917458:JFB917529 IVE917458:IVF917529 ILI917458:ILJ917529 IBM917458:IBN917529 HRQ917458:HRR917529 HHU917458:HHV917529 GXY917458:GXZ917529 GOC917458:GOD917529 GEG917458:GEH917529 FUK917458:FUL917529 FKO917458:FKP917529 FAS917458:FAT917529 EQW917458:EQX917529 EHA917458:EHB917529 DXE917458:DXF917529 DNI917458:DNJ917529 DDM917458:DDN917529 CTQ917458:CTR917529 CJU917458:CJV917529 BZY917458:BZZ917529 BQC917458:BQD917529 BGG917458:BGH917529 AWK917458:AWL917529 AMO917458:AMP917529 ACS917458:ACT917529 SW917458:SX917529 JA917458:JB917529 E917458:F917529 WVM851922:WVN851993 WLQ851922:WLR851993 WBU851922:WBV851993 VRY851922:VRZ851993 VIC851922:VID851993 UYG851922:UYH851993 UOK851922:UOL851993 UEO851922:UEP851993 TUS851922:TUT851993 TKW851922:TKX851993 TBA851922:TBB851993 SRE851922:SRF851993 SHI851922:SHJ851993 RXM851922:RXN851993 RNQ851922:RNR851993 RDU851922:RDV851993 QTY851922:QTZ851993 QKC851922:QKD851993 QAG851922:QAH851993 PQK851922:PQL851993 PGO851922:PGP851993 OWS851922:OWT851993 OMW851922:OMX851993 ODA851922:ODB851993 NTE851922:NTF851993 NJI851922:NJJ851993 MZM851922:MZN851993 MPQ851922:MPR851993 MFU851922:MFV851993 LVY851922:LVZ851993 LMC851922:LMD851993 LCG851922:LCH851993 KSK851922:KSL851993 KIO851922:KIP851993 JYS851922:JYT851993 JOW851922:JOX851993 JFA851922:JFB851993 IVE851922:IVF851993 ILI851922:ILJ851993 IBM851922:IBN851993 HRQ851922:HRR851993 HHU851922:HHV851993 GXY851922:GXZ851993 GOC851922:GOD851993 GEG851922:GEH851993 FUK851922:FUL851993 FKO851922:FKP851993 FAS851922:FAT851993 EQW851922:EQX851993 EHA851922:EHB851993 DXE851922:DXF851993 DNI851922:DNJ851993 DDM851922:DDN851993 CTQ851922:CTR851993 CJU851922:CJV851993 BZY851922:BZZ851993 BQC851922:BQD851993 BGG851922:BGH851993 AWK851922:AWL851993 AMO851922:AMP851993 ACS851922:ACT851993 SW851922:SX851993 JA851922:JB851993 E851922:F851993 WVM786386:WVN786457 WLQ786386:WLR786457 WBU786386:WBV786457 VRY786386:VRZ786457 VIC786386:VID786457 UYG786386:UYH786457 UOK786386:UOL786457 UEO786386:UEP786457 TUS786386:TUT786457 TKW786386:TKX786457 TBA786386:TBB786457 SRE786386:SRF786457 SHI786386:SHJ786457 RXM786386:RXN786457 RNQ786386:RNR786457 RDU786386:RDV786457 QTY786386:QTZ786457 QKC786386:QKD786457 QAG786386:QAH786457 PQK786386:PQL786457 PGO786386:PGP786457 OWS786386:OWT786457 OMW786386:OMX786457 ODA786386:ODB786457 NTE786386:NTF786457 NJI786386:NJJ786457 MZM786386:MZN786457 MPQ786386:MPR786457 MFU786386:MFV786457 LVY786386:LVZ786457 LMC786386:LMD786457 LCG786386:LCH786457 KSK786386:KSL786457 KIO786386:KIP786457 JYS786386:JYT786457 JOW786386:JOX786457 JFA786386:JFB786457 IVE786386:IVF786457 ILI786386:ILJ786457 IBM786386:IBN786457 HRQ786386:HRR786457 HHU786386:HHV786457 GXY786386:GXZ786457 GOC786386:GOD786457 GEG786386:GEH786457 FUK786386:FUL786457 FKO786386:FKP786457 FAS786386:FAT786457 EQW786386:EQX786457 EHA786386:EHB786457 DXE786386:DXF786457 DNI786386:DNJ786457 DDM786386:DDN786457 CTQ786386:CTR786457 CJU786386:CJV786457 BZY786386:BZZ786457 BQC786386:BQD786457 BGG786386:BGH786457 AWK786386:AWL786457 AMO786386:AMP786457 ACS786386:ACT786457 SW786386:SX786457 JA786386:JB786457 E786386:F786457 WVM720850:WVN720921 WLQ720850:WLR720921 WBU720850:WBV720921 VRY720850:VRZ720921 VIC720850:VID720921 UYG720850:UYH720921 UOK720850:UOL720921 UEO720850:UEP720921 TUS720850:TUT720921 TKW720850:TKX720921 TBA720850:TBB720921 SRE720850:SRF720921 SHI720850:SHJ720921 RXM720850:RXN720921 RNQ720850:RNR720921 RDU720850:RDV720921 QTY720850:QTZ720921 QKC720850:QKD720921 QAG720850:QAH720921 PQK720850:PQL720921 PGO720850:PGP720921 OWS720850:OWT720921 OMW720850:OMX720921 ODA720850:ODB720921 NTE720850:NTF720921 NJI720850:NJJ720921 MZM720850:MZN720921 MPQ720850:MPR720921 MFU720850:MFV720921 LVY720850:LVZ720921 LMC720850:LMD720921 LCG720850:LCH720921 KSK720850:KSL720921 KIO720850:KIP720921 JYS720850:JYT720921 JOW720850:JOX720921 JFA720850:JFB720921 IVE720850:IVF720921 ILI720850:ILJ720921 IBM720850:IBN720921 HRQ720850:HRR720921 HHU720850:HHV720921 GXY720850:GXZ720921 GOC720850:GOD720921 GEG720850:GEH720921 FUK720850:FUL720921 FKO720850:FKP720921 FAS720850:FAT720921 EQW720850:EQX720921 EHA720850:EHB720921 DXE720850:DXF720921 DNI720850:DNJ720921 DDM720850:DDN720921 CTQ720850:CTR720921 CJU720850:CJV720921 BZY720850:BZZ720921 BQC720850:BQD720921 BGG720850:BGH720921 AWK720850:AWL720921 AMO720850:AMP720921 ACS720850:ACT720921 SW720850:SX720921 JA720850:JB720921 E720850:F720921 WVM655314:WVN655385 WLQ655314:WLR655385 WBU655314:WBV655385 VRY655314:VRZ655385 VIC655314:VID655385 UYG655314:UYH655385 UOK655314:UOL655385 UEO655314:UEP655385 TUS655314:TUT655385 TKW655314:TKX655385 TBA655314:TBB655385 SRE655314:SRF655385 SHI655314:SHJ655385 RXM655314:RXN655385 RNQ655314:RNR655385 RDU655314:RDV655385 QTY655314:QTZ655385 QKC655314:QKD655385 QAG655314:QAH655385 PQK655314:PQL655385 PGO655314:PGP655385 OWS655314:OWT655385 OMW655314:OMX655385 ODA655314:ODB655385 NTE655314:NTF655385 NJI655314:NJJ655385 MZM655314:MZN655385 MPQ655314:MPR655385 MFU655314:MFV655385 LVY655314:LVZ655385 LMC655314:LMD655385 LCG655314:LCH655385 KSK655314:KSL655385 KIO655314:KIP655385 JYS655314:JYT655385 JOW655314:JOX655385 JFA655314:JFB655385 IVE655314:IVF655385 ILI655314:ILJ655385 IBM655314:IBN655385 HRQ655314:HRR655385 HHU655314:HHV655385 GXY655314:GXZ655385 GOC655314:GOD655385 GEG655314:GEH655385 FUK655314:FUL655385 FKO655314:FKP655385 FAS655314:FAT655385 EQW655314:EQX655385 EHA655314:EHB655385 DXE655314:DXF655385 DNI655314:DNJ655385 DDM655314:DDN655385 CTQ655314:CTR655385 CJU655314:CJV655385 BZY655314:BZZ655385 BQC655314:BQD655385 BGG655314:BGH655385 AWK655314:AWL655385 AMO655314:AMP655385 ACS655314:ACT655385 SW655314:SX655385 JA655314:JB655385 E655314:F655385 WVM589778:WVN589849 WLQ589778:WLR589849 WBU589778:WBV589849 VRY589778:VRZ589849 VIC589778:VID589849 UYG589778:UYH589849 UOK589778:UOL589849 UEO589778:UEP589849 TUS589778:TUT589849 TKW589778:TKX589849 TBA589778:TBB589849 SRE589778:SRF589849 SHI589778:SHJ589849 RXM589778:RXN589849 RNQ589778:RNR589849 RDU589778:RDV589849 QTY589778:QTZ589849 QKC589778:QKD589849 QAG589778:QAH589849 PQK589778:PQL589849 PGO589778:PGP589849 OWS589778:OWT589849 OMW589778:OMX589849 ODA589778:ODB589849 NTE589778:NTF589849 NJI589778:NJJ589849 MZM589778:MZN589849 MPQ589778:MPR589849 MFU589778:MFV589849 LVY589778:LVZ589849 LMC589778:LMD589849 LCG589778:LCH589849 KSK589778:KSL589849 KIO589778:KIP589849 JYS589778:JYT589849 JOW589778:JOX589849 JFA589778:JFB589849 IVE589778:IVF589849 ILI589778:ILJ589849 IBM589778:IBN589849 HRQ589778:HRR589849 HHU589778:HHV589849 GXY589778:GXZ589849 GOC589778:GOD589849 GEG589778:GEH589849 FUK589778:FUL589849 FKO589778:FKP589849 FAS589778:FAT589849 EQW589778:EQX589849 EHA589778:EHB589849 DXE589778:DXF589849 DNI589778:DNJ589849 DDM589778:DDN589849 CTQ589778:CTR589849 CJU589778:CJV589849 BZY589778:BZZ589849 BQC589778:BQD589849 BGG589778:BGH589849 AWK589778:AWL589849 AMO589778:AMP589849 ACS589778:ACT589849 SW589778:SX589849 JA589778:JB589849 E589778:F589849 WVM524242:WVN524313 WLQ524242:WLR524313 WBU524242:WBV524313 VRY524242:VRZ524313 VIC524242:VID524313 UYG524242:UYH524313 UOK524242:UOL524313 UEO524242:UEP524313 TUS524242:TUT524313 TKW524242:TKX524313 TBA524242:TBB524313 SRE524242:SRF524313 SHI524242:SHJ524313 RXM524242:RXN524313 RNQ524242:RNR524313 RDU524242:RDV524313 QTY524242:QTZ524313 QKC524242:QKD524313 QAG524242:QAH524313 PQK524242:PQL524313 PGO524242:PGP524313 OWS524242:OWT524313 OMW524242:OMX524313 ODA524242:ODB524313 NTE524242:NTF524313 NJI524242:NJJ524313 MZM524242:MZN524313 MPQ524242:MPR524313 MFU524242:MFV524313 LVY524242:LVZ524313 LMC524242:LMD524313 LCG524242:LCH524313 KSK524242:KSL524313 KIO524242:KIP524313 JYS524242:JYT524313 JOW524242:JOX524313 JFA524242:JFB524313 IVE524242:IVF524313 ILI524242:ILJ524313 IBM524242:IBN524313 HRQ524242:HRR524313 HHU524242:HHV524313 GXY524242:GXZ524313 GOC524242:GOD524313 GEG524242:GEH524313 FUK524242:FUL524313 FKO524242:FKP524313 FAS524242:FAT524313 EQW524242:EQX524313 EHA524242:EHB524313 DXE524242:DXF524313 DNI524242:DNJ524313 DDM524242:DDN524313 CTQ524242:CTR524313 CJU524242:CJV524313 BZY524242:BZZ524313 BQC524242:BQD524313 BGG524242:BGH524313 AWK524242:AWL524313 AMO524242:AMP524313 ACS524242:ACT524313 SW524242:SX524313 JA524242:JB524313 E524242:F524313 WVM458706:WVN458777 WLQ458706:WLR458777 WBU458706:WBV458777 VRY458706:VRZ458777 VIC458706:VID458777 UYG458706:UYH458777 UOK458706:UOL458777 UEO458706:UEP458777 TUS458706:TUT458777 TKW458706:TKX458777 TBA458706:TBB458777 SRE458706:SRF458777 SHI458706:SHJ458777 RXM458706:RXN458777 RNQ458706:RNR458777 RDU458706:RDV458777 QTY458706:QTZ458777 QKC458706:QKD458777 QAG458706:QAH458777 PQK458706:PQL458777 PGO458706:PGP458777 OWS458706:OWT458777 OMW458706:OMX458777 ODA458706:ODB458777 NTE458706:NTF458777 NJI458706:NJJ458777 MZM458706:MZN458777 MPQ458706:MPR458777 MFU458706:MFV458777 LVY458706:LVZ458777 LMC458706:LMD458777 LCG458706:LCH458777 KSK458706:KSL458777 KIO458706:KIP458777 JYS458706:JYT458777 JOW458706:JOX458777 JFA458706:JFB458777 IVE458706:IVF458777 ILI458706:ILJ458777 IBM458706:IBN458777 HRQ458706:HRR458777 HHU458706:HHV458777 GXY458706:GXZ458777 GOC458706:GOD458777 GEG458706:GEH458777 FUK458706:FUL458777 FKO458706:FKP458777 FAS458706:FAT458777 EQW458706:EQX458777 EHA458706:EHB458777 DXE458706:DXF458777 DNI458706:DNJ458777 DDM458706:DDN458777 CTQ458706:CTR458777 CJU458706:CJV458777 BZY458706:BZZ458777 BQC458706:BQD458777 BGG458706:BGH458777 AWK458706:AWL458777 AMO458706:AMP458777 ACS458706:ACT458777 SW458706:SX458777 JA458706:JB458777 E458706:F458777 WVM393170:WVN393241 WLQ393170:WLR393241 WBU393170:WBV393241 VRY393170:VRZ393241 VIC393170:VID393241 UYG393170:UYH393241 UOK393170:UOL393241 UEO393170:UEP393241 TUS393170:TUT393241 TKW393170:TKX393241 TBA393170:TBB393241 SRE393170:SRF393241 SHI393170:SHJ393241 RXM393170:RXN393241 RNQ393170:RNR393241 RDU393170:RDV393241 QTY393170:QTZ393241 QKC393170:QKD393241 QAG393170:QAH393241 PQK393170:PQL393241 PGO393170:PGP393241 OWS393170:OWT393241 OMW393170:OMX393241 ODA393170:ODB393241 NTE393170:NTF393241 NJI393170:NJJ393241 MZM393170:MZN393241 MPQ393170:MPR393241 MFU393170:MFV393241 LVY393170:LVZ393241 LMC393170:LMD393241 LCG393170:LCH393241 KSK393170:KSL393241 KIO393170:KIP393241 JYS393170:JYT393241 JOW393170:JOX393241 JFA393170:JFB393241 IVE393170:IVF393241 ILI393170:ILJ393241 IBM393170:IBN393241 HRQ393170:HRR393241 HHU393170:HHV393241 GXY393170:GXZ393241 GOC393170:GOD393241 GEG393170:GEH393241 FUK393170:FUL393241 FKO393170:FKP393241 FAS393170:FAT393241 EQW393170:EQX393241 EHA393170:EHB393241 DXE393170:DXF393241 DNI393170:DNJ393241 DDM393170:DDN393241 CTQ393170:CTR393241 CJU393170:CJV393241 BZY393170:BZZ393241 BQC393170:BQD393241 BGG393170:BGH393241 AWK393170:AWL393241 AMO393170:AMP393241 ACS393170:ACT393241 SW393170:SX393241 JA393170:JB393241 E393170:F393241 WVM327634:WVN327705 WLQ327634:WLR327705 WBU327634:WBV327705 VRY327634:VRZ327705 VIC327634:VID327705 UYG327634:UYH327705 UOK327634:UOL327705 UEO327634:UEP327705 TUS327634:TUT327705 TKW327634:TKX327705 TBA327634:TBB327705 SRE327634:SRF327705 SHI327634:SHJ327705 RXM327634:RXN327705 RNQ327634:RNR327705 RDU327634:RDV327705 QTY327634:QTZ327705 QKC327634:QKD327705 QAG327634:QAH327705 PQK327634:PQL327705 PGO327634:PGP327705 OWS327634:OWT327705 OMW327634:OMX327705 ODA327634:ODB327705 NTE327634:NTF327705 NJI327634:NJJ327705 MZM327634:MZN327705 MPQ327634:MPR327705 MFU327634:MFV327705 LVY327634:LVZ327705 LMC327634:LMD327705 LCG327634:LCH327705 KSK327634:KSL327705 KIO327634:KIP327705 JYS327634:JYT327705 JOW327634:JOX327705 JFA327634:JFB327705 IVE327634:IVF327705 ILI327634:ILJ327705 IBM327634:IBN327705 HRQ327634:HRR327705 HHU327634:HHV327705 GXY327634:GXZ327705 GOC327634:GOD327705 GEG327634:GEH327705 FUK327634:FUL327705 FKO327634:FKP327705 FAS327634:FAT327705 EQW327634:EQX327705 EHA327634:EHB327705 DXE327634:DXF327705 DNI327634:DNJ327705 DDM327634:DDN327705 CTQ327634:CTR327705 CJU327634:CJV327705 BZY327634:BZZ327705 BQC327634:BQD327705 BGG327634:BGH327705 AWK327634:AWL327705 AMO327634:AMP327705 ACS327634:ACT327705 SW327634:SX327705 JA327634:JB327705 E327634:F327705 WVM262098:WVN262169 WLQ262098:WLR262169 WBU262098:WBV262169 VRY262098:VRZ262169 VIC262098:VID262169 UYG262098:UYH262169 UOK262098:UOL262169 UEO262098:UEP262169 TUS262098:TUT262169 TKW262098:TKX262169 TBA262098:TBB262169 SRE262098:SRF262169 SHI262098:SHJ262169 RXM262098:RXN262169 RNQ262098:RNR262169 RDU262098:RDV262169 QTY262098:QTZ262169 QKC262098:QKD262169 QAG262098:QAH262169 PQK262098:PQL262169 PGO262098:PGP262169 OWS262098:OWT262169 OMW262098:OMX262169 ODA262098:ODB262169 NTE262098:NTF262169 NJI262098:NJJ262169 MZM262098:MZN262169 MPQ262098:MPR262169 MFU262098:MFV262169 LVY262098:LVZ262169 LMC262098:LMD262169 LCG262098:LCH262169 KSK262098:KSL262169 KIO262098:KIP262169 JYS262098:JYT262169 JOW262098:JOX262169 JFA262098:JFB262169 IVE262098:IVF262169 ILI262098:ILJ262169 IBM262098:IBN262169 HRQ262098:HRR262169 HHU262098:HHV262169 GXY262098:GXZ262169 GOC262098:GOD262169 GEG262098:GEH262169 FUK262098:FUL262169 FKO262098:FKP262169 FAS262098:FAT262169 EQW262098:EQX262169 EHA262098:EHB262169 DXE262098:DXF262169 DNI262098:DNJ262169 DDM262098:DDN262169 CTQ262098:CTR262169 CJU262098:CJV262169 BZY262098:BZZ262169 BQC262098:BQD262169 BGG262098:BGH262169 AWK262098:AWL262169 AMO262098:AMP262169 ACS262098:ACT262169 SW262098:SX262169 JA262098:JB262169 E262098:F262169 WVM196562:WVN196633 WLQ196562:WLR196633 WBU196562:WBV196633 VRY196562:VRZ196633 VIC196562:VID196633 UYG196562:UYH196633 UOK196562:UOL196633 UEO196562:UEP196633 TUS196562:TUT196633 TKW196562:TKX196633 TBA196562:TBB196633 SRE196562:SRF196633 SHI196562:SHJ196633 RXM196562:RXN196633 RNQ196562:RNR196633 RDU196562:RDV196633 QTY196562:QTZ196633 QKC196562:QKD196633 QAG196562:QAH196633 PQK196562:PQL196633 PGO196562:PGP196633 OWS196562:OWT196633 OMW196562:OMX196633 ODA196562:ODB196633 NTE196562:NTF196633 NJI196562:NJJ196633 MZM196562:MZN196633 MPQ196562:MPR196633 MFU196562:MFV196633 LVY196562:LVZ196633 LMC196562:LMD196633 LCG196562:LCH196633 KSK196562:KSL196633 KIO196562:KIP196633 JYS196562:JYT196633 JOW196562:JOX196633 JFA196562:JFB196633 IVE196562:IVF196633 ILI196562:ILJ196633 IBM196562:IBN196633 HRQ196562:HRR196633 HHU196562:HHV196633 GXY196562:GXZ196633 GOC196562:GOD196633 GEG196562:GEH196633 FUK196562:FUL196633 FKO196562:FKP196633 FAS196562:FAT196633 EQW196562:EQX196633 EHA196562:EHB196633 DXE196562:DXF196633 DNI196562:DNJ196633 DDM196562:DDN196633 CTQ196562:CTR196633 CJU196562:CJV196633 BZY196562:BZZ196633 BQC196562:BQD196633 BGG196562:BGH196633 AWK196562:AWL196633 AMO196562:AMP196633 ACS196562:ACT196633 SW196562:SX196633 JA196562:JB196633 E196562:F196633 WVM131026:WVN131097 WLQ131026:WLR131097 WBU131026:WBV131097 VRY131026:VRZ131097 VIC131026:VID131097 UYG131026:UYH131097 UOK131026:UOL131097 UEO131026:UEP131097 TUS131026:TUT131097 TKW131026:TKX131097 TBA131026:TBB131097 SRE131026:SRF131097 SHI131026:SHJ131097 RXM131026:RXN131097 RNQ131026:RNR131097 RDU131026:RDV131097 QTY131026:QTZ131097 QKC131026:QKD131097 QAG131026:QAH131097 PQK131026:PQL131097 PGO131026:PGP131097 OWS131026:OWT131097 OMW131026:OMX131097 ODA131026:ODB131097 NTE131026:NTF131097 NJI131026:NJJ131097 MZM131026:MZN131097 MPQ131026:MPR131097 MFU131026:MFV131097 LVY131026:LVZ131097 LMC131026:LMD131097 LCG131026:LCH131097 KSK131026:KSL131097 KIO131026:KIP131097 JYS131026:JYT131097 JOW131026:JOX131097 JFA131026:JFB131097 IVE131026:IVF131097 ILI131026:ILJ131097 IBM131026:IBN131097 HRQ131026:HRR131097 HHU131026:HHV131097 GXY131026:GXZ131097 GOC131026:GOD131097 GEG131026:GEH131097 FUK131026:FUL131097 FKO131026:FKP131097 FAS131026:FAT131097 EQW131026:EQX131097 EHA131026:EHB131097 DXE131026:DXF131097 DNI131026:DNJ131097 DDM131026:DDN131097 CTQ131026:CTR131097 CJU131026:CJV131097 BZY131026:BZZ131097 BQC131026:BQD131097 BGG131026:BGH131097 AWK131026:AWL131097 AMO131026:AMP131097 ACS131026:ACT131097 SW131026:SX131097 JA131026:JB131097 E131026:F131097 WVM65490:WVN65561 WLQ65490:WLR65561 WBU65490:WBV65561 VRY65490:VRZ65561 VIC65490:VID65561 UYG65490:UYH65561 UOK65490:UOL65561 UEO65490:UEP65561 TUS65490:TUT65561 TKW65490:TKX65561 TBA65490:TBB65561 SRE65490:SRF65561 SHI65490:SHJ65561 RXM65490:RXN65561 RNQ65490:RNR65561 RDU65490:RDV65561 QTY65490:QTZ65561 QKC65490:QKD65561 QAG65490:QAH65561 PQK65490:PQL65561 PGO65490:PGP65561 OWS65490:OWT65561 OMW65490:OMX65561 ODA65490:ODB65561 NTE65490:NTF65561 NJI65490:NJJ65561 MZM65490:MZN65561 MPQ65490:MPR65561 MFU65490:MFV65561 LVY65490:LVZ65561 LMC65490:LMD65561 LCG65490:LCH65561 KSK65490:KSL65561 KIO65490:KIP65561 JYS65490:JYT65561 JOW65490:JOX65561 JFA65490:JFB65561 IVE65490:IVF65561 ILI65490:ILJ65561 IBM65490:IBN65561 HRQ65490:HRR65561 HHU65490:HHV65561 GXY65490:GXZ65561 GOC65490:GOD65561 GEG65490:GEH65561 FUK65490:FUL65561 FKO65490:FKP65561 FAS65490:FAT65561 EQW65490:EQX65561 EHA65490:EHB65561 DXE65490:DXF65561 DNI65490:DNJ65561 DDM65490:DDN65561 CTQ65490:CTR65561 CJU65490:CJV65561 BZY65490:BZZ65561 BQC65490:BQD65561 BGG65490:BGH65561 AWK65490:AWL65561 AMO65490:AMP65561 ACS65490:ACT65561 SW65490:SX65561 JA65490:JB65561 E65490:F65561 JA64315:JB64380 WVM1047355:WVN1047420 WLQ1047355:WLR1047420 WBU1047355:WBV1047420 VRY1047355:VRZ1047420 VIC1047355:VID1047420 UYG1047355:UYH1047420 UOK1047355:UOL1047420 UEO1047355:UEP1047420 TUS1047355:TUT1047420 TKW1047355:TKX1047420 TBA1047355:TBB1047420 SRE1047355:SRF1047420 SHI1047355:SHJ1047420 RXM1047355:RXN1047420 RNQ1047355:RNR1047420 RDU1047355:RDV1047420 QTY1047355:QTZ1047420 QKC1047355:QKD1047420 QAG1047355:QAH1047420 PQK1047355:PQL1047420 PGO1047355:PGP1047420 OWS1047355:OWT1047420 OMW1047355:OMX1047420 ODA1047355:ODB1047420 NTE1047355:NTF1047420 NJI1047355:NJJ1047420 MZM1047355:MZN1047420 MPQ1047355:MPR1047420 MFU1047355:MFV1047420 LVY1047355:LVZ1047420 LMC1047355:LMD1047420 LCG1047355:LCH1047420 KSK1047355:KSL1047420 KIO1047355:KIP1047420 JYS1047355:JYT1047420 JOW1047355:JOX1047420 JFA1047355:JFB1047420 IVE1047355:IVF1047420 ILI1047355:ILJ1047420 IBM1047355:IBN1047420 HRQ1047355:HRR1047420 HHU1047355:HHV1047420 GXY1047355:GXZ1047420 GOC1047355:GOD1047420 GEG1047355:GEH1047420 FUK1047355:FUL1047420 FKO1047355:FKP1047420 FAS1047355:FAT1047420 EQW1047355:EQX1047420 EHA1047355:EHB1047420 DXE1047355:DXF1047420 DNI1047355:DNJ1047420 DDM1047355:DDN1047420 CTQ1047355:CTR1047420 CJU1047355:CJV1047420 BZY1047355:BZZ1047420 BQC1047355:BQD1047420 BGG1047355:BGH1047420 AWK1047355:AWL1047420 AMO1047355:AMP1047420 ACS1047355:ACT1047420 SW1047355:SX1047420 JA1047355:JB1047420 E1047355:F1047420 WVM981819:WVN981884 WLQ981819:WLR981884 WBU981819:WBV981884 VRY981819:VRZ981884 VIC981819:VID981884 UYG981819:UYH981884 UOK981819:UOL981884 UEO981819:UEP981884 TUS981819:TUT981884 TKW981819:TKX981884 TBA981819:TBB981884 SRE981819:SRF981884 SHI981819:SHJ981884 RXM981819:RXN981884 RNQ981819:RNR981884 RDU981819:RDV981884 QTY981819:QTZ981884 QKC981819:QKD981884 QAG981819:QAH981884 PQK981819:PQL981884 PGO981819:PGP981884 OWS981819:OWT981884 OMW981819:OMX981884 ODA981819:ODB981884 NTE981819:NTF981884 NJI981819:NJJ981884 MZM981819:MZN981884 MPQ981819:MPR981884 MFU981819:MFV981884 LVY981819:LVZ981884 LMC981819:LMD981884 LCG981819:LCH981884 KSK981819:KSL981884 KIO981819:KIP981884 JYS981819:JYT981884 JOW981819:JOX981884 JFA981819:JFB981884 IVE981819:IVF981884 ILI981819:ILJ981884 IBM981819:IBN981884 HRQ981819:HRR981884 HHU981819:HHV981884 GXY981819:GXZ981884 GOC981819:GOD981884 GEG981819:GEH981884 FUK981819:FUL981884 FKO981819:FKP981884 FAS981819:FAT981884 EQW981819:EQX981884 EHA981819:EHB981884 DXE981819:DXF981884 DNI981819:DNJ981884 DDM981819:DDN981884 CTQ981819:CTR981884 CJU981819:CJV981884 BZY981819:BZZ981884 BQC981819:BQD981884 BGG981819:BGH981884 AWK981819:AWL981884 AMO981819:AMP981884 ACS981819:ACT981884 SW981819:SX981884 JA981819:JB981884 E981819:F981884 WVM916283:WVN916348 WLQ916283:WLR916348 WBU916283:WBV916348 VRY916283:VRZ916348 VIC916283:VID916348 UYG916283:UYH916348 UOK916283:UOL916348 UEO916283:UEP916348 TUS916283:TUT916348 TKW916283:TKX916348 TBA916283:TBB916348 SRE916283:SRF916348 SHI916283:SHJ916348 RXM916283:RXN916348 RNQ916283:RNR916348 RDU916283:RDV916348 QTY916283:QTZ916348 QKC916283:QKD916348 QAG916283:QAH916348 PQK916283:PQL916348 PGO916283:PGP916348 OWS916283:OWT916348 OMW916283:OMX916348 ODA916283:ODB916348 NTE916283:NTF916348 NJI916283:NJJ916348 MZM916283:MZN916348 MPQ916283:MPR916348 MFU916283:MFV916348 LVY916283:LVZ916348 LMC916283:LMD916348 LCG916283:LCH916348 KSK916283:KSL916348 KIO916283:KIP916348 JYS916283:JYT916348 JOW916283:JOX916348 JFA916283:JFB916348 IVE916283:IVF916348 ILI916283:ILJ916348 IBM916283:IBN916348 HRQ916283:HRR916348 HHU916283:HHV916348 GXY916283:GXZ916348 GOC916283:GOD916348 GEG916283:GEH916348 FUK916283:FUL916348 FKO916283:FKP916348 FAS916283:FAT916348 EQW916283:EQX916348 EHA916283:EHB916348 DXE916283:DXF916348 DNI916283:DNJ916348 DDM916283:DDN916348 CTQ916283:CTR916348 CJU916283:CJV916348 BZY916283:BZZ916348 BQC916283:BQD916348 BGG916283:BGH916348 AWK916283:AWL916348 AMO916283:AMP916348 ACS916283:ACT916348 SW916283:SX916348 JA916283:JB916348 E916283:F916348 WVM850747:WVN850812 WLQ850747:WLR850812 WBU850747:WBV850812 VRY850747:VRZ850812 VIC850747:VID850812 UYG850747:UYH850812 UOK850747:UOL850812 UEO850747:UEP850812 TUS850747:TUT850812 TKW850747:TKX850812 TBA850747:TBB850812 SRE850747:SRF850812 SHI850747:SHJ850812 RXM850747:RXN850812 RNQ850747:RNR850812 RDU850747:RDV850812 QTY850747:QTZ850812 QKC850747:QKD850812 QAG850747:QAH850812 PQK850747:PQL850812 PGO850747:PGP850812 OWS850747:OWT850812 OMW850747:OMX850812 ODA850747:ODB850812 NTE850747:NTF850812 NJI850747:NJJ850812 MZM850747:MZN850812 MPQ850747:MPR850812 MFU850747:MFV850812 LVY850747:LVZ850812 LMC850747:LMD850812 LCG850747:LCH850812 KSK850747:KSL850812 KIO850747:KIP850812 JYS850747:JYT850812 JOW850747:JOX850812 JFA850747:JFB850812 IVE850747:IVF850812 ILI850747:ILJ850812 IBM850747:IBN850812 HRQ850747:HRR850812 HHU850747:HHV850812 GXY850747:GXZ850812 GOC850747:GOD850812 GEG850747:GEH850812 FUK850747:FUL850812 FKO850747:FKP850812 FAS850747:FAT850812 EQW850747:EQX850812 EHA850747:EHB850812 DXE850747:DXF850812 DNI850747:DNJ850812 DDM850747:DDN850812 CTQ850747:CTR850812 CJU850747:CJV850812 BZY850747:BZZ850812 BQC850747:BQD850812 BGG850747:BGH850812 AWK850747:AWL850812 AMO850747:AMP850812 ACS850747:ACT850812 SW850747:SX850812 JA850747:JB850812 E850747:F850812 WVM785211:WVN785276 WLQ785211:WLR785276 WBU785211:WBV785276 VRY785211:VRZ785276 VIC785211:VID785276 UYG785211:UYH785276 UOK785211:UOL785276 UEO785211:UEP785276 TUS785211:TUT785276 TKW785211:TKX785276 TBA785211:TBB785276 SRE785211:SRF785276 SHI785211:SHJ785276 RXM785211:RXN785276 RNQ785211:RNR785276 RDU785211:RDV785276 QTY785211:QTZ785276 QKC785211:QKD785276 QAG785211:QAH785276 PQK785211:PQL785276 PGO785211:PGP785276 OWS785211:OWT785276 OMW785211:OMX785276 ODA785211:ODB785276 NTE785211:NTF785276 NJI785211:NJJ785276 MZM785211:MZN785276 MPQ785211:MPR785276 MFU785211:MFV785276 LVY785211:LVZ785276 LMC785211:LMD785276 LCG785211:LCH785276 KSK785211:KSL785276 KIO785211:KIP785276 JYS785211:JYT785276 JOW785211:JOX785276 JFA785211:JFB785276 IVE785211:IVF785276 ILI785211:ILJ785276 IBM785211:IBN785276 HRQ785211:HRR785276 HHU785211:HHV785276 GXY785211:GXZ785276 GOC785211:GOD785276 GEG785211:GEH785276 FUK785211:FUL785276 FKO785211:FKP785276 FAS785211:FAT785276 EQW785211:EQX785276 EHA785211:EHB785276 DXE785211:DXF785276 DNI785211:DNJ785276 DDM785211:DDN785276 CTQ785211:CTR785276 CJU785211:CJV785276 BZY785211:BZZ785276 BQC785211:BQD785276 BGG785211:BGH785276 AWK785211:AWL785276 AMO785211:AMP785276 ACS785211:ACT785276 SW785211:SX785276 JA785211:JB785276 E785211:F785276 WVM719675:WVN719740 WLQ719675:WLR719740 WBU719675:WBV719740 VRY719675:VRZ719740 VIC719675:VID719740 UYG719675:UYH719740 UOK719675:UOL719740 UEO719675:UEP719740 TUS719675:TUT719740 TKW719675:TKX719740 TBA719675:TBB719740 SRE719675:SRF719740 SHI719675:SHJ719740 RXM719675:RXN719740 RNQ719675:RNR719740 RDU719675:RDV719740 QTY719675:QTZ719740 QKC719675:QKD719740 QAG719675:QAH719740 PQK719675:PQL719740 PGO719675:PGP719740 OWS719675:OWT719740 OMW719675:OMX719740 ODA719675:ODB719740 NTE719675:NTF719740 NJI719675:NJJ719740 MZM719675:MZN719740 MPQ719675:MPR719740 MFU719675:MFV719740 LVY719675:LVZ719740 LMC719675:LMD719740 LCG719675:LCH719740 KSK719675:KSL719740 KIO719675:KIP719740 JYS719675:JYT719740 JOW719675:JOX719740 JFA719675:JFB719740 IVE719675:IVF719740 ILI719675:ILJ719740 IBM719675:IBN719740 HRQ719675:HRR719740 HHU719675:HHV719740 GXY719675:GXZ719740 GOC719675:GOD719740 GEG719675:GEH719740 FUK719675:FUL719740 FKO719675:FKP719740 FAS719675:FAT719740 EQW719675:EQX719740 EHA719675:EHB719740 DXE719675:DXF719740 DNI719675:DNJ719740 DDM719675:DDN719740 CTQ719675:CTR719740 CJU719675:CJV719740 BZY719675:BZZ719740 BQC719675:BQD719740 BGG719675:BGH719740 AWK719675:AWL719740 AMO719675:AMP719740 ACS719675:ACT719740 SW719675:SX719740 JA719675:JB719740 E719675:F719740 WVM654139:WVN654204 WLQ654139:WLR654204 WBU654139:WBV654204 VRY654139:VRZ654204 VIC654139:VID654204 UYG654139:UYH654204 UOK654139:UOL654204 UEO654139:UEP654204 TUS654139:TUT654204 TKW654139:TKX654204 TBA654139:TBB654204 SRE654139:SRF654204 SHI654139:SHJ654204 RXM654139:RXN654204 RNQ654139:RNR654204 RDU654139:RDV654204 QTY654139:QTZ654204 QKC654139:QKD654204 QAG654139:QAH654204 PQK654139:PQL654204 PGO654139:PGP654204 OWS654139:OWT654204 OMW654139:OMX654204 ODA654139:ODB654204 NTE654139:NTF654204 NJI654139:NJJ654204 MZM654139:MZN654204 MPQ654139:MPR654204 MFU654139:MFV654204 LVY654139:LVZ654204 LMC654139:LMD654204 LCG654139:LCH654204 KSK654139:KSL654204 KIO654139:KIP654204 JYS654139:JYT654204 JOW654139:JOX654204 JFA654139:JFB654204 IVE654139:IVF654204 ILI654139:ILJ654204 IBM654139:IBN654204 HRQ654139:HRR654204 HHU654139:HHV654204 GXY654139:GXZ654204 GOC654139:GOD654204 GEG654139:GEH654204 FUK654139:FUL654204 FKO654139:FKP654204 FAS654139:FAT654204 EQW654139:EQX654204 EHA654139:EHB654204 DXE654139:DXF654204 DNI654139:DNJ654204 DDM654139:DDN654204 CTQ654139:CTR654204 CJU654139:CJV654204 BZY654139:BZZ654204 BQC654139:BQD654204 BGG654139:BGH654204 AWK654139:AWL654204 AMO654139:AMP654204 ACS654139:ACT654204 SW654139:SX654204 JA654139:JB654204 E654139:F654204 WVM588603:WVN588668 WLQ588603:WLR588668 WBU588603:WBV588668 VRY588603:VRZ588668 VIC588603:VID588668 UYG588603:UYH588668 UOK588603:UOL588668 UEO588603:UEP588668 TUS588603:TUT588668 TKW588603:TKX588668 TBA588603:TBB588668 SRE588603:SRF588668 SHI588603:SHJ588668 RXM588603:RXN588668 RNQ588603:RNR588668 RDU588603:RDV588668 QTY588603:QTZ588668 QKC588603:QKD588668 QAG588603:QAH588668 PQK588603:PQL588668 PGO588603:PGP588668 OWS588603:OWT588668 OMW588603:OMX588668 ODA588603:ODB588668 NTE588603:NTF588668 NJI588603:NJJ588668 MZM588603:MZN588668 MPQ588603:MPR588668 MFU588603:MFV588668 LVY588603:LVZ588668 LMC588603:LMD588668 LCG588603:LCH588668 KSK588603:KSL588668 KIO588603:KIP588668 JYS588603:JYT588668 JOW588603:JOX588668 JFA588603:JFB588668 IVE588603:IVF588668 ILI588603:ILJ588668 IBM588603:IBN588668 HRQ588603:HRR588668 HHU588603:HHV588668 GXY588603:GXZ588668 GOC588603:GOD588668 GEG588603:GEH588668 FUK588603:FUL588668 FKO588603:FKP588668 FAS588603:FAT588668 EQW588603:EQX588668 EHA588603:EHB588668 DXE588603:DXF588668 DNI588603:DNJ588668 DDM588603:DDN588668 CTQ588603:CTR588668 CJU588603:CJV588668 BZY588603:BZZ588668 BQC588603:BQD588668 BGG588603:BGH588668 AWK588603:AWL588668 AMO588603:AMP588668 ACS588603:ACT588668 SW588603:SX588668 JA588603:JB588668 E588603:F588668 WVM523067:WVN523132 WLQ523067:WLR523132 WBU523067:WBV523132 VRY523067:VRZ523132 VIC523067:VID523132 UYG523067:UYH523132 UOK523067:UOL523132 UEO523067:UEP523132 TUS523067:TUT523132 TKW523067:TKX523132 TBA523067:TBB523132 SRE523067:SRF523132 SHI523067:SHJ523132 RXM523067:RXN523132 RNQ523067:RNR523132 RDU523067:RDV523132 QTY523067:QTZ523132 QKC523067:QKD523132 QAG523067:QAH523132 PQK523067:PQL523132 PGO523067:PGP523132 OWS523067:OWT523132 OMW523067:OMX523132 ODA523067:ODB523132 NTE523067:NTF523132 NJI523067:NJJ523132 MZM523067:MZN523132 MPQ523067:MPR523132 MFU523067:MFV523132 LVY523067:LVZ523132 LMC523067:LMD523132 LCG523067:LCH523132 KSK523067:KSL523132 KIO523067:KIP523132 JYS523067:JYT523132 JOW523067:JOX523132 JFA523067:JFB523132 IVE523067:IVF523132 ILI523067:ILJ523132 IBM523067:IBN523132 HRQ523067:HRR523132 HHU523067:HHV523132 GXY523067:GXZ523132 GOC523067:GOD523132 GEG523067:GEH523132 FUK523067:FUL523132 FKO523067:FKP523132 FAS523067:FAT523132 EQW523067:EQX523132 EHA523067:EHB523132 DXE523067:DXF523132 DNI523067:DNJ523132 DDM523067:DDN523132 CTQ523067:CTR523132 CJU523067:CJV523132 BZY523067:BZZ523132 BQC523067:BQD523132 BGG523067:BGH523132 AWK523067:AWL523132 AMO523067:AMP523132 ACS523067:ACT523132 SW523067:SX523132 JA523067:JB523132 E523067:F523132 WVM457531:WVN457596 WLQ457531:WLR457596 WBU457531:WBV457596 VRY457531:VRZ457596 VIC457531:VID457596 UYG457531:UYH457596 UOK457531:UOL457596 UEO457531:UEP457596 TUS457531:TUT457596 TKW457531:TKX457596 TBA457531:TBB457596 SRE457531:SRF457596 SHI457531:SHJ457596 RXM457531:RXN457596 RNQ457531:RNR457596 RDU457531:RDV457596 QTY457531:QTZ457596 QKC457531:QKD457596 QAG457531:QAH457596 PQK457531:PQL457596 PGO457531:PGP457596 OWS457531:OWT457596 OMW457531:OMX457596 ODA457531:ODB457596 NTE457531:NTF457596 NJI457531:NJJ457596 MZM457531:MZN457596 MPQ457531:MPR457596 MFU457531:MFV457596 LVY457531:LVZ457596 LMC457531:LMD457596 LCG457531:LCH457596 KSK457531:KSL457596 KIO457531:KIP457596 JYS457531:JYT457596 JOW457531:JOX457596 JFA457531:JFB457596 IVE457531:IVF457596 ILI457531:ILJ457596 IBM457531:IBN457596 HRQ457531:HRR457596 HHU457531:HHV457596 GXY457531:GXZ457596 GOC457531:GOD457596 GEG457531:GEH457596 FUK457531:FUL457596 FKO457531:FKP457596 FAS457531:FAT457596 EQW457531:EQX457596 EHA457531:EHB457596 DXE457531:DXF457596 DNI457531:DNJ457596 DDM457531:DDN457596 CTQ457531:CTR457596 CJU457531:CJV457596 BZY457531:BZZ457596 BQC457531:BQD457596 BGG457531:BGH457596 AWK457531:AWL457596 AMO457531:AMP457596 ACS457531:ACT457596 SW457531:SX457596 JA457531:JB457596 E457531:F457596 WVM391995:WVN392060 WLQ391995:WLR392060 WBU391995:WBV392060 VRY391995:VRZ392060 VIC391995:VID392060 UYG391995:UYH392060 UOK391995:UOL392060 UEO391995:UEP392060 TUS391995:TUT392060 TKW391995:TKX392060 TBA391995:TBB392060 SRE391995:SRF392060 SHI391995:SHJ392060 RXM391995:RXN392060 RNQ391995:RNR392060 RDU391995:RDV392060 QTY391995:QTZ392060 QKC391995:QKD392060 QAG391995:QAH392060 PQK391995:PQL392060 PGO391995:PGP392060 OWS391995:OWT392060 OMW391995:OMX392060 ODA391995:ODB392060 NTE391995:NTF392060 NJI391995:NJJ392060 MZM391995:MZN392060 MPQ391995:MPR392060 MFU391995:MFV392060 LVY391995:LVZ392060 LMC391995:LMD392060 LCG391995:LCH392060 KSK391995:KSL392060 KIO391995:KIP392060 JYS391995:JYT392060 JOW391995:JOX392060 JFA391995:JFB392060 IVE391995:IVF392060 ILI391995:ILJ392060 IBM391995:IBN392060 HRQ391995:HRR392060 HHU391995:HHV392060 GXY391995:GXZ392060 GOC391995:GOD392060 GEG391995:GEH392060 FUK391995:FUL392060 FKO391995:FKP392060 FAS391995:FAT392060 EQW391995:EQX392060 EHA391995:EHB392060 DXE391995:DXF392060 DNI391995:DNJ392060 DDM391995:DDN392060 CTQ391995:CTR392060 CJU391995:CJV392060 BZY391995:BZZ392060 BQC391995:BQD392060 BGG391995:BGH392060 AWK391995:AWL392060 AMO391995:AMP392060 ACS391995:ACT392060 SW391995:SX392060 JA391995:JB392060 E391995:F392060 WVM326459:WVN326524 WLQ326459:WLR326524 WBU326459:WBV326524 VRY326459:VRZ326524 VIC326459:VID326524 UYG326459:UYH326524 UOK326459:UOL326524 UEO326459:UEP326524 TUS326459:TUT326524 TKW326459:TKX326524 TBA326459:TBB326524 SRE326459:SRF326524 SHI326459:SHJ326524 RXM326459:RXN326524 RNQ326459:RNR326524 RDU326459:RDV326524 QTY326459:QTZ326524 QKC326459:QKD326524 QAG326459:QAH326524 PQK326459:PQL326524 PGO326459:PGP326524 OWS326459:OWT326524 OMW326459:OMX326524 ODA326459:ODB326524 NTE326459:NTF326524 NJI326459:NJJ326524 MZM326459:MZN326524 MPQ326459:MPR326524 MFU326459:MFV326524 LVY326459:LVZ326524 LMC326459:LMD326524 LCG326459:LCH326524 KSK326459:KSL326524 KIO326459:KIP326524 JYS326459:JYT326524 JOW326459:JOX326524 JFA326459:JFB326524 IVE326459:IVF326524 ILI326459:ILJ326524 IBM326459:IBN326524 HRQ326459:HRR326524 HHU326459:HHV326524 GXY326459:GXZ326524 GOC326459:GOD326524 GEG326459:GEH326524 FUK326459:FUL326524 FKO326459:FKP326524 FAS326459:FAT326524 EQW326459:EQX326524 EHA326459:EHB326524 DXE326459:DXF326524 DNI326459:DNJ326524 DDM326459:DDN326524 CTQ326459:CTR326524 CJU326459:CJV326524 BZY326459:BZZ326524 BQC326459:BQD326524 BGG326459:BGH326524 AWK326459:AWL326524 AMO326459:AMP326524 ACS326459:ACT326524 SW326459:SX326524 JA326459:JB326524 E326459:F326524 WVM260923:WVN260988 WLQ260923:WLR260988 WBU260923:WBV260988 VRY260923:VRZ260988 VIC260923:VID260988 UYG260923:UYH260988 UOK260923:UOL260988 UEO260923:UEP260988 TUS260923:TUT260988 TKW260923:TKX260988 TBA260923:TBB260988 SRE260923:SRF260988 SHI260923:SHJ260988 RXM260923:RXN260988 RNQ260923:RNR260988 RDU260923:RDV260988 QTY260923:QTZ260988 QKC260923:QKD260988 QAG260923:QAH260988 PQK260923:PQL260988 PGO260923:PGP260988 OWS260923:OWT260988 OMW260923:OMX260988 ODA260923:ODB260988 NTE260923:NTF260988 NJI260923:NJJ260988 MZM260923:MZN260988 MPQ260923:MPR260988 MFU260923:MFV260988 LVY260923:LVZ260988 LMC260923:LMD260988 LCG260923:LCH260988 KSK260923:KSL260988 KIO260923:KIP260988 JYS260923:JYT260988 JOW260923:JOX260988 JFA260923:JFB260988 IVE260923:IVF260988 ILI260923:ILJ260988 IBM260923:IBN260988 HRQ260923:HRR260988 HHU260923:HHV260988 GXY260923:GXZ260988 GOC260923:GOD260988 GEG260923:GEH260988 FUK260923:FUL260988 FKO260923:FKP260988 FAS260923:FAT260988 EQW260923:EQX260988 EHA260923:EHB260988 DXE260923:DXF260988 DNI260923:DNJ260988 DDM260923:DDN260988 CTQ260923:CTR260988 CJU260923:CJV260988 BZY260923:BZZ260988 BQC260923:BQD260988 BGG260923:BGH260988 AWK260923:AWL260988 AMO260923:AMP260988 ACS260923:ACT260988 SW260923:SX260988 JA260923:JB260988 E260923:F260988 WVM195387:WVN195452 WLQ195387:WLR195452 WBU195387:WBV195452 VRY195387:VRZ195452 VIC195387:VID195452 UYG195387:UYH195452 UOK195387:UOL195452 UEO195387:UEP195452 TUS195387:TUT195452 TKW195387:TKX195452 TBA195387:TBB195452 SRE195387:SRF195452 SHI195387:SHJ195452 RXM195387:RXN195452 RNQ195387:RNR195452 RDU195387:RDV195452 QTY195387:QTZ195452 QKC195387:QKD195452 QAG195387:QAH195452 PQK195387:PQL195452 PGO195387:PGP195452 OWS195387:OWT195452 OMW195387:OMX195452 ODA195387:ODB195452 NTE195387:NTF195452 NJI195387:NJJ195452 MZM195387:MZN195452 MPQ195387:MPR195452 MFU195387:MFV195452 LVY195387:LVZ195452 LMC195387:LMD195452 LCG195387:LCH195452 KSK195387:KSL195452 KIO195387:KIP195452 JYS195387:JYT195452 JOW195387:JOX195452 JFA195387:JFB195452 IVE195387:IVF195452 ILI195387:ILJ195452 IBM195387:IBN195452 HRQ195387:HRR195452 HHU195387:HHV195452 GXY195387:GXZ195452 GOC195387:GOD195452 GEG195387:GEH195452 FUK195387:FUL195452 FKO195387:FKP195452 FAS195387:FAT195452 EQW195387:EQX195452 EHA195387:EHB195452 DXE195387:DXF195452 DNI195387:DNJ195452 DDM195387:DDN195452 CTQ195387:CTR195452 CJU195387:CJV195452 BZY195387:BZZ195452 BQC195387:BQD195452 BGG195387:BGH195452 AWK195387:AWL195452 AMO195387:AMP195452 ACS195387:ACT195452 SW195387:SX195452 JA195387:JB195452 E195387:F195452 WVM129851:WVN129916 WLQ129851:WLR129916 WBU129851:WBV129916 VRY129851:VRZ129916 VIC129851:VID129916 UYG129851:UYH129916 UOK129851:UOL129916 UEO129851:UEP129916 TUS129851:TUT129916 TKW129851:TKX129916 TBA129851:TBB129916 SRE129851:SRF129916 SHI129851:SHJ129916 RXM129851:RXN129916 RNQ129851:RNR129916 RDU129851:RDV129916 QTY129851:QTZ129916 QKC129851:QKD129916 QAG129851:QAH129916 PQK129851:PQL129916 PGO129851:PGP129916 OWS129851:OWT129916 OMW129851:OMX129916 ODA129851:ODB129916 NTE129851:NTF129916 NJI129851:NJJ129916 MZM129851:MZN129916 MPQ129851:MPR129916 MFU129851:MFV129916 LVY129851:LVZ129916 LMC129851:LMD129916 LCG129851:LCH129916 KSK129851:KSL129916 KIO129851:KIP129916 JYS129851:JYT129916 JOW129851:JOX129916 JFA129851:JFB129916 IVE129851:IVF129916 ILI129851:ILJ129916 IBM129851:IBN129916 HRQ129851:HRR129916 HHU129851:HHV129916 GXY129851:GXZ129916 GOC129851:GOD129916 GEG129851:GEH129916 FUK129851:FUL129916 FKO129851:FKP129916 FAS129851:FAT129916 EQW129851:EQX129916 EHA129851:EHB129916 DXE129851:DXF129916 DNI129851:DNJ129916 DDM129851:DDN129916 CTQ129851:CTR129916 CJU129851:CJV129916 BZY129851:BZZ129916 BQC129851:BQD129916 BGG129851:BGH129916 AWK129851:AWL129916 AMO129851:AMP129916 ACS129851:ACT129916 SW129851:SX129916 JA129851:JB129916 E129851:F129916 WVM64315:WVN64380 WLQ64315:WLR64380 WBU64315:WBV64380 VRY64315:VRZ64380 VIC64315:VID64380 UYG64315:UYH64380 UOK64315:UOL64380 UEO64315:UEP64380 TUS64315:TUT64380 TKW64315:TKX64380 TBA64315:TBB64380 SRE64315:SRF64380 SHI64315:SHJ64380 RXM64315:RXN64380 RNQ64315:RNR64380 RDU64315:RDV64380 QTY64315:QTZ64380 QKC64315:QKD64380 QAG64315:QAH64380 PQK64315:PQL64380 PGO64315:PGP64380 OWS64315:OWT64380 OMW64315:OMX64380 ODA64315:ODB64380 NTE64315:NTF64380 NJI64315:NJJ64380 MZM64315:MZN64380 MPQ64315:MPR64380 MFU64315:MFV64380 LVY64315:LVZ64380 LMC64315:LMD64380 LCG64315:LCH64380 KSK64315:KSL64380 KIO64315:KIP64380 JYS64315:JYT64380 JOW64315:JOX64380 JFA64315:JFB64380 IVE64315:IVF64380 ILI64315:ILJ64380 IBM64315:IBN64380 HRQ64315:HRR64380 HHU64315:HHV64380 GXY64315:GXZ64380 GOC64315:GOD64380 GEG64315:GEH64380 FUK64315:FUL64380 FKO64315:FKP64380 FAS64315:FAT64380 EQW64315:EQX64380 EHA64315:EHB64380 DXE64315:DXF64380 DNI64315:DNJ64380 DDM64315:DDN64380 CTQ64315:CTR64380 CJU64315:CJV64380 BZY64315:BZZ64380 BQC64315:BQD64380 BGG64315:BGH64380 AWK64315:AWL64380 AMO64315:AMP64380 ACS64315:ACT64380 SW64315:SX64380 WLQ2:WLR43 WVM2:WVN43 JA2:JB43 SW2:SX43 ACS2:ACT43 AMO2:AMP43 AWK2:AWL43 BGG2:BGH43 BQC2:BQD43 BZY2:BZZ43 CJU2:CJV43 CTQ2:CTR43 DDM2:DDN43 DNI2:DNJ43 DXE2:DXF43 EHA2:EHB43 EQW2:EQX43 FAS2:FAT43 FKO2:FKP43 FUK2:FUL43 GEG2:GEH43 GOC2:GOD43 GXY2:GXZ43 HHU2:HHV43 HRQ2:HRR43 IBM2:IBN43 ILI2:ILJ43 IVE2:IVF43 JFA2:JFB43 JOW2:JOX43 JYS2:JYT43 KIO2:KIP43 KSK2:KSL43 LCG2:LCH43 LMC2:LMD43 LVY2:LVZ43 MFU2:MFV43 MPQ2:MPR43 MZM2:MZN43 NJI2:NJJ43 NTE2:NTF43 ODA2:ODB43 OMW2:OMX43 OWS2:OWT43 PGO2:PGP43 PQK2:PQL43 QAG2:QAH43 QKC2:QKD43 QTY2:QTZ43 RDU2:RDV43 RNQ2:RNR43 RXM2:RXN43 SHI2:SHJ43 SRE2:SRF43 TBA2:TBB43 TKW2:TKX43 TUS2:TUT43 UEO2:UEP43 UOK2:UOL43 UYG2:UYH43 VIC2:VID43 VRY2:VRZ43 WBU2:WBV43" xr:uid="{64FBB53A-820E-4AA9-8272-5C44B7D5CE4F}">
      <formula1>#REF!</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18C12-79E8-41F7-99B3-9C86910642FC}">
  <dimension ref="A1:BA443"/>
  <sheetViews>
    <sheetView zoomScale="70" zoomScaleNormal="70" zoomScaleSheetLayoutView="100" workbookViewId="0">
      <selection activeCell="K55" sqref="K55"/>
    </sheetView>
  </sheetViews>
  <sheetFormatPr defaultRowHeight="13.5" x14ac:dyDescent="0.15"/>
  <cols>
    <col min="1" max="3" width="9" style="53"/>
    <col min="4" max="4" width="10.5" style="53" bestFit="1" customWidth="1"/>
    <col min="5" max="16" width="9" style="53"/>
    <col min="17" max="17" width="9" style="16"/>
    <col min="18" max="19" width="9" style="53"/>
    <col min="20" max="20" width="9" style="16"/>
    <col min="21" max="21" width="10.5" style="53" bestFit="1" customWidth="1"/>
    <col min="22" max="22" width="9" style="16"/>
    <col min="23" max="32" width="9" style="53"/>
    <col min="33" max="33" width="16.875" style="53" bestFit="1" customWidth="1"/>
    <col min="34" max="34" width="15.625" style="53" customWidth="1"/>
    <col min="35" max="39" width="9" style="128"/>
    <col min="40" max="16384" width="9" style="53"/>
  </cols>
  <sheetData>
    <row r="1" spans="1:53" ht="45" x14ac:dyDescent="0.15">
      <c r="A1" s="44" t="s">
        <v>0</v>
      </c>
      <c r="B1" s="55" t="s">
        <v>1</v>
      </c>
      <c r="C1" s="55" t="s">
        <v>2</v>
      </c>
      <c r="D1" s="56" t="s">
        <v>3</v>
      </c>
      <c r="E1" s="45" t="s">
        <v>4</v>
      </c>
      <c r="F1" s="45" t="s">
        <v>348</v>
      </c>
      <c r="G1" s="45" t="s">
        <v>6</v>
      </c>
      <c r="H1" s="45" t="s">
        <v>7</v>
      </c>
      <c r="I1" s="45" t="s">
        <v>8</v>
      </c>
      <c r="J1" s="45" t="s">
        <v>9</v>
      </c>
      <c r="K1" s="143" t="s">
        <v>10</v>
      </c>
      <c r="L1" s="56" t="s">
        <v>11</v>
      </c>
      <c r="M1" s="56" t="s">
        <v>12</v>
      </c>
      <c r="N1" s="56" t="s">
        <v>13</v>
      </c>
      <c r="O1" s="56" t="s">
        <v>14</v>
      </c>
      <c r="P1" s="56" t="s">
        <v>15</v>
      </c>
      <c r="Q1" s="3" t="s">
        <v>16</v>
      </c>
      <c r="R1" s="56" t="s">
        <v>17</v>
      </c>
      <c r="S1" s="56" t="s">
        <v>18</v>
      </c>
      <c r="T1" s="3" t="s">
        <v>19</v>
      </c>
      <c r="U1" s="58" t="s">
        <v>108</v>
      </c>
      <c r="V1" s="5" t="s">
        <v>20</v>
      </c>
      <c r="W1" s="56" t="s">
        <v>21</v>
      </c>
      <c r="X1" s="45" t="s">
        <v>22</v>
      </c>
      <c r="Y1" s="45" t="s">
        <v>23</v>
      </c>
      <c r="Z1" s="45" t="s">
        <v>24</v>
      </c>
      <c r="AA1" s="46" t="s">
        <v>25</v>
      </c>
      <c r="AB1" s="80" t="s">
        <v>26</v>
      </c>
      <c r="AE1" s="60" t="s">
        <v>0</v>
      </c>
      <c r="AF1" s="61"/>
      <c r="AG1" s="60" t="s">
        <v>4</v>
      </c>
      <c r="AH1" s="60" t="s">
        <v>5</v>
      </c>
      <c r="AI1" s="144"/>
      <c r="AJ1" s="145" t="s">
        <v>6</v>
      </c>
      <c r="AK1" s="144"/>
      <c r="AL1" s="146" t="s">
        <v>7</v>
      </c>
      <c r="AM1" s="144"/>
      <c r="AN1" s="10" t="s">
        <v>8</v>
      </c>
      <c r="AO1" s="61"/>
      <c r="AP1" s="10" t="s">
        <v>27</v>
      </c>
      <c r="AQ1" s="61"/>
      <c r="AR1" s="10" t="s">
        <v>10</v>
      </c>
      <c r="AS1" s="61"/>
      <c r="AT1" s="11" t="s">
        <v>28</v>
      </c>
      <c r="AU1" s="61"/>
      <c r="AV1" s="10" t="s">
        <v>29</v>
      </c>
      <c r="AX1" s="12" t="s">
        <v>30</v>
      </c>
      <c r="AY1" s="13" t="s">
        <v>31</v>
      </c>
      <c r="AZ1" s="13" t="s">
        <v>32</v>
      </c>
      <c r="BA1" s="14" t="s">
        <v>33</v>
      </c>
    </row>
    <row r="2" spans="1:53" x14ac:dyDescent="0.15">
      <c r="A2" s="147" t="s">
        <v>34</v>
      </c>
      <c r="B2" s="147" t="s">
        <v>304</v>
      </c>
      <c r="C2" s="147">
        <v>2019</v>
      </c>
      <c r="D2" s="148" t="s">
        <v>349</v>
      </c>
      <c r="E2" s="147" t="s">
        <v>350</v>
      </c>
      <c r="F2" s="147" t="s">
        <v>351</v>
      </c>
      <c r="G2" s="149" t="s">
        <v>36</v>
      </c>
      <c r="H2" s="150" t="s">
        <v>127</v>
      </c>
      <c r="I2" s="128" t="s">
        <v>159</v>
      </c>
      <c r="J2" s="151" t="s">
        <v>80</v>
      </c>
      <c r="K2" s="128" t="s">
        <v>63</v>
      </c>
      <c r="L2" s="152">
        <v>1</v>
      </c>
      <c r="M2" s="153"/>
      <c r="N2" s="153">
        <v>1</v>
      </c>
      <c r="O2" s="153">
        <v>1.3</v>
      </c>
      <c r="P2" s="153">
        <v>1.2</v>
      </c>
      <c r="Q2" s="154">
        <f>IF(OR(O2="",P2=""),"",AVERAGE(O2,P2))</f>
        <v>1.25</v>
      </c>
      <c r="R2" s="155">
        <v>11.2</v>
      </c>
      <c r="S2" s="150">
        <v>98</v>
      </c>
      <c r="T2" s="156">
        <f t="shared" ref="T2:T65" si="0">IF(H2="","",IF(OR(H2="GREEN",H2="GK"),IF(S2&gt;=$AX$2,VLOOKUP(S2,$AX$2:$AY$7,2,1),""),IF(S2&gt;=$AZ$2,VLOOKUP(S2,$AZ$2:$BA$7,2,1),"")))</f>
        <v>36</v>
      </c>
      <c r="U2" s="128">
        <v>88</v>
      </c>
      <c r="V2" s="156">
        <f>IF(OR(N2="",U2="",T2=""),"",U2/N2*T2)</f>
        <v>3168</v>
      </c>
      <c r="W2" s="157">
        <v>1</v>
      </c>
      <c r="X2" s="158" t="s">
        <v>39</v>
      </c>
      <c r="Y2" s="158" t="s">
        <v>84</v>
      </c>
      <c r="Z2" s="158" t="s">
        <v>40</v>
      </c>
      <c r="AA2" s="158" t="s">
        <v>50</v>
      </c>
      <c r="AB2" s="53" t="s">
        <v>301</v>
      </c>
      <c r="AE2" s="64" t="s">
        <v>35</v>
      </c>
      <c r="AG2" s="67" t="s">
        <v>350</v>
      </c>
      <c r="AH2" s="67" t="s">
        <v>351</v>
      </c>
      <c r="AJ2" s="131" t="s">
        <v>36</v>
      </c>
      <c r="AL2" s="67" t="s">
        <v>127</v>
      </c>
      <c r="AN2" s="67" t="s">
        <v>37</v>
      </c>
      <c r="AP2" s="67" t="s">
        <v>38</v>
      </c>
      <c r="AR2" s="67" t="s">
        <v>120</v>
      </c>
      <c r="AT2" s="67" t="s">
        <v>39</v>
      </c>
      <c r="AV2" s="67" t="s">
        <v>40</v>
      </c>
      <c r="AX2" s="68">
        <v>1</v>
      </c>
      <c r="AY2" s="69">
        <v>50</v>
      </c>
      <c r="AZ2" s="69">
        <v>1</v>
      </c>
      <c r="BA2" s="70">
        <v>50</v>
      </c>
    </row>
    <row r="3" spans="1:53" x14ac:dyDescent="0.15">
      <c r="A3" s="159" t="s">
        <v>34</v>
      </c>
      <c r="B3" s="159" t="s">
        <v>157</v>
      </c>
      <c r="C3" s="160">
        <v>2019</v>
      </c>
      <c r="D3" s="161" t="s">
        <v>352</v>
      </c>
      <c r="E3" s="159" t="s">
        <v>350</v>
      </c>
      <c r="F3" s="159" t="s">
        <v>351</v>
      </c>
      <c r="G3" s="162" t="s">
        <v>36</v>
      </c>
      <c r="H3" s="128" t="s">
        <v>127</v>
      </c>
      <c r="I3" s="128" t="s">
        <v>159</v>
      </c>
      <c r="J3" s="128" t="s">
        <v>80</v>
      </c>
      <c r="K3" s="128" t="s">
        <v>63</v>
      </c>
      <c r="L3" s="53">
        <v>2</v>
      </c>
      <c r="N3" s="53">
        <v>1</v>
      </c>
      <c r="O3" s="53">
        <v>1.1499999999999999</v>
      </c>
      <c r="P3" s="34">
        <v>0.95</v>
      </c>
      <c r="Q3" s="163">
        <f t="shared" ref="Q3:Q43" si="1">IF(OR(O3="",P3=""),"",AVERAGE(O3,P3))</f>
        <v>1.0499999999999998</v>
      </c>
      <c r="R3" s="164">
        <v>12.2</v>
      </c>
      <c r="S3" s="164">
        <v>99</v>
      </c>
      <c r="T3" s="16">
        <f t="shared" si="0"/>
        <v>33</v>
      </c>
      <c r="U3" s="165">
        <v>88</v>
      </c>
      <c r="V3" s="38">
        <f t="shared" ref="V3:V31" si="2">IF(OR(N3="",U3="",T3=""),"",U3/N3*T3)</f>
        <v>2904</v>
      </c>
      <c r="W3" s="166">
        <v>1</v>
      </c>
      <c r="X3" s="167" t="s">
        <v>39</v>
      </c>
      <c r="Y3" s="167" t="s">
        <v>84</v>
      </c>
      <c r="Z3" s="167" t="s">
        <v>40</v>
      </c>
      <c r="AA3" s="158" t="s">
        <v>50</v>
      </c>
      <c r="AB3" s="53" t="s">
        <v>158</v>
      </c>
      <c r="AE3" s="22" t="s">
        <v>41</v>
      </c>
      <c r="AG3" s="67" t="s">
        <v>353</v>
      </c>
      <c r="AH3" s="67" t="s">
        <v>354</v>
      </c>
      <c r="AJ3" s="168" t="s">
        <v>42</v>
      </c>
      <c r="AL3" s="23" t="s">
        <v>128</v>
      </c>
      <c r="AN3" s="23" t="s">
        <v>43</v>
      </c>
      <c r="AP3" s="23" t="s">
        <v>44</v>
      </c>
      <c r="AR3" s="23" t="s">
        <v>45</v>
      </c>
      <c r="AT3" s="23" t="s">
        <v>46</v>
      </c>
      <c r="AV3" s="23" t="s">
        <v>47</v>
      </c>
      <c r="AX3" s="24">
        <v>72</v>
      </c>
      <c r="AY3" s="25">
        <v>46</v>
      </c>
      <c r="AZ3" s="25">
        <v>71</v>
      </c>
      <c r="BA3" s="26">
        <v>42</v>
      </c>
    </row>
    <row r="4" spans="1:53" x14ac:dyDescent="0.15">
      <c r="A4" s="159" t="s">
        <v>34</v>
      </c>
      <c r="B4" s="159" t="s">
        <v>157</v>
      </c>
      <c r="C4" s="159">
        <v>2019</v>
      </c>
      <c r="D4" s="161" t="s">
        <v>352</v>
      </c>
      <c r="E4" s="159" t="s">
        <v>350</v>
      </c>
      <c r="F4" s="159" t="s">
        <v>351</v>
      </c>
      <c r="G4" s="162" t="s">
        <v>36</v>
      </c>
      <c r="H4" s="128" t="s">
        <v>127</v>
      </c>
      <c r="I4" s="128" t="s">
        <v>159</v>
      </c>
      <c r="J4" s="128" t="s">
        <v>80</v>
      </c>
      <c r="K4" s="128" t="s">
        <v>63</v>
      </c>
      <c r="L4" s="53">
        <v>3</v>
      </c>
      <c r="N4" s="53">
        <v>1</v>
      </c>
      <c r="O4" s="53">
        <v>1</v>
      </c>
      <c r="P4" s="34">
        <v>1.1000000000000001</v>
      </c>
      <c r="Q4" s="76">
        <f t="shared" si="1"/>
        <v>1.05</v>
      </c>
      <c r="R4" s="169">
        <v>11.5</v>
      </c>
      <c r="S4" s="169">
        <v>102</v>
      </c>
      <c r="T4" s="16">
        <f t="shared" si="0"/>
        <v>33</v>
      </c>
      <c r="U4" s="170">
        <v>88</v>
      </c>
      <c r="V4" s="38">
        <f t="shared" si="2"/>
        <v>2904</v>
      </c>
      <c r="W4" s="166">
        <v>1</v>
      </c>
      <c r="X4" s="167" t="s">
        <v>39</v>
      </c>
      <c r="Y4" s="167" t="s">
        <v>84</v>
      </c>
      <c r="Z4" s="167" t="s">
        <v>40</v>
      </c>
      <c r="AA4" s="158" t="s">
        <v>50</v>
      </c>
      <c r="AB4" s="53" t="s">
        <v>158</v>
      </c>
      <c r="AE4" s="22" t="s">
        <v>34</v>
      </c>
      <c r="AG4" s="67" t="s">
        <v>355</v>
      </c>
      <c r="AH4" s="67" t="s">
        <v>354</v>
      </c>
      <c r="AJ4" s="171" t="s">
        <v>48</v>
      </c>
      <c r="AL4" s="27" t="s">
        <v>129</v>
      </c>
      <c r="AN4" s="28" t="s">
        <v>49</v>
      </c>
      <c r="AP4" s="23" t="s">
        <v>93</v>
      </c>
      <c r="AR4" s="23" t="s">
        <v>121</v>
      </c>
      <c r="AT4" s="28"/>
      <c r="AV4" s="23" t="s">
        <v>50</v>
      </c>
      <c r="AX4" s="24">
        <v>75</v>
      </c>
      <c r="AY4" s="25">
        <v>42</v>
      </c>
      <c r="AZ4" s="25">
        <v>76</v>
      </c>
      <c r="BA4" s="26">
        <v>39</v>
      </c>
    </row>
    <row r="5" spans="1:53" x14ac:dyDescent="0.15">
      <c r="A5" s="159" t="s">
        <v>34</v>
      </c>
      <c r="B5" s="159" t="s">
        <v>157</v>
      </c>
      <c r="C5" s="160">
        <v>2019</v>
      </c>
      <c r="D5" s="161" t="s">
        <v>352</v>
      </c>
      <c r="E5" s="159" t="s">
        <v>353</v>
      </c>
      <c r="F5" s="159" t="s">
        <v>354</v>
      </c>
      <c r="G5" s="162" t="s">
        <v>36</v>
      </c>
      <c r="H5" s="128" t="s">
        <v>163</v>
      </c>
      <c r="I5" s="128" t="s">
        <v>159</v>
      </c>
      <c r="J5" s="128" t="s">
        <v>38</v>
      </c>
      <c r="K5" s="128" t="s">
        <v>160</v>
      </c>
      <c r="L5" s="53">
        <v>1</v>
      </c>
      <c r="N5" s="53">
        <v>5</v>
      </c>
      <c r="O5" s="53">
        <v>0.85</v>
      </c>
      <c r="P5" s="53">
        <v>0.75</v>
      </c>
      <c r="Q5" s="76">
        <f t="shared" si="1"/>
        <v>0.8</v>
      </c>
      <c r="R5" s="169">
        <v>14.8</v>
      </c>
      <c r="S5" s="169">
        <v>98</v>
      </c>
      <c r="T5" s="16">
        <f t="shared" si="0"/>
        <v>36</v>
      </c>
      <c r="U5" s="170">
        <v>398</v>
      </c>
      <c r="V5" s="38">
        <f t="shared" si="2"/>
        <v>2865.6</v>
      </c>
      <c r="W5" s="166">
        <v>2</v>
      </c>
      <c r="X5" s="167" t="s">
        <v>46</v>
      </c>
      <c r="Y5" s="167" t="s">
        <v>84</v>
      </c>
      <c r="Z5" s="167" t="s">
        <v>40</v>
      </c>
      <c r="AA5" s="158" t="s">
        <v>90</v>
      </c>
      <c r="AB5" s="53" t="s">
        <v>158</v>
      </c>
      <c r="AE5" s="22" t="s">
        <v>51</v>
      </c>
      <c r="AG5" s="67" t="s">
        <v>350</v>
      </c>
      <c r="AH5" s="67" t="s">
        <v>356</v>
      </c>
      <c r="AJ5" s="172"/>
      <c r="AL5" s="73" t="s">
        <v>66</v>
      </c>
      <c r="AN5" s="73" t="s">
        <v>52</v>
      </c>
      <c r="AP5" s="23" t="s">
        <v>119</v>
      </c>
      <c r="AR5" s="23" t="s">
        <v>54</v>
      </c>
      <c r="AV5" s="23" t="s">
        <v>55</v>
      </c>
      <c r="AX5" s="24">
        <v>84</v>
      </c>
      <c r="AY5" s="25">
        <v>39</v>
      </c>
      <c r="AZ5" s="25">
        <v>84</v>
      </c>
      <c r="BA5" s="26">
        <v>36</v>
      </c>
    </row>
    <row r="6" spans="1:53" x14ac:dyDescent="0.15">
      <c r="A6" s="159" t="s">
        <v>34</v>
      </c>
      <c r="B6" s="159" t="s">
        <v>157</v>
      </c>
      <c r="C6" s="159">
        <v>2019</v>
      </c>
      <c r="D6" s="161" t="s">
        <v>352</v>
      </c>
      <c r="E6" s="159" t="s">
        <v>353</v>
      </c>
      <c r="F6" s="159" t="s">
        <v>354</v>
      </c>
      <c r="G6" s="162" t="s">
        <v>36</v>
      </c>
      <c r="H6" s="128" t="s">
        <v>163</v>
      </c>
      <c r="I6" s="128" t="s">
        <v>159</v>
      </c>
      <c r="J6" s="128" t="s">
        <v>38</v>
      </c>
      <c r="K6" s="128" t="s">
        <v>160</v>
      </c>
      <c r="L6" s="53">
        <v>2</v>
      </c>
      <c r="N6" s="53">
        <v>5</v>
      </c>
      <c r="O6" s="53">
        <v>0.6</v>
      </c>
      <c r="P6" s="53">
        <v>0.65</v>
      </c>
      <c r="Q6" s="76">
        <f t="shared" si="1"/>
        <v>0.625</v>
      </c>
      <c r="R6" s="169">
        <v>15</v>
      </c>
      <c r="S6" s="169">
        <v>107</v>
      </c>
      <c r="T6" s="16">
        <f t="shared" si="0"/>
        <v>33</v>
      </c>
      <c r="U6" s="170">
        <v>398</v>
      </c>
      <c r="V6" s="38">
        <f t="shared" si="2"/>
        <v>2626.7999999999997</v>
      </c>
      <c r="W6" s="166">
        <v>2</v>
      </c>
      <c r="X6" s="167" t="s">
        <v>46</v>
      </c>
      <c r="Y6" s="167" t="s">
        <v>84</v>
      </c>
      <c r="Z6" s="167" t="s">
        <v>40</v>
      </c>
      <c r="AA6" s="158" t="s">
        <v>90</v>
      </c>
      <c r="AB6" s="53" t="s">
        <v>158</v>
      </c>
      <c r="AE6" s="22" t="s">
        <v>56</v>
      </c>
      <c r="AG6" s="67" t="s">
        <v>214</v>
      </c>
      <c r="AH6" s="67" t="s">
        <v>357</v>
      </c>
      <c r="AL6" s="73" t="s">
        <v>99</v>
      </c>
      <c r="AN6" s="73" t="s">
        <v>57</v>
      </c>
      <c r="AP6" s="23" t="s">
        <v>53</v>
      </c>
      <c r="AR6" s="23" t="s">
        <v>59</v>
      </c>
      <c r="AV6" s="23" t="s">
        <v>60</v>
      </c>
      <c r="AX6" s="24">
        <v>97</v>
      </c>
      <c r="AY6" s="25">
        <v>36</v>
      </c>
      <c r="AZ6" s="25">
        <v>99</v>
      </c>
      <c r="BA6" s="26">
        <v>33</v>
      </c>
    </row>
    <row r="7" spans="1:53" x14ac:dyDescent="0.15">
      <c r="A7" s="159" t="s">
        <v>34</v>
      </c>
      <c r="B7" s="159" t="s">
        <v>157</v>
      </c>
      <c r="C7" s="160">
        <v>2019</v>
      </c>
      <c r="D7" s="161" t="s">
        <v>352</v>
      </c>
      <c r="E7" s="159" t="s">
        <v>353</v>
      </c>
      <c r="F7" s="159" t="s">
        <v>354</v>
      </c>
      <c r="G7" s="162" t="s">
        <v>36</v>
      </c>
      <c r="H7" s="128" t="s">
        <v>163</v>
      </c>
      <c r="I7" s="128" t="s">
        <v>159</v>
      </c>
      <c r="J7" s="128" t="s">
        <v>38</v>
      </c>
      <c r="K7" s="128" t="s">
        <v>160</v>
      </c>
      <c r="L7" s="53">
        <v>3</v>
      </c>
      <c r="N7" s="53">
        <v>5</v>
      </c>
      <c r="O7" s="53">
        <v>0.75</v>
      </c>
      <c r="P7" s="53">
        <v>0.7</v>
      </c>
      <c r="Q7" s="76">
        <f t="shared" si="1"/>
        <v>0.72499999999999998</v>
      </c>
      <c r="R7" s="169">
        <v>14.6</v>
      </c>
      <c r="S7" s="169">
        <v>100</v>
      </c>
      <c r="T7" s="16">
        <f t="shared" si="0"/>
        <v>33</v>
      </c>
      <c r="U7" s="170">
        <v>398</v>
      </c>
      <c r="V7" s="38">
        <f t="shared" si="2"/>
        <v>2626.7999999999997</v>
      </c>
      <c r="W7" s="166">
        <v>2</v>
      </c>
      <c r="X7" s="167" t="s">
        <v>46</v>
      </c>
      <c r="Y7" s="167" t="s">
        <v>84</v>
      </c>
      <c r="Z7" s="167" t="s">
        <v>40</v>
      </c>
      <c r="AA7" s="158" t="s">
        <v>90</v>
      </c>
      <c r="AB7" s="53" t="s">
        <v>158</v>
      </c>
      <c r="AE7" s="22" t="s">
        <v>61</v>
      </c>
      <c r="AG7" s="67" t="s">
        <v>358</v>
      </c>
      <c r="AH7" s="67" t="s">
        <v>357</v>
      </c>
      <c r="AL7" s="34" t="s">
        <v>109</v>
      </c>
      <c r="AP7" s="23" t="s">
        <v>58</v>
      </c>
      <c r="AR7" s="23" t="s">
        <v>122</v>
      </c>
      <c r="AV7" s="23" t="s">
        <v>64</v>
      </c>
      <c r="AX7" s="24">
        <v>109</v>
      </c>
      <c r="AY7" s="25">
        <v>33</v>
      </c>
      <c r="AZ7" s="25">
        <v>113</v>
      </c>
      <c r="BA7" s="26">
        <v>30</v>
      </c>
    </row>
    <row r="8" spans="1:53" x14ac:dyDescent="0.15">
      <c r="A8" s="159" t="s">
        <v>34</v>
      </c>
      <c r="B8" s="159" t="s">
        <v>157</v>
      </c>
      <c r="C8" s="159">
        <v>2019</v>
      </c>
      <c r="D8" s="161" t="s">
        <v>352</v>
      </c>
      <c r="E8" s="160" t="s">
        <v>355</v>
      </c>
      <c r="F8" s="159" t="s">
        <v>354</v>
      </c>
      <c r="G8" s="162" t="s">
        <v>36</v>
      </c>
      <c r="H8" s="128" t="s">
        <v>163</v>
      </c>
      <c r="I8" s="128" t="s">
        <v>159</v>
      </c>
      <c r="J8" s="128" t="s">
        <v>38</v>
      </c>
      <c r="K8" s="128" t="s">
        <v>160</v>
      </c>
      <c r="L8" s="53">
        <v>1</v>
      </c>
      <c r="N8" s="53">
        <v>1</v>
      </c>
      <c r="O8" s="53">
        <v>0.7</v>
      </c>
      <c r="P8" s="53">
        <v>0.65</v>
      </c>
      <c r="Q8" s="76">
        <f t="shared" si="1"/>
        <v>0.67500000000000004</v>
      </c>
      <c r="R8" s="169">
        <v>15.3</v>
      </c>
      <c r="S8" s="169">
        <v>94</v>
      </c>
      <c r="T8" s="16">
        <f t="shared" si="0"/>
        <v>36</v>
      </c>
      <c r="U8" s="165">
        <v>98</v>
      </c>
      <c r="V8" s="38">
        <f t="shared" si="2"/>
        <v>3528</v>
      </c>
      <c r="W8" s="166">
        <v>1</v>
      </c>
      <c r="X8" s="167" t="s">
        <v>39</v>
      </c>
      <c r="Y8" s="173" t="s">
        <v>40</v>
      </c>
      <c r="Z8" s="167" t="s">
        <v>69</v>
      </c>
      <c r="AA8" s="158" t="s">
        <v>84</v>
      </c>
      <c r="AB8" s="53" t="s">
        <v>158</v>
      </c>
      <c r="AE8" s="22" t="s">
        <v>59</v>
      </c>
      <c r="AG8" s="67" t="s">
        <v>214</v>
      </c>
      <c r="AH8" s="67" t="s">
        <v>359</v>
      </c>
      <c r="AL8" s="34" t="s">
        <v>134</v>
      </c>
      <c r="AP8" s="23" t="s">
        <v>62</v>
      </c>
      <c r="AR8" s="23" t="s">
        <v>81</v>
      </c>
      <c r="AV8" s="23" t="s">
        <v>97</v>
      </c>
      <c r="AX8" s="24">
        <v>151</v>
      </c>
      <c r="AY8" s="25">
        <v>22</v>
      </c>
      <c r="AZ8" s="25">
        <v>152</v>
      </c>
      <c r="BA8" s="26">
        <v>18</v>
      </c>
    </row>
    <row r="9" spans="1:53" x14ac:dyDescent="0.15">
      <c r="A9" s="159" t="s">
        <v>34</v>
      </c>
      <c r="B9" s="159" t="s">
        <v>157</v>
      </c>
      <c r="C9" s="160">
        <v>2019</v>
      </c>
      <c r="D9" s="161" t="s">
        <v>352</v>
      </c>
      <c r="E9" s="160" t="s">
        <v>355</v>
      </c>
      <c r="F9" s="159" t="s">
        <v>354</v>
      </c>
      <c r="G9" s="162" t="s">
        <v>36</v>
      </c>
      <c r="H9" s="128" t="s">
        <v>163</v>
      </c>
      <c r="I9" s="128" t="s">
        <v>159</v>
      </c>
      <c r="J9" s="128" t="s">
        <v>38</v>
      </c>
      <c r="K9" s="128" t="s">
        <v>160</v>
      </c>
      <c r="L9" s="53">
        <v>2</v>
      </c>
      <c r="N9" s="53">
        <v>1</v>
      </c>
      <c r="O9" s="53">
        <v>0.6</v>
      </c>
      <c r="P9" s="53">
        <v>0.7</v>
      </c>
      <c r="Q9" s="76">
        <f t="shared" si="1"/>
        <v>0.64999999999999991</v>
      </c>
      <c r="R9" s="169">
        <v>14.4</v>
      </c>
      <c r="S9" s="169">
        <v>101</v>
      </c>
      <c r="T9" s="16">
        <f t="shared" si="0"/>
        <v>33</v>
      </c>
      <c r="U9" s="165">
        <v>98</v>
      </c>
      <c r="V9" s="38">
        <f t="shared" si="2"/>
        <v>3234</v>
      </c>
      <c r="W9" s="166">
        <v>1</v>
      </c>
      <c r="X9" s="167" t="s">
        <v>39</v>
      </c>
      <c r="Y9" s="173" t="s">
        <v>40</v>
      </c>
      <c r="Z9" s="167" t="s">
        <v>69</v>
      </c>
      <c r="AA9" s="158" t="s">
        <v>84</v>
      </c>
      <c r="AB9" s="53" t="s">
        <v>158</v>
      </c>
      <c r="AE9" s="22" t="s">
        <v>98</v>
      </c>
      <c r="AG9" s="67" t="s">
        <v>139</v>
      </c>
      <c r="AH9" s="67" t="s">
        <v>359</v>
      </c>
      <c r="AL9" s="73"/>
      <c r="AP9" s="23" t="s">
        <v>95</v>
      </c>
      <c r="AR9" s="23" t="s">
        <v>89</v>
      </c>
      <c r="AV9" s="23" t="s">
        <v>102</v>
      </c>
      <c r="AX9" s="31">
        <v>180</v>
      </c>
      <c r="AY9" s="32">
        <v>18</v>
      </c>
      <c r="AZ9" s="32">
        <v>181</v>
      </c>
      <c r="BA9" s="33">
        <v>16</v>
      </c>
    </row>
    <row r="10" spans="1:53" x14ac:dyDescent="0.15">
      <c r="A10" s="159" t="s">
        <v>34</v>
      </c>
      <c r="B10" s="159" t="s">
        <v>157</v>
      </c>
      <c r="C10" s="159">
        <v>2019</v>
      </c>
      <c r="D10" s="161" t="s">
        <v>352</v>
      </c>
      <c r="E10" s="160" t="s">
        <v>355</v>
      </c>
      <c r="F10" s="159" t="s">
        <v>354</v>
      </c>
      <c r="G10" s="162" t="s">
        <v>36</v>
      </c>
      <c r="H10" s="128" t="s">
        <v>163</v>
      </c>
      <c r="I10" s="128" t="s">
        <v>159</v>
      </c>
      <c r="J10" s="128" t="s">
        <v>38</v>
      </c>
      <c r="K10" s="128" t="s">
        <v>160</v>
      </c>
      <c r="L10" s="53">
        <v>3</v>
      </c>
      <c r="N10" s="53">
        <v>1</v>
      </c>
      <c r="O10" s="53">
        <v>0.65</v>
      </c>
      <c r="P10" s="53">
        <v>0.6</v>
      </c>
      <c r="Q10" s="76">
        <f t="shared" si="1"/>
        <v>0.625</v>
      </c>
      <c r="R10" s="169">
        <v>15.1</v>
      </c>
      <c r="S10" s="169">
        <v>99</v>
      </c>
      <c r="T10" s="16">
        <f t="shared" si="0"/>
        <v>33</v>
      </c>
      <c r="U10" s="165">
        <v>98</v>
      </c>
      <c r="V10" s="38">
        <f t="shared" si="2"/>
        <v>3234</v>
      </c>
      <c r="W10" s="166">
        <v>1</v>
      </c>
      <c r="X10" s="167" t="s">
        <v>39</v>
      </c>
      <c r="Y10" s="173" t="s">
        <v>40</v>
      </c>
      <c r="Z10" s="167" t="s">
        <v>69</v>
      </c>
      <c r="AA10" s="158" t="s">
        <v>84</v>
      </c>
      <c r="AB10" s="53" t="s">
        <v>158</v>
      </c>
      <c r="AE10" s="22" t="s">
        <v>103</v>
      </c>
      <c r="AG10" s="67" t="s">
        <v>133</v>
      </c>
      <c r="AH10" s="67" t="s">
        <v>360</v>
      </c>
      <c r="AL10" s="34"/>
      <c r="AP10" s="23" t="s">
        <v>100</v>
      </c>
      <c r="AR10" s="23" t="s">
        <v>123</v>
      </c>
      <c r="AV10" s="23" t="s">
        <v>106</v>
      </c>
    </row>
    <row r="11" spans="1:53" x14ac:dyDescent="0.15">
      <c r="A11" s="159" t="s">
        <v>34</v>
      </c>
      <c r="B11" s="159" t="s">
        <v>157</v>
      </c>
      <c r="C11" s="160">
        <v>2019</v>
      </c>
      <c r="D11" s="161" t="s">
        <v>352</v>
      </c>
      <c r="E11" s="160" t="s">
        <v>350</v>
      </c>
      <c r="F11" s="159" t="s">
        <v>356</v>
      </c>
      <c r="G11" s="162" t="s">
        <v>36</v>
      </c>
      <c r="H11" s="128" t="s">
        <v>127</v>
      </c>
      <c r="I11" s="128" t="s">
        <v>159</v>
      </c>
      <c r="J11" s="128" t="s">
        <v>80</v>
      </c>
      <c r="K11" s="128" t="s">
        <v>63</v>
      </c>
      <c r="L11" s="53">
        <v>1</v>
      </c>
      <c r="N11" s="53">
        <v>1</v>
      </c>
      <c r="O11" s="53">
        <v>1.25</v>
      </c>
      <c r="P11" s="53">
        <v>1.3</v>
      </c>
      <c r="Q11" s="76">
        <f t="shared" si="1"/>
        <v>1.2749999999999999</v>
      </c>
      <c r="R11" s="169">
        <v>12.4</v>
      </c>
      <c r="S11" s="169">
        <v>104</v>
      </c>
      <c r="T11" s="16">
        <f t="shared" si="0"/>
        <v>33</v>
      </c>
      <c r="U11" s="165">
        <v>88</v>
      </c>
      <c r="V11" s="38">
        <f t="shared" si="2"/>
        <v>2904</v>
      </c>
      <c r="W11" s="166">
        <v>2</v>
      </c>
      <c r="X11" s="167" t="s">
        <v>39</v>
      </c>
      <c r="Y11" s="173" t="s">
        <v>69</v>
      </c>
      <c r="Z11" s="167" t="s">
        <v>60</v>
      </c>
      <c r="AA11" s="173" t="s">
        <v>90</v>
      </c>
      <c r="AB11" s="53" t="s">
        <v>158</v>
      </c>
      <c r="AE11" s="22" t="s">
        <v>65</v>
      </c>
      <c r="AG11" s="23" t="s">
        <v>261</v>
      </c>
      <c r="AH11" s="23" t="s">
        <v>361</v>
      </c>
      <c r="AL11" s="34"/>
      <c r="AP11" s="23" t="s">
        <v>104</v>
      </c>
      <c r="AR11" s="23" t="s">
        <v>87</v>
      </c>
      <c r="AV11" s="23" t="s">
        <v>69</v>
      </c>
    </row>
    <row r="12" spans="1:53" x14ac:dyDescent="0.15">
      <c r="A12" s="159" t="s">
        <v>34</v>
      </c>
      <c r="B12" s="159" t="s">
        <v>157</v>
      </c>
      <c r="C12" s="159">
        <v>2019</v>
      </c>
      <c r="D12" s="161" t="s">
        <v>352</v>
      </c>
      <c r="E12" s="160" t="s">
        <v>350</v>
      </c>
      <c r="F12" s="159" t="s">
        <v>356</v>
      </c>
      <c r="G12" s="162" t="s">
        <v>36</v>
      </c>
      <c r="H12" s="128" t="s">
        <v>127</v>
      </c>
      <c r="I12" s="128" t="s">
        <v>159</v>
      </c>
      <c r="J12" s="128" t="s">
        <v>80</v>
      </c>
      <c r="K12" s="128" t="s">
        <v>63</v>
      </c>
      <c r="L12" s="53">
        <v>2</v>
      </c>
      <c r="N12" s="53">
        <v>1</v>
      </c>
      <c r="O12" s="53">
        <v>1.2</v>
      </c>
      <c r="P12" s="53">
        <v>1.1499999999999999</v>
      </c>
      <c r="Q12" s="76">
        <f t="shared" si="1"/>
        <v>1.1749999999999998</v>
      </c>
      <c r="R12" s="169">
        <v>11.1</v>
      </c>
      <c r="S12" s="169">
        <v>97</v>
      </c>
      <c r="T12" s="16">
        <f t="shared" si="0"/>
        <v>36</v>
      </c>
      <c r="U12" s="165">
        <v>88</v>
      </c>
      <c r="V12" s="38">
        <f t="shared" si="2"/>
        <v>3168</v>
      </c>
      <c r="W12" s="166">
        <v>2</v>
      </c>
      <c r="X12" s="167" t="s">
        <v>39</v>
      </c>
      <c r="Y12" s="173" t="s">
        <v>69</v>
      </c>
      <c r="Z12" s="167" t="s">
        <v>60</v>
      </c>
      <c r="AA12" s="173" t="s">
        <v>90</v>
      </c>
      <c r="AB12" s="53" t="s">
        <v>158</v>
      </c>
      <c r="AE12" s="22" t="s">
        <v>70</v>
      </c>
      <c r="AG12" s="23"/>
      <c r="AH12" s="23"/>
      <c r="AL12" s="34"/>
      <c r="AP12" s="23" t="s">
        <v>67</v>
      </c>
      <c r="AR12" s="23" t="s">
        <v>124</v>
      </c>
      <c r="AV12" s="23" t="s">
        <v>72</v>
      </c>
    </row>
    <row r="13" spans="1:53" x14ac:dyDescent="0.15">
      <c r="A13" s="159" t="s">
        <v>34</v>
      </c>
      <c r="B13" s="159" t="s">
        <v>157</v>
      </c>
      <c r="C13" s="160">
        <v>2019</v>
      </c>
      <c r="D13" s="161" t="s">
        <v>352</v>
      </c>
      <c r="E13" s="160" t="s">
        <v>350</v>
      </c>
      <c r="F13" s="159" t="s">
        <v>356</v>
      </c>
      <c r="G13" s="162" t="s">
        <v>36</v>
      </c>
      <c r="H13" s="128" t="s">
        <v>127</v>
      </c>
      <c r="I13" s="128" t="s">
        <v>159</v>
      </c>
      <c r="J13" s="128" t="s">
        <v>80</v>
      </c>
      <c r="K13" s="128" t="s">
        <v>63</v>
      </c>
      <c r="L13" s="53">
        <v>3</v>
      </c>
      <c r="N13" s="53">
        <v>1</v>
      </c>
      <c r="O13" s="53">
        <v>1.1499999999999999</v>
      </c>
      <c r="P13" s="53">
        <v>1</v>
      </c>
      <c r="Q13" s="76">
        <f t="shared" si="1"/>
        <v>1.075</v>
      </c>
      <c r="R13" s="169">
        <v>12.3</v>
      </c>
      <c r="S13" s="169">
        <v>97</v>
      </c>
      <c r="T13" s="16">
        <f t="shared" si="0"/>
        <v>36</v>
      </c>
      <c r="U13" s="165">
        <v>88</v>
      </c>
      <c r="V13" s="38">
        <f t="shared" si="2"/>
        <v>3168</v>
      </c>
      <c r="W13" s="166">
        <v>2</v>
      </c>
      <c r="X13" s="167" t="s">
        <v>39</v>
      </c>
      <c r="Y13" s="173" t="s">
        <v>69</v>
      </c>
      <c r="Z13" s="167" t="s">
        <v>60</v>
      </c>
      <c r="AA13" s="173" t="s">
        <v>90</v>
      </c>
      <c r="AB13" s="53" t="s">
        <v>158</v>
      </c>
      <c r="AE13" s="22" t="s">
        <v>73</v>
      </c>
      <c r="AG13" s="28"/>
      <c r="AH13" s="28"/>
      <c r="AP13" s="23" t="s">
        <v>71</v>
      </c>
      <c r="AR13" s="23" t="s">
        <v>103</v>
      </c>
      <c r="AV13" s="23" t="s">
        <v>75</v>
      </c>
    </row>
    <row r="14" spans="1:53" x14ac:dyDescent="0.15">
      <c r="A14" s="159" t="s">
        <v>34</v>
      </c>
      <c r="B14" s="159" t="s">
        <v>157</v>
      </c>
      <c r="C14" s="159">
        <v>2019</v>
      </c>
      <c r="D14" s="161" t="s">
        <v>352</v>
      </c>
      <c r="E14" s="160" t="s">
        <v>214</v>
      </c>
      <c r="F14" s="159" t="s">
        <v>357</v>
      </c>
      <c r="G14" s="162" t="s">
        <v>42</v>
      </c>
      <c r="H14" s="128" t="s">
        <v>163</v>
      </c>
      <c r="I14" s="128" t="s">
        <v>159</v>
      </c>
      <c r="J14" s="128" t="s">
        <v>38</v>
      </c>
      <c r="K14" s="128" t="s">
        <v>160</v>
      </c>
      <c r="L14" s="53">
        <v>1</v>
      </c>
      <c r="N14" s="53">
        <v>4</v>
      </c>
      <c r="O14" s="53">
        <v>0.95</v>
      </c>
      <c r="P14" s="53">
        <v>0.85</v>
      </c>
      <c r="Q14" s="76">
        <f t="shared" si="1"/>
        <v>0.89999999999999991</v>
      </c>
      <c r="R14" s="169">
        <v>14.2</v>
      </c>
      <c r="S14" s="169">
        <v>99</v>
      </c>
      <c r="T14" s="16">
        <f t="shared" si="0"/>
        <v>33</v>
      </c>
      <c r="U14" s="165">
        <v>377</v>
      </c>
      <c r="V14" s="38">
        <f t="shared" si="2"/>
        <v>3110.25</v>
      </c>
      <c r="W14" s="166">
        <v>2</v>
      </c>
      <c r="X14" s="167" t="s">
        <v>46</v>
      </c>
      <c r="Y14" s="173" t="s">
        <v>84</v>
      </c>
      <c r="Z14" s="173" t="s">
        <v>40</v>
      </c>
      <c r="AA14" s="173" t="s">
        <v>60</v>
      </c>
      <c r="AB14" s="53" t="s">
        <v>158</v>
      </c>
      <c r="AC14" s="34"/>
      <c r="AE14" s="22" t="s">
        <v>76</v>
      </c>
      <c r="AP14" s="23" t="s">
        <v>74</v>
      </c>
      <c r="AR14" s="23" t="s">
        <v>125</v>
      </c>
      <c r="AV14" s="23" t="s">
        <v>78</v>
      </c>
    </row>
    <row r="15" spans="1:53" x14ac:dyDescent="0.15">
      <c r="A15" s="159" t="s">
        <v>34</v>
      </c>
      <c r="B15" s="159" t="s">
        <v>157</v>
      </c>
      <c r="C15" s="160">
        <v>2019</v>
      </c>
      <c r="D15" s="161" t="s">
        <v>352</v>
      </c>
      <c r="E15" s="160" t="s">
        <v>214</v>
      </c>
      <c r="F15" s="159" t="s">
        <v>357</v>
      </c>
      <c r="G15" s="162" t="s">
        <v>42</v>
      </c>
      <c r="H15" s="128" t="s">
        <v>163</v>
      </c>
      <c r="I15" s="128" t="s">
        <v>159</v>
      </c>
      <c r="J15" s="128" t="s">
        <v>38</v>
      </c>
      <c r="K15" s="128" t="s">
        <v>160</v>
      </c>
      <c r="L15" s="53">
        <v>2</v>
      </c>
      <c r="N15" s="53">
        <v>4</v>
      </c>
      <c r="O15" s="53">
        <v>0.75</v>
      </c>
      <c r="P15" s="53">
        <v>0.8</v>
      </c>
      <c r="Q15" s="76">
        <f t="shared" si="1"/>
        <v>0.77500000000000002</v>
      </c>
      <c r="R15" s="169">
        <v>15.4</v>
      </c>
      <c r="S15" s="169">
        <v>101</v>
      </c>
      <c r="T15" s="16">
        <f t="shared" si="0"/>
        <v>33</v>
      </c>
      <c r="U15" s="165">
        <v>377</v>
      </c>
      <c r="V15" s="38">
        <f t="shared" si="2"/>
        <v>3110.25</v>
      </c>
      <c r="W15" s="166">
        <v>2</v>
      </c>
      <c r="X15" s="167" t="s">
        <v>46</v>
      </c>
      <c r="Y15" s="173" t="s">
        <v>84</v>
      </c>
      <c r="Z15" s="173" t="s">
        <v>40</v>
      </c>
      <c r="AA15" s="173" t="s">
        <v>60</v>
      </c>
      <c r="AB15" s="53" t="s">
        <v>158</v>
      </c>
      <c r="AC15" s="34"/>
      <c r="AE15" s="22" t="s">
        <v>79</v>
      </c>
      <c r="AP15" s="23" t="s">
        <v>77</v>
      </c>
      <c r="AR15" s="23" t="s">
        <v>94</v>
      </c>
      <c r="AV15" s="23" t="s">
        <v>107</v>
      </c>
    </row>
    <row r="16" spans="1:53" x14ac:dyDescent="0.15">
      <c r="A16" s="159" t="s">
        <v>34</v>
      </c>
      <c r="B16" s="159" t="s">
        <v>157</v>
      </c>
      <c r="C16" s="159">
        <v>2019</v>
      </c>
      <c r="D16" s="161" t="s">
        <v>352</v>
      </c>
      <c r="E16" s="160" t="s">
        <v>214</v>
      </c>
      <c r="F16" s="159" t="s">
        <v>357</v>
      </c>
      <c r="G16" s="162" t="s">
        <v>42</v>
      </c>
      <c r="H16" s="128" t="s">
        <v>163</v>
      </c>
      <c r="I16" s="128" t="s">
        <v>159</v>
      </c>
      <c r="J16" s="128" t="s">
        <v>38</v>
      </c>
      <c r="K16" s="128" t="s">
        <v>160</v>
      </c>
      <c r="L16" s="53">
        <v>3</v>
      </c>
      <c r="N16" s="53">
        <v>4</v>
      </c>
      <c r="O16" s="53">
        <v>0.8</v>
      </c>
      <c r="P16" s="53">
        <v>0.75</v>
      </c>
      <c r="Q16" s="76">
        <f t="shared" si="1"/>
        <v>0.77500000000000002</v>
      </c>
      <c r="R16" s="169">
        <v>15.2</v>
      </c>
      <c r="S16" s="169">
        <v>96</v>
      </c>
      <c r="T16" s="16">
        <f t="shared" si="0"/>
        <v>36</v>
      </c>
      <c r="U16" s="165">
        <v>377</v>
      </c>
      <c r="V16" s="38">
        <f t="shared" si="2"/>
        <v>3393</v>
      </c>
      <c r="W16" s="166">
        <v>2</v>
      </c>
      <c r="X16" s="167" t="s">
        <v>46</v>
      </c>
      <c r="Y16" s="173" t="s">
        <v>84</v>
      </c>
      <c r="Z16" s="173" t="s">
        <v>40</v>
      </c>
      <c r="AA16" s="173" t="s">
        <v>60</v>
      </c>
      <c r="AB16" s="53" t="s">
        <v>158</v>
      </c>
      <c r="AC16" s="34"/>
      <c r="AE16" s="22" t="s">
        <v>82</v>
      </c>
      <c r="AP16" s="23" t="s">
        <v>80</v>
      </c>
      <c r="AR16" s="23" t="s">
        <v>63</v>
      </c>
      <c r="AV16" s="23" t="s">
        <v>84</v>
      </c>
    </row>
    <row r="17" spans="1:48" x14ac:dyDescent="0.15">
      <c r="A17" s="159" t="s">
        <v>34</v>
      </c>
      <c r="B17" s="159" t="s">
        <v>304</v>
      </c>
      <c r="C17" s="160">
        <v>2019</v>
      </c>
      <c r="D17" s="161" t="s">
        <v>352</v>
      </c>
      <c r="E17" s="160" t="s">
        <v>261</v>
      </c>
      <c r="F17" s="159" t="s">
        <v>357</v>
      </c>
      <c r="G17" s="162" t="s">
        <v>42</v>
      </c>
      <c r="H17" s="128" t="s">
        <v>163</v>
      </c>
      <c r="I17" s="128" t="s">
        <v>159</v>
      </c>
      <c r="J17" s="128" t="s">
        <v>38</v>
      </c>
      <c r="K17" s="128" t="s">
        <v>160</v>
      </c>
      <c r="L17" s="53">
        <v>1</v>
      </c>
      <c r="N17" s="53">
        <v>7</v>
      </c>
      <c r="O17" s="53">
        <v>0.65</v>
      </c>
      <c r="P17" s="53">
        <v>0.6</v>
      </c>
      <c r="Q17" s="76">
        <f t="shared" si="1"/>
        <v>0.625</v>
      </c>
      <c r="R17" s="169">
        <v>14.4</v>
      </c>
      <c r="S17" s="169">
        <v>104</v>
      </c>
      <c r="T17" s="16">
        <f t="shared" si="0"/>
        <v>33</v>
      </c>
      <c r="U17" s="165">
        <v>398</v>
      </c>
      <c r="V17" s="38">
        <f t="shared" si="2"/>
        <v>1876.2857142857142</v>
      </c>
      <c r="W17" s="166">
        <v>1</v>
      </c>
      <c r="X17" s="167" t="s">
        <v>46</v>
      </c>
      <c r="Y17" s="173" t="s">
        <v>84</v>
      </c>
      <c r="Z17" s="173" t="s">
        <v>40</v>
      </c>
      <c r="AA17" s="173" t="s">
        <v>78</v>
      </c>
      <c r="AB17" s="53" t="s">
        <v>158</v>
      </c>
      <c r="AC17" s="34"/>
      <c r="AE17" s="22" t="s">
        <v>85</v>
      </c>
      <c r="AP17" s="27" t="s">
        <v>110</v>
      </c>
      <c r="AR17" s="23" t="s">
        <v>96</v>
      </c>
      <c r="AV17" s="23" t="s">
        <v>86</v>
      </c>
    </row>
    <row r="18" spans="1:48" x14ac:dyDescent="0.15">
      <c r="A18" s="159" t="s">
        <v>34</v>
      </c>
      <c r="B18" s="159" t="s">
        <v>157</v>
      </c>
      <c r="C18" s="159">
        <v>2019</v>
      </c>
      <c r="D18" s="161" t="s">
        <v>352</v>
      </c>
      <c r="E18" s="160" t="s">
        <v>261</v>
      </c>
      <c r="F18" s="159" t="s">
        <v>357</v>
      </c>
      <c r="G18" s="162" t="s">
        <v>42</v>
      </c>
      <c r="H18" s="128" t="s">
        <v>163</v>
      </c>
      <c r="I18" s="128" t="s">
        <v>159</v>
      </c>
      <c r="J18" s="128" t="s">
        <v>38</v>
      </c>
      <c r="K18" s="128" t="s">
        <v>160</v>
      </c>
      <c r="L18" s="53">
        <v>2</v>
      </c>
      <c r="N18" s="53">
        <v>7</v>
      </c>
      <c r="O18" s="53">
        <v>0.55000000000000004</v>
      </c>
      <c r="P18" s="53">
        <v>0.6</v>
      </c>
      <c r="Q18" s="76">
        <f t="shared" si="1"/>
        <v>0.57499999999999996</v>
      </c>
      <c r="R18" s="169">
        <v>14.5</v>
      </c>
      <c r="S18" s="169">
        <v>95</v>
      </c>
      <c r="T18" s="16">
        <f t="shared" si="0"/>
        <v>36</v>
      </c>
      <c r="U18" s="165">
        <v>398</v>
      </c>
      <c r="V18" s="38">
        <f t="shared" si="2"/>
        <v>2046.8571428571427</v>
      </c>
      <c r="W18" s="166">
        <v>1</v>
      </c>
      <c r="X18" s="167" t="s">
        <v>46</v>
      </c>
      <c r="Y18" s="173" t="s">
        <v>84</v>
      </c>
      <c r="Z18" s="173" t="s">
        <v>40</v>
      </c>
      <c r="AA18" s="173" t="s">
        <v>78</v>
      </c>
      <c r="AB18" s="53" t="s">
        <v>158</v>
      </c>
      <c r="AC18" s="34"/>
      <c r="AE18" s="22" t="s">
        <v>87</v>
      </c>
      <c r="AP18" s="27" t="s">
        <v>111</v>
      </c>
      <c r="AR18" s="23" t="s">
        <v>101</v>
      </c>
      <c r="AV18" s="23" t="s">
        <v>88</v>
      </c>
    </row>
    <row r="19" spans="1:48" x14ac:dyDescent="0.15">
      <c r="A19" s="159" t="s">
        <v>34</v>
      </c>
      <c r="B19" s="159" t="s">
        <v>157</v>
      </c>
      <c r="C19" s="160">
        <v>2019</v>
      </c>
      <c r="D19" s="161" t="s">
        <v>352</v>
      </c>
      <c r="E19" s="160" t="s">
        <v>261</v>
      </c>
      <c r="F19" s="159" t="s">
        <v>357</v>
      </c>
      <c r="G19" s="162" t="s">
        <v>42</v>
      </c>
      <c r="H19" s="128" t="s">
        <v>163</v>
      </c>
      <c r="I19" s="128" t="s">
        <v>159</v>
      </c>
      <c r="J19" s="128" t="s">
        <v>38</v>
      </c>
      <c r="K19" s="128" t="s">
        <v>160</v>
      </c>
      <c r="L19" s="53">
        <v>3</v>
      </c>
      <c r="N19" s="53">
        <v>7</v>
      </c>
      <c r="O19" s="53">
        <v>0.6</v>
      </c>
      <c r="P19" s="53">
        <v>0.55000000000000004</v>
      </c>
      <c r="Q19" s="76">
        <f t="shared" si="1"/>
        <v>0.57499999999999996</v>
      </c>
      <c r="R19" s="169">
        <v>14.8</v>
      </c>
      <c r="S19" s="169">
        <v>104</v>
      </c>
      <c r="T19" s="16">
        <f t="shared" si="0"/>
        <v>33</v>
      </c>
      <c r="U19" s="165">
        <v>398</v>
      </c>
      <c r="V19" s="38">
        <f t="shared" si="2"/>
        <v>1876.2857142857142</v>
      </c>
      <c r="W19" s="166">
        <v>1</v>
      </c>
      <c r="X19" s="167" t="s">
        <v>46</v>
      </c>
      <c r="Y19" s="173" t="s">
        <v>84</v>
      </c>
      <c r="Z19" s="173" t="s">
        <v>40</v>
      </c>
      <c r="AA19" s="173" t="s">
        <v>78</v>
      </c>
      <c r="AB19" s="53" t="s">
        <v>158</v>
      </c>
      <c r="AC19" s="34"/>
      <c r="AE19" s="35" t="s">
        <v>89</v>
      </c>
      <c r="AP19" s="27" t="s">
        <v>112</v>
      </c>
      <c r="AR19" s="23" t="s">
        <v>126</v>
      </c>
      <c r="AV19" s="23" t="s">
        <v>90</v>
      </c>
    </row>
    <row r="20" spans="1:48" x14ac:dyDescent="0.15">
      <c r="A20" s="159" t="s">
        <v>34</v>
      </c>
      <c r="B20" s="159" t="s">
        <v>157</v>
      </c>
      <c r="C20" s="159">
        <v>2019</v>
      </c>
      <c r="D20" s="161" t="s">
        <v>352</v>
      </c>
      <c r="E20" s="160" t="s">
        <v>214</v>
      </c>
      <c r="F20" s="159" t="s">
        <v>359</v>
      </c>
      <c r="G20" s="162" t="s">
        <v>42</v>
      </c>
      <c r="H20" s="128" t="s">
        <v>163</v>
      </c>
      <c r="I20" s="128" t="s">
        <v>159</v>
      </c>
      <c r="J20" s="128" t="s">
        <v>38</v>
      </c>
      <c r="K20" s="128" t="s">
        <v>160</v>
      </c>
      <c r="L20" s="53">
        <v>1</v>
      </c>
      <c r="N20" s="53">
        <v>4</v>
      </c>
      <c r="O20" s="53">
        <v>0.75</v>
      </c>
      <c r="P20" s="53">
        <v>0.8</v>
      </c>
      <c r="Q20" s="76">
        <f t="shared" si="1"/>
        <v>0.77500000000000002</v>
      </c>
      <c r="R20" s="169">
        <v>15.4</v>
      </c>
      <c r="S20" s="169">
        <v>93</v>
      </c>
      <c r="T20" s="16">
        <f t="shared" si="0"/>
        <v>36</v>
      </c>
      <c r="U20" s="165">
        <v>377</v>
      </c>
      <c r="V20" s="38">
        <f t="shared" si="2"/>
        <v>3393</v>
      </c>
      <c r="W20" s="166">
        <v>2</v>
      </c>
      <c r="X20" s="167" t="s">
        <v>46</v>
      </c>
      <c r="Y20" s="173" t="s">
        <v>40</v>
      </c>
      <c r="Z20" s="173" t="s">
        <v>69</v>
      </c>
      <c r="AA20" s="173" t="s">
        <v>90</v>
      </c>
      <c r="AB20" s="53" t="s">
        <v>158</v>
      </c>
      <c r="AE20" s="35"/>
      <c r="AP20" s="27" t="s">
        <v>113</v>
      </c>
      <c r="AR20" s="23" t="s">
        <v>105</v>
      </c>
      <c r="AV20" s="27" t="s">
        <v>135</v>
      </c>
    </row>
    <row r="21" spans="1:48" x14ac:dyDescent="0.15">
      <c r="A21" s="159" t="s">
        <v>34</v>
      </c>
      <c r="B21" s="159" t="s">
        <v>157</v>
      </c>
      <c r="C21" s="160">
        <v>2019</v>
      </c>
      <c r="D21" s="161" t="s">
        <v>352</v>
      </c>
      <c r="E21" s="160" t="s">
        <v>214</v>
      </c>
      <c r="F21" s="159" t="s">
        <v>359</v>
      </c>
      <c r="G21" s="162" t="s">
        <v>42</v>
      </c>
      <c r="H21" s="128" t="s">
        <v>163</v>
      </c>
      <c r="I21" s="128" t="s">
        <v>159</v>
      </c>
      <c r="J21" s="128" t="s">
        <v>38</v>
      </c>
      <c r="K21" s="128" t="s">
        <v>160</v>
      </c>
      <c r="L21" s="53">
        <v>2</v>
      </c>
      <c r="N21" s="53">
        <v>4</v>
      </c>
      <c r="O21" s="53">
        <v>0.8</v>
      </c>
      <c r="P21" s="53">
        <v>0.85</v>
      </c>
      <c r="Q21" s="76">
        <f t="shared" si="1"/>
        <v>0.82499999999999996</v>
      </c>
      <c r="R21" s="169">
        <v>14.1</v>
      </c>
      <c r="S21" s="169">
        <v>99</v>
      </c>
      <c r="T21" s="16">
        <f t="shared" si="0"/>
        <v>33</v>
      </c>
      <c r="U21" s="165">
        <v>377</v>
      </c>
      <c r="V21" s="38">
        <f t="shared" si="2"/>
        <v>3110.25</v>
      </c>
      <c r="W21" s="166">
        <v>2</v>
      </c>
      <c r="X21" s="167" t="s">
        <v>46</v>
      </c>
      <c r="Y21" s="173" t="s">
        <v>40</v>
      </c>
      <c r="Z21" s="173" t="s">
        <v>69</v>
      </c>
      <c r="AA21" s="173" t="s">
        <v>90</v>
      </c>
      <c r="AB21" s="53" t="s">
        <v>158</v>
      </c>
      <c r="AE21" s="28"/>
      <c r="AP21" s="27" t="s">
        <v>114</v>
      </c>
      <c r="AR21" s="23" t="s">
        <v>68</v>
      </c>
      <c r="AV21" s="27" t="s">
        <v>136</v>
      </c>
    </row>
    <row r="22" spans="1:48" x14ac:dyDescent="0.15">
      <c r="A22" s="159" t="s">
        <v>34</v>
      </c>
      <c r="B22" s="159" t="s">
        <v>157</v>
      </c>
      <c r="C22" s="159">
        <v>2019</v>
      </c>
      <c r="D22" s="161" t="s">
        <v>352</v>
      </c>
      <c r="E22" s="160" t="s">
        <v>214</v>
      </c>
      <c r="F22" s="159" t="s">
        <v>359</v>
      </c>
      <c r="G22" s="162" t="s">
        <v>42</v>
      </c>
      <c r="H22" s="128" t="s">
        <v>163</v>
      </c>
      <c r="I22" s="128" t="s">
        <v>159</v>
      </c>
      <c r="J22" s="128" t="s">
        <v>38</v>
      </c>
      <c r="K22" s="128" t="s">
        <v>160</v>
      </c>
      <c r="L22" s="53">
        <v>3</v>
      </c>
      <c r="N22" s="53">
        <v>4</v>
      </c>
      <c r="O22" s="53">
        <v>0.85</v>
      </c>
      <c r="P22" s="34">
        <v>0.75</v>
      </c>
      <c r="Q22" s="76">
        <f t="shared" si="1"/>
        <v>0.8</v>
      </c>
      <c r="R22" s="169">
        <v>15.3</v>
      </c>
      <c r="S22" s="169">
        <v>108</v>
      </c>
      <c r="T22" s="16">
        <f t="shared" si="0"/>
        <v>33</v>
      </c>
      <c r="U22" s="165">
        <v>377</v>
      </c>
      <c r="V22" s="38">
        <f t="shared" si="2"/>
        <v>3110.25</v>
      </c>
      <c r="W22" s="166">
        <v>2</v>
      </c>
      <c r="X22" s="167" t="s">
        <v>46</v>
      </c>
      <c r="Y22" s="173" t="s">
        <v>40</v>
      </c>
      <c r="Z22" s="173" t="s">
        <v>69</v>
      </c>
      <c r="AA22" s="173" t="s">
        <v>90</v>
      </c>
      <c r="AB22" s="53" t="s">
        <v>158</v>
      </c>
      <c r="AP22" s="27" t="s">
        <v>115</v>
      </c>
      <c r="AR22" s="23" t="s">
        <v>83</v>
      </c>
      <c r="AV22" s="23"/>
    </row>
    <row r="23" spans="1:48" x14ac:dyDescent="0.15">
      <c r="A23" s="159" t="s">
        <v>34</v>
      </c>
      <c r="B23" s="159" t="s">
        <v>157</v>
      </c>
      <c r="C23" s="160">
        <v>2019</v>
      </c>
      <c r="D23" s="161" t="s">
        <v>352</v>
      </c>
      <c r="E23" s="160" t="s">
        <v>139</v>
      </c>
      <c r="F23" s="159" t="s">
        <v>359</v>
      </c>
      <c r="G23" s="162" t="s">
        <v>36</v>
      </c>
      <c r="H23" s="128" t="s">
        <v>163</v>
      </c>
      <c r="I23" s="128" t="s">
        <v>159</v>
      </c>
      <c r="J23" s="128" t="s">
        <v>38</v>
      </c>
      <c r="K23" s="128" t="s">
        <v>160</v>
      </c>
      <c r="L23" s="53">
        <v>1</v>
      </c>
      <c r="N23" s="53">
        <v>5</v>
      </c>
      <c r="O23" s="53">
        <v>0.8</v>
      </c>
      <c r="P23" s="34">
        <v>0.7</v>
      </c>
      <c r="Q23" s="76">
        <f t="shared" si="1"/>
        <v>0.75</v>
      </c>
      <c r="R23" s="169">
        <v>13</v>
      </c>
      <c r="S23" s="169">
        <v>99</v>
      </c>
      <c r="T23" s="16">
        <f t="shared" si="0"/>
        <v>33</v>
      </c>
      <c r="U23" s="165">
        <v>499</v>
      </c>
      <c r="V23" s="38">
        <f t="shared" si="2"/>
        <v>3293.4</v>
      </c>
      <c r="W23" s="166">
        <v>4</v>
      </c>
      <c r="X23" s="167" t="s">
        <v>46</v>
      </c>
      <c r="Y23" s="173" t="s">
        <v>84</v>
      </c>
      <c r="Z23" s="173" t="s">
        <v>90</v>
      </c>
      <c r="AA23" s="173" t="s">
        <v>40</v>
      </c>
      <c r="AB23" s="53" t="s">
        <v>158</v>
      </c>
      <c r="AP23" s="27" t="s">
        <v>137</v>
      </c>
      <c r="AR23" s="23" t="s">
        <v>61</v>
      </c>
      <c r="AV23" s="23"/>
    </row>
    <row r="24" spans="1:48" x14ac:dyDescent="0.15">
      <c r="A24" s="159" t="s">
        <v>34</v>
      </c>
      <c r="B24" s="159" t="s">
        <v>157</v>
      </c>
      <c r="C24" s="159">
        <v>2019</v>
      </c>
      <c r="D24" s="161" t="s">
        <v>352</v>
      </c>
      <c r="E24" s="160" t="s">
        <v>139</v>
      </c>
      <c r="F24" s="159" t="s">
        <v>359</v>
      </c>
      <c r="G24" s="162" t="s">
        <v>36</v>
      </c>
      <c r="H24" s="128" t="s">
        <v>163</v>
      </c>
      <c r="I24" s="128" t="s">
        <v>159</v>
      </c>
      <c r="J24" s="128" t="s">
        <v>38</v>
      </c>
      <c r="K24" s="128" t="s">
        <v>160</v>
      </c>
      <c r="L24" s="53">
        <v>2</v>
      </c>
      <c r="N24" s="53">
        <v>5</v>
      </c>
      <c r="O24" s="53">
        <v>0.65</v>
      </c>
      <c r="P24" s="34">
        <v>0.75</v>
      </c>
      <c r="Q24" s="76">
        <f t="shared" si="1"/>
        <v>0.7</v>
      </c>
      <c r="R24" s="169">
        <v>14.3</v>
      </c>
      <c r="S24" s="169">
        <v>105</v>
      </c>
      <c r="T24" s="16">
        <f t="shared" si="0"/>
        <v>33</v>
      </c>
      <c r="U24" s="165">
        <v>499</v>
      </c>
      <c r="V24" s="38">
        <f t="shared" si="2"/>
        <v>3293.4</v>
      </c>
      <c r="W24" s="166">
        <v>4</v>
      </c>
      <c r="X24" s="167" t="s">
        <v>46</v>
      </c>
      <c r="Y24" s="173" t="s">
        <v>84</v>
      </c>
      <c r="Z24" s="173" t="s">
        <v>90</v>
      </c>
      <c r="AA24" s="173" t="s">
        <v>40</v>
      </c>
      <c r="AB24" s="53" t="s">
        <v>158</v>
      </c>
      <c r="AP24" s="27" t="s">
        <v>138</v>
      </c>
      <c r="AR24" s="23" t="s">
        <v>91</v>
      </c>
      <c r="AV24" s="23"/>
    </row>
    <row r="25" spans="1:48" x14ac:dyDescent="0.15">
      <c r="A25" s="159" t="s">
        <v>34</v>
      </c>
      <c r="B25" s="159" t="s">
        <v>157</v>
      </c>
      <c r="C25" s="160">
        <v>2019</v>
      </c>
      <c r="D25" s="161" t="s">
        <v>352</v>
      </c>
      <c r="E25" s="160" t="s">
        <v>139</v>
      </c>
      <c r="F25" s="159" t="s">
        <v>359</v>
      </c>
      <c r="G25" s="162" t="s">
        <v>36</v>
      </c>
      <c r="H25" s="128" t="s">
        <v>163</v>
      </c>
      <c r="I25" s="128" t="s">
        <v>159</v>
      </c>
      <c r="J25" s="128" t="s">
        <v>38</v>
      </c>
      <c r="K25" s="128" t="s">
        <v>160</v>
      </c>
      <c r="L25" s="53">
        <v>3</v>
      </c>
      <c r="N25" s="53">
        <v>5</v>
      </c>
      <c r="O25" s="53">
        <v>0.7</v>
      </c>
      <c r="P25" s="34">
        <v>0.6</v>
      </c>
      <c r="Q25" s="76">
        <f t="shared" si="1"/>
        <v>0.64999999999999991</v>
      </c>
      <c r="R25" s="169">
        <v>14.5</v>
      </c>
      <c r="S25" s="169">
        <v>100</v>
      </c>
      <c r="T25" s="16">
        <f t="shared" si="0"/>
        <v>33</v>
      </c>
      <c r="U25" s="165">
        <v>499</v>
      </c>
      <c r="V25" s="38">
        <f t="shared" si="2"/>
        <v>3293.4</v>
      </c>
      <c r="W25" s="166">
        <v>4</v>
      </c>
      <c r="X25" s="167" t="s">
        <v>46</v>
      </c>
      <c r="Y25" s="173" t="s">
        <v>84</v>
      </c>
      <c r="Z25" s="173" t="s">
        <v>90</v>
      </c>
      <c r="AA25" s="173" t="s">
        <v>40</v>
      </c>
      <c r="AB25" s="53" t="s">
        <v>158</v>
      </c>
      <c r="AP25" s="27" t="s">
        <v>116</v>
      </c>
      <c r="AR25" s="27" t="s">
        <v>92</v>
      </c>
      <c r="AV25" s="23"/>
    </row>
    <row r="26" spans="1:48" x14ac:dyDescent="0.15">
      <c r="A26" s="159" t="s">
        <v>34</v>
      </c>
      <c r="B26" s="159" t="s">
        <v>157</v>
      </c>
      <c r="C26" s="159">
        <v>2019</v>
      </c>
      <c r="D26" s="161" t="s">
        <v>352</v>
      </c>
      <c r="E26" s="160" t="s">
        <v>133</v>
      </c>
      <c r="F26" s="159" t="s">
        <v>360</v>
      </c>
      <c r="G26" s="162" t="s">
        <v>36</v>
      </c>
      <c r="H26" s="128" t="s">
        <v>164</v>
      </c>
      <c r="I26" s="128" t="s">
        <v>159</v>
      </c>
      <c r="J26" s="128" t="s">
        <v>38</v>
      </c>
      <c r="K26" s="128" t="s">
        <v>54</v>
      </c>
      <c r="L26" s="53">
        <v>1</v>
      </c>
      <c r="N26" s="53">
        <v>4</v>
      </c>
      <c r="O26" s="53">
        <v>0.95</v>
      </c>
      <c r="P26" s="53">
        <v>0.85</v>
      </c>
      <c r="Q26" s="76">
        <f t="shared" si="1"/>
        <v>0.89999999999999991</v>
      </c>
      <c r="R26" s="169">
        <v>14.4</v>
      </c>
      <c r="S26" s="169">
        <v>90</v>
      </c>
      <c r="T26" s="16">
        <f t="shared" si="0"/>
        <v>39</v>
      </c>
      <c r="U26" s="165">
        <v>498</v>
      </c>
      <c r="V26" s="38">
        <f t="shared" si="2"/>
        <v>4855.5</v>
      </c>
      <c r="W26" s="166">
        <v>6</v>
      </c>
      <c r="X26" s="167" t="s">
        <v>46</v>
      </c>
      <c r="Y26" s="173" t="s">
        <v>84</v>
      </c>
      <c r="Z26" s="173" t="s">
        <v>40</v>
      </c>
      <c r="AA26" s="173" t="s">
        <v>90</v>
      </c>
      <c r="AB26" s="53" t="s">
        <v>158</v>
      </c>
      <c r="AP26" s="27" t="s">
        <v>117</v>
      </c>
      <c r="AR26" s="23" t="s">
        <v>153</v>
      </c>
      <c r="AV26" s="27"/>
    </row>
    <row r="27" spans="1:48" x14ac:dyDescent="0.15">
      <c r="A27" s="159" t="s">
        <v>34</v>
      </c>
      <c r="B27" s="159" t="s">
        <v>157</v>
      </c>
      <c r="C27" s="160">
        <v>2019</v>
      </c>
      <c r="D27" s="161" t="s">
        <v>352</v>
      </c>
      <c r="E27" s="160" t="s">
        <v>133</v>
      </c>
      <c r="F27" s="159" t="s">
        <v>360</v>
      </c>
      <c r="G27" s="162" t="s">
        <v>36</v>
      </c>
      <c r="H27" s="128" t="s">
        <v>164</v>
      </c>
      <c r="I27" s="128" t="s">
        <v>159</v>
      </c>
      <c r="J27" s="128" t="s">
        <v>38</v>
      </c>
      <c r="K27" s="128" t="s">
        <v>54</v>
      </c>
      <c r="L27" s="53">
        <v>2</v>
      </c>
      <c r="N27" s="53">
        <v>4</v>
      </c>
      <c r="O27" s="34">
        <v>0.8</v>
      </c>
      <c r="P27" s="53">
        <v>0.8</v>
      </c>
      <c r="Q27" s="76">
        <f t="shared" si="1"/>
        <v>0.8</v>
      </c>
      <c r="R27" s="169">
        <v>15.4</v>
      </c>
      <c r="S27" s="169">
        <v>86</v>
      </c>
      <c r="T27" s="16">
        <f t="shared" si="0"/>
        <v>39</v>
      </c>
      <c r="U27" s="165">
        <v>498</v>
      </c>
      <c r="V27" s="38">
        <f t="shared" si="2"/>
        <v>4855.5</v>
      </c>
      <c r="W27" s="166">
        <v>6</v>
      </c>
      <c r="X27" s="167" t="s">
        <v>46</v>
      </c>
      <c r="Y27" s="173" t="s">
        <v>84</v>
      </c>
      <c r="Z27" s="173" t="s">
        <v>40</v>
      </c>
      <c r="AA27" s="173" t="s">
        <v>90</v>
      </c>
      <c r="AB27" s="53" t="s">
        <v>158</v>
      </c>
      <c r="AP27" s="27" t="s">
        <v>118</v>
      </c>
      <c r="AR27" s="23"/>
    </row>
    <row r="28" spans="1:48" x14ac:dyDescent="0.15">
      <c r="A28" s="159" t="s">
        <v>34</v>
      </c>
      <c r="B28" s="159" t="s">
        <v>157</v>
      </c>
      <c r="C28" s="159">
        <v>2019</v>
      </c>
      <c r="D28" s="161" t="s">
        <v>352</v>
      </c>
      <c r="E28" s="160" t="s">
        <v>133</v>
      </c>
      <c r="F28" s="159" t="s">
        <v>360</v>
      </c>
      <c r="G28" s="162" t="s">
        <v>36</v>
      </c>
      <c r="H28" s="128" t="s">
        <v>164</v>
      </c>
      <c r="I28" s="128" t="s">
        <v>159</v>
      </c>
      <c r="J28" s="128" t="s">
        <v>38</v>
      </c>
      <c r="K28" s="128" t="s">
        <v>54</v>
      </c>
      <c r="L28" s="53">
        <v>3</v>
      </c>
      <c r="N28" s="53">
        <v>4</v>
      </c>
      <c r="O28" s="34">
        <v>0.85</v>
      </c>
      <c r="P28" s="53">
        <v>0.85</v>
      </c>
      <c r="Q28" s="76">
        <f t="shared" si="1"/>
        <v>0.85</v>
      </c>
      <c r="R28" s="169">
        <v>15.2</v>
      </c>
      <c r="S28" s="169">
        <v>97</v>
      </c>
      <c r="T28" s="16">
        <f t="shared" si="0"/>
        <v>36</v>
      </c>
      <c r="U28" s="165">
        <v>498</v>
      </c>
      <c r="V28" s="38">
        <f t="shared" si="2"/>
        <v>4482</v>
      </c>
      <c r="W28" s="166">
        <v>6</v>
      </c>
      <c r="X28" s="167" t="s">
        <v>46</v>
      </c>
      <c r="Y28" s="173" t="s">
        <v>84</v>
      </c>
      <c r="Z28" s="173" t="s">
        <v>40</v>
      </c>
      <c r="AA28" s="173" t="s">
        <v>90</v>
      </c>
      <c r="AB28" s="53" t="s">
        <v>158</v>
      </c>
      <c r="AR28" s="23"/>
    </row>
    <row r="29" spans="1:48" x14ac:dyDescent="0.15">
      <c r="A29" s="159" t="s">
        <v>34</v>
      </c>
      <c r="B29" s="159" t="s">
        <v>157</v>
      </c>
      <c r="C29" s="159">
        <v>2019</v>
      </c>
      <c r="D29" s="161" t="s">
        <v>352</v>
      </c>
      <c r="E29" s="160" t="s">
        <v>261</v>
      </c>
      <c r="F29" s="159" t="s">
        <v>361</v>
      </c>
      <c r="G29" s="162" t="s">
        <v>36</v>
      </c>
      <c r="H29" s="128" t="s">
        <v>163</v>
      </c>
      <c r="I29" s="128" t="s">
        <v>159</v>
      </c>
      <c r="J29" s="128" t="s">
        <v>38</v>
      </c>
      <c r="K29" s="128" t="s">
        <v>160</v>
      </c>
      <c r="L29" s="53">
        <v>1</v>
      </c>
      <c r="N29" s="53">
        <v>7</v>
      </c>
      <c r="O29" s="53">
        <v>0.6</v>
      </c>
      <c r="P29" s="53">
        <v>0.55000000000000004</v>
      </c>
      <c r="Q29" s="76">
        <f t="shared" si="1"/>
        <v>0.57499999999999996</v>
      </c>
      <c r="R29" s="169">
        <v>14.5</v>
      </c>
      <c r="S29" s="169">
        <v>96</v>
      </c>
      <c r="T29" s="16">
        <f t="shared" si="0"/>
        <v>36</v>
      </c>
      <c r="U29" s="165">
        <v>398</v>
      </c>
      <c r="V29" s="38">
        <f t="shared" si="2"/>
        <v>2046.8571428571427</v>
      </c>
      <c r="W29" s="166">
        <v>1</v>
      </c>
      <c r="X29" s="167" t="s">
        <v>46</v>
      </c>
      <c r="Y29" s="173" t="s">
        <v>69</v>
      </c>
      <c r="Z29" s="173" t="s">
        <v>90</v>
      </c>
      <c r="AA29" s="173" t="s">
        <v>40</v>
      </c>
      <c r="AB29" s="53" t="s">
        <v>158</v>
      </c>
      <c r="AR29" s="28"/>
    </row>
    <row r="30" spans="1:48" x14ac:dyDescent="0.15">
      <c r="A30" s="159" t="s">
        <v>34</v>
      </c>
      <c r="B30" s="159" t="s">
        <v>157</v>
      </c>
      <c r="C30" s="160">
        <v>2019</v>
      </c>
      <c r="D30" s="161" t="s">
        <v>352</v>
      </c>
      <c r="E30" s="160" t="s">
        <v>261</v>
      </c>
      <c r="F30" s="159" t="s">
        <v>361</v>
      </c>
      <c r="G30" s="162" t="s">
        <v>36</v>
      </c>
      <c r="H30" s="128" t="s">
        <v>163</v>
      </c>
      <c r="I30" s="128" t="s">
        <v>159</v>
      </c>
      <c r="J30" s="128" t="s">
        <v>38</v>
      </c>
      <c r="K30" s="128" t="s">
        <v>160</v>
      </c>
      <c r="L30" s="53">
        <v>2</v>
      </c>
      <c r="N30" s="53">
        <v>7</v>
      </c>
      <c r="O30" s="53">
        <v>0.55000000000000004</v>
      </c>
      <c r="P30" s="53">
        <v>0.6</v>
      </c>
      <c r="Q30" s="76">
        <f t="shared" si="1"/>
        <v>0.57499999999999996</v>
      </c>
      <c r="R30" s="169">
        <v>15.1</v>
      </c>
      <c r="S30" s="169">
        <v>106</v>
      </c>
      <c r="T30" s="16">
        <f t="shared" si="0"/>
        <v>33</v>
      </c>
      <c r="U30" s="165">
        <v>398</v>
      </c>
      <c r="V30" s="38">
        <f t="shared" si="2"/>
        <v>1876.2857142857142</v>
      </c>
      <c r="W30" s="166">
        <v>1</v>
      </c>
      <c r="X30" s="167" t="s">
        <v>46</v>
      </c>
      <c r="Y30" s="173" t="s">
        <v>69</v>
      </c>
      <c r="Z30" s="173" t="s">
        <v>90</v>
      </c>
      <c r="AA30" s="173" t="s">
        <v>40</v>
      </c>
      <c r="AB30" s="53" t="s">
        <v>158</v>
      </c>
    </row>
    <row r="31" spans="1:48" x14ac:dyDescent="0.15">
      <c r="A31" s="159" t="s">
        <v>34</v>
      </c>
      <c r="B31" s="159" t="s">
        <v>157</v>
      </c>
      <c r="C31" s="159">
        <v>2019</v>
      </c>
      <c r="D31" s="161" t="s">
        <v>352</v>
      </c>
      <c r="E31" s="160" t="s">
        <v>261</v>
      </c>
      <c r="F31" s="159" t="s">
        <v>361</v>
      </c>
      <c r="G31" s="162" t="s">
        <v>36</v>
      </c>
      <c r="H31" s="128" t="s">
        <v>163</v>
      </c>
      <c r="I31" s="128" t="s">
        <v>159</v>
      </c>
      <c r="J31" s="128" t="s">
        <v>38</v>
      </c>
      <c r="K31" s="128" t="s">
        <v>160</v>
      </c>
      <c r="L31" s="53">
        <v>3</v>
      </c>
      <c r="N31" s="53">
        <v>7</v>
      </c>
      <c r="O31" s="53">
        <v>0.55000000000000004</v>
      </c>
      <c r="P31" s="53">
        <v>0.55000000000000004</v>
      </c>
      <c r="Q31" s="76">
        <f t="shared" si="1"/>
        <v>0.55000000000000004</v>
      </c>
      <c r="R31" s="169">
        <v>14.5</v>
      </c>
      <c r="S31" s="169">
        <v>104</v>
      </c>
      <c r="T31" s="16">
        <f t="shared" si="0"/>
        <v>33</v>
      </c>
      <c r="U31" s="165">
        <v>398</v>
      </c>
      <c r="V31" s="38">
        <f t="shared" si="2"/>
        <v>1876.2857142857142</v>
      </c>
      <c r="W31" s="166">
        <v>1</v>
      </c>
      <c r="X31" s="167" t="s">
        <v>46</v>
      </c>
      <c r="Y31" s="173" t="s">
        <v>69</v>
      </c>
      <c r="Z31" s="173" t="s">
        <v>90</v>
      </c>
      <c r="AA31" s="173" t="s">
        <v>40</v>
      </c>
      <c r="AB31" s="53" t="s">
        <v>158</v>
      </c>
    </row>
    <row r="32" spans="1:48" ht="14.25" customHeight="1" x14ac:dyDescent="0.15">
      <c r="A32" s="159"/>
      <c r="B32" s="159"/>
      <c r="C32" s="160"/>
      <c r="D32" s="161"/>
      <c r="E32" s="160"/>
      <c r="F32" s="159"/>
      <c r="G32" s="162"/>
      <c r="H32" s="128"/>
      <c r="I32" s="128"/>
      <c r="J32" s="128"/>
      <c r="K32" s="128"/>
      <c r="Q32" s="76"/>
      <c r="R32" s="169"/>
      <c r="S32" s="169"/>
      <c r="U32" s="165"/>
      <c r="V32" s="38"/>
      <c r="W32" s="166"/>
      <c r="X32" s="167"/>
      <c r="Y32" s="173"/>
      <c r="Z32" s="173"/>
      <c r="AA32" s="173"/>
    </row>
    <row r="33" spans="1:27" x14ac:dyDescent="0.15">
      <c r="A33" s="159"/>
      <c r="B33" s="159"/>
      <c r="C33" s="159"/>
      <c r="D33" s="161"/>
      <c r="E33" s="160"/>
      <c r="F33" s="159"/>
      <c r="G33" s="162"/>
      <c r="H33" s="128"/>
      <c r="I33" s="128"/>
      <c r="J33" s="128"/>
      <c r="K33" s="128"/>
      <c r="Q33" s="76"/>
      <c r="R33" s="169"/>
      <c r="S33" s="169"/>
      <c r="U33" s="165"/>
      <c r="V33" s="38"/>
      <c r="W33" s="166"/>
      <c r="X33" s="167"/>
      <c r="Y33" s="173"/>
      <c r="Z33" s="173"/>
      <c r="AA33" s="173"/>
    </row>
    <row r="34" spans="1:27" x14ac:dyDescent="0.15">
      <c r="A34" s="159"/>
      <c r="B34" s="159"/>
      <c r="C34" s="160"/>
      <c r="D34" s="161"/>
      <c r="E34" s="160"/>
      <c r="F34" s="159"/>
      <c r="G34" s="162"/>
      <c r="H34" s="128"/>
      <c r="I34" s="128"/>
      <c r="J34" s="128"/>
      <c r="K34" s="128"/>
      <c r="P34" s="34"/>
      <c r="Q34" s="76"/>
      <c r="R34" s="169"/>
      <c r="S34" s="169"/>
      <c r="U34" s="165"/>
      <c r="V34" s="38"/>
      <c r="W34" s="166"/>
      <c r="X34" s="167"/>
      <c r="Y34" s="173"/>
      <c r="Z34" s="173"/>
      <c r="AA34" s="173"/>
    </row>
    <row r="35" spans="1:27" x14ac:dyDescent="0.15">
      <c r="A35" s="159"/>
      <c r="B35" s="159"/>
      <c r="C35" s="159"/>
      <c r="D35" s="161"/>
      <c r="E35" s="160"/>
      <c r="F35" s="159"/>
      <c r="G35" s="162"/>
      <c r="H35" s="128"/>
      <c r="I35" s="128"/>
      <c r="J35" s="128"/>
      <c r="K35" s="128"/>
      <c r="Q35" s="76"/>
      <c r="R35" s="169"/>
      <c r="S35" s="169"/>
      <c r="U35" s="165"/>
      <c r="V35" s="38"/>
      <c r="W35" s="166"/>
      <c r="X35" s="167"/>
      <c r="Y35" s="173"/>
      <c r="Z35" s="173"/>
      <c r="AA35" s="173"/>
    </row>
    <row r="36" spans="1:27" x14ac:dyDescent="0.15">
      <c r="A36" s="159"/>
      <c r="B36" s="159"/>
      <c r="C36" s="160"/>
      <c r="D36" s="161"/>
      <c r="E36" s="160"/>
      <c r="F36" s="159"/>
      <c r="G36" s="162"/>
      <c r="H36" s="128"/>
      <c r="I36" s="128"/>
      <c r="J36" s="128"/>
      <c r="K36" s="128"/>
      <c r="Q36" s="76"/>
      <c r="R36" s="169"/>
      <c r="S36" s="169"/>
      <c r="U36" s="165"/>
      <c r="V36" s="38"/>
      <c r="W36" s="166"/>
      <c r="X36" s="167"/>
      <c r="Y36" s="173"/>
      <c r="Z36" s="173"/>
      <c r="AA36" s="173"/>
    </row>
    <row r="37" spans="1:27" x14ac:dyDescent="0.15">
      <c r="A37" s="159"/>
      <c r="B37" s="159"/>
      <c r="C37" s="159"/>
      <c r="D37" s="161"/>
      <c r="E37" s="160"/>
      <c r="F37" s="159"/>
      <c r="G37" s="162"/>
      <c r="H37" s="128"/>
      <c r="I37" s="128"/>
      <c r="J37" s="128"/>
      <c r="K37" s="128"/>
      <c r="Q37" s="76"/>
      <c r="R37" s="169"/>
      <c r="S37" s="169"/>
      <c r="U37" s="165"/>
      <c r="V37" s="38"/>
      <c r="W37" s="166"/>
      <c r="X37" s="167"/>
      <c r="Y37" s="173"/>
      <c r="Z37" s="173"/>
      <c r="AA37" s="173"/>
    </row>
    <row r="38" spans="1:27" x14ac:dyDescent="0.15">
      <c r="A38" s="159"/>
      <c r="B38" s="159"/>
      <c r="C38" s="160"/>
      <c r="D38" s="161"/>
      <c r="E38" s="160"/>
      <c r="F38" s="159"/>
      <c r="G38" s="162"/>
      <c r="H38" s="128"/>
      <c r="I38" s="128"/>
      <c r="J38" s="128"/>
      <c r="K38" s="128"/>
      <c r="Q38" s="76"/>
      <c r="R38" s="169"/>
      <c r="S38" s="169"/>
      <c r="U38" s="165"/>
      <c r="V38" s="38"/>
      <c r="W38" s="166"/>
      <c r="X38" s="167"/>
      <c r="Y38" s="173"/>
      <c r="Z38" s="173"/>
      <c r="AA38" s="173"/>
    </row>
    <row r="39" spans="1:27" x14ac:dyDescent="0.15">
      <c r="A39" s="159"/>
      <c r="B39" s="159"/>
      <c r="C39" s="159"/>
      <c r="D39" s="161"/>
      <c r="E39" s="160"/>
      <c r="F39" s="159"/>
      <c r="G39" s="162"/>
      <c r="H39" s="128"/>
      <c r="I39" s="128"/>
      <c r="J39" s="128"/>
      <c r="K39" s="128"/>
      <c r="Q39" s="76"/>
      <c r="R39" s="169"/>
      <c r="S39" s="169"/>
      <c r="U39" s="165"/>
      <c r="V39" s="38"/>
      <c r="W39" s="166"/>
      <c r="X39" s="167"/>
      <c r="Y39" s="173"/>
      <c r="Z39" s="173"/>
      <c r="AA39" s="173"/>
    </row>
    <row r="40" spans="1:27" ht="12.75" customHeight="1" x14ac:dyDescent="0.15">
      <c r="A40" s="159"/>
      <c r="B40" s="159"/>
      <c r="C40" s="160"/>
      <c r="D40" s="161"/>
      <c r="E40" s="160"/>
      <c r="F40" s="159"/>
      <c r="G40" s="162"/>
      <c r="H40" s="128"/>
      <c r="I40" s="128"/>
      <c r="J40" s="128"/>
      <c r="K40" s="128"/>
      <c r="Q40" s="76"/>
      <c r="R40" s="169"/>
      <c r="S40" s="169"/>
      <c r="U40" s="165"/>
      <c r="V40" s="38"/>
      <c r="W40" s="166"/>
      <c r="X40" s="167"/>
      <c r="Y40" s="173"/>
      <c r="Z40" s="173"/>
      <c r="AA40" s="173"/>
    </row>
    <row r="41" spans="1:27" ht="12.75" customHeight="1" x14ac:dyDescent="0.15">
      <c r="A41" s="128"/>
      <c r="B41" s="159"/>
      <c r="C41" s="160"/>
      <c r="D41" s="161"/>
      <c r="E41" s="160"/>
      <c r="F41" s="159"/>
      <c r="G41" s="162"/>
      <c r="H41" s="128"/>
      <c r="I41" s="128"/>
      <c r="J41" s="128"/>
      <c r="K41" s="128"/>
      <c r="Q41" s="76" t="str">
        <f t="shared" si="1"/>
        <v/>
      </c>
      <c r="R41" s="169"/>
      <c r="S41" s="169"/>
      <c r="T41" s="16" t="str">
        <f t="shared" si="0"/>
        <v/>
      </c>
      <c r="U41" s="165"/>
      <c r="V41" s="38" t="str">
        <f t="shared" ref="V41:V91" si="3">IF(OR(N41="",U41="",T41=""),"",U41/N41*T41)</f>
        <v/>
      </c>
      <c r="X41" s="167"/>
      <c r="Y41" s="174"/>
      <c r="Z41" s="174"/>
      <c r="AA41" s="174"/>
    </row>
    <row r="42" spans="1:27" ht="12.75" customHeight="1" x14ac:dyDescent="0.15">
      <c r="A42" s="128"/>
      <c r="B42" s="159"/>
      <c r="C42" s="160"/>
      <c r="D42" s="161"/>
      <c r="E42" s="160"/>
      <c r="F42" s="159"/>
      <c r="G42" s="162"/>
      <c r="H42" s="128"/>
      <c r="I42" s="128"/>
      <c r="J42" s="128"/>
      <c r="K42" s="128"/>
      <c r="Q42" s="76" t="str">
        <f t="shared" si="1"/>
        <v/>
      </c>
      <c r="R42" s="169"/>
      <c r="S42" s="169"/>
      <c r="T42" s="16" t="str">
        <f t="shared" si="0"/>
        <v/>
      </c>
      <c r="U42" s="165"/>
      <c r="V42" s="38" t="str">
        <f t="shared" si="3"/>
        <v/>
      </c>
      <c r="X42" s="167"/>
      <c r="Y42" s="174"/>
      <c r="Z42" s="174"/>
      <c r="AA42" s="174"/>
    </row>
    <row r="43" spans="1:27" ht="12.75" customHeight="1" x14ac:dyDescent="0.15">
      <c r="A43" s="128"/>
      <c r="B43" s="159"/>
      <c r="C43" s="160"/>
      <c r="D43" s="161"/>
      <c r="E43" s="160"/>
      <c r="F43" s="159"/>
      <c r="G43" s="162"/>
      <c r="H43" s="128"/>
      <c r="I43" s="128"/>
      <c r="J43" s="128"/>
      <c r="K43" s="128"/>
      <c r="Q43" s="76" t="str">
        <f t="shared" si="1"/>
        <v/>
      </c>
      <c r="R43" s="169"/>
      <c r="S43" s="169"/>
      <c r="T43" s="16" t="str">
        <f t="shared" si="0"/>
        <v/>
      </c>
      <c r="U43" s="165"/>
      <c r="V43" s="38" t="str">
        <f t="shared" si="3"/>
        <v/>
      </c>
      <c r="X43" s="167"/>
      <c r="Y43" s="174"/>
      <c r="Z43" s="174"/>
      <c r="AA43" s="174"/>
    </row>
    <row r="44" spans="1:27" x14ac:dyDescent="0.15">
      <c r="B44" s="159"/>
      <c r="C44" s="160"/>
      <c r="D44" s="161"/>
      <c r="E44" s="160"/>
      <c r="F44" s="159"/>
      <c r="G44" s="162"/>
      <c r="H44" s="128"/>
      <c r="I44" s="128"/>
      <c r="K44" s="128"/>
      <c r="Q44" s="76"/>
      <c r="R44" s="169"/>
      <c r="S44" s="169"/>
      <c r="U44" s="165"/>
      <c r="X44" s="167"/>
      <c r="Y44" s="174"/>
      <c r="Z44" s="174"/>
      <c r="AA44" s="174"/>
    </row>
    <row r="45" spans="1:27" x14ac:dyDescent="0.15">
      <c r="B45" s="159"/>
      <c r="C45" s="159"/>
      <c r="D45" s="161"/>
      <c r="E45" s="160"/>
      <c r="F45" s="159"/>
      <c r="G45" s="162"/>
      <c r="H45" s="128"/>
      <c r="I45" s="128"/>
      <c r="K45" s="128"/>
      <c r="Q45" s="76"/>
      <c r="R45" s="169"/>
      <c r="S45" s="169"/>
      <c r="U45" s="165"/>
      <c r="X45" s="167"/>
      <c r="Y45" s="174"/>
      <c r="Z45" s="174"/>
      <c r="AA45" s="174"/>
    </row>
    <row r="46" spans="1:27" x14ac:dyDescent="0.15">
      <c r="B46" s="159"/>
      <c r="C46" s="160"/>
      <c r="D46" s="161"/>
      <c r="E46" s="160"/>
      <c r="F46" s="159"/>
      <c r="G46" s="162"/>
      <c r="H46" s="128"/>
      <c r="I46" s="128"/>
      <c r="K46" s="128"/>
      <c r="Q46" s="76"/>
      <c r="R46" s="169"/>
      <c r="S46" s="169"/>
      <c r="U46" s="165"/>
      <c r="X46" s="167"/>
      <c r="Y46" s="174"/>
      <c r="Z46" s="174"/>
      <c r="AA46" s="174"/>
    </row>
    <row r="47" spans="1:27" x14ac:dyDescent="0.15">
      <c r="B47" s="34"/>
      <c r="D47" s="175"/>
      <c r="F47" s="159"/>
      <c r="G47" s="162"/>
      <c r="H47" s="128"/>
      <c r="I47" s="128"/>
      <c r="K47" s="128"/>
      <c r="Q47" s="76"/>
      <c r="R47" s="169"/>
      <c r="S47" s="169"/>
      <c r="X47" s="167"/>
    </row>
    <row r="48" spans="1:27" x14ac:dyDescent="0.15">
      <c r="B48" s="34"/>
      <c r="D48" s="175"/>
      <c r="F48" s="159"/>
      <c r="G48" s="162"/>
      <c r="H48" s="128"/>
      <c r="I48" s="128"/>
      <c r="K48" s="128"/>
      <c r="Q48" s="76"/>
      <c r="R48" s="169"/>
      <c r="S48" s="169"/>
      <c r="X48" s="167"/>
    </row>
    <row r="49" spans="2:24" x14ac:dyDescent="0.15">
      <c r="B49" s="34"/>
      <c r="D49" s="175"/>
      <c r="F49" s="159"/>
      <c r="G49" s="162"/>
      <c r="H49" s="128"/>
      <c r="I49" s="128"/>
      <c r="K49" s="128"/>
      <c r="Q49" s="76"/>
      <c r="R49" s="169"/>
      <c r="S49" s="169"/>
      <c r="X49" s="167"/>
    </row>
    <row r="50" spans="2:24" x14ac:dyDescent="0.15">
      <c r="D50" s="175"/>
      <c r="F50" s="159"/>
      <c r="G50" s="162"/>
      <c r="K50" s="128"/>
      <c r="Q50" s="76"/>
      <c r="X50" s="167"/>
    </row>
    <row r="51" spans="2:24" x14ac:dyDescent="0.15">
      <c r="D51" s="175"/>
      <c r="F51" s="159"/>
      <c r="G51" s="162"/>
      <c r="K51" s="128"/>
      <c r="Q51" s="76"/>
      <c r="X51" s="167"/>
    </row>
    <row r="52" spans="2:24" x14ac:dyDescent="0.15">
      <c r="D52" s="175"/>
      <c r="F52" s="159"/>
      <c r="G52" s="162"/>
      <c r="K52" s="128"/>
      <c r="Q52" s="76"/>
      <c r="X52" s="167"/>
    </row>
    <row r="53" spans="2:24" x14ac:dyDescent="0.15">
      <c r="D53" s="175"/>
      <c r="F53" s="159"/>
      <c r="G53" s="162"/>
      <c r="K53" s="128"/>
      <c r="Q53" s="76"/>
      <c r="X53" s="167"/>
    </row>
    <row r="54" spans="2:24" x14ac:dyDescent="0.15">
      <c r="D54" s="175"/>
      <c r="F54" s="159"/>
      <c r="G54" s="162"/>
      <c r="K54" s="128"/>
      <c r="Q54" s="76"/>
      <c r="X54" s="167"/>
    </row>
    <row r="55" spans="2:24" x14ac:dyDescent="0.15">
      <c r="D55" s="175"/>
      <c r="F55" s="159"/>
      <c r="G55" s="162"/>
      <c r="K55" s="128"/>
      <c r="Q55" s="76"/>
      <c r="X55" s="167"/>
    </row>
    <row r="56" spans="2:24" x14ac:dyDescent="0.15">
      <c r="D56" s="175"/>
      <c r="F56" s="159"/>
      <c r="G56" s="162"/>
      <c r="K56" s="128"/>
      <c r="Q56" s="76"/>
      <c r="X56" s="167"/>
    </row>
    <row r="57" spans="2:24" x14ac:dyDescent="0.15">
      <c r="D57" s="175"/>
      <c r="F57" s="159"/>
      <c r="G57" s="162"/>
      <c r="K57" s="128"/>
      <c r="Q57" s="76"/>
      <c r="X57" s="167"/>
    </row>
    <row r="58" spans="2:24" x14ac:dyDescent="0.15">
      <c r="D58" s="175"/>
      <c r="F58" s="159"/>
      <c r="G58" s="162"/>
      <c r="K58" s="128"/>
      <c r="Q58" s="76"/>
      <c r="X58" s="167"/>
    </row>
    <row r="59" spans="2:24" x14ac:dyDescent="0.15">
      <c r="D59" s="175"/>
      <c r="F59" s="159"/>
      <c r="G59" s="162"/>
      <c r="K59" s="128"/>
      <c r="Q59" s="76"/>
      <c r="X59" s="167"/>
    </row>
    <row r="60" spans="2:24" x14ac:dyDescent="0.15">
      <c r="D60" s="175"/>
      <c r="F60" s="159"/>
      <c r="G60" s="162"/>
      <c r="K60" s="128"/>
      <c r="Q60" s="76"/>
      <c r="X60" s="167"/>
    </row>
    <row r="61" spans="2:24" x14ac:dyDescent="0.15">
      <c r="D61" s="175"/>
      <c r="F61" s="159"/>
      <c r="G61" s="162"/>
      <c r="K61" s="128"/>
      <c r="Q61" s="76"/>
      <c r="X61" s="167"/>
    </row>
    <row r="62" spans="2:24" x14ac:dyDescent="0.15">
      <c r="D62" s="175"/>
      <c r="F62" s="159"/>
      <c r="G62" s="162"/>
      <c r="K62" s="128"/>
      <c r="Q62" s="76" t="str">
        <f t="shared" ref="Q62:Q91" si="4">IF(OR(O62="",P62=""),"",AVERAGE(O62,P62))</f>
        <v/>
      </c>
      <c r="T62" s="16" t="str">
        <f t="shared" si="0"/>
        <v/>
      </c>
      <c r="V62" s="16" t="str">
        <f t="shared" si="3"/>
        <v/>
      </c>
      <c r="X62" s="167"/>
    </row>
    <row r="63" spans="2:24" x14ac:dyDescent="0.15">
      <c r="D63" s="175"/>
      <c r="F63" s="159"/>
      <c r="G63" s="162"/>
      <c r="K63" s="128"/>
      <c r="Q63" s="76" t="str">
        <f t="shared" si="4"/>
        <v/>
      </c>
      <c r="T63" s="16" t="str">
        <f t="shared" si="0"/>
        <v/>
      </c>
      <c r="V63" s="16" t="str">
        <f t="shared" si="3"/>
        <v/>
      </c>
      <c r="X63" s="167"/>
    </row>
    <row r="64" spans="2:24" x14ac:dyDescent="0.15">
      <c r="D64" s="175"/>
      <c r="F64" s="159"/>
      <c r="G64" s="162"/>
      <c r="K64" s="128"/>
      <c r="Q64" s="76" t="str">
        <f t="shared" si="4"/>
        <v/>
      </c>
      <c r="T64" s="16" t="str">
        <f t="shared" si="0"/>
        <v/>
      </c>
      <c r="V64" s="16" t="str">
        <f t="shared" si="3"/>
        <v/>
      </c>
      <c r="X64" s="167"/>
    </row>
    <row r="65" spans="4:24" x14ac:dyDescent="0.15">
      <c r="D65" s="175"/>
      <c r="F65" s="159"/>
      <c r="G65" s="162"/>
      <c r="K65" s="128"/>
      <c r="Q65" s="76" t="str">
        <f t="shared" si="4"/>
        <v/>
      </c>
      <c r="T65" s="16" t="str">
        <f t="shared" si="0"/>
        <v/>
      </c>
      <c r="V65" s="16" t="str">
        <f t="shared" si="3"/>
        <v/>
      </c>
      <c r="X65" s="167"/>
    </row>
    <row r="66" spans="4:24" x14ac:dyDescent="0.15">
      <c r="D66" s="175"/>
      <c r="F66" s="159"/>
      <c r="G66" s="162"/>
      <c r="K66" s="128"/>
      <c r="Q66" s="76" t="str">
        <f t="shared" si="4"/>
        <v/>
      </c>
      <c r="T66" s="16" t="str">
        <f t="shared" ref="T66:T91" si="5">IF(H66="","",IF(OR(H66="GREEN",H66="GK"),IF(S66&gt;=$AX$2,VLOOKUP(S66,$AX$2:$AY$7,2,1),""),IF(S66&gt;=$AZ$2,VLOOKUP(S66,$AZ$2:$BA$7,2,1),"")))</f>
        <v/>
      </c>
      <c r="V66" s="16" t="str">
        <f t="shared" si="3"/>
        <v/>
      </c>
      <c r="X66" s="167"/>
    </row>
    <row r="67" spans="4:24" x14ac:dyDescent="0.15">
      <c r="D67" s="175"/>
      <c r="F67" s="159"/>
      <c r="G67" s="162"/>
      <c r="K67" s="128"/>
      <c r="Q67" s="76" t="str">
        <f t="shared" si="4"/>
        <v/>
      </c>
      <c r="T67" s="16" t="str">
        <f t="shared" si="5"/>
        <v/>
      </c>
      <c r="V67" s="16" t="str">
        <f t="shared" si="3"/>
        <v/>
      </c>
      <c r="X67" s="167"/>
    </row>
    <row r="68" spans="4:24" x14ac:dyDescent="0.15">
      <c r="D68" s="175"/>
      <c r="F68" s="159"/>
      <c r="G68" s="162"/>
      <c r="K68" s="128"/>
      <c r="Q68" s="76" t="str">
        <f t="shared" si="4"/>
        <v/>
      </c>
      <c r="T68" s="16" t="str">
        <f t="shared" si="5"/>
        <v/>
      </c>
      <c r="V68" s="16" t="str">
        <f t="shared" si="3"/>
        <v/>
      </c>
      <c r="X68" s="167"/>
    </row>
    <row r="69" spans="4:24" x14ac:dyDescent="0.15">
      <c r="D69" s="175"/>
      <c r="F69" s="159"/>
      <c r="G69" s="162"/>
      <c r="K69" s="128"/>
      <c r="Q69" s="76" t="str">
        <f t="shared" si="4"/>
        <v/>
      </c>
      <c r="T69" s="16" t="str">
        <f t="shared" si="5"/>
        <v/>
      </c>
      <c r="V69" s="16" t="str">
        <f t="shared" si="3"/>
        <v/>
      </c>
      <c r="X69" s="167"/>
    </row>
    <row r="70" spans="4:24" x14ac:dyDescent="0.15">
      <c r="D70" s="175"/>
      <c r="F70" s="159"/>
      <c r="G70" s="162"/>
      <c r="K70" s="128"/>
      <c r="Q70" s="76" t="str">
        <f t="shared" si="4"/>
        <v/>
      </c>
      <c r="T70" s="16" t="str">
        <f t="shared" si="5"/>
        <v/>
      </c>
      <c r="V70" s="16" t="str">
        <f t="shared" si="3"/>
        <v/>
      </c>
      <c r="X70" s="167"/>
    </row>
    <row r="71" spans="4:24" x14ac:dyDescent="0.15">
      <c r="D71" s="175"/>
      <c r="F71" s="159"/>
      <c r="G71" s="162"/>
      <c r="K71" s="128"/>
      <c r="Q71" s="76" t="str">
        <f t="shared" si="4"/>
        <v/>
      </c>
      <c r="T71" s="16" t="str">
        <f t="shared" si="5"/>
        <v/>
      </c>
      <c r="V71" s="16" t="str">
        <f t="shared" si="3"/>
        <v/>
      </c>
      <c r="X71" s="167"/>
    </row>
    <row r="72" spans="4:24" x14ac:dyDescent="0.15">
      <c r="D72" s="175"/>
      <c r="F72" s="159"/>
      <c r="G72" s="162"/>
      <c r="K72" s="128"/>
      <c r="Q72" s="76" t="str">
        <f t="shared" si="4"/>
        <v/>
      </c>
      <c r="T72" s="16" t="str">
        <f t="shared" si="5"/>
        <v/>
      </c>
      <c r="V72" s="16" t="str">
        <f t="shared" si="3"/>
        <v/>
      </c>
      <c r="X72" s="167"/>
    </row>
    <row r="73" spans="4:24" x14ac:dyDescent="0.15">
      <c r="D73" s="175"/>
      <c r="F73" s="159"/>
      <c r="G73" s="162"/>
      <c r="K73" s="128"/>
      <c r="Q73" s="76" t="str">
        <f t="shared" si="4"/>
        <v/>
      </c>
      <c r="T73" s="16" t="str">
        <f t="shared" si="5"/>
        <v/>
      </c>
      <c r="V73" s="16" t="str">
        <f t="shared" si="3"/>
        <v/>
      </c>
      <c r="X73" s="167"/>
    </row>
    <row r="74" spans="4:24" x14ac:dyDescent="0.15">
      <c r="D74" s="175"/>
      <c r="F74" s="159"/>
      <c r="G74" s="162"/>
      <c r="K74" s="128"/>
      <c r="Q74" s="76" t="str">
        <f t="shared" si="4"/>
        <v/>
      </c>
      <c r="T74" s="16" t="str">
        <f t="shared" si="5"/>
        <v/>
      </c>
      <c r="V74" s="16" t="str">
        <f t="shared" si="3"/>
        <v/>
      </c>
      <c r="X74" s="167"/>
    </row>
    <row r="75" spans="4:24" x14ac:dyDescent="0.15">
      <c r="D75" s="175"/>
      <c r="F75" s="159"/>
      <c r="G75" s="162"/>
      <c r="K75" s="128"/>
      <c r="Q75" s="76" t="str">
        <f t="shared" si="4"/>
        <v/>
      </c>
      <c r="T75" s="16" t="str">
        <f t="shared" si="5"/>
        <v/>
      </c>
      <c r="V75" s="16" t="str">
        <f t="shared" si="3"/>
        <v/>
      </c>
      <c r="X75" s="167"/>
    </row>
    <row r="76" spans="4:24" x14ac:dyDescent="0.15">
      <c r="D76" s="175"/>
      <c r="F76" s="159"/>
      <c r="G76" s="162"/>
      <c r="K76" s="128"/>
      <c r="Q76" s="76" t="str">
        <f t="shared" si="4"/>
        <v/>
      </c>
      <c r="T76" s="16" t="str">
        <f t="shared" si="5"/>
        <v/>
      </c>
      <c r="V76" s="16" t="str">
        <f t="shared" si="3"/>
        <v/>
      </c>
      <c r="X76" s="167"/>
    </row>
    <row r="77" spans="4:24" x14ac:dyDescent="0.15">
      <c r="D77" s="175"/>
      <c r="F77" s="159"/>
      <c r="G77" s="162"/>
      <c r="K77" s="128"/>
      <c r="Q77" s="76" t="str">
        <f t="shared" si="4"/>
        <v/>
      </c>
      <c r="T77" s="16" t="str">
        <f t="shared" si="5"/>
        <v/>
      </c>
      <c r="V77" s="16" t="str">
        <f t="shared" si="3"/>
        <v/>
      </c>
      <c r="X77" s="167"/>
    </row>
    <row r="78" spans="4:24" x14ac:dyDescent="0.15">
      <c r="D78" s="175"/>
      <c r="F78" s="159"/>
      <c r="G78" s="162"/>
      <c r="K78" s="128"/>
      <c r="Q78" s="76" t="str">
        <f t="shared" si="4"/>
        <v/>
      </c>
      <c r="T78" s="16" t="str">
        <f t="shared" si="5"/>
        <v/>
      </c>
      <c r="V78" s="16" t="str">
        <f t="shared" si="3"/>
        <v/>
      </c>
      <c r="X78" s="167"/>
    </row>
    <row r="79" spans="4:24" x14ac:dyDescent="0.15">
      <c r="D79" s="175"/>
      <c r="F79" s="159"/>
      <c r="G79" s="162"/>
      <c r="K79" s="128"/>
      <c r="Q79" s="76" t="str">
        <f t="shared" si="4"/>
        <v/>
      </c>
      <c r="T79" s="16" t="str">
        <f t="shared" si="5"/>
        <v/>
      </c>
      <c r="V79" s="16" t="str">
        <f t="shared" si="3"/>
        <v/>
      </c>
      <c r="X79" s="167"/>
    </row>
    <row r="80" spans="4:24" x14ac:dyDescent="0.15">
      <c r="K80" s="128"/>
      <c r="Q80" s="76" t="str">
        <f t="shared" si="4"/>
        <v/>
      </c>
      <c r="T80" s="16" t="str">
        <f t="shared" si="5"/>
        <v/>
      </c>
      <c r="V80" s="16" t="str">
        <f t="shared" si="3"/>
        <v/>
      </c>
    </row>
    <row r="81" spans="11:22" x14ac:dyDescent="0.15">
      <c r="K81" s="128"/>
      <c r="Q81" s="76" t="str">
        <f t="shared" si="4"/>
        <v/>
      </c>
      <c r="T81" s="16" t="str">
        <f t="shared" si="5"/>
        <v/>
      </c>
      <c r="V81" s="16" t="str">
        <f t="shared" si="3"/>
        <v/>
      </c>
    </row>
    <row r="82" spans="11:22" x14ac:dyDescent="0.15">
      <c r="K82" s="128"/>
      <c r="Q82" s="76" t="str">
        <f t="shared" si="4"/>
        <v/>
      </c>
      <c r="T82" s="16" t="str">
        <f t="shared" si="5"/>
        <v/>
      </c>
      <c r="V82" s="16" t="str">
        <f t="shared" si="3"/>
        <v/>
      </c>
    </row>
    <row r="83" spans="11:22" x14ac:dyDescent="0.15">
      <c r="K83" s="128"/>
      <c r="Q83" s="76" t="str">
        <f t="shared" si="4"/>
        <v/>
      </c>
      <c r="T83" s="16" t="str">
        <f t="shared" si="5"/>
        <v/>
      </c>
      <c r="V83" s="16" t="str">
        <f t="shared" si="3"/>
        <v/>
      </c>
    </row>
    <row r="84" spans="11:22" x14ac:dyDescent="0.15">
      <c r="K84" s="128"/>
      <c r="Q84" s="76" t="str">
        <f t="shared" si="4"/>
        <v/>
      </c>
      <c r="T84" s="16" t="str">
        <f t="shared" si="5"/>
        <v/>
      </c>
      <c r="V84" s="16" t="str">
        <f t="shared" si="3"/>
        <v/>
      </c>
    </row>
    <row r="85" spans="11:22" x14ac:dyDescent="0.15">
      <c r="K85" s="128"/>
      <c r="Q85" s="76" t="str">
        <f t="shared" si="4"/>
        <v/>
      </c>
      <c r="T85" s="16" t="str">
        <f t="shared" si="5"/>
        <v/>
      </c>
      <c r="V85" s="16" t="str">
        <f t="shared" si="3"/>
        <v/>
      </c>
    </row>
    <row r="86" spans="11:22" x14ac:dyDescent="0.15">
      <c r="K86" s="128"/>
      <c r="Q86" s="76" t="str">
        <f t="shared" si="4"/>
        <v/>
      </c>
      <c r="T86" s="16" t="str">
        <f t="shared" si="5"/>
        <v/>
      </c>
      <c r="V86" s="16" t="str">
        <f t="shared" si="3"/>
        <v/>
      </c>
    </row>
    <row r="87" spans="11:22" x14ac:dyDescent="0.15">
      <c r="K87" s="128"/>
      <c r="Q87" s="76" t="str">
        <f t="shared" si="4"/>
        <v/>
      </c>
      <c r="T87" s="16" t="str">
        <f t="shared" si="5"/>
        <v/>
      </c>
      <c r="V87" s="16" t="str">
        <f t="shared" si="3"/>
        <v/>
      </c>
    </row>
    <row r="88" spans="11:22" x14ac:dyDescent="0.15">
      <c r="K88" s="128"/>
      <c r="Q88" s="76" t="str">
        <f t="shared" si="4"/>
        <v/>
      </c>
      <c r="T88" s="16" t="str">
        <f t="shared" si="5"/>
        <v/>
      </c>
      <c r="V88" s="16" t="str">
        <f t="shared" si="3"/>
        <v/>
      </c>
    </row>
    <row r="89" spans="11:22" x14ac:dyDescent="0.15">
      <c r="K89" s="128"/>
      <c r="Q89" s="76" t="str">
        <f t="shared" si="4"/>
        <v/>
      </c>
      <c r="T89" s="16" t="str">
        <f t="shared" si="5"/>
        <v/>
      </c>
      <c r="V89" s="16" t="str">
        <f t="shared" si="3"/>
        <v/>
      </c>
    </row>
    <row r="90" spans="11:22" x14ac:dyDescent="0.15">
      <c r="K90" s="128"/>
      <c r="Q90" s="76" t="str">
        <f t="shared" si="4"/>
        <v/>
      </c>
      <c r="T90" s="16" t="str">
        <f t="shared" si="5"/>
        <v/>
      </c>
      <c r="V90" s="16" t="str">
        <f t="shared" si="3"/>
        <v/>
      </c>
    </row>
    <row r="91" spans="11:22" x14ac:dyDescent="0.15">
      <c r="K91" s="128"/>
      <c r="Q91" s="76" t="str">
        <f t="shared" si="4"/>
        <v/>
      </c>
      <c r="T91" s="16" t="str">
        <f t="shared" si="5"/>
        <v/>
      </c>
      <c r="V91" s="16" t="str">
        <f t="shared" si="3"/>
        <v/>
      </c>
    </row>
    <row r="92" spans="11:22" x14ac:dyDescent="0.15">
      <c r="K92" s="128"/>
      <c r="Q92" s="76"/>
    </row>
    <row r="93" spans="11:22" x14ac:dyDescent="0.15">
      <c r="K93" s="128"/>
      <c r="Q93" s="76"/>
    </row>
    <row r="94" spans="11:22" x14ac:dyDescent="0.15">
      <c r="K94" s="128"/>
      <c r="Q94" s="76"/>
    </row>
    <row r="95" spans="11:22" x14ac:dyDescent="0.15">
      <c r="K95" s="128"/>
      <c r="Q95" s="76"/>
    </row>
    <row r="96" spans="11:22" x14ac:dyDescent="0.15">
      <c r="K96" s="128"/>
      <c r="Q96" s="76"/>
    </row>
    <row r="97" spans="11:17" x14ac:dyDescent="0.15">
      <c r="K97" s="128"/>
      <c r="Q97" s="76"/>
    </row>
    <row r="98" spans="11:17" x14ac:dyDescent="0.15">
      <c r="K98" s="128"/>
      <c r="Q98" s="76"/>
    </row>
    <row r="99" spans="11:17" x14ac:dyDescent="0.15">
      <c r="K99" s="128"/>
      <c r="Q99" s="76"/>
    </row>
    <row r="100" spans="11:17" x14ac:dyDescent="0.15">
      <c r="K100" s="128"/>
      <c r="Q100" s="76"/>
    </row>
    <row r="101" spans="11:17" x14ac:dyDescent="0.15">
      <c r="K101" s="128"/>
      <c r="Q101" s="76"/>
    </row>
    <row r="102" spans="11:17" x14ac:dyDescent="0.15">
      <c r="K102" s="128"/>
      <c r="Q102" s="76"/>
    </row>
    <row r="103" spans="11:17" x14ac:dyDescent="0.15">
      <c r="K103" s="128"/>
      <c r="Q103" s="76"/>
    </row>
    <row r="104" spans="11:17" x14ac:dyDescent="0.15">
      <c r="K104" s="128"/>
      <c r="Q104" s="76"/>
    </row>
    <row r="105" spans="11:17" x14ac:dyDescent="0.15">
      <c r="K105" s="128"/>
      <c r="Q105" s="76"/>
    </row>
    <row r="106" spans="11:17" x14ac:dyDescent="0.15">
      <c r="K106" s="128"/>
      <c r="Q106" s="76"/>
    </row>
    <row r="107" spans="11:17" x14ac:dyDescent="0.15">
      <c r="K107" s="128"/>
      <c r="Q107" s="76"/>
    </row>
    <row r="108" spans="11:17" x14ac:dyDescent="0.15">
      <c r="K108" s="128"/>
      <c r="Q108" s="76"/>
    </row>
    <row r="109" spans="11:17" x14ac:dyDescent="0.15">
      <c r="K109" s="128"/>
      <c r="Q109" s="76"/>
    </row>
    <row r="110" spans="11:17" x14ac:dyDescent="0.15">
      <c r="K110" s="128"/>
      <c r="Q110" s="76"/>
    </row>
    <row r="111" spans="11:17" x14ac:dyDescent="0.15">
      <c r="K111" s="128"/>
      <c r="Q111" s="76"/>
    </row>
    <row r="112" spans="11:17" x14ac:dyDescent="0.15">
      <c r="K112" s="128"/>
      <c r="Q112" s="76"/>
    </row>
    <row r="113" spans="11:17" x14ac:dyDescent="0.15">
      <c r="K113" s="128"/>
      <c r="Q113" s="76"/>
    </row>
    <row r="114" spans="11:17" x14ac:dyDescent="0.15">
      <c r="K114" s="128"/>
      <c r="Q114" s="76"/>
    </row>
    <row r="115" spans="11:17" x14ac:dyDescent="0.15">
      <c r="K115" s="128"/>
      <c r="Q115" s="76"/>
    </row>
    <row r="116" spans="11:17" x14ac:dyDescent="0.15">
      <c r="K116" s="128"/>
      <c r="Q116" s="76"/>
    </row>
    <row r="117" spans="11:17" x14ac:dyDescent="0.15">
      <c r="K117" s="128"/>
      <c r="Q117" s="76"/>
    </row>
    <row r="118" spans="11:17" x14ac:dyDescent="0.15">
      <c r="K118" s="128"/>
      <c r="Q118" s="76"/>
    </row>
    <row r="119" spans="11:17" x14ac:dyDescent="0.15">
      <c r="K119" s="128"/>
      <c r="Q119" s="76"/>
    </row>
    <row r="120" spans="11:17" x14ac:dyDescent="0.15">
      <c r="K120" s="128"/>
      <c r="Q120" s="76"/>
    </row>
    <row r="121" spans="11:17" x14ac:dyDescent="0.15">
      <c r="K121" s="128"/>
      <c r="Q121" s="76"/>
    </row>
    <row r="122" spans="11:17" x14ac:dyDescent="0.15">
      <c r="K122" s="128"/>
      <c r="Q122" s="76"/>
    </row>
    <row r="123" spans="11:17" x14ac:dyDescent="0.15">
      <c r="K123" s="128"/>
      <c r="Q123" s="76"/>
    </row>
    <row r="124" spans="11:17" x14ac:dyDescent="0.15">
      <c r="K124" s="128"/>
      <c r="Q124" s="76"/>
    </row>
    <row r="125" spans="11:17" x14ac:dyDescent="0.15">
      <c r="K125" s="128"/>
      <c r="Q125" s="76"/>
    </row>
    <row r="126" spans="11:17" x14ac:dyDescent="0.15">
      <c r="K126" s="128"/>
      <c r="Q126" s="76"/>
    </row>
    <row r="127" spans="11:17" x14ac:dyDescent="0.15">
      <c r="K127" s="128"/>
      <c r="Q127" s="76"/>
    </row>
    <row r="128" spans="11:17" x14ac:dyDescent="0.15">
      <c r="K128" s="128"/>
      <c r="Q128" s="76"/>
    </row>
    <row r="129" spans="11:17" x14ac:dyDescent="0.15">
      <c r="K129" s="128"/>
      <c r="Q129" s="76"/>
    </row>
    <row r="130" spans="11:17" x14ac:dyDescent="0.15">
      <c r="K130" s="128"/>
      <c r="Q130" s="76"/>
    </row>
    <row r="131" spans="11:17" x14ac:dyDescent="0.15">
      <c r="K131" s="128"/>
      <c r="Q131" s="76"/>
    </row>
    <row r="132" spans="11:17" x14ac:dyDescent="0.15">
      <c r="K132" s="128"/>
      <c r="Q132" s="76"/>
    </row>
    <row r="133" spans="11:17" x14ac:dyDescent="0.15">
      <c r="K133" s="128"/>
      <c r="Q133" s="76"/>
    </row>
    <row r="134" spans="11:17" x14ac:dyDescent="0.15">
      <c r="K134" s="128"/>
      <c r="Q134" s="76"/>
    </row>
    <row r="135" spans="11:17" x14ac:dyDescent="0.15">
      <c r="K135" s="128"/>
      <c r="Q135" s="76"/>
    </row>
    <row r="136" spans="11:17" x14ac:dyDescent="0.15">
      <c r="K136" s="128"/>
      <c r="Q136" s="76"/>
    </row>
    <row r="137" spans="11:17" x14ac:dyDescent="0.15">
      <c r="K137" s="128"/>
      <c r="Q137" s="76"/>
    </row>
    <row r="138" spans="11:17" x14ac:dyDescent="0.15">
      <c r="K138" s="128"/>
      <c r="Q138" s="76"/>
    </row>
    <row r="139" spans="11:17" x14ac:dyDescent="0.15">
      <c r="K139" s="128"/>
      <c r="Q139" s="76"/>
    </row>
    <row r="140" spans="11:17" x14ac:dyDescent="0.15">
      <c r="K140" s="128"/>
      <c r="Q140" s="76"/>
    </row>
    <row r="141" spans="11:17" x14ac:dyDescent="0.15">
      <c r="K141" s="128"/>
      <c r="Q141" s="76"/>
    </row>
    <row r="142" spans="11:17" x14ac:dyDescent="0.15">
      <c r="K142" s="128"/>
      <c r="Q142" s="76"/>
    </row>
    <row r="143" spans="11:17" x14ac:dyDescent="0.15">
      <c r="K143" s="128"/>
      <c r="Q143" s="76"/>
    </row>
    <row r="144" spans="11:17" x14ac:dyDescent="0.15">
      <c r="K144" s="128"/>
      <c r="Q144" s="76"/>
    </row>
    <row r="145" spans="11:17" x14ac:dyDescent="0.15">
      <c r="K145" s="128"/>
      <c r="Q145" s="76"/>
    </row>
    <row r="146" spans="11:17" x14ac:dyDescent="0.15">
      <c r="K146" s="128"/>
      <c r="Q146" s="76"/>
    </row>
    <row r="147" spans="11:17" x14ac:dyDescent="0.15">
      <c r="K147" s="128"/>
      <c r="Q147" s="76"/>
    </row>
    <row r="148" spans="11:17" x14ac:dyDescent="0.15">
      <c r="K148" s="128"/>
      <c r="Q148" s="76"/>
    </row>
    <row r="149" spans="11:17" x14ac:dyDescent="0.15">
      <c r="K149" s="128"/>
      <c r="Q149" s="76"/>
    </row>
    <row r="150" spans="11:17" x14ac:dyDescent="0.15">
      <c r="K150" s="128"/>
      <c r="Q150" s="76"/>
    </row>
    <row r="151" spans="11:17" x14ac:dyDescent="0.15">
      <c r="K151" s="128"/>
      <c r="Q151" s="76"/>
    </row>
    <row r="152" spans="11:17" x14ac:dyDescent="0.15">
      <c r="K152" s="128"/>
      <c r="Q152" s="76"/>
    </row>
    <row r="153" spans="11:17" x14ac:dyDescent="0.15">
      <c r="K153" s="128"/>
      <c r="Q153" s="76"/>
    </row>
    <row r="154" spans="11:17" x14ac:dyDescent="0.15">
      <c r="K154" s="128"/>
      <c r="Q154" s="76"/>
    </row>
    <row r="155" spans="11:17" x14ac:dyDescent="0.15">
      <c r="K155" s="128"/>
      <c r="Q155" s="76"/>
    </row>
    <row r="156" spans="11:17" x14ac:dyDescent="0.15">
      <c r="K156" s="128"/>
      <c r="Q156" s="76"/>
    </row>
    <row r="157" spans="11:17" x14ac:dyDescent="0.15">
      <c r="K157" s="128"/>
      <c r="Q157" s="76"/>
    </row>
    <row r="158" spans="11:17" x14ac:dyDescent="0.15">
      <c r="K158" s="128"/>
      <c r="Q158" s="76"/>
    </row>
    <row r="159" spans="11:17" x14ac:dyDescent="0.15">
      <c r="K159" s="128"/>
      <c r="Q159" s="76"/>
    </row>
    <row r="160" spans="11:17" x14ac:dyDescent="0.15">
      <c r="K160" s="128"/>
      <c r="Q160" s="76"/>
    </row>
    <row r="161" spans="11:17" x14ac:dyDescent="0.15">
      <c r="K161" s="128"/>
      <c r="Q161" s="76"/>
    </row>
    <row r="162" spans="11:17" x14ac:dyDescent="0.15">
      <c r="K162" s="128"/>
      <c r="Q162" s="76"/>
    </row>
    <row r="163" spans="11:17" x14ac:dyDescent="0.15">
      <c r="K163" s="128"/>
      <c r="Q163" s="76"/>
    </row>
    <row r="164" spans="11:17" x14ac:dyDescent="0.15">
      <c r="K164" s="128"/>
      <c r="Q164" s="76"/>
    </row>
    <row r="165" spans="11:17" x14ac:dyDescent="0.15">
      <c r="K165" s="128"/>
      <c r="Q165" s="76"/>
    </row>
    <row r="166" spans="11:17" x14ac:dyDescent="0.15">
      <c r="K166" s="128"/>
      <c r="Q166" s="76"/>
    </row>
    <row r="167" spans="11:17" x14ac:dyDescent="0.15">
      <c r="K167" s="128"/>
      <c r="Q167" s="76"/>
    </row>
    <row r="168" spans="11:17" x14ac:dyDescent="0.15">
      <c r="K168" s="128"/>
      <c r="Q168" s="76"/>
    </row>
    <row r="169" spans="11:17" x14ac:dyDescent="0.15">
      <c r="K169" s="128"/>
      <c r="Q169" s="76"/>
    </row>
    <row r="170" spans="11:17" x14ac:dyDescent="0.15">
      <c r="K170" s="128"/>
      <c r="Q170" s="76"/>
    </row>
    <row r="171" spans="11:17" x14ac:dyDescent="0.15">
      <c r="K171" s="128"/>
      <c r="Q171" s="76"/>
    </row>
    <row r="172" spans="11:17" x14ac:dyDescent="0.15">
      <c r="K172" s="128"/>
      <c r="Q172" s="76"/>
    </row>
    <row r="173" spans="11:17" x14ac:dyDescent="0.15">
      <c r="K173" s="128"/>
      <c r="Q173" s="76"/>
    </row>
    <row r="174" spans="11:17" x14ac:dyDescent="0.15">
      <c r="K174" s="128"/>
      <c r="Q174" s="76"/>
    </row>
    <row r="175" spans="11:17" x14ac:dyDescent="0.15">
      <c r="K175" s="128"/>
      <c r="Q175" s="76"/>
    </row>
    <row r="176" spans="11:17" x14ac:dyDescent="0.15">
      <c r="K176" s="128"/>
      <c r="Q176" s="76"/>
    </row>
    <row r="177" spans="11:17" x14ac:dyDescent="0.15">
      <c r="K177" s="128"/>
      <c r="Q177" s="76"/>
    </row>
    <row r="178" spans="11:17" x14ac:dyDescent="0.15">
      <c r="K178" s="128"/>
      <c r="Q178" s="76"/>
    </row>
    <row r="179" spans="11:17" x14ac:dyDescent="0.15">
      <c r="K179" s="128"/>
      <c r="Q179" s="76"/>
    </row>
    <row r="180" spans="11:17" x14ac:dyDescent="0.15">
      <c r="K180" s="128"/>
      <c r="Q180" s="76"/>
    </row>
    <row r="181" spans="11:17" x14ac:dyDescent="0.15">
      <c r="K181" s="128"/>
      <c r="Q181" s="76"/>
    </row>
    <row r="182" spans="11:17" x14ac:dyDescent="0.15">
      <c r="K182" s="128"/>
      <c r="Q182" s="76"/>
    </row>
    <row r="183" spans="11:17" x14ac:dyDescent="0.15">
      <c r="K183" s="128"/>
      <c r="Q183" s="76"/>
    </row>
    <row r="184" spans="11:17" x14ac:dyDescent="0.15">
      <c r="K184" s="128"/>
      <c r="Q184" s="76"/>
    </row>
    <row r="185" spans="11:17" x14ac:dyDescent="0.15">
      <c r="K185" s="128"/>
      <c r="Q185" s="76"/>
    </row>
    <row r="186" spans="11:17" x14ac:dyDescent="0.15">
      <c r="K186" s="128"/>
      <c r="Q186" s="76"/>
    </row>
    <row r="187" spans="11:17" x14ac:dyDescent="0.15">
      <c r="K187" s="128"/>
      <c r="Q187" s="76"/>
    </row>
    <row r="188" spans="11:17" x14ac:dyDescent="0.15">
      <c r="K188" s="128"/>
      <c r="Q188" s="76"/>
    </row>
    <row r="189" spans="11:17" x14ac:dyDescent="0.15">
      <c r="K189" s="128"/>
      <c r="Q189" s="76"/>
    </row>
    <row r="190" spans="11:17" x14ac:dyDescent="0.15">
      <c r="K190" s="128"/>
      <c r="Q190" s="76"/>
    </row>
    <row r="191" spans="11:17" x14ac:dyDescent="0.15">
      <c r="K191" s="128"/>
      <c r="Q191" s="76"/>
    </row>
    <row r="192" spans="11:17" x14ac:dyDescent="0.15">
      <c r="K192" s="128"/>
      <c r="Q192" s="76"/>
    </row>
    <row r="193" spans="11:17" x14ac:dyDescent="0.15">
      <c r="K193" s="128"/>
      <c r="Q193" s="76"/>
    </row>
    <row r="194" spans="11:17" x14ac:dyDescent="0.15">
      <c r="K194" s="128"/>
      <c r="Q194" s="76"/>
    </row>
    <row r="195" spans="11:17" x14ac:dyDescent="0.15">
      <c r="K195" s="128"/>
      <c r="Q195" s="76"/>
    </row>
    <row r="196" spans="11:17" x14ac:dyDescent="0.15">
      <c r="K196" s="128"/>
      <c r="Q196" s="76"/>
    </row>
    <row r="197" spans="11:17" x14ac:dyDescent="0.15">
      <c r="K197" s="128"/>
      <c r="Q197" s="76"/>
    </row>
    <row r="198" spans="11:17" x14ac:dyDescent="0.15">
      <c r="K198" s="128"/>
      <c r="Q198" s="76"/>
    </row>
    <row r="199" spans="11:17" x14ac:dyDescent="0.15">
      <c r="K199" s="128"/>
      <c r="Q199" s="76"/>
    </row>
    <row r="200" spans="11:17" x14ac:dyDescent="0.15">
      <c r="K200" s="128"/>
      <c r="Q200" s="76"/>
    </row>
    <row r="201" spans="11:17" x14ac:dyDescent="0.15">
      <c r="K201" s="128"/>
      <c r="Q201" s="76"/>
    </row>
    <row r="202" spans="11:17" x14ac:dyDescent="0.15">
      <c r="K202" s="128"/>
      <c r="Q202" s="76"/>
    </row>
    <row r="203" spans="11:17" x14ac:dyDescent="0.15">
      <c r="K203" s="128"/>
      <c r="Q203" s="76"/>
    </row>
    <row r="204" spans="11:17" x14ac:dyDescent="0.15">
      <c r="K204" s="128"/>
      <c r="Q204" s="76"/>
    </row>
    <row r="205" spans="11:17" x14ac:dyDescent="0.15">
      <c r="K205" s="128"/>
      <c r="Q205" s="76"/>
    </row>
    <row r="206" spans="11:17" x14ac:dyDescent="0.15">
      <c r="K206" s="128"/>
      <c r="Q206" s="76"/>
    </row>
    <row r="207" spans="11:17" x14ac:dyDescent="0.15">
      <c r="K207" s="128"/>
      <c r="Q207" s="76"/>
    </row>
    <row r="208" spans="11:17" x14ac:dyDescent="0.15">
      <c r="K208" s="128"/>
      <c r="Q208" s="76"/>
    </row>
    <row r="209" spans="11:17" x14ac:dyDescent="0.15">
      <c r="K209" s="128"/>
      <c r="Q209" s="76"/>
    </row>
    <row r="210" spans="11:17" x14ac:dyDescent="0.15">
      <c r="K210" s="128"/>
      <c r="Q210" s="76"/>
    </row>
    <row r="211" spans="11:17" x14ac:dyDescent="0.15">
      <c r="K211" s="128"/>
      <c r="Q211" s="76"/>
    </row>
    <row r="212" spans="11:17" x14ac:dyDescent="0.15">
      <c r="K212" s="128"/>
      <c r="Q212" s="76"/>
    </row>
    <row r="213" spans="11:17" x14ac:dyDescent="0.15">
      <c r="K213" s="128"/>
      <c r="Q213" s="76"/>
    </row>
    <row r="214" spans="11:17" x14ac:dyDescent="0.15">
      <c r="K214" s="128"/>
      <c r="Q214" s="76"/>
    </row>
    <row r="215" spans="11:17" x14ac:dyDescent="0.15">
      <c r="K215" s="128"/>
      <c r="Q215" s="76"/>
    </row>
    <row r="216" spans="11:17" x14ac:dyDescent="0.15">
      <c r="K216" s="128"/>
      <c r="Q216" s="76"/>
    </row>
    <row r="217" spans="11:17" x14ac:dyDescent="0.15">
      <c r="K217" s="128"/>
      <c r="Q217" s="76"/>
    </row>
    <row r="218" spans="11:17" x14ac:dyDescent="0.15">
      <c r="K218" s="128"/>
      <c r="Q218" s="76"/>
    </row>
    <row r="219" spans="11:17" x14ac:dyDescent="0.15">
      <c r="K219" s="128"/>
      <c r="Q219" s="76"/>
    </row>
    <row r="220" spans="11:17" x14ac:dyDescent="0.15">
      <c r="K220" s="128"/>
      <c r="Q220" s="76"/>
    </row>
    <row r="221" spans="11:17" x14ac:dyDescent="0.15">
      <c r="K221" s="128"/>
      <c r="Q221" s="76"/>
    </row>
    <row r="222" spans="11:17" x14ac:dyDescent="0.15">
      <c r="K222" s="128"/>
      <c r="Q222" s="76"/>
    </row>
    <row r="223" spans="11:17" x14ac:dyDescent="0.15">
      <c r="K223" s="128"/>
      <c r="Q223" s="76"/>
    </row>
    <row r="224" spans="11:17" x14ac:dyDescent="0.15">
      <c r="K224" s="128"/>
      <c r="Q224" s="76"/>
    </row>
    <row r="225" spans="11:17" x14ac:dyDescent="0.15">
      <c r="K225" s="128"/>
      <c r="Q225" s="76"/>
    </row>
    <row r="226" spans="11:17" x14ac:dyDescent="0.15">
      <c r="K226" s="128"/>
      <c r="Q226" s="76"/>
    </row>
    <row r="227" spans="11:17" x14ac:dyDescent="0.15">
      <c r="K227" s="128"/>
      <c r="Q227" s="76"/>
    </row>
    <row r="228" spans="11:17" x14ac:dyDescent="0.15">
      <c r="K228" s="128"/>
      <c r="Q228" s="76"/>
    </row>
    <row r="229" spans="11:17" x14ac:dyDescent="0.15">
      <c r="K229" s="128"/>
      <c r="Q229" s="76"/>
    </row>
    <row r="230" spans="11:17" x14ac:dyDescent="0.15">
      <c r="K230" s="128"/>
      <c r="Q230" s="76"/>
    </row>
    <row r="231" spans="11:17" x14ac:dyDescent="0.15">
      <c r="K231" s="128"/>
      <c r="Q231" s="76"/>
    </row>
    <row r="232" spans="11:17" x14ac:dyDescent="0.15">
      <c r="K232" s="128"/>
      <c r="Q232" s="76"/>
    </row>
    <row r="233" spans="11:17" x14ac:dyDescent="0.15">
      <c r="K233" s="128"/>
      <c r="Q233" s="76"/>
    </row>
    <row r="234" spans="11:17" x14ac:dyDescent="0.15">
      <c r="K234" s="128"/>
      <c r="Q234" s="76"/>
    </row>
    <row r="235" spans="11:17" x14ac:dyDescent="0.15">
      <c r="K235" s="128"/>
      <c r="Q235" s="76"/>
    </row>
    <row r="236" spans="11:17" x14ac:dyDescent="0.15">
      <c r="K236" s="128"/>
      <c r="Q236" s="76"/>
    </row>
    <row r="237" spans="11:17" x14ac:dyDescent="0.15">
      <c r="K237" s="128"/>
      <c r="Q237" s="76"/>
    </row>
    <row r="238" spans="11:17" x14ac:dyDescent="0.15">
      <c r="K238" s="128"/>
      <c r="Q238" s="76"/>
    </row>
    <row r="239" spans="11:17" x14ac:dyDescent="0.15">
      <c r="K239" s="128"/>
      <c r="Q239" s="76"/>
    </row>
    <row r="240" spans="11:17" x14ac:dyDescent="0.15">
      <c r="K240" s="128"/>
      <c r="Q240" s="76"/>
    </row>
    <row r="241" spans="11:17" x14ac:dyDescent="0.15">
      <c r="K241" s="128"/>
      <c r="Q241" s="76"/>
    </row>
    <row r="242" spans="11:17" x14ac:dyDescent="0.15">
      <c r="K242" s="128"/>
      <c r="Q242" s="76"/>
    </row>
    <row r="243" spans="11:17" x14ac:dyDescent="0.15">
      <c r="K243" s="128"/>
      <c r="Q243" s="76"/>
    </row>
    <row r="244" spans="11:17" x14ac:dyDescent="0.15">
      <c r="K244" s="128"/>
      <c r="Q244" s="76"/>
    </row>
    <row r="245" spans="11:17" x14ac:dyDescent="0.15">
      <c r="K245" s="128"/>
      <c r="Q245" s="76"/>
    </row>
    <row r="246" spans="11:17" x14ac:dyDescent="0.15">
      <c r="K246" s="128"/>
      <c r="Q246" s="76"/>
    </row>
    <row r="247" spans="11:17" x14ac:dyDescent="0.15">
      <c r="K247" s="128"/>
      <c r="Q247" s="76"/>
    </row>
    <row r="248" spans="11:17" x14ac:dyDescent="0.15">
      <c r="K248" s="128"/>
      <c r="Q248" s="76"/>
    </row>
    <row r="249" spans="11:17" x14ac:dyDescent="0.15">
      <c r="K249" s="128"/>
      <c r="Q249" s="76"/>
    </row>
    <row r="250" spans="11:17" x14ac:dyDescent="0.15">
      <c r="K250" s="128"/>
      <c r="Q250" s="76"/>
    </row>
    <row r="251" spans="11:17" x14ac:dyDescent="0.15">
      <c r="K251" s="128"/>
      <c r="Q251" s="76"/>
    </row>
    <row r="252" spans="11:17" x14ac:dyDescent="0.15">
      <c r="K252" s="128"/>
      <c r="Q252" s="76"/>
    </row>
    <row r="253" spans="11:17" x14ac:dyDescent="0.15">
      <c r="K253" s="128"/>
      <c r="Q253" s="76"/>
    </row>
    <row r="254" spans="11:17" x14ac:dyDescent="0.15">
      <c r="K254" s="128"/>
      <c r="Q254" s="76"/>
    </row>
    <row r="255" spans="11:17" x14ac:dyDescent="0.15">
      <c r="K255" s="128"/>
      <c r="Q255" s="76"/>
    </row>
    <row r="256" spans="11:17" x14ac:dyDescent="0.15">
      <c r="K256" s="128"/>
      <c r="Q256" s="76"/>
    </row>
    <row r="257" spans="11:17" x14ac:dyDescent="0.15">
      <c r="K257" s="128"/>
      <c r="Q257" s="76"/>
    </row>
    <row r="258" spans="11:17" x14ac:dyDescent="0.15">
      <c r="K258" s="128"/>
      <c r="Q258" s="76"/>
    </row>
    <row r="259" spans="11:17" x14ac:dyDescent="0.15">
      <c r="K259" s="128"/>
      <c r="Q259" s="76"/>
    </row>
    <row r="260" spans="11:17" x14ac:dyDescent="0.15">
      <c r="K260" s="128"/>
      <c r="Q260" s="76"/>
    </row>
    <row r="261" spans="11:17" x14ac:dyDescent="0.15">
      <c r="K261" s="128"/>
      <c r="Q261" s="76"/>
    </row>
    <row r="262" spans="11:17" x14ac:dyDescent="0.15">
      <c r="K262" s="128"/>
      <c r="Q262" s="76"/>
    </row>
    <row r="263" spans="11:17" x14ac:dyDescent="0.15">
      <c r="K263" s="128"/>
      <c r="Q263" s="76"/>
    </row>
    <row r="264" spans="11:17" x14ac:dyDescent="0.15">
      <c r="K264" s="128"/>
      <c r="Q264" s="76"/>
    </row>
    <row r="265" spans="11:17" x14ac:dyDescent="0.15">
      <c r="K265" s="128"/>
      <c r="Q265" s="76"/>
    </row>
    <row r="266" spans="11:17" x14ac:dyDescent="0.15">
      <c r="K266" s="128"/>
      <c r="Q266" s="76"/>
    </row>
    <row r="267" spans="11:17" x14ac:dyDescent="0.15">
      <c r="K267" s="128"/>
      <c r="Q267" s="76"/>
    </row>
    <row r="268" spans="11:17" x14ac:dyDescent="0.15">
      <c r="K268" s="128"/>
      <c r="Q268" s="76"/>
    </row>
    <row r="269" spans="11:17" x14ac:dyDescent="0.15">
      <c r="K269" s="128"/>
      <c r="Q269" s="76"/>
    </row>
    <row r="270" spans="11:17" x14ac:dyDescent="0.15">
      <c r="K270" s="128"/>
      <c r="Q270" s="76"/>
    </row>
    <row r="271" spans="11:17" x14ac:dyDescent="0.15">
      <c r="K271" s="128"/>
      <c r="Q271" s="76"/>
    </row>
    <row r="272" spans="11:17" x14ac:dyDescent="0.15">
      <c r="K272" s="128"/>
      <c r="Q272" s="76"/>
    </row>
    <row r="273" spans="11:17" x14ac:dyDescent="0.15">
      <c r="K273" s="128"/>
      <c r="Q273" s="76"/>
    </row>
    <row r="274" spans="11:17" x14ac:dyDescent="0.15">
      <c r="K274" s="128"/>
      <c r="Q274" s="76"/>
    </row>
    <row r="275" spans="11:17" x14ac:dyDescent="0.15">
      <c r="K275" s="128"/>
      <c r="Q275" s="76"/>
    </row>
    <row r="276" spans="11:17" x14ac:dyDescent="0.15">
      <c r="K276" s="128"/>
      <c r="Q276" s="76"/>
    </row>
    <row r="277" spans="11:17" x14ac:dyDescent="0.15">
      <c r="K277" s="128"/>
      <c r="Q277" s="76"/>
    </row>
    <row r="278" spans="11:17" x14ac:dyDescent="0.15">
      <c r="K278" s="128"/>
      <c r="Q278" s="76"/>
    </row>
    <row r="279" spans="11:17" x14ac:dyDescent="0.15">
      <c r="K279" s="128"/>
      <c r="Q279" s="76"/>
    </row>
    <row r="280" spans="11:17" x14ac:dyDescent="0.15">
      <c r="K280" s="128"/>
      <c r="Q280" s="76"/>
    </row>
    <row r="281" spans="11:17" x14ac:dyDescent="0.15">
      <c r="K281" s="128"/>
      <c r="Q281" s="76"/>
    </row>
    <row r="282" spans="11:17" x14ac:dyDescent="0.15">
      <c r="K282" s="128"/>
      <c r="Q282" s="76"/>
    </row>
    <row r="283" spans="11:17" x14ac:dyDescent="0.15">
      <c r="K283" s="128"/>
      <c r="Q283" s="76"/>
    </row>
    <row r="284" spans="11:17" x14ac:dyDescent="0.15">
      <c r="K284" s="128"/>
      <c r="Q284" s="76"/>
    </row>
    <row r="285" spans="11:17" x14ac:dyDescent="0.15">
      <c r="K285" s="128"/>
      <c r="Q285" s="76"/>
    </row>
    <row r="286" spans="11:17" x14ac:dyDescent="0.15">
      <c r="K286" s="128"/>
      <c r="Q286" s="76"/>
    </row>
    <row r="287" spans="11:17" x14ac:dyDescent="0.15">
      <c r="K287" s="128"/>
      <c r="Q287" s="76"/>
    </row>
    <row r="288" spans="11:17" x14ac:dyDescent="0.15">
      <c r="K288" s="128"/>
      <c r="Q288" s="76"/>
    </row>
    <row r="289" spans="11:17" x14ac:dyDescent="0.15">
      <c r="K289" s="128"/>
      <c r="Q289" s="76"/>
    </row>
    <row r="290" spans="11:17" x14ac:dyDescent="0.15">
      <c r="K290" s="128"/>
      <c r="Q290" s="76"/>
    </row>
    <row r="291" spans="11:17" x14ac:dyDescent="0.15">
      <c r="K291" s="128"/>
      <c r="Q291" s="76"/>
    </row>
    <row r="292" spans="11:17" x14ac:dyDescent="0.15">
      <c r="K292" s="128"/>
    </row>
    <row r="293" spans="11:17" x14ac:dyDescent="0.15">
      <c r="K293" s="128"/>
    </row>
    <row r="294" spans="11:17" x14ac:dyDescent="0.15">
      <c r="K294" s="128"/>
    </row>
    <row r="295" spans="11:17" x14ac:dyDescent="0.15">
      <c r="K295" s="128"/>
    </row>
    <row r="296" spans="11:17" x14ac:dyDescent="0.15">
      <c r="K296" s="128"/>
    </row>
    <row r="297" spans="11:17" x14ac:dyDescent="0.15">
      <c r="K297" s="128"/>
    </row>
    <row r="298" spans="11:17" x14ac:dyDescent="0.15">
      <c r="K298" s="128"/>
    </row>
    <row r="299" spans="11:17" x14ac:dyDescent="0.15">
      <c r="K299" s="128"/>
    </row>
    <row r="300" spans="11:17" x14ac:dyDescent="0.15">
      <c r="K300" s="128"/>
    </row>
    <row r="301" spans="11:17" x14ac:dyDescent="0.15">
      <c r="K301" s="128"/>
    </row>
    <row r="302" spans="11:17" x14ac:dyDescent="0.15">
      <c r="K302" s="128"/>
    </row>
    <row r="303" spans="11:17" x14ac:dyDescent="0.15">
      <c r="K303" s="128"/>
    </row>
    <row r="304" spans="11:17" x14ac:dyDescent="0.15">
      <c r="K304" s="128"/>
    </row>
    <row r="305" spans="11:11" x14ac:dyDescent="0.15">
      <c r="K305" s="128"/>
    </row>
    <row r="306" spans="11:11" x14ac:dyDescent="0.15">
      <c r="K306" s="128"/>
    </row>
    <row r="307" spans="11:11" x14ac:dyDescent="0.15">
      <c r="K307" s="128"/>
    </row>
    <row r="308" spans="11:11" x14ac:dyDescent="0.15">
      <c r="K308" s="128"/>
    </row>
    <row r="309" spans="11:11" x14ac:dyDescent="0.15">
      <c r="K309" s="128"/>
    </row>
    <row r="310" spans="11:11" x14ac:dyDescent="0.15">
      <c r="K310" s="128"/>
    </row>
    <row r="311" spans="11:11" x14ac:dyDescent="0.15">
      <c r="K311" s="128"/>
    </row>
    <row r="312" spans="11:11" x14ac:dyDescent="0.15">
      <c r="K312" s="128"/>
    </row>
    <row r="313" spans="11:11" x14ac:dyDescent="0.15">
      <c r="K313" s="128"/>
    </row>
    <row r="314" spans="11:11" x14ac:dyDescent="0.15">
      <c r="K314" s="128"/>
    </row>
    <row r="315" spans="11:11" x14ac:dyDescent="0.15">
      <c r="K315" s="128"/>
    </row>
    <row r="316" spans="11:11" x14ac:dyDescent="0.15">
      <c r="K316" s="128"/>
    </row>
    <row r="317" spans="11:11" x14ac:dyDescent="0.15">
      <c r="K317" s="128"/>
    </row>
    <row r="318" spans="11:11" x14ac:dyDescent="0.15">
      <c r="K318" s="128"/>
    </row>
    <row r="319" spans="11:11" x14ac:dyDescent="0.15">
      <c r="K319" s="128"/>
    </row>
    <row r="320" spans="11:11" x14ac:dyDescent="0.15">
      <c r="K320" s="128"/>
    </row>
    <row r="321" spans="11:11" x14ac:dyDescent="0.15">
      <c r="K321" s="128"/>
    </row>
    <row r="322" spans="11:11" x14ac:dyDescent="0.15">
      <c r="K322" s="128"/>
    </row>
    <row r="323" spans="11:11" x14ac:dyDescent="0.15">
      <c r="K323" s="128"/>
    </row>
    <row r="324" spans="11:11" x14ac:dyDescent="0.15">
      <c r="K324" s="128"/>
    </row>
    <row r="325" spans="11:11" x14ac:dyDescent="0.15">
      <c r="K325" s="128"/>
    </row>
    <row r="326" spans="11:11" x14ac:dyDescent="0.15">
      <c r="K326" s="128"/>
    </row>
    <row r="327" spans="11:11" x14ac:dyDescent="0.15">
      <c r="K327" s="128"/>
    </row>
    <row r="328" spans="11:11" x14ac:dyDescent="0.15">
      <c r="K328" s="128"/>
    </row>
    <row r="329" spans="11:11" x14ac:dyDescent="0.15">
      <c r="K329" s="128"/>
    </row>
    <row r="330" spans="11:11" x14ac:dyDescent="0.15">
      <c r="K330" s="128"/>
    </row>
    <row r="331" spans="11:11" x14ac:dyDescent="0.15">
      <c r="K331" s="128"/>
    </row>
    <row r="332" spans="11:11" x14ac:dyDescent="0.15">
      <c r="K332" s="128"/>
    </row>
    <row r="333" spans="11:11" x14ac:dyDescent="0.15">
      <c r="K333" s="128"/>
    </row>
    <row r="334" spans="11:11" x14ac:dyDescent="0.15">
      <c r="K334" s="128"/>
    </row>
    <row r="335" spans="11:11" x14ac:dyDescent="0.15">
      <c r="K335" s="128"/>
    </row>
    <row r="336" spans="11:11" x14ac:dyDescent="0.15">
      <c r="K336" s="128"/>
    </row>
    <row r="337" spans="11:11" x14ac:dyDescent="0.15">
      <c r="K337" s="128"/>
    </row>
    <row r="338" spans="11:11" x14ac:dyDescent="0.15">
      <c r="K338" s="128"/>
    </row>
    <row r="339" spans="11:11" x14ac:dyDescent="0.15">
      <c r="K339" s="128"/>
    </row>
    <row r="340" spans="11:11" x14ac:dyDescent="0.15">
      <c r="K340" s="128"/>
    </row>
    <row r="341" spans="11:11" x14ac:dyDescent="0.15">
      <c r="K341" s="128"/>
    </row>
    <row r="342" spans="11:11" x14ac:dyDescent="0.15">
      <c r="K342" s="128"/>
    </row>
    <row r="343" spans="11:11" x14ac:dyDescent="0.15">
      <c r="K343" s="128"/>
    </row>
    <row r="344" spans="11:11" x14ac:dyDescent="0.15">
      <c r="K344" s="128"/>
    </row>
    <row r="345" spans="11:11" x14ac:dyDescent="0.15">
      <c r="K345" s="128"/>
    </row>
    <row r="346" spans="11:11" x14ac:dyDescent="0.15">
      <c r="K346" s="128"/>
    </row>
    <row r="347" spans="11:11" x14ac:dyDescent="0.15">
      <c r="K347" s="128"/>
    </row>
    <row r="348" spans="11:11" x14ac:dyDescent="0.15">
      <c r="K348" s="128"/>
    </row>
    <row r="349" spans="11:11" x14ac:dyDescent="0.15">
      <c r="K349" s="128"/>
    </row>
    <row r="350" spans="11:11" x14ac:dyDescent="0.15">
      <c r="K350" s="128"/>
    </row>
    <row r="351" spans="11:11" x14ac:dyDescent="0.15">
      <c r="K351" s="128"/>
    </row>
    <row r="352" spans="11:11" x14ac:dyDescent="0.15">
      <c r="K352" s="128"/>
    </row>
    <row r="353" spans="11:11" x14ac:dyDescent="0.15">
      <c r="K353" s="128"/>
    </row>
    <row r="354" spans="11:11" x14ac:dyDescent="0.15">
      <c r="K354" s="128"/>
    </row>
    <row r="355" spans="11:11" x14ac:dyDescent="0.15">
      <c r="K355" s="128"/>
    </row>
    <row r="356" spans="11:11" x14ac:dyDescent="0.15">
      <c r="K356" s="128"/>
    </row>
    <row r="357" spans="11:11" x14ac:dyDescent="0.15">
      <c r="K357" s="128"/>
    </row>
    <row r="358" spans="11:11" x14ac:dyDescent="0.15">
      <c r="K358" s="128"/>
    </row>
    <row r="359" spans="11:11" x14ac:dyDescent="0.15">
      <c r="K359" s="128"/>
    </row>
    <row r="360" spans="11:11" x14ac:dyDescent="0.15">
      <c r="K360" s="128"/>
    </row>
    <row r="361" spans="11:11" x14ac:dyDescent="0.15">
      <c r="K361" s="128"/>
    </row>
    <row r="362" spans="11:11" x14ac:dyDescent="0.15">
      <c r="K362" s="128"/>
    </row>
    <row r="363" spans="11:11" x14ac:dyDescent="0.15">
      <c r="K363" s="128"/>
    </row>
    <row r="364" spans="11:11" x14ac:dyDescent="0.15">
      <c r="K364" s="128"/>
    </row>
    <row r="365" spans="11:11" x14ac:dyDescent="0.15">
      <c r="K365" s="128"/>
    </row>
    <row r="366" spans="11:11" x14ac:dyDescent="0.15">
      <c r="K366" s="128"/>
    </row>
    <row r="367" spans="11:11" x14ac:dyDescent="0.15">
      <c r="K367" s="128"/>
    </row>
    <row r="368" spans="11:11" x14ac:dyDescent="0.15">
      <c r="K368" s="128"/>
    </row>
    <row r="369" spans="11:11" x14ac:dyDescent="0.15">
      <c r="K369" s="128"/>
    </row>
    <row r="370" spans="11:11" x14ac:dyDescent="0.15">
      <c r="K370" s="128"/>
    </row>
    <row r="371" spans="11:11" x14ac:dyDescent="0.15">
      <c r="K371" s="128"/>
    </row>
    <row r="372" spans="11:11" x14ac:dyDescent="0.15">
      <c r="K372" s="128"/>
    </row>
    <row r="373" spans="11:11" x14ac:dyDescent="0.15">
      <c r="K373" s="128"/>
    </row>
    <row r="374" spans="11:11" x14ac:dyDescent="0.15">
      <c r="K374" s="128"/>
    </row>
    <row r="375" spans="11:11" x14ac:dyDescent="0.15">
      <c r="K375" s="128"/>
    </row>
    <row r="376" spans="11:11" x14ac:dyDescent="0.15">
      <c r="K376" s="128"/>
    </row>
    <row r="377" spans="11:11" x14ac:dyDescent="0.15">
      <c r="K377" s="128"/>
    </row>
    <row r="378" spans="11:11" x14ac:dyDescent="0.15">
      <c r="K378" s="128"/>
    </row>
    <row r="379" spans="11:11" x14ac:dyDescent="0.15">
      <c r="K379" s="128"/>
    </row>
    <row r="380" spans="11:11" x14ac:dyDescent="0.15">
      <c r="K380" s="128"/>
    </row>
    <row r="381" spans="11:11" x14ac:dyDescent="0.15">
      <c r="K381" s="128"/>
    </row>
    <row r="382" spans="11:11" x14ac:dyDescent="0.15">
      <c r="K382" s="128"/>
    </row>
    <row r="383" spans="11:11" x14ac:dyDescent="0.15">
      <c r="K383" s="128"/>
    </row>
    <row r="384" spans="11:11" x14ac:dyDescent="0.15">
      <c r="K384" s="128"/>
    </row>
    <row r="385" spans="11:11" x14ac:dyDescent="0.15">
      <c r="K385" s="128"/>
    </row>
    <row r="386" spans="11:11" x14ac:dyDescent="0.15">
      <c r="K386" s="128"/>
    </row>
    <row r="387" spans="11:11" x14ac:dyDescent="0.15">
      <c r="K387" s="128"/>
    </row>
    <row r="388" spans="11:11" x14ac:dyDescent="0.15">
      <c r="K388" s="128"/>
    </row>
    <row r="389" spans="11:11" x14ac:dyDescent="0.15">
      <c r="K389" s="128"/>
    </row>
    <row r="390" spans="11:11" x14ac:dyDescent="0.15">
      <c r="K390" s="128"/>
    </row>
    <row r="391" spans="11:11" x14ac:dyDescent="0.15">
      <c r="K391" s="128"/>
    </row>
    <row r="392" spans="11:11" x14ac:dyDescent="0.15">
      <c r="K392" s="128"/>
    </row>
    <row r="393" spans="11:11" x14ac:dyDescent="0.15">
      <c r="K393" s="128"/>
    </row>
    <row r="394" spans="11:11" x14ac:dyDescent="0.15">
      <c r="K394" s="128"/>
    </row>
    <row r="395" spans="11:11" x14ac:dyDescent="0.15">
      <c r="K395" s="128"/>
    </row>
    <row r="396" spans="11:11" x14ac:dyDescent="0.15">
      <c r="K396" s="128"/>
    </row>
    <row r="397" spans="11:11" x14ac:dyDescent="0.15">
      <c r="K397" s="128"/>
    </row>
    <row r="398" spans="11:11" x14ac:dyDescent="0.15">
      <c r="K398" s="128"/>
    </row>
    <row r="399" spans="11:11" x14ac:dyDescent="0.15">
      <c r="K399" s="128"/>
    </row>
    <row r="400" spans="11:11" x14ac:dyDescent="0.15">
      <c r="K400" s="128"/>
    </row>
    <row r="401" spans="11:11" x14ac:dyDescent="0.15">
      <c r="K401" s="128"/>
    </row>
    <row r="402" spans="11:11" x14ac:dyDescent="0.15">
      <c r="K402" s="128"/>
    </row>
    <row r="403" spans="11:11" x14ac:dyDescent="0.15">
      <c r="K403" s="128"/>
    </row>
    <row r="404" spans="11:11" x14ac:dyDescent="0.15">
      <c r="K404" s="128"/>
    </row>
    <row r="405" spans="11:11" x14ac:dyDescent="0.15">
      <c r="K405" s="128"/>
    </row>
    <row r="406" spans="11:11" x14ac:dyDescent="0.15">
      <c r="K406" s="128"/>
    </row>
    <row r="407" spans="11:11" x14ac:dyDescent="0.15">
      <c r="K407" s="128"/>
    </row>
    <row r="408" spans="11:11" x14ac:dyDescent="0.15">
      <c r="K408" s="128"/>
    </row>
    <row r="409" spans="11:11" x14ac:dyDescent="0.15">
      <c r="K409" s="128"/>
    </row>
    <row r="410" spans="11:11" x14ac:dyDescent="0.15">
      <c r="K410" s="128"/>
    </row>
    <row r="411" spans="11:11" x14ac:dyDescent="0.15">
      <c r="K411" s="128"/>
    </row>
    <row r="412" spans="11:11" x14ac:dyDescent="0.15">
      <c r="K412" s="128"/>
    </row>
    <row r="413" spans="11:11" x14ac:dyDescent="0.15">
      <c r="K413" s="128"/>
    </row>
    <row r="414" spans="11:11" x14ac:dyDescent="0.15">
      <c r="K414" s="128"/>
    </row>
    <row r="415" spans="11:11" x14ac:dyDescent="0.15">
      <c r="K415" s="128"/>
    </row>
    <row r="416" spans="11:11" x14ac:dyDescent="0.15">
      <c r="K416" s="128"/>
    </row>
    <row r="417" spans="11:11" x14ac:dyDescent="0.15">
      <c r="K417" s="128"/>
    </row>
    <row r="418" spans="11:11" x14ac:dyDescent="0.15">
      <c r="K418" s="128"/>
    </row>
    <row r="419" spans="11:11" x14ac:dyDescent="0.15">
      <c r="K419" s="128"/>
    </row>
    <row r="420" spans="11:11" x14ac:dyDescent="0.15">
      <c r="K420" s="128"/>
    </row>
    <row r="421" spans="11:11" x14ac:dyDescent="0.15">
      <c r="K421" s="128"/>
    </row>
    <row r="422" spans="11:11" x14ac:dyDescent="0.15">
      <c r="K422" s="128"/>
    </row>
    <row r="423" spans="11:11" x14ac:dyDescent="0.15">
      <c r="K423" s="128"/>
    </row>
    <row r="424" spans="11:11" x14ac:dyDescent="0.15">
      <c r="K424" s="128"/>
    </row>
    <row r="425" spans="11:11" x14ac:dyDescent="0.15">
      <c r="K425" s="128"/>
    </row>
    <row r="426" spans="11:11" x14ac:dyDescent="0.15">
      <c r="K426" s="128"/>
    </row>
    <row r="427" spans="11:11" x14ac:dyDescent="0.15">
      <c r="K427" s="128"/>
    </row>
    <row r="428" spans="11:11" x14ac:dyDescent="0.15">
      <c r="K428" s="128"/>
    </row>
    <row r="429" spans="11:11" x14ac:dyDescent="0.15">
      <c r="K429" s="128"/>
    </row>
    <row r="430" spans="11:11" x14ac:dyDescent="0.15">
      <c r="K430" s="128"/>
    </row>
    <row r="431" spans="11:11" x14ac:dyDescent="0.15">
      <c r="K431" s="128"/>
    </row>
    <row r="432" spans="11:11" x14ac:dyDescent="0.15">
      <c r="K432" s="128"/>
    </row>
    <row r="433" spans="11:11" x14ac:dyDescent="0.15">
      <c r="K433" s="128"/>
    </row>
    <row r="434" spans="11:11" x14ac:dyDescent="0.15">
      <c r="K434" s="128"/>
    </row>
    <row r="435" spans="11:11" x14ac:dyDescent="0.15">
      <c r="K435" s="128"/>
    </row>
    <row r="436" spans="11:11" x14ac:dyDescent="0.15">
      <c r="K436" s="128"/>
    </row>
    <row r="437" spans="11:11" x14ac:dyDescent="0.15">
      <c r="K437" s="128"/>
    </row>
    <row r="438" spans="11:11" x14ac:dyDescent="0.15">
      <c r="K438" s="128"/>
    </row>
    <row r="439" spans="11:11" x14ac:dyDescent="0.15">
      <c r="K439" s="128"/>
    </row>
    <row r="440" spans="11:11" x14ac:dyDescent="0.15">
      <c r="K440" s="128"/>
    </row>
    <row r="441" spans="11:11" x14ac:dyDescent="0.15">
      <c r="K441" s="128"/>
    </row>
    <row r="442" spans="11:11" x14ac:dyDescent="0.15">
      <c r="K442" s="128"/>
    </row>
    <row r="443" spans="11:11" x14ac:dyDescent="0.15">
      <c r="K443" s="128"/>
    </row>
  </sheetData>
  <autoFilter ref="A1:BA1" xr:uid="{00000000-0009-0000-0000-000000000000}"/>
  <phoneticPr fontId="3"/>
  <dataValidations count="20">
    <dataValidation type="list" allowBlank="1" showInputMessage="1" showErrorMessage="1" sqref="F2:F491" xr:uid="{4C27F428-CE8B-4A94-A766-5F616DF3B8FF}">
      <formula1>$AH$2:$AH$11</formula1>
    </dataValidation>
    <dataValidation type="list" allowBlank="1" showInputMessage="1" showErrorMessage="1" sqref="E2:E491" xr:uid="{5E0813C6-A878-41CE-AA4B-DF423CC5F692}">
      <formula1>$AG$2:$AG$11</formula1>
    </dataValidation>
    <dataValidation type="decimal" allowBlank="1" showInputMessage="1" showErrorMessage="1" error="硬度を正しく入力して下さい。" sqref="O2:P491" xr:uid="{A633E273-6FB3-402E-BF2B-588019E15B9B}">
      <formula1>0</formula1>
      <formula2>7</formula2>
    </dataValidation>
    <dataValidation type="list" allowBlank="1" showInputMessage="1" showErrorMessage="1" sqref="Y2:AA491" xr:uid="{2C4F7D83-51EE-45A1-B35E-97F22BC04714}">
      <formula1>$AV$2:$AV$21</formula1>
    </dataValidation>
    <dataValidation type="list" allowBlank="1" showInputMessage="1" showErrorMessage="1" sqref="K444:K491" xr:uid="{EFFA2D2B-0EFF-4C4C-90FB-984613DA5563}">
      <formula1>$AR$2:$AR$25</formula1>
    </dataValidation>
    <dataValidation type="list" allowBlank="1" showInputMessage="1" showErrorMessage="1" sqref="I2:I491" xr:uid="{D40D55C1-192A-46C4-BF0F-FD6AA1D518E5}">
      <formula1>$AN$5:$AN$6</formula1>
    </dataValidation>
    <dataValidation type="list" allowBlank="1" showInputMessage="1" showErrorMessage="1" sqref="H2:H491" xr:uid="{510456D0-74D2-4C00-8C09-28D5F476079A}">
      <formula1>$AL$2:$AL$8</formula1>
    </dataValidation>
    <dataValidation type="list" allowBlank="1" showInputMessage="1" showErrorMessage="1" sqref="A2:A491" xr:uid="{550B57BC-F1AF-4F89-80FB-A063E233F551}">
      <formula1>$AE$2:$AE$19</formula1>
    </dataValidation>
    <dataValidation type="list" allowBlank="1" showInputMessage="1" showErrorMessage="1" sqref="X2:X491" xr:uid="{A23D95F3-5425-431A-A27A-14D95FE95527}">
      <formula1>$AT$2:$AT$3</formula1>
    </dataValidation>
    <dataValidation type="list" allowBlank="1" showInputMessage="1" showErrorMessage="1" sqref="G2:G491" xr:uid="{083F3630-5335-43CD-BBEB-D0220953E239}">
      <formula1>$AJ$2:$AJ$4</formula1>
    </dataValidation>
    <dataValidation type="list" allowBlank="1" showInputMessage="1" showErrorMessage="1" sqref="J2:J491" xr:uid="{7D7F3244-D4CF-49DE-90F9-4042D02CE333}">
      <formula1>$AP$2:$AP$27</formula1>
    </dataValidation>
    <dataValidation operator="equal" allowBlank="1" showInputMessage="1" showErrorMessage="1" sqref="B2:B46" xr:uid="{508EFD7D-C9B4-488A-BFD3-6D6FCFE2AA17}"/>
    <dataValidation type="list" allowBlank="1" showInputMessage="1" showErrorMessage="1" sqref="F492:F64242" xr:uid="{D94B46C4-64A6-487F-B4E3-0463BCCF1D74}">
      <formula1>$AH$2:$AH$8</formula1>
    </dataValidation>
    <dataValidation type="list" allowBlank="1" showInputMessage="1" showErrorMessage="1" sqref="E492:E64242" xr:uid="{F5524E29-6014-473A-90AB-EFC020AD6B5A}">
      <formula1>$AG$2:$AG$9</formula1>
    </dataValidation>
    <dataValidation type="list" allowBlank="1" showInputMessage="1" showErrorMessage="1" sqref="H492:H64242" xr:uid="{AE8ED72E-1EED-4899-81D0-7EF31CC00DB2}">
      <formula1>$AL$2:$AL$10</formula1>
    </dataValidation>
    <dataValidation type="list" allowBlank="1" showInputMessage="1" showErrorMessage="1" sqref="K492:K64242" xr:uid="{577432B3-2E38-47BC-8EF1-D6C2C46F398E}">
      <formula1>$AR$2:$AR$28</formula1>
    </dataValidation>
    <dataValidation type="list" allowBlank="1" showInputMessage="1" showErrorMessage="1" sqref="Y492:AA64242" xr:uid="{2ABD4DD6-20BE-4A53-82A2-E03BBDD8170E}">
      <formula1>$AV$2:$AV$26</formula1>
    </dataValidation>
    <dataValidation type="list" allowBlank="1" showInputMessage="1" showErrorMessage="1" sqref="I492:I64242" xr:uid="{2993564C-C2FB-44D0-B48F-AB969B04299F}">
      <formula1>$AN$2:$AN$6</formula1>
    </dataValidation>
    <dataValidation type="list" allowBlank="1" showInputMessage="1" showErrorMessage="1" sqref="J492:J64242" xr:uid="{4084A7D8-BF40-41CF-BA9E-CCD9F9EDAA97}">
      <formula1>$AP$2:$AP$16</formula1>
    </dataValidation>
    <dataValidation type="list" allowBlank="1" showInputMessage="1" showErrorMessage="1" sqref="K2:K443" xr:uid="{AB5D4D26-1C0A-479D-AD6E-BBC6CE81A319}">
      <formula1>$AR$2:$AR$26</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4D43B-A00F-4E12-98C3-59DD18DD4739}">
  <dimension ref="A1:BA149"/>
  <sheetViews>
    <sheetView zoomScale="85" zoomScaleNormal="85" workbookViewId="0">
      <pane ySplit="1" topLeftCell="A2" activePane="bottomLeft" state="frozen"/>
      <selection pane="bottomLeft" activeCell="K62" sqref="K62"/>
    </sheetView>
  </sheetViews>
  <sheetFormatPr defaultRowHeight="13.5" x14ac:dyDescent="0.15"/>
  <cols>
    <col min="1" max="1" width="9" style="53"/>
    <col min="2" max="2" width="5" style="53" customWidth="1"/>
    <col min="3" max="3" width="6.5" style="53" customWidth="1"/>
    <col min="4" max="4" width="8.625" style="53" customWidth="1"/>
    <col min="5" max="5" width="10.875" style="53" bestFit="1" customWidth="1"/>
    <col min="6" max="6" width="15.25" style="53" customWidth="1"/>
    <col min="7" max="9" width="9" style="53"/>
    <col min="10" max="10" width="9.25" style="53" customWidth="1"/>
    <col min="11" max="12" width="9" style="53"/>
    <col min="13" max="13" width="9" style="53" bestFit="1" customWidth="1"/>
    <col min="14" max="16" width="9" style="53"/>
    <col min="17" max="17" width="9" style="16"/>
    <col min="18" max="19" width="9" style="53"/>
    <col min="20" max="20" width="9" style="16"/>
    <col min="21" max="21" width="9" style="53"/>
    <col min="22" max="22" width="14.25" style="16" customWidth="1"/>
    <col min="23" max="23" width="9" style="53"/>
    <col min="24" max="24" width="9.625" style="53" customWidth="1"/>
    <col min="25" max="26" width="9" style="53"/>
    <col min="27" max="27" width="12.125" style="53" customWidth="1"/>
    <col min="28" max="32" width="9" style="53"/>
    <col min="33" max="33" width="15.125" style="53" bestFit="1" customWidth="1"/>
    <col min="34" max="34" width="19.625" style="53" bestFit="1" customWidth="1"/>
    <col min="35" max="16384" width="9" style="53"/>
  </cols>
  <sheetData>
    <row r="1" spans="1:53" ht="67.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13</v>
      </c>
      <c r="O1" s="56" t="s">
        <v>14</v>
      </c>
      <c r="P1" s="56" t="s">
        <v>15</v>
      </c>
      <c r="Q1" s="3" t="s">
        <v>16</v>
      </c>
      <c r="R1" s="56" t="s">
        <v>17</v>
      </c>
      <c r="S1" s="56" t="s">
        <v>18</v>
      </c>
      <c r="T1" s="3" t="s">
        <v>19</v>
      </c>
      <c r="U1" s="58" t="s">
        <v>303</v>
      </c>
      <c r="V1" s="5" t="s">
        <v>20</v>
      </c>
      <c r="W1" s="56" t="s">
        <v>21</v>
      </c>
      <c r="X1" s="45" t="s">
        <v>22</v>
      </c>
      <c r="Y1" s="45" t="s">
        <v>23</v>
      </c>
      <c r="Z1" s="45" t="s">
        <v>362</v>
      </c>
      <c r="AA1" s="46" t="s">
        <v>25</v>
      </c>
      <c r="AB1" s="80" t="s">
        <v>26</v>
      </c>
      <c r="AE1" s="60" t="s">
        <v>0</v>
      </c>
      <c r="AF1" s="61"/>
      <c r="AG1" s="176"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34</v>
      </c>
      <c r="B2" s="53" t="s">
        <v>304</v>
      </c>
      <c r="C2" s="53">
        <v>2019</v>
      </c>
      <c r="D2" s="177" t="s">
        <v>300</v>
      </c>
      <c r="E2" s="53" t="s">
        <v>363</v>
      </c>
      <c r="F2" s="53" t="s">
        <v>364</v>
      </c>
      <c r="G2" s="53" t="s">
        <v>36</v>
      </c>
      <c r="H2" s="53" t="s">
        <v>163</v>
      </c>
      <c r="I2" s="53" t="s">
        <v>159</v>
      </c>
      <c r="J2" s="53" t="s">
        <v>38</v>
      </c>
      <c r="K2" s="53" t="s">
        <v>160</v>
      </c>
      <c r="L2" s="53">
        <v>1</v>
      </c>
      <c r="N2" s="53">
        <v>1</v>
      </c>
      <c r="O2" s="53">
        <v>0.2</v>
      </c>
      <c r="P2" s="53">
        <v>0.2</v>
      </c>
      <c r="Q2" s="76">
        <f t="shared" ref="Q2:Q33" si="0">IF(OR(O2="",P2=""),"",AVERAGE(O2,P2))</f>
        <v>0.2</v>
      </c>
      <c r="R2" s="53">
        <v>14.6</v>
      </c>
      <c r="S2" s="53">
        <v>110</v>
      </c>
      <c r="T2" s="16">
        <f t="shared" ref="T2:T55" si="1">IF(H2="","",IF(OR(H2="GREEN",H2="GK"),IF(S2&gt;=$AX$2,VLOOKUP(S2,$AX$2:$AY$9,2,1),""),IF(S2&gt;=$AZ$2,VLOOKUP(S2,$AZ$2:$BA$9,2,1),"")))</f>
        <v>33</v>
      </c>
      <c r="U2" s="53">
        <v>103</v>
      </c>
      <c r="V2" s="16">
        <f t="shared" ref="V2:V55" si="2">IF(OR(N2="",U2="",T2=""),"",U2/N2*T2)</f>
        <v>3399</v>
      </c>
      <c r="W2" s="53">
        <v>1</v>
      </c>
      <c r="X2" s="53" t="s">
        <v>46</v>
      </c>
      <c r="Y2" s="53" t="s">
        <v>84</v>
      </c>
      <c r="Z2" s="53" t="s">
        <v>69</v>
      </c>
      <c r="AA2" s="53" t="s">
        <v>90</v>
      </c>
      <c r="AB2" s="53" t="s">
        <v>301</v>
      </c>
      <c r="AE2" s="64" t="s">
        <v>35</v>
      </c>
      <c r="AG2" s="178" t="s">
        <v>355</v>
      </c>
      <c r="AH2" s="67" t="s">
        <v>365</v>
      </c>
      <c r="AJ2" s="67" t="s">
        <v>36</v>
      </c>
      <c r="AL2" s="67" t="s">
        <v>127</v>
      </c>
      <c r="AN2" s="67" t="s">
        <v>37</v>
      </c>
      <c r="AP2" s="67" t="s">
        <v>38</v>
      </c>
      <c r="AR2" s="67" t="s">
        <v>120</v>
      </c>
      <c r="AT2" s="67" t="s">
        <v>39</v>
      </c>
      <c r="AV2" s="67" t="s">
        <v>40</v>
      </c>
      <c r="AX2" s="68">
        <v>1</v>
      </c>
      <c r="AY2" s="69">
        <v>50</v>
      </c>
      <c r="AZ2" s="69">
        <v>1</v>
      </c>
      <c r="BA2" s="70">
        <v>50</v>
      </c>
    </row>
    <row r="3" spans="1:53" x14ac:dyDescent="0.15">
      <c r="A3" s="53" t="s">
        <v>34</v>
      </c>
      <c r="B3" s="53" t="s">
        <v>304</v>
      </c>
      <c r="C3" s="53">
        <v>2019</v>
      </c>
      <c r="D3" s="177" t="s">
        <v>300</v>
      </c>
      <c r="E3" s="53" t="s">
        <v>363</v>
      </c>
      <c r="F3" s="53" t="s">
        <v>364</v>
      </c>
      <c r="G3" s="53" t="s">
        <v>36</v>
      </c>
      <c r="H3" s="53" t="s">
        <v>163</v>
      </c>
      <c r="I3" s="53" t="s">
        <v>159</v>
      </c>
      <c r="J3" s="53" t="s">
        <v>38</v>
      </c>
      <c r="K3" s="53" t="s">
        <v>160</v>
      </c>
      <c r="L3" s="53">
        <v>2</v>
      </c>
      <c r="N3" s="53">
        <v>1</v>
      </c>
      <c r="O3" s="53">
        <v>0.2</v>
      </c>
      <c r="P3" s="53">
        <v>0.2</v>
      </c>
      <c r="Q3" s="76">
        <f t="shared" si="0"/>
        <v>0.2</v>
      </c>
      <c r="R3" s="53">
        <v>13.6</v>
      </c>
      <c r="S3" s="53">
        <v>106</v>
      </c>
      <c r="T3" s="16">
        <f t="shared" si="1"/>
        <v>33</v>
      </c>
      <c r="U3" s="53">
        <v>103</v>
      </c>
      <c r="V3" s="16">
        <f t="shared" si="2"/>
        <v>3399</v>
      </c>
      <c r="W3" s="53">
        <v>1</v>
      </c>
      <c r="X3" s="53" t="s">
        <v>46</v>
      </c>
      <c r="Y3" s="53" t="s">
        <v>84</v>
      </c>
      <c r="Z3" s="53" t="s">
        <v>69</v>
      </c>
      <c r="AA3" s="53" t="s">
        <v>90</v>
      </c>
      <c r="AB3" s="53" t="s">
        <v>301</v>
      </c>
      <c r="AE3" s="22" t="s">
        <v>41</v>
      </c>
      <c r="AG3" s="179" t="s">
        <v>366</v>
      </c>
      <c r="AH3" s="67" t="s">
        <v>367</v>
      </c>
      <c r="AJ3" s="23" t="s">
        <v>42</v>
      </c>
      <c r="AL3" s="23" t="s">
        <v>128</v>
      </c>
      <c r="AN3" s="23" t="s">
        <v>43</v>
      </c>
      <c r="AP3" s="23" t="s">
        <v>44</v>
      </c>
      <c r="AR3" s="23" t="s">
        <v>45</v>
      </c>
      <c r="AT3" s="23" t="s">
        <v>46</v>
      </c>
      <c r="AV3" s="23" t="s">
        <v>47</v>
      </c>
      <c r="AX3" s="24">
        <v>72</v>
      </c>
      <c r="AY3" s="25">
        <v>46</v>
      </c>
      <c r="AZ3" s="25">
        <v>71</v>
      </c>
      <c r="BA3" s="26">
        <v>42</v>
      </c>
    </row>
    <row r="4" spans="1:53" x14ac:dyDescent="0.15">
      <c r="A4" s="53" t="s">
        <v>34</v>
      </c>
      <c r="B4" s="53" t="s">
        <v>304</v>
      </c>
      <c r="C4" s="53">
        <v>2019</v>
      </c>
      <c r="D4" s="177" t="s">
        <v>300</v>
      </c>
      <c r="E4" s="53" t="s">
        <v>363</v>
      </c>
      <c r="F4" s="53" t="s">
        <v>364</v>
      </c>
      <c r="G4" s="53" t="s">
        <v>36</v>
      </c>
      <c r="H4" s="53" t="s">
        <v>163</v>
      </c>
      <c r="I4" s="53" t="s">
        <v>159</v>
      </c>
      <c r="J4" s="53" t="s">
        <v>38</v>
      </c>
      <c r="K4" s="53" t="s">
        <v>160</v>
      </c>
      <c r="L4" s="53">
        <v>3</v>
      </c>
      <c r="N4" s="53">
        <v>1</v>
      </c>
      <c r="O4" s="53">
        <v>0.2</v>
      </c>
      <c r="P4" s="53">
        <v>0.2</v>
      </c>
      <c r="Q4" s="76">
        <f t="shared" si="0"/>
        <v>0.2</v>
      </c>
      <c r="R4" s="53">
        <v>14.8</v>
      </c>
      <c r="S4" s="53">
        <v>112</v>
      </c>
      <c r="T4" s="16">
        <f t="shared" si="1"/>
        <v>33</v>
      </c>
      <c r="U4" s="53">
        <v>103</v>
      </c>
      <c r="V4" s="16">
        <f t="shared" si="2"/>
        <v>3399</v>
      </c>
      <c r="W4" s="53">
        <v>1</v>
      </c>
      <c r="X4" s="53" t="s">
        <v>46</v>
      </c>
      <c r="Y4" s="53" t="s">
        <v>84</v>
      </c>
      <c r="Z4" s="53" t="s">
        <v>69</v>
      </c>
      <c r="AA4" s="53" t="s">
        <v>90</v>
      </c>
      <c r="AB4" s="53" t="s">
        <v>301</v>
      </c>
      <c r="AE4" s="22" t="s">
        <v>34</v>
      </c>
      <c r="AG4" s="179" t="s">
        <v>368</v>
      </c>
      <c r="AH4" s="67" t="s">
        <v>369</v>
      </c>
      <c r="AJ4" s="27" t="s">
        <v>48</v>
      </c>
      <c r="AL4" s="27" t="s">
        <v>129</v>
      </c>
      <c r="AN4" s="28" t="s">
        <v>49</v>
      </c>
      <c r="AP4" s="23" t="s">
        <v>93</v>
      </c>
      <c r="AR4" s="23" t="s">
        <v>121</v>
      </c>
      <c r="AT4" s="28"/>
      <c r="AV4" s="23" t="s">
        <v>50</v>
      </c>
      <c r="AX4" s="24">
        <v>75</v>
      </c>
      <c r="AY4" s="25">
        <v>42</v>
      </c>
      <c r="AZ4" s="25">
        <v>76</v>
      </c>
      <c r="BA4" s="26">
        <v>39</v>
      </c>
    </row>
    <row r="5" spans="1:53" x14ac:dyDescent="0.15">
      <c r="A5" s="53" t="s">
        <v>34</v>
      </c>
      <c r="B5" s="53" t="s">
        <v>304</v>
      </c>
      <c r="C5" s="53">
        <v>2019</v>
      </c>
      <c r="D5" s="177" t="s">
        <v>300</v>
      </c>
      <c r="E5" s="53" t="s">
        <v>370</v>
      </c>
      <c r="F5" s="53" t="s">
        <v>371</v>
      </c>
      <c r="G5" s="53" t="s">
        <v>36</v>
      </c>
      <c r="H5" s="53" t="s">
        <v>163</v>
      </c>
      <c r="I5" s="53" t="s">
        <v>159</v>
      </c>
      <c r="J5" s="53" t="s">
        <v>38</v>
      </c>
      <c r="K5" s="53" t="s">
        <v>160</v>
      </c>
      <c r="L5" s="53">
        <v>1</v>
      </c>
      <c r="N5" s="53">
        <v>1</v>
      </c>
      <c r="O5" s="53">
        <v>0.65</v>
      </c>
      <c r="P5" s="53">
        <v>0.55000000000000004</v>
      </c>
      <c r="Q5" s="76">
        <f t="shared" si="0"/>
        <v>0.60000000000000009</v>
      </c>
      <c r="R5" s="53">
        <v>13.3</v>
      </c>
      <c r="S5" s="53">
        <v>108</v>
      </c>
      <c r="T5" s="16">
        <f t="shared" si="1"/>
        <v>33</v>
      </c>
      <c r="U5" s="53">
        <v>73</v>
      </c>
      <c r="V5" s="16">
        <f t="shared" si="2"/>
        <v>2409</v>
      </c>
      <c r="W5" s="53">
        <v>1</v>
      </c>
      <c r="X5" s="53" t="s">
        <v>46</v>
      </c>
      <c r="Y5" s="53" t="s">
        <v>84</v>
      </c>
      <c r="Z5" s="53" t="s">
        <v>40</v>
      </c>
      <c r="AA5" s="53" t="s">
        <v>69</v>
      </c>
      <c r="AB5" s="53" t="s">
        <v>301</v>
      </c>
      <c r="AE5" s="22" t="s">
        <v>51</v>
      </c>
      <c r="AG5" s="179" t="s">
        <v>372</v>
      </c>
      <c r="AH5" s="67" t="s">
        <v>373</v>
      </c>
      <c r="AJ5" s="28"/>
      <c r="AL5" s="73" t="s">
        <v>66</v>
      </c>
      <c r="AN5" s="73" t="s">
        <v>52</v>
      </c>
      <c r="AP5" s="23" t="s">
        <v>119</v>
      </c>
      <c r="AR5" s="23" t="s">
        <v>54</v>
      </c>
      <c r="AV5" s="23" t="s">
        <v>55</v>
      </c>
      <c r="AX5" s="24">
        <v>84</v>
      </c>
      <c r="AY5" s="25">
        <v>39</v>
      </c>
      <c r="AZ5" s="25">
        <v>84</v>
      </c>
      <c r="BA5" s="26">
        <v>36</v>
      </c>
    </row>
    <row r="6" spans="1:53" x14ac:dyDescent="0.15">
      <c r="A6" s="53" t="s">
        <v>34</v>
      </c>
      <c r="B6" s="53" t="s">
        <v>304</v>
      </c>
      <c r="C6" s="53">
        <v>2019</v>
      </c>
      <c r="D6" s="177" t="s">
        <v>300</v>
      </c>
      <c r="E6" s="53" t="s">
        <v>370</v>
      </c>
      <c r="F6" s="53" t="s">
        <v>371</v>
      </c>
      <c r="G6" s="53" t="s">
        <v>36</v>
      </c>
      <c r="H6" s="53" t="s">
        <v>163</v>
      </c>
      <c r="I6" s="53" t="s">
        <v>159</v>
      </c>
      <c r="J6" s="53" t="s">
        <v>38</v>
      </c>
      <c r="K6" s="53" t="s">
        <v>160</v>
      </c>
      <c r="L6" s="53">
        <v>2</v>
      </c>
      <c r="N6" s="53">
        <v>1</v>
      </c>
      <c r="O6" s="53">
        <v>0.6</v>
      </c>
      <c r="P6" s="53">
        <v>0.6</v>
      </c>
      <c r="Q6" s="76">
        <f t="shared" si="0"/>
        <v>0.6</v>
      </c>
      <c r="R6" s="53">
        <v>14.1</v>
      </c>
      <c r="S6" s="53">
        <v>108</v>
      </c>
      <c r="T6" s="16">
        <f t="shared" si="1"/>
        <v>33</v>
      </c>
      <c r="U6" s="53">
        <v>73</v>
      </c>
      <c r="V6" s="16">
        <f t="shared" si="2"/>
        <v>2409</v>
      </c>
      <c r="W6" s="53">
        <v>1</v>
      </c>
      <c r="X6" s="53" t="s">
        <v>46</v>
      </c>
      <c r="Y6" s="53" t="s">
        <v>84</v>
      </c>
      <c r="Z6" s="53" t="s">
        <v>40</v>
      </c>
      <c r="AA6" s="53" t="s">
        <v>69</v>
      </c>
      <c r="AB6" s="53" t="s">
        <v>301</v>
      </c>
      <c r="AE6" s="22" t="s">
        <v>56</v>
      </c>
      <c r="AG6" s="179" t="s">
        <v>374</v>
      </c>
      <c r="AH6" s="67" t="s">
        <v>375</v>
      </c>
      <c r="AL6" s="73" t="s">
        <v>99</v>
      </c>
      <c r="AN6" s="73" t="s">
        <v>57</v>
      </c>
      <c r="AP6" s="23" t="s">
        <v>53</v>
      </c>
      <c r="AR6" s="23" t="s">
        <v>59</v>
      </c>
      <c r="AV6" s="23" t="s">
        <v>60</v>
      </c>
      <c r="AX6" s="24">
        <v>97</v>
      </c>
      <c r="AY6" s="25">
        <v>36</v>
      </c>
      <c r="AZ6" s="25">
        <v>99</v>
      </c>
      <c r="BA6" s="26">
        <v>33</v>
      </c>
    </row>
    <row r="7" spans="1:53" x14ac:dyDescent="0.15">
      <c r="A7" s="53" t="s">
        <v>34</v>
      </c>
      <c r="B7" s="53" t="s">
        <v>304</v>
      </c>
      <c r="C7" s="53">
        <v>2019</v>
      </c>
      <c r="D7" s="177" t="s">
        <v>300</v>
      </c>
      <c r="E7" s="53" t="s">
        <v>370</v>
      </c>
      <c r="F7" s="53" t="s">
        <v>371</v>
      </c>
      <c r="G7" s="53" t="s">
        <v>36</v>
      </c>
      <c r="H7" s="53" t="s">
        <v>163</v>
      </c>
      <c r="I7" s="53" t="s">
        <v>159</v>
      </c>
      <c r="J7" s="53" t="s">
        <v>38</v>
      </c>
      <c r="K7" s="53" t="s">
        <v>160</v>
      </c>
      <c r="L7" s="53">
        <v>3</v>
      </c>
      <c r="N7" s="53">
        <v>1</v>
      </c>
      <c r="O7" s="53">
        <v>0.65</v>
      </c>
      <c r="P7" s="53">
        <v>0.5</v>
      </c>
      <c r="Q7" s="76">
        <f t="shared" si="0"/>
        <v>0.57499999999999996</v>
      </c>
      <c r="R7" s="53">
        <v>13</v>
      </c>
      <c r="S7" s="53">
        <v>107</v>
      </c>
      <c r="T7" s="16">
        <f t="shared" si="1"/>
        <v>33</v>
      </c>
      <c r="U7" s="53">
        <v>73</v>
      </c>
      <c r="V7" s="16">
        <f t="shared" si="2"/>
        <v>2409</v>
      </c>
      <c r="W7" s="53">
        <v>1</v>
      </c>
      <c r="X7" s="53" t="s">
        <v>46</v>
      </c>
      <c r="Y7" s="53" t="s">
        <v>84</v>
      </c>
      <c r="Z7" s="53" t="s">
        <v>40</v>
      </c>
      <c r="AA7" s="53" t="s">
        <v>69</v>
      </c>
      <c r="AB7" s="53" t="s">
        <v>301</v>
      </c>
      <c r="AE7" s="22" t="s">
        <v>61</v>
      </c>
      <c r="AG7" s="179" t="s">
        <v>261</v>
      </c>
      <c r="AH7" s="67" t="s">
        <v>376</v>
      </c>
      <c r="AL7" s="34" t="s">
        <v>109</v>
      </c>
      <c r="AP7" s="23" t="s">
        <v>58</v>
      </c>
      <c r="AR7" s="23" t="s">
        <v>122</v>
      </c>
      <c r="AV7" s="23" t="s">
        <v>64</v>
      </c>
      <c r="AX7" s="24">
        <v>109</v>
      </c>
      <c r="AY7" s="25">
        <v>33</v>
      </c>
      <c r="AZ7" s="25">
        <v>113</v>
      </c>
      <c r="BA7" s="26">
        <v>30</v>
      </c>
    </row>
    <row r="8" spans="1:53" x14ac:dyDescent="0.15">
      <c r="A8" s="53" t="s">
        <v>34</v>
      </c>
      <c r="B8" s="53" t="s">
        <v>304</v>
      </c>
      <c r="C8" s="53">
        <v>2019</v>
      </c>
      <c r="D8" s="177" t="s">
        <v>300</v>
      </c>
      <c r="E8" s="53" t="s">
        <v>368</v>
      </c>
      <c r="F8" s="53" t="s">
        <v>369</v>
      </c>
      <c r="G8" s="53" t="s">
        <v>36</v>
      </c>
      <c r="H8" s="53" t="s">
        <v>163</v>
      </c>
      <c r="I8" s="53" t="s">
        <v>159</v>
      </c>
      <c r="J8" s="53" t="s">
        <v>38</v>
      </c>
      <c r="K8" s="53" t="s">
        <v>160</v>
      </c>
      <c r="L8" s="53">
        <v>1</v>
      </c>
      <c r="N8" s="53">
        <v>1</v>
      </c>
      <c r="O8" s="53">
        <v>0.55000000000000004</v>
      </c>
      <c r="P8" s="53">
        <v>0.6</v>
      </c>
      <c r="Q8" s="76">
        <f t="shared" si="0"/>
        <v>0.57499999999999996</v>
      </c>
      <c r="R8" s="53">
        <v>14.4</v>
      </c>
      <c r="S8" s="53">
        <v>114</v>
      </c>
      <c r="T8" s="16">
        <f t="shared" si="1"/>
        <v>30</v>
      </c>
      <c r="U8" s="53">
        <v>108</v>
      </c>
      <c r="V8" s="16">
        <f t="shared" si="2"/>
        <v>3240</v>
      </c>
      <c r="W8" s="53">
        <v>1</v>
      </c>
      <c r="X8" s="53" t="s">
        <v>46</v>
      </c>
      <c r="Y8" s="53" t="s">
        <v>84</v>
      </c>
      <c r="Z8" s="53" t="s">
        <v>69</v>
      </c>
      <c r="AA8" s="53" t="s">
        <v>40</v>
      </c>
      <c r="AB8" s="53" t="s">
        <v>301</v>
      </c>
      <c r="AE8" s="22" t="s">
        <v>59</v>
      </c>
      <c r="AG8" s="179" t="s">
        <v>370</v>
      </c>
      <c r="AH8" s="67" t="s">
        <v>371</v>
      </c>
      <c r="AL8" s="34" t="s">
        <v>134</v>
      </c>
      <c r="AP8" s="23" t="s">
        <v>62</v>
      </c>
      <c r="AR8" s="23" t="s">
        <v>81</v>
      </c>
      <c r="AV8" s="23" t="s">
        <v>97</v>
      </c>
      <c r="AX8" s="24">
        <v>151</v>
      </c>
      <c r="AY8" s="25">
        <v>22</v>
      </c>
      <c r="AZ8" s="25">
        <v>152</v>
      </c>
      <c r="BA8" s="26">
        <v>18</v>
      </c>
    </row>
    <row r="9" spans="1:53" x14ac:dyDescent="0.15">
      <c r="A9" s="53" t="s">
        <v>34</v>
      </c>
      <c r="B9" s="53" t="s">
        <v>304</v>
      </c>
      <c r="C9" s="53">
        <v>2019</v>
      </c>
      <c r="D9" s="177" t="s">
        <v>300</v>
      </c>
      <c r="E9" s="53" t="s">
        <v>368</v>
      </c>
      <c r="F9" s="53" t="s">
        <v>369</v>
      </c>
      <c r="G9" s="53" t="s">
        <v>36</v>
      </c>
      <c r="H9" s="53" t="s">
        <v>163</v>
      </c>
      <c r="I9" s="53" t="s">
        <v>159</v>
      </c>
      <c r="J9" s="53" t="s">
        <v>38</v>
      </c>
      <c r="K9" s="53" t="s">
        <v>160</v>
      </c>
      <c r="L9" s="53">
        <v>2</v>
      </c>
      <c r="N9" s="53">
        <v>1</v>
      </c>
      <c r="O9" s="53">
        <v>0.55000000000000004</v>
      </c>
      <c r="P9" s="53">
        <v>0.6</v>
      </c>
      <c r="Q9" s="76">
        <f t="shared" si="0"/>
        <v>0.57499999999999996</v>
      </c>
      <c r="R9" s="53">
        <v>14.4</v>
      </c>
      <c r="S9" s="53">
        <v>108</v>
      </c>
      <c r="T9" s="16">
        <f t="shared" si="1"/>
        <v>33</v>
      </c>
      <c r="U9" s="53">
        <v>108</v>
      </c>
      <c r="V9" s="16">
        <f t="shared" si="2"/>
        <v>3564</v>
      </c>
      <c r="W9" s="53">
        <v>1</v>
      </c>
      <c r="X9" s="53" t="s">
        <v>46</v>
      </c>
      <c r="Y9" s="53" t="s">
        <v>84</v>
      </c>
      <c r="Z9" s="53" t="s">
        <v>69</v>
      </c>
      <c r="AA9" s="53" t="s">
        <v>40</v>
      </c>
      <c r="AB9" s="53" t="s">
        <v>301</v>
      </c>
      <c r="AE9" s="22" t="s">
        <v>98</v>
      </c>
      <c r="AG9" s="179" t="s">
        <v>377</v>
      </c>
      <c r="AH9" s="67" t="s">
        <v>378</v>
      </c>
      <c r="AL9" s="73"/>
      <c r="AP9" s="23" t="s">
        <v>95</v>
      </c>
      <c r="AR9" s="23" t="s">
        <v>89</v>
      </c>
      <c r="AV9" s="23" t="s">
        <v>102</v>
      </c>
      <c r="AX9" s="31">
        <v>180</v>
      </c>
      <c r="AY9" s="32">
        <v>18</v>
      </c>
      <c r="AZ9" s="32">
        <v>181</v>
      </c>
      <c r="BA9" s="33">
        <v>16</v>
      </c>
    </row>
    <row r="10" spans="1:53" x14ac:dyDescent="0.15">
      <c r="A10" s="53" t="s">
        <v>34</v>
      </c>
      <c r="B10" s="53" t="s">
        <v>304</v>
      </c>
      <c r="C10" s="53">
        <v>2019</v>
      </c>
      <c r="D10" s="177" t="s">
        <v>300</v>
      </c>
      <c r="E10" s="53" t="s">
        <v>368</v>
      </c>
      <c r="F10" s="53" t="s">
        <v>369</v>
      </c>
      <c r="G10" s="53" t="s">
        <v>36</v>
      </c>
      <c r="H10" s="53" t="s">
        <v>163</v>
      </c>
      <c r="I10" s="53" t="s">
        <v>159</v>
      </c>
      <c r="J10" s="53" t="s">
        <v>38</v>
      </c>
      <c r="K10" s="53" t="s">
        <v>160</v>
      </c>
      <c r="L10" s="53">
        <v>3</v>
      </c>
      <c r="N10" s="53">
        <v>1</v>
      </c>
      <c r="O10" s="53">
        <v>0.2</v>
      </c>
      <c r="P10" s="53">
        <v>0.2</v>
      </c>
      <c r="Q10" s="76">
        <f t="shared" si="0"/>
        <v>0.2</v>
      </c>
      <c r="R10" s="53">
        <v>14.4</v>
      </c>
      <c r="S10" s="53">
        <v>110</v>
      </c>
      <c r="T10" s="16">
        <f t="shared" si="1"/>
        <v>33</v>
      </c>
      <c r="U10" s="53">
        <v>108</v>
      </c>
      <c r="V10" s="16">
        <f t="shared" si="2"/>
        <v>3564</v>
      </c>
      <c r="W10" s="53">
        <v>1</v>
      </c>
      <c r="X10" s="53" t="s">
        <v>46</v>
      </c>
      <c r="Y10" s="53" t="s">
        <v>84</v>
      </c>
      <c r="Z10" s="53" t="s">
        <v>69</v>
      </c>
      <c r="AA10" s="53" t="s">
        <v>40</v>
      </c>
      <c r="AB10" s="53" t="s">
        <v>301</v>
      </c>
      <c r="AE10" s="22" t="s">
        <v>103</v>
      </c>
      <c r="AG10" s="179" t="s">
        <v>363</v>
      </c>
      <c r="AH10" s="67" t="s">
        <v>364</v>
      </c>
      <c r="AL10" s="34"/>
      <c r="AP10" s="23" t="s">
        <v>100</v>
      </c>
      <c r="AR10" s="23" t="s">
        <v>123</v>
      </c>
      <c r="AV10" s="23" t="s">
        <v>106</v>
      </c>
    </row>
    <row r="11" spans="1:53" x14ac:dyDescent="0.15">
      <c r="A11" s="53" t="s">
        <v>34</v>
      </c>
      <c r="B11" s="53" t="s">
        <v>304</v>
      </c>
      <c r="C11" s="53">
        <v>2019</v>
      </c>
      <c r="D11" s="177" t="s">
        <v>300</v>
      </c>
      <c r="E11" s="53" t="s">
        <v>355</v>
      </c>
      <c r="F11" s="53" t="s">
        <v>365</v>
      </c>
      <c r="G11" s="53" t="s">
        <v>36</v>
      </c>
      <c r="H11" s="53" t="s">
        <v>163</v>
      </c>
      <c r="I11" s="53" t="s">
        <v>159</v>
      </c>
      <c r="J11" s="53" t="s">
        <v>38</v>
      </c>
      <c r="K11" s="53" t="s">
        <v>160</v>
      </c>
      <c r="L11" s="53">
        <v>1</v>
      </c>
      <c r="N11" s="53">
        <v>4</v>
      </c>
      <c r="O11" s="53">
        <v>0.2</v>
      </c>
      <c r="P11" s="53">
        <v>0.2</v>
      </c>
      <c r="Q11" s="76">
        <f t="shared" si="0"/>
        <v>0.2</v>
      </c>
      <c r="R11" s="53">
        <v>14.8</v>
      </c>
      <c r="S11" s="53">
        <v>96</v>
      </c>
      <c r="T11" s="16">
        <f t="shared" si="1"/>
        <v>36</v>
      </c>
      <c r="U11" s="53">
        <v>85</v>
      </c>
      <c r="V11" s="16">
        <f t="shared" si="2"/>
        <v>765</v>
      </c>
      <c r="W11" s="53">
        <v>4</v>
      </c>
      <c r="X11" s="53" t="s">
        <v>46</v>
      </c>
      <c r="Y11" s="53" t="s">
        <v>84</v>
      </c>
      <c r="Z11" s="53" t="s">
        <v>40</v>
      </c>
      <c r="AA11" s="53" t="s">
        <v>90</v>
      </c>
      <c r="AB11" s="53" t="s">
        <v>301</v>
      </c>
      <c r="AE11" s="22" t="s">
        <v>65</v>
      </c>
      <c r="AG11" s="179" t="s">
        <v>214</v>
      </c>
      <c r="AH11" s="67" t="s">
        <v>379</v>
      </c>
      <c r="AL11" s="34"/>
      <c r="AP11" s="23" t="s">
        <v>104</v>
      </c>
      <c r="AR11" s="23" t="s">
        <v>87</v>
      </c>
      <c r="AV11" s="23" t="s">
        <v>69</v>
      </c>
    </row>
    <row r="12" spans="1:53" x14ac:dyDescent="0.15">
      <c r="A12" s="53" t="s">
        <v>34</v>
      </c>
      <c r="B12" s="53" t="s">
        <v>304</v>
      </c>
      <c r="C12" s="53">
        <v>2019</v>
      </c>
      <c r="D12" s="177" t="s">
        <v>300</v>
      </c>
      <c r="E12" s="53" t="s">
        <v>355</v>
      </c>
      <c r="F12" s="53" t="s">
        <v>365</v>
      </c>
      <c r="G12" s="53" t="s">
        <v>36</v>
      </c>
      <c r="H12" s="53" t="s">
        <v>163</v>
      </c>
      <c r="I12" s="53" t="s">
        <v>159</v>
      </c>
      <c r="J12" s="53" t="s">
        <v>38</v>
      </c>
      <c r="K12" s="53" t="s">
        <v>160</v>
      </c>
      <c r="L12" s="53">
        <v>2</v>
      </c>
      <c r="N12" s="53">
        <v>4</v>
      </c>
      <c r="O12" s="53">
        <v>0.2</v>
      </c>
      <c r="P12" s="53">
        <v>0.2</v>
      </c>
      <c r="Q12" s="76">
        <f t="shared" si="0"/>
        <v>0.2</v>
      </c>
      <c r="R12" s="53">
        <v>14.8</v>
      </c>
      <c r="S12" s="53">
        <v>106</v>
      </c>
      <c r="T12" s="16">
        <f t="shared" si="1"/>
        <v>33</v>
      </c>
      <c r="U12" s="53">
        <v>85</v>
      </c>
      <c r="V12" s="16">
        <f t="shared" si="2"/>
        <v>701.25</v>
      </c>
      <c r="W12" s="53">
        <v>4</v>
      </c>
      <c r="X12" s="53" t="s">
        <v>46</v>
      </c>
      <c r="Y12" s="53" t="s">
        <v>84</v>
      </c>
      <c r="Z12" s="53" t="s">
        <v>40</v>
      </c>
      <c r="AA12" s="53" t="s">
        <v>90</v>
      </c>
      <c r="AB12" s="53" t="s">
        <v>301</v>
      </c>
      <c r="AE12" s="22" t="s">
        <v>70</v>
      </c>
      <c r="AG12" s="28"/>
      <c r="AH12" s="23"/>
      <c r="AL12" s="34"/>
      <c r="AP12" s="23" t="s">
        <v>67</v>
      </c>
      <c r="AR12" s="23" t="s">
        <v>124</v>
      </c>
      <c r="AV12" s="23" t="s">
        <v>72</v>
      </c>
    </row>
    <row r="13" spans="1:53" x14ac:dyDescent="0.15">
      <c r="A13" s="53" t="s">
        <v>34</v>
      </c>
      <c r="B13" s="53" t="s">
        <v>304</v>
      </c>
      <c r="C13" s="53">
        <v>2019</v>
      </c>
      <c r="D13" s="177" t="s">
        <v>300</v>
      </c>
      <c r="E13" s="53" t="s">
        <v>355</v>
      </c>
      <c r="F13" s="53" t="s">
        <v>365</v>
      </c>
      <c r="G13" s="53" t="s">
        <v>36</v>
      </c>
      <c r="H13" s="53" t="s">
        <v>163</v>
      </c>
      <c r="I13" s="53" t="s">
        <v>159</v>
      </c>
      <c r="J13" s="53" t="s">
        <v>38</v>
      </c>
      <c r="K13" s="53" t="s">
        <v>160</v>
      </c>
      <c r="L13" s="53">
        <v>3</v>
      </c>
      <c r="N13" s="53">
        <v>4</v>
      </c>
      <c r="O13" s="53">
        <v>0.6</v>
      </c>
      <c r="P13" s="53">
        <v>0.7</v>
      </c>
      <c r="Q13" s="76">
        <f t="shared" si="0"/>
        <v>0.64999999999999991</v>
      </c>
      <c r="R13" s="53">
        <v>13.7</v>
      </c>
      <c r="S13" s="53">
        <v>93</v>
      </c>
      <c r="T13" s="16">
        <f t="shared" si="1"/>
        <v>36</v>
      </c>
      <c r="U13" s="53">
        <v>85</v>
      </c>
      <c r="V13" s="16">
        <f t="shared" si="2"/>
        <v>765</v>
      </c>
      <c r="W13" s="53">
        <v>4</v>
      </c>
      <c r="X13" s="53" t="s">
        <v>46</v>
      </c>
      <c r="Y13" s="53" t="s">
        <v>84</v>
      </c>
      <c r="Z13" s="53" t="s">
        <v>40</v>
      </c>
      <c r="AA13" s="53" t="s">
        <v>90</v>
      </c>
      <c r="AB13" s="53" t="s">
        <v>301</v>
      </c>
      <c r="AE13" s="22" t="s">
        <v>73</v>
      </c>
      <c r="AH13" s="28"/>
      <c r="AP13" s="23" t="s">
        <v>71</v>
      </c>
      <c r="AR13" s="23" t="s">
        <v>103</v>
      </c>
      <c r="AV13" s="23" t="s">
        <v>75</v>
      </c>
    </row>
    <row r="14" spans="1:53" x14ac:dyDescent="0.15">
      <c r="A14" s="53" t="s">
        <v>34</v>
      </c>
      <c r="B14" s="53" t="s">
        <v>304</v>
      </c>
      <c r="C14" s="53">
        <v>2019</v>
      </c>
      <c r="D14" s="177" t="s">
        <v>300</v>
      </c>
      <c r="E14" s="53" t="s">
        <v>355</v>
      </c>
      <c r="F14" s="53" t="s">
        <v>365</v>
      </c>
      <c r="G14" s="53" t="s">
        <v>36</v>
      </c>
      <c r="H14" s="53" t="s">
        <v>127</v>
      </c>
      <c r="I14" s="53" t="s">
        <v>159</v>
      </c>
      <c r="J14" s="53" t="s">
        <v>80</v>
      </c>
      <c r="K14" s="53" t="s">
        <v>123</v>
      </c>
      <c r="L14" s="53">
        <v>1</v>
      </c>
      <c r="N14" s="53">
        <v>4</v>
      </c>
      <c r="O14" s="53">
        <v>1.5</v>
      </c>
      <c r="P14" s="53">
        <v>1.5</v>
      </c>
      <c r="Q14" s="76">
        <f t="shared" si="0"/>
        <v>1.5</v>
      </c>
      <c r="R14" s="53">
        <v>10.6</v>
      </c>
      <c r="S14" s="53">
        <v>120</v>
      </c>
      <c r="T14" s="16">
        <f t="shared" si="1"/>
        <v>30</v>
      </c>
      <c r="U14" s="53">
        <v>105</v>
      </c>
      <c r="V14" s="16">
        <f t="shared" si="2"/>
        <v>787.5</v>
      </c>
      <c r="W14" s="53">
        <v>4</v>
      </c>
      <c r="X14" s="53" t="s">
        <v>46</v>
      </c>
      <c r="Y14" s="53" t="s">
        <v>84</v>
      </c>
      <c r="Z14" s="53" t="s">
        <v>40</v>
      </c>
      <c r="AA14" s="53" t="s">
        <v>90</v>
      </c>
      <c r="AB14" s="53" t="s">
        <v>301</v>
      </c>
      <c r="AE14" s="22" t="s">
        <v>76</v>
      </c>
      <c r="AG14" s="180"/>
      <c r="AP14" s="23" t="s">
        <v>74</v>
      </c>
      <c r="AR14" s="23" t="s">
        <v>125</v>
      </c>
      <c r="AV14" s="23" t="s">
        <v>78</v>
      </c>
    </row>
    <row r="15" spans="1:53" x14ac:dyDescent="0.15">
      <c r="A15" s="53" t="s">
        <v>34</v>
      </c>
      <c r="B15" s="53" t="s">
        <v>304</v>
      </c>
      <c r="C15" s="53">
        <v>2019</v>
      </c>
      <c r="D15" s="177" t="s">
        <v>300</v>
      </c>
      <c r="E15" s="53" t="s">
        <v>355</v>
      </c>
      <c r="F15" s="53" t="s">
        <v>365</v>
      </c>
      <c r="G15" s="53" t="s">
        <v>36</v>
      </c>
      <c r="H15" s="53" t="s">
        <v>127</v>
      </c>
      <c r="I15" s="53" t="s">
        <v>159</v>
      </c>
      <c r="J15" s="53" t="s">
        <v>80</v>
      </c>
      <c r="K15" s="53" t="s">
        <v>123</v>
      </c>
      <c r="L15" s="53">
        <v>2</v>
      </c>
      <c r="N15" s="53">
        <v>4</v>
      </c>
      <c r="O15" s="53">
        <v>1.5</v>
      </c>
      <c r="P15" s="53">
        <v>1.5</v>
      </c>
      <c r="Q15" s="76">
        <f t="shared" si="0"/>
        <v>1.5</v>
      </c>
      <c r="R15" s="53">
        <v>14.1</v>
      </c>
      <c r="S15" s="53">
        <v>130</v>
      </c>
      <c r="T15" s="16">
        <f t="shared" si="1"/>
        <v>30</v>
      </c>
      <c r="U15" s="53">
        <v>105</v>
      </c>
      <c r="V15" s="16">
        <f t="shared" si="2"/>
        <v>787.5</v>
      </c>
      <c r="W15" s="53">
        <v>4</v>
      </c>
      <c r="X15" s="53" t="s">
        <v>46</v>
      </c>
      <c r="Y15" s="53" t="s">
        <v>84</v>
      </c>
      <c r="Z15" s="53" t="s">
        <v>40</v>
      </c>
      <c r="AA15" s="53" t="s">
        <v>90</v>
      </c>
      <c r="AB15" s="53" t="s">
        <v>301</v>
      </c>
      <c r="AE15" s="22" t="s">
        <v>79</v>
      </c>
      <c r="AP15" s="23" t="s">
        <v>77</v>
      </c>
      <c r="AR15" s="23" t="s">
        <v>94</v>
      </c>
      <c r="AV15" s="23" t="s">
        <v>107</v>
      </c>
    </row>
    <row r="16" spans="1:53" x14ac:dyDescent="0.15">
      <c r="A16" s="53" t="s">
        <v>34</v>
      </c>
      <c r="B16" s="53" t="s">
        <v>304</v>
      </c>
      <c r="C16" s="53">
        <v>2019</v>
      </c>
      <c r="D16" s="177" t="s">
        <v>300</v>
      </c>
      <c r="E16" s="53" t="s">
        <v>355</v>
      </c>
      <c r="F16" s="53" t="s">
        <v>365</v>
      </c>
      <c r="G16" s="53" t="s">
        <v>36</v>
      </c>
      <c r="H16" s="53" t="s">
        <v>127</v>
      </c>
      <c r="I16" s="53" t="s">
        <v>159</v>
      </c>
      <c r="J16" s="53" t="s">
        <v>80</v>
      </c>
      <c r="K16" s="53" t="s">
        <v>123</v>
      </c>
      <c r="L16" s="53">
        <v>3</v>
      </c>
      <c r="N16" s="53">
        <v>4</v>
      </c>
      <c r="O16" s="53">
        <v>1.5</v>
      </c>
      <c r="P16" s="53">
        <v>1.5</v>
      </c>
      <c r="Q16" s="76">
        <f t="shared" si="0"/>
        <v>1.5</v>
      </c>
      <c r="R16" s="53">
        <v>15</v>
      </c>
      <c r="S16" s="53">
        <v>114</v>
      </c>
      <c r="T16" s="16">
        <f t="shared" si="1"/>
        <v>30</v>
      </c>
      <c r="U16" s="53">
        <v>105</v>
      </c>
      <c r="V16" s="16">
        <f t="shared" si="2"/>
        <v>787.5</v>
      </c>
      <c r="W16" s="53">
        <v>4</v>
      </c>
      <c r="X16" s="53" t="s">
        <v>46</v>
      </c>
      <c r="Y16" s="53" t="s">
        <v>84</v>
      </c>
      <c r="Z16" s="53" t="s">
        <v>40</v>
      </c>
      <c r="AA16" s="53" t="s">
        <v>90</v>
      </c>
      <c r="AB16" s="53" t="s">
        <v>301</v>
      </c>
      <c r="AE16" s="22" t="s">
        <v>82</v>
      </c>
      <c r="AP16" s="23" t="s">
        <v>80</v>
      </c>
      <c r="AR16" s="23" t="s">
        <v>63</v>
      </c>
      <c r="AV16" s="23" t="s">
        <v>84</v>
      </c>
    </row>
    <row r="17" spans="1:48" x14ac:dyDescent="0.15">
      <c r="A17" s="53" t="s">
        <v>34</v>
      </c>
      <c r="B17" s="53" t="s">
        <v>304</v>
      </c>
      <c r="C17" s="53">
        <v>2019</v>
      </c>
      <c r="D17" s="177" t="s">
        <v>300</v>
      </c>
      <c r="E17" s="53" t="s">
        <v>372</v>
      </c>
      <c r="F17" s="53" t="s">
        <v>373</v>
      </c>
      <c r="G17" s="53" t="s">
        <v>36</v>
      </c>
      <c r="H17" s="53" t="s">
        <v>163</v>
      </c>
      <c r="I17" s="53" t="s">
        <v>159</v>
      </c>
      <c r="J17" s="53" t="s">
        <v>38</v>
      </c>
      <c r="K17" s="53" t="s">
        <v>160</v>
      </c>
      <c r="L17" s="53">
        <v>1</v>
      </c>
      <c r="N17" s="53">
        <v>1</v>
      </c>
      <c r="O17" s="53">
        <v>0.65</v>
      </c>
      <c r="P17" s="53">
        <v>0.7</v>
      </c>
      <c r="Q17" s="76">
        <f t="shared" si="0"/>
        <v>0.67500000000000004</v>
      </c>
      <c r="R17" s="53">
        <v>14.3</v>
      </c>
      <c r="S17" s="53">
        <v>102</v>
      </c>
      <c r="T17" s="16">
        <f t="shared" si="1"/>
        <v>33</v>
      </c>
      <c r="U17" s="53">
        <v>41</v>
      </c>
      <c r="V17" s="16">
        <f t="shared" si="2"/>
        <v>1353</v>
      </c>
      <c r="W17" s="53">
        <v>3</v>
      </c>
      <c r="X17" s="53" t="s">
        <v>39</v>
      </c>
      <c r="Y17" s="53" t="s">
        <v>40</v>
      </c>
      <c r="Z17" s="53" t="s">
        <v>84</v>
      </c>
      <c r="AA17" s="53" t="s">
        <v>231</v>
      </c>
      <c r="AB17" s="53" t="s">
        <v>301</v>
      </c>
      <c r="AE17" s="22" t="s">
        <v>85</v>
      </c>
      <c r="AP17" s="27" t="s">
        <v>110</v>
      </c>
      <c r="AR17" s="23" t="s">
        <v>96</v>
      </c>
      <c r="AV17" s="23" t="s">
        <v>86</v>
      </c>
    </row>
    <row r="18" spans="1:48" x14ac:dyDescent="0.15">
      <c r="A18" s="53" t="s">
        <v>34</v>
      </c>
      <c r="B18" s="53" t="s">
        <v>304</v>
      </c>
      <c r="C18" s="53">
        <v>2019</v>
      </c>
      <c r="D18" s="177" t="s">
        <v>300</v>
      </c>
      <c r="E18" s="53" t="s">
        <v>372</v>
      </c>
      <c r="F18" s="53" t="s">
        <v>373</v>
      </c>
      <c r="G18" s="53" t="s">
        <v>36</v>
      </c>
      <c r="H18" s="53" t="s">
        <v>163</v>
      </c>
      <c r="I18" s="53" t="s">
        <v>159</v>
      </c>
      <c r="J18" s="53" t="s">
        <v>38</v>
      </c>
      <c r="K18" s="53" t="s">
        <v>160</v>
      </c>
      <c r="L18" s="53">
        <v>2</v>
      </c>
      <c r="N18" s="53">
        <v>1</v>
      </c>
      <c r="O18" s="53">
        <v>0.2</v>
      </c>
      <c r="P18" s="53">
        <v>0.2</v>
      </c>
      <c r="Q18" s="76">
        <f t="shared" si="0"/>
        <v>0.2</v>
      </c>
      <c r="R18" s="53">
        <v>14.6</v>
      </c>
      <c r="S18" s="53">
        <v>122</v>
      </c>
      <c r="T18" s="16">
        <f t="shared" si="1"/>
        <v>30</v>
      </c>
      <c r="U18" s="53">
        <v>41</v>
      </c>
      <c r="V18" s="16">
        <f t="shared" si="2"/>
        <v>1230</v>
      </c>
      <c r="W18" s="53">
        <v>3</v>
      </c>
      <c r="X18" s="53" t="s">
        <v>39</v>
      </c>
      <c r="Y18" s="53" t="s">
        <v>40</v>
      </c>
      <c r="Z18" s="53" t="s">
        <v>84</v>
      </c>
      <c r="AA18" s="53" t="s">
        <v>231</v>
      </c>
      <c r="AB18" s="53" t="s">
        <v>301</v>
      </c>
      <c r="AE18" s="22" t="s">
        <v>87</v>
      </c>
      <c r="AP18" s="27" t="s">
        <v>111</v>
      </c>
      <c r="AR18" s="23" t="s">
        <v>101</v>
      </c>
      <c r="AV18" s="23" t="s">
        <v>88</v>
      </c>
    </row>
    <row r="19" spans="1:48" x14ac:dyDescent="0.15">
      <c r="A19" s="53" t="s">
        <v>34</v>
      </c>
      <c r="B19" s="53" t="s">
        <v>304</v>
      </c>
      <c r="C19" s="53">
        <v>2019</v>
      </c>
      <c r="D19" s="177" t="s">
        <v>300</v>
      </c>
      <c r="E19" s="53" t="s">
        <v>372</v>
      </c>
      <c r="F19" s="53" t="s">
        <v>373</v>
      </c>
      <c r="G19" s="53" t="s">
        <v>36</v>
      </c>
      <c r="H19" s="53" t="s">
        <v>163</v>
      </c>
      <c r="I19" s="53" t="s">
        <v>159</v>
      </c>
      <c r="J19" s="53" t="s">
        <v>38</v>
      </c>
      <c r="K19" s="53" t="s">
        <v>160</v>
      </c>
      <c r="L19" s="53">
        <v>3</v>
      </c>
      <c r="N19" s="53">
        <v>1</v>
      </c>
      <c r="O19" s="53">
        <v>0.75</v>
      </c>
      <c r="P19" s="53">
        <v>0.7</v>
      </c>
      <c r="Q19" s="76">
        <f t="shared" si="0"/>
        <v>0.72499999999999998</v>
      </c>
      <c r="R19" s="53">
        <v>15.4</v>
      </c>
      <c r="S19" s="53">
        <v>104</v>
      </c>
      <c r="T19" s="16">
        <f t="shared" si="1"/>
        <v>33</v>
      </c>
      <c r="U19" s="53">
        <v>41</v>
      </c>
      <c r="V19" s="16">
        <f t="shared" si="2"/>
        <v>1353</v>
      </c>
      <c r="W19" s="53">
        <v>3</v>
      </c>
      <c r="X19" s="53" t="s">
        <v>39</v>
      </c>
      <c r="Y19" s="53" t="s">
        <v>40</v>
      </c>
      <c r="Z19" s="53" t="s">
        <v>84</v>
      </c>
      <c r="AA19" s="53" t="s">
        <v>231</v>
      </c>
      <c r="AB19" s="53" t="s">
        <v>301</v>
      </c>
      <c r="AE19" s="35" t="s">
        <v>89</v>
      </c>
      <c r="AP19" s="27" t="s">
        <v>112</v>
      </c>
      <c r="AR19" s="23" t="s">
        <v>126</v>
      </c>
      <c r="AV19" s="23" t="s">
        <v>90</v>
      </c>
    </row>
    <row r="20" spans="1:48" x14ac:dyDescent="0.15">
      <c r="A20" s="53" t="s">
        <v>34</v>
      </c>
      <c r="B20" s="53" t="s">
        <v>304</v>
      </c>
      <c r="C20" s="53">
        <v>2019</v>
      </c>
      <c r="D20" s="177" t="s">
        <v>300</v>
      </c>
      <c r="E20" s="53" t="s">
        <v>372</v>
      </c>
      <c r="F20" s="53" t="s">
        <v>373</v>
      </c>
      <c r="G20" s="53" t="s">
        <v>36</v>
      </c>
      <c r="H20" s="53" t="s">
        <v>163</v>
      </c>
      <c r="I20" s="53" t="s">
        <v>159</v>
      </c>
      <c r="J20" s="53" t="s">
        <v>38</v>
      </c>
      <c r="K20" s="53" t="s">
        <v>160</v>
      </c>
      <c r="L20" s="53">
        <v>1</v>
      </c>
      <c r="N20" s="53">
        <v>4</v>
      </c>
      <c r="O20" s="53">
        <v>0.65</v>
      </c>
      <c r="P20" s="53">
        <v>7.0000000000000007E-2</v>
      </c>
      <c r="Q20" s="76">
        <f t="shared" si="0"/>
        <v>0.36</v>
      </c>
      <c r="R20" s="53">
        <v>14.5</v>
      </c>
      <c r="S20" s="53">
        <v>91</v>
      </c>
      <c r="T20" s="16">
        <f t="shared" si="1"/>
        <v>36</v>
      </c>
      <c r="U20" s="53">
        <v>429</v>
      </c>
      <c r="V20" s="16">
        <f t="shared" si="2"/>
        <v>3861</v>
      </c>
      <c r="W20" s="53">
        <v>3</v>
      </c>
      <c r="X20" s="53" t="s">
        <v>39</v>
      </c>
      <c r="Y20" s="53" t="s">
        <v>40</v>
      </c>
      <c r="Z20" s="53" t="s">
        <v>84</v>
      </c>
      <c r="AA20" s="53" t="s">
        <v>231</v>
      </c>
      <c r="AB20" s="53" t="s">
        <v>301</v>
      </c>
      <c r="AP20" s="27" t="s">
        <v>113</v>
      </c>
      <c r="AR20" s="23" t="s">
        <v>105</v>
      </c>
      <c r="AV20" s="27" t="s">
        <v>135</v>
      </c>
    </row>
    <row r="21" spans="1:48" x14ac:dyDescent="0.15">
      <c r="A21" s="53" t="s">
        <v>34</v>
      </c>
      <c r="B21" s="53" t="s">
        <v>304</v>
      </c>
      <c r="C21" s="53">
        <v>2019</v>
      </c>
      <c r="D21" s="177" t="s">
        <v>300</v>
      </c>
      <c r="E21" s="53" t="s">
        <v>372</v>
      </c>
      <c r="F21" s="53" t="s">
        <v>373</v>
      </c>
      <c r="G21" s="53" t="s">
        <v>36</v>
      </c>
      <c r="H21" s="53" t="s">
        <v>163</v>
      </c>
      <c r="I21" s="53" t="s">
        <v>159</v>
      </c>
      <c r="J21" s="53" t="s">
        <v>38</v>
      </c>
      <c r="K21" s="53" t="s">
        <v>160</v>
      </c>
      <c r="L21" s="53">
        <v>2</v>
      </c>
      <c r="N21" s="53">
        <v>4</v>
      </c>
      <c r="O21" s="53">
        <v>0.65</v>
      </c>
      <c r="P21" s="53">
        <v>0.75</v>
      </c>
      <c r="Q21" s="76">
        <f t="shared" si="0"/>
        <v>0.7</v>
      </c>
      <c r="R21" s="53">
        <v>14.5</v>
      </c>
      <c r="S21" s="53">
        <v>84</v>
      </c>
      <c r="T21" s="16">
        <f t="shared" si="1"/>
        <v>36</v>
      </c>
      <c r="U21" s="53">
        <v>429</v>
      </c>
      <c r="V21" s="16">
        <f t="shared" si="2"/>
        <v>3861</v>
      </c>
      <c r="W21" s="53">
        <v>3</v>
      </c>
      <c r="X21" s="53" t="s">
        <v>39</v>
      </c>
      <c r="Y21" s="53" t="s">
        <v>40</v>
      </c>
      <c r="Z21" s="53" t="s">
        <v>84</v>
      </c>
      <c r="AA21" s="53" t="s">
        <v>231</v>
      </c>
      <c r="AB21" s="53" t="s">
        <v>301</v>
      </c>
      <c r="AP21" s="27" t="s">
        <v>114</v>
      </c>
      <c r="AR21" s="23" t="s">
        <v>68</v>
      </c>
      <c r="AV21" s="27" t="s">
        <v>136</v>
      </c>
    </row>
    <row r="22" spans="1:48" x14ac:dyDescent="0.15">
      <c r="A22" s="53" t="s">
        <v>34</v>
      </c>
      <c r="B22" s="53" t="s">
        <v>304</v>
      </c>
      <c r="C22" s="53">
        <v>2019</v>
      </c>
      <c r="D22" s="177" t="s">
        <v>300</v>
      </c>
      <c r="E22" s="53" t="s">
        <v>372</v>
      </c>
      <c r="F22" s="53" t="s">
        <v>373</v>
      </c>
      <c r="G22" s="53" t="s">
        <v>36</v>
      </c>
      <c r="H22" s="53" t="s">
        <v>163</v>
      </c>
      <c r="I22" s="53" t="s">
        <v>159</v>
      </c>
      <c r="J22" s="53" t="s">
        <v>38</v>
      </c>
      <c r="K22" s="53" t="s">
        <v>160</v>
      </c>
      <c r="L22" s="53">
        <v>3</v>
      </c>
      <c r="N22" s="53">
        <v>4</v>
      </c>
      <c r="O22" s="53">
        <v>0.65</v>
      </c>
      <c r="P22" s="53">
        <v>0.55000000000000004</v>
      </c>
      <c r="Q22" s="76">
        <f t="shared" si="0"/>
        <v>0.60000000000000009</v>
      </c>
      <c r="R22" s="53">
        <v>13.8</v>
      </c>
      <c r="S22" s="53">
        <v>89</v>
      </c>
      <c r="T22" s="16">
        <f t="shared" si="1"/>
        <v>36</v>
      </c>
      <c r="U22" s="53">
        <v>429</v>
      </c>
      <c r="V22" s="16">
        <f t="shared" si="2"/>
        <v>3861</v>
      </c>
      <c r="W22" s="53">
        <v>3</v>
      </c>
      <c r="X22" s="53" t="s">
        <v>39</v>
      </c>
      <c r="Y22" s="53" t="s">
        <v>40</v>
      </c>
      <c r="Z22" s="53" t="s">
        <v>84</v>
      </c>
      <c r="AA22" s="53" t="s">
        <v>231</v>
      </c>
      <c r="AB22" s="53" t="s">
        <v>301</v>
      </c>
      <c r="AP22" s="27" t="s">
        <v>115</v>
      </c>
      <c r="AR22" s="23" t="s">
        <v>83</v>
      </c>
      <c r="AV22" s="27"/>
    </row>
    <row r="23" spans="1:48" x14ac:dyDescent="0.15">
      <c r="A23" s="53" t="s">
        <v>34</v>
      </c>
      <c r="B23" s="53" t="s">
        <v>304</v>
      </c>
      <c r="C23" s="53">
        <v>2019</v>
      </c>
      <c r="D23" s="177" t="s">
        <v>300</v>
      </c>
      <c r="E23" s="53" t="s">
        <v>374</v>
      </c>
      <c r="F23" s="53" t="s">
        <v>375</v>
      </c>
      <c r="G23" s="53" t="s">
        <v>36</v>
      </c>
      <c r="H23" s="53" t="s">
        <v>163</v>
      </c>
      <c r="I23" s="53" t="s">
        <v>159</v>
      </c>
      <c r="J23" s="53" t="s">
        <v>38</v>
      </c>
      <c r="K23" s="53" t="s">
        <v>160</v>
      </c>
      <c r="L23" s="53">
        <v>1</v>
      </c>
      <c r="N23" s="53">
        <v>1</v>
      </c>
      <c r="O23" s="53">
        <v>0.2</v>
      </c>
      <c r="P23" s="53">
        <v>0.2</v>
      </c>
      <c r="Q23" s="76">
        <f t="shared" si="0"/>
        <v>0.2</v>
      </c>
      <c r="R23" s="53">
        <v>15.5</v>
      </c>
      <c r="S23" s="53">
        <v>116</v>
      </c>
      <c r="T23" s="16">
        <f t="shared" si="1"/>
        <v>30</v>
      </c>
      <c r="U23" s="53">
        <v>105</v>
      </c>
      <c r="V23" s="16">
        <f t="shared" si="2"/>
        <v>3150</v>
      </c>
      <c r="W23" s="53">
        <v>4</v>
      </c>
      <c r="X23" s="53" t="s">
        <v>46</v>
      </c>
      <c r="Y23" s="53" t="s">
        <v>84</v>
      </c>
      <c r="Z23" s="53" t="s">
        <v>90</v>
      </c>
      <c r="AA23" s="53" t="s">
        <v>69</v>
      </c>
      <c r="AB23" s="53" t="s">
        <v>301</v>
      </c>
      <c r="AP23" s="27" t="s">
        <v>117</v>
      </c>
      <c r="AR23" s="23" t="s">
        <v>153</v>
      </c>
    </row>
    <row r="24" spans="1:48" x14ac:dyDescent="0.15">
      <c r="A24" s="53" t="s">
        <v>34</v>
      </c>
      <c r="B24" s="53" t="s">
        <v>304</v>
      </c>
      <c r="C24" s="53">
        <v>2019</v>
      </c>
      <c r="D24" s="177" t="s">
        <v>300</v>
      </c>
      <c r="E24" s="53" t="s">
        <v>374</v>
      </c>
      <c r="F24" s="53" t="s">
        <v>375</v>
      </c>
      <c r="G24" s="53" t="s">
        <v>36</v>
      </c>
      <c r="H24" s="53" t="s">
        <v>163</v>
      </c>
      <c r="I24" s="53" t="s">
        <v>159</v>
      </c>
      <c r="J24" s="53" t="s">
        <v>38</v>
      </c>
      <c r="K24" s="53" t="s">
        <v>160</v>
      </c>
      <c r="L24" s="53">
        <v>2</v>
      </c>
      <c r="N24" s="53">
        <v>1</v>
      </c>
      <c r="O24" s="53">
        <v>0.2</v>
      </c>
      <c r="P24" s="53">
        <v>0.2</v>
      </c>
      <c r="Q24" s="76">
        <f t="shared" si="0"/>
        <v>0.2</v>
      </c>
      <c r="R24" s="53">
        <v>14.9</v>
      </c>
      <c r="S24" s="53">
        <v>108</v>
      </c>
      <c r="T24" s="16">
        <f t="shared" si="1"/>
        <v>33</v>
      </c>
      <c r="U24" s="53">
        <v>105</v>
      </c>
      <c r="V24" s="16">
        <f t="shared" si="2"/>
        <v>3465</v>
      </c>
      <c r="W24" s="53">
        <v>4</v>
      </c>
      <c r="X24" s="53" t="s">
        <v>46</v>
      </c>
      <c r="Y24" s="53" t="s">
        <v>84</v>
      </c>
      <c r="Z24" s="53" t="s">
        <v>90</v>
      </c>
      <c r="AA24" s="53" t="s">
        <v>69</v>
      </c>
      <c r="AB24" s="53" t="s">
        <v>301</v>
      </c>
      <c r="AP24" s="27" t="s">
        <v>118</v>
      </c>
    </row>
    <row r="25" spans="1:48" x14ac:dyDescent="0.15">
      <c r="A25" s="53" t="s">
        <v>34</v>
      </c>
      <c r="B25" s="53" t="s">
        <v>304</v>
      </c>
      <c r="C25" s="53">
        <v>2019</v>
      </c>
      <c r="D25" s="177" t="s">
        <v>300</v>
      </c>
      <c r="E25" s="53" t="s">
        <v>374</v>
      </c>
      <c r="F25" s="53" t="s">
        <v>375</v>
      </c>
      <c r="G25" s="53" t="s">
        <v>36</v>
      </c>
      <c r="H25" s="53" t="s">
        <v>163</v>
      </c>
      <c r="I25" s="53" t="s">
        <v>159</v>
      </c>
      <c r="J25" s="53" t="s">
        <v>38</v>
      </c>
      <c r="K25" s="53" t="s">
        <v>160</v>
      </c>
      <c r="L25" s="53">
        <v>3</v>
      </c>
      <c r="N25" s="53">
        <v>1</v>
      </c>
      <c r="O25" s="53">
        <v>0.65</v>
      </c>
      <c r="P25" s="53">
        <v>0.7</v>
      </c>
      <c r="Q25" s="76">
        <f t="shared" si="0"/>
        <v>0.67500000000000004</v>
      </c>
      <c r="R25" s="53">
        <v>14.9</v>
      </c>
      <c r="S25" s="53">
        <v>116</v>
      </c>
      <c r="T25" s="16">
        <f t="shared" si="1"/>
        <v>30</v>
      </c>
      <c r="U25" s="53">
        <v>105</v>
      </c>
      <c r="V25" s="16">
        <f t="shared" si="2"/>
        <v>3150</v>
      </c>
      <c r="W25" s="53">
        <v>4</v>
      </c>
      <c r="X25" s="53" t="s">
        <v>46</v>
      </c>
      <c r="Y25" s="53" t="s">
        <v>84</v>
      </c>
      <c r="Z25" s="53" t="s">
        <v>90</v>
      </c>
      <c r="AA25" s="53" t="s">
        <v>69</v>
      </c>
      <c r="AB25" s="53" t="s">
        <v>301</v>
      </c>
    </row>
    <row r="26" spans="1:48" x14ac:dyDescent="0.15">
      <c r="A26" s="53" t="s">
        <v>34</v>
      </c>
      <c r="B26" s="53" t="s">
        <v>304</v>
      </c>
      <c r="C26" s="53">
        <v>2019</v>
      </c>
      <c r="D26" s="177" t="s">
        <v>300</v>
      </c>
      <c r="E26" s="53" t="s">
        <v>374</v>
      </c>
      <c r="F26" s="53" t="s">
        <v>375</v>
      </c>
      <c r="G26" s="53" t="s">
        <v>36</v>
      </c>
      <c r="H26" s="53" t="s">
        <v>163</v>
      </c>
      <c r="I26" s="53" t="s">
        <v>159</v>
      </c>
      <c r="J26" s="53" t="s">
        <v>38</v>
      </c>
      <c r="K26" s="53" t="s">
        <v>160</v>
      </c>
      <c r="L26" s="53">
        <v>1</v>
      </c>
      <c r="N26" s="53">
        <v>5</v>
      </c>
      <c r="O26" s="53">
        <v>0.6</v>
      </c>
      <c r="P26" s="53">
        <v>0.65</v>
      </c>
      <c r="Q26" s="76">
        <f t="shared" si="0"/>
        <v>0.625</v>
      </c>
      <c r="R26" s="53">
        <v>15.6</v>
      </c>
      <c r="S26" s="53">
        <v>97</v>
      </c>
      <c r="T26" s="16">
        <f t="shared" si="1"/>
        <v>36</v>
      </c>
      <c r="U26" s="53">
        <v>410</v>
      </c>
      <c r="V26" s="16">
        <f t="shared" si="2"/>
        <v>2952</v>
      </c>
      <c r="W26" s="53">
        <v>4</v>
      </c>
      <c r="X26" s="53" t="s">
        <v>46</v>
      </c>
      <c r="Y26" s="53" t="s">
        <v>84</v>
      </c>
      <c r="Z26" s="53" t="s">
        <v>90</v>
      </c>
      <c r="AA26" s="53" t="s">
        <v>69</v>
      </c>
      <c r="AB26" s="53" t="s">
        <v>301</v>
      </c>
    </row>
    <row r="27" spans="1:48" x14ac:dyDescent="0.15">
      <c r="A27" s="53" t="s">
        <v>34</v>
      </c>
      <c r="B27" s="53" t="s">
        <v>304</v>
      </c>
      <c r="C27" s="53">
        <v>2019</v>
      </c>
      <c r="D27" s="177" t="s">
        <v>300</v>
      </c>
      <c r="E27" s="53" t="s">
        <v>374</v>
      </c>
      <c r="F27" s="53" t="s">
        <v>375</v>
      </c>
      <c r="G27" s="53" t="s">
        <v>36</v>
      </c>
      <c r="H27" s="53" t="s">
        <v>163</v>
      </c>
      <c r="I27" s="53" t="s">
        <v>159</v>
      </c>
      <c r="J27" s="53" t="s">
        <v>38</v>
      </c>
      <c r="K27" s="53" t="s">
        <v>160</v>
      </c>
      <c r="L27" s="53">
        <v>2</v>
      </c>
      <c r="N27" s="53">
        <v>5</v>
      </c>
      <c r="O27" s="53">
        <v>0.65</v>
      </c>
      <c r="P27" s="53">
        <v>0.75</v>
      </c>
      <c r="Q27" s="76">
        <f t="shared" si="0"/>
        <v>0.7</v>
      </c>
      <c r="R27" s="53">
        <v>15</v>
      </c>
      <c r="S27" s="53">
        <v>96</v>
      </c>
      <c r="T27" s="16">
        <f t="shared" si="1"/>
        <v>36</v>
      </c>
      <c r="U27" s="53">
        <v>410</v>
      </c>
      <c r="V27" s="16">
        <f t="shared" si="2"/>
        <v>2952</v>
      </c>
      <c r="W27" s="53">
        <v>4</v>
      </c>
      <c r="X27" s="53" t="s">
        <v>46</v>
      </c>
      <c r="Y27" s="53" t="s">
        <v>84</v>
      </c>
      <c r="Z27" s="53" t="s">
        <v>90</v>
      </c>
      <c r="AA27" s="53" t="s">
        <v>69</v>
      </c>
      <c r="AB27" s="53" t="s">
        <v>301</v>
      </c>
    </row>
    <row r="28" spans="1:48" x14ac:dyDescent="0.15">
      <c r="A28" s="53" t="s">
        <v>34</v>
      </c>
      <c r="B28" s="53" t="s">
        <v>304</v>
      </c>
      <c r="C28" s="53">
        <v>2019</v>
      </c>
      <c r="D28" s="177" t="s">
        <v>300</v>
      </c>
      <c r="E28" s="53" t="s">
        <v>374</v>
      </c>
      <c r="F28" s="53" t="s">
        <v>375</v>
      </c>
      <c r="G28" s="53" t="s">
        <v>36</v>
      </c>
      <c r="H28" s="53" t="s">
        <v>163</v>
      </c>
      <c r="I28" s="53" t="s">
        <v>159</v>
      </c>
      <c r="J28" s="53" t="s">
        <v>38</v>
      </c>
      <c r="K28" s="53" t="s">
        <v>160</v>
      </c>
      <c r="L28" s="53">
        <v>3</v>
      </c>
      <c r="N28" s="53">
        <v>5</v>
      </c>
      <c r="O28" s="53">
        <v>0.75</v>
      </c>
      <c r="P28" s="53">
        <v>0.65</v>
      </c>
      <c r="Q28" s="76">
        <f>IF(OR(O28="",P28=""),"",AVERAGE(O28,P28))</f>
        <v>0.7</v>
      </c>
      <c r="R28" s="53">
        <v>15.2</v>
      </c>
      <c r="S28" s="53">
        <v>97</v>
      </c>
      <c r="T28" s="16">
        <f t="shared" si="1"/>
        <v>36</v>
      </c>
      <c r="U28" s="53">
        <v>410</v>
      </c>
      <c r="V28" s="16">
        <f t="shared" si="2"/>
        <v>2952</v>
      </c>
      <c r="W28" s="53">
        <v>4</v>
      </c>
      <c r="X28" s="53" t="s">
        <v>46</v>
      </c>
      <c r="Y28" s="53" t="s">
        <v>84</v>
      </c>
      <c r="Z28" s="53" t="s">
        <v>90</v>
      </c>
      <c r="AA28" s="53" t="s">
        <v>69</v>
      </c>
      <c r="AB28" s="53" t="s">
        <v>301</v>
      </c>
    </row>
    <row r="29" spans="1:48" x14ac:dyDescent="0.15">
      <c r="A29" s="53" t="s">
        <v>34</v>
      </c>
      <c r="B29" s="53" t="s">
        <v>304</v>
      </c>
      <c r="C29" s="53">
        <v>2019</v>
      </c>
      <c r="D29" s="177" t="s">
        <v>300</v>
      </c>
      <c r="E29" s="53" t="s">
        <v>261</v>
      </c>
      <c r="F29" s="53" t="s">
        <v>376</v>
      </c>
      <c r="G29" s="53" t="s">
        <v>36</v>
      </c>
      <c r="H29" s="53" t="s">
        <v>163</v>
      </c>
      <c r="I29" s="53" t="s">
        <v>159</v>
      </c>
      <c r="J29" s="53" t="s">
        <v>38</v>
      </c>
      <c r="K29" s="53" t="s">
        <v>160</v>
      </c>
      <c r="L29" s="53">
        <v>1</v>
      </c>
      <c r="N29" s="53">
        <v>1</v>
      </c>
      <c r="O29" s="53">
        <v>0.2</v>
      </c>
      <c r="P29" s="53">
        <v>0.2</v>
      </c>
      <c r="Q29" s="76">
        <f t="shared" si="0"/>
        <v>0.2</v>
      </c>
      <c r="R29" s="53">
        <v>14.2</v>
      </c>
      <c r="S29" s="53">
        <v>116</v>
      </c>
      <c r="T29" s="16">
        <f t="shared" si="1"/>
        <v>30</v>
      </c>
      <c r="U29" s="53">
        <v>105</v>
      </c>
      <c r="V29" s="16">
        <f t="shared" si="2"/>
        <v>3150</v>
      </c>
      <c r="W29" s="53">
        <v>2</v>
      </c>
      <c r="X29" s="53" t="s">
        <v>39</v>
      </c>
      <c r="Y29" s="53" t="s">
        <v>84</v>
      </c>
      <c r="Z29" s="53" t="s">
        <v>40</v>
      </c>
      <c r="AA29" s="53" t="s">
        <v>90</v>
      </c>
      <c r="AB29" s="53" t="s">
        <v>301</v>
      </c>
    </row>
    <row r="30" spans="1:48" x14ac:dyDescent="0.15">
      <c r="A30" s="53" t="s">
        <v>34</v>
      </c>
      <c r="B30" s="53" t="s">
        <v>304</v>
      </c>
      <c r="C30" s="53">
        <v>2019</v>
      </c>
      <c r="D30" s="177" t="s">
        <v>300</v>
      </c>
      <c r="E30" s="53" t="s">
        <v>261</v>
      </c>
      <c r="F30" s="53" t="s">
        <v>376</v>
      </c>
      <c r="G30" s="53" t="s">
        <v>36</v>
      </c>
      <c r="H30" s="53" t="s">
        <v>163</v>
      </c>
      <c r="I30" s="53" t="s">
        <v>159</v>
      </c>
      <c r="J30" s="53" t="s">
        <v>38</v>
      </c>
      <c r="K30" s="53" t="s">
        <v>160</v>
      </c>
      <c r="L30" s="53">
        <v>2</v>
      </c>
      <c r="N30" s="53">
        <v>1</v>
      </c>
      <c r="O30" s="53">
        <v>0.2</v>
      </c>
      <c r="P30" s="53">
        <v>0.2</v>
      </c>
      <c r="Q30" s="76">
        <f t="shared" si="0"/>
        <v>0.2</v>
      </c>
      <c r="R30" s="53">
        <v>14.8</v>
      </c>
      <c r="S30" s="53">
        <v>114</v>
      </c>
      <c r="T30" s="16">
        <f t="shared" si="1"/>
        <v>30</v>
      </c>
      <c r="U30" s="53">
        <v>105</v>
      </c>
      <c r="V30" s="16">
        <f t="shared" si="2"/>
        <v>3150</v>
      </c>
      <c r="W30" s="53">
        <v>2</v>
      </c>
      <c r="X30" s="53" t="s">
        <v>39</v>
      </c>
      <c r="Y30" s="53" t="s">
        <v>84</v>
      </c>
      <c r="Z30" s="53" t="s">
        <v>40</v>
      </c>
      <c r="AA30" s="53" t="s">
        <v>90</v>
      </c>
      <c r="AB30" s="53" t="s">
        <v>301</v>
      </c>
    </row>
    <row r="31" spans="1:48" x14ac:dyDescent="0.15">
      <c r="A31" s="53" t="s">
        <v>34</v>
      </c>
      <c r="B31" s="53" t="s">
        <v>304</v>
      </c>
      <c r="C31" s="53">
        <v>2019</v>
      </c>
      <c r="D31" s="177" t="s">
        <v>300</v>
      </c>
      <c r="E31" s="53" t="s">
        <v>261</v>
      </c>
      <c r="F31" s="53" t="s">
        <v>376</v>
      </c>
      <c r="G31" s="53" t="s">
        <v>36</v>
      </c>
      <c r="H31" s="53" t="s">
        <v>163</v>
      </c>
      <c r="I31" s="53" t="s">
        <v>159</v>
      </c>
      <c r="J31" s="53" t="s">
        <v>38</v>
      </c>
      <c r="K31" s="53" t="s">
        <v>160</v>
      </c>
      <c r="L31" s="53">
        <v>3</v>
      </c>
      <c r="N31" s="53">
        <v>1</v>
      </c>
      <c r="O31" s="53">
        <v>0.5</v>
      </c>
      <c r="P31" s="53">
        <v>0.65</v>
      </c>
      <c r="Q31" s="76">
        <f t="shared" si="0"/>
        <v>0.57499999999999996</v>
      </c>
      <c r="R31" s="53">
        <v>12.9</v>
      </c>
      <c r="S31" s="53">
        <v>110</v>
      </c>
      <c r="T31" s="16">
        <f t="shared" si="1"/>
        <v>33</v>
      </c>
      <c r="U31" s="53">
        <v>105</v>
      </c>
      <c r="V31" s="16">
        <f t="shared" si="2"/>
        <v>3465</v>
      </c>
      <c r="W31" s="53">
        <v>2</v>
      </c>
      <c r="X31" s="53" t="s">
        <v>39</v>
      </c>
      <c r="Y31" s="53" t="s">
        <v>84</v>
      </c>
      <c r="Z31" s="53" t="s">
        <v>40</v>
      </c>
      <c r="AA31" s="53" t="s">
        <v>90</v>
      </c>
      <c r="AB31" s="53" t="s">
        <v>301</v>
      </c>
    </row>
    <row r="32" spans="1:48" x14ac:dyDescent="0.15">
      <c r="A32" s="53" t="s">
        <v>34</v>
      </c>
      <c r="B32" s="53" t="s">
        <v>304</v>
      </c>
      <c r="C32" s="53">
        <v>2019</v>
      </c>
      <c r="D32" s="177" t="s">
        <v>300</v>
      </c>
      <c r="E32" s="53" t="s">
        <v>261</v>
      </c>
      <c r="F32" s="53" t="s">
        <v>376</v>
      </c>
      <c r="G32" s="53" t="s">
        <v>36</v>
      </c>
      <c r="H32" s="53" t="s">
        <v>163</v>
      </c>
      <c r="I32" s="53" t="s">
        <v>159</v>
      </c>
      <c r="J32" s="53" t="s">
        <v>38</v>
      </c>
      <c r="K32" s="53" t="s">
        <v>160</v>
      </c>
      <c r="L32" s="53">
        <v>1</v>
      </c>
      <c r="N32" s="53">
        <v>7</v>
      </c>
      <c r="O32" s="53">
        <v>0.5</v>
      </c>
      <c r="P32" s="53">
        <v>0.6</v>
      </c>
      <c r="Q32" s="76">
        <f t="shared" si="0"/>
        <v>0.55000000000000004</v>
      </c>
      <c r="R32" s="53">
        <v>14.4</v>
      </c>
      <c r="S32" s="53">
        <v>104</v>
      </c>
      <c r="T32" s="16">
        <f t="shared" si="1"/>
        <v>33</v>
      </c>
      <c r="U32" s="53">
        <v>429</v>
      </c>
      <c r="V32" s="16">
        <f t="shared" si="2"/>
        <v>2022.4285714285713</v>
      </c>
      <c r="W32" s="53">
        <v>2</v>
      </c>
      <c r="X32" s="53" t="s">
        <v>39</v>
      </c>
      <c r="Y32" s="53" t="s">
        <v>84</v>
      </c>
      <c r="Z32" s="53" t="s">
        <v>40</v>
      </c>
      <c r="AA32" s="53" t="s">
        <v>90</v>
      </c>
      <c r="AB32" s="53" t="s">
        <v>301</v>
      </c>
    </row>
    <row r="33" spans="1:28" x14ac:dyDescent="0.15">
      <c r="A33" s="53" t="s">
        <v>34</v>
      </c>
      <c r="B33" s="53" t="s">
        <v>304</v>
      </c>
      <c r="C33" s="53">
        <v>2019</v>
      </c>
      <c r="D33" s="177" t="s">
        <v>300</v>
      </c>
      <c r="E33" s="53" t="s">
        <v>261</v>
      </c>
      <c r="F33" s="53" t="s">
        <v>376</v>
      </c>
      <c r="G33" s="53" t="s">
        <v>36</v>
      </c>
      <c r="H33" s="53" t="s">
        <v>163</v>
      </c>
      <c r="I33" s="53" t="s">
        <v>159</v>
      </c>
      <c r="J33" s="53" t="s">
        <v>38</v>
      </c>
      <c r="K33" s="53" t="s">
        <v>160</v>
      </c>
      <c r="L33" s="53">
        <v>2</v>
      </c>
      <c r="N33" s="53">
        <v>7</v>
      </c>
      <c r="O33" s="53">
        <v>0.75</v>
      </c>
      <c r="P33" s="53">
        <v>0.55000000000000004</v>
      </c>
      <c r="Q33" s="76">
        <f t="shared" si="0"/>
        <v>0.65</v>
      </c>
      <c r="R33" s="53">
        <v>14.4</v>
      </c>
      <c r="S33" s="53">
        <v>102</v>
      </c>
      <c r="T33" s="16">
        <f t="shared" si="1"/>
        <v>33</v>
      </c>
      <c r="U33" s="53">
        <v>429</v>
      </c>
      <c r="V33" s="16">
        <f t="shared" si="2"/>
        <v>2022.4285714285713</v>
      </c>
      <c r="W33" s="53">
        <v>2</v>
      </c>
      <c r="X33" s="53" t="s">
        <v>39</v>
      </c>
      <c r="Y33" s="53" t="s">
        <v>84</v>
      </c>
      <c r="Z33" s="53" t="s">
        <v>40</v>
      </c>
      <c r="AA33" s="53" t="s">
        <v>90</v>
      </c>
      <c r="AB33" s="53" t="s">
        <v>301</v>
      </c>
    </row>
    <row r="34" spans="1:28" x14ac:dyDescent="0.15">
      <c r="A34" s="53" t="s">
        <v>34</v>
      </c>
      <c r="B34" s="53" t="s">
        <v>304</v>
      </c>
      <c r="C34" s="53">
        <v>2019</v>
      </c>
      <c r="D34" s="177" t="s">
        <v>300</v>
      </c>
      <c r="E34" s="53" t="s">
        <v>261</v>
      </c>
      <c r="F34" s="53" t="s">
        <v>376</v>
      </c>
      <c r="G34" s="53" t="s">
        <v>36</v>
      </c>
      <c r="H34" s="53" t="s">
        <v>163</v>
      </c>
      <c r="I34" s="53" t="s">
        <v>159</v>
      </c>
      <c r="J34" s="53" t="s">
        <v>38</v>
      </c>
      <c r="K34" s="53" t="s">
        <v>160</v>
      </c>
      <c r="L34" s="53">
        <v>3</v>
      </c>
      <c r="N34" s="53">
        <v>7</v>
      </c>
      <c r="O34" s="53">
        <v>0.65</v>
      </c>
      <c r="P34" s="53">
        <v>0.7</v>
      </c>
      <c r="Q34" s="76">
        <f>IF(OR(O34="",P34=""),"",AVERAGE(O34,P34))</f>
        <v>0.67500000000000004</v>
      </c>
      <c r="R34" s="53">
        <v>14.3</v>
      </c>
      <c r="S34" s="53">
        <v>102</v>
      </c>
      <c r="T34" s="16">
        <f t="shared" si="1"/>
        <v>33</v>
      </c>
      <c r="U34" s="53">
        <v>429</v>
      </c>
      <c r="V34" s="16">
        <f t="shared" si="2"/>
        <v>2022.4285714285713</v>
      </c>
      <c r="W34" s="53">
        <v>2</v>
      </c>
      <c r="X34" s="53" t="s">
        <v>39</v>
      </c>
      <c r="Y34" s="53" t="s">
        <v>84</v>
      </c>
      <c r="Z34" s="53" t="s">
        <v>40</v>
      </c>
      <c r="AA34" s="53" t="s">
        <v>90</v>
      </c>
      <c r="AB34" s="53" t="s">
        <v>301</v>
      </c>
    </row>
    <row r="35" spans="1:28" x14ac:dyDescent="0.15">
      <c r="A35" s="53" t="s">
        <v>34</v>
      </c>
      <c r="B35" s="53" t="s">
        <v>304</v>
      </c>
      <c r="C35" s="53">
        <v>2019</v>
      </c>
      <c r="D35" s="177" t="s">
        <v>300</v>
      </c>
      <c r="E35" s="53" t="s">
        <v>214</v>
      </c>
      <c r="F35" s="53" t="s">
        <v>379</v>
      </c>
      <c r="G35" s="53" t="s">
        <v>36</v>
      </c>
      <c r="H35" s="53" t="s">
        <v>163</v>
      </c>
      <c r="I35" s="53" t="s">
        <v>159</v>
      </c>
      <c r="J35" s="53" t="s">
        <v>38</v>
      </c>
      <c r="K35" s="53" t="s">
        <v>160</v>
      </c>
      <c r="L35" s="53">
        <v>1</v>
      </c>
      <c r="N35" s="53">
        <v>1</v>
      </c>
      <c r="O35" s="53">
        <v>0.2</v>
      </c>
      <c r="P35" s="53">
        <v>0.2</v>
      </c>
      <c r="Q35" s="76">
        <f t="shared" ref="Q35:Q36" si="3">IF(OR(O35="",P35=""),"",AVERAGE(O35,P35))</f>
        <v>0.2</v>
      </c>
      <c r="R35" s="53">
        <v>15.6</v>
      </c>
      <c r="S35" s="53">
        <v>118</v>
      </c>
      <c r="T35" s="16">
        <f t="shared" si="1"/>
        <v>30</v>
      </c>
      <c r="U35" s="53">
        <v>104</v>
      </c>
      <c r="V35" s="16">
        <f t="shared" si="2"/>
        <v>3120</v>
      </c>
      <c r="W35" s="53">
        <v>3</v>
      </c>
      <c r="X35" s="53" t="s">
        <v>39</v>
      </c>
      <c r="Y35" s="53" t="s">
        <v>40</v>
      </c>
      <c r="Z35" s="53" t="s">
        <v>84</v>
      </c>
      <c r="AA35" s="53" t="s">
        <v>90</v>
      </c>
      <c r="AB35" s="53" t="s">
        <v>301</v>
      </c>
    </row>
    <row r="36" spans="1:28" x14ac:dyDescent="0.15">
      <c r="A36" s="53" t="s">
        <v>34</v>
      </c>
      <c r="B36" s="53" t="s">
        <v>304</v>
      </c>
      <c r="C36" s="53">
        <v>2019</v>
      </c>
      <c r="D36" s="177" t="s">
        <v>300</v>
      </c>
      <c r="E36" s="53" t="s">
        <v>214</v>
      </c>
      <c r="F36" s="53" t="s">
        <v>379</v>
      </c>
      <c r="G36" s="53" t="s">
        <v>36</v>
      </c>
      <c r="H36" s="53" t="s">
        <v>163</v>
      </c>
      <c r="I36" s="53" t="s">
        <v>159</v>
      </c>
      <c r="J36" s="53" t="s">
        <v>38</v>
      </c>
      <c r="K36" s="53" t="s">
        <v>160</v>
      </c>
      <c r="L36" s="53">
        <v>2</v>
      </c>
      <c r="N36" s="53">
        <v>1</v>
      </c>
      <c r="O36" s="53">
        <v>0.2</v>
      </c>
      <c r="P36" s="53">
        <v>0.2</v>
      </c>
      <c r="Q36" s="76">
        <f t="shared" si="3"/>
        <v>0.2</v>
      </c>
      <c r="R36" s="53">
        <v>15.2</v>
      </c>
      <c r="S36" s="53">
        <v>114</v>
      </c>
      <c r="T36" s="16">
        <f t="shared" si="1"/>
        <v>30</v>
      </c>
      <c r="U36" s="53">
        <v>104</v>
      </c>
      <c r="V36" s="16">
        <f t="shared" si="2"/>
        <v>3120</v>
      </c>
      <c r="W36" s="53">
        <v>3</v>
      </c>
      <c r="X36" s="53" t="s">
        <v>39</v>
      </c>
      <c r="Y36" s="53" t="s">
        <v>40</v>
      </c>
      <c r="Z36" s="53" t="s">
        <v>84</v>
      </c>
      <c r="AA36" s="53" t="s">
        <v>90</v>
      </c>
      <c r="AB36" s="53" t="s">
        <v>301</v>
      </c>
    </row>
    <row r="37" spans="1:28" x14ac:dyDescent="0.15">
      <c r="A37" s="53" t="s">
        <v>34</v>
      </c>
      <c r="B37" s="53" t="s">
        <v>304</v>
      </c>
      <c r="C37" s="53">
        <v>2019</v>
      </c>
      <c r="D37" s="177" t="s">
        <v>300</v>
      </c>
      <c r="E37" s="53" t="s">
        <v>214</v>
      </c>
      <c r="F37" s="53" t="s">
        <v>379</v>
      </c>
      <c r="G37" s="53" t="s">
        <v>36</v>
      </c>
      <c r="H37" s="53" t="s">
        <v>163</v>
      </c>
      <c r="I37" s="53" t="s">
        <v>159</v>
      </c>
      <c r="J37" s="53" t="s">
        <v>38</v>
      </c>
      <c r="K37" s="53" t="s">
        <v>160</v>
      </c>
      <c r="L37" s="53">
        <v>3</v>
      </c>
      <c r="N37" s="53">
        <v>1</v>
      </c>
      <c r="O37" s="53">
        <v>0.85</v>
      </c>
      <c r="P37" s="53">
        <v>1.5</v>
      </c>
      <c r="Q37" s="76">
        <f>IF(OR(O37="",P37=""),"",AVERAGE(O37,P37))</f>
        <v>1.175</v>
      </c>
      <c r="R37" s="53">
        <v>15.6</v>
      </c>
      <c r="S37" s="53">
        <v>116</v>
      </c>
      <c r="T37" s="16">
        <f t="shared" si="1"/>
        <v>30</v>
      </c>
      <c r="U37" s="53">
        <v>104</v>
      </c>
      <c r="V37" s="16">
        <f t="shared" si="2"/>
        <v>3120</v>
      </c>
      <c r="W37" s="53">
        <v>3</v>
      </c>
      <c r="X37" s="53" t="s">
        <v>39</v>
      </c>
      <c r="Y37" s="53" t="s">
        <v>40</v>
      </c>
      <c r="Z37" s="53" t="s">
        <v>84</v>
      </c>
      <c r="AA37" s="53" t="s">
        <v>90</v>
      </c>
      <c r="AB37" s="53" t="s">
        <v>301</v>
      </c>
    </row>
    <row r="38" spans="1:28" x14ac:dyDescent="0.15">
      <c r="A38" s="53" t="s">
        <v>34</v>
      </c>
      <c r="B38" s="53" t="s">
        <v>304</v>
      </c>
      <c r="C38" s="53">
        <v>2019</v>
      </c>
      <c r="D38" s="177" t="s">
        <v>300</v>
      </c>
      <c r="E38" s="53" t="s">
        <v>214</v>
      </c>
      <c r="F38" s="53" t="s">
        <v>379</v>
      </c>
      <c r="G38" s="53" t="s">
        <v>36</v>
      </c>
      <c r="H38" s="53" t="s">
        <v>163</v>
      </c>
      <c r="I38" s="53" t="s">
        <v>159</v>
      </c>
      <c r="J38" s="53" t="s">
        <v>38</v>
      </c>
      <c r="K38" s="53" t="s">
        <v>160</v>
      </c>
      <c r="L38" s="53">
        <v>1</v>
      </c>
      <c r="N38" s="53">
        <v>4</v>
      </c>
      <c r="O38" s="53">
        <v>0.2</v>
      </c>
      <c r="P38" s="53">
        <v>0.2</v>
      </c>
      <c r="Q38" s="76">
        <f t="shared" ref="Q38:Q39" si="4">IF(OR(O38="",P38=""),"",AVERAGE(O38,P38))</f>
        <v>0.2</v>
      </c>
      <c r="R38" s="53">
        <v>16.399999999999999</v>
      </c>
      <c r="S38" s="53">
        <v>99</v>
      </c>
      <c r="T38" s="16">
        <f t="shared" si="1"/>
        <v>33</v>
      </c>
      <c r="U38" s="53">
        <v>407</v>
      </c>
      <c r="V38" s="16">
        <f t="shared" si="2"/>
        <v>3357.75</v>
      </c>
      <c r="W38" s="53">
        <v>3</v>
      </c>
      <c r="X38" s="53" t="s">
        <v>39</v>
      </c>
      <c r="Y38" s="53" t="s">
        <v>40</v>
      </c>
      <c r="Z38" s="53" t="s">
        <v>84</v>
      </c>
      <c r="AA38" s="53" t="s">
        <v>90</v>
      </c>
      <c r="AB38" s="53" t="s">
        <v>301</v>
      </c>
    </row>
    <row r="39" spans="1:28" x14ac:dyDescent="0.15">
      <c r="A39" s="53" t="s">
        <v>34</v>
      </c>
      <c r="B39" s="53" t="s">
        <v>304</v>
      </c>
      <c r="C39" s="53">
        <v>2019</v>
      </c>
      <c r="D39" s="177" t="s">
        <v>300</v>
      </c>
      <c r="E39" s="53" t="s">
        <v>214</v>
      </c>
      <c r="F39" s="53" t="s">
        <v>379</v>
      </c>
      <c r="G39" s="53" t="s">
        <v>36</v>
      </c>
      <c r="H39" s="53" t="s">
        <v>163</v>
      </c>
      <c r="I39" s="53" t="s">
        <v>159</v>
      </c>
      <c r="J39" s="53" t="s">
        <v>38</v>
      </c>
      <c r="K39" s="53" t="s">
        <v>160</v>
      </c>
      <c r="L39" s="53">
        <v>2</v>
      </c>
      <c r="N39" s="53">
        <v>4</v>
      </c>
      <c r="O39" s="53">
        <v>0.2</v>
      </c>
      <c r="P39" s="53">
        <v>0.2</v>
      </c>
      <c r="Q39" s="76">
        <f t="shared" si="4"/>
        <v>0.2</v>
      </c>
      <c r="R39" s="53">
        <v>15.9</v>
      </c>
      <c r="S39" s="53">
        <v>100</v>
      </c>
      <c r="T39" s="16">
        <f t="shared" si="1"/>
        <v>33</v>
      </c>
      <c r="U39" s="53">
        <v>407</v>
      </c>
      <c r="V39" s="16">
        <f t="shared" si="2"/>
        <v>3357.75</v>
      </c>
      <c r="W39" s="53">
        <v>3</v>
      </c>
      <c r="X39" s="53" t="s">
        <v>39</v>
      </c>
      <c r="Y39" s="53" t="s">
        <v>40</v>
      </c>
      <c r="Z39" s="53" t="s">
        <v>84</v>
      </c>
      <c r="AA39" s="53" t="s">
        <v>90</v>
      </c>
      <c r="AB39" s="53" t="s">
        <v>301</v>
      </c>
    </row>
    <row r="40" spans="1:28" x14ac:dyDescent="0.15">
      <c r="A40" s="53" t="s">
        <v>34</v>
      </c>
      <c r="B40" s="53" t="s">
        <v>304</v>
      </c>
      <c r="C40" s="53">
        <v>2019</v>
      </c>
      <c r="D40" s="177" t="s">
        <v>300</v>
      </c>
      <c r="E40" s="53" t="s">
        <v>214</v>
      </c>
      <c r="F40" s="53" t="s">
        <v>379</v>
      </c>
      <c r="G40" s="53" t="s">
        <v>36</v>
      </c>
      <c r="H40" s="53" t="s">
        <v>163</v>
      </c>
      <c r="I40" s="53" t="s">
        <v>159</v>
      </c>
      <c r="J40" s="53" t="s">
        <v>38</v>
      </c>
      <c r="K40" s="53" t="s">
        <v>160</v>
      </c>
      <c r="L40" s="53">
        <v>3</v>
      </c>
      <c r="N40" s="53">
        <v>4</v>
      </c>
      <c r="O40" s="53">
        <v>0.5</v>
      </c>
      <c r="P40" s="53">
        <v>0.5</v>
      </c>
      <c r="Q40" s="76">
        <f>IF(OR(O40="",P40=""),"",AVERAGE(O40,P40))</f>
        <v>0.5</v>
      </c>
      <c r="R40" s="53">
        <v>15.9</v>
      </c>
      <c r="S40" s="53">
        <v>102</v>
      </c>
      <c r="T40" s="16">
        <f t="shared" si="1"/>
        <v>33</v>
      </c>
      <c r="U40" s="53">
        <v>407</v>
      </c>
      <c r="V40" s="16">
        <f t="shared" si="2"/>
        <v>3357.75</v>
      </c>
      <c r="W40" s="53">
        <v>3</v>
      </c>
      <c r="X40" s="53" t="s">
        <v>39</v>
      </c>
      <c r="Y40" s="53" t="s">
        <v>40</v>
      </c>
      <c r="Z40" s="53" t="s">
        <v>84</v>
      </c>
      <c r="AA40" s="53" t="s">
        <v>90</v>
      </c>
      <c r="AB40" s="53" t="s">
        <v>301</v>
      </c>
    </row>
    <row r="41" spans="1:28" x14ac:dyDescent="0.15">
      <c r="A41" s="53" t="s">
        <v>34</v>
      </c>
      <c r="B41" s="53" t="s">
        <v>304</v>
      </c>
      <c r="C41" s="53">
        <v>2019</v>
      </c>
      <c r="D41" s="177" t="s">
        <v>300</v>
      </c>
      <c r="E41" s="53" t="s">
        <v>366</v>
      </c>
      <c r="F41" s="53" t="s">
        <v>367</v>
      </c>
      <c r="G41" s="53" t="s">
        <v>36</v>
      </c>
      <c r="H41" s="53" t="s">
        <v>163</v>
      </c>
      <c r="I41" s="53" t="s">
        <v>159</v>
      </c>
      <c r="J41" s="53" t="s">
        <v>38</v>
      </c>
      <c r="K41" s="53" t="s">
        <v>160</v>
      </c>
      <c r="L41" s="53">
        <v>1</v>
      </c>
      <c r="N41" s="53">
        <v>1</v>
      </c>
      <c r="O41" s="53">
        <v>0.7</v>
      </c>
      <c r="P41" s="53">
        <v>0.55000000000000004</v>
      </c>
      <c r="Q41" s="76">
        <f t="shared" ref="Q41:Q42" si="5">IF(OR(O41="",P41=""),"",AVERAGE(O41,P41))</f>
        <v>0.625</v>
      </c>
      <c r="R41" s="53">
        <v>13.8</v>
      </c>
      <c r="S41" s="53">
        <v>106</v>
      </c>
      <c r="T41" s="16">
        <f t="shared" si="1"/>
        <v>33</v>
      </c>
      <c r="U41" s="53">
        <v>108</v>
      </c>
      <c r="V41" s="16">
        <f t="shared" si="2"/>
        <v>3564</v>
      </c>
      <c r="W41" s="53">
        <v>2</v>
      </c>
      <c r="X41" s="53" t="s">
        <v>46</v>
      </c>
      <c r="Y41" s="53" t="s">
        <v>84</v>
      </c>
      <c r="Z41" s="53" t="s">
        <v>90</v>
      </c>
      <c r="AA41" s="53" t="s">
        <v>40</v>
      </c>
      <c r="AB41" s="53" t="s">
        <v>301</v>
      </c>
    </row>
    <row r="42" spans="1:28" x14ac:dyDescent="0.15">
      <c r="A42" s="53" t="s">
        <v>34</v>
      </c>
      <c r="B42" s="53" t="s">
        <v>304</v>
      </c>
      <c r="C42" s="53">
        <v>2019</v>
      </c>
      <c r="D42" s="177" t="s">
        <v>300</v>
      </c>
      <c r="E42" s="53" t="s">
        <v>366</v>
      </c>
      <c r="F42" s="53" t="s">
        <v>367</v>
      </c>
      <c r="G42" s="53" t="s">
        <v>36</v>
      </c>
      <c r="H42" s="53" t="s">
        <v>163</v>
      </c>
      <c r="I42" s="53" t="s">
        <v>159</v>
      </c>
      <c r="J42" s="53" t="s">
        <v>38</v>
      </c>
      <c r="K42" s="53" t="s">
        <v>160</v>
      </c>
      <c r="L42" s="53">
        <v>2</v>
      </c>
      <c r="N42" s="53">
        <v>1</v>
      </c>
      <c r="O42" s="53">
        <v>0.9</v>
      </c>
      <c r="P42" s="53">
        <v>0.85</v>
      </c>
      <c r="Q42" s="76">
        <f t="shared" si="5"/>
        <v>0.875</v>
      </c>
      <c r="R42" s="53">
        <v>13.9</v>
      </c>
      <c r="S42" s="53">
        <v>110</v>
      </c>
      <c r="T42" s="16">
        <f t="shared" si="1"/>
        <v>33</v>
      </c>
      <c r="U42" s="53">
        <v>108</v>
      </c>
      <c r="V42" s="16">
        <f t="shared" si="2"/>
        <v>3564</v>
      </c>
      <c r="W42" s="53">
        <v>2</v>
      </c>
      <c r="X42" s="53" t="s">
        <v>46</v>
      </c>
      <c r="Y42" s="53" t="s">
        <v>84</v>
      </c>
      <c r="Z42" s="53" t="s">
        <v>90</v>
      </c>
      <c r="AA42" s="53" t="s">
        <v>40</v>
      </c>
      <c r="AB42" s="53" t="s">
        <v>301</v>
      </c>
    </row>
    <row r="43" spans="1:28" x14ac:dyDescent="0.15">
      <c r="A43" s="53" t="s">
        <v>34</v>
      </c>
      <c r="B43" s="53" t="s">
        <v>304</v>
      </c>
      <c r="C43" s="53">
        <v>2019</v>
      </c>
      <c r="D43" s="177" t="s">
        <v>300</v>
      </c>
      <c r="E43" s="53" t="s">
        <v>366</v>
      </c>
      <c r="F43" s="53" t="s">
        <v>367</v>
      </c>
      <c r="G43" s="53" t="s">
        <v>36</v>
      </c>
      <c r="H43" s="53" t="s">
        <v>163</v>
      </c>
      <c r="I43" s="53" t="s">
        <v>159</v>
      </c>
      <c r="J43" s="53" t="s">
        <v>38</v>
      </c>
      <c r="K43" s="53" t="s">
        <v>160</v>
      </c>
      <c r="L43" s="53">
        <v>3</v>
      </c>
      <c r="N43" s="53">
        <v>1</v>
      </c>
      <c r="O43" s="53">
        <v>0.75</v>
      </c>
      <c r="P43" s="53">
        <v>0.65</v>
      </c>
      <c r="Q43" s="76">
        <f>IF(OR(O43="",P43=""),"",AVERAGE(O43,P43))</f>
        <v>0.7</v>
      </c>
      <c r="R43" s="53">
        <v>11.7</v>
      </c>
      <c r="S43" s="53">
        <v>108</v>
      </c>
      <c r="T43" s="16">
        <f t="shared" si="1"/>
        <v>33</v>
      </c>
      <c r="U43" s="53">
        <v>108</v>
      </c>
      <c r="V43" s="16">
        <f t="shared" si="2"/>
        <v>3564</v>
      </c>
      <c r="W43" s="53">
        <v>2</v>
      </c>
      <c r="X43" s="53" t="s">
        <v>46</v>
      </c>
      <c r="Y43" s="53" t="s">
        <v>84</v>
      </c>
      <c r="Z43" s="53" t="s">
        <v>90</v>
      </c>
      <c r="AA43" s="53" t="s">
        <v>40</v>
      </c>
      <c r="AB43" s="53" t="s">
        <v>301</v>
      </c>
    </row>
    <row r="44" spans="1:28" x14ac:dyDescent="0.15">
      <c r="A44" s="53" t="s">
        <v>34</v>
      </c>
      <c r="B44" s="53" t="s">
        <v>304</v>
      </c>
      <c r="C44" s="53">
        <v>2019</v>
      </c>
      <c r="D44" s="177" t="s">
        <v>300</v>
      </c>
      <c r="E44" s="53" t="s">
        <v>366</v>
      </c>
      <c r="F44" s="53" t="s">
        <v>367</v>
      </c>
      <c r="G44" s="53" t="s">
        <v>36</v>
      </c>
      <c r="H44" s="53" t="s">
        <v>163</v>
      </c>
      <c r="I44" s="53" t="s">
        <v>159</v>
      </c>
      <c r="J44" s="53" t="s">
        <v>38</v>
      </c>
      <c r="K44" s="53" t="s">
        <v>160</v>
      </c>
      <c r="L44" s="53">
        <v>1</v>
      </c>
      <c r="N44" s="53">
        <v>4</v>
      </c>
      <c r="O44" s="53">
        <v>0.7</v>
      </c>
      <c r="P44" s="53">
        <v>0.75</v>
      </c>
      <c r="Q44" s="76">
        <f t="shared" ref="Q44:Q45" si="6">IF(OR(O44="",P44=""),"",AVERAGE(O44,P44))</f>
        <v>0.72499999999999998</v>
      </c>
      <c r="R44" s="53">
        <v>14.4</v>
      </c>
      <c r="S44" s="53">
        <v>99</v>
      </c>
      <c r="T44" s="16">
        <f t="shared" si="1"/>
        <v>33</v>
      </c>
      <c r="U44" s="53">
        <v>321</v>
      </c>
      <c r="V44" s="16">
        <f t="shared" si="2"/>
        <v>2648.25</v>
      </c>
      <c r="W44" s="53">
        <v>2</v>
      </c>
      <c r="X44" s="53" t="s">
        <v>46</v>
      </c>
      <c r="Y44" s="53" t="s">
        <v>84</v>
      </c>
      <c r="Z44" s="53" t="s">
        <v>90</v>
      </c>
      <c r="AA44" s="53" t="s">
        <v>40</v>
      </c>
      <c r="AB44" s="53" t="s">
        <v>301</v>
      </c>
    </row>
    <row r="45" spans="1:28" x14ac:dyDescent="0.15">
      <c r="A45" s="53" t="s">
        <v>34</v>
      </c>
      <c r="B45" s="53" t="s">
        <v>304</v>
      </c>
      <c r="C45" s="53">
        <v>2019</v>
      </c>
      <c r="D45" s="177" t="s">
        <v>300</v>
      </c>
      <c r="E45" s="53" t="s">
        <v>366</v>
      </c>
      <c r="F45" s="53" t="s">
        <v>367</v>
      </c>
      <c r="G45" s="53" t="s">
        <v>36</v>
      </c>
      <c r="H45" s="53" t="s">
        <v>163</v>
      </c>
      <c r="I45" s="53" t="s">
        <v>159</v>
      </c>
      <c r="J45" s="53" t="s">
        <v>38</v>
      </c>
      <c r="K45" s="53" t="s">
        <v>160</v>
      </c>
      <c r="L45" s="53">
        <v>2</v>
      </c>
      <c r="N45" s="53">
        <v>4</v>
      </c>
      <c r="O45" s="53">
        <v>0.55000000000000004</v>
      </c>
      <c r="P45" s="53">
        <v>0.55000000000000004</v>
      </c>
      <c r="Q45" s="76">
        <f t="shared" si="6"/>
        <v>0.55000000000000004</v>
      </c>
      <c r="R45" s="53">
        <v>14.3</v>
      </c>
      <c r="S45" s="53">
        <v>104</v>
      </c>
      <c r="T45" s="16">
        <f t="shared" si="1"/>
        <v>33</v>
      </c>
      <c r="U45" s="53">
        <v>321</v>
      </c>
      <c r="V45" s="16">
        <f t="shared" si="2"/>
        <v>2648.25</v>
      </c>
      <c r="W45" s="53">
        <v>2</v>
      </c>
      <c r="X45" s="53" t="s">
        <v>46</v>
      </c>
      <c r="Y45" s="53" t="s">
        <v>84</v>
      </c>
      <c r="Z45" s="53" t="s">
        <v>90</v>
      </c>
      <c r="AA45" s="53" t="s">
        <v>40</v>
      </c>
      <c r="AB45" s="53" t="s">
        <v>301</v>
      </c>
    </row>
    <row r="46" spans="1:28" x14ac:dyDescent="0.15">
      <c r="A46" s="53" t="s">
        <v>34</v>
      </c>
      <c r="B46" s="53" t="s">
        <v>304</v>
      </c>
      <c r="C46" s="53">
        <v>2019</v>
      </c>
      <c r="D46" s="177" t="s">
        <v>300</v>
      </c>
      <c r="E46" s="53" t="s">
        <v>366</v>
      </c>
      <c r="F46" s="53" t="s">
        <v>367</v>
      </c>
      <c r="G46" s="53" t="s">
        <v>36</v>
      </c>
      <c r="H46" s="53" t="s">
        <v>163</v>
      </c>
      <c r="I46" s="53" t="s">
        <v>159</v>
      </c>
      <c r="J46" s="53" t="s">
        <v>38</v>
      </c>
      <c r="K46" s="53" t="s">
        <v>160</v>
      </c>
      <c r="L46" s="53">
        <v>3</v>
      </c>
      <c r="N46" s="53">
        <v>4</v>
      </c>
      <c r="O46" s="53">
        <v>0.6</v>
      </c>
      <c r="P46" s="53">
        <v>0.5</v>
      </c>
      <c r="Q46" s="76">
        <f>IF(OR(O46="",P46=""),"",AVERAGE(O46,P46))</f>
        <v>0.55000000000000004</v>
      </c>
      <c r="R46" s="53">
        <v>13.7</v>
      </c>
      <c r="S46" s="53">
        <v>100</v>
      </c>
      <c r="T46" s="16">
        <f t="shared" si="1"/>
        <v>33</v>
      </c>
      <c r="U46" s="53">
        <v>321</v>
      </c>
      <c r="V46" s="16">
        <f t="shared" si="2"/>
        <v>2648.25</v>
      </c>
      <c r="W46" s="53">
        <v>2</v>
      </c>
      <c r="X46" s="53" t="s">
        <v>46</v>
      </c>
      <c r="Y46" s="53" t="s">
        <v>84</v>
      </c>
      <c r="Z46" s="53" t="s">
        <v>90</v>
      </c>
      <c r="AA46" s="53" t="s">
        <v>40</v>
      </c>
      <c r="AB46" s="53" t="s">
        <v>301</v>
      </c>
    </row>
    <row r="47" spans="1:28" x14ac:dyDescent="0.15">
      <c r="A47" s="53" t="s">
        <v>34</v>
      </c>
      <c r="B47" s="53" t="s">
        <v>304</v>
      </c>
      <c r="C47" s="53">
        <v>2019</v>
      </c>
      <c r="D47" s="177" t="s">
        <v>300</v>
      </c>
      <c r="E47" s="53" t="s">
        <v>377</v>
      </c>
      <c r="F47" s="53" t="s">
        <v>378</v>
      </c>
      <c r="G47" s="53" t="s">
        <v>36</v>
      </c>
      <c r="H47" s="53" t="s">
        <v>127</v>
      </c>
      <c r="I47" s="53" t="s">
        <v>159</v>
      </c>
      <c r="J47" s="53" t="s">
        <v>80</v>
      </c>
      <c r="K47" s="53" t="s">
        <v>63</v>
      </c>
      <c r="L47" s="53">
        <v>1</v>
      </c>
      <c r="N47" s="53">
        <v>1</v>
      </c>
      <c r="O47" s="53">
        <v>1</v>
      </c>
      <c r="P47" s="53">
        <v>1.1000000000000001</v>
      </c>
      <c r="Q47" s="76">
        <f t="shared" ref="Q47:Q48" si="7">IF(OR(O47="",P47=""),"",AVERAGE(O47,P47))</f>
        <v>1.05</v>
      </c>
      <c r="R47" s="53">
        <v>13.2</v>
      </c>
      <c r="S47" s="53">
        <v>106</v>
      </c>
      <c r="T47" s="16">
        <f t="shared" si="1"/>
        <v>33</v>
      </c>
      <c r="U47" s="53">
        <v>105</v>
      </c>
      <c r="V47" s="16">
        <f t="shared" si="2"/>
        <v>3465</v>
      </c>
      <c r="W47" s="53">
        <v>2</v>
      </c>
      <c r="X47" s="53" t="s">
        <v>39</v>
      </c>
      <c r="Y47" s="53" t="s">
        <v>84</v>
      </c>
      <c r="Z47" s="53" t="s">
        <v>40</v>
      </c>
      <c r="AA47" s="53" t="s">
        <v>69</v>
      </c>
      <c r="AB47" s="53" t="s">
        <v>301</v>
      </c>
    </row>
    <row r="48" spans="1:28" x14ac:dyDescent="0.15">
      <c r="A48" s="53" t="s">
        <v>34</v>
      </c>
      <c r="B48" s="53" t="s">
        <v>304</v>
      </c>
      <c r="C48" s="53">
        <v>2019</v>
      </c>
      <c r="D48" s="177" t="s">
        <v>300</v>
      </c>
      <c r="E48" s="53" t="s">
        <v>377</v>
      </c>
      <c r="F48" s="53" t="s">
        <v>378</v>
      </c>
      <c r="G48" s="53" t="s">
        <v>36</v>
      </c>
      <c r="H48" s="53" t="s">
        <v>127</v>
      </c>
      <c r="I48" s="53" t="s">
        <v>159</v>
      </c>
      <c r="J48" s="53" t="s">
        <v>80</v>
      </c>
      <c r="K48" s="53" t="s">
        <v>63</v>
      </c>
      <c r="L48" s="53">
        <v>2</v>
      </c>
      <c r="N48" s="53">
        <v>1</v>
      </c>
      <c r="O48" s="53">
        <v>0.85</v>
      </c>
      <c r="P48" s="53">
        <v>0.95</v>
      </c>
      <c r="Q48" s="76">
        <f t="shared" si="7"/>
        <v>0.89999999999999991</v>
      </c>
      <c r="R48" s="53">
        <v>9.8000000000000007</v>
      </c>
      <c r="S48" s="53">
        <v>102</v>
      </c>
      <c r="T48" s="16">
        <f t="shared" si="1"/>
        <v>33</v>
      </c>
      <c r="U48" s="53">
        <v>105</v>
      </c>
      <c r="V48" s="16">
        <f t="shared" si="2"/>
        <v>3465</v>
      </c>
      <c r="W48" s="53">
        <v>2</v>
      </c>
      <c r="X48" s="53" t="s">
        <v>39</v>
      </c>
      <c r="Y48" s="53" t="s">
        <v>84</v>
      </c>
      <c r="Z48" s="53" t="s">
        <v>40</v>
      </c>
      <c r="AA48" s="53" t="s">
        <v>69</v>
      </c>
      <c r="AB48" s="53" t="s">
        <v>301</v>
      </c>
    </row>
    <row r="49" spans="1:28" x14ac:dyDescent="0.15">
      <c r="A49" s="53" t="s">
        <v>34</v>
      </c>
      <c r="B49" s="53" t="s">
        <v>304</v>
      </c>
      <c r="C49" s="53">
        <v>2019</v>
      </c>
      <c r="D49" s="177" t="s">
        <v>300</v>
      </c>
      <c r="E49" s="53" t="s">
        <v>377</v>
      </c>
      <c r="F49" s="53" t="s">
        <v>378</v>
      </c>
      <c r="G49" s="53" t="s">
        <v>36</v>
      </c>
      <c r="H49" s="53" t="s">
        <v>127</v>
      </c>
      <c r="I49" s="53" t="s">
        <v>159</v>
      </c>
      <c r="J49" s="53" t="s">
        <v>80</v>
      </c>
      <c r="K49" s="53" t="s">
        <v>63</v>
      </c>
      <c r="L49" s="53">
        <v>3</v>
      </c>
      <c r="N49" s="53">
        <v>1</v>
      </c>
      <c r="O49" s="53">
        <v>0.65</v>
      </c>
      <c r="P49" s="53">
        <v>0.7</v>
      </c>
      <c r="Q49" s="76">
        <f>IF(OR(O49="",P49=""),"",AVERAGE(O49,P49))</f>
        <v>0.67500000000000004</v>
      </c>
      <c r="R49" s="53">
        <v>9.9</v>
      </c>
      <c r="S49" s="53">
        <v>100</v>
      </c>
      <c r="T49" s="16">
        <f t="shared" si="1"/>
        <v>33</v>
      </c>
      <c r="U49" s="53">
        <v>105</v>
      </c>
      <c r="V49" s="16">
        <f t="shared" si="2"/>
        <v>3465</v>
      </c>
      <c r="W49" s="53">
        <v>2</v>
      </c>
      <c r="X49" s="53" t="s">
        <v>39</v>
      </c>
      <c r="Y49" s="53" t="s">
        <v>84</v>
      </c>
      <c r="Z49" s="53" t="s">
        <v>40</v>
      </c>
      <c r="AA49" s="53" t="s">
        <v>69</v>
      </c>
      <c r="AB49" s="53" t="s">
        <v>301</v>
      </c>
    </row>
    <row r="50" spans="1:28" x14ac:dyDescent="0.15">
      <c r="A50" s="53" t="s">
        <v>34</v>
      </c>
      <c r="B50" s="53" t="s">
        <v>304</v>
      </c>
      <c r="C50" s="53">
        <v>2019</v>
      </c>
      <c r="D50" s="177" t="s">
        <v>300</v>
      </c>
      <c r="E50" s="53" t="s">
        <v>377</v>
      </c>
      <c r="F50" s="53" t="s">
        <v>378</v>
      </c>
      <c r="G50" s="53" t="s">
        <v>36</v>
      </c>
      <c r="H50" s="53" t="s">
        <v>127</v>
      </c>
      <c r="I50" s="53" t="s">
        <v>159</v>
      </c>
      <c r="J50" s="53" t="s">
        <v>80</v>
      </c>
      <c r="K50" s="53" t="s">
        <v>59</v>
      </c>
      <c r="L50" s="53">
        <v>1</v>
      </c>
      <c r="N50" s="53">
        <v>4</v>
      </c>
      <c r="O50" s="53">
        <v>0.65</v>
      </c>
      <c r="P50" s="53">
        <v>0.7</v>
      </c>
      <c r="Q50" s="76">
        <f t="shared" ref="Q50:Q51" si="8">IF(OR(O50="",P50=""),"",AVERAGE(O50,P50))</f>
        <v>0.67500000000000004</v>
      </c>
      <c r="R50" s="53">
        <v>15</v>
      </c>
      <c r="S50" s="53">
        <v>84</v>
      </c>
      <c r="T50" s="16">
        <f t="shared" si="1"/>
        <v>36</v>
      </c>
      <c r="U50" s="53">
        <v>429</v>
      </c>
      <c r="V50" s="16">
        <f t="shared" si="2"/>
        <v>3861</v>
      </c>
      <c r="W50" s="53">
        <v>2</v>
      </c>
      <c r="X50" s="53" t="s">
        <v>39</v>
      </c>
      <c r="Y50" s="53" t="s">
        <v>84</v>
      </c>
      <c r="Z50" s="53" t="s">
        <v>40</v>
      </c>
      <c r="AA50" s="53" t="s">
        <v>69</v>
      </c>
      <c r="AB50" s="53" t="s">
        <v>301</v>
      </c>
    </row>
    <row r="51" spans="1:28" x14ac:dyDescent="0.15">
      <c r="A51" s="53" t="s">
        <v>34</v>
      </c>
      <c r="B51" s="53" t="s">
        <v>304</v>
      </c>
      <c r="C51" s="53">
        <v>2019</v>
      </c>
      <c r="D51" s="177" t="s">
        <v>300</v>
      </c>
      <c r="E51" s="53" t="s">
        <v>377</v>
      </c>
      <c r="F51" s="53" t="s">
        <v>378</v>
      </c>
      <c r="G51" s="53" t="s">
        <v>36</v>
      </c>
      <c r="H51" s="53" t="s">
        <v>127</v>
      </c>
      <c r="I51" s="53" t="s">
        <v>159</v>
      </c>
      <c r="J51" s="53" t="s">
        <v>80</v>
      </c>
      <c r="K51" s="53" t="s">
        <v>59</v>
      </c>
      <c r="L51" s="53">
        <v>2</v>
      </c>
      <c r="N51" s="53">
        <v>4</v>
      </c>
      <c r="O51" s="53">
        <v>0.2</v>
      </c>
      <c r="P51" s="53">
        <v>0.2</v>
      </c>
      <c r="Q51" s="76">
        <f t="shared" si="8"/>
        <v>0.2</v>
      </c>
      <c r="R51" s="53">
        <v>14.1</v>
      </c>
      <c r="S51" s="53">
        <v>91</v>
      </c>
      <c r="T51" s="16">
        <f t="shared" si="1"/>
        <v>36</v>
      </c>
      <c r="U51" s="53">
        <v>429</v>
      </c>
      <c r="V51" s="16">
        <f t="shared" si="2"/>
        <v>3861</v>
      </c>
      <c r="W51" s="53">
        <v>2</v>
      </c>
      <c r="X51" s="53" t="s">
        <v>39</v>
      </c>
      <c r="Y51" s="53" t="s">
        <v>84</v>
      </c>
      <c r="Z51" s="53" t="s">
        <v>40</v>
      </c>
      <c r="AA51" s="53" t="s">
        <v>69</v>
      </c>
      <c r="AB51" s="53" t="s">
        <v>301</v>
      </c>
    </row>
    <row r="52" spans="1:28" x14ac:dyDescent="0.15">
      <c r="A52" s="53" t="s">
        <v>34</v>
      </c>
      <c r="B52" s="53" t="s">
        <v>304</v>
      </c>
      <c r="C52" s="53">
        <v>2019</v>
      </c>
      <c r="D52" s="177" t="s">
        <v>300</v>
      </c>
      <c r="E52" s="53" t="s">
        <v>377</v>
      </c>
      <c r="F52" s="53" t="s">
        <v>378</v>
      </c>
      <c r="G52" s="53" t="s">
        <v>36</v>
      </c>
      <c r="H52" s="53" t="s">
        <v>127</v>
      </c>
      <c r="I52" s="53" t="s">
        <v>159</v>
      </c>
      <c r="J52" s="53" t="s">
        <v>80</v>
      </c>
      <c r="K52" s="53" t="s">
        <v>59</v>
      </c>
      <c r="L52" s="53">
        <v>3</v>
      </c>
      <c r="N52" s="53">
        <v>4</v>
      </c>
      <c r="O52" s="53">
        <v>0.65</v>
      </c>
      <c r="P52" s="53">
        <v>0.75</v>
      </c>
      <c r="Q52" s="76">
        <f>IF(OR(O52="",P52=""),"",AVERAGE(O52,P52))</f>
        <v>0.7</v>
      </c>
      <c r="R52" s="53">
        <v>14.1</v>
      </c>
      <c r="S52" s="53">
        <v>91</v>
      </c>
      <c r="T52" s="16">
        <f t="shared" si="1"/>
        <v>36</v>
      </c>
      <c r="U52" s="53">
        <v>429</v>
      </c>
      <c r="V52" s="16">
        <f t="shared" si="2"/>
        <v>3861</v>
      </c>
      <c r="W52" s="53">
        <v>2</v>
      </c>
      <c r="X52" s="53" t="s">
        <v>39</v>
      </c>
      <c r="Y52" s="53" t="s">
        <v>84</v>
      </c>
      <c r="Z52" s="53" t="s">
        <v>40</v>
      </c>
      <c r="AA52" s="53" t="s">
        <v>69</v>
      </c>
      <c r="AB52" s="53" t="s">
        <v>301</v>
      </c>
    </row>
    <row r="53" spans="1:28" x14ac:dyDescent="0.15">
      <c r="A53" s="53" t="s">
        <v>34</v>
      </c>
      <c r="B53" s="53" t="s">
        <v>304</v>
      </c>
      <c r="C53" s="53">
        <v>2019</v>
      </c>
      <c r="D53" s="177" t="s">
        <v>300</v>
      </c>
      <c r="E53" s="53" t="s">
        <v>377</v>
      </c>
      <c r="F53" s="53" t="s">
        <v>378</v>
      </c>
      <c r="G53" s="53" t="s">
        <v>36</v>
      </c>
      <c r="H53" s="53" t="s">
        <v>128</v>
      </c>
      <c r="I53" s="53" t="s">
        <v>159</v>
      </c>
      <c r="J53" s="53" t="s">
        <v>80</v>
      </c>
      <c r="K53" s="53" t="s">
        <v>63</v>
      </c>
      <c r="L53" s="53">
        <v>1</v>
      </c>
      <c r="N53" s="53">
        <v>3</v>
      </c>
      <c r="O53" s="53">
        <v>0.2</v>
      </c>
      <c r="P53" s="53">
        <v>0.2</v>
      </c>
      <c r="Q53" s="76">
        <f t="shared" ref="Q53:Q54" si="9">IF(OR(O53="",P53=""),"",AVERAGE(O53,P53))</f>
        <v>0.2</v>
      </c>
      <c r="R53" s="53">
        <v>15.6</v>
      </c>
      <c r="S53" s="53">
        <v>96</v>
      </c>
      <c r="T53" s="16">
        <f t="shared" si="1"/>
        <v>36</v>
      </c>
      <c r="U53" s="53">
        <v>429</v>
      </c>
      <c r="V53" s="16">
        <f t="shared" si="2"/>
        <v>5148</v>
      </c>
      <c r="W53" s="53">
        <v>1</v>
      </c>
      <c r="X53" s="53" t="s">
        <v>39</v>
      </c>
      <c r="Y53" s="53" t="s">
        <v>84</v>
      </c>
      <c r="Z53" s="53" t="s">
        <v>40</v>
      </c>
      <c r="AA53" s="53" t="s">
        <v>69</v>
      </c>
      <c r="AB53" s="53" t="s">
        <v>301</v>
      </c>
    </row>
    <row r="54" spans="1:28" x14ac:dyDescent="0.15">
      <c r="A54" s="53" t="s">
        <v>34</v>
      </c>
      <c r="B54" s="53" t="s">
        <v>304</v>
      </c>
      <c r="C54" s="53">
        <v>2019</v>
      </c>
      <c r="D54" s="177" t="s">
        <v>300</v>
      </c>
      <c r="E54" s="53" t="s">
        <v>377</v>
      </c>
      <c r="F54" s="53" t="s">
        <v>378</v>
      </c>
      <c r="G54" s="53" t="s">
        <v>36</v>
      </c>
      <c r="H54" s="53" t="s">
        <v>128</v>
      </c>
      <c r="I54" s="53" t="s">
        <v>159</v>
      </c>
      <c r="J54" s="53" t="s">
        <v>80</v>
      </c>
      <c r="K54" s="53" t="s">
        <v>63</v>
      </c>
      <c r="L54" s="53">
        <v>2</v>
      </c>
      <c r="N54" s="53">
        <v>3</v>
      </c>
      <c r="O54" s="53">
        <v>0.2</v>
      </c>
      <c r="P54" s="53">
        <v>0.2</v>
      </c>
      <c r="Q54" s="76">
        <f t="shared" si="9"/>
        <v>0.2</v>
      </c>
      <c r="R54" s="53">
        <v>15.8</v>
      </c>
      <c r="S54" s="53">
        <v>92</v>
      </c>
      <c r="T54" s="16">
        <f t="shared" si="1"/>
        <v>36</v>
      </c>
      <c r="U54" s="53">
        <v>429</v>
      </c>
      <c r="V54" s="16">
        <f t="shared" si="2"/>
        <v>5148</v>
      </c>
      <c r="W54" s="53">
        <v>1</v>
      </c>
      <c r="X54" s="53" t="s">
        <v>39</v>
      </c>
      <c r="Y54" s="53" t="s">
        <v>84</v>
      </c>
      <c r="Z54" s="53" t="s">
        <v>40</v>
      </c>
      <c r="AA54" s="53" t="s">
        <v>69</v>
      </c>
      <c r="AB54" s="53" t="s">
        <v>301</v>
      </c>
    </row>
    <row r="55" spans="1:28" x14ac:dyDescent="0.15">
      <c r="A55" s="53" t="s">
        <v>34</v>
      </c>
      <c r="B55" s="53" t="s">
        <v>304</v>
      </c>
      <c r="C55" s="53">
        <v>2019</v>
      </c>
      <c r="D55" s="177" t="s">
        <v>300</v>
      </c>
      <c r="E55" s="53" t="s">
        <v>377</v>
      </c>
      <c r="F55" s="53" t="s">
        <v>378</v>
      </c>
      <c r="G55" s="53" t="s">
        <v>36</v>
      </c>
      <c r="H55" s="53" t="s">
        <v>128</v>
      </c>
      <c r="I55" s="53" t="s">
        <v>159</v>
      </c>
      <c r="J55" s="53" t="s">
        <v>80</v>
      </c>
      <c r="K55" s="53" t="s">
        <v>63</v>
      </c>
      <c r="L55" s="53">
        <v>3</v>
      </c>
      <c r="N55" s="53">
        <v>3</v>
      </c>
      <c r="O55" s="53">
        <v>0.2</v>
      </c>
      <c r="P55" s="53">
        <v>0.2</v>
      </c>
      <c r="Q55" s="76">
        <f>IF(OR(O55="",P55=""),"",AVERAGE(O55,P55))</f>
        <v>0.2</v>
      </c>
      <c r="R55" s="53">
        <v>16.2</v>
      </c>
      <c r="S55" s="53">
        <v>104</v>
      </c>
      <c r="T55" s="16">
        <f t="shared" si="1"/>
        <v>33</v>
      </c>
      <c r="U55" s="53">
        <v>429</v>
      </c>
      <c r="V55" s="16">
        <f t="shared" si="2"/>
        <v>4719</v>
      </c>
      <c r="W55" s="53">
        <v>1</v>
      </c>
      <c r="X55" s="53" t="s">
        <v>39</v>
      </c>
      <c r="Y55" s="53" t="s">
        <v>84</v>
      </c>
      <c r="Z55" s="53" t="s">
        <v>40</v>
      </c>
      <c r="AA55" s="53" t="s">
        <v>69</v>
      </c>
      <c r="AB55" s="53" t="s">
        <v>301</v>
      </c>
    </row>
    <row r="56" spans="1:28" x14ac:dyDescent="0.15">
      <c r="D56" s="177"/>
      <c r="Q56" s="76"/>
    </row>
    <row r="57" spans="1:28" x14ac:dyDescent="0.15">
      <c r="D57" s="177"/>
      <c r="Q57" s="76"/>
    </row>
    <row r="58" spans="1:28" x14ac:dyDescent="0.15">
      <c r="D58" s="177"/>
      <c r="Q58" s="76"/>
    </row>
    <row r="59" spans="1:28" x14ac:dyDescent="0.15">
      <c r="D59" s="177"/>
      <c r="Q59" s="76"/>
    </row>
    <row r="60" spans="1:28" x14ac:dyDescent="0.15">
      <c r="D60" s="177"/>
      <c r="Q60" s="76"/>
    </row>
    <row r="61" spans="1:28" x14ac:dyDescent="0.15">
      <c r="D61" s="177"/>
      <c r="Q61" s="76"/>
    </row>
    <row r="62" spans="1:28" x14ac:dyDescent="0.15">
      <c r="D62" s="177"/>
      <c r="Q62" s="76"/>
    </row>
    <row r="63" spans="1:28" x14ac:dyDescent="0.15">
      <c r="D63" s="177"/>
      <c r="Q63" s="76"/>
    </row>
    <row r="64" spans="1:28" x14ac:dyDescent="0.15">
      <c r="D64" s="177"/>
      <c r="Q64" s="76"/>
    </row>
    <row r="65" spans="4:17" x14ac:dyDescent="0.15">
      <c r="D65" s="177"/>
      <c r="Q65" s="76"/>
    </row>
    <row r="66" spans="4:17" x14ac:dyDescent="0.15">
      <c r="D66" s="177"/>
      <c r="Q66" s="76"/>
    </row>
    <row r="67" spans="4:17" x14ac:dyDescent="0.15">
      <c r="D67" s="177"/>
      <c r="Q67" s="76"/>
    </row>
    <row r="68" spans="4:17" x14ac:dyDescent="0.15">
      <c r="D68" s="177"/>
      <c r="Q68" s="76"/>
    </row>
    <row r="69" spans="4:17" x14ac:dyDescent="0.15">
      <c r="D69" s="177"/>
      <c r="Q69" s="76"/>
    </row>
    <row r="70" spans="4:17" x14ac:dyDescent="0.15">
      <c r="D70" s="177"/>
      <c r="Q70" s="76"/>
    </row>
    <row r="71" spans="4:17" x14ac:dyDescent="0.15">
      <c r="D71" s="177"/>
      <c r="Q71" s="76"/>
    </row>
    <row r="72" spans="4:17" x14ac:dyDescent="0.15">
      <c r="D72" s="177"/>
      <c r="Q72" s="76"/>
    </row>
    <row r="73" spans="4:17" x14ac:dyDescent="0.15">
      <c r="D73" s="177"/>
      <c r="Q73" s="76"/>
    </row>
    <row r="74" spans="4:17" x14ac:dyDescent="0.15">
      <c r="D74" s="177"/>
      <c r="Q74" s="76"/>
    </row>
    <row r="75" spans="4:17" x14ac:dyDescent="0.15">
      <c r="D75" s="177"/>
      <c r="Q75" s="76"/>
    </row>
    <row r="76" spans="4:17" x14ac:dyDescent="0.15">
      <c r="D76" s="177"/>
      <c r="Q76" s="76"/>
    </row>
    <row r="77" spans="4:17" x14ac:dyDescent="0.15">
      <c r="D77" s="177"/>
      <c r="Q77" s="76"/>
    </row>
    <row r="78" spans="4:17" x14ac:dyDescent="0.15">
      <c r="D78" s="177"/>
      <c r="Q78" s="76"/>
    </row>
    <row r="79" spans="4:17" x14ac:dyDescent="0.15">
      <c r="D79" s="177"/>
      <c r="Q79" s="76"/>
    </row>
    <row r="80" spans="4:17" x14ac:dyDescent="0.15">
      <c r="D80" s="177"/>
      <c r="Q80" s="76"/>
    </row>
    <row r="81" spans="4:17" x14ac:dyDescent="0.15">
      <c r="D81" s="177"/>
      <c r="Q81" s="76"/>
    </row>
    <row r="82" spans="4:17" x14ac:dyDescent="0.15">
      <c r="D82" s="177"/>
      <c r="Q82" s="76"/>
    </row>
    <row r="83" spans="4:17" x14ac:dyDescent="0.15">
      <c r="D83" s="177"/>
      <c r="Q83" s="76"/>
    </row>
    <row r="84" spans="4:17" x14ac:dyDescent="0.15">
      <c r="D84" s="177"/>
    </row>
    <row r="85" spans="4:17" x14ac:dyDescent="0.15">
      <c r="D85" s="177"/>
    </row>
    <row r="86" spans="4:17" x14ac:dyDescent="0.15">
      <c r="D86" s="177"/>
    </row>
    <row r="87" spans="4:17" x14ac:dyDescent="0.15">
      <c r="D87" s="177"/>
    </row>
    <row r="88" spans="4:17" x14ac:dyDescent="0.15">
      <c r="D88" s="177"/>
    </row>
    <row r="89" spans="4:17" x14ac:dyDescent="0.15">
      <c r="D89" s="177"/>
    </row>
    <row r="90" spans="4:17" x14ac:dyDescent="0.15">
      <c r="D90" s="177"/>
    </row>
    <row r="91" spans="4:17" x14ac:dyDescent="0.15">
      <c r="D91" s="177"/>
    </row>
    <row r="92" spans="4:17" x14ac:dyDescent="0.15">
      <c r="D92" s="177"/>
    </row>
    <row r="93" spans="4:17" x14ac:dyDescent="0.15">
      <c r="D93" s="177"/>
    </row>
    <row r="94" spans="4:17" x14ac:dyDescent="0.15">
      <c r="D94" s="177"/>
    </row>
    <row r="95" spans="4:17" x14ac:dyDescent="0.15">
      <c r="D95" s="177"/>
    </row>
    <row r="96" spans="4:17" x14ac:dyDescent="0.15">
      <c r="D96" s="177"/>
    </row>
    <row r="97" spans="4:4" x14ac:dyDescent="0.15">
      <c r="D97" s="177"/>
    </row>
    <row r="98" spans="4:4" x14ac:dyDescent="0.15">
      <c r="D98" s="177"/>
    </row>
    <row r="99" spans="4:4" x14ac:dyDescent="0.15">
      <c r="D99" s="177"/>
    </row>
    <row r="100" spans="4:4" x14ac:dyDescent="0.15">
      <c r="D100" s="177"/>
    </row>
    <row r="101" spans="4:4" x14ac:dyDescent="0.15">
      <c r="D101" s="177"/>
    </row>
    <row r="102" spans="4:4" x14ac:dyDescent="0.15">
      <c r="D102" s="177"/>
    </row>
    <row r="103" spans="4:4" x14ac:dyDescent="0.15">
      <c r="D103" s="177"/>
    </row>
    <row r="104" spans="4:4" x14ac:dyDescent="0.15">
      <c r="D104" s="177"/>
    </row>
    <row r="105" spans="4:4" x14ac:dyDescent="0.15">
      <c r="D105" s="177"/>
    </row>
    <row r="106" spans="4:4" x14ac:dyDescent="0.15">
      <c r="D106" s="177"/>
    </row>
    <row r="107" spans="4:4" x14ac:dyDescent="0.15">
      <c r="D107" s="177"/>
    </row>
    <row r="108" spans="4:4" x14ac:dyDescent="0.15">
      <c r="D108" s="177"/>
    </row>
    <row r="109" spans="4:4" x14ac:dyDescent="0.15">
      <c r="D109" s="177"/>
    </row>
    <row r="110" spans="4:4" x14ac:dyDescent="0.15">
      <c r="D110" s="177"/>
    </row>
    <row r="111" spans="4:4" x14ac:dyDescent="0.15">
      <c r="D111" s="177"/>
    </row>
    <row r="112" spans="4:4" x14ac:dyDescent="0.15">
      <c r="D112" s="177"/>
    </row>
    <row r="113" spans="4:4" x14ac:dyDescent="0.15">
      <c r="D113" s="177"/>
    </row>
    <row r="114" spans="4:4" x14ac:dyDescent="0.15">
      <c r="D114" s="177"/>
    </row>
    <row r="115" spans="4:4" x14ac:dyDescent="0.15">
      <c r="D115" s="177"/>
    </row>
    <row r="116" spans="4:4" x14ac:dyDescent="0.15">
      <c r="D116" s="177"/>
    </row>
    <row r="117" spans="4:4" x14ac:dyDescent="0.15">
      <c r="D117" s="177"/>
    </row>
    <row r="118" spans="4:4" x14ac:dyDescent="0.15">
      <c r="D118" s="177"/>
    </row>
    <row r="119" spans="4:4" x14ac:dyDescent="0.15">
      <c r="D119" s="177"/>
    </row>
    <row r="120" spans="4:4" x14ac:dyDescent="0.15">
      <c r="D120" s="177"/>
    </row>
    <row r="121" spans="4:4" x14ac:dyDescent="0.15">
      <c r="D121" s="177"/>
    </row>
    <row r="122" spans="4:4" x14ac:dyDescent="0.15">
      <c r="D122" s="177"/>
    </row>
    <row r="123" spans="4:4" x14ac:dyDescent="0.15">
      <c r="D123" s="177"/>
    </row>
    <row r="124" spans="4:4" x14ac:dyDescent="0.15">
      <c r="D124" s="177"/>
    </row>
    <row r="125" spans="4:4" x14ac:dyDescent="0.15">
      <c r="D125" s="177"/>
    </row>
    <row r="126" spans="4:4" x14ac:dyDescent="0.15">
      <c r="D126" s="177"/>
    </row>
    <row r="127" spans="4:4" x14ac:dyDescent="0.15">
      <c r="D127" s="177"/>
    </row>
    <row r="128" spans="4:4" x14ac:dyDescent="0.15">
      <c r="D128" s="177"/>
    </row>
    <row r="129" spans="4:4" x14ac:dyDescent="0.15">
      <c r="D129" s="177"/>
    </row>
    <row r="130" spans="4:4" x14ac:dyDescent="0.15">
      <c r="D130" s="177"/>
    </row>
    <row r="131" spans="4:4" x14ac:dyDescent="0.15">
      <c r="D131" s="177"/>
    </row>
    <row r="132" spans="4:4" x14ac:dyDescent="0.15">
      <c r="D132" s="177"/>
    </row>
    <row r="133" spans="4:4" x14ac:dyDescent="0.15">
      <c r="D133" s="177"/>
    </row>
    <row r="134" spans="4:4" x14ac:dyDescent="0.15">
      <c r="D134" s="177"/>
    </row>
    <row r="135" spans="4:4" x14ac:dyDescent="0.15">
      <c r="D135" s="177"/>
    </row>
    <row r="136" spans="4:4" x14ac:dyDescent="0.15">
      <c r="D136" s="177"/>
    </row>
    <row r="137" spans="4:4" x14ac:dyDescent="0.15">
      <c r="D137" s="177"/>
    </row>
    <row r="138" spans="4:4" x14ac:dyDescent="0.15">
      <c r="D138" s="177"/>
    </row>
    <row r="139" spans="4:4" x14ac:dyDescent="0.15">
      <c r="D139" s="177"/>
    </row>
    <row r="140" spans="4:4" x14ac:dyDescent="0.15">
      <c r="D140" s="177"/>
    </row>
    <row r="141" spans="4:4" x14ac:dyDescent="0.15">
      <c r="D141" s="177"/>
    </row>
    <row r="142" spans="4:4" x14ac:dyDescent="0.15">
      <c r="D142" s="177"/>
    </row>
    <row r="143" spans="4:4" x14ac:dyDescent="0.15">
      <c r="D143" s="177"/>
    </row>
    <row r="144" spans="4:4" x14ac:dyDescent="0.15">
      <c r="D144" s="177"/>
    </row>
    <row r="145" spans="4:4" x14ac:dyDescent="0.15">
      <c r="D145" s="177"/>
    </row>
    <row r="146" spans="4:4" x14ac:dyDescent="0.15">
      <c r="D146" s="177"/>
    </row>
    <row r="147" spans="4:4" x14ac:dyDescent="0.15">
      <c r="D147" s="177"/>
    </row>
    <row r="148" spans="4:4" x14ac:dyDescent="0.15">
      <c r="D148" s="177"/>
    </row>
    <row r="149" spans="4:4" x14ac:dyDescent="0.15">
      <c r="D149" s="177"/>
    </row>
  </sheetData>
  <autoFilter ref="A1:BA149" xr:uid="{00000000-0009-0000-0000-000000000000}"/>
  <phoneticPr fontId="3"/>
  <dataValidations count="12">
    <dataValidation type="list" allowBlank="1" showInputMessage="1" showErrorMessage="1" sqref="F2:F469" xr:uid="{CC6AA033-0887-464A-89BB-C9320B189FA8}">
      <formula1>$AH$2:$AH$11</formula1>
    </dataValidation>
    <dataValidation type="list" allowBlank="1" showInputMessage="1" showErrorMessage="1" sqref="E2:E469" xr:uid="{CEC270AF-C649-46AC-A399-65D541A02362}">
      <formula1>$AG$2:$AG$11</formula1>
    </dataValidation>
    <dataValidation type="list" allowBlank="1" showInputMessage="1" showErrorMessage="1" sqref="K2:K781" xr:uid="{A4676AB1-8E9A-46FE-A79E-6130700E7DBB}">
      <formula1>$AR$2:$AR$23</formula1>
    </dataValidation>
    <dataValidation operator="equal" allowBlank="1" showInputMessage="1" showErrorMessage="1" sqref="B2:B149" xr:uid="{66EEC18A-C907-4C9D-A045-9BDE5E76487A}"/>
    <dataValidation type="list" allowBlank="1" showInputMessage="1" showErrorMessage="1" sqref="A2:A468" xr:uid="{5B7F3710-3C0E-4CE4-ADC2-5143150E7393}">
      <formula1>$AE$2:$AE$19</formula1>
    </dataValidation>
    <dataValidation type="list" allowBlank="1" showInputMessage="1" showErrorMessage="1" sqref="Y2:AA469" xr:uid="{09309A9A-B204-435B-A5EE-D472F56048FA}">
      <formula1>$AV$2:$AV$21</formula1>
    </dataValidation>
    <dataValidation type="list" allowBlank="1" showInputMessage="1" showErrorMessage="1" sqref="H2:H469" xr:uid="{4C4D02B8-3FA6-4894-9324-04F721FA04C2}">
      <formula1>$AL$2:$AL$8</formula1>
    </dataValidation>
    <dataValidation type="list" allowBlank="1" showInputMessage="1" showErrorMessage="1" sqref="X2:X469" xr:uid="{25219370-494F-4047-AB05-87739062F465}">
      <formula1>$AT$2:$AT$3</formula1>
    </dataValidation>
    <dataValidation type="list" allowBlank="1" showInputMessage="1" showErrorMessage="1" sqref="G2:G469" xr:uid="{CCB30E92-8F20-4FBE-B32E-A6813D4B7895}">
      <formula1>$AJ$2:$AJ$4</formula1>
    </dataValidation>
    <dataValidation type="list" allowBlank="1" showInputMessage="1" showErrorMessage="1" sqref="I2:I469" xr:uid="{1DE3D4AC-3092-4E02-9D3B-02386D4F4BB6}">
      <formula1>$AN$5:$AN$6</formula1>
    </dataValidation>
    <dataValidation type="list" allowBlank="1" showInputMessage="1" showErrorMessage="1" sqref="J2:J469" xr:uid="{78D59BC4-227B-4621-B60E-9FB8A3E1E059}">
      <formula1>$AP$2:$AP$24</formula1>
    </dataValidation>
    <dataValidation type="decimal" allowBlank="1" showInputMessage="1" showErrorMessage="1" error="硬度を正しく入力して下さい。" sqref="O59:P469 O2:P55" xr:uid="{88E19B9C-E145-492B-A3B9-D0DD9D7DB4D1}">
      <formula1>0</formula1>
      <formula2>7</formula2>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17B9710-15A0-4800-8904-16889ECF0EF4}"/>
</file>

<file path=customXml/itemProps2.xml><?xml version="1.0" encoding="utf-8"?>
<ds:datastoreItem xmlns:ds="http://schemas.openxmlformats.org/officeDocument/2006/customXml" ds:itemID="{FE5A1D0F-04DC-4584-8D5A-205E8774212A}"/>
</file>

<file path=customXml/itemProps3.xml><?xml version="1.0" encoding="utf-8"?>
<ds:datastoreItem xmlns:ds="http://schemas.openxmlformats.org/officeDocument/2006/customXml" ds:itemID="{1F38CF5E-3ACA-4BEB-8587-972B490AC8A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sapporo</vt:lpstr>
      <vt:lpstr>miyagi</vt:lpstr>
      <vt:lpstr>nagoya</vt:lpstr>
      <vt:lpstr>osaka</vt:lpstr>
      <vt:lpstr>hiroshima</vt:lpstr>
      <vt:lpstr>fukuoka</vt:lpstr>
      <vt:lpstr>tokyo-east(ota)</vt:lpstr>
      <vt:lpstr>tokyo-west(konishi)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2020-01-31T09:02:34Z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