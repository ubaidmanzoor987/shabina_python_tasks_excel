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01"/>
  <workbookPr defaultThemeVersion="124226"/>
  <mc:AlternateContent xmlns:mc="http://schemas.openxmlformats.org/markup-compatibility/2006">
    <mc:Choice Requires="x15">
      <x15ac:absPath xmlns:x15ac="http://schemas.microsoft.com/office/spreadsheetml/2010/11/ac" url="\\192.168.11.200\000_全国共有\2-Zespri\品質調査\2019\19週\"/>
    </mc:Choice>
  </mc:AlternateContent>
  <xr:revisionPtr revIDLastSave="0" documentId="13_ncr:1_{37A4D695-E068-4D03-B1A8-BDBDB1BCCDCD}" xr6:coauthVersionLast="43" xr6:coauthVersionMax="43" xr10:uidLastSave="{00000000-0000-0000-0000-000000000000}"/>
  <bookViews>
    <workbookView xWindow="-120" yWindow="-120" windowWidth="29040" windowHeight="15840" activeTab="6"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5"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miyagi!$A$1:$BA$408</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91" i="25" l="1"/>
  <c r="V91" i="25" s="1"/>
  <c r="Q91" i="25"/>
  <c r="T90" i="25"/>
  <c r="V90" i="25" s="1"/>
  <c r="Q90" i="25"/>
  <c r="T89" i="25"/>
  <c r="V89" i="25" s="1"/>
  <c r="Q89" i="25"/>
  <c r="T88" i="25"/>
  <c r="V88" i="25" s="1"/>
  <c r="Q88" i="25"/>
  <c r="T87" i="25"/>
  <c r="V87" i="25" s="1"/>
  <c r="Q87" i="25"/>
  <c r="T86" i="25"/>
  <c r="V86" i="25" s="1"/>
  <c r="Q86" i="25"/>
  <c r="T85" i="25"/>
  <c r="V85" i="25" s="1"/>
  <c r="Q85" i="25"/>
  <c r="T84" i="25"/>
  <c r="V84" i="25" s="1"/>
  <c r="Q84" i="25"/>
  <c r="T83" i="25"/>
  <c r="V83" i="25" s="1"/>
  <c r="Q83" i="25"/>
  <c r="T82" i="25"/>
  <c r="V82" i="25" s="1"/>
  <c r="Q82" i="25"/>
  <c r="T81" i="25"/>
  <c r="V81" i="25" s="1"/>
  <c r="Q81" i="25"/>
  <c r="T80" i="25"/>
  <c r="V80" i="25" s="1"/>
  <c r="Q80" i="25"/>
  <c r="T79" i="25"/>
  <c r="V79" i="25" s="1"/>
  <c r="Q79" i="25"/>
  <c r="T78" i="25"/>
  <c r="V78" i="25" s="1"/>
  <c r="Q78" i="25"/>
  <c r="T77" i="25"/>
  <c r="V77" i="25" s="1"/>
  <c r="Q77" i="25"/>
  <c r="T76" i="25"/>
  <c r="V76" i="25" s="1"/>
  <c r="Q76" i="25"/>
  <c r="T75" i="25"/>
  <c r="V75" i="25" s="1"/>
  <c r="Q75" i="25"/>
  <c r="T74" i="25"/>
  <c r="V74" i="25" s="1"/>
  <c r="Q74" i="25"/>
  <c r="T73" i="25"/>
  <c r="V73" i="25" s="1"/>
  <c r="Q73" i="25"/>
  <c r="T72" i="25"/>
  <c r="V72" i="25" s="1"/>
  <c r="Q72" i="25"/>
  <c r="T71" i="25"/>
  <c r="V71" i="25" s="1"/>
  <c r="Q71" i="25"/>
  <c r="T70" i="25"/>
  <c r="V70" i="25" s="1"/>
  <c r="Q70" i="25"/>
  <c r="T69" i="25"/>
  <c r="V69" i="25" s="1"/>
  <c r="Q69" i="25"/>
  <c r="T68" i="25"/>
  <c r="V68" i="25" s="1"/>
  <c r="Q68" i="25"/>
  <c r="T67" i="25"/>
  <c r="V67" i="25" s="1"/>
  <c r="Q67" i="25"/>
  <c r="T66" i="25"/>
  <c r="V66" i="25" s="1"/>
  <c r="Q66" i="25"/>
  <c r="T65" i="25"/>
  <c r="V65" i="25" s="1"/>
  <c r="Q65" i="25"/>
  <c r="T64" i="25"/>
  <c r="V64" i="25" s="1"/>
  <c r="Q64" i="25"/>
  <c r="T63" i="25"/>
  <c r="V63" i="25" s="1"/>
  <c r="Q63" i="25"/>
  <c r="T62" i="25"/>
  <c r="V62" i="25" s="1"/>
  <c r="Q62" i="25"/>
  <c r="T61" i="25"/>
  <c r="V61" i="25" s="1"/>
  <c r="Q61" i="25"/>
  <c r="T60" i="25"/>
  <c r="V60" i="25" s="1"/>
  <c r="Q60" i="25"/>
  <c r="T59" i="25"/>
  <c r="V59" i="25" s="1"/>
  <c r="Q59" i="25"/>
  <c r="T58" i="25"/>
  <c r="V58" i="25" s="1"/>
  <c r="Q58" i="25"/>
  <c r="T57" i="25"/>
  <c r="V57" i="25" s="1"/>
  <c r="Q57" i="25"/>
  <c r="T56" i="25"/>
  <c r="V56" i="25" s="1"/>
  <c r="Q56" i="25"/>
  <c r="T55" i="25"/>
  <c r="V55" i="25" s="1"/>
  <c r="Q55" i="25"/>
  <c r="T54" i="25"/>
  <c r="V54" i="25" s="1"/>
  <c r="Q54" i="25"/>
  <c r="T53" i="25"/>
  <c r="V53" i="25" s="1"/>
  <c r="Q53" i="25"/>
  <c r="T52" i="25"/>
  <c r="V52" i="25" s="1"/>
  <c r="Q52" i="25"/>
  <c r="T51" i="25"/>
  <c r="V51" i="25" s="1"/>
  <c r="Q51" i="25"/>
  <c r="T50" i="25"/>
  <c r="V50" i="25" s="1"/>
  <c r="Q50" i="25"/>
  <c r="T49" i="25"/>
  <c r="V49" i="25" s="1"/>
  <c r="Q49" i="25"/>
  <c r="T48" i="25"/>
  <c r="V48" i="25" s="1"/>
  <c r="Q48" i="25"/>
  <c r="T47" i="25"/>
  <c r="V47" i="25" s="1"/>
  <c r="Q47" i="25"/>
  <c r="T46" i="25"/>
  <c r="V46" i="25" s="1"/>
  <c r="Q46" i="25"/>
  <c r="T45" i="25"/>
  <c r="V45" i="25" s="1"/>
  <c r="Q45" i="25"/>
  <c r="T44" i="25"/>
  <c r="V44" i="25" s="1"/>
  <c r="Q44" i="25"/>
  <c r="T43" i="25"/>
  <c r="V43" i="25" s="1"/>
  <c r="Q43" i="25"/>
  <c r="T42" i="25"/>
  <c r="V42" i="25" s="1"/>
  <c r="Q42" i="25"/>
  <c r="T41" i="25"/>
  <c r="V41" i="25" s="1"/>
  <c r="Q41" i="25"/>
  <c r="T40" i="25"/>
  <c r="V40" i="25" s="1"/>
  <c r="Q40" i="25"/>
  <c r="T39" i="25"/>
  <c r="V39" i="25" s="1"/>
  <c r="Q39" i="25"/>
  <c r="T38" i="25"/>
  <c r="V38" i="25" s="1"/>
  <c r="Q38" i="25"/>
  <c r="T37" i="25"/>
  <c r="V37" i="25" s="1"/>
  <c r="Q37" i="25"/>
  <c r="T36" i="25"/>
  <c r="V36" i="25" s="1"/>
  <c r="Q36" i="25"/>
  <c r="T35" i="25"/>
  <c r="V35" i="25" s="1"/>
  <c r="Q35" i="25"/>
  <c r="T34" i="25"/>
  <c r="V34" i="25" s="1"/>
  <c r="Q34" i="25"/>
  <c r="T33" i="25"/>
  <c r="V33" i="25" s="1"/>
  <c r="Q33" i="25"/>
  <c r="T32" i="25"/>
  <c r="V32" i="25" s="1"/>
  <c r="Q32" i="25"/>
  <c r="T31" i="25"/>
  <c r="V31" i="25" s="1"/>
  <c r="Q31" i="25"/>
  <c r="T30" i="25"/>
  <c r="V30" i="25" s="1"/>
  <c r="Q30" i="25"/>
  <c r="T29" i="25"/>
  <c r="V29" i="25" s="1"/>
  <c r="Q29" i="25"/>
  <c r="T28" i="25"/>
  <c r="V28" i="25" s="1"/>
  <c r="Q28" i="25"/>
  <c r="T27" i="25"/>
  <c r="V27" i="25" s="1"/>
  <c r="Q27" i="25"/>
  <c r="T26" i="25"/>
  <c r="V26" i="25" s="1"/>
  <c r="Q26" i="25"/>
  <c r="T25" i="25"/>
  <c r="V25" i="25" s="1"/>
  <c r="Q25" i="25"/>
  <c r="T24" i="25"/>
  <c r="V24" i="25" s="1"/>
  <c r="Q24" i="25"/>
  <c r="T23" i="25"/>
  <c r="V23" i="25" s="1"/>
  <c r="Q23" i="25"/>
  <c r="T22" i="25"/>
  <c r="V22" i="25" s="1"/>
  <c r="Q22" i="25"/>
  <c r="T21" i="25"/>
  <c r="V21" i="25" s="1"/>
  <c r="Q21" i="25"/>
  <c r="T20" i="25"/>
  <c r="V20" i="25" s="1"/>
  <c r="Q20" i="25"/>
  <c r="T19" i="25"/>
  <c r="V19" i="25" s="1"/>
  <c r="Q19" i="25"/>
  <c r="T18" i="25"/>
  <c r="V18" i="25" s="1"/>
  <c r="Q18" i="25"/>
  <c r="T17" i="25"/>
  <c r="V17" i="25" s="1"/>
  <c r="Q17" i="25"/>
  <c r="T16" i="25"/>
  <c r="V16" i="25" s="1"/>
  <c r="Q16" i="25"/>
  <c r="T15" i="25"/>
  <c r="V15" i="25" s="1"/>
  <c r="Q15" i="25"/>
  <c r="T14" i="25"/>
  <c r="V14" i="25" s="1"/>
  <c r="Q14" i="25"/>
  <c r="T13" i="25"/>
  <c r="V13" i="25" s="1"/>
  <c r="Q13" i="25"/>
  <c r="T12" i="25"/>
  <c r="V12" i="25" s="1"/>
  <c r="Q12" i="25"/>
  <c r="T11" i="25"/>
  <c r="V11" i="25" s="1"/>
  <c r="Q11" i="25"/>
  <c r="T10" i="25"/>
  <c r="V10" i="25" s="1"/>
  <c r="Q10" i="25"/>
  <c r="T9" i="25"/>
  <c r="V9" i="25" s="1"/>
  <c r="Q9" i="25"/>
  <c r="T8" i="25"/>
  <c r="V8" i="25" s="1"/>
  <c r="Q8" i="25"/>
  <c r="T7" i="25"/>
  <c r="V7" i="25" s="1"/>
  <c r="Q7" i="25"/>
  <c r="T6" i="25"/>
  <c r="V6" i="25" s="1"/>
  <c r="Q6" i="25"/>
  <c r="T5" i="25"/>
  <c r="V5" i="25" s="1"/>
  <c r="Q5" i="25"/>
  <c r="T4" i="25"/>
  <c r="V4" i="25" s="1"/>
  <c r="Q4" i="25"/>
  <c r="T3" i="25"/>
  <c r="V3" i="25" s="1"/>
  <c r="Q3" i="25"/>
  <c r="T2" i="25"/>
  <c r="V2" i="25" s="1"/>
  <c r="Q2" i="25"/>
  <c r="T118" i="24" l="1"/>
  <c r="V118" i="24" s="1"/>
  <c r="Q118" i="24"/>
  <c r="T117" i="24"/>
  <c r="V117" i="24" s="1"/>
  <c r="Q117" i="24"/>
  <c r="T116" i="24"/>
  <c r="V116" i="24" s="1"/>
  <c r="Q116" i="24"/>
  <c r="V115" i="24"/>
  <c r="T115" i="24"/>
  <c r="Q115" i="24"/>
  <c r="T114" i="24"/>
  <c r="V114" i="24" s="1"/>
  <c r="Q114" i="24"/>
  <c r="T113" i="24"/>
  <c r="V113" i="24" s="1"/>
  <c r="Q113" i="24"/>
  <c r="T112" i="24"/>
  <c r="V112" i="24" s="1"/>
  <c r="Q112" i="24"/>
  <c r="V111" i="24"/>
  <c r="T111" i="24"/>
  <c r="Q111" i="24"/>
  <c r="T110" i="24"/>
  <c r="V110" i="24" s="1"/>
  <c r="Q110" i="24"/>
  <c r="T109" i="24"/>
  <c r="V109" i="24" s="1"/>
  <c r="Q109" i="24"/>
  <c r="T108" i="24"/>
  <c r="V108" i="24" s="1"/>
  <c r="Q108" i="24"/>
  <c r="V107" i="24"/>
  <c r="T107" i="24"/>
  <c r="Q107" i="24"/>
  <c r="T106" i="24"/>
  <c r="V106" i="24" s="1"/>
  <c r="Q106" i="24"/>
  <c r="T105" i="24"/>
  <c r="V105" i="24" s="1"/>
  <c r="Q105" i="24"/>
  <c r="T104" i="24"/>
  <c r="V104" i="24" s="1"/>
  <c r="Q104" i="24"/>
  <c r="V103" i="24"/>
  <c r="T103" i="24"/>
  <c r="Q103" i="24"/>
  <c r="T102" i="24"/>
  <c r="V102" i="24" s="1"/>
  <c r="Q102" i="24"/>
  <c r="T101" i="24"/>
  <c r="V101" i="24" s="1"/>
  <c r="Q101" i="24"/>
  <c r="T100" i="24"/>
  <c r="V100" i="24" s="1"/>
  <c r="Q100" i="24"/>
  <c r="V99" i="24"/>
  <c r="T99" i="24"/>
  <c r="Q99" i="24"/>
  <c r="T98" i="24"/>
  <c r="V98" i="24" s="1"/>
  <c r="Q98" i="24"/>
  <c r="T97" i="24"/>
  <c r="V97" i="24" s="1"/>
  <c r="Q97" i="24"/>
  <c r="T96" i="24"/>
  <c r="V96" i="24" s="1"/>
  <c r="Q96" i="24"/>
  <c r="V95" i="24"/>
  <c r="T95" i="24"/>
  <c r="Q95" i="24"/>
  <c r="T94" i="24"/>
  <c r="V94" i="24" s="1"/>
  <c r="Q94" i="24"/>
  <c r="T93" i="24"/>
  <c r="V93" i="24" s="1"/>
  <c r="Q93" i="24"/>
  <c r="T92" i="24"/>
  <c r="V92" i="24" s="1"/>
  <c r="Q92" i="24"/>
  <c r="V91" i="24"/>
  <c r="T91" i="24"/>
  <c r="Q91" i="24"/>
  <c r="T90" i="24"/>
  <c r="V90" i="24" s="1"/>
  <c r="Q90" i="24"/>
  <c r="T89" i="24"/>
  <c r="V89" i="24" s="1"/>
  <c r="Q89" i="24"/>
  <c r="T88" i="24"/>
  <c r="V88" i="24" s="1"/>
  <c r="Q88" i="24"/>
  <c r="V87" i="24"/>
  <c r="T87" i="24"/>
  <c r="Q87" i="24"/>
  <c r="T86" i="24"/>
  <c r="V86" i="24" s="1"/>
  <c r="Q86" i="24"/>
  <c r="T85" i="24"/>
  <c r="V85" i="24" s="1"/>
  <c r="Q85" i="24"/>
  <c r="T84" i="24"/>
  <c r="V84" i="24" s="1"/>
  <c r="Q84" i="24"/>
  <c r="V83" i="24"/>
  <c r="T83" i="24"/>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c r="V79" i="21" s="1"/>
  <c r="Q79" i="21"/>
  <c r="V78" i="21"/>
  <c r="T78" i="21"/>
  <c r="Q78" i="21"/>
  <c r="T77" i="21"/>
  <c r="V77" i="21" s="1"/>
  <c r="Q77" i="21"/>
  <c r="V73" i="21"/>
  <c r="T73" i="21"/>
  <c r="Q73" i="21"/>
  <c r="T72" i="21"/>
  <c r="V72" i="21" s="1"/>
  <c r="Q72" i="21"/>
  <c r="V71" i="21"/>
  <c r="T71" i="21"/>
  <c r="Q71" i="21"/>
  <c r="T70" i="21"/>
  <c r="V70" i="21" s="1"/>
  <c r="Q70" i="21"/>
  <c r="V69" i="21"/>
  <c r="T69" i="21"/>
  <c r="Q69" i="21"/>
  <c r="T68" i="21"/>
  <c r="V68" i="21" s="1"/>
  <c r="Q68" i="21"/>
  <c r="V67" i="21"/>
  <c r="T67" i="21"/>
  <c r="Q67" i="21"/>
  <c r="T66" i="21"/>
  <c r="V66" i="21" s="1"/>
  <c r="Q66" i="21"/>
  <c r="V65" i="21"/>
  <c r="T65" i="21"/>
  <c r="Q65" i="21"/>
  <c r="T64" i="21"/>
  <c r="V64" i="21" s="1"/>
  <c r="Q64" i="21"/>
  <c r="V63" i="21"/>
  <c r="T63" i="21"/>
  <c r="Q63" i="21"/>
  <c r="T62" i="21"/>
  <c r="V62" i="21" s="1"/>
  <c r="Q62" i="21"/>
  <c r="V61" i="21"/>
  <c r="T61" i="21"/>
  <c r="Q61" i="21"/>
  <c r="T60" i="21"/>
  <c r="V60" i="21" s="1"/>
  <c r="Q60" i="21"/>
  <c r="T59" i="21"/>
  <c r="V59" i="21" s="1"/>
  <c r="Q59" i="21"/>
  <c r="T58" i="21"/>
  <c r="V58" i="21" s="1"/>
  <c r="Q58" i="21"/>
  <c r="V57" i="21"/>
  <c r="T57" i="21"/>
  <c r="Q57" i="21"/>
  <c r="T56" i="21"/>
  <c r="V56" i="21" s="1"/>
  <c r="Q56" i="21"/>
  <c r="T55" i="21"/>
  <c r="V55" i="21" s="1"/>
  <c r="Q55" i="21"/>
  <c r="T54" i="21"/>
  <c r="V54" i="21" s="1"/>
  <c r="Q54" i="21"/>
  <c r="V53" i="21"/>
  <c r="T53" i="21"/>
  <c r="Q53" i="21"/>
  <c r="T52" i="21"/>
  <c r="V52" i="21" s="1"/>
  <c r="Q52" i="21"/>
  <c r="T51" i="21"/>
  <c r="V51" i="21" s="1"/>
  <c r="Q51" i="21"/>
  <c r="T50" i="21"/>
  <c r="V50" i="21" s="1"/>
  <c r="Q50" i="21"/>
  <c r="V49" i="21"/>
  <c r="T49" i="21"/>
  <c r="Q49" i="21"/>
  <c r="T48" i="21"/>
  <c r="V48" i="21" s="1"/>
  <c r="Q48" i="21"/>
  <c r="T47" i="21"/>
  <c r="V47" i="21" s="1"/>
  <c r="Q47" i="21"/>
  <c r="T46" i="21"/>
  <c r="V46" i="21" s="1"/>
  <c r="Q46" i="21"/>
  <c r="V45" i="21"/>
  <c r="T45" i="21"/>
  <c r="Q45" i="21"/>
  <c r="T44" i="21"/>
  <c r="V44" i="21" s="1"/>
  <c r="Q44" i="21"/>
  <c r="T43" i="21"/>
  <c r="V43" i="21" s="1"/>
  <c r="Q43" i="21"/>
  <c r="T42" i="21"/>
  <c r="V42" i="21" s="1"/>
  <c r="Q42" i="21"/>
  <c r="V41" i="21"/>
  <c r="T41" i="21"/>
  <c r="Q41" i="21"/>
  <c r="T40" i="21"/>
  <c r="V40" i="21" s="1"/>
  <c r="Q40" i="21"/>
  <c r="T39" i="21"/>
  <c r="V39" i="21" s="1"/>
  <c r="Q39" i="21"/>
  <c r="T38" i="21"/>
  <c r="V38" i="21" s="1"/>
  <c r="Q38" i="21"/>
  <c r="V37" i="21"/>
  <c r="T37" i="21"/>
  <c r="Q37" i="21"/>
  <c r="T36" i="21"/>
  <c r="V36" i="21" s="1"/>
  <c r="Q36" i="21"/>
  <c r="T35" i="21"/>
  <c r="V35" i="21" s="1"/>
  <c r="Q35" i="21"/>
  <c r="T34" i="21"/>
  <c r="V34" i="21" s="1"/>
  <c r="Q34" i="21"/>
  <c r="V33" i="21"/>
  <c r="T33" i="2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408" i="18" l="1"/>
  <c r="T407" i="18"/>
  <c r="T406" i="18"/>
  <c r="T405" i="18"/>
  <c r="T404" i="18"/>
  <c r="T403" i="18"/>
  <c r="T402" i="18"/>
  <c r="T401" i="18"/>
  <c r="T400" i="18"/>
  <c r="T399" i="18"/>
  <c r="T398" i="18"/>
  <c r="T397" i="18"/>
  <c r="T396" i="18"/>
  <c r="T395" i="18"/>
  <c r="T394" i="18"/>
  <c r="T393" i="18"/>
  <c r="T392" i="18"/>
  <c r="T391" i="18"/>
  <c r="T390" i="18"/>
  <c r="T389" i="18"/>
  <c r="T388" i="18"/>
  <c r="V388" i="18" s="1"/>
  <c r="T387" i="18"/>
  <c r="V387" i="18" s="1"/>
  <c r="V386" i="18"/>
  <c r="T386" i="18"/>
  <c r="T385" i="18"/>
  <c r="V385" i="18" s="1"/>
  <c r="V384" i="18"/>
  <c r="T384" i="18"/>
  <c r="V383" i="18"/>
  <c r="T383" i="18"/>
  <c r="T382" i="18"/>
  <c r="V382" i="18" s="1"/>
  <c r="T381" i="18"/>
  <c r="V381" i="18" s="1"/>
  <c r="V380" i="18"/>
  <c r="T380" i="18"/>
  <c r="Q380" i="18"/>
  <c r="T379" i="18"/>
  <c r="V379" i="18" s="1"/>
  <c r="Q379" i="18"/>
  <c r="V378" i="18"/>
  <c r="T378" i="18"/>
  <c r="Q378" i="18"/>
  <c r="V377" i="18"/>
  <c r="T377" i="18"/>
  <c r="Q377" i="18"/>
  <c r="V376" i="18"/>
  <c r="T376" i="18"/>
  <c r="Q376" i="18"/>
  <c r="T375" i="18"/>
  <c r="V375" i="18" s="1"/>
  <c r="Q375" i="18"/>
  <c r="V374" i="18"/>
  <c r="T374" i="18"/>
  <c r="Q374" i="18"/>
  <c r="V373" i="18"/>
  <c r="T373" i="18"/>
  <c r="Q373" i="18"/>
  <c r="V372" i="18"/>
  <c r="T372" i="18"/>
  <c r="Q372" i="18"/>
  <c r="T371" i="18"/>
  <c r="V371" i="18" s="1"/>
  <c r="Q371" i="18"/>
  <c r="V370" i="18"/>
  <c r="T370" i="18"/>
  <c r="Q370" i="18"/>
  <c r="V369" i="18"/>
  <c r="T369" i="18"/>
  <c r="Q369" i="18"/>
  <c r="V368" i="18"/>
  <c r="T368" i="18"/>
  <c r="Q368" i="18"/>
  <c r="T367" i="18"/>
  <c r="V367" i="18" s="1"/>
  <c r="Q367" i="18"/>
  <c r="V366" i="18"/>
  <c r="T366" i="18"/>
  <c r="Q366" i="18"/>
  <c r="V365" i="18"/>
  <c r="T365" i="18"/>
  <c r="Q365" i="18"/>
  <c r="V364" i="18"/>
  <c r="T364" i="18"/>
  <c r="Q364" i="18"/>
  <c r="T363" i="18"/>
  <c r="V363" i="18" s="1"/>
  <c r="Q363" i="18"/>
  <c r="V362" i="18"/>
  <c r="T362" i="18"/>
  <c r="Q362" i="18"/>
  <c r="V361" i="18"/>
  <c r="T361" i="18"/>
  <c r="Q361" i="18"/>
  <c r="V360" i="18"/>
  <c r="T360" i="18"/>
  <c r="Q360" i="18"/>
  <c r="T359" i="18"/>
  <c r="V359" i="18" s="1"/>
  <c r="Q359" i="18"/>
  <c r="V358" i="18"/>
  <c r="T358" i="18"/>
  <c r="Q358" i="18"/>
  <c r="V357" i="18"/>
  <c r="T357" i="18"/>
  <c r="Q357" i="18"/>
  <c r="V356" i="18"/>
  <c r="T356" i="18"/>
  <c r="Q356" i="18"/>
  <c r="T355" i="18"/>
  <c r="V355" i="18" s="1"/>
  <c r="Q355" i="18"/>
  <c r="V354" i="18"/>
  <c r="T354" i="18"/>
  <c r="Q354" i="18"/>
  <c r="V353" i="18"/>
  <c r="T353" i="18"/>
  <c r="Q353" i="18"/>
  <c r="V352" i="18"/>
  <c r="T352" i="18"/>
  <c r="Q352" i="18"/>
  <c r="T351" i="18"/>
  <c r="V351" i="18" s="1"/>
  <c r="Q351" i="18"/>
  <c r="V350" i="18"/>
  <c r="T350" i="18"/>
  <c r="Q350" i="18"/>
  <c r="V349" i="18"/>
  <c r="T349" i="18"/>
  <c r="Q349" i="18"/>
  <c r="V348" i="18"/>
  <c r="T348" i="18"/>
  <c r="Q348" i="18"/>
  <c r="T347" i="18"/>
  <c r="V347" i="18" s="1"/>
  <c r="Q347" i="18"/>
  <c r="V346" i="18"/>
  <c r="T346" i="18"/>
  <c r="Q346" i="18"/>
  <c r="V345" i="18"/>
  <c r="T345" i="18"/>
  <c r="Q345" i="18"/>
  <c r="V344" i="18"/>
  <c r="T344" i="18"/>
  <c r="Q344" i="18"/>
  <c r="T343" i="18"/>
  <c r="V343" i="18" s="1"/>
  <c r="Q343" i="18"/>
  <c r="V342" i="18"/>
  <c r="T342" i="18"/>
  <c r="Q342" i="18"/>
  <c r="V341" i="18"/>
  <c r="T341" i="18"/>
  <c r="Q341" i="18"/>
  <c r="V340" i="18"/>
  <c r="T340" i="18"/>
  <c r="Q340" i="18"/>
  <c r="T339" i="18"/>
  <c r="V339" i="18" s="1"/>
  <c r="Q339" i="18"/>
  <c r="V338" i="18"/>
  <c r="T338" i="18"/>
  <c r="Q338" i="18"/>
  <c r="V337" i="18"/>
  <c r="T337" i="18"/>
  <c r="Q337" i="18"/>
  <c r="V336" i="18"/>
  <c r="T336" i="18"/>
  <c r="Q336" i="18"/>
  <c r="T335" i="18"/>
  <c r="V335" i="18" s="1"/>
  <c r="Q335" i="18"/>
  <c r="V334" i="18"/>
  <c r="T334" i="18"/>
  <c r="Q334" i="18"/>
  <c r="V333" i="18"/>
  <c r="T333" i="18"/>
  <c r="Q333" i="18"/>
  <c r="V332" i="18"/>
  <c r="T332" i="18"/>
  <c r="Q332" i="18"/>
  <c r="T331" i="18"/>
  <c r="V331" i="18" s="1"/>
  <c r="Q331" i="18"/>
  <c r="V330" i="18"/>
  <c r="T330" i="18"/>
  <c r="Q330" i="18"/>
  <c r="V329" i="18"/>
  <c r="T329" i="18"/>
  <c r="Q329" i="18"/>
  <c r="V328" i="18"/>
  <c r="T328" i="18"/>
  <c r="Q328" i="18"/>
  <c r="T327" i="18"/>
  <c r="V327" i="18" s="1"/>
  <c r="Q327" i="18"/>
  <c r="V326" i="18"/>
  <c r="T326" i="18"/>
  <c r="Q326" i="18"/>
  <c r="V325" i="18"/>
  <c r="T325" i="18"/>
  <c r="Q325" i="18"/>
  <c r="V324" i="18"/>
  <c r="T324" i="18"/>
  <c r="Q324" i="18"/>
  <c r="T323" i="18"/>
  <c r="V323" i="18" s="1"/>
  <c r="Q323" i="18"/>
  <c r="V322" i="18"/>
  <c r="T322" i="18"/>
  <c r="Q322" i="18"/>
  <c r="V321" i="18"/>
  <c r="T321" i="18"/>
  <c r="Q321" i="18"/>
  <c r="V320" i="18"/>
  <c r="T320" i="18"/>
  <c r="Q320" i="18"/>
  <c r="T319" i="18"/>
  <c r="V319" i="18" s="1"/>
  <c r="Q319" i="18"/>
  <c r="V318" i="18"/>
  <c r="T318" i="18"/>
  <c r="Q318" i="18"/>
  <c r="V317" i="18"/>
  <c r="T317" i="18"/>
  <c r="Q317" i="18"/>
  <c r="V316" i="18"/>
  <c r="T316" i="18"/>
  <c r="Q316" i="18"/>
  <c r="T315" i="18"/>
  <c r="V315" i="18" s="1"/>
  <c r="Q315" i="18"/>
  <c r="V314" i="18"/>
  <c r="T314" i="18"/>
  <c r="Q314" i="18"/>
  <c r="V313" i="18"/>
  <c r="T313" i="18"/>
  <c r="Q313" i="18"/>
  <c r="V312" i="18"/>
  <c r="T312" i="18"/>
  <c r="Q312" i="18"/>
  <c r="T311" i="18"/>
  <c r="V311" i="18" s="1"/>
  <c r="Q311" i="18"/>
  <c r="V310" i="18"/>
  <c r="T310" i="18"/>
  <c r="Q310" i="18"/>
  <c r="V309" i="18"/>
  <c r="T309" i="18"/>
  <c r="Q309" i="18"/>
  <c r="V308" i="18"/>
  <c r="T308" i="18"/>
  <c r="Q308" i="18"/>
  <c r="T307" i="18"/>
  <c r="V307" i="18" s="1"/>
  <c r="Q307" i="18"/>
  <c r="V306" i="18"/>
  <c r="T306" i="18"/>
  <c r="Q306" i="18"/>
  <c r="V305" i="18"/>
  <c r="T305" i="18"/>
  <c r="Q305" i="18"/>
  <c r="V304" i="18"/>
  <c r="T304" i="18"/>
  <c r="Q304" i="18"/>
  <c r="T303" i="18"/>
  <c r="V303" i="18" s="1"/>
  <c r="Q303" i="18"/>
  <c r="V302" i="18"/>
  <c r="T302" i="18"/>
  <c r="Q302" i="18"/>
  <c r="V301" i="18"/>
  <c r="T301" i="18"/>
  <c r="Q301" i="18"/>
  <c r="V300" i="18"/>
  <c r="T300" i="18"/>
  <c r="Q300" i="18"/>
  <c r="T299" i="18"/>
  <c r="V299" i="18" s="1"/>
  <c r="Q299" i="18"/>
  <c r="V298" i="18"/>
  <c r="T298" i="18"/>
  <c r="Q298" i="18"/>
  <c r="V297" i="18"/>
  <c r="T297" i="18"/>
  <c r="Q297" i="18"/>
  <c r="V296" i="18"/>
  <c r="T296" i="18"/>
  <c r="Q296" i="18"/>
  <c r="T295" i="18"/>
  <c r="V295" i="18" s="1"/>
  <c r="Q295" i="18"/>
  <c r="V294" i="18"/>
  <c r="T294" i="18"/>
  <c r="Q294" i="18"/>
  <c r="V293" i="18"/>
  <c r="T293" i="18"/>
  <c r="Q293" i="18"/>
  <c r="V292" i="18"/>
  <c r="T292" i="18"/>
  <c r="Q292" i="18"/>
  <c r="T291" i="18"/>
  <c r="V291" i="18" s="1"/>
  <c r="Q291" i="18"/>
  <c r="V290" i="18"/>
  <c r="T290" i="18"/>
  <c r="Q290" i="18"/>
  <c r="V289" i="18"/>
  <c r="T289" i="18"/>
  <c r="Q289" i="18"/>
  <c r="V288" i="18"/>
  <c r="T288" i="18"/>
  <c r="Q288" i="18"/>
  <c r="T287" i="18"/>
  <c r="V287" i="18" s="1"/>
  <c r="Q287" i="18"/>
  <c r="V286" i="18"/>
  <c r="T286" i="18"/>
  <c r="Q286" i="18"/>
  <c r="V285" i="18"/>
  <c r="T285" i="18"/>
  <c r="Q285" i="18"/>
  <c r="V284" i="18"/>
  <c r="T284" i="18"/>
  <c r="Q284" i="18"/>
  <c r="T283" i="18"/>
  <c r="V283" i="18" s="1"/>
  <c r="Q283" i="18"/>
  <c r="V282" i="18"/>
  <c r="T282" i="18"/>
  <c r="Q282" i="18"/>
  <c r="V281" i="18"/>
  <c r="T281" i="18"/>
  <c r="Q281" i="18"/>
  <c r="V280" i="18"/>
  <c r="T280" i="18"/>
  <c r="Q280" i="18"/>
  <c r="T279" i="18"/>
  <c r="V279" i="18" s="1"/>
  <c r="Q279" i="18"/>
  <c r="V278" i="18"/>
  <c r="T278" i="18"/>
  <c r="Q278" i="18"/>
  <c r="V277" i="18"/>
  <c r="T277" i="18"/>
  <c r="Q277" i="18"/>
  <c r="V276" i="18"/>
  <c r="T276" i="18"/>
  <c r="Q276" i="18"/>
  <c r="T275" i="18"/>
  <c r="V275" i="18" s="1"/>
  <c r="Q275" i="18"/>
  <c r="V274" i="18"/>
  <c r="T274" i="18"/>
  <c r="Q274" i="18"/>
  <c r="V273" i="18"/>
  <c r="T273" i="18"/>
  <c r="Q273" i="18"/>
  <c r="V272" i="18"/>
  <c r="T272" i="18"/>
  <c r="Q272" i="18"/>
  <c r="T271" i="18"/>
  <c r="V271" i="18" s="1"/>
  <c r="Q271" i="18"/>
  <c r="V270" i="18"/>
  <c r="T270" i="18"/>
  <c r="Q270" i="18"/>
  <c r="V269" i="18"/>
  <c r="T269" i="18"/>
  <c r="Q269" i="18"/>
  <c r="V268" i="18"/>
  <c r="T268" i="18"/>
  <c r="Q268" i="18"/>
  <c r="T267" i="18"/>
  <c r="V267" i="18" s="1"/>
  <c r="Q267" i="18"/>
  <c r="V266" i="18"/>
  <c r="T266" i="18"/>
  <c r="Q266" i="18"/>
  <c r="V265" i="18"/>
  <c r="T265" i="18"/>
  <c r="Q265" i="18"/>
  <c r="V264" i="18"/>
  <c r="T264" i="18"/>
  <c r="Q264" i="18"/>
  <c r="T263" i="18"/>
  <c r="V263" i="18" s="1"/>
  <c r="Q263" i="18"/>
  <c r="V262" i="18"/>
  <c r="T262" i="18"/>
  <c r="Q262" i="18"/>
  <c r="V261" i="18"/>
  <c r="T261" i="18"/>
  <c r="Q261" i="18"/>
  <c r="V260" i="18"/>
  <c r="T260" i="18"/>
  <c r="Q260" i="18"/>
  <c r="T259" i="18"/>
  <c r="V259" i="18" s="1"/>
  <c r="Q259" i="18"/>
  <c r="V258" i="18"/>
  <c r="T258" i="18"/>
  <c r="Q258" i="18"/>
  <c r="V257" i="18"/>
  <c r="T257" i="18"/>
  <c r="Q257" i="18"/>
  <c r="V256" i="18"/>
  <c r="T256" i="18"/>
  <c r="Q256" i="18"/>
  <c r="T255" i="18"/>
  <c r="V255" i="18" s="1"/>
  <c r="Q255" i="18"/>
  <c r="V254" i="18"/>
  <c r="T254" i="18"/>
  <c r="Q254" i="18"/>
  <c r="V253" i="18"/>
  <c r="T253" i="18"/>
  <c r="Q253" i="18"/>
  <c r="V252" i="18"/>
  <c r="T252" i="18"/>
  <c r="Q252" i="18"/>
  <c r="T251" i="18"/>
  <c r="V251" i="18" s="1"/>
  <c r="Q251" i="18"/>
  <c r="V250" i="18"/>
  <c r="T250" i="18"/>
  <c r="Q250" i="18"/>
  <c r="T249" i="18"/>
  <c r="V249" i="18" s="1"/>
  <c r="Q249" i="18"/>
  <c r="V248" i="18"/>
  <c r="T248" i="18"/>
  <c r="Q248" i="18"/>
  <c r="T247" i="18"/>
  <c r="V247" i="18" s="1"/>
  <c r="Q247" i="18"/>
  <c r="V246" i="18"/>
  <c r="T246" i="18"/>
  <c r="Q246" i="18"/>
  <c r="V245" i="18"/>
  <c r="T245" i="18"/>
  <c r="Q245" i="18"/>
  <c r="V244" i="18"/>
  <c r="T244" i="18"/>
  <c r="Q244" i="18"/>
  <c r="T243" i="18"/>
  <c r="V243" i="18" s="1"/>
  <c r="Q243" i="18"/>
  <c r="V242" i="18"/>
  <c r="T242" i="18"/>
  <c r="Q242" i="18"/>
  <c r="V241" i="18"/>
  <c r="T241" i="18"/>
  <c r="Q241" i="18"/>
  <c r="V240" i="18"/>
  <c r="T240" i="18"/>
  <c r="Q240" i="18"/>
  <c r="T239" i="18"/>
  <c r="V239" i="18" s="1"/>
  <c r="Q239" i="18"/>
  <c r="V238" i="18"/>
  <c r="T238" i="18"/>
  <c r="Q238" i="18"/>
  <c r="T237" i="18"/>
  <c r="V237" i="18" s="1"/>
  <c r="Q237" i="18"/>
  <c r="V236" i="18"/>
  <c r="T236" i="18"/>
  <c r="Q236" i="18"/>
  <c r="T235" i="18"/>
  <c r="V235" i="18" s="1"/>
  <c r="Q235" i="18"/>
  <c r="T234" i="18"/>
  <c r="V234" i="18" s="1"/>
  <c r="Q234" i="18"/>
  <c r="V233" i="18"/>
  <c r="T233" i="18"/>
  <c r="Q233" i="18"/>
  <c r="V232" i="18"/>
  <c r="T232" i="18"/>
  <c r="Q232" i="18"/>
  <c r="T231" i="18"/>
  <c r="V231" i="18" s="1"/>
  <c r="Q231" i="18"/>
  <c r="V230" i="18"/>
  <c r="T230" i="18"/>
  <c r="Q230" i="18"/>
  <c r="T229" i="18"/>
  <c r="V229" i="18" s="1"/>
  <c r="Q229" i="18"/>
  <c r="V228" i="18"/>
  <c r="T228" i="18"/>
  <c r="Q228" i="18"/>
  <c r="T227" i="18"/>
  <c r="V227" i="18" s="1"/>
  <c r="Q227" i="18"/>
  <c r="V226" i="18"/>
  <c r="T226" i="18"/>
  <c r="Q226" i="18"/>
  <c r="T225" i="18"/>
  <c r="V225" i="18" s="1"/>
  <c r="Q225" i="18"/>
  <c r="V224" i="18"/>
  <c r="T224" i="18"/>
  <c r="Q224" i="18"/>
  <c r="T223" i="18"/>
  <c r="V223" i="18" s="1"/>
  <c r="Q223" i="18"/>
  <c r="T222" i="18"/>
  <c r="V222" i="18" s="1"/>
  <c r="Q222" i="18"/>
  <c r="T221" i="18"/>
  <c r="V221" i="18" s="1"/>
  <c r="Q221" i="18"/>
  <c r="V220" i="18"/>
  <c r="T220" i="18"/>
  <c r="Q220" i="18"/>
  <c r="T219" i="18"/>
  <c r="V219" i="18" s="1"/>
  <c r="Q219" i="18"/>
  <c r="T218" i="18"/>
  <c r="V218" i="18" s="1"/>
  <c r="Q218" i="18"/>
  <c r="V217" i="18"/>
  <c r="T217" i="18"/>
  <c r="Q217" i="18"/>
  <c r="T216" i="18"/>
  <c r="V216" i="18" s="1"/>
  <c r="Q216" i="18"/>
  <c r="T215" i="18"/>
  <c r="V215" i="18" s="1"/>
  <c r="Q215" i="18"/>
  <c r="T214" i="18"/>
  <c r="V214" i="18" s="1"/>
  <c r="Q214" i="18"/>
  <c r="V213" i="18"/>
  <c r="T213" i="18"/>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V204" i="18"/>
  <c r="T204" i="18"/>
  <c r="Q204" i="18"/>
  <c r="T203" i="18"/>
  <c r="V203" i="18" s="1"/>
  <c r="Q203" i="18"/>
  <c r="T202" i="18"/>
  <c r="V202" i="18" s="1"/>
  <c r="Q202" i="18"/>
  <c r="T201" i="18"/>
  <c r="V201" i="18" s="1"/>
  <c r="Q201" i="18"/>
  <c r="V200" i="18"/>
  <c r="T200" i="18"/>
  <c r="Q200" i="18"/>
  <c r="T199" i="18"/>
  <c r="V199" i="18" s="1"/>
  <c r="Q199" i="18"/>
  <c r="V198" i="18"/>
  <c r="T198" i="18"/>
  <c r="Q198" i="18"/>
  <c r="V197" i="18"/>
  <c r="T197" i="18"/>
  <c r="Q197" i="18"/>
  <c r="T196" i="18"/>
  <c r="V196" i="18" s="1"/>
  <c r="Q196" i="18"/>
  <c r="T195" i="18"/>
  <c r="V195" i="18" s="1"/>
  <c r="Q195" i="18"/>
  <c r="T194" i="18"/>
  <c r="V194" i="18" s="1"/>
  <c r="Q194" i="18"/>
  <c r="V193" i="18"/>
  <c r="T193" i="18"/>
  <c r="Q193" i="18"/>
  <c r="T192" i="18"/>
  <c r="V192" i="18" s="1"/>
  <c r="Q192" i="18"/>
  <c r="T191" i="18"/>
  <c r="V191" i="18" s="1"/>
  <c r="Q191" i="18"/>
  <c r="V190" i="18"/>
  <c r="T190" i="18"/>
  <c r="Q190" i="18"/>
  <c r="T189" i="18"/>
  <c r="V189" i="18" s="1"/>
  <c r="Q189" i="18"/>
  <c r="T188" i="18"/>
  <c r="V188" i="18" s="1"/>
  <c r="Q188" i="18"/>
  <c r="T187" i="18"/>
  <c r="V187" i="18" s="1"/>
  <c r="Q187" i="18"/>
  <c r="T186" i="18"/>
  <c r="V186" i="18" s="1"/>
  <c r="Q186" i="18"/>
  <c r="V185" i="18"/>
  <c r="T185" i="18"/>
  <c r="Q185" i="18"/>
  <c r="V184" i="18"/>
  <c r="T184" i="18"/>
  <c r="Q184" i="18"/>
  <c r="T183" i="18"/>
  <c r="V183" i="18" s="1"/>
  <c r="Q183" i="18"/>
  <c r="V182" i="18"/>
  <c r="T182" i="18"/>
  <c r="Q182" i="18"/>
  <c r="T181" i="18"/>
  <c r="V181" i="18" s="1"/>
  <c r="Q181" i="18"/>
  <c r="V180" i="18"/>
  <c r="T180" i="18"/>
  <c r="Q180" i="18"/>
  <c r="T179" i="18"/>
  <c r="V179" i="18" s="1"/>
  <c r="Q179" i="18"/>
  <c r="V178" i="18"/>
  <c r="T178" i="18"/>
  <c r="Q178" i="18"/>
  <c r="V177" i="18"/>
  <c r="T177" i="18"/>
  <c r="Q177" i="18"/>
  <c r="T176" i="18"/>
  <c r="V176" i="18" s="1"/>
  <c r="Q176" i="18"/>
  <c r="T175" i="18"/>
  <c r="V175" i="18" s="1"/>
  <c r="Q175" i="18"/>
  <c r="T174" i="18"/>
  <c r="V174" i="18" s="1"/>
  <c r="Q174" i="18"/>
  <c r="T173" i="18"/>
  <c r="V173" i="18" s="1"/>
  <c r="Q173" i="18"/>
  <c r="V172" i="18"/>
  <c r="T172" i="18"/>
  <c r="Q172" i="18"/>
  <c r="T171" i="18"/>
  <c r="V171" i="18" s="1"/>
  <c r="Q171" i="18"/>
  <c r="T170" i="18"/>
  <c r="V170" i="18" s="1"/>
  <c r="Q170" i="18"/>
  <c r="V169" i="18"/>
  <c r="T169" i="18"/>
  <c r="Q169" i="18"/>
  <c r="T168" i="18"/>
  <c r="V168" i="18" s="1"/>
  <c r="Q168" i="18"/>
  <c r="T167" i="18"/>
  <c r="V167" i="18" s="1"/>
  <c r="Q167" i="18"/>
  <c r="T166" i="18"/>
  <c r="V166" i="18" s="1"/>
  <c r="Q166" i="18"/>
  <c r="V165" i="18"/>
  <c r="T165" i="18"/>
  <c r="Q165" i="18"/>
  <c r="V164" i="18"/>
  <c r="T164" i="18"/>
  <c r="Q164" i="18"/>
  <c r="T163" i="18"/>
  <c r="V163" i="18" s="1"/>
  <c r="Q163" i="18"/>
  <c r="V162" i="18"/>
  <c r="T162" i="18"/>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V148" i="18"/>
  <c r="T148" i="18"/>
  <c r="Q148" i="18"/>
  <c r="T147" i="18"/>
  <c r="V147" i="18" s="1"/>
  <c r="Q147" i="18"/>
  <c r="V146" i="18"/>
  <c r="T146" i="18"/>
  <c r="Q146" i="18"/>
  <c r="V145" i="18"/>
  <c r="T145" i="18"/>
  <c r="Q145" i="18"/>
  <c r="T144" i="18"/>
  <c r="V144" i="18" s="1"/>
  <c r="Q144" i="18"/>
  <c r="T143" i="18"/>
  <c r="V143" i="18" s="1"/>
  <c r="Q143" i="18"/>
  <c r="T142" i="18"/>
  <c r="V142" i="18" s="1"/>
  <c r="Q142" i="18"/>
  <c r="T141" i="18"/>
  <c r="V141" i="18" s="1"/>
  <c r="Q141" i="18"/>
  <c r="V140" i="18"/>
  <c r="T140" i="18"/>
  <c r="Q140" i="18"/>
  <c r="T139" i="18"/>
  <c r="V139" i="18" s="1"/>
  <c r="Q139" i="18"/>
  <c r="V138" i="18"/>
  <c r="T138" i="18"/>
  <c r="Q138" i="18"/>
  <c r="T137" i="18"/>
  <c r="V137" i="18" s="1"/>
  <c r="Q137" i="18"/>
  <c r="T136" i="18"/>
  <c r="V136" i="18" s="1"/>
  <c r="Q136" i="18"/>
  <c r="T135" i="18"/>
  <c r="V135" i="18" s="1"/>
  <c r="Q135" i="18"/>
  <c r="T134" i="18"/>
  <c r="V134" i="18" s="1"/>
  <c r="Q134" i="18"/>
  <c r="V133" i="18"/>
  <c r="T133" i="18"/>
  <c r="Q133" i="18"/>
  <c r="V132" i="18"/>
  <c r="T132" i="18"/>
  <c r="Q132" i="18"/>
  <c r="T131" i="18"/>
  <c r="V131" i="18" s="1"/>
  <c r="Q131" i="18"/>
  <c r="V130" i="18"/>
  <c r="T130" i="18"/>
  <c r="Q130" i="18"/>
  <c r="T129" i="18"/>
  <c r="V129" i="18" s="1"/>
  <c r="Q129" i="18"/>
  <c r="T128" i="18"/>
  <c r="V128" i="18" s="1"/>
  <c r="Q128" i="18"/>
  <c r="T127" i="18"/>
  <c r="V127" i="18" s="1"/>
  <c r="Q127" i="18"/>
  <c r="T126" i="18"/>
  <c r="V126" i="18" s="1"/>
  <c r="Q126" i="18"/>
  <c r="V125" i="18"/>
  <c r="T125" i="18"/>
  <c r="Q125" i="18"/>
  <c r="T124" i="18"/>
  <c r="V124" i="18" s="1"/>
  <c r="Q124" i="18"/>
  <c r="T123" i="18"/>
  <c r="V123" i="18" s="1"/>
  <c r="Q123" i="18"/>
  <c r="V122" i="18"/>
  <c r="T122" i="18"/>
  <c r="Q122" i="18"/>
  <c r="T121" i="18"/>
  <c r="V121" i="18" s="1"/>
  <c r="Q121" i="18"/>
  <c r="V120" i="18"/>
  <c r="T120" i="18"/>
  <c r="Q120" i="18"/>
  <c r="T119" i="18"/>
  <c r="V119" i="18" s="1"/>
  <c r="Q119" i="18"/>
  <c r="V118" i="18"/>
  <c r="T118" i="18"/>
  <c r="Q118" i="18"/>
  <c r="V117" i="18"/>
  <c r="T117" i="18"/>
  <c r="Q117" i="18"/>
  <c r="T116" i="18"/>
  <c r="V116" i="18" s="1"/>
  <c r="Q116" i="18"/>
  <c r="T115" i="18"/>
  <c r="V115" i="18" s="1"/>
  <c r="Q115" i="18"/>
  <c r="T114" i="18"/>
  <c r="V114" i="18" s="1"/>
  <c r="Q114" i="18"/>
  <c r="T113" i="18"/>
  <c r="V113" i="18" s="1"/>
  <c r="Q113" i="18"/>
  <c r="V112" i="18"/>
  <c r="T112" i="18"/>
  <c r="Q112" i="18"/>
  <c r="T111" i="18"/>
  <c r="V111" i="18" s="1"/>
  <c r="Q111" i="18"/>
  <c r="V110" i="18"/>
  <c r="T110" i="18"/>
  <c r="Q110" i="18"/>
  <c r="V109" i="18"/>
  <c r="T109" i="18"/>
  <c r="Q109" i="18"/>
  <c r="T108" i="18"/>
  <c r="V108" i="18" s="1"/>
  <c r="Q108" i="18"/>
  <c r="T107" i="18"/>
  <c r="V107" i="18" s="1"/>
  <c r="Q107" i="18"/>
  <c r="T106" i="18"/>
  <c r="V106" i="18" s="1"/>
  <c r="Q106" i="18"/>
  <c r="V105" i="18"/>
  <c r="T105" i="18"/>
  <c r="Q105" i="18"/>
  <c r="V104" i="18"/>
  <c r="T104" i="18"/>
  <c r="Q104" i="18"/>
  <c r="T103" i="18"/>
  <c r="V103" i="18" s="1"/>
  <c r="Q103" i="18"/>
  <c r="T102" i="18"/>
  <c r="V102" i="18" s="1"/>
  <c r="Q102" i="18"/>
  <c r="T101" i="18"/>
  <c r="V101" i="18" s="1"/>
  <c r="Q101" i="18"/>
  <c r="T100" i="18"/>
  <c r="V100" i="18" s="1"/>
  <c r="Q100" i="18"/>
  <c r="T99" i="18"/>
  <c r="V99" i="18" s="1"/>
  <c r="Q99" i="18"/>
  <c r="T98" i="18"/>
  <c r="V98" i="18" s="1"/>
  <c r="Q98" i="18"/>
  <c r="V97" i="18"/>
  <c r="T97" i="18"/>
  <c r="Q97" i="18"/>
  <c r="V96" i="18"/>
  <c r="T96" i="18"/>
  <c r="Q96" i="18"/>
  <c r="T95" i="18"/>
  <c r="V95" i="18" s="1"/>
  <c r="Q95" i="18"/>
  <c r="V94" i="18"/>
  <c r="T94" i="18"/>
  <c r="Q94" i="18"/>
  <c r="T93" i="18"/>
  <c r="V93" i="18" s="1"/>
  <c r="Q93" i="18"/>
  <c r="V92" i="18"/>
  <c r="T92" i="18"/>
  <c r="Q92" i="18"/>
  <c r="T91" i="18"/>
  <c r="V91" i="18" s="1"/>
  <c r="Q91" i="18"/>
  <c r="V90" i="18"/>
  <c r="T90" i="18"/>
  <c r="Q90" i="18"/>
  <c r="V89" i="18"/>
  <c r="T89" i="18"/>
  <c r="Q89" i="18"/>
  <c r="T88" i="18"/>
  <c r="V88" i="18" s="1"/>
  <c r="Q88" i="18"/>
  <c r="T87" i="18"/>
  <c r="V87" i="18" s="1"/>
  <c r="Q87" i="18"/>
  <c r="T86" i="18"/>
  <c r="V86" i="18" s="1"/>
  <c r="Q86" i="18"/>
  <c r="T85" i="18"/>
  <c r="V85" i="18" s="1"/>
  <c r="Q85" i="18"/>
  <c r="V84" i="18"/>
  <c r="T84" i="18"/>
  <c r="Q84" i="18"/>
  <c r="T83" i="18"/>
  <c r="V83" i="18" s="1"/>
  <c r="Q83" i="18"/>
  <c r="V82" i="18"/>
  <c r="T82" i="18"/>
  <c r="Q82" i="18"/>
  <c r="V81" i="18"/>
  <c r="T81" i="18"/>
  <c r="Q81" i="18"/>
  <c r="T80" i="18"/>
  <c r="V80" i="18" s="1"/>
  <c r="Q80" i="18"/>
  <c r="T79" i="18"/>
  <c r="V79" i="18" s="1"/>
  <c r="Q79" i="18"/>
  <c r="T78" i="18"/>
  <c r="V78" i="18" s="1"/>
  <c r="Q78" i="18"/>
  <c r="V77" i="18"/>
  <c r="T77" i="18"/>
  <c r="Q77" i="18"/>
  <c r="V76" i="18"/>
  <c r="T76" i="18"/>
  <c r="Q76" i="18"/>
  <c r="T75" i="18"/>
  <c r="V75" i="18" s="1"/>
  <c r="Q75" i="18"/>
  <c r="V74" i="18"/>
  <c r="T74" i="18"/>
  <c r="Q74" i="18"/>
  <c r="T73" i="18"/>
  <c r="V73" i="18" s="1"/>
  <c r="Q73" i="18"/>
  <c r="T72" i="18"/>
  <c r="V72" i="18" s="1"/>
  <c r="Q72" i="18"/>
  <c r="T71" i="18"/>
  <c r="V71" i="18" s="1"/>
  <c r="Q71" i="18"/>
  <c r="V70" i="18"/>
  <c r="T70" i="18"/>
  <c r="Q70" i="18"/>
  <c r="V69" i="18"/>
  <c r="T69" i="18"/>
  <c r="Q69" i="18"/>
  <c r="V68" i="18"/>
  <c r="T68" i="18"/>
  <c r="Q68" i="18"/>
  <c r="T67" i="18"/>
  <c r="V67" i="18" s="1"/>
  <c r="Q67" i="18"/>
  <c r="T66" i="18"/>
  <c r="V66" i="18" s="1"/>
  <c r="Q66" i="18"/>
  <c r="T65" i="18"/>
  <c r="V65" i="18" s="1"/>
  <c r="Q65" i="18"/>
  <c r="V64" i="18"/>
  <c r="T64" i="18"/>
  <c r="Q64" i="18"/>
  <c r="T63" i="18"/>
  <c r="V63" i="18" s="1"/>
  <c r="Q63" i="18"/>
  <c r="V62" i="18"/>
  <c r="T62" i="18"/>
  <c r="Q62" i="18"/>
  <c r="V61" i="18"/>
  <c r="T61" i="18"/>
  <c r="Q61" i="18"/>
  <c r="T60" i="18"/>
  <c r="V60" i="18" s="1"/>
  <c r="Q60" i="18"/>
  <c r="T59" i="18"/>
  <c r="V59" i="18" s="1"/>
  <c r="Q59" i="18"/>
  <c r="T58" i="18"/>
  <c r="V58" i="18" s="1"/>
  <c r="Q58" i="18"/>
  <c r="V57" i="18"/>
  <c r="T57" i="18"/>
  <c r="Q57" i="18"/>
  <c r="V56" i="18"/>
  <c r="T56" i="18"/>
  <c r="Q56" i="18"/>
  <c r="T55" i="18"/>
  <c r="V55" i="18" s="1"/>
  <c r="Q55" i="18"/>
  <c r="V54" i="18"/>
  <c r="T54" i="18"/>
  <c r="Q54" i="18"/>
  <c r="T53" i="18"/>
  <c r="V53" i="18" s="1"/>
  <c r="Q53" i="18"/>
  <c r="T52" i="18"/>
  <c r="V52" i="18" s="1"/>
  <c r="Q52" i="18"/>
  <c r="T51" i="18"/>
  <c r="V51" i="18" s="1"/>
  <c r="Q51" i="18"/>
  <c r="T50" i="18"/>
  <c r="V50" i="18" s="1"/>
  <c r="Q50" i="18"/>
  <c r="V49" i="18"/>
  <c r="T49" i="18"/>
  <c r="Q49" i="18"/>
  <c r="V48" i="18"/>
  <c r="T48" i="18"/>
  <c r="Q48" i="18"/>
  <c r="T47" i="18"/>
  <c r="V47" i="18" s="1"/>
  <c r="Q47" i="18"/>
  <c r="V46" i="18"/>
  <c r="T46" i="18"/>
  <c r="Q46" i="18"/>
  <c r="T45" i="18"/>
  <c r="V45" i="18" s="1"/>
  <c r="Q45" i="18"/>
  <c r="V44" i="18"/>
  <c r="T44" i="18"/>
  <c r="Q44" i="18"/>
  <c r="T43" i="18"/>
  <c r="V43" i="18" s="1"/>
  <c r="Q43" i="18"/>
  <c r="V42" i="18"/>
  <c r="T42" i="18"/>
  <c r="Q42" i="18"/>
  <c r="V41" i="18"/>
  <c r="T41" i="18"/>
  <c r="Q41" i="18"/>
  <c r="T40" i="18"/>
  <c r="V40" i="18" s="1"/>
  <c r="Q40" i="18"/>
  <c r="T39" i="18"/>
  <c r="V39" i="18" s="1"/>
  <c r="Q39" i="18"/>
  <c r="V38" i="18"/>
  <c r="T38" i="18"/>
  <c r="Q38" i="18"/>
  <c r="V37" i="18"/>
  <c r="T37" i="18"/>
  <c r="Q37" i="18"/>
  <c r="T36" i="18"/>
  <c r="V36" i="18" s="1"/>
  <c r="Q36" i="18"/>
  <c r="T35" i="18"/>
  <c r="V35" i="18" s="1"/>
  <c r="Q35" i="18"/>
  <c r="V34" i="18"/>
  <c r="T34" i="18"/>
  <c r="Q34" i="18"/>
  <c r="V33" i="18"/>
  <c r="T33" i="18"/>
  <c r="Q33" i="18"/>
  <c r="T32" i="18"/>
  <c r="V32" i="18" s="1"/>
  <c r="Q32" i="18"/>
  <c r="T31" i="18"/>
  <c r="V31" i="18" s="1"/>
  <c r="Q31" i="18"/>
  <c r="T30" i="18"/>
  <c r="V30" i="18" s="1"/>
  <c r="Q30" i="18"/>
  <c r="V29" i="18"/>
  <c r="T29" i="18"/>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<sst xmlns="http://schemas.openxmlformats.org/spreadsheetml/2006/main" count="10732" uniqueCount="385">
  <si>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</si>
  <si>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</si>
  <si>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</si>
  <si>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</si>
  <si>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</si>
  <si>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</si>
  <si>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</si>
  <si>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</si>
  <si>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</si>
  <si>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</si>
  <si>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</si>
  <si>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</si>
  <si>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</si>
  <si>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</si>
  <si>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</si>
  <si>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</si>
  <si>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</si>
  <si>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</si>
  <si>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</si>
  <si>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</si>
  <si>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</si>
  <si>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</si>
  <si>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</si>
  <si>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</si>
  <si>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</si>
  <si>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</si>
  <si>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</si>
  <si>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</si>
  <si>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</si>
  <si>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</si>
  <si>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</si>
  <si>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</si>
  <si>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</si>
  <si>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</si>
  <si>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</si>
  <si>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</si>
  <si>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</si>
  <si>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</si>
  <si>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</si>
  <si>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</si>
  <si>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</si>
  <si>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</si>
  <si>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</si>
  <si>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</si>
  <si>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</si>
  <si>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</si>
  <si>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</si>
  <si>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</si>
  <si>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</si>
  <si>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</si>
  <si>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</si>
  <si>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</si>
  <si>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</si>
  <si>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</si>
  <si>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</si>
  <si>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</si>
  <si>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</si>
  <si>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</si>
  <si>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</si>
  <si>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</si>
  <si>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</si>
  <si>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</si>
  <si>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</si>
  <si>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</si>
  <si>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</si>
  <si>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</si>
  <si>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</si>
  <si>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</si>
  <si>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</si>
  <si>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</si>
  <si>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</si>
  <si>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</si>
  <si>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</si>
  <si>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</si>
  <si>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</si>
  <si>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</si>
  <si>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</si>
  <si>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</si>
  <si>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</si>
  <si>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</si>
  <si>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</si>
  <si>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</si>
  <si>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</si>
  <si>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</si>
  <si>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</si>
  <si>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</si>
  <si>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</si>
  <si>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</si>
  <si>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</si>
  <si>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</si>
  <si>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</si>
  <si>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</si>
  <si>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</si>
  <si>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</si>
  <si>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</si>
  <si>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</si>
  <si>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</si>
  <si>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</si>
  <si>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</si>
  <si>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</si>
  <si>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</si>
  <si>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</si>
  <si>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</si>
  <si>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</si>
  <si>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</si>
  <si>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</si>
  <si>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</si>
  <si>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</si>
  <si>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</si>
  <si>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</si>
  <si>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</si>
  <si>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</si>
  <si>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</si>
  <si>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</si>
  <si>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</si>
  <si>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</si>
  <si>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</si>
  <si>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</si>
  <si>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</si>
  <si>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</si>
  <si>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</si>
  <si>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</si>
  <si>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</si>
  <si>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</si>
  <si>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</si>
  <si>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</si>
  <si>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</si>
  <si>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</si>
  <si>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</si>
  <si>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</si>
  <si>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</si>
  <si>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</si>
  <si>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</si>
  <si>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</si>
  <si>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</si>
  <si>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</si>
  <si>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</si>
  <si>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</si>
  <si>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</si>
  <si>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</si>
  <si>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</si>
  <si>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</si>
  <si>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</si>
  <si>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</si>
  <si>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</si>
  <si>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</si>
  <si>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</si>
  <si>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</si>
  <si>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</si>
  <si>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</si>
  <si>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</si>
  <si>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</si>
  <si>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</si>
  <si>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</si>
  <si>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</si>
  <si>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</si>
  <si>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</si>
  <si>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</si>
  <si>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</si>
  <si>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</si>
  <si>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</si>
  <si>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</si>
  <si>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</si>
  <si>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</si>
  <si>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HE</t>
  </si>
  <si>
    <t>HW</t>
  </si>
  <si>
    <t>08.05.2019</t>
  </si>
  <si>
    <t>08.05.2019</t>
    <phoneticPr fontId="3"/>
  </si>
  <si>
    <t>OB</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</si>
  <si>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</si>
  <si>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</si>
  <si>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</si>
  <si>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</si>
  <si>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</si>
  <si>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</si>
  <si>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</si>
  <si>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</si>
  <si>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</si>
  <si>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</si>
  <si>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</si>
  <si>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</si>
  <si>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</si>
  <si>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</si>
  <si>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</si>
  <si>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</si>
  <si>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06.05.2019</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</si>
  <si>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</si>
  <si>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</si>
  <si>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</si>
  <si>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</si>
  <si>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</si>
  <si>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</si>
  <si>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</si>
  <si>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</si>
  <si>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</si>
  <si>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</si>
  <si>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</si>
  <si>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</si>
  <si>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</si>
  <si>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</si>
  <si>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</si>
  <si>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</si>
  <si>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</si>
  <si>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</si>
  <si>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</si>
  <si>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</si>
  <si>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</si>
  <si>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</si>
  <si>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</si>
  <si>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</si>
  <si>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</si>
  <si>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</si>
  <si>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</si>
  <si>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</si>
  <si>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</si>
  <si>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</si>
  <si>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</si>
  <si>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</si>
  <si>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</si>
  <si>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</si>
  <si>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</si>
  <si>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</si>
  <si>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</si>
  <si>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</si>
  <si>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</si>
  <si>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</si>
  <si>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</si>
  <si>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</si>
  <si>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</si>
  <si>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</si>
  <si>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</si>
  <si>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</si>
  <si>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</si>
  <si>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11.05.2019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</si>
  <si>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</si>
  <si>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</si>
  <si>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</si>
  <si>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</si>
  <si>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</si>
  <si>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</si>
  <si>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</si>
  <si>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</si>
  <si>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</si>
  <si>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</si>
  <si>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</si>
  <si>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</si>
  <si>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</si>
  <si>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</si>
  <si>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</si>
  <si>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</si>
  <si>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</si>
  <si>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</si>
  <si>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</si>
  <si>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</si>
  <si>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</si>
  <si>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</si>
  <si>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</si>
  <si>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</si>
  <si>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JPY</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</si>
  <si>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</si>
  <si>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</si>
  <si>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10.05.2019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</si>
  <si>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</si>
  <si>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</si>
  <si>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</si>
  <si>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</si>
  <si>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</si>
  <si>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</si>
  <si>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</si>
  <si>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</si>
  <si>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</si>
  <si>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</si>
  <si>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</si>
  <si>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</si>
  <si>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</si>
  <si>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</si>
  <si>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</si>
  <si>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</si>
  <si>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</si>
  <si>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</si>
  <si>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</si>
  <si>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</si>
  <si>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</si>
  <si>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10.05.2019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</si>
  <si>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</si>
  <si>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</si>
  <si>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</si>
  <si>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</si>
  <si>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</si>
  <si>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</si>
  <si>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</si>
  <si>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</si>
  <si>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</si>
  <si>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</si>
  <si>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</si>
  <si>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</si>
  <si>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</si>
  <si>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</si>
  <si>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</si>
  <si>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</si>
  <si>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</si>
  <si>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</si>
  <si>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</si>
  <si>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</si>
  <si>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</si>
  <si>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</si>
  <si>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</si>
  <si>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</si>
  <si>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</si>
  <si>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</si>
  <si>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</si>
  <si>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</si>
  <si>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</si>
  <si>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</si>
  <si>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</si>
  <si>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</si>
  <si>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</si>
  <si>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</si>
  <si>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</si>
  <si>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</si>
  <si>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</si>
  <si>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</si>
  <si>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</si>
  <si>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</si>
  <si>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</si>
  <si>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</si>
  <si>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</si>
  <si>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</si>
  <si>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</si>
  <si>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</si>
  <si>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</si>
  <si>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</si>
  <si>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</si>
  <si>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</si>
  <si>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</si>
  <si>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</si>
  <si>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</si>
  <si>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</si>
  <si>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</si>
  <si>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</si>
  <si>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</si>
  <si>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</si>
  <si>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</si>
  <si>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</si>
  <si>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</si>
  <si>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</si>
  <si>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</si>
  <si>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</si>
  <si>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</si>
  <si>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</si>
  <si>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</si>
  <si>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</si>
  <si>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</si>
  <si>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</si>
  <si>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</si>
  <si>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マルエツ</t>
  </si>
  <si>
    <t>２番人気
果実</t>
    <phoneticPr fontId="3"/>
  </si>
  <si>
    <t>ビッグ・エー</t>
  </si>
  <si>
    <t>江戸川本一色店</t>
  </si>
  <si>
    <t>松江店</t>
  </si>
  <si>
    <t>マックスバリュエクスプレス</t>
  </si>
  <si>
    <t>ヤマイチ</t>
  </si>
  <si>
    <t>中央店</t>
    <rPh sb="0" eb="2">
      <t>チュウオウ</t>
    </rPh>
    <phoneticPr fontId="3"/>
  </si>
  <si>
    <t>東武ストア</t>
  </si>
  <si>
    <t>新小岩店</t>
  </si>
  <si>
    <t>コモディイイダ</t>
  </si>
  <si>
    <t>西瑞江店</t>
  </si>
  <si>
    <t>いなげや</t>
  </si>
  <si>
    <t>江戸川春江店</t>
  </si>
  <si>
    <t>鹿骨店</t>
  </si>
  <si>
    <t>サミットストア</t>
  </si>
  <si>
    <t>江戸川区役所前店</t>
    <rPh sb="0" eb="6">
      <t>エドガワクヤクショ</t>
    </rPh>
    <rPh sb="6" eb="7">
      <t>マエ</t>
    </rPh>
    <rPh sb="7" eb="8">
      <t>ミセ</t>
    </rPh>
    <phoneticPr fontId="3"/>
  </si>
  <si>
    <t>江戸川中央店</t>
  </si>
  <si>
    <t>09.05.2019</t>
    <phoneticPr fontId="3"/>
  </si>
  <si>
    <t>サミット</t>
  </si>
  <si>
    <t>久が原食品館</t>
  </si>
  <si>
    <t>09.05.2019</t>
  </si>
  <si>
    <t>東急ストア</t>
  </si>
  <si>
    <t>蒲田</t>
  </si>
  <si>
    <t>大森西</t>
  </si>
  <si>
    <t>大森</t>
  </si>
  <si>
    <t>カドヤ</t>
  </si>
  <si>
    <t>大井町</t>
  </si>
  <si>
    <t>品川シーサイド</t>
  </si>
  <si>
    <t>大崎ニューシティ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</si>
</sst>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1"/>
      <color theme="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0691854609822"/>
      </left>
      <right/>
      <top style="thin">
        <color auto="1"/>
      </top>
      <bottom/>
      <diagonal/>
    </border>
    <border>
      <left style="thin">
        <color auto="1"/>
      </left>
      <right/>
      <top/>
      <bottom/>
      <diagonal/>
    </border>
    <border>
      <left style="hair">
        <color auto="1"/>
      </left>
      <right style="thin">
        <color auto="1"/>
      </right>
      <top/>
      <bottom/>
      <diagonal/>
    </border>
    <border>
      <left style="thin">
        <color theme="0" tint="-0.14990691854609822"/>
      </left>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6" fillId="0" borderId="0">
      <alignment vertical="center"/>
    </xf>
  </cellStyleXfs>
  <cellXfs count="224">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0" fontId="1" fillId="0" borderId="0" xfId="1" applyFont="1" applyFill="1" applyAlignment="1"/>
    <xf numFmtId="0" fontId="1" fillId="0" borderId="0" xfId="1" applyFont="1" applyFill="1" applyAlignment="1">
      <alignment horizontal="center"/>
    </xf>
    <xf numFmtId="14" fontId="15" fillId="0" borderId="0" xfId="1" applyNumberFormat="1" applyFont="1" applyFill="1" applyAlignment="1">
      <alignment horizontal="right"/>
    </xf>
    <xf numFmtId="178" fontId="1" fillId="3" borderId="22" xfId="1" applyNumberFormat="1" applyFont="1" applyFill="1" applyBorder="1"/>
    <xf numFmtId="0" fontId="1" fillId="2" borderId="0" xfId="1" applyFont="1" applyFill="1"/>
    <xf numFmtId="0" fontId="17" fillId="0" borderId="23" xfId="9" applyFont="1" applyBorder="1" applyAlignment="1">
      <alignment horizontal="center" vertical="center"/>
    </xf>
    <xf numFmtId="0" fontId="17" fillId="0" borderId="24" xfId="9" applyFont="1" applyBorder="1" applyAlignment="1">
      <alignment horizontal="center" vertical="center"/>
    </xf>
    <xf numFmtId="0" fontId="1" fillId="0" borderId="8" xfId="1" applyFont="1" applyFill="1" applyBorder="1"/>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178" fontId="1" fillId="3" borderId="25" xfId="1" applyNumberFormat="1" applyFont="1" applyFill="1" applyBorder="1"/>
    <xf numFmtId="0" fontId="17" fillId="0" borderId="12" xfId="9"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178" fontId="1" fillId="2" borderId="0" xfId="1" applyNumberFormat="1" applyFont="1" applyFill="1"/>
    <xf numFmtId="0" fontId="1" fillId="0" borderId="16" xfId="1" applyFont="1" applyBorder="1"/>
    <xf numFmtId="0" fontId="1" fillId="0" borderId="17"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5" fillId="0" borderId="0" xfId="1" applyFont="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5" fillId="0" borderId="0" xfId="9" applyFont="1">
      <alignment vertical="center"/>
    </xf>
    <xf numFmtId="0" fontId="15" fillId="0" borderId="0" xfId="1" applyFont="1" applyFill="1" applyAlignment="1"/>
    <xf numFmtId="178" fontId="1" fillId="3" borderId="0" xfId="1" applyNumberFormat="1" applyFont="1" applyFill="1"/>
    <xf numFmtId="0" fontId="1" fillId="3" borderId="0" xfId="1" applyFont="1" applyFill="1"/>
    <xf numFmtId="0" fontId="15" fillId="0" borderId="0" xfId="9" applyFont="1" applyFill="1">
      <alignment vertical="center"/>
    </xf>
    <xf numFmtId="0"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8"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6"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8" fillId="0" borderId="0" xfId="1" applyNumberFormat="1" applyFont="1" applyAlignment="1">
      <alignment horizontal="center"/>
    </xf>
    <xf numFmtId="0" fontId="19" fillId="0" borderId="1" xfId="0" applyFont="1" applyFill="1" applyBorder="1">
      <alignment vertical="center"/>
    </xf>
    <xf numFmtId="0" fontId="15"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5" fillId="0" borderId="1" xfId="0" applyFont="1" applyFill="1" applyBorder="1">
      <alignment vertical="center"/>
    </xf>
    <xf numFmtId="0" fontId="15" fillId="0" borderId="6" xfId="0" applyFont="1" applyFill="1" applyBorder="1">
      <alignment vertical="center"/>
    </xf>
    <xf numFmtId="49" fontId="8" fillId="0" borderId="26"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49" fontId="2" fillId="5" borderId="27"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8" xfId="1" applyFill="1" applyBorder="1"/>
    <xf numFmtId="14" fontId="0" fillId="4" borderId="29" xfId="1" applyNumberFormat="1" applyFont="1" applyFill="1" applyBorder="1"/>
    <xf numFmtId="0" fontId="1" fillId="4" borderId="30" xfId="1" applyFill="1" applyBorder="1"/>
    <xf numFmtId="0" fontId="1" fillId="4" borderId="31" xfId="1" applyFill="1" applyBorder="1"/>
    <xf numFmtId="0" fontId="1" fillId="4" borderId="32" xfId="1" applyFill="1" applyBorder="1"/>
    <xf numFmtId="0" fontId="1" fillId="4" borderId="33" xfId="1" applyFill="1" applyBorder="1"/>
    <xf numFmtId="0" fontId="1" fillId="4" borderId="34" xfId="1" applyFill="1" applyBorder="1"/>
    <xf numFmtId="178" fontId="1" fillId="3" borderId="31" xfId="1" applyNumberFormat="1" applyFill="1" applyBorder="1"/>
    <xf numFmtId="0" fontId="1" fillId="4" borderId="35" xfId="1" applyFill="1" applyBorder="1"/>
    <xf numFmtId="0" fontId="1" fillId="3" borderId="32" xfId="1" applyFill="1" applyBorder="1"/>
    <xf numFmtId="0" fontId="1" fillId="4" borderId="36" xfId="1" applyFill="1" applyBorder="1"/>
    <xf numFmtId="0" fontId="1" fillId="4" borderId="37" xfId="1" applyFill="1" applyBorder="1"/>
    <xf numFmtId="0" fontId="1" fillId="4" borderId="37" xfId="1" applyFont="1" applyFill="1" applyBorder="1"/>
    <xf numFmtId="0" fontId="1" fillId="4" borderId="38" xfId="1" applyFill="1" applyBorder="1"/>
    <xf numFmtId="0" fontId="1" fillId="0" borderId="38" xfId="1" applyBorder="1"/>
    <xf numFmtId="14" fontId="0" fillId="4" borderId="39" xfId="1" applyNumberFormat="1" applyFont="1" applyFill="1" applyBorder="1"/>
    <xf numFmtId="0" fontId="1" fillId="4" borderId="40" xfId="1" applyFill="1" applyBorder="1"/>
    <xf numFmtId="178" fontId="1" fillId="3" borderId="41" xfId="1" applyNumberFormat="1" applyFill="1" applyBorder="1"/>
    <xf numFmtId="0" fontId="1" fillId="0" borderId="42" xfId="1" applyBorder="1"/>
    <xf numFmtId="0" fontId="1" fillId="0" borderId="43" xfId="1" applyFill="1" applyBorder="1"/>
    <xf numFmtId="0" fontId="1" fillId="3" borderId="0" xfId="1" applyFill="1" applyBorder="1"/>
    <xf numFmtId="0" fontId="1" fillId="0" borderId="44" xfId="1" applyFill="1" applyBorder="1"/>
    <xf numFmtId="0" fontId="1" fillId="4" borderId="45" xfId="1" applyFill="1" applyBorder="1"/>
    <xf numFmtId="0" fontId="1" fillId="4" borderId="12" xfId="1" applyFill="1" applyBorder="1"/>
    <xf numFmtId="0" fontId="1" fillId="0" borderId="46" xfId="1" applyBorder="1"/>
    <xf numFmtId="0" fontId="1" fillId="4" borderId="43" xfId="1" applyFill="1" applyBorder="1"/>
    <xf numFmtId="0" fontId="1" fillId="0" borderId="44" xfId="1" applyBorder="1"/>
    <xf numFmtId="0" fontId="1" fillId="4" borderId="16" xfId="1" applyFill="1" applyBorder="1"/>
    <xf numFmtId="0" fontId="1" fillId="4" borderId="17" xfId="1" applyFill="1" applyBorder="1"/>
    <xf numFmtId="0" fontId="1" fillId="0" borderId="43" xfId="1" applyBorder="1"/>
    <xf numFmtId="0" fontId="1" fillId="0" borderId="45" xfId="1" applyBorder="1"/>
    <xf numFmtId="0" fontId="1" fillId="0" borderId="45" xfId="1" applyFont="1" applyBorder="1"/>
    <xf numFmtId="0" fontId="1" fillId="0" borderId="17" xfId="1" applyFill="1" applyBorder="1"/>
    <xf numFmtId="0" fontId="1" fillId="0" borderId="46" xfId="1" applyFont="1" applyBorder="1"/>
    <xf numFmtId="0" fontId="1" fillId="0" borderId="37" xfId="1" applyBorder="1"/>
    <xf numFmtId="14" fontId="0" fillId="0" borderId="0" xfId="1" applyNumberFormat="1" applyFont="1"/>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78DA9498-F95D-4515-8F98-4F6296E8129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zoomScale="85" zoomScaleNormal="85" workbookViewId="0">
      <selection activeCell="D2" sqref="D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165</v>
      </c>
      <c r="I2" s="15" t="s">
        <v>159</v>
      </c>
      <c r="J2" s="15" t="s">
        <v>38</v>
      </c>
      <c r="K2" s="7" t="s">
        <v>161</v>
      </c>
      <c r="L2" s="7">
        <v>1</v>
      </c>
      <c r="N2" s="47">
        <v>1</v>
      </c>
      <c r="O2" s="15">
        <v>0.5</v>
      </c>
      <c r="P2" s="15">
        <v>0.55000000000000004</v>
      </c>
      <c r="Q2" s="51">
        <f t="shared" ref="Q2:Q65" si="0">IF(OR(O2="",P2=""),"",AVERAGE(O2,P2))</f>
        <v>0.52500000000000002</v>
      </c>
      <c r="R2" s="15">
        <v>16</v>
      </c>
      <c r="S2" s="15">
        <v>93</v>
      </c>
      <c r="T2" s="38">
        <f t="shared" ref="T2:T59" si="1">IF(H2="","",IF(OR(H2="GREEN",H2="GK"),IF(S2&gt;=$AX$2,VLOOKUP(S2,$AX$2:$AY$12,2,1),""),IF(S2&gt;=$AZ$2,VLOOKUP(S2,$AZ$2:$BA$12,2,1),"")))</f>
        <v>36</v>
      </c>
      <c r="U2" s="15">
        <v>51</v>
      </c>
      <c r="V2" s="38">
        <f t="shared" ref="V2:V65" si="2">IF(OR(N2="",U2="",T2=""),"",U2/N2*T2)</f>
        <v>1836</v>
      </c>
      <c r="W2" s="15">
        <v>9</v>
      </c>
      <c r="X2" s="15" t="s">
        <v>46</v>
      </c>
      <c r="Y2" s="15" t="s">
        <v>55</v>
      </c>
      <c r="Z2" s="15" t="s">
        <v>47</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165</v>
      </c>
      <c r="I3" s="7" t="s">
        <v>159</v>
      </c>
      <c r="J3" s="15" t="s">
        <v>38</v>
      </c>
      <c r="K3" s="7" t="s">
        <v>161</v>
      </c>
      <c r="L3" s="7">
        <v>2</v>
      </c>
      <c r="N3" s="7">
        <v>1</v>
      </c>
      <c r="O3" s="34">
        <v>0.5</v>
      </c>
      <c r="P3" s="7">
        <v>0.5</v>
      </c>
      <c r="Q3" s="52">
        <f t="shared" si="0"/>
        <v>0.5</v>
      </c>
      <c r="R3" s="7">
        <v>14.9</v>
      </c>
      <c r="S3" s="7">
        <v>88</v>
      </c>
      <c r="T3" s="16">
        <f t="shared" si="1"/>
        <v>36</v>
      </c>
      <c r="U3" s="15">
        <v>51</v>
      </c>
      <c r="V3" s="16">
        <f t="shared" si="2"/>
        <v>1836</v>
      </c>
      <c r="W3" s="15">
        <v>9</v>
      </c>
      <c r="X3" s="15" t="s">
        <v>46</v>
      </c>
      <c r="Y3" s="15" t="s">
        <v>55</v>
      </c>
      <c r="Z3" s="15" t="s">
        <v>47</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165</v>
      </c>
      <c r="I4" s="7" t="s">
        <v>159</v>
      </c>
      <c r="J4" s="15" t="s">
        <v>38</v>
      </c>
      <c r="K4" s="7" t="s">
        <v>161</v>
      </c>
      <c r="L4" s="7">
        <v>3</v>
      </c>
      <c r="N4" s="7">
        <v>1</v>
      </c>
      <c r="O4" s="7">
        <v>0.6</v>
      </c>
      <c r="P4" s="7">
        <v>0.6</v>
      </c>
      <c r="Q4" s="52">
        <f t="shared" si="0"/>
        <v>0.6</v>
      </c>
      <c r="R4" s="7">
        <v>15.4</v>
      </c>
      <c r="S4" s="7">
        <v>90</v>
      </c>
      <c r="T4" s="16">
        <f t="shared" si="1"/>
        <v>36</v>
      </c>
      <c r="U4" s="15">
        <v>51</v>
      </c>
      <c r="V4" s="16">
        <f t="shared" si="2"/>
        <v>1836</v>
      </c>
      <c r="W4" s="15">
        <v>9</v>
      </c>
      <c r="X4" s="15" t="s">
        <v>46</v>
      </c>
      <c r="Y4" s="15" t="s">
        <v>55</v>
      </c>
      <c r="Z4" s="15" t="s">
        <v>47</v>
      </c>
      <c r="AA4" s="15"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0.65</v>
      </c>
      <c r="P5" s="7">
        <v>0.7</v>
      </c>
      <c r="Q5" s="52">
        <f t="shared" si="0"/>
        <v>0.67500000000000004</v>
      </c>
      <c r="R5" s="7">
        <v>19.100000000000001</v>
      </c>
      <c r="S5" s="7">
        <v>134</v>
      </c>
      <c r="T5" s="16">
        <f t="shared" si="1"/>
        <v>25</v>
      </c>
      <c r="U5" s="15">
        <v>135</v>
      </c>
      <c r="V5" s="16">
        <f t="shared" si="2"/>
        <v>3375</v>
      </c>
      <c r="W5" s="15">
        <v>17</v>
      </c>
      <c r="X5" s="15" t="s">
        <v>46</v>
      </c>
      <c r="Y5" s="15" t="s">
        <v>55</v>
      </c>
      <c r="Z5" s="15" t="s">
        <v>47</v>
      </c>
      <c r="AA5" s="15"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0.8</v>
      </c>
      <c r="P6" s="7">
        <v>0.75</v>
      </c>
      <c r="Q6" s="52">
        <f t="shared" si="0"/>
        <v>0.77500000000000002</v>
      </c>
      <c r="R6" s="7">
        <v>17.2</v>
      </c>
      <c r="S6" s="7">
        <v>129</v>
      </c>
      <c r="T6" s="16">
        <f t="shared" si="1"/>
        <v>25</v>
      </c>
      <c r="U6" s="15">
        <v>135</v>
      </c>
      <c r="V6" s="16">
        <f t="shared" si="2"/>
        <v>3375</v>
      </c>
      <c r="W6" s="15">
        <v>17</v>
      </c>
      <c r="X6" s="15" t="s">
        <v>46</v>
      </c>
      <c r="Y6" s="15" t="s">
        <v>55</v>
      </c>
      <c r="Z6" s="15" t="s">
        <v>47</v>
      </c>
      <c r="AA6" s="15"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0.75</v>
      </c>
      <c r="P7" s="7">
        <v>0.8</v>
      </c>
      <c r="Q7" s="52">
        <f t="shared" si="0"/>
        <v>0.77500000000000002</v>
      </c>
      <c r="R7" s="34">
        <v>15.8</v>
      </c>
      <c r="S7" s="7">
        <v>129</v>
      </c>
      <c r="T7" s="16">
        <f t="shared" si="1"/>
        <v>25</v>
      </c>
      <c r="U7" s="15">
        <v>135</v>
      </c>
      <c r="V7" s="16">
        <f t="shared" si="2"/>
        <v>3375</v>
      </c>
      <c r="W7" s="15">
        <v>17</v>
      </c>
      <c r="X7" s="15" t="s">
        <v>46</v>
      </c>
      <c r="Y7" s="15" t="s">
        <v>55</v>
      </c>
      <c r="Z7" s="15" t="s">
        <v>47</v>
      </c>
      <c r="AA7" s="15"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165</v>
      </c>
      <c r="I8" s="7" t="s">
        <v>159</v>
      </c>
      <c r="J8" s="15" t="s">
        <v>38</v>
      </c>
      <c r="K8" s="7" t="s">
        <v>161</v>
      </c>
      <c r="L8" s="7">
        <v>1</v>
      </c>
      <c r="N8" s="7">
        <v>1</v>
      </c>
      <c r="O8" s="7">
        <v>1.1000000000000001</v>
      </c>
      <c r="P8" s="7">
        <v>1.1000000000000001</v>
      </c>
      <c r="Q8" s="52">
        <f t="shared" si="0"/>
        <v>1.1000000000000001</v>
      </c>
      <c r="R8" s="34">
        <v>17.5</v>
      </c>
      <c r="S8" s="7">
        <v>111</v>
      </c>
      <c r="T8" s="16">
        <f t="shared" si="1"/>
        <v>33</v>
      </c>
      <c r="U8" s="15">
        <v>98</v>
      </c>
      <c r="V8" s="16">
        <f t="shared" si="2"/>
        <v>3234</v>
      </c>
      <c r="W8" s="15">
        <v>2</v>
      </c>
      <c r="X8" s="15" t="s">
        <v>46</v>
      </c>
      <c r="Y8" s="15" t="s">
        <v>55</v>
      </c>
      <c r="Z8" s="15" t="s">
        <v>40</v>
      </c>
      <c r="AA8" s="15" t="s">
        <v>47</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165</v>
      </c>
      <c r="I9" s="7" t="s">
        <v>159</v>
      </c>
      <c r="J9" s="15" t="s">
        <v>38</v>
      </c>
      <c r="K9" s="7" t="s">
        <v>161</v>
      </c>
      <c r="L9" s="7">
        <v>2</v>
      </c>
      <c r="N9" s="7">
        <v>1</v>
      </c>
      <c r="O9" s="7">
        <v>1.05</v>
      </c>
      <c r="P9" s="7">
        <v>1.1499999999999999</v>
      </c>
      <c r="Q9" s="52">
        <f t="shared" si="0"/>
        <v>1.1000000000000001</v>
      </c>
      <c r="R9" s="7">
        <v>15</v>
      </c>
      <c r="S9" s="7">
        <v>106</v>
      </c>
      <c r="T9" s="16">
        <f t="shared" si="1"/>
        <v>33</v>
      </c>
      <c r="U9" s="15">
        <v>98</v>
      </c>
      <c r="V9" s="16">
        <f t="shared" si="2"/>
        <v>3234</v>
      </c>
      <c r="W9" s="15">
        <v>2</v>
      </c>
      <c r="X9" s="15" t="s">
        <v>46</v>
      </c>
      <c r="Y9" s="54" t="s">
        <v>55</v>
      </c>
      <c r="Z9" s="54" t="s">
        <v>40</v>
      </c>
      <c r="AA9" s="54" t="s">
        <v>47</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165</v>
      </c>
      <c r="I10" s="7" t="s">
        <v>159</v>
      </c>
      <c r="J10" s="15" t="s">
        <v>38</v>
      </c>
      <c r="K10" s="7" t="s">
        <v>161</v>
      </c>
      <c r="L10" s="7">
        <v>3</v>
      </c>
      <c r="N10" s="7">
        <v>1</v>
      </c>
      <c r="O10" s="7">
        <v>0.9</v>
      </c>
      <c r="P10" s="7">
        <v>1.05</v>
      </c>
      <c r="Q10" s="52">
        <f t="shared" si="0"/>
        <v>0.97500000000000009</v>
      </c>
      <c r="R10" s="7">
        <v>15.6</v>
      </c>
      <c r="S10" s="7">
        <v>108</v>
      </c>
      <c r="T10" s="16">
        <f t="shared" si="1"/>
        <v>33</v>
      </c>
      <c r="U10" s="15">
        <v>98</v>
      </c>
      <c r="V10" s="16">
        <f t="shared" si="2"/>
        <v>3234</v>
      </c>
      <c r="W10" s="15">
        <v>2</v>
      </c>
      <c r="X10" s="15" t="s">
        <v>46</v>
      </c>
      <c r="Y10" s="54" t="s">
        <v>55</v>
      </c>
      <c r="Z10" s="54" t="s">
        <v>40</v>
      </c>
      <c r="AA10" s="54" t="s">
        <v>47</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0.65</v>
      </c>
      <c r="P11" s="7">
        <v>0.75</v>
      </c>
      <c r="Q11" s="52">
        <f t="shared" si="0"/>
        <v>0.7</v>
      </c>
      <c r="R11" s="7">
        <v>18.100000000000001</v>
      </c>
      <c r="S11" s="7">
        <v>107</v>
      </c>
      <c r="T11" s="16">
        <f t="shared" si="1"/>
        <v>33</v>
      </c>
      <c r="U11" s="7">
        <v>98</v>
      </c>
      <c r="V11" s="16">
        <f t="shared" si="2"/>
        <v>3234</v>
      </c>
      <c r="W11" s="7">
        <v>20</v>
      </c>
      <c r="X11" s="15" t="s">
        <v>46</v>
      </c>
      <c r="Y11" s="54" t="s">
        <v>55</v>
      </c>
      <c r="Z11" s="54" t="s">
        <v>40</v>
      </c>
      <c r="AA11" s="54" t="s">
        <v>47</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0.65</v>
      </c>
      <c r="P12" s="7">
        <v>0.8</v>
      </c>
      <c r="Q12" s="52">
        <f t="shared" si="0"/>
        <v>0.72500000000000009</v>
      </c>
      <c r="R12" s="34">
        <v>15.7</v>
      </c>
      <c r="S12" s="7">
        <v>109</v>
      </c>
      <c r="T12" s="16">
        <f t="shared" si="1"/>
        <v>33</v>
      </c>
      <c r="U12" s="7">
        <v>98</v>
      </c>
      <c r="V12" s="16">
        <f t="shared" si="2"/>
        <v>3234</v>
      </c>
      <c r="W12" s="7">
        <v>20</v>
      </c>
      <c r="X12" s="15" t="s">
        <v>46</v>
      </c>
      <c r="Y12" s="54" t="s">
        <v>55</v>
      </c>
      <c r="Z12" s="54" t="s">
        <v>40</v>
      </c>
      <c r="AA12" s="54" t="s">
        <v>47</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0.55000000000000004</v>
      </c>
      <c r="P13" s="7">
        <v>0.7</v>
      </c>
      <c r="Q13" s="52">
        <f t="shared" si="0"/>
        <v>0.625</v>
      </c>
      <c r="R13" s="7">
        <v>15.7</v>
      </c>
      <c r="S13" s="7">
        <v>114</v>
      </c>
      <c r="T13" s="16">
        <f t="shared" si="1"/>
        <v>30</v>
      </c>
      <c r="U13" s="7">
        <v>98</v>
      </c>
      <c r="V13" s="16">
        <f t="shared" si="2"/>
        <v>2940</v>
      </c>
      <c r="W13" s="7">
        <v>20</v>
      </c>
      <c r="X13" s="15" t="s">
        <v>46</v>
      </c>
      <c r="Y13" s="54" t="s">
        <v>55</v>
      </c>
      <c r="Z13" s="54" t="s">
        <v>40</v>
      </c>
      <c r="AA13" s="54" t="s">
        <v>47</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165</v>
      </c>
      <c r="I14" s="7" t="s">
        <v>159</v>
      </c>
      <c r="J14" s="15" t="s">
        <v>38</v>
      </c>
      <c r="K14" s="7" t="s">
        <v>161</v>
      </c>
      <c r="L14" s="7">
        <v>1</v>
      </c>
      <c r="N14" s="53">
        <v>1</v>
      </c>
      <c r="O14" s="7">
        <v>1.05</v>
      </c>
      <c r="P14" s="7">
        <v>1.1000000000000001</v>
      </c>
      <c r="Q14" s="52">
        <f t="shared" si="0"/>
        <v>1.0750000000000002</v>
      </c>
      <c r="R14" s="7">
        <v>12.4</v>
      </c>
      <c r="S14" s="7">
        <v>113</v>
      </c>
      <c r="T14" s="16">
        <f t="shared" si="1"/>
        <v>30</v>
      </c>
      <c r="U14" s="7">
        <v>149</v>
      </c>
      <c r="V14" s="16">
        <f t="shared" si="2"/>
        <v>4470</v>
      </c>
      <c r="W14" s="7">
        <v>3</v>
      </c>
      <c r="X14" s="15" t="s">
        <v>46</v>
      </c>
      <c r="Y14" s="15" t="s">
        <v>55</v>
      </c>
      <c r="Z14" s="15" t="s">
        <v>90</v>
      </c>
      <c r="AA14" s="15" t="s">
        <v>47</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165</v>
      </c>
      <c r="I15" s="7" t="s">
        <v>159</v>
      </c>
      <c r="J15" s="15" t="s">
        <v>38</v>
      </c>
      <c r="K15" s="7" t="s">
        <v>161</v>
      </c>
      <c r="L15" s="7">
        <v>2</v>
      </c>
      <c r="N15" s="53">
        <v>1</v>
      </c>
      <c r="O15" s="7">
        <v>1</v>
      </c>
      <c r="P15" s="7">
        <v>0.9</v>
      </c>
      <c r="Q15" s="52">
        <f t="shared" si="0"/>
        <v>0.95</v>
      </c>
      <c r="R15" s="7">
        <v>14.1</v>
      </c>
      <c r="S15" s="7">
        <v>118</v>
      </c>
      <c r="T15" s="16">
        <f t="shared" si="1"/>
        <v>30</v>
      </c>
      <c r="U15" s="7">
        <v>149</v>
      </c>
      <c r="V15" s="16">
        <f t="shared" si="2"/>
        <v>4470</v>
      </c>
      <c r="W15" s="7">
        <v>3</v>
      </c>
      <c r="X15" s="15" t="s">
        <v>46</v>
      </c>
      <c r="Y15" s="54" t="s">
        <v>55</v>
      </c>
      <c r="Z15" s="54" t="s">
        <v>90</v>
      </c>
      <c r="AA15" s="54" t="s">
        <v>47</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165</v>
      </c>
      <c r="I16" s="7" t="s">
        <v>159</v>
      </c>
      <c r="J16" s="15" t="s">
        <v>38</v>
      </c>
      <c r="K16" s="7" t="s">
        <v>161</v>
      </c>
      <c r="L16" s="7">
        <v>3</v>
      </c>
      <c r="N16" s="53">
        <v>1</v>
      </c>
      <c r="O16" s="7">
        <v>0.3</v>
      </c>
      <c r="P16" s="7">
        <v>1.1499999999999999</v>
      </c>
      <c r="Q16" s="52">
        <f t="shared" si="0"/>
        <v>0.72499999999999998</v>
      </c>
      <c r="R16" s="7">
        <v>11.7</v>
      </c>
      <c r="S16" s="7">
        <v>119</v>
      </c>
      <c r="T16" s="16">
        <f t="shared" si="1"/>
        <v>30</v>
      </c>
      <c r="U16" s="7">
        <v>149</v>
      </c>
      <c r="V16" s="16">
        <f t="shared" si="2"/>
        <v>4470</v>
      </c>
      <c r="W16" s="7">
        <v>3</v>
      </c>
      <c r="X16" s="15" t="s">
        <v>46</v>
      </c>
      <c r="Y16" s="54" t="s">
        <v>55</v>
      </c>
      <c r="Z16" s="54" t="s">
        <v>90</v>
      </c>
      <c r="AA16" s="54" t="s">
        <v>47</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0.65</v>
      </c>
      <c r="P17" s="7">
        <v>0.75</v>
      </c>
      <c r="Q17" s="52">
        <f t="shared" si="0"/>
        <v>0.7</v>
      </c>
      <c r="R17" s="7">
        <v>17.399999999999999</v>
      </c>
      <c r="S17" s="7">
        <v>133</v>
      </c>
      <c r="T17" s="16">
        <f t="shared" si="1"/>
        <v>25</v>
      </c>
      <c r="U17" s="7">
        <v>149</v>
      </c>
      <c r="V17" s="16">
        <f t="shared" si="2"/>
        <v>3725</v>
      </c>
      <c r="W17" s="7">
        <v>7</v>
      </c>
      <c r="X17" s="15" t="s">
        <v>46</v>
      </c>
      <c r="Y17" s="54" t="s">
        <v>55</v>
      </c>
      <c r="Z17" s="54" t="s">
        <v>90</v>
      </c>
      <c r="AA17" s="54" t="s">
        <v>47</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0.55000000000000004</v>
      </c>
      <c r="P18" s="7">
        <v>0.65</v>
      </c>
      <c r="Q18" s="52">
        <f t="shared" si="0"/>
        <v>0.60000000000000009</v>
      </c>
      <c r="R18" s="7">
        <v>16.5</v>
      </c>
      <c r="S18" s="7">
        <v>132</v>
      </c>
      <c r="T18" s="16">
        <f t="shared" si="1"/>
        <v>25</v>
      </c>
      <c r="U18" s="7">
        <v>149</v>
      </c>
      <c r="V18" s="16">
        <f t="shared" si="2"/>
        <v>3725</v>
      </c>
      <c r="W18" s="7">
        <v>7</v>
      </c>
      <c r="X18" s="15" t="s">
        <v>46</v>
      </c>
      <c r="Y18" s="54" t="s">
        <v>55</v>
      </c>
      <c r="Z18" s="54" t="s">
        <v>90</v>
      </c>
      <c r="AA18" s="54" t="s">
        <v>47</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0.7</v>
      </c>
      <c r="P19" s="7">
        <v>0.7</v>
      </c>
      <c r="Q19" s="52">
        <f t="shared" si="0"/>
        <v>0.7</v>
      </c>
      <c r="R19" s="7">
        <v>17.5</v>
      </c>
      <c r="S19" s="7">
        <v>135</v>
      </c>
      <c r="T19" s="16">
        <f t="shared" si="1"/>
        <v>25</v>
      </c>
      <c r="U19" s="7">
        <v>149</v>
      </c>
      <c r="V19" s="16">
        <f t="shared" si="2"/>
        <v>3725</v>
      </c>
      <c r="W19" s="7">
        <v>7</v>
      </c>
      <c r="X19" s="15" t="s">
        <v>46</v>
      </c>
      <c r="Y19" s="54" t="s">
        <v>55</v>
      </c>
      <c r="Z19" s="54" t="s">
        <v>90</v>
      </c>
      <c r="AA19" s="54" t="s">
        <v>47</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165</v>
      </c>
      <c r="I20" s="7" t="s">
        <v>159</v>
      </c>
      <c r="J20" s="15" t="s">
        <v>38</v>
      </c>
      <c r="K20" s="7" t="s">
        <v>161</v>
      </c>
      <c r="L20" s="7">
        <v>1</v>
      </c>
      <c r="N20" s="7">
        <v>1</v>
      </c>
      <c r="O20" s="7">
        <v>0.8</v>
      </c>
      <c r="P20" s="34">
        <v>0.8</v>
      </c>
      <c r="Q20" s="52">
        <f t="shared" si="0"/>
        <v>0.8</v>
      </c>
      <c r="R20" s="7">
        <v>15.4</v>
      </c>
      <c r="S20" s="7">
        <v>87</v>
      </c>
      <c r="T20" s="16">
        <f t="shared" si="1"/>
        <v>36</v>
      </c>
      <c r="U20" s="7">
        <v>51</v>
      </c>
      <c r="V20" s="16">
        <f t="shared" si="2"/>
        <v>1836</v>
      </c>
      <c r="W20" s="7">
        <v>4</v>
      </c>
      <c r="X20" s="15" t="s">
        <v>46</v>
      </c>
      <c r="Y20" s="54" t="s">
        <v>55</v>
      </c>
      <c r="Z20" s="54" t="s">
        <v>47</v>
      </c>
      <c r="AA20" s="54" t="s">
        <v>69</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165</v>
      </c>
      <c r="I21" s="7" t="s">
        <v>159</v>
      </c>
      <c r="J21" s="15" t="s">
        <v>38</v>
      </c>
      <c r="K21" s="7" t="s">
        <v>161</v>
      </c>
      <c r="L21" s="7">
        <v>2</v>
      </c>
      <c r="N21" s="7">
        <v>1</v>
      </c>
      <c r="O21" s="7">
        <v>1.05</v>
      </c>
      <c r="P21" s="7">
        <v>1</v>
      </c>
      <c r="Q21" s="52">
        <f t="shared" si="0"/>
        <v>1.0249999999999999</v>
      </c>
      <c r="R21" s="7">
        <v>15</v>
      </c>
      <c r="S21" s="7">
        <v>93</v>
      </c>
      <c r="T21" s="16">
        <f t="shared" si="1"/>
        <v>36</v>
      </c>
      <c r="U21" s="7">
        <v>51</v>
      </c>
      <c r="V21" s="16">
        <f t="shared" si="2"/>
        <v>1836</v>
      </c>
      <c r="W21" s="7">
        <v>4</v>
      </c>
      <c r="X21" s="15" t="s">
        <v>46</v>
      </c>
      <c r="Y21" s="54" t="s">
        <v>55</v>
      </c>
      <c r="Z21" s="54" t="s">
        <v>47</v>
      </c>
      <c r="AA21" s="54" t="s">
        <v>69</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165</v>
      </c>
      <c r="I22" s="7" t="s">
        <v>159</v>
      </c>
      <c r="J22" s="15" t="s">
        <v>38</v>
      </c>
      <c r="K22" s="7" t="s">
        <v>161</v>
      </c>
      <c r="L22" s="7">
        <v>3</v>
      </c>
      <c r="N22" s="7">
        <v>1</v>
      </c>
      <c r="O22" s="34">
        <v>0.8</v>
      </c>
      <c r="P22" s="7">
        <v>0.75</v>
      </c>
      <c r="Q22" s="52">
        <f t="shared" si="0"/>
        <v>0.77500000000000002</v>
      </c>
      <c r="R22" s="7">
        <v>15.5</v>
      </c>
      <c r="S22" s="7">
        <v>90</v>
      </c>
      <c r="T22" s="16">
        <f t="shared" si="1"/>
        <v>36</v>
      </c>
      <c r="U22" s="7">
        <v>51</v>
      </c>
      <c r="V22" s="16">
        <f t="shared" si="2"/>
        <v>1836</v>
      </c>
      <c r="W22" s="7">
        <v>4</v>
      </c>
      <c r="X22" s="15" t="s">
        <v>46</v>
      </c>
      <c r="Y22" s="54" t="s">
        <v>55</v>
      </c>
      <c r="Z22" s="54" t="s">
        <v>47</v>
      </c>
      <c r="AA22" s="54" t="s">
        <v>69</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0.5</v>
      </c>
      <c r="P23" s="7">
        <v>0.65</v>
      </c>
      <c r="Q23" s="52">
        <f t="shared" si="0"/>
        <v>0.57499999999999996</v>
      </c>
      <c r="R23" s="7">
        <v>16.5</v>
      </c>
      <c r="S23" s="7">
        <v>120</v>
      </c>
      <c r="T23" s="16">
        <f t="shared" si="1"/>
        <v>30</v>
      </c>
      <c r="U23" s="7">
        <v>138</v>
      </c>
      <c r="V23" s="16">
        <f t="shared" si="2"/>
        <v>4140</v>
      </c>
      <c r="W23" s="7">
        <v>8</v>
      </c>
      <c r="X23" s="15" t="s">
        <v>46</v>
      </c>
      <c r="Y23" s="54" t="s">
        <v>55</v>
      </c>
      <c r="Z23" s="54" t="s">
        <v>47</v>
      </c>
      <c r="AA23" s="54" t="s">
        <v>69</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0.75</v>
      </c>
      <c r="P24" s="7">
        <v>0.75</v>
      </c>
      <c r="Q24" s="52">
        <f t="shared" si="0"/>
        <v>0.75</v>
      </c>
      <c r="R24" s="7">
        <v>17.8</v>
      </c>
      <c r="S24" s="7">
        <v>119</v>
      </c>
      <c r="T24" s="16">
        <f t="shared" si="1"/>
        <v>30</v>
      </c>
      <c r="U24" s="7">
        <v>138</v>
      </c>
      <c r="V24" s="16">
        <f t="shared" si="2"/>
        <v>4140</v>
      </c>
      <c r="W24" s="7">
        <v>8</v>
      </c>
      <c r="X24" s="15" t="s">
        <v>46</v>
      </c>
      <c r="Y24" s="54" t="s">
        <v>55</v>
      </c>
      <c r="Z24" s="54" t="s">
        <v>47</v>
      </c>
      <c r="AA24" s="54" t="s">
        <v>69</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0.7</v>
      </c>
      <c r="P25" s="7">
        <v>0.6</v>
      </c>
      <c r="Q25" s="52">
        <f t="shared" si="0"/>
        <v>0.64999999999999991</v>
      </c>
      <c r="R25" s="7">
        <v>18.5</v>
      </c>
      <c r="S25" s="7">
        <v>122</v>
      </c>
      <c r="T25" s="16">
        <f t="shared" si="1"/>
        <v>27</v>
      </c>
      <c r="U25" s="7">
        <v>138</v>
      </c>
      <c r="V25" s="16">
        <f t="shared" si="2"/>
        <v>3726</v>
      </c>
      <c r="W25" s="7">
        <v>8</v>
      </c>
      <c r="X25" s="15" t="s">
        <v>46</v>
      </c>
      <c r="Y25" s="54" t="s">
        <v>55</v>
      </c>
      <c r="Z25" s="54" t="s">
        <v>47</v>
      </c>
      <c r="AA25" s="54" t="s">
        <v>69</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0.85</v>
      </c>
      <c r="P26" s="7">
        <v>0.75</v>
      </c>
      <c r="Q26" s="52">
        <f t="shared" si="0"/>
        <v>0.8</v>
      </c>
      <c r="R26" s="7">
        <v>14</v>
      </c>
      <c r="S26" s="7">
        <v>117</v>
      </c>
      <c r="T26" s="16">
        <f t="shared" si="1"/>
        <v>30</v>
      </c>
      <c r="U26" s="7">
        <v>138</v>
      </c>
      <c r="V26" s="16">
        <f t="shared" si="2"/>
        <v>4140</v>
      </c>
      <c r="W26" s="7">
        <v>4</v>
      </c>
      <c r="X26" s="15" t="s">
        <v>46</v>
      </c>
      <c r="Y26" s="54" t="s">
        <v>55</v>
      </c>
      <c r="Z26" s="54" t="s">
        <v>78</v>
      </c>
      <c r="AA26" s="54" t="s">
        <v>47</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15" t="s">
        <v>164</v>
      </c>
      <c r="I27" s="7" t="s">
        <v>159</v>
      </c>
      <c r="J27" s="15" t="s">
        <v>38</v>
      </c>
      <c r="K27" s="7" t="s">
        <v>161</v>
      </c>
      <c r="L27" s="7">
        <v>2</v>
      </c>
      <c r="N27" s="53">
        <v>1</v>
      </c>
      <c r="O27" s="7">
        <v>0.95</v>
      </c>
      <c r="P27" s="7">
        <v>0.9</v>
      </c>
      <c r="Q27" s="52">
        <f t="shared" si="0"/>
        <v>0.92500000000000004</v>
      </c>
      <c r="R27" s="7">
        <v>15.3</v>
      </c>
      <c r="S27" s="7">
        <v>118</v>
      </c>
      <c r="T27" s="16">
        <f t="shared" si="1"/>
        <v>30</v>
      </c>
      <c r="U27" s="7">
        <v>138</v>
      </c>
      <c r="V27" s="16">
        <f t="shared" si="2"/>
        <v>4140</v>
      </c>
      <c r="W27" s="7">
        <v>4</v>
      </c>
      <c r="X27" s="15" t="s">
        <v>46</v>
      </c>
      <c r="Y27" s="54" t="s">
        <v>55</v>
      </c>
      <c r="Z27" s="54" t="s">
        <v>78</v>
      </c>
      <c r="AA27" s="54" t="s">
        <v>47</v>
      </c>
      <c r="AB27" s="39" t="s">
        <v>158</v>
      </c>
      <c r="AE27" s="28"/>
      <c r="AP27" s="43" t="s">
        <v>118</v>
      </c>
      <c r="AR27" s="23"/>
    </row>
    <row r="28" spans="1:48" x14ac:dyDescent="0.15">
      <c r="A28" s="15" t="s">
        <v>156</v>
      </c>
      <c r="B28" s="15" t="s">
        <v>157</v>
      </c>
      <c r="C28" s="15">
        <v>2019</v>
      </c>
      <c r="D28" s="37" t="s">
        <v>166</v>
      </c>
      <c r="E28" s="7" t="s">
        <v>131</v>
      </c>
      <c r="F28" s="7" t="s">
        <v>144</v>
      </c>
      <c r="G28" s="7" t="s">
        <v>36</v>
      </c>
      <c r="H28" s="15" t="s">
        <v>164</v>
      </c>
      <c r="I28" s="7" t="s">
        <v>159</v>
      </c>
      <c r="J28" s="15" t="s">
        <v>38</v>
      </c>
      <c r="K28" s="7" t="s">
        <v>161</v>
      </c>
      <c r="L28" s="7">
        <v>3</v>
      </c>
      <c r="N28" s="53">
        <v>1</v>
      </c>
      <c r="O28" s="7">
        <v>1.3</v>
      </c>
      <c r="P28" s="7">
        <v>1.2</v>
      </c>
      <c r="Q28" s="52">
        <f t="shared" si="0"/>
        <v>1.25</v>
      </c>
      <c r="R28" s="7">
        <v>16.7</v>
      </c>
      <c r="S28" s="7">
        <v>127</v>
      </c>
      <c r="T28" s="16">
        <f t="shared" si="1"/>
        <v>27</v>
      </c>
      <c r="U28" s="7">
        <v>138</v>
      </c>
      <c r="V28" s="16">
        <f t="shared" si="2"/>
        <v>3726</v>
      </c>
      <c r="W28" s="7">
        <v>4</v>
      </c>
      <c r="X28" s="15" t="s">
        <v>46</v>
      </c>
      <c r="Y28" s="54" t="s">
        <v>55</v>
      </c>
      <c r="Z28" s="54" t="s">
        <v>78</v>
      </c>
      <c r="AA28" s="54" t="s">
        <v>47</v>
      </c>
      <c r="AB28" s="39" t="s">
        <v>158</v>
      </c>
      <c r="AP28" s="27"/>
      <c r="AR28" s="23"/>
    </row>
    <row r="29" spans="1:48" x14ac:dyDescent="0.15">
      <c r="A29" s="15" t="s">
        <v>156</v>
      </c>
      <c r="B29" s="15" t="s">
        <v>157</v>
      </c>
      <c r="C29" s="15">
        <v>2019</v>
      </c>
      <c r="D29" s="37" t="s">
        <v>166</v>
      </c>
      <c r="E29" s="7" t="s">
        <v>131</v>
      </c>
      <c r="F29" s="7" t="s">
        <v>144</v>
      </c>
      <c r="G29" s="7" t="s">
        <v>36</v>
      </c>
      <c r="H29" s="15" t="s">
        <v>160</v>
      </c>
      <c r="I29" s="7" t="s">
        <v>159</v>
      </c>
      <c r="J29" s="15" t="s">
        <v>38</v>
      </c>
      <c r="K29" s="7" t="s">
        <v>161</v>
      </c>
      <c r="L29" s="7">
        <v>1</v>
      </c>
      <c r="N29" s="53">
        <v>1</v>
      </c>
      <c r="O29" s="7">
        <v>0.85</v>
      </c>
      <c r="P29" s="7">
        <v>0.8</v>
      </c>
      <c r="Q29" s="52">
        <f t="shared" si="0"/>
        <v>0.82499999999999996</v>
      </c>
      <c r="R29" s="7">
        <v>18.8</v>
      </c>
      <c r="S29" s="7">
        <v>155</v>
      </c>
      <c r="T29" s="16">
        <f t="shared" si="1"/>
        <v>18</v>
      </c>
      <c r="U29" s="7">
        <v>138</v>
      </c>
      <c r="V29" s="16">
        <f t="shared" si="2"/>
        <v>2484</v>
      </c>
      <c r="W29" s="7">
        <v>6</v>
      </c>
      <c r="X29" s="15" t="s">
        <v>46</v>
      </c>
      <c r="Y29" s="54" t="s">
        <v>55</v>
      </c>
      <c r="Z29" s="54" t="s">
        <v>78</v>
      </c>
      <c r="AA29" s="54" t="s">
        <v>47</v>
      </c>
      <c r="AB29" s="39" t="s">
        <v>158</v>
      </c>
      <c r="AP29" s="27"/>
      <c r="AR29" s="27"/>
      <c r="AV29" s="28"/>
    </row>
    <row r="30" spans="1:48" x14ac:dyDescent="0.15">
      <c r="A30" s="15" t="s">
        <v>156</v>
      </c>
      <c r="B30" s="15" t="s">
        <v>157</v>
      </c>
      <c r="C30" s="15">
        <v>2019</v>
      </c>
      <c r="D30" s="37" t="s">
        <v>166</v>
      </c>
      <c r="E30" s="7" t="s">
        <v>131</v>
      </c>
      <c r="F30" s="7" t="s">
        <v>144</v>
      </c>
      <c r="G30" s="7" t="s">
        <v>36</v>
      </c>
      <c r="H30" s="15" t="s">
        <v>160</v>
      </c>
      <c r="I30" s="7" t="s">
        <v>159</v>
      </c>
      <c r="J30" s="15" t="s">
        <v>38</v>
      </c>
      <c r="K30" s="7" t="s">
        <v>161</v>
      </c>
      <c r="L30" s="7">
        <v>2</v>
      </c>
      <c r="N30" s="7">
        <v>1</v>
      </c>
      <c r="O30" s="7">
        <v>0.8</v>
      </c>
      <c r="P30" s="7">
        <v>0.75</v>
      </c>
      <c r="Q30" s="52">
        <f t="shared" si="0"/>
        <v>0.77500000000000002</v>
      </c>
      <c r="R30" s="7">
        <v>18.3</v>
      </c>
      <c r="S30" s="7">
        <v>149</v>
      </c>
      <c r="T30" s="16">
        <f t="shared" si="1"/>
        <v>22</v>
      </c>
      <c r="U30" s="7">
        <v>138</v>
      </c>
      <c r="V30" s="16">
        <f t="shared" si="2"/>
        <v>3036</v>
      </c>
      <c r="W30" s="7">
        <v>6</v>
      </c>
      <c r="X30" s="15" t="s">
        <v>46</v>
      </c>
      <c r="Y30" s="54" t="s">
        <v>55</v>
      </c>
      <c r="Z30" s="54" t="s">
        <v>78</v>
      </c>
      <c r="AA30" s="54" t="s">
        <v>47</v>
      </c>
      <c r="AB30" s="39" t="s">
        <v>158</v>
      </c>
      <c r="AP30" s="27"/>
      <c r="AR30" s="27"/>
    </row>
    <row r="31" spans="1:48" x14ac:dyDescent="0.15">
      <c r="A31" s="15" t="s">
        <v>156</v>
      </c>
      <c r="B31" s="15" t="s">
        <v>157</v>
      </c>
      <c r="C31" s="15">
        <v>2019</v>
      </c>
      <c r="D31" s="37" t="s">
        <v>166</v>
      </c>
      <c r="E31" s="7" t="s">
        <v>131</v>
      </c>
      <c r="F31" s="7" t="s">
        <v>144</v>
      </c>
      <c r="G31" s="7" t="s">
        <v>36</v>
      </c>
      <c r="H31" s="15" t="s">
        <v>160</v>
      </c>
      <c r="I31" s="7" t="s">
        <v>159</v>
      </c>
      <c r="J31" s="15" t="s">
        <v>38</v>
      </c>
      <c r="K31" s="7" t="s">
        <v>161</v>
      </c>
      <c r="L31" s="7">
        <v>3</v>
      </c>
      <c r="N31" s="7">
        <v>1</v>
      </c>
      <c r="O31" s="7">
        <v>0.75</v>
      </c>
      <c r="P31" s="7">
        <v>0.65</v>
      </c>
      <c r="Q31" s="52">
        <f t="shared" si="0"/>
        <v>0.7</v>
      </c>
      <c r="R31" s="7">
        <v>16</v>
      </c>
      <c r="S31" s="7">
        <v>156</v>
      </c>
      <c r="T31" s="16">
        <f t="shared" si="1"/>
        <v>18</v>
      </c>
      <c r="U31" s="7">
        <v>138</v>
      </c>
      <c r="V31" s="16">
        <f t="shared" si="2"/>
        <v>2484</v>
      </c>
      <c r="W31" s="7">
        <v>6</v>
      </c>
      <c r="X31" s="15" t="s">
        <v>46</v>
      </c>
      <c r="Y31" s="54" t="s">
        <v>55</v>
      </c>
      <c r="Z31" s="54" t="s">
        <v>78</v>
      </c>
      <c r="AA31" s="54" t="s">
        <v>47</v>
      </c>
      <c r="AB31" s="39" t="s">
        <v>158</v>
      </c>
      <c r="AP31" s="27"/>
      <c r="AR31" s="27"/>
    </row>
    <row r="32" spans="1:48" x14ac:dyDescent="0.15">
      <c r="A32" s="15" t="s">
        <v>156</v>
      </c>
      <c r="B32" s="15" t="s">
        <v>157</v>
      </c>
      <c r="C32" s="15">
        <v>2019</v>
      </c>
      <c r="D32" s="37" t="s">
        <v>166</v>
      </c>
      <c r="E32" s="7" t="s">
        <v>131</v>
      </c>
      <c r="F32" s="7" t="s">
        <v>144</v>
      </c>
      <c r="G32" s="7" t="s">
        <v>36</v>
      </c>
      <c r="H32" s="15" t="s">
        <v>160</v>
      </c>
      <c r="I32" s="7" t="s">
        <v>168</v>
      </c>
      <c r="J32" s="15" t="s">
        <v>38</v>
      </c>
      <c r="K32" s="7" t="s">
        <v>161</v>
      </c>
      <c r="L32" s="7">
        <v>1</v>
      </c>
      <c r="N32" s="7">
        <v>4</v>
      </c>
      <c r="O32" s="7">
        <v>1.1499999999999999</v>
      </c>
      <c r="P32" s="7">
        <v>1.1499999999999999</v>
      </c>
      <c r="Q32" s="52">
        <f t="shared" si="0"/>
        <v>1.1499999999999999</v>
      </c>
      <c r="R32" s="7">
        <v>15</v>
      </c>
      <c r="S32" s="7">
        <v>98</v>
      </c>
      <c r="T32" s="16">
        <f t="shared" si="1"/>
        <v>36</v>
      </c>
      <c r="U32" s="7">
        <v>538</v>
      </c>
      <c r="V32" s="16">
        <f t="shared" si="2"/>
        <v>4842</v>
      </c>
      <c r="W32" s="7">
        <v>2</v>
      </c>
      <c r="X32" s="15" t="s">
        <v>46</v>
      </c>
      <c r="Y32" s="54" t="s">
        <v>55</v>
      </c>
      <c r="Z32" s="54" t="s">
        <v>78</v>
      </c>
      <c r="AA32" s="54" t="s">
        <v>47</v>
      </c>
      <c r="AB32" s="39" t="s">
        <v>158</v>
      </c>
      <c r="AP32" s="28"/>
      <c r="AR32" s="28"/>
    </row>
    <row r="33" spans="1:44" x14ac:dyDescent="0.15">
      <c r="A33" s="15" t="s">
        <v>156</v>
      </c>
      <c r="B33" s="15" t="s">
        <v>157</v>
      </c>
      <c r="C33" s="15">
        <v>2019</v>
      </c>
      <c r="D33" s="37" t="s">
        <v>166</v>
      </c>
      <c r="E33" s="7" t="s">
        <v>131</v>
      </c>
      <c r="F33" s="7" t="s">
        <v>144</v>
      </c>
      <c r="G33" s="7" t="s">
        <v>36</v>
      </c>
      <c r="H33" s="15" t="s">
        <v>160</v>
      </c>
      <c r="I33" s="53" t="s">
        <v>168</v>
      </c>
      <c r="J33" s="15" t="s">
        <v>38</v>
      </c>
      <c r="K33" s="7" t="s">
        <v>161</v>
      </c>
      <c r="L33" s="7">
        <v>2</v>
      </c>
      <c r="N33" s="7">
        <v>4</v>
      </c>
      <c r="O33" s="7">
        <v>0.75</v>
      </c>
      <c r="P33" s="7">
        <v>0.7</v>
      </c>
      <c r="Q33" s="52">
        <f t="shared" si="0"/>
        <v>0.72499999999999998</v>
      </c>
      <c r="R33" s="7">
        <v>15.5</v>
      </c>
      <c r="S33" s="7">
        <v>99</v>
      </c>
      <c r="T33" s="16">
        <f t="shared" si="1"/>
        <v>33</v>
      </c>
      <c r="U33" s="7">
        <v>538</v>
      </c>
      <c r="V33" s="16">
        <f t="shared" si="2"/>
        <v>4438.5</v>
      </c>
      <c r="W33" s="7">
        <v>2</v>
      </c>
      <c r="X33" s="15" t="s">
        <v>46</v>
      </c>
      <c r="Y33" s="54" t="s">
        <v>55</v>
      </c>
      <c r="Z33" s="54" t="s">
        <v>78</v>
      </c>
      <c r="AA33" s="54" t="s">
        <v>47</v>
      </c>
      <c r="AB33" s="39" t="s">
        <v>158</v>
      </c>
    </row>
    <row r="34" spans="1:44" x14ac:dyDescent="0.15">
      <c r="A34" s="15" t="s">
        <v>156</v>
      </c>
      <c r="B34" s="15" t="s">
        <v>157</v>
      </c>
      <c r="C34" s="15">
        <v>2019</v>
      </c>
      <c r="D34" s="37" t="s">
        <v>166</v>
      </c>
      <c r="E34" s="7" t="s">
        <v>131</v>
      </c>
      <c r="F34" s="7" t="s">
        <v>144</v>
      </c>
      <c r="G34" s="7" t="s">
        <v>36</v>
      </c>
      <c r="H34" s="15" t="s">
        <v>160</v>
      </c>
      <c r="I34" s="53" t="s">
        <v>168</v>
      </c>
      <c r="J34" s="15" t="s">
        <v>38</v>
      </c>
      <c r="K34" s="7" t="s">
        <v>161</v>
      </c>
      <c r="L34" s="7">
        <v>3</v>
      </c>
      <c r="N34" s="7">
        <v>4</v>
      </c>
      <c r="O34" s="7">
        <v>0.75</v>
      </c>
      <c r="P34" s="7">
        <v>0.85</v>
      </c>
      <c r="Q34" s="52">
        <f t="shared" si="0"/>
        <v>0.8</v>
      </c>
      <c r="R34" s="7">
        <v>17.100000000000001</v>
      </c>
      <c r="S34" s="7">
        <v>103</v>
      </c>
      <c r="T34" s="16">
        <f t="shared" si="1"/>
        <v>33</v>
      </c>
      <c r="U34" s="7">
        <v>538</v>
      </c>
      <c r="V34" s="16">
        <f t="shared" si="2"/>
        <v>4438.5</v>
      </c>
      <c r="W34" s="7">
        <v>2</v>
      </c>
      <c r="X34" s="15" t="s">
        <v>46</v>
      </c>
      <c r="Y34" s="54" t="s">
        <v>55</v>
      </c>
      <c r="Z34" s="54" t="s">
        <v>78</v>
      </c>
      <c r="AA34" s="54" t="s">
        <v>47</v>
      </c>
      <c r="AB34" s="39" t="s">
        <v>158</v>
      </c>
    </row>
    <row r="35" spans="1:44" x14ac:dyDescent="0.15">
      <c r="A35" s="15" t="s">
        <v>156</v>
      </c>
      <c r="B35" s="15" t="s">
        <v>157</v>
      </c>
      <c r="C35" s="15">
        <v>2019</v>
      </c>
      <c r="D35" s="37" t="s">
        <v>166</v>
      </c>
      <c r="E35" s="7" t="s">
        <v>139</v>
      </c>
      <c r="F35" s="7" t="s">
        <v>145</v>
      </c>
      <c r="G35" s="7" t="s">
        <v>36</v>
      </c>
      <c r="H35" s="15" t="s">
        <v>165</v>
      </c>
      <c r="I35" s="7" t="s">
        <v>159</v>
      </c>
      <c r="J35" s="15" t="s">
        <v>38</v>
      </c>
      <c r="K35" s="7" t="s">
        <v>161</v>
      </c>
      <c r="L35" s="7">
        <v>1</v>
      </c>
      <c r="N35" s="7">
        <v>1</v>
      </c>
      <c r="O35" s="7">
        <v>0.85</v>
      </c>
      <c r="P35" s="7">
        <v>0.85</v>
      </c>
      <c r="Q35" s="52">
        <f t="shared" si="0"/>
        <v>0.85</v>
      </c>
      <c r="R35" s="7">
        <v>14.4</v>
      </c>
      <c r="S35" s="7">
        <v>111</v>
      </c>
      <c r="T35" s="16">
        <f t="shared" si="1"/>
        <v>33</v>
      </c>
      <c r="U35" s="7">
        <v>108</v>
      </c>
      <c r="V35" s="16">
        <f t="shared" si="2"/>
        <v>3564</v>
      </c>
      <c r="W35" s="7">
        <v>4</v>
      </c>
      <c r="X35" s="15" t="s">
        <v>46</v>
      </c>
      <c r="Y35" s="54" t="s">
        <v>55</v>
      </c>
      <c r="Z35" s="54" t="s">
        <v>47</v>
      </c>
      <c r="AA35" s="54" t="s">
        <v>40</v>
      </c>
      <c r="AB35" s="39" t="s">
        <v>158</v>
      </c>
      <c r="AP35" s="28"/>
      <c r="AR35" s="28"/>
    </row>
    <row r="36" spans="1:44" x14ac:dyDescent="0.15">
      <c r="A36" s="15" t="s">
        <v>156</v>
      </c>
      <c r="B36" s="15" t="s">
        <v>157</v>
      </c>
      <c r="C36" s="15">
        <v>2019</v>
      </c>
      <c r="D36" s="37" t="s">
        <v>166</v>
      </c>
      <c r="E36" s="7" t="s">
        <v>139</v>
      </c>
      <c r="F36" s="7" t="s">
        <v>145</v>
      </c>
      <c r="G36" s="7" t="s">
        <v>36</v>
      </c>
      <c r="H36" s="54" t="s">
        <v>165</v>
      </c>
      <c r="I36" s="7" t="s">
        <v>159</v>
      </c>
      <c r="J36" s="15" t="s">
        <v>38</v>
      </c>
      <c r="K36" s="7" t="s">
        <v>161</v>
      </c>
      <c r="L36" s="7">
        <v>2</v>
      </c>
      <c r="N36" s="7">
        <v>1</v>
      </c>
      <c r="O36" s="7">
        <v>0.75</v>
      </c>
      <c r="P36" s="7">
        <v>0.75</v>
      </c>
      <c r="Q36" s="52">
        <f t="shared" si="0"/>
        <v>0.75</v>
      </c>
      <c r="R36" s="7">
        <v>13.6</v>
      </c>
      <c r="S36" s="7">
        <v>104</v>
      </c>
      <c r="T36" s="16">
        <f t="shared" si="1"/>
        <v>33</v>
      </c>
      <c r="U36" s="7">
        <v>108</v>
      </c>
      <c r="V36" s="16">
        <f t="shared" si="2"/>
        <v>3564</v>
      </c>
      <c r="W36" s="7">
        <v>4</v>
      </c>
      <c r="X36" s="15" t="s">
        <v>46</v>
      </c>
      <c r="Y36" s="54" t="s">
        <v>55</v>
      </c>
      <c r="Z36" s="54" t="s">
        <v>47</v>
      </c>
      <c r="AA36" s="54" t="s">
        <v>40</v>
      </c>
      <c r="AB36" s="39" t="s">
        <v>158</v>
      </c>
    </row>
    <row r="37" spans="1:44" x14ac:dyDescent="0.15">
      <c r="A37" s="15" t="s">
        <v>156</v>
      </c>
      <c r="B37" s="15" t="s">
        <v>157</v>
      </c>
      <c r="C37" s="15">
        <v>2019</v>
      </c>
      <c r="D37" s="37" t="s">
        <v>166</v>
      </c>
      <c r="E37" s="7" t="s">
        <v>139</v>
      </c>
      <c r="F37" s="7" t="s">
        <v>145</v>
      </c>
      <c r="G37" s="7" t="s">
        <v>36</v>
      </c>
      <c r="H37" s="54" t="s">
        <v>165</v>
      </c>
      <c r="I37" s="7" t="s">
        <v>159</v>
      </c>
      <c r="J37" s="15" t="s">
        <v>38</v>
      </c>
      <c r="K37" s="7" t="s">
        <v>161</v>
      </c>
      <c r="L37" s="7">
        <v>3</v>
      </c>
      <c r="N37" s="7">
        <v>1</v>
      </c>
      <c r="O37" s="34">
        <v>0.55000000000000004</v>
      </c>
      <c r="P37" s="34">
        <v>0.5</v>
      </c>
      <c r="Q37" s="52">
        <f t="shared" si="0"/>
        <v>0.52500000000000002</v>
      </c>
      <c r="R37" s="7">
        <v>15</v>
      </c>
      <c r="S37" s="7">
        <v>107</v>
      </c>
      <c r="T37" s="16">
        <f t="shared" si="1"/>
        <v>33</v>
      </c>
      <c r="U37" s="7">
        <v>108</v>
      </c>
      <c r="V37" s="16">
        <f t="shared" si="2"/>
        <v>3564</v>
      </c>
      <c r="W37" s="7">
        <v>4</v>
      </c>
      <c r="X37" s="15" t="s">
        <v>46</v>
      </c>
      <c r="Y37" s="54" t="s">
        <v>55</v>
      </c>
      <c r="Z37" s="54" t="s">
        <v>47</v>
      </c>
      <c r="AA37" s="54" t="s">
        <v>40</v>
      </c>
      <c r="AB37" s="39" t="s">
        <v>158</v>
      </c>
    </row>
    <row r="38" spans="1:44" x14ac:dyDescent="0.15">
      <c r="A38" s="15" t="s">
        <v>156</v>
      </c>
      <c r="B38" s="15" t="s">
        <v>157</v>
      </c>
      <c r="C38" s="15">
        <v>2019</v>
      </c>
      <c r="D38" s="37" t="s">
        <v>166</v>
      </c>
      <c r="E38" s="7" t="s">
        <v>139</v>
      </c>
      <c r="F38" s="7" t="s">
        <v>145</v>
      </c>
      <c r="G38" s="7" t="s">
        <v>36</v>
      </c>
      <c r="H38" s="15" t="s">
        <v>164</v>
      </c>
      <c r="I38" s="7" t="s">
        <v>159</v>
      </c>
      <c r="J38" s="15" t="s">
        <v>38</v>
      </c>
      <c r="K38" s="7" t="s">
        <v>161</v>
      </c>
      <c r="L38" s="7">
        <v>1</v>
      </c>
      <c r="N38" s="7">
        <v>4</v>
      </c>
      <c r="O38" s="34">
        <v>0.55000000000000004</v>
      </c>
      <c r="P38" s="34">
        <v>0.7</v>
      </c>
      <c r="Q38" s="52">
        <f t="shared" si="0"/>
        <v>0.625</v>
      </c>
      <c r="R38" s="7">
        <v>15.7</v>
      </c>
      <c r="S38" s="7">
        <v>103</v>
      </c>
      <c r="T38" s="16">
        <f t="shared" si="1"/>
        <v>33</v>
      </c>
      <c r="U38" s="7">
        <v>429</v>
      </c>
      <c r="V38" s="16">
        <f t="shared" si="2"/>
        <v>3539.25</v>
      </c>
      <c r="W38" s="7">
        <v>2</v>
      </c>
      <c r="X38" s="15" t="s">
        <v>46</v>
      </c>
      <c r="Y38" s="54" t="s">
        <v>55</v>
      </c>
      <c r="Z38" s="54" t="s">
        <v>47</v>
      </c>
      <c r="AA38" s="54" t="s">
        <v>40</v>
      </c>
      <c r="AB38" s="39" t="s">
        <v>158</v>
      </c>
    </row>
    <row r="39" spans="1:44" x14ac:dyDescent="0.15">
      <c r="A39" s="15" t="s">
        <v>156</v>
      </c>
      <c r="B39" s="15" t="s">
        <v>157</v>
      </c>
      <c r="C39" s="15">
        <v>2019</v>
      </c>
      <c r="D39" s="37" t="s">
        <v>166</v>
      </c>
      <c r="E39" s="7" t="s">
        <v>139</v>
      </c>
      <c r="F39" s="7" t="s">
        <v>145</v>
      </c>
      <c r="G39" s="7" t="s">
        <v>36</v>
      </c>
      <c r="H39" s="54" t="s">
        <v>164</v>
      </c>
      <c r="I39" s="7" t="s">
        <v>159</v>
      </c>
      <c r="J39" s="15" t="s">
        <v>38</v>
      </c>
      <c r="K39" s="7" t="s">
        <v>161</v>
      </c>
      <c r="L39" s="7">
        <v>2</v>
      </c>
      <c r="N39" s="7">
        <v>4</v>
      </c>
      <c r="O39" s="7">
        <v>0.65</v>
      </c>
      <c r="P39" s="7">
        <v>0.6</v>
      </c>
      <c r="Q39" s="52">
        <f t="shared" si="0"/>
        <v>0.625</v>
      </c>
      <c r="R39" s="34">
        <v>19.8</v>
      </c>
      <c r="S39" s="7">
        <v>93</v>
      </c>
      <c r="T39" s="16">
        <f t="shared" si="1"/>
        <v>36</v>
      </c>
      <c r="U39" s="7">
        <v>429</v>
      </c>
      <c r="V39" s="16">
        <f t="shared" si="2"/>
        <v>3861</v>
      </c>
      <c r="W39" s="7">
        <v>2</v>
      </c>
      <c r="X39" s="15" t="s">
        <v>46</v>
      </c>
      <c r="Y39" s="54" t="s">
        <v>55</v>
      </c>
      <c r="Z39" s="54" t="s">
        <v>47</v>
      </c>
      <c r="AA39" s="54" t="s">
        <v>40</v>
      </c>
      <c r="AB39" s="39" t="s">
        <v>158</v>
      </c>
    </row>
    <row r="40" spans="1:44" x14ac:dyDescent="0.15">
      <c r="A40" s="15" t="s">
        <v>156</v>
      </c>
      <c r="B40" s="15" t="s">
        <v>157</v>
      </c>
      <c r="C40" s="15">
        <v>2019</v>
      </c>
      <c r="D40" s="37" t="s">
        <v>166</v>
      </c>
      <c r="E40" s="7" t="s">
        <v>139</v>
      </c>
      <c r="F40" s="7" t="s">
        <v>145</v>
      </c>
      <c r="G40" s="7" t="s">
        <v>36</v>
      </c>
      <c r="H40" s="54" t="s">
        <v>164</v>
      </c>
      <c r="I40" s="7" t="s">
        <v>159</v>
      </c>
      <c r="J40" s="15" t="s">
        <v>38</v>
      </c>
      <c r="K40" s="7" t="s">
        <v>161</v>
      </c>
      <c r="L40" s="7">
        <v>3</v>
      </c>
      <c r="N40" s="7">
        <v>4</v>
      </c>
      <c r="O40" s="7">
        <v>0.85</v>
      </c>
      <c r="P40" s="7">
        <v>0.7</v>
      </c>
      <c r="Q40" s="52">
        <f t="shared" si="0"/>
        <v>0.77499999999999991</v>
      </c>
      <c r="R40" s="7">
        <v>18.7</v>
      </c>
      <c r="S40" s="7">
        <v>94</v>
      </c>
      <c r="T40" s="16">
        <f t="shared" si="1"/>
        <v>36</v>
      </c>
      <c r="U40" s="7">
        <v>429</v>
      </c>
      <c r="V40" s="16">
        <f t="shared" si="2"/>
        <v>3861</v>
      </c>
      <c r="W40" s="7">
        <v>2</v>
      </c>
      <c r="X40" s="15" t="s">
        <v>46</v>
      </c>
      <c r="Y40" s="54" t="s">
        <v>55</v>
      </c>
      <c r="Z40" s="54" t="s">
        <v>47</v>
      </c>
      <c r="AA40" s="54" t="s">
        <v>40</v>
      </c>
      <c r="AB40" s="39" t="s">
        <v>158</v>
      </c>
    </row>
    <row r="41" spans="1:44" ht="12.75" customHeight="1" x14ac:dyDescent="0.15">
      <c r="A41" s="15" t="s">
        <v>156</v>
      </c>
      <c r="B41" s="15" t="s">
        <v>157</v>
      </c>
      <c r="C41" s="15">
        <v>2019</v>
      </c>
      <c r="D41" s="37" t="s">
        <v>166</v>
      </c>
      <c r="E41" s="7" t="s">
        <v>139</v>
      </c>
      <c r="F41" s="7" t="s">
        <v>145</v>
      </c>
      <c r="G41" s="7" t="s">
        <v>36</v>
      </c>
      <c r="H41" s="15" t="s">
        <v>160</v>
      </c>
      <c r="I41" s="7" t="s">
        <v>159</v>
      </c>
      <c r="J41" s="15" t="s">
        <v>38</v>
      </c>
      <c r="K41" s="7" t="s">
        <v>161</v>
      </c>
      <c r="L41" s="7">
        <v>1</v>
      </c>
      <c r="N41" s="7">
        <v>1</v>
      </c>
      <c r="O41" s="7">
        <v>0.55000000000000004</v>
      </c>
      <c r="P41" s="7">
        <v>0.6</v>
      </c>
      <c r="Q41" s="52">
        <f t="shared" si="0"/>
        <v>0.57499999999999996</v>
      </c>
      <c r="R41" s="7">
        <v>16.399999999999999</v>
      </c>
      <c r="S41" s="7">
        <v>144</v>
      </c>
      <c r="T41" s="16">
        <f t="shared" si="1"/>
        <v>22</v>
      </c>
      <c r="U41" s="7">
        <v>159</v>
      </c>
      <c r="V41" s="16">
        <f t="shared" si="2"/>
        <v>3498</v>
      </c>
      <c r="W41" s="7">
        <v>18</v>
      </c>
      <c r="X41" s="15" t="s">
        <v>46</v>
      </c>
      <c r="Y41" s="54" t="s">
        <v>55</v>
      </c>
      <c r="Z41" s="54" t="s">
        <v>47</v>
      </c>
      <c r="AA41" s="54" t="s">
        <v>40</v>
      </c>
      <c r="AB41" s="39" t="s">
        <v>158</v>
      </c>
    </row>
    <row r="42" spans="1:44" x14ac:dyDescent="0.15">
      <c r="A42" s="15" t="s">
        <v>156</v>
      </c>
      <c r="B42" s="15" t="s">
        <v>157</v>
      </c>
      <c r="C42" s="15">
        <v>2019</v>
      </c>
      <c r="D42" s="37" t="s">
        <v>166</v>
      </c>
      <c r="E42" s="7" t="s">
        <v>139</v>
      </c>
      <c r="F42" s="7" t="s">
        <v>145</v>
      </c>
      <c r="G42" s="7" t="s">
        <v>36</v>
      </c>
      <c r="H42" s="54" t="s">
        <v>160</v>
      </c>
      <c r="I42" s="7" t="s">
        <v>159</v>
      </c>
      <c r="J42" s="15" t="s">
        <v>38</v>
      </c>
      <c r="K42" s="7" t="s">
        <v>161</v>
      </c>
      <c r="L42" s="7">
        <v>2</v>
      </c>
      <c r="N42" s="7">
        <v>1</v>
      </c>
      <c r="O42" s="7">
        <v>0.5</v>
      </c>
      <c r="P42" s="7">
        <v>0.55000000000000004</v>
      </c>
      <c r="Q42" s="52">
        <f t="shared" si="0"/>
        <v>0.52500000000000002</v>
      </c>
      <c r="R42" s="7">
        <v>16.899999999999999</v>
      </c>
      <c r="S42" s="7">
        <v>140</v>
      </c>
      <c r="T42" s="16">
        <f t="shared" si="1"/>
        <v>22</v>
      </c>
      <c r="U42" s="7">
        <v>159</v>
      </c>
      <c r="V42" s="16">
        <f t="shared" si="2"/>
        <v>3498</v>
      </c>
      <c r="W42" s="7">
        <v>18</v>
      </c>
      <c r="X42" s="15" t="s">
        <v>46</v>
      </c>
      <c r="Y42" s="54" t="s">
        <v>55</v>
      </c>
      <c r="Z42" s="54" t="s">
        <v>47</v>
      </c>
      <c r="AA42" s="54" t="s">
        <v>40</v>
      </c>
      <c r="AB42" s="39" t="s">
        <v>158</v>
      </c>
    </row>
    <row r="43" spans="1:44" x14ac:dyDescent="0.15">
      <c r="A43" s="15" t="s">
        <v>156</v>
      </c>
      <c r="B43" s="15" t="s">
        <v>157</v>
      </c>
      <c r="C43" s="15">
        <v>2019</v>
      </c>
      <c r="D43" s="37" t="s">
        <v>166</v>
      </c>
      <c r="E43" s="7" t="s">
        <v>139</v>
      </c>
      <c r="F43" s="7" t="s">
        <v>145</v>
      </c>
      <c r="G43" s="7" t="s">
        <v>36</v>
      </c>
      <c r="H43" s="54" t="s">
        <v>160</v>
      </c>
      <c r="I43" s="7" t="s">
        <v>159</v>
      </c>
      <c r="J43" s="15" t="s">
        <v>38</v>
      </c>
      <c r="K43" s="7" t="s">
        <v>161</v>
      </c>
      <c r="L43" s="7">
        <v>3</v>
      </c>
      <c r="N43" s="7">
        <v>1</v>
      </c>
      <c r="O43" s="7">
        <v>0.55000000000000004</v>
      </c>
      <c r="P43" s="7">
        <v>0.6</v>
      </c>
      <c r="Q43" s="52">
        <f t="shared" si="0"/>
        <v>0.57499999999999996</v>
      </c>
      <c r="R43" s="7">
        <v>17.399999999999999</v>
      </c>
      <c r="S43" s="7">
        <v>138</v>
      </c>
      <c r="T43" s="16">
        <f t="shared" si="1"/>
        <v>22</v>
      </c>
      <c r="U43" s="7">
        <v>159</v>
      </c>
      <c r="V43" s="16">
        <f t="shared" si="2"/>
        <v>3498</v>
      </c>
      <c r="W43" s="7">
        <v>18</v>
      </c>
      <c r="X43" s="15" t="s">
        <v>46</v>
      </c>
      <c r="Y43" s="54" t="s">
        <v>55</v>
      </c>
      <c r="Z43" s="54" t="s">
        <v>47</v>
      </c>
      <c r="AA43" s="54" t="s">
        <v>40</v>
      </c>
      <c r="AB43" s="39" t="s">
        <v>158</v>
      </c>
    </row>
    <row r="44" spans="1:44" x14ac:dyDescent="0.15">
      <c r="A44" s="15" t="s">
        <v>156</v>
      </c>
      <c r="B44" s="15" t="s">
        <v>157</v>
      </c>
      <c r="C44" s="15">
        <v>2019</v>
      </c>
      <c r="D44" s="37" t="s">
        <v>166</v>
      </c>
      <c r="E44" s="7" t="s">
        <v>162</v>
      </c>
      <c r="F44" s="7" t="s">
        <v>163</v>
      </c>
      <c r="G44" s="7" t="s">
        <v>36</v>
      </c>
      <c r="H44" s="15" t="s">
        <v>127</v>
      </c>
      <c r="I44" s="7" t="s">
        <v>159</v>
      </c>
      <c r="J44" s="15" t="s">
        <v>53</v>
      </c>
      <c r="K44" s="7" t="s">
        <v>54</v>
      </c>
      <c r="L44" s="7">
        <v>1</v>
      </c>
      <c r="N44" s="7">
        <v>1</v>
      </c>
      <c r="O44" s="7">
        <v>0.85</v>
      </c>
      <c r="P44" s="7">
        <v>0.8</v>
      </c>
      <c r="Q44" s="52">
        <f t="shared" si="0"/>
        <v>0.82499999999999996</v>
      </c>
      <c r="R44" s="7">
        <v>13.2</v>
      </c>
      <c r="S44" s="7">
        <v>104</v>
      </c>
      <c r="T44" s="16">
        <f t="shared" si="1"/>
        <v>33</v>
      </c>
      <c r="U44" s="7">
        <v>98</v>
      </c>
      <c r="V44" s="16">
        <f t="shared" si="2"/>
        <v>3234</v>
      </c>
      <c r="W44" s="7">
        <v>3</v>
      </c>
      <c r="X44" s="15" t="s">
        <v>46</v>
      </c>
      <c r="Y44" s="54" t="s">
        <v>47</v>
      </c>
      <c r="Z44" s="54" t="s">
        <v>55</v>
      </c>
      <c r="AA44" s="15" t="s">
        <v>40</v>
      </c>
      <c r="AB44" s="39" t="s">
        <v>158</v>
      </c>
    </row>
    <row r="45" spans="1:44" x14ac:dyDescent="0.15">
      <c r="A45" s="15" t="s">
        <v>156</v>
      </c>
      <c r="B45" s="15" t="s">
        <v>157</v>
      </c>
      <c r="C45" s="15">
        <v>2019</v>
      </c>
      <c r="D45" s="37" t="s">
        <v>166</v>
      </c>
      <c r="E45" s="7" t="s">
        <v>162</v>
      </c>
      <c r="F45" s="7" t="s">
        <v>163</v>
      </c>
      <c r="G45" s="7" t="s">
        <v>36</v>
      </c>
      <c r="H45" s="15" t="s">
        <v>127</v>
      </c>
      <c r="I45" s="7" t="s">
        <v>159</v>
      </c>
      <c r="J45" s="15" t="s">
        <v>53</v>
      </c>
      <c r="K45" s="7" t="s">
        <v>54</v>
      </c>
      <c r="L45" s="7">
        <v>2</v>
      </c>
      <c r="N45" s="7">
        <v>1</v>
      </c>
      <c r="O45" s="7">
        <v>0.85</v>
      </c>
      <c r="P45" s="7">
        <v>1</v>
      </c>
      <c r="Q45" s="52">
        <f t="shared" si="0"/>
        <v>0.92500000000000004</v>
      </c>
      <c r="R45" s="7">
        <v>12.7</v>
      </c>
      <c r="S45" s="7">
        <v>109</v>
      </c>
      <c r="T45" s="16">
        <f t="shared" si="1"/>
        <v>33</v>
      </c>
      <c r="U45" s="7">
        <v>98</v>
      </c>
      <c r="V45" s="16">
        <f t="shared" si="2"/>
        <v>3234</v>
      </c>
      <c r="W45" s="7">
        <v>3</v>
      </c>
      <c r="X45" s="15" t="s">
        <v>46</v>
      </c>
      <c r="Y45" s="54" t="s">
        <v>47</v>
      </c>
      <c r="Z45" s="54" t="s">
        <v>55</v>
      </c>
      <c r="AA45" s="54" t="s">
        <v>40</v>
      </c>
      <c r="AB45" s="39" t="s">
        <v>158</v>
      </c>
    </row>
    <row r="46" spans="1:44" x14ac:dyDescent="0.15">
      <c r="A46" s="15" t="s">
        <v>156</v>
      </c>
      <c r="B46" s="15" t="s">
        <v>157</v>
      </c>
      <c r="C46" s="15">
        <v>2019</v>
      </c>
      <c r="D46" s="37" t="s">
        <v>166</v>
      </c>
      <c r="E46" s="7" t="s">
        <v>162</v>
      </c>
      <c r="F46" s="7" t="s">
        <v>163</v>
      </c>
      <c r="G46" s="7" t="s">
        <v>36</v>
      </c>
      <c r="H46" s="15" t="s">
        <v>127</v>
      </c>
      <c r="I46" s="7" t="s">
        <v>159</v>
      </c>
      <c r="J46" s="15" t="s">
        <v>53</v>
      </c>
      <c r="K46" s="7" t="s">
        <v>54</v>
      </c>
      <c r="L46" s="7">
        <v>3</v>
      </c>
      <c r="N46" s="7">
        <v>1</v>
      </c>
      <c r="O46" s="7">
        <v>1.4</v>
      </c>
      <c r="P46" s="34">
        <v>1.25</v>
      </c>
      <c r="Q46" s="52">
        <f t="shared" si="0"/>
        <v>1.325</v>
      </c>
      <c r="R46" s="7">
        <v>13.2</v>
      </c>
      <c r="S46" s="7">
        <v>112</v>
      </c>
      <c r="T46" s="16">
        <f t="shared" si="1"/>
        <v>33</v>
      </c>
      <c r="U46" s="7">
        <v>98</v>
      </c>
      <c r="V46" s="16">
        <f t="shared" si="2"/>
        <v>3234</v>
      </c>
      <c r="W46" s="7">
        <v>3</v>
      </c>
      <c r="X46" s="15" t="s">
        <v>46</v>
      </c>
      <c r="Y46" s="54" t="s">
        <v>47</v>
      </c>
      <c r="Z46" s="54" t="s">
        <v>55</v>
      </c>
      <c r="AA46" s="54" t="s">
        <v>40</v>
      </c>
      <c r="AB46" s="39" t="s">
        <v>158</v>
      </c>
    </row>
    <row r="47" spans="1:44" x14ac:dyDescent="0.15">
      <c r="A47" s="15" t="s">
        <v>156</v>
      </c>
      <c r="B47" s="15" t="s">
        <v>157</v>
      </c>
      <c r="C47" s="15">
        <v>2019</v>
      </c>
      <c r="D47" s="37" t="s">
        <v>166</v>
      </c>
      <c r="E47" s="7" t="s">
        <v>162</v>
      </c>
      <c r="F47" s="7" t="s">
        <v>163</v>
      </c>
      <c r="G47" s="7" t="s">
        <v>36</v>
      </c>
      <c r="H47" s="15" t="s">
        <v>160</v>
      </c>
      <c r="I47" s="7" t="s">
        <v>159</v>
      </c>
      <c r="J47" s="15" t="s">
        <v>38</v>
      </c>
      <c r="K47" s="7" t="s">
        <v>161</v>
      </c>
      <c r="L47" s="7">
        <v>1</v>
      </c>
      <c r="N47" s="7">
        <v>1</v>
      </c>
      <c r="O47" s="7">
        <v>0.75</v>
      </c>
      <c r="P47" s="7">
        <v>0.75</v>
      </c>
      <c r="Q47" s="52">
        <f t="shared" si="0"/>
        <v>0.75</v>
      </c>
      <c r="R47" s="7">
        <v>15.4</v>
      </c>
      <c r="S47" s="7">
        <v>111</v>
      </c>
      <c r="T47" s="16">
        <f t="shared" si="1"/>
        <v>33</v>
      </c>
      <c r="U47" s="7">
        <v>100</v>
      </c>
      <c r="V47" s="16">
        <f t="shared" si="2"/>
        <v>3300</v>
      </c>
      <c r="W47" s="7">
        <v>6</v>
      </c>
      <c r="X47" s="15" t="s">
        <v>46</v>
      </c>
      <c r="Y47" s="54" t="s">
        <v>47</v>
      </c>
      <c r="Z47" s="54" t="s">
        <v>55</v>
      </c>
      <c r="AA47" s="54" t="s">
        <v>40</v>
      </c>
      <c r="AB47" s="39" t="s">
        <v>158</v>
      </c>
    </row>
    <row r="48" spans="1:44" x14ac:dyDescent="0.15">
      <c r="A48" s="15" t="s">
        <v>156</v>
      </c>
      <c r="B48" s="15" t="s">
        <v>157</v>
      </c>
      <c r="C48" s="15">
        <v>2019</v>
      </c>
      <c r="D48" s="37" t="s">
        <v>166</v>
      </c>
      <c r="E48" s="7" t="s">
        <v>162</v>
      </c>
      <c r="F48" s="7" t="s">
        <v>163</v>
      </c>
      <c r="G48" s="7" t="s">
        <v>36</v>
      </c>
      <c r="H48" s="15" t="s">
        <v>160</v>
      </c>
      <c r="I48" s="7" t="s">
        <v>159</v>
      </c>
      <c r="J48" s="15" t="s">
        <v>38</v>
      </c>
      <c r="K48" s="7" t="s">
        <v>161</v>
      </c>
      <c r="L48" s="7">
        <v>2</v>
      </c>
      <c r="N48" s="7">
        <v>1</v>
      </c>
      <c r="O48" s="7">
        <v>1.05</v>
      </c>
      <c r="P48" s="7">
        <v>1.2</v>
      </c>
      <c r="Q48" s="52">
        <f t="shared" si="0"/>
        <v>1.125</v>
      </c>
      <c r="R48" s="7">
        <v>15.6</v>
      </c>
      <c r="S48" s="7">
        <v>109</v>
      </c>
      <c r="T48" s="16">
        <f t="shared" si="1"/>
        <v>33</v>
      </c>
      <c r="U48" s="7">
        <v>100</v>
      </c>
      <c r="V48" s="16">
        <f t="shared" si="2"/>
        <v>3300</v>
      </c>
      <c r="W48" s="7">
        <v>6</v>
      </c>
      <c r="X48" s="15" t="s">
        <v>46</v>
      </c>
      <c r="Y48" s="54" t="s">
        <v>47</v>
      </c>
      <c r="Z48" s="54" t="s">
        <v>55</v>
      </c>
      <c r="AA48" s="54" t="s">
        <v>40</v>
      </c>
      <c r="AB48" s="39" t="s">
        <v>158</v>
      </c>
    </row>
    <row r="49" spans="1:29" x14ac:dyDescent="0.15">
      <c r="A49" s="15" t="s">
        <v>156</v>
      </c>
      <c r="B49" s="15" t="s">
        <v>157</v>
      </c>
      <c r="C49" s="15">
        <v>2019</v>
      </c>
      <c r="D49" s="37" t="s">
        <v>166</v>
      </c>
      <c r="E49" s="7" t="s">
        <v>162</v>
      </c>
      <c r="F49" s="7" t="s">
        <v>163</v>
      </c>
      <c r="G49" s="7" t="s">
        <v>36</v>
      </c>
      <c r="H49" s="15" t="s">
        <v>160</v>
      </c>
      <c r="I49" s="7" t="s">
        <v>159</v>
      </c>
      <c r="J49" s="15" t="s">
        <v>38</v>
      </c>
      <c r="K49" s="7" t="s">
        <v>161</v>
      </c>
      <c r="L49" s="7">
        <v>3</v>
      </c>
      <c r="N49" s="7">
        <v>1</v>
      </c>
      <c r="O49" s="7">
        <v>0.85</v>
      </c>
      <c r="P49" s="34">
        <v>0.9</v>
      </c>
      <c r="Q49" s="52">
        <f t="shared" si="0"/>
        <v>0.875</v>
      </c>
      <c r="R49" s="7">
        <v>16.100000000000001</v>
      </c>
      <c r="S49" s="7">
        <v>110</v>
      </c>
      <c r="T49" s="16">
        <f t="shared" si="1"/>
        <v>33</v>
      </c>
      <c r="U49" s="7">
        <v>100</v>
      </c>
      <c r="V49" s="16">
        <f t="shared" si="2"/>
        <v>3300</v>
      </c>
      <c r="W49" s="7">
        <v>6</v>
      </c>
      <c r="X49" s="15" t="s">
        <v>46</v>
      </c>
      <c r="Y49" s="54" t="s">
        <v>47</v>
      </c>
      <c r="Z49" s="54" t="s">
        <v>55</v>
      </c>
      <c r="AA49" s="54" t="s">
        <v>40</v>
      </c>
      <c r="AB49" s="39" t="s">
        <v>158</v>
      </c>
    </row>
    <row r="50" spans="1:29" x14ac:dyDescent="0.15">
      <c r="A50" s="15" t="s">
        <v>156</v>
      </c>
      <c r="B50" s="15" t="s">
        <v>157</v>
      </c>
      <c r="C50" s="15">
        <v>2019</v>
      </c>
      <c r="D50" s="37" t="s">
        <v>166</v>
      </c>
      <c r="E50" s="7" t="s">
        <v>130</v>
      </c>
      <c r="F50" s="7" t="s">
        <v>146</v>
      </c>
      <c r="G50" s="7" t="s">
        <v>36</v>
      </c>
      <c r="H50" s="15" t="s">
        <v>165</v>
      </c>
      <c r="I50" s="7" t="s">
        <v>159</v>
      </c>
      <c r="J50" s="15" t="s">
        <v>38</v>
      </c>
      <c r="K50" s="7" t="s">
        <v>161</v>
      </c>
      <c r="L50" s="7">
        <v>1</v>
      </c>
      <c r="N50" s="7">
        <v>1</v>
      </c>
      <c r="O50" s="7">
        <v>0.7</v>
      </c>
      <c r="P50" s="7">
        <v>0.75</v>
      </c>
      <c r="Q50" s="52">
        <f t="shared" si="0"/>
        <v>0.72499999999999998</v>
      </c>
      <c r="R50" s="7">
        <v>13.4</v>
      </c>
      <c r="S50" s="7">
        <v>89</v>
      </c>
      <c r="T50" s="16">
        <f t="shared" si="1"/>
        <v>36</v>
      </c>
      <c r="U50" s="7">
        <v>51</v>
      </c>
      <c r="V50" s="16">
        <f t="shared" si="2"/>
        <v>1836</v>
      </c>
      <c r="W50" s="7">
        <v>6</v>
      </c>
      <c r="X50" s="15" t="s">
        <v>46</v>
      </c>
      <c r="Y50" s="54" t="s">
        <v>40</v>
      </c>
      <c r="Z50" s="15" t="s">
        <v>55</v>
      </c>
      <c r="AA50" s="15" t="s">
        <v>47</v>
      </c>
      <c r="AB50" s="39" t="s">
        <v>158</v>
      </c>
    </row>
    <row r="51" spans="1:29" x14ac:dyDescent="0.15">
      <c r="A51" s="15" t="s">
        <v>156</v>
      </c>
      <c r="B51" s="15" t="s">
        <v>157</v>
      </c>
      <c r="C51" s="15">
        <v>2019</v>
      </c>
      <c r="D51" s="37" t="s">
        <v>166</v>
      </c>
      <c r="E51" s="7" t="s">
        <v>130</v>
      </c>
      <c r="F51" s="7" t="s">
        <v>146</v>
      </c>
      <c r="G51" s="7" t="s">
        <v>36</v>
      </c>
      <c r="H51" s="15" t="s">
        <v>165</v>
      </c>
      <c r="I51" s="7" t="s">
        <v>159</v>
      </c>
      <c r="J51" s="15" t="s">
        <v>38</v>
      </c>
      <c r="K51" s="7" t="s">
        <v>161</v>
      </c>
      <c r="L51" s="7">
        <v>2</v>
      </c>
      <c r="N51" s="7">
        <v>1</v>
      </c>
      <c r="O51" s="7">
        <v>0.5</v>
      </c>
      <c r="P51" s="7">
        <v>0.5</v>
      </c>
      <c r="Q51" s="52">
        <f t="shared" si="0"/>
        <v>0.5</v>
      </c>
      <c r="R51" s="7">
        <v>15.1</v>
      </c>
      <c r="S51" s="7">
        <v>83</v>
      </c>
      <c r="T51" s="16">
        <f t="shared" si="1"/>
        <v>39</v>
      </c>
      <c r="U51" s="7">
        <v>51</v>
      </c>
      <c r="V51" s="16">
        <f t="shared" si="2"/>
        <v>1989</v>
      </c>
      <c r="W51" s="7">
        <v>6</v>
      </c>
      <c r="X51" s="15" t="s">
        <v>46</v>
      </c>
      <c r="Y51" s="54" t="s">
        <v>40</v>
      </c>
      <c r="Z51" s="54" t="s">
        <v>55</v>
      </c>
      <c r="AA51" s="54" t="s">
        <v>47</v>
      </c>
      <c r="AB51" s="39" t="s">
        <v>158</v>
      </c>
    </row>
    <row r="52" spans="1:29" x14ac:dyDescent="0.15">
      <c r="A52" s="15" t="s">
        <v>156</v>
      </c>
      <c r="B52" s="15" t="s">
        <v>157</v>
      </c>
      <c r="C52" s="15">
        <v>2019</v>
      </c>
      <c r="D52" s="37" t="s">
        <v>166</v>
      </c>
      <c r="E52" s="7" t="s">
        <v>130</v>
      </c>
      <c r="F52" s="7" t="s">
        <v>146</v>
      </c>
      <c r="G52" s="7" t="s">
        <v>36</v>
      </c>
      <c r="H52" s="15" t="s">
        <v>165</v>
      </c>
      <c r="I52" s="7" t="s">
        <v>159</v>
      </c>
      <c r="J52" s="15" t="s">
        <v>38</v>
      </c>
      <c r="K52" s="7" t="s">
        <v>161</v>
      </c>
      <c r="L52" s="7">
        <v>3</v>
      </c>
      <c r="N52" s="7">
        <v>1</v>
      </c>
      <c r="O52" s="7">
        <v>0.5</v>
      </c>
      <c r="P52" s="7">
        <v>0.5</v>
      </c>
      <c r="Q52" s="52">
        <f t="shared" si="0"/>
        <v>0.5</v>
      </c>
      <c r="R52" s="7">
        <v>15.3</v>
      </c>
      <c r="S52" s="7">
        <v>88</v>
      </c>
      <c r="T52" s="16">
        <f t="shared" si="1"/>
        <v>36</v>
      </c>
      <c r="U52" s="7">
        <v>51</v>
      </c>
      <c r="V52" s="16">
        <f t="shared" si="2"/>
        <v>1836</v>
      </c>
      <c r="W52" s="7">
        <v>6</v>
      </c>
      <c r="X52" s="15" t="s">
        <v>46</v>
      </c>
      <c r="Y52" s="54" t="s">
        <v>40</v>
      </c>
      <c r="Z52" s="54" t="s">
        <v>55</v>
      </c>
      <c r="AA52" s="54" t="s">
        <v>47</v>
      </c>
      <c r="AB52" s="39" t="s">
        <v>158</v>
      </c>
    </row>
    <row r="53" spans="1:29" x14ac:dyDescent="0.15">
      <c r="A53" s="15" t="s">
        <v>156</v>
      </c>
      <c r="B53" s="15" t="s">
        <v>157</v>
      </c>
      <c r="C53" s="15">
        <v>2019</v>
      </c>
      <c r="D53" s="37" t="s">
        <v>166</v>
      </c>
      <c r="E53" s="7" t="s">
        <v>130</v>
      </c>
      <c r="F53" s="7" t="s">
        <v>146</v>
      </c>
      <c r="G53" s="7" t="s">
        <v>36</v>
      </c>
      <c r="H53" s="15" t="s">
        <v>160</v>
      </c>
      <c r="I53" s="7" t="s">
        <v>159</v>
      </c>
      <c r="J53" s="15" t="s">
        <v>38</v>
      </c>
      <c r="K53" s="7" t="s">
        <v>161</v>
      </c>
      <c r="L53" s="7">
        <v>1</v>
      </c>
      <c r="N53" s="7">
        <v>1</v>
      </c>
      <c r="O53" s="7">
        <v>0.6</v>
      </c>
      <c r="P53" s="7">
        <v>0.6</v>
      </c>
      <c r="Q53" s="52">
        <f t="shared" si="0"/>
        <v>0.6</v>
      </c>
      <c r="R53" s="7">
        <v>18.8</v>
      </c>
      <c r="S53" s="7">
        <v>134</v>
      </c>
      <c r="T53" s="16">
        <f t="shared" si="1"/>
        <v>25</v>
      </c>
      <c r="U53" s="7">
        <v>105</v>
      </c>
      <c r="V53" s="16">
        <f t="shared" si="2"/>
        <v>2625</v>
      </c>
      <c r="W53" s="7">
        <v>19</v>
      </c>
      <c r="X53" s="15" t="s">
        <v>46</v>
      </c>
      <c r="Y53" s="54" t="s">
        <v>40</v>
      </c>
      <c r="Z53" s="54" t="s">
        <v>55</v>
      </c>
      <c r="AA53" s="54" t="s">
        <v>47</v>
      </c>
      <c r="AB53" s="39" t="s">
        <v>158</v>
      </c>
      <c r="AC53" s="36"/>
    </row>
    <row r="54" spans="1:29" x14ac:dyDescent="0.15">
      <c r="A54" s="15" t="s">
        <v>156</v>
      </c>
      <c r="B54" s="15" t="s">
        <v>157</v>
      </c>
      <c r="C54" s="15">
        <v>2019</v>
      </c>
      <c r="D54" s="37" t="s">
        <v>166</v>
      </c>
      <c r="E54" s="7" t="s">
        <v>130</v>
      </c>
      <c r="F54" s="7" t="s">
        <v>146</v>
      </c>
      <c r="G54" s="7" t="s">
        <v>36</v>
      </c>
      <c r="H54" s="15" t="s">
        <v>160</v>
      </c>
      <c r="I54" s="7" t="s">
        <v>159</v>
      </c>
      <c r="J54" s="15" t="s">
        <v>38</v>
      </c>
      <c r="K54" s="7" t="s">
        <v>161</v>
      </c>
      <c r="L54" s="7">
        <v>2</v>
      </c>
      <c r="N54" s="7">
        <v>1</v>
      </c>
      <c r="O54" s="7">
        <v>0.75</v>
      </c>
      <c r="P54" s="7">
        <v>0.55000000000000004</v>
      </c>
      <c r="Q54" s="52">
        <f t="shared" si="0"/>
        <v>0.65</v>
      </c>
      <c r="R54" s="7">
        <v>17.3</v>
      </c>
      <c r="S54" s="7">
        <v>135</v>
      </c>
      <c r="T54" s="16">
        <f t="shared" si="1"/>
        <v>25</v>
      </c>
      <c r="U54" s="7">
        <v>105</v>
      </c>
      <c r="V54" s="16">
        <f t="shared" si="2"/>
        <v>2625</v>
      </c>
      <c r="W54" s="7">
        <v>19</v>
      </c>
      <c r="X54" s="15" t="s">
        <v>46</v>
      </c>
      <c r="Y54" s="54" t="s">
        <v>40</v>
      </c>
      <c r="Z54" s="54" t="s">
        <v>55</v>
      </c>
      <c r="AA54" s="54" t="s">
        <v>47</v>
      </c>
      <c r="AB54" s="39" t="s">
        <v>158</v>
      </c>
      <c r="AC54" s="36"/>
    </row>
    <row r="55" spans="1:29" x14ac:dyDescent="0.15">
      <c r="A55" s="15" t="s">
        <v>156</v>
      </c>
      <c r="B55" s="15" t="s">
        <v>157</v>
      </c>
      <c r="C55" s="15">
        <v>2019</v>
      </c>
      <c r="D55" s="37" t="s">
        <v>166</v>
      </c>
      <c r="E55" s="7" t="s">
        <v>130</v>
      </c>
      <c r="F55" s="7" t="s">
        <v>146</v>
      </c>
      <c r="G55" s="7" t="s">
        <v>36</v>
      </c>
      <c r="H55" s="15" t="s">
        <v>160</v>
      </c>
      <c r="I55" s="7" t="s">
        <v>159</v>
      </c>
      <c r="J55" s="15" t="s">
        <v>38</v>
      </c>
      <c r="K55" s="7" t="s">
        <v>161</v>
      </c>
      <c r="L55" s="7">
        <v>3</v>
      </c>
      <c r="N55" s="7">
        <v>1</v>
      </c>
      <c r="O55" s="7">
        <v>0.7</v>
      </c>
      <c r="P55" s="7">
        <v>0.65</v>
      </c>
      <c r="Q55" s="52">
        <f t="shared" si="0"/>
        <v>0.67500000000000004</v>
      </c>
      <c r="R55" s="7">
        <v>19.5</v>
      </c>
      <c r="S55" s="7">
        <v>130</v>
      </c>
      <c r="T55" s="16">
        <f t="shared" si="1"/>
        <v>25</v>
      </c>
      <c r="U55" s="7">
        <v>105</v>
      </c>
      <c r="V55" s="16">
        <f t="shared" si="2"/>
        <v>2625</v>
      </c>
      <c r="W55" s="7">
        <v>19</v>
      </c>
      <c r="X55" s="15" t="s">
        <v>46</v>
      </c>
      <c r="Y55" s="54" t="s">
        <v>40</v>
      </c>
      <c r="Z55" s="54" t="s">
        <v>55</v>
      </c>
      <c r="AA55" s="54" t="s">
        <v>47</v>
      </c>
      <c r="AB55" s="39" t="s">
        <v>158</v>
      </c>
      <c r="AC55" s="36"/>
    </row>
    <row r="56" spans="1:29" x14ac:dyDescent="0.15">
      <c r="A56" s="15" t="s">
        <v>156</v>
      </c>
      <c r="B56" s="15" t="s">
        <v>157</v>
      </c>
      <c r="C56" s="15">
        <v>2019</v>
      </c>
      <c r="D56" s="37" t="s">
        <v>166</v>
      </c>
      <c r="E56" s="7" t="s">
        <v>132</v>
      </c>
      <c r="F56" s="7" t="s">
        <v>147</v>
      </c>
      <c r="G56" s="7" t="s">
        <v>36</v>
      </c>
      <c r="H56" s="15" t="s">
        <v>165</v>
      </c>
      <c r="I56" s="7" t="s">
        <v>159</v>
      </c>
      <c r="J56" s="15" t="s">
        <v>38</v>
      </c>
      <c r="K56" s="7" t="s">
        <v>161</v>
      </c>
      <c r="L56" s="7">
        <v>1</v>
      </c>
      <c r="N56" s="7">
        <v>1</v>
      </c>
      <c r="O56" s="7">
        <v>0.8</v>
      </c>
      <c r="P56" s="7">
        <v>0.85</v>
      </c>
      <c r="Q56" s="52">
        <f t="shared" si="0"/>
        <v>0.82499999999999996</v>
      </c>
      <c r="R56" s="7">
        <v>16.399999999999999</v>
      </c>
      <c r="S56" s="7">
        <v>117</v>
      </c>
      <c r="T56" s="16">
        <f t="shared" si="1"/>
        <v>30</v>
      </c>
      <c r="U56" s="7">
        <v>138</v>
      </c>
      <c r="V56" s="16">
        <f t="shared" si="2"/>
        <v>4140</v>
      </c>
      <c r="W56" s="7">
        <v>6</v>
      </c>
      <c r="X56" s="15" t="s">
        <v>46</v>
      </c>
      <c r="Y56" s="15" t="s">
        <v>55</v>
      </c>
      <c r="Z56" s="15" t="s">
        <v>47</v>
      </c>
      <c r="AA56" s="15" t="s">
        <v>90</v>
      </c>
      <c r="AB56" s="39" t="s">
        <v>158</v>
      </c>
    </row>
    <row r="57" spans="1:29" x14ac:dyDescent="0.15">
      <c r="A57" s="15" t="s">
        <v>156</v>
      </c>
      <c r="B57" s="15" t="s">
        <v>157</v>
      </c>
      <c r="C57" s="15">
        <v>2019</v>
      </c>
      <c r="D57" s="37" t="s">
        <v>166</v>
      </c>
      <c r="E57" s="7" t="s">
        <v>132</v>
      </c>
      <c r="F57" s="7" t="s">
        <v>147</v>
      </c>
      <c r="G57" s="7" t="s">
        <v>36</v>
      </c>
      <c r="H57" s="15" t="s">
        <v>165</v>
      </c>
      <c r="I57" s="7" t="s">
        <v>159</v>
      </c>
      <c r="J57" s="15" t="s">
        <v>38</v>
      </c>
      <c r="K57" s="7" t="s">
        <v>161</v>
      </c>
      <c r="L57" s="7">
        <v>2</v>
      </c>
      <c r="N57" s="7">
        <v>1</v>
      </c>
      <c r="O57" s="7">
        <v>0.8</v>
      </c>
      <c r="P57" s="7">
        <v>0.9</v>
      </c>
      <c r="Q57" s="52">
        <f t="shared" si="0"/>
        <v>0.85000000000000009</v>
      </c>
      <c r="R57" s="7">
        <v>16.5</v>
      </c>
      <c r="S57" s="7">
        <v>124</v>
      </c>
      <c r="T57" s="16">
        <f t="shared" si="1"/>
        <v>27</v>
      </c>
      <c r="U57" s="7">
        <v>138</v>
      </c>
      <c r="V57" s="16">
        <f t="shared" si="2"/>
        <v>3726</v>
      </c>
      <c r="W57" s="7">
        <v>6</v>
      </c>
      <c r="X57" s="15" t="s">
        <v>46</v>
      </c>
      <c r="Y57" s="54" t="s">
        <v>55</v>
      </c>
      <c r="Z57" s="54" t="s">
        <v>47</v>
      </c>
      <c r="AA57" s="54" t="s">
        <v>90</v>
      </c>
      <c r="AB57" s="39" t="s">
        <v>158</v>
      </c>
    </row>
    <row r="58" spans="1:29" x14ac:dyDescent="0.15">
      <c r="A58" s="15" t="s">
        <v>156</v>
      </c>
      <c r="B58" s="15" t="s">
        <v>157</v>
      </c>
      <c r="C58" s="15">
        <v>2019</v>
      </c>
      <c r="D58" s="37" t="s">
        <v>166</v>
      </c>
      <c r="E58" s="7" t="s">
        <v>132</v>
      </c>
      <c r="F58" s="7" t="s">
        <v>147</v>
      </c>
      <c r="G58" s="7" t="s">
        <v>36</v>
      </c>
      <c r="H58" s="15" t="s">
        <v>165</v>
      </c>
      <c r="I58" s="7" t="s">
        <v>159</v>
      </c>
      <c r="J58" s="15" t="s">
        <v>38</v>
      </c>
      <c r="K58" s="7" t="s">
        <v>161</v>
      </c>
      <c r="L58" s="7">
        <v>3</v>
      </c>
      <c r="N58" s="7">
        <v>1</v>
      </c>
      <c r="O58" s="7">
        <v>0.75</v>
      </c>
      <c r="P58" s="7">
        <v>0.75</v>
      </c>
      <c r="Q58" s="52">
        <f t="shared" si="0"/>
        <v>0.75</v>
      </c>
      <c r="R58" s="7">
        <v>16.600000000000001</v>
      </c>
      <c r="S58" s="7">
        <v>118</v>
      </c>
      <c r="T58" s="16">
        <f t="shared" si="1"/>
        <v>30</v>
      </c>
      <c r="U58" s="7">
        <v>138</v>
      </c>
      <c r="V58" s="16">
        <f t="shared" si="2"/>
        <v>4140</v>
      </c>
      <c r="W58" s="7">
        <v>6</v>
      </c>
      <c r="X58" s="15" t="s">
        <v>46</v>
      </c>
      <c r="Y58" s="54" t="s">
        <v>55</v>
      </c>
      <c r="Z58" s="54" t="s">
        <v>47</v>
      </c>
      <c r="AA58" s="54" t="s">
        <v>90</v>
      </c>
      <c r="AB58" s="39" t="s">
        <v>158</v>
      </c>
    </row>
    <row r="59" spans="1:29" x14ac:dyDescent="0.15">
      <c r="A59" s="15" t="s">
        <v>156</v>
      </c>
      <c r="B59" s="15" t="s">
        <v>157</v>
      </c>
      <c r="C59" s="15">
        <v>2019</v>
      </c>
      <c r="D59" s="37" t="s">
        <v>166</v>
      </c>
      <c r="E59" s="7" t="s">
        <v>132</v>
      </c>
      <c r="F59" s="7" t="s">
        <v>147</v>
      </c>
      <c r="G59" s="7" t="s">
        <v>36</v>
      </c>
      <c r="H59" s="15" t="s">
        <v>160</v>
      </c>
      <c r="I59" s="7" t="s">
        <v>159</v>
      </c>
      <c r="J59" s="15" t="s">
        <v>38</v>
      </c>
      <c r="K59" s="7" t="s">
        <v>161</v>
      </c>
      <c r="L59" s="7">
        <v>1</v>
      </c>
      <c r="N59" s="7">
        <v>1</v>
      </c>
      <c r="O59" s="7">
        <v>0.5</v>
      </c>
      <c r="P59" s="7">
        <v>0.5</v>
      </c>
      <c r="Q59" s="52">
        <f t="shared" si="0"/>
        <v>0.5</v>
      </c>
      <c r="R59" s="7">
        <v>19.899999999999999</v>
      </c>
      <c r="S59" s="7">
        <v>110</v>
      </c>
      <c r="T59" s="16">
        <f t="shared" si="1"/>
        <v>33</v>
      </c>
      <c r="U59" s="7">
        <v>108</v>
      </c>
      <c r="V59" s="16">
        <f t="shared" si="2"/>
        <v>3564</v>
      </c>
      <c r="W59" s="7">
        <v>12</v>
      </c>
      <c r="X59" s="15" t="s">
        <v>46</v>
      </c>
      <c r="Y59" s="54" t="s">
        <v>55</v>
      </c>
      <c r="Z59" s="54" t="s">
        <v>47</v>
      </c>
      <c r="AA59" s="54" t="s">
        <v>90</v>
      </c>
      <c r="AB59" s="39" t="s">
        <v>158</v>
      </c>
    </row>
    <row r="60" spans="1:29" x14ac:dyDescent="0.15">
      <c r="A60" s="15" t="s">
        <v>156</v>
      </c>
      <c r="B60" s="15" t="s">
        <v>157</v>
      </c>
      <c r="C60" s="15">
        <v>2019</v>
      </c>
      <c r="D60" s="37" t="s">
        <v>166</v>
      </c>
      <c r="E60" s="7" t="s">
        <v>132</v>
      </c>
      <c r="F60" s="7" t="s">
        <v>147</v>
      </c>
      <c r="G60" s="7" t="s">
        <v>36</v>
      </c>
      <c r="H60" s="15" t="s">
        <v>160</v>
      </c>
      <c r="I60" s="7" t="s">
        <v>159</v>
      </c>
      <c r="J60" s="15" t="s">
        <v>38</v>
      </c>
      <c r="K60" s="7" t="s">
        <v>161</v>
      </c>
      <c r="L60" s="7">
        <v>2</v>
      </c>
      <c r="N60" s="7">
        <v>1</v>
      </c>
      <c r="O60" s="7">
        <v>0.9</v>
      </c>
      <c r="P60" s="7">
        <v>0.95</v>
      </c>
      <c r="Q60" s="52">
        <f t="shared" si="0"/>
        <v>0.92500000000000004</v>
      </c>
      <c r="R60" s="7">
        <v>16</v>
      </c>
      <c r="S60" s="7">
        <v>113</v>
      </c>
      <c r="T60" s="16">
        <f>IF(H60="","",IF(OR(H60="GREEN",H60="GK"),IF(S60&gt;=$AX$2,VLOOKUP(S60,$AX$2:$AY$12,2,1),""),IF(S60&gt;=$AZ$2,VLOOKUP(S60,$AZ$2:$BA$12,2,1),"")))</f>
        <v>30</v>
      </c>
      <c r="U60" s="7">
        <v>108</v>
      </c>
      <c r="V60" s="16">
        <f t="shared" si="2"/>
        <v>3240</v>
      </c>
      <c r="W60" s="7">
        <v>12</v>
      </c>
      <c r="X60" s="15" t="s">
        <v>46</v>
      </c>
      <c r="Y60" s="54" t="s">
        <v>55</v>
      </c>
      <c r="Z60" s="54" t="s">
        <v>47</v>
      </c>
      <c r="AA60" s="54" t="s">
        <v>90</v>
      </c>
      <c r="AB60" s="39" t="s">
        <v>158</v>
      </c>
    </row>
    <row r="61" spans="1:29" x14ac:dyDescent="0.15">
      <c r="A61" s="15" t="s">
        <v>156</v>
      </c>
      <c r="B61" s="15" t="s">
        <v>157</v>
      </c>
      <c r="C61" s="15">
        <v>2019</v>
      </c>
      <c r="D61" s="37" t="s">
        <v>166</v>
      </c>
      <c r="E61" s="7" t="s">
        <v>132</v>
      </c>
      <c r="F61" s="7" t="s">
        <v>147</v>
      </c>
      <c r="G61" s="7" t="s">
        <v>36</v>
      </c>
      <c r="H61" s="15" t="s">
        <v>160</v>
      </c>
      <c r="I61" s="7" t="s">
        <v>159</v>
      </c>
      <c r="J61" s="15" t="s">
        <v>38</v>
      </c>
      <c r="K61" s="7" t="s">
        <v>161</v>
      </c>
      <c r="L61" s="7">
        <v>3</v>
      </c>
      <c r="N61" s="7">
        <v>1</v>
      </c>
      <c r="O61" s="7">
        <v>0.5</v>
      </c>
      <c r="P61" s="7">
        <v>0.5</v>
      </c>
      <c r="Q61" s="52">
        <f t="shared" si="0"/>
        <v>0.5</v>
      </c>
      <c r="R61" s="7">
        <v>19</v>
      </c>
      <c r="S61" s="7">
        <v>108</v>
      </c>
      <c r="T61" s="16">
        <f>IF(H61="","",IF(OR(H61="GREEN",H61="GK"),IF(S61&gt;=$AX$2,VLOOKUP(S61,$AX$2:$AY$12,2,1),""),IF(S61&gt;=$AZ$2,VLOOKUP(S61,$AZ$2:$BA$12,2,1),"")))</f>
        <v>33</v>
      </c>
      <c r="U61" s="7">
        <v>108</v>
      </c>
      <c r="V61" s="16">
        <f t="shared" si="2"/>
        <v>3564</v>
      </c>
      <c r="W61" s="7">
        <v>12</v>
      </c>
      <c r="X61" s="15" t="s">
        <v>46</v>
      </c>
      <c r="Y61" s="54" t="s">
        <v>55</v>
      </c>
      <c r="Z61" s="54" t="s">
        <v>47</v>
      </c>
      <c r="AA61" s="54" t="s">
        <v>90</v>
      </c>
      <c r="AB61" s="39" t="s">
        <v>158</v>
      </c>
    </row>
    <row r="62" spans="1:29" x14ac:dyDescent="0.15">
      <c r="A62" s="15" t="s">
        <v>156</v>
      </c>
      <c r="B62" s="15" t="s">
        <v>157</v>
      </c>
      <c r="C62" s="15">
        <v>2019</v>
      </c>
      <c r="D62" s="37" t="s">
        <v>166</v>
      </c>
      <c r="E62" s="7" t="s">
        <v>140</v>
      </c>
      <c r="F62" s="7" t="s">
        <v>148</v>
      </c>
      <c r="G62" s="7" t="s">
        <v>36</v>
      </c>
      <c r="H62" s="15" t="s">
        <v>165</v>
      </c>
      <c r="I62" s="7" t="s">
        <v>159</v>
      </c>
      <c r="J62" s="15" t="s">
        <v>38</v>
      </c>
      <c r="K62" s="7" t="s">
        <v>161</v>
      </c>
      <c r="L62" s="7">
        <v>1</v>
      </c>
      <c r="N62" s="7">
        <v>2</v>
      </c>
      <c r="O62" s="7">
        <v>1.1000000000000001</v>
      </c>
      <c r="P62" s="7">
        <v>1.05</v>
      </c>
      <c r="Q62" s="52">
        <f t="shared" si="0"/>
        <v>1.0750000000000002</v>
      </c>
      <c r="R62" s="7">
        <v>15.5</v>
      </c>
      <c r="S62" s="7">
        <v>129</v>
      </c>
      <c r="T62" s="16">
        <f t="shared" ref="T62:T120" si="3">IF(H62="","",IF(OR(H62="GREEN",H62="GK"),IF(S62&gt;=$AX$2,VLOOKUP(S62,$AX$2:$AY$12,2,1),""),IF(S62&gt;=$AZ$2,VLOOKUP(S62,$AZ$2:$BA$12,2,1),"")))</f>
        <v>25</v>
      </c>
      <c r="U62" s="7">
        <v>278</v>
      </c>
      <c r="V62" s="16">
        <f t="shared" si="2"/>
        <v>3475</v>
      </c>
      <c r="W62" s="7">
        <v>4</v>
      </c>
      <c r="X62" s="54" t="s">
        <v>46</v>
      </c>
      <c r="Y62" s="54" t="s">
        <v>55</v>
      </c>
      <c r="Z62" s="54" t="s">
        <v>47</v>
      </c>
      <c r="AA62" s="54" t="s">
        <v>90</v>
      </c>
      <c r="AB62" s="39" t="s">
        <v>158</v>
      </c>
    </row>
    <row r="63" spans="1:29" x14ac:dyDescent="0.15">
      <c r="A63" s="15" t="s">
        <v>156</v>
      </c>
      <c r="B63" s="15" t="s">
        <v>157</v>
      </c>
      <c r="C63" s="15">
        <v>2019</v>
      </c>
      <c r="D63" s="37" t="s">
        <v>166</v>
      </c>
      <c r="E63" s="7" t="s">
        <v>140</v>
      </c>
      <c r="F63" s="7" t="s">
        <v>148</v>
      </c>
      <c r="G63" s="7" t="s">
        <v>36</v>
      </c>
      <c r="H63" s="15" t="s">
        <v>165</v>
      </c>
      <c r="I63" s="7" t="s">
        <v>159</v>
      </c>
      <c r="J63" s="15" t="s">
        <v>38</v>
      </c>
      <c r="K63" s="7" t="s">
        <v>161</v>
      </c>
      <c r="L63" s="7">
        <v>2</v>
      </c>
      <c r="N63" s="7">
        <v>2</v>
      </c>
      <c r="O63" s="7">
        <v>0.85</v>
      </c>
      <c r="P63" s="7">
        <v>0.7</v>
      </c>
      <c r="Q63" s="52">
        <f t="shared" si="0"/>
        <v>0.77499999999999991</v>
      </c>
      <c r="R63" s="7">
        <v>15.8</v>
      </c>
      <c r="S63" s="7">
        <v>131</v>
      </c>
      <c r="T63" s="16">
        <f t="shared" si="3"/>
        <v>25</v>
      </c>
      <c r="U63" s="7">
        <v>278</v>
      </c>
      <c r="V63" s="16">
        <f t="shared" si="2"/>
        <v>3475</v>
      </c>
      <c r="W63" s="7">
        <v>4</v>
      </c>
      <c r="X63" s="54" t="s">
        <v>46</v>
      </c>
      <c r="Y63" s="54" t="s">
        <v>55</v>
      </c>
      <c r="Z63" s="54" t="s">
        <v>47</v>
      </c>
      <c r="AA63" s="54" t="s">
        <v>90</v>
      </c>
      <c r="AB63" s="39" t="s">
        <v>158</v>
      </c>
    </row>
    <row r="64" spans="1:29" x14ac:dyDescent="0.15">
      <c r="A64" s="15" t="s">
        <v>156</v>
      </c>
      <c r="B64" s="15" t="s">
        <v>157</v>
      </c>
      <c r="C64" s="15">
        <v>2019</v>
      </c>
      <c r="D64" s="37" t="s">
        <v>166</v>
      </c>
      <c r="E64" s="7" t="s">
        <v>140</v>
      </c>
      <c r="F64" s="7" t="s">
        <v>148</v>
      </c>
      <c r="G64" s="7" t="s">
        <v>36</v>
      </c>
      <c r="H64" s="15" t="s">
        <v>165</v>
      </c>
      <c r="I64" s="7" t="s">
        <v>159</v>
      </c>
      <c r="J64" s="15" t="s">
        <v>38</v>
      </c>
      <c r="K64" s="7" t="s">
        <v>161</v>
      </c>
      <c r="L64" s="7">
        <v>3</v>
      </c>
      <c r="N64" s="7">
        <v>2</v>
      </c>
      <c r="O64" s="7">
        <v>0.95</v>
      </c>
      <c r="P64" s="7">
        <v>0.95</v>
      </c>
      <c r="Q64" s="52">
        <f t="shared" si="0"/>
        <v>0.95</v>
      </c>
      <c r="R64" s="7">
        <v>15.6</v>
      </c>
      <c r="S64" s="7">
        <v>129</v>
      </c>
      <c r="T64" s="16">
        <f t="shared" si="3"/>
        <v>25</v>
      </c>
      <c r="U64" s="7">
        <v>278</v>
      </c>
      <c r="V64" s="16">
        <f t="shared" si="2"/>
        <v>3475</v>
      </c>
      <c r="W64" s="7">
        <v>4</v>
      </c>
      <c r="X64" s="54" t="s">
        <v>46</v>
      </c>
      <c r="Y64" s="54" t="s">
        <v>55</v>
      </c>
      <c r="Z64" s="54" t="s">
        <v>47</v>
      </c>
      <c r="AA64" s="54" t="s">
        <v>90</v>
      </c>
      <c r="AB64" s="39" t="s">
        <v>158</v>
      </c>
    </row>
    <row r="65" spans="1:28" x14ac:dyDescent="0.15">
      <c r="A65" s="15" t="s">
        <v>156</v>
      </c>
      <c r="B65" s="15" t="s">
        <v>157</v>
      </c>
      <c r="C65" s="15">
        <v>2019</v>
      </c>
      <c r="D65" s="37" t="s">
        <v>166</v>
      </c>
      <c r="E65" s="7" t="s">
        <v>140</v>
      </c>
      <c r="F65" s="7" t="s">
        <v>148</v>
      </c>
      <c r="G65" s="7" t="s">
        <v>36</v>
      </c>
      <c r="H65" s="15" t="s">
        <v>164</v>
      </c>
      <c r="I65" s="7" t="s">
        <v>159</v>
      </c>
      <c r="J65" s="15" t="s">
        <v>38</v>
      </c>
      <c r="K65" s="7" t="s">
        <v>161</v>
      </c>
      <c r="L65" s="7">
        <v>1</v>
      </c>
      <c r="N65" s="7">
        <v>1</v>
      </c>
      <c r="O65" s="7">
        <v>0.9</v>
      </c>
      <c r="P65" s="7">
        <v>0.85</v>
      </c>
      <c r="Q65" s="52">
        <f t="shared" si="0"/>
        <v>0.875</v>
      </c>
      <c r="R65" s="7">
        <v>18.8</v>
      </c>
      <c r="S65" s="7">
        <v>92</v>
      </c>
      <c r="T65" s="16">
        <f t="shared" si="3"/>
        <v>36</v>
      </c>
      <c r="U65" s="7">
        <v>138</v>
      </c>
      <c r="V65" s="16">
        <f t="shared" si="2"/>
        <v>4968</v>
      </c>
      <c r="W65" s="7">
        <v>7</v>
      </c>
      <c r="X65" s="54" t="s">
        <v>46</v>
      </c>
      <c r="Y65" s="54" t="s">
        <v>55</v>
      </c>
      <c r="Z65" s="54" t="s">
        <v>47</v>
      </c>
      <c r="AA65" s="54" t="s">
        <v>90</v>
      </c>
      <c r="AB65" s="39" t="s">
        <v>158</v>
      </c>
    </row>
    <row r="66" spans="1:28" x14ac:dyDescent="0.15">
      <c r="A66" s="15" t="s">
        <v>156</v>
      </c>
      <c r="B66" s="15" t="s">
        <v>157</v>
      </c>
      <c r="C66" s="15">
        <v>2019</v>
      </c>
      <c r="D66" s="37" t="s">
        <v>166</v>
      </c>
      <c r="E66" s="7" t="s">
        <v>140</v>
      </c>
      <c r="F66" s="7" t="s">
        <v>148</v>
      </c>
      <c r="G66" s="7" t="s">
        <v>36</v>
      </c>
      <c r="H66" s="15" t="s">
        <v>164</v>
      </c>
      <c r="I66" s="7" t="s">
        <v>159</v>
      </c>
      <c r="J66" s="15" t="s">
        <v>38</v>
      </c>
      <c r="K66" s="7" t="s">
        <v>161</v>
      </c>
      <c r="L66" s="7">
        <v>2</v>
      </c>
      <c r="N66" s="7">
        <v>1</v>
      </c>
      <c r="O66" s="7">
        <v>0.75</v>
      </c>
      <c r="P66" s="7">
        <v>0.85</v>
      </c>
      <c r="Q66" s="52">
        <f t="shared" ref="Q66:Q77" si="4">IF(OR(O66="",P66=""),"",AVERAGE(O66,P66))</f>
        <v>0.8</v>
      </c>
      <c r="R66" s="7">
        <v>18.399999999999999</v>
      </c>
      <c r="S66" s="7">
        <v>96</v>
      </c>
      <c r="T66" s="16">
        <f t="shared" si="3"/>
        <v>36</v>
      </c>
      <c r="U66" s="7">
        <v>138</v>
      </c>
      <c r="V66" s="16">
        <f t="shared" ref="V66:V70" si="5">IF(OR(N66="",U66="",T66=""),"",U66/N66*T66)</f>
        <v>4968</v>
      </c>
      <c r="W66" s="7">
        <v>7</v>
      </c>
      <c r="X66" s="54" t="s">
        <v>46</v>
      </c>
      <c r="Y66" s="54" t="s">
        <v>55</v>
      </c>
      <c r="Z66" s="54" t="s">
        <v>47</v>
      </c>
      <c r="AA66" s="54" t="s">
        <v>90</v>
      </c>
      <c r="AB66" s="39" t="s">
        <v>158</v>
      </c>
    </row>
    <row r="67" spans="1:28" x14ac:dyDescent="0.15">
      <c r="A67" s="15" t="s">
        <v>156</v>
      </c>
      <c r="B67" s="15" t="s">
        <v>157</v>
      </c>
      <c r="C67" s="15">
        <v>2019</v>
      </c>
      <c r="D67" s="37" t="s">
        <v>166</v>
      </c>
      <c r="E67" s="7" t="s">
        <v>140</v>
      </c>
      <c r="F67" s="7" t="s">
        <v>148</v>
      </c>
      <c r="G67" s="7" t="s">
        <v>36</v>
      </c>
      <c r="H67" s="15" t="s">
        <v>164</v>
      </c>
      <c r="I67" s="7" t="s">
        <v>159</v>
      </c>
      <c r="J67" s="15" t="s">
        <v>38</v>
      </c>
      <c r="K67" s="7" t="s">
        <v>161</v>
      </c>
      <c r="L67" s="7">
        <v>3</v>
      </c>
      <c r="N67" s="7">
        <v>1</v>
      </c>
      <c r="O67" s="7">
        <v>1</v>
      </c>
      <c r="P67" s="7">
        <v>1.1499999999999999</v>
      </c>
      <c r="Q67" s="52">
        <f t="shared" si="4"/>
        <v>1.075</v>
      </c>
      <c r="R67" s="7">
        <v>19.600000000000001</v>
      </c>
      <c r="S67" s="7">
        <v>92</v>
      </c>
      <c r="T67" s="16">
        <f t="shared" si="3"/>
        <v>36</v>
      </c>
      <c r="U67" s="7">
        <v>138</v>
      </c>
      <c r="V67" s="16">
        <f t="shared" si="5"/>
        <v>4968</v>
      </c>
      <c r="W67" s="7">
        <v>7</v>
      </c>
      <c r="X67" s="54" t="s">
        <v>46</v>
      </c>
      <c r="Y67" s="54" t="s">
        <v>55</v>
      </c>
      <c r="Z67" s="54" t="s">
        <v>47</v>
      </c>
      <c r="AA67" s="54" t="s">
        <v>90</v>
      </c>
      <c r="AB67" s="39" t="s">
        <v>158</v>
      </c>
    </row>
    <row r="68" spans="1:28" x14ac:dyDescent="0.15">
      <c r="A68" s="15" t="s">
        <v>156</v>
      </c>
      <c r="B68" s="15" t="s">
        <v>157</v>
      </c>
      <c r="C68" s="15">
        <v>2019</v>
      </c>
      <c r="D68" s="37" t="s">
        <v>166</v>
      </c>
      <c r="E68" s="7" t="s">
        <v>140</v>
      </c>
      <c r="F68" s="7" t="s">
        <v>148</v>
      </c>
      <c r="G68" s="7" t="s">
        <v>36</v>
      </c>
      <c r="H68" s="15" t="s">
        <v>160</v>
      </c>
      <c r="I68" s="7" t="s">
        <v>159</v>
      </c>
      <c r="J68" s="15" t="s">
        <v>38</v>
      </c>
      <c r="K68" s="7" t="s">
        <v>161</v>
      </c>
      <c r="L68" s="7">
        <v>1</v>
      </c>
      <c r="N68" s="7">
        <v>1</v>
      </c>
      <c r="O68" s="7">
        <v>0.75</v>
      </c>
      <c r="P68" s="7">
        <v>0.6</v>
      </c>
      <c r="Q68" s="52">
        <f t="shared" si="4"/>
        <v>0.67500000000000004</v>
      </c>
      <c r="R68" s="7">
        <v>16.899999999999999</v>
      </c>
      <c r="S68" s="7">
        <v>148</v>
      </c>
      <c r="T68" s="16">
        <f t="shared" si="3"/>
        <v>22</v>
      </c>
      <c r="U68" s="7">
        <v>170</v>
      </c>
      <c r="V68" s="16">
        <f t="shared" si="5"/>
        <v>3740</v>
      </c>
      <c r="W68" s="7">
        <v>15</v>
      </c>
      <c r="X68" s="54" t="s">
        <v>46</v>
      </c>
      <c r="Y68" s="54" t="s">
        <v>55</v>
      </c>
      <c r="Z68" s="54" t="s">
        <v>47</v>
      </c>
      <c r="AA68" s="54" t="s">
        <v>90</v>
      </c>
      <c r="AB68" s="39" t="s">
        <v>158</v>
      </c>
    </row>
    <row r="69" spans="1:28" x14ac:dyDescent="0.15">
      <c r="A69" s="15" t="s">
        <v>156</v>
      </c>
      <c r="B69" s="15" t="s">
        <v>157</v>
      </c>
      <c r="C69" s="15">
        <v>2019</v>
      </c>
      <c r="D69" s="37" t="s">
        <v>166</v>
      </c>
      <c r="E69" s="7" t="s">
        <v>140</v>
      </c>
      <c r="F69" s="7" t="s">
        <v>148</v>
      </c>
      <c r="G69" s="7" t="s">
        <v>36</v>
      </c>
      <c r="H69" s="15" t="s">
        <v>160</v>
      </c>
      <c r="I69" s="7" t="s">
        <v>159</v>
      </c>
      <c r="J69" s="15" t="s">
        <v>38</v>
      </c>
      <c r="K69" s="7" t="s">
        <v>161</v>
      </c>
      <c r="L69" s="7">
        <v>2</v>
      </c>
      <c r="N69" s="7">
        <v>1</v>
      </c>
      <c r="O69" s="7">
        <v>0.65</v>
      </c>
      <c r="P69" s="7">
        <v>0.55000000000000004</v>
      </c>
      <c r="Q69" s="52">
        <f t="shared" si="4"/>
        <v>0.60000000000000009</v>
      </c>
      <c r="R69" s="7">
        <v>16.5</v>
      </c>
      <c r="S69" s="7">
        <v>146</v>
      </c>
      <c r="T69" s="16">
        <f t="shared" si="3"/>
        <v>22</v>
      </c>
      <c r="U69" s="7">
        <v>170</v>
      </c>
      <c r="V69" s="16">
        <f t="shared" si="5"/>
        <v>3740</v>
      </c>
      <c r="W69" s="7">
        <v>15</v>
      </c>
      <c r="X69" s="54" t="s">
        <v>46</v>
      </c>
      <c r="Y69" s="54" t="s">
        <v>55</v>
      </c>
      <c r="Z69" s="54" t="s">
        <v>47</v>
      </c>
      <c r="AA69" s="54" t="s">
        <v>90</v>
      </c>
      <c r="AB69" s="39" t="s">
        <v>158</v>
      </c>
    </row>
    <row r="70" spans="1:28" x14ac:dyDescent="0.15">
      <c r="A70" s="15" t="s">
        <v>156</v>
      </c>
      <c r="B70" s="15" t="s">
        <v>157</v>
      </c>
      <c r="C70" s="15">
        <v>2019</v>
      </c>
      <c r="D70" s="37" t="s">
        <v>166</v>
      </c>
      <c r="E70" s="7" t="s">
        <v>140</v>
      </c>
      <c r="F70" s="7" t="s">
        <v>148</v>
      </c>
      <c r="G70" s="7" t="s">
        <v>36</v>
      </c>
      <c r="H70" s="15" t="s">
        <v>160</v>
      </c>
      <c r="I70" s="7" t="s">
        <v>159</v>
      </c>
      <c r="J70" s="15" t="s">
        <v>38</v>
      </c>
      <c r="K70" s="7" t="s">
        <v>161</v>
      </c>
      <c r="L70" s="7">
        <v>3</v>
      </c>
      <c r="N70" s="7">
        <v>1</v>
      </c>
      <c r="O70" s="7">
        <v>0.5</v>
      </c>
      <c r="P70" s="7">
        <v>0.5</v>
      </c>
      <c r="Q70" s="52">
        <f t="shared" si="4"/>
        <v>0.5</v>
      </c>
      <c r="R70" s="7">
        <v>16.8</v>
      </c>
      <c r="S70" s="7">
        <v>145</v>
      </c>
      <c r="T70" s="16">
        <f t="shared" si="3"/>
        <v>22</v>
      </c>
      <c r="U70" s="7">
        <v>170</v>
      </c>
      <c r="V70" s="16">
        <f t="shared" si="5"/>
        <v>3740</v>
      </c>
      <c r="W70" s="7">
        <v>15</v>
      </c>
      <c r="X70" s="54" t="s">
        <v>46</v>
      </c>
      <c r="Y70" s="54" t="s">
        <v>55</v>
      </c>
      <c r="Z70" s="54" t="s">
        <v>47</v>
      </c>
      <c r="AA70" s="54" t="s">
        <v>90</v>
      </c>
      <c r="AB70" s="39" t="s">
        <v>158</v>
      </c>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7B018-A116-4D6C-9B34-D60F8A272252}">
  <dimension ref="A1:BA408"/>
  <sheetViews>
    <sheetView zoomScale="70" zoomScaleNormal="70" workbookViewId="0">
      <selection activeCell="AB2" sqref="AB2"/>
    </sheetView>
  </sheetViews>
  <sheetFormatPr defaultColWidth="9" defaultRowHeight="13.5" x14ac:dyDescent="0.15"/>
  <cols>
    <col min="1" max="3" width="9" style="36"/>
    <col min="4" max="4" width="11" style="36" customWidth="1"/>
    <col min="5" max="5" width="10.875" style="36" customWidth="1"/>
    <col min="6" max="16" width="9" style="36"/>
    <col min="17" max="17" width="9" style="62"/>
    <col min="18" max="18" width="9" style="36"/>
    <col min="19" max="19" width="11.625" style="36" customWidth="1"/>
    <col min="20" max="20" width="9" style="62"/>
    <col min="21" max="21" width="9" style="36"/>
    <col min="22" max="22" width="9" style="93"/>
    <col min="23" max="32" width="9" style="36"/>
    <col min="33" max="33" width="14.375" style="36" customWidth="1"/>
    <col min="34" max="34" width="11.375" style="36" customWidth="1"/>
    <col min="35" max="16384" width="9" style="36"/>
  </cols>
  <sheetData>
    <row r="1" spans="1:53" ht="45" x14ac:dyDescent="0.15">
      <c r="A1" s="44" t="s">
        <v>0</v>
      </c>
      <c r="B1" s="1" t="s">
        <v>169</v>
      </c>
      <c r="C1" s="1" t="s">
        <v>170</v>
      </c>
      <c r="D1" s="2" t="s">
        <v>3</v>
      </c>
      <c r="E1" s="45" t="s">
        <v>4</v>
      </c>
      <c r="F1" s="45" t="s">
        <v>5</v>
      </c>
      <c r="G1" s="45" t="s">
        <v>6</v>
      </c>
      <c r="H1" s="45" t="s">
        <v>7</v>
      </c>
      <c r="I1" s="45" t="s">
        <v>8</v>
      </c>
      <c r="J1" s="45" t="s">
        <v>9</v>
      </c>
      <c r="K1" s="45" t="s">
        <v>10</v>
      </c>
      <c r="L1" s="2" t="s">
        <v>171</v>
      </c>
      <c r="M1" s="2" t="s">
        <v>172</v>
      </c>
      <c r="N1" s="2" t="s">
        <v>13</v>
      </c>
      <c r="O1" s="2" t="s">
        <v>173</v>
      </c>
      <c r="P1" s="2" t="s">
        <v>174</v>
      </c>
      <c r="Q1" s="55" t="s">
        <v>175</v>
      </c>
      <c r="R1" s="2" t="s">
        <v>176</v>
      </c>
      <c r="S1" s="2" t="s">
        <v>177</v>
      </c>
      <c r="T1" s="55" t="s">
        <v>19</v>
      </c>
      <c r="U1" s="4" t="s">
        <v>108</v>
      </c>
      <c r="V1" s="56" t="s">
        <v>20</v>
      </c>
      <c r="W1" s="2" t="s">
        <v>178</v>
      </c>
      <c r="X1" s="45" t="s">
        <v>22</v>
      </c>
      <c r="Y1" s="45" t="s">
        <v>23</v>
      </c>
      <c r="Z1" s="45" t="s">
        <v>24</v>
      </c>
      <c r="AA1" s="45" t="s">
        <v>25</v>
      </c>
      <c r="AB1" s="46" t="s">
        <v>179</v>
      </c>
      <c r="AE1" s="8" t="s">
        <v>0</v>
      </c>
      <c r="AF1" s="9"/>
      <c r="AG1" s="8" t="s">
        <v>4</v>
      </c>
      <c r="AH1" s="8" t="s">
        <v>5</v>
      </c>
      <c r="AI1" s="9"/>
      <c r="AJ1" s="8" t="s">
        <v>6</v>
      </c>
      <c r="AK1" s="9"/>
      <c r="AL1" s="10" t="s">
        <v>7</v>
      </c>
      <c r="AM1" s="9"/>
      <c r="AN1" s="10" t="s">
        <v>8</v>
      </c>
      <c r="AO1" s="9"/>
      <c r="AP1" s="10" t="s">
        <v>27</v>
      </c>
      <c r="AQ1" s="9"/>
      <c r="AR1" s="10" t="s">
        <v>10</v>
      </c>
      <c r="AS1" s="9"/>
      <c r="AT1" s="11" t="s">
        <v>180</v>
      </c>
      <c r="AU1" s="9"/>
      <c r="AV1" s="10" t="s">
        <v>29</v>
      </c>
      <c r="AX1" s="12" t="s">
        <v>181</v>
      </c>
      <c r="AY1" s="13" t="s">
        <v>182</v>
      </c>
      <c r="AZ1" s="13" t="s">
        <v>183</v>
      </c>
      <c r="BA1" s="14" t="s">
        <v>184</v>
      </c>
    </row>
    <row r="2" spans="1:53" s="57" customFormat="1" x14ac:dyDescent="0.15">
      <c r="A2" s="57" t="s">
        <v>41</v>
      </c>
      <c r="B2" s="58" t="s">
        <v>157</v>
      </c>
      <c r="C2" s="59">
        <v>2019</v>
      </c>
      <c r="D2" s="60" t="s">
        <v>185</v>
      </c>
      <c r="E2" s="36" t="s">
        <v>133</v>
      </c>
      <c r="F2" s="36" t="s">
        <v>186</v>
      </c>
      <c r="G2" s="57" t="s">
        <v>42</v>
      </c>
      <c r="H2" s="57" t="s">
        <v>165</v>
      </c>
      <c r="I2" s="57" t="s">
        <v>159</v>
      </c>
      <c r="J2" s="57" t="s">
        <v>38</v>
      </c>
      <c r="K2" s="57" t="s">
        <v>161</v>
      </c>
      <c r="L2" s="36">
        <v>1</v>
      </c>
      <c r="M2" s="36"/>
      <c r="N2" s="57">
        <v>8</v>
      </c>
      <c r="O2" s="57">
        <v>0.65</v>
      </c>
      <c r="P2" s="57">
        <v>0.75</v>
      </c>
      <c r="Q2" s="61">
        <f t="shared" ref="Q2:Q65" si="0">IF(OR(O2="",P2=""),"",AVERAGE(O2,P2))</f>
        <v>0.7</v>
      </c>
      <c r="R2" s="57">
        <v>12.8</v>
      </c>
      <c r="S2" s="57">
        <v>131</v>
      </c>
      <c r="T2" s="62">
        <f t="shared" ref="T2:T65" si="1">IF(H2="","",IF(OR(H2="GREEN",H2="GK"),IF(S2&gt;=$AX$2,VLOOKUP(S2,$AX$2:$AY$10,2,1),""),IF(S2&gt;=$AZ$2,VLOOKUP(S2,$AZ$2:$BA$10,2,1),"")))</f>
        <v>25</v>
      </c>
      <c r="U2" s="36">
        <v>753</v>
      </c>
      <c r="V2" s="62">
        <f t="shared" ref="V2:V65" si="2">IF(OR(N2="",U2="",T2=""),"",U2/N2*T2)</f>
        <v>2353.125</v>
      </c>
      <c r="W2" s="36">
        <v>2</v>
      </c>
      <c r="X2" s="57" t="s">
        <v>46</v>
      </c>
      <c r="Y2" s="57" t="s">
        <v>55</v>
      </c>
      <c r="Z2" s="57" t="s">
        <v>69</v>
      </c>
      <c r="AA2" s="57" t="s">
        <v>78</v>
      </c>
      <c r="AB2" s="57" t="s">
        <v>258</v>
      </c>
      <c r="AE2" s="17" t="s">
        <v>35</v>
      </c>
      <c r="AG2" s="63" t="s">
        <v>133</v>
      </c>
      <c r="AH2" s="64" t="s">
        <v>186</v>
      </c>
      <c r="AJ2" s="65" t="s">
        <v>36</v>
      </c>
      <c r="AL2" s="65" t="s">
        <v>187</v>
      </c>
      <c r="AN2" s="65" t="s">
        <v>37</v>
      </c>
      <c r="AP2" s="65" t="s">
        <v>38</v>
      </c>
      <c r="AR2" s="65" t="s">
        <v>161</v>
      </c>
      <c r="AT2" s="65" t="s">
        <v>39</v>
      </c>
      <c r="AV2" s="65" t="s">
        <v>40</v>
      </c>
      <c r="AX2" s="66">
        <v>1</v>
      </c>
      <c r="AY2" s="67">
        <v>50</v>
      </c>
      <c r="AZ2" s="67">
        <v>1</v>
      </c>
      <c r="BA2" s="68">
        <v>50</v>
      </c>
    </row>
    <row r="3" spans="1:53" x14ac:dyDescent="0.15">
      <c r="A3" s="57" t="s">
        <v>41</v>
      </c>
      <c r="B3" s="58" t="s">
        <v>157</v>
      </c>
      <c r="C3" s="59">
        <v>2019</v>
      </c>
      <c r="D3" s="60" t="s">
        <v>185</v>
      </c>
      <c r="E3" s="36" t="s">
        <v>133</v>
      </c>
      <c r="F3" s="36" t="s">
        <v>186</v>
      </c>
      <c r="G3" s="57" t="s">
        <v>42</v>
      </c>
      <c r="H3" s="57" t="s">
        <v>165</v>
      </c>
      <c r="I3" s="57" t="s">
        <v>159</v>
      </c>
      <c r="J3" s="57" t="s">
        <v>38</v>
      </c>
      <c r="K3" s="57" t="s">
        <v>161</v>
      </c>
      <c r="L3" s="36">
        <v>2</v>
      </c>
      <c r="N3" s="57">
        <v>8</v>
      </c>
      <c r="O3" s="57">
        <v>0.5</v>
      </c>
      <c r="P3" s="57">
        <v>0.55000000000000004</v>
      </c>
      <c r="Q3" s="69">
        <f t="shared" si="0"/>
        <v>0.52500000000000002</v>
      </c>
      <c r="R3" s="57">
        <v>13.4</v>
      </c>
      <c r="S3" s="57">
        <v>127</v>
      </c>
      <c r="T3" s="62">
        <f t="shared" si="1"/>
        <v>27</v>
      </c>
      <c r="U3" s="36">
        <v>753</v>
      </c>
      <c r="V3" s="62">
        <f t="shared" si="2"/>
        <v>2541.375</v>
      </c>
      <c r="W3" s="36">
        <v>2</v>
      </c>
      <c r="X3" s="57" t="s">
        <v>46</v>
      </c>
      <c r="Y3" s="57" t="s">
        <v>55</v>
      </c>
      <c r="Z3" s="57" t="s">
        <v>69</v>
      </c>
      <c r="AA3" s="57" t="s">
        <v>78</v>
      </c>
      <c r="AB3" s="57" t="s">
        <v>158</v>
      </c>
      <c r="AE3" s="22" t="s">
        <v>41</v>
      </c>
      <c r="AG3" s="70" t="s">
        <v>188</v>
      </c>
      <c r="AH3" s="70" t="s">
        <v>186</v>
      </c>
      <c r="AJ3" s="71" t="s">
        <v>42</v>
      </c>
      <c r="AL3" s="71" t="s">
        <v>189</v>
      </c>
      <c r="AN3" s="71" t="s">
        <v>43</v>
      </c>
      <c r="AP3" s="71" t="s">
        <v>44</v>
      </c>
      <c r="AR3" s="30" t="s">
        <v>45</v>
      </c>
      <c r="AT3" s="71" t="s">
        <v>46</v>
      </c>
      <c r="AV3" s="71" t="s">
        <v>47</v>
      </c>
      <c r="AX3" s="72">
        <v>72</v>
      </c>
      <c r="AY3" s="73">
        <v>46</v>
      </c>
      <c r="AZ3" s="73">
        <v>71</v>
      </c>
      <c r="BA3" s="74">
        <v>42</v>
      </c>
    </row>
    <row r="4" spans="1:53" x14ac:dyDescent="0.15">
      <c r="A4" s="57" t="s">
        <v>41</v>
      </c>
      <c r="B4" s="58" t="s">
        <v>157</v>
      </c>
      <c r="C4" s="59">
        <v>2019</v>
      </c>
      <c r="D4" s="60" t="s">
        <v>185</v>
      </c>
      <c r="E4" s="36" t="s">
        <v>133</v>
      </c>
      <c r="F4" s="36" t="s">
        <v>186</v>
      </c>
      <c r="G4" s="57" t="s">
        <v>42</v>
      </c>
      <c r="H4" s="57" t="s">
        <v>165</v>
      </c>
      <c r="I4" s="57" t="s">
        <v>159</v>
      </c>
      <c r="J4" s="57" t="s">
        <v>38</v>
      </c>
      <c r="K4" s="57" t="s">
        <v>161</v>
      </c>
      <c r="L4" s="36">
        <v>3</v>
      </c>
      <c r="N4" s="57">
        <v>8</v>
      </c>
      <c r="O4" s="57">
        <v>0.45</v>
      </c>
      <c r="P4" s="57">
        <v>0.65</v>
      </c>
      <c r="Q4" s="75">
        <f t="shared" si="0"/>
        <v>0.55000000000000004</v>
      </c>
      <c r="R4" s="57">
        <v>14.5</v>
      </c>
      <c r="S4" s="57">
        <v>130</v>
      </c>
      <c r="T4" s="62">
        <f t="shared" si="1"/>
        <v>25</v>
      </c>
      <c r="U4" s="36">
        <v>753</v>
      </c>
      <c r="V4" s="62">
        <f t="shared" si="2"/>
        <v>2353.125</v>
      </c>
      <c r="W4" s="36">
        <v>2</v>
      </c>
      <c r="X4" s="57" t="s">
        <v>46</v>
      </c>
      <c r="Y4" s="57" t="s">
        <v>55</v>
      </c>
      <c r="Z4" s="57" t="s">
        <v>69</v>
      </c>
      <c r="AA4" s="57" t="s">
        <v>78</v>
      </c>
      <c r="AB4" s="57" t="s">
        <v>158</v>
      </c>
      <c r="AE4" s="22" t="s">
        <v>34</v>
      </c>
      <c r="AG4" s="70" t="s">
        <v>188</v>
      </c>
      <c r="AH4" s="70" t="s">
        <v>190</v>
      </c>
      <c r="AJ4" s="76" t="s">
        <v>48</v>
      </c>
      <c r="AL4" s="76" t="s">
        <v>191</v>
      </c>
      <c r="AN4" s="77" t="s">
        <v>192</v>
      </c>
      <c r="AP4" s="71" t="s">
        <v>193</v>
      </c>
      <c r="AR4" s="30" t="s">
        <v>194</v>
      </c>
      <c r="AT4" s="77"/>
      <c r="AV4" s="71" t="s">
        <v>50</v>
      </c>
      <c r="AX4" s="72">
        <v>75</v>
      </c>
      <c r="AY4" s="73">
        <v>42</v>
      </c>
      <c r="AZ4" s="73">
        <v>76</v>
      </c>
      <c r="BA4" s="74">
        <v>39</v>
      </c>
    </row>
    <row r="5" spans="1:53" s="57" customFormat="1" ht="13.5" customHeight="1" x14ac:dyDescent="0.15">
      <c r="A5" s="57" t="s">
        <v>41</v>
      </c>
      <c r="B5" s="58" t="s">
        <v>157</v>
      </c>
      <c r="C5" s="59">
        <v>2019</v>
      </c>
      <c r="D5" s="60" t="s">
        <v>185</v>
      </c>
      <c r="E5" s="36" t="s">
        <v>133</v>
      </c>
      <c r="F5" s="36" t="s">
        <v>186</v>
      </c>
      <c r="G5" s="57" t="s">
        <v>42</v>
      </c>
      <c r="H5" s="57" t="s">
        <v>165</v>
      </c>
      <c r="I5" s="57" t="s">
        <v>159</v>
      </c>
      <c r="J5" s="57" t="s">
        <v>38</v>
      </c>
      <c r="K5" s="57" t="s">
        <v>161</v>
      </c>
      <c r="L5" s="36">
        <v>1</v>
      </c>
      <c r="M5" s="36"/>
      <c r="N5" s="36">
        <v>1</v>
      </c>
      <c r="O5" s="57">
        <v>1.2</v>
      </c>
      <c r="P5" s="57">
        <v>1.3</v>
      </c>
      <c r="Q5" s="75">
        <f t="shared" si="0"/>
        <v>1.25</v>
      </c>
      <c r="R5" s="57">
        <v>12</v>
      </c>
      <c r="S5" s="36">
        <v>128</v>
      </c>
      <c r="T5" s="62">
        <f t="shared" si="1"/>
        <v>27</v>
      </c>
      <c r="U5" s="36">
        <v>149</v>
      </c>
      <c r="V5" s="62">
        <f t="shared" si="2"/>
        <v>4023</v>
      </c>
      <c r="W5" s="36">
        <v>3</v>
      </c>
      <c r="X5" s="57" t="s">
        <v>46</v>
      </c>
      <c r="Y5" s="57" t="s">
        <v>55</v>
      </c>
      <c r="Z5" s="57" t="s">
        <v>69</v>
      </c>
      <c r="AA5" s="57" t="s">
        <v>78</v>
      </c>
      <c r="AB5" s="57" t="s">
        <v>158</v>
      </c>
      <c r="AC5" s="36"/>
      <c r="AD5" s="36"/>
      <c r="AE5" s="78" t="s">
        <v>51</v>
      </c>
      <c r="AG5" s="70" t="s">
        <v>195</v>
      </c>
      <c r="AH5" s="70" t="s">
        <v>186</v>
      </c>
      <c r="AJ5" s="79"/>
      <c r="AL5" s="80" t="s">
        <v>165</v>
      </c>
      <c r="AN5" s="80" t="s">
        <v>159</v>
      </c>
      <c r="AP5" s="30" t="s">
        <v>196</v>
      </c>
      <c r="AR5" s="30" t="s">
        <v>54</v>
      </c>
      <c r="AV5" s="30" t="s">
        <v>55</v>
      </c>
      <c r="AX5" s="81">
        <v>84</v>
      </c>
      <c r="AY5" s="82">
        <v>39</v>
      </c>
      <c r="AZ5" s="82">
        <v>84</v>
      </c>
      <c r="BA5" s="83">
        <v>36</v>
      </c>
    </row>
    <row r="6" spans="1:53" x14ac:dyDescent="0.15">
      <c r="A6" s="57" t="s">
        <v>41</v>
      </c>
      <c r="B6" s="58" t="s">
        <v>157</v>
      </c>
      <c r="C6" s="59">
        <v>2019</v>
      </c>
      <c r="D6" s="60" t="s">
        <v>185</v>
      </c>
      <c r="E6" s="36" t="s">
        <v>133</v>
      </c>
      <c r="F6" s="36" t="s">
        <v>186</v>
      </c>
      <c r="G6" s="57" t="s">
        <v>42</v>
      </c>
      <c r="H6" s="57" t="s">
        <v>165</v>
      </c>
      <c r="I6" s="57" t="s">
        <v>159</v>
      </c>
      <c r="J6" s="57" t="s">
        <v>38</v>
      </c>
      <c r="K6" s="57" t="s">
        <v>161</v>
      </c>
      <c r="L6" s="36">
        <v>2</v>
      </c>
      <c r="N6" s="36">
        <v>1</v>
      </c>
      <c r="O6" s="57">
        <v>1.35</v>
      </c>
      <c r="P6" s="57">
        <v>1.2</v>
      </c>
      <c r="Q6" s="75">
        <f t="shared" si="0"/>
        <v>1.2749999999999999</v>
      </c>
      <c r="R6" s="57">
        <v>11</v>
      </c>
      <c r="S6" s="36">
        <v>124</v>
      </c>
      <c r="T6" s="62">
        <f t="shared" si="1"/>
        <v>27</v>
      </c>
      <c r="U6" s="36">
        <v>149</v>
      </c>
      <c r="V6" s="62">
        <f t="shared" si="2"/>
        <v>4023</v>
      </c>
      <c r="W6" s="36">
        <v>3</v>
      </c>
      <c r="X6" s="57" t="s">
        <v>46</v>
      </c>
      <c r="Y6" s="57" t="s">
        <v>55</v>
      </c>
      <c r="Z6" s="57" t="s">
        <v>69</v>
      </c>
      <c r="AA6" s="57" t="s">
        <v>78</v>
      </c>
      <c r="AB6" s="57" t="s">
        <v>158</v>
      </c>
      <c r="AE6" s="22" t="s">
        <v>56</v>
      </c>
      <c r="AG6" s="70" t="s">
        <v>195</v>
      </c>
      <c r="AH6" s="70" t="s">
        <v>197</v>
      </c>
      <c r="AL6" s="80" t="s">
        <v>198</v>
      </c>
      <c r="AN6" s="80" t="s">
        <v>168</v>
      </c>
      <c r="AP6" s="71" t="s">
        <v>53</v>
      </c>
      <c r="AR6" s="30" t="s">
        <v>59</v>
      </c>
      <c r="AV6" s="71" t="s">
        <v>60</v>
      </c>
      <c r="AX6" s="72">
        <v>97</v>
      </c>
      <c r="AY6" s="73">
        <v>36</v>
      </c>
      <c r="AZ6" s="73">
        <v>99</v>
      </c>
      <c r="BA6" s="74">
        <v>33</v>
      </c>
    </row>
    <row r="7" spans="1:53" x14ac:dyDescent="0.15">
      <c r="A7" s="57" t="s">
        <v>41</v>
      </c>
      <c r="B7" s="58" t="s">
        <v>157</v>
      </c>
      <c r="C7" s="59">
        <v>2019</v>
      </c>
      <c r="D7" s="60" t="s">
        <v>185</v>
      </c>
      <c r="E7" s="36" t="s">
        <v>133</v>
      </c>
      <c r="F7" s="36" t="s">
        <v>186</v>
      </c>
      <c r="G7" s="57" t="s">
        <v>42</v>
      </c>
      <c r="H7" s="57" t="s">
        <v>165</v>
      </c>
      <c r="I7" s="57" t="s">
        <v>159</v>
      </c>
      <c r="J7" s="57" t="s">
        <v>38</v>
      </c>
      <c r="K7" s="57" t="s">
        <v>161</v>
      </c>
      <c r="L7" s="36">
        <v>3</v>
      </c>
      <c r="N7" s="36">
        <v>1</v>
      </c>
      <c r="O7" s="57">
        <v>1</v>
      </c>
      <c r="P7" s="57">
        <v>1.2</v>
      </c>
      <c r="Q7" s="75">
        <f t="shared" si="0"/>
        <v>1.1000000000000001</v>
      </c>
      <c r="R7" s="57">
        <v>12.3</v>
      </c>
      <c r="S7" s="36">
        <v>123</v>
      </c>
      <c r="T7" s="62">
        <f t="shared" si="1"/>
        <v>27</v>
      </c>
      <c r="U7" s="36">
        <v>149</v>
      </c>
      <c r="V7" s="62">
        <f t="shared" si="2"/>
        <v>4023</v>
      </c>
      <c r="W7" s="36">
        <v>3</v>
      </c>
      <c r="X7" s="57" t="s">
        <v>46</v>
      </c>
      <c r="Y7" s="57" t="s">
        <v>55</v>
      </c>
      <c r="Z7" s="57" t="s">
        <v>69</v>
      </c>
      <c r="AA7" s="57" t="s">
        <v>78</v>
      </c>
      <c r="AB7" s="57" t="s">
        <v>158</v>
      </c>
      <c r="AE7" s="22" t="s">
        <v>61</v>
      </c>
      <c r="AG7" s="70" t="s">
        <v>199</v>
      </c>
      <c r="AH7" s="70" t="s">
        <v>197</v>
      </c>
      <c r="AL7" s="84" t="s">
        <v>164</v>
      </c>
      <c r="AP7" s="71" t="s">
        <v>58</v>
      </c>
      <c r="AR7" s="30" t="s">
        <v>200</v>
      </c>
      <c r="AV7" s="71" t="s">
        <v>64</v>
      </c>
      <c r="AX7" s="72">
        <v>109</v>
      </c>
      <c r="AY7" s="73">
        <v>33</v>
      </c>
      <c r="AZ7" s="73">
        <v>113</v>
      </c>
      <c r="BA7" s="74">
        <v>30</v>
      </c>
    </row>
    <row r="8" spans="1:53" x14ac:dyDescent="0.15">
      <c r="A8" s="57" t="s">
        <v>41</v>
      </c>
      <c r="B8" s="58" t="s">
        <v>157</v>
      </c>
      <c r="C8" s="59">
        <v>2019</v>
      </c>
      <c r="D8" s="60" t="s">
        <v>185</v>
      </c>
      <c r="E8" s="36" t="s">
        <v>133</v>
      </c>
      <c r="F8" s="36" t="s">
        <v>186</v>
      </c>
      <c r="G8" s="57" t="s">
        <v>42</v>
      </c>
      <c r="H8" s="57" t="s">
        <v>160</v>
      </c>
      <c r="I8" s="57" t="s">
        <v>159</v>
      </c>
      <c r="J8" s="57" t="s">
        <v>38</v>
      </c>
      <c r="K8" s="57" t="s">
        <v>161</v>
      </c>
      <c r="L8" s="57">
        <v>1</v>
      </c>
      <c r="M8" s="57"/>
      <c r="N8" s="57">
        <v>1</v>
      </c>
      <c r="O8" s="57">
        <v>0.75</v>
      </c>
      <c r="P8" s="57">
        <v>0.95</v>
      </c>
      <c r="Q8" s="75">
        <f t="shared" si="0"/>
        <v>0.85</v>
      </c>
      <c r="R8" s="36">
        <v>15.6</v>
      </c>
      <c r="S8" s="36">
        <v>130</v>
      </c>
      <c r="T8" s="62">
        <f t="shared" si="1"/>
        <v>25</v>
      </c>
      <c r="U8" s="57">
        <v>149</v>
      </c>
      <c r="V8" s="62">
        <f t="shared" si="2"/>
        <v>3725</v>
      </c>
      <c r="W8" s="57">
        <v>6</v>
      </c>
      <c r="X8" s="57" t="s">
        <v>46</v>
      </c>
      <c r="Y8" s="57" t="s">
        <v>55</v>
      </c>
      <c r="Z8" s="57" t="s">
        <v>69</v>
      </c>
      <c r="AA8" s="57" t="s">
        <v>78</v>
      </c>
      <c r="AB8" s="57" t="s">
        <v>158</v>
      </c>
      <c r="AC8" s="57"/>
      <c r="AD8" s="57"/>
      <c r="AE8" s="22" t="s">
        <v>59</v>
      </c>
      <c r="AG8" s="70" t="s">
        <v>201</v>
      </c>
      <c r="AH8" s="70" t="s">
        <v>202</v>
      </c>
      <c r="AL8" s="84" t="s">
        <v>160</v>
      </c>
      <c r="AP8" s="71" t="s">
        <v>62</v>
      </c>
      <c r="AR8" s="30" t="s">
        <v>81</v>
      </c>
      <c r="AV8" s="71" t="s">
        <v>97</v>
      </c>
      <c r="AX8" s="72">
        <v>119</v>
      </c>
      <c r="AY8" s="73">
        <v>30</v>
      </c>
      <c r="AZ8" s="73">
        <v>121</v>
      </c>
      <c r="BA8" s="74">
        <v>27</v>
      </c>
    </row>
    <row r="9" spans="1:53" x14ac:dyDescent="0.15">
      <c r="A9" s="57" t="s">
        <v>41</v>
      </c>
      <c r="B9" s="58" t="s">
        <v>157</v>
      </c>
      <c r="C9" s="59">
        <v>2019</v>
      </c>
      <c r="D9" s="60" t="s">
        <v>185</v>
      </c>
      <c r="E9" s="36" t="s">
        <v>133</v>
      </c>
      <c r="F9" s="36" t="s">
        <v>186</v>
      </c>
      <c r="G9" s="57" t="s">
        <v>42</v>
      </c>
      <c r="H9" s="57" t="s">
        <v>160</v>
      </c>
      <c r="I9" s="57" t="s">
        <v>159</v>
      </c>
      <c r="J9" s="57" t="s">
        <v>38</v>
      </c>
      <c r="K9" s="57" t="s">
        <v>161</v>
      </c>
      <c r="L9" s="36">
        <v>2</v>
      </c>
      <c r="N9" s="57">
        <v>1</v>
      </c>
      <c r="O9" s="57">
        <v>0.65</v>
      </c>
      <c r="P9" s="57">
        <v>0.65</v>
      </c>
      <c r="Q9" s="75">
        <f t="shared" si="0"/>
        <v>0.65</v>
      </c>
      <c r="R9" s="36">
        <v>16.399999999999999</v>
      </c>
      <c r="S9" s="36">
        <v>131</v>
      </c>
      <c r="T9" s="62">
        <f t="shared" si="1"/>
        <v>25</v>
      </c>
      <c r="U9" s="57">
        <v>149</v>
      </c>
      <c r="V9" s="62">
        <f t="shared" si="2"/>
        <v>3725</v>
      </c>
      <c r="W9" s="36">
        <v>6</v>
      </c>
      <c r="X9" s="57" t="s">
        <v>46</v>
      </c>
      <c r="Y9" s="57" t="s">
        <v>55</v>
      </c>
      <c r="Z9" s="57" t="s">
        <v>69</v>
      </c>
      <c r="AA9" s="57" t="s">
        <v>78</v>
      </c>
      <c r="AB9" s="57" t="s">
        <v>158</v>
      </c>
      <c r="AE9" s="22" t="s">
        <v>203</v>
      </c>
      <c r="AG9" s="70" t="s">
        <v>204</v>
      </c>
      <c r="AH9" s="70" t="s">
        <v>205</v>
      </c>
      <c r="AL9" s="80"/>
      <c r="AP9" s="71" t="s">
        <v>95</v>
      </c>
      <c r="AR9" s="30" t="s">
        <v>206</v>
      </c>
      <c r="AV9" s="71" t="s">
        <v>102</v>
      </c>
      <c r="AX9" s="72">
        <v>128</v>
      </c>
      <c r="AY9" s="73">
        <v>27</v>
      </c>
      <c r="AZ9" s="73">
        <v>129</v>
      </c>
      <c r="BA9" s="74">
        <v>25</v>
      </c>
    </row>
    <row r="10" spans="1:53" x14ac:dyDescent="0.15">
      <c r="A10" s="57" t="s">
        <v>41</v>
      </c>
      <c r="B10" s="58" t="s">
        <v>157</v>
      </c>
      <c r="C10" s="59">
        <v>2019</v>
      </c>
      <c r="D10" s="60" t="s">
        <v>185</v>
      </c>
      <c r="E10" s="36" t="s">
        <v>133</v>
      </c>
      <c r="F10" s="36" t="s">
        <v>186</v>
      </c>
      <c r="G10" s="57" t="s">
        <v>42</v>
      </c>
      <c r="H10" s="57" t="s">
        <v>160</v>
      </c>
      <c r="I10" s="57" t="s">
        <v>159</v>
      </c>
      <c r="J10" s="57" t="s">
        <v>38</v>
      </c>
      <c r="K10" s="57" t="s">
        <v>161</v>
      </c>
      <c r="L10" s="36">
        <v>3</v>
      </c>
      <c r="N10" s="57">
        <v>1</v>
      </c>
      <c r="O10" s="57">
        <v>0.85</v>
      </c>
      <c r="P10" s="57">
        <v>0.65</v>
      </c>
      <c r="Q10" s="75">
        <f t="shared" si="0"/>
        <v>0.75</v>
      </c>
      <c r="R10" s="36">
        <v>12.9</v>
      </c>
      <c r="S10" s="36">
        <v>133</v>
      </c>
      <c r="T10" s="62">
        <f t="shared" si="1"/>
        <v>25</v>
      </c>
      <c r="U10" s="57">
        <v>149</v>
      </c>
      <c r="V10" s="62">
        <f t="shared" si="2"/>
        <v>3725</v>
      </c>
      <c r="W10" s="36">
        <v>6</v>
      </c>
      <c r="X10" s="57" t="s">
        <v>46</v>
      </c>
      <c r="Y10" s="57" t="s">
        <v>55</v>
      </c>
      <c r="Z10" s="57" t="s">
        <v>69</v>
      </c>
      <c r="AA10" s="57" t="s">
        <v>78</v>
      </c>
      <c r="AB10" s="57" t="s">
        <v>158</v>
      </c>
      <c r="AE10" s="22" t="s">
        <v>207</v>
      </c>
      <c r="AG10" s="70" t="s">
        <v>201</v>
      </c>
      <c r="AH10" s="70" t="s">
        <v>208</v>
      </c>
      <c r="AL10" s="84"/>
      <c r="AP10" s="71" t="s">
        <v>100</v>
      </c>
      <c r="AR10" s="30" t="s">
        <v>209</v>
      </c>
      <c r="AV10" s="71" t="s">
        <v>106</v>
      </c>
      <c r="AX10" s="72">
        <v>138</v>
      </c>
      <c r="AY10" s="73">
        <v>25</v>
      </c>
      <c r="AZ10" s="73">
        <v>138</v>
      </c>
      <c r="BA10" s="74">
        <v>22</v>
      </c>
    </row>
    <row r="11" spans="1:53" x14ac:dyDescent="0.15">
      <c r="A11" s="57" t="s">
        <v>41</v>
      </c>
      <c r="B11" s="58" t="s">
        <v>157</v>
      </c>
      <c r="C11" s="59">
        <v>2019</v>
      </c>
      <c r="D11" s="60" t="s">
        <v>185</v>
      </c>
      <c r="E11" s="36" t="s">
        <v>133</v>
      </c>
      <c r="F11" s="36" t="s">
        <v>186</v>
      </c>
      <c r="G11" s="57" t="s">
        <v>42</v>
      </c>
      <c r="H11" s="57" t="s">
        <v>160</v>
      </c>
      <c r="I11" s="57" t="s">
        <v>159</v>
      </c>
      <c r="J11" s="57" t="s">
        <v>38</v>
      </c>
      <c r="K11" s="57" t="s">
        <v>161</v>
      </c>
      <c r="L11" s="57">
        <v>1</v>
      </c>
      <c r="M11" s="57"/>
      <c r="N11" s="57">
        <v>8</v>
      </c>
      <c r="O11" s="57">
        <v>0.25</v>
      </c>
      <c r="P11" s="57">
        <v>0.3</v>
      </c>
      <c r="Q11" s="75">
        <f t="shared" si="0"/>
        <v>0.27500000000000002</v>
      </c>
      <c r="R11" s="36">
        <v>13.8</v>
      </c>
      <c r="S11" s="36">
        <v>121</v>
      </c>
      <c r="T11" s="62">
        <f t="shared" si="1"/>
        <v>27</v>
      </c>
      <c r="U11" s="57">
        <v>753</v>
      </c>
      <c r="V11" s="62">
        <f t="shared" si="2"/>
        <v>2541.375</v>
      </c>
      <c r="W11" s="57">
        <v>3</v>
      </c>
      <c r="X11" s="57" t="s">
        <v>46</v>
      </c>
      <c r="Y11" s="57" t="s">
        <v>55</v>
      </c>
      <c r="Z11" s="57" t="s">
        <v>69</v>
      </c>
      <c r="AA11" s="57" t="s">
        <v>78</v>
      </c>
      <c r="AB11" s="57" t="s">
        <v>158</v>
      </c>
      <c r="AE11" s="22" t="s">
        <v>68</v>
      </c>
      <c r="AG11" s="70" t="s">
        <v>210</v>
      </c>
      <c r="AH11" s="70" t="s">
        <v>211</v>
      </c>
      <c r="AL11" s="84"/>
      <c r="AP11" s="71" t="s">
        <v>104</v>
      </c>
      <c r="AR11" s="30" t="s">
        <v>212</v>
      </c>
      <c r="AV11" s="71" t="s">
        <v>69</v>
      </c>
      <c r="AX11" s="72">
        <v>151</v>
      </c>
      <c r="AY11" s="73">
        <v>22</v>
      </c>
      <c r="AZ11" s="73">
        <v>152</v>
      </c>
      <c r="BA11" s="74">
        <v>18</v>
      </c>
    </row>
    <row r="12" spans="1:53" x14ac:dyDescent="0.15">
      <c r="A12" s="57" t="s">
        <v>41</v>
      </c>
      <c r="B12" s="58" t="s">
        <v>157</v>
      </c>
      <c r="C12" s="59">
        <v>2019</v>
      </c>
      <c r="D12" s="60" t="s">
        <v>185</v>
      </c>
      <c r="E12" s="36" t="s">
        <v>133</v>
      </c>
      <c r="F12" s="36" t="s">
        <v>186</v>
      </c>
      <c r="G12" s="57" t="s">
        <v>42</v>
      </c>
      <c r="H12" s="57" t="s">
        <v>160</v>
      </c>
      <c r="I12" s="57" t="s">
        <v>159</v>
      </c>
      <c r="J12" s="57" t="s">
        <v>38</v>
      </c>
      <c r="K12" s="57" t="s">
        <v>161</v>
      </c>
      <c r="L12" s="36">
        <v>2</v>
      </c>
      <c r="N12" s="57">
        <v>8</v>
      </c>
      <c r="O12" s="57">
        <v>0.45</v>
      </c>
      <c r="P12" s="57">
        <v>0.35</v>
      </c>
      <c r="Q12" s="75">
        <f t="shared" si="0"/>
        <v>0.4</v>
      </c>
      <c r="R12" s="36">
        <v>14.8</v>
      </c>
      <c r="S12" s="36">
        <v>120</v>
      </c>
      <c r="T12" s="62">
        <f t="shared" si="1"/>
        <v>30</v>
      </c>
      <c r="U12" s="57">
        <v>753</v>
      </c>
      <c r="V12" s="62">
        <f t="shared" si="2"/>
        <v>2823.75</v>
      </c>
      <c r="W12" s="36">
        <v>3</v>
      </c>
      <c r="X12" s="57" t="s">
        <v>46</v>
      </c>
      <c r="Y12" s="57" t="s">
        <v>55</v>
      </c>
      <c r="Z12" s="57" t="s">
        <v>69</v>
      </c>
      <c r="AA12" s="57" t="s">
        <v>78</v>
      </c>
      <c r="AB12" s="57" t="s">
        <v>158</v>
      </c>
      <c r="AE12" s="22" t="s">
        <v>213</v>
      </c>
      <c r="AG12" s="78"/>
      <c r="AH12" s="78"/>
      <c r="AL12" s="84"/>
      <c r="AP12" s="71" t="s">
        <v>67</v>
      </c>
      <c r="AR12" s="30" t="s">
        <v>214</v>
      </c>
      <c r="AV12" s="71" t="s">
        <v>72</v>
      </c>
      <c r="AX12" s="85">
        <v>180</v>
      </c>
      <c r="AY12" s="86">
        <v>18</v>
      </c>
      <c r="AZ12" s="86">
        <v>181</v>
      </c>
      <c r="BA12" s="87">
        <v>16</v>
      </c>
    </row>
    <row r="13" spans="1:53" x14ac:dyDescent="0.15">
      <c r="A13" s="57" t="s">
        <v>41</v>
      </c>
      <c r="B13" s="58" t="s">
        <v>157</v>
      </c>
      <c r="C13" s="59">
        <v>2019</v>
      </c>
      <c r="D13" s="60" t="s">
        <v>185</v>
      </c>
      <c r="E13" s="36" t="s">
        <v>133</v>
      </c>
      <c r="F13" s="36" t="s">
        <v>186</v>
      </c>
      <c r="G13" s="57" t="s">
        <v>42</v>
      </c>
      <c r="H13" s="57" t="s">
        <v>160</v>
      </c>
      <c r="I13" s="57" t="s">
        <v>159</v>
      </c>
      <c r="J13" s="57" t="s">
        <v>38</v>
      </c>
      <c r="K13" s="57" t="s">
        <v>161</v>
      </c>
      <c r="L13" s="36">
        <v>3</v>
      </c>
      <c r="N13" s="57">
        <v>8</v>
      </c>
      <c r="O13" s="57">
        <v>0.35</v>
      </c>
      <c r="P13" s="57">
        <v>0.3</v>
      </c>
      <c r="Q13" s="75">
        <f t="shared" si="0"/>
        <v>0.32499999999999996</v>
      </c>
      <c r="R13" s="36">
        <v>14.7</v>
      </c>
      <c r="S13" s="36">
        <v>122</v>
      </c>
      <c r="T13" s="62">
        <f t="shared" si="1"/>
        <v>27</v>
      </c>
      <c r="U13" s="57">
        <v>753</v>
      </c>
      <c r="V13" s="62">
        <f t="shared" si="2"/>
        <v>2541.375</v>
      </c>
      <c r="W13" s="36">
        <v>3</v>
      </c>
      <c r="X13" s="57" t="s">
        <v>46</v>
      </c>
      <c r="Y13" s="57" t="s">
        <v>55</v>
      </c>
      <c r="Z13" s="57" t="s">
        <v>69</v>
      </c>
      <c r="AA13" s="57" t="s">
        <v>78</v>
      </c>
      <c r="AB13" s="57" t="s">
        <v>158</v>
      </c>
      <c r="AE13" s="22" t="s">
        <v>215</v>
      </c>
      <c r="AG13" s="30"/>
      <c r="AH13" s="30"/>
      <c r="AP13" s="71" t="s">
        <v>71</v>
      </c>
      <c r="AR13" s="30" t="s">
        <v>207</v>
      </c>
      <c r="AV13" s="71" t="s">
        <v>75</v>
      </c>
    </row>
    <row r="14" spans="1:53" x14ac:dyDescent="0.15">
      <c r="A14" s="57" t="s">
        <v>41</v>
      </c>
      <c r="B14" s="58" t="s">
        <v>157</v>
      </c>
      <c r="C14" s="59">
        <v>2019</v>
      </c>
      <c r="D14" s="60" t="s">
        <v>185</v>
      </c>
      <c r="E14" s="36" t="s">
        <v>133</v>
      </c>
      <c r="F14" s="36" t="s">
        <v>186</v>
      </c>
      <c r="G14" s="57" t="s">
        <v>42</v>
      </c>
      <c r="H14" s="57" t="s">
        <v>198</v>
      </c>
      <c r="I14" s="57" t="s">
        <v>159</v>
      </c>
      <c r="J14" s="57" t="s">
        <v>38</v>
      </c>
      <c r="K14" s="57" t="s">
        <v>161</v>
      </c>
      <c r="L14" s="57">
        <v>1</v>
      </c>
      <c r="M14" s="57"/>
      <c r="N14" s="57">
        <v>18</v>
      </c>
      <c r="O14" s="57">
        <v>0.5</v>
      </c>
      <c r="P14" s="57">
        <v>0.35</v>
      </c>
      <c r="Q14" s="75">
        <f t="shared" si="0"/>
        <v>0.42499999999999999</v>
      </c>
      <c r="R14" s="36">
        <v>15.8</v>
      </c>
      <c r="S14" s="36">
        <v>118</v>
      </c>
      <c r="T14" s="62">
        <f t="shared" si="1"/>
        <v>33</v>
      </c>
      <c r="U14" s="57">
        <v>1382</v>
      </c>
      <c r="V14" s="62">
        <f t="shared" si="2"/>
        <v>2533.6666666666665</v>
      </c>
      <c r="W14" s="57">
        <v>3</v>
      </c>
      <c r="X14" s="57" t="s">
        <v>46</v>
      </c>
      <c r="Y14" s="57" t="s">
        <v>55</v>
      </c>
      <c r="Z14" s="57" t="s">
        <v>69</v>
      </c>
      <c r="AA14" s="57" t="s">
        <v>78</v>
      </c>
      <c r="AB14" s="57" t="s">
        <v>158</v>
      </c>
      <c r="AE14" s="22" t="s">
        <v>96</v>
      </c>
      <c r="AG14" s="30"/>
      <c r="AH14" s="30"/>
      <c r="AP14" s="71" t="s">
        <v>74</v>
      </c>
      <c r="AR14" s="30" t="s">
        <v>216</v>
      </c>
      <c r="AV14" s="71" t="s">
        <v>78</v>
      </c>
    </row>
    <row r="15" spans="1:53" x14ac:dyDescent="0.15">
      <c r="A15" s="57" t="s">
        <v>41</v>
      </c>
      <c r="B15" s="58" t="s">
        <v>157</v>
      </c>
      <c r="C15" s="59">
        <v>2019</v>
      </c>
      <c r="D15" s="60" t="s">
        <v>185</v>
      </c>
      <c r="E15" s="36" t="s">
        <v>133</v>
      </c>
      <c r="F15" s="36" t="s">
        <v>186</v>
      </c>
      <c r="G15" s="57" t="s">
        <v>42</v>
      </c>
      <c r="H15" s="57" t="s">
        <v>198</v>
      </c>
      <c r="I15" s="57" t="s">
        <v>159</v>
      </c>
      <c r="J15" s="57" t="s">
        <v>38</v>
      </c>
      <c r="K15" s="57" t="s">
        <v>161</v>
      </c>
      <c r="L15" s="36">
        <v>2</v>
      </c>
      <c r="N15" s="57">
        <v>18</v>
      </c>
      <c r="O15" s="57">
        <v>0.35</v>
      </c>
      <c r="P15" s="57">
        <v>0.4</v>
      </c>
      <c r="Q15" s="75">
        <f t="shared" si="0"/>
        <v>0.375</v>
      </c>
      <c r="R15" s="36">
        <v>16.8</v>
      </c>
      <c r="S15" s="36">
        <v>115</v>
      </c>
      <c r="T15" s="62">
        <f t="shared" si="1"/>
        <v>33</v>
      </c>
      <c r="U15" s="57">
        <v>1382</v>
      </c>
      <c r="V15" s="62">
        <f t="shared" si="2"/>
        <v>2533.6666666666665</v>
      </c>
      <c r="W15" s="36">
        <v>3</v>
      </c>
      <c r="X15" s="57" t="s">
        <v>46</v>
      </c>
      <c r="Y15" s="57" t="s">
        <v>55</v>
      </c>
      <c r="Z15" s="57" t="s">
        <v>69</v>
      </c>
      <c r="AA15" s="57" t="s">
        <v>78</v>
      </c>
      <c r="AB15" s="57" t="s">
        <v>158</v>
      </c>
      <c r="AE15" s="22" t="s">
        <v>217</v>
      </c>
      <c r="AG15" s="30"/>
      <c r="AH15" s="30"/>
      <c r="AP15" s="71" t="s">
        <v>77</v>
      </c>
      <c r="AR15" s="30" t="s">
        <v>80</v>
      </c>
      <c r="AV15" s="71" t="s">
        <v>107</v>
      </c>
    </row>
    <row r="16" spans="1:53" x14ac:dyDescent="0.15">
      <c r="A16" s="57" t="s">
        <v>41</v>
      </c>
      <c r="B16" s="58" t="s">
        <v>157</v>
      </c>
      <c r="C16" s="59">
        <v>2019</v>
      </c>
      <c r="D16" s="60" t="s">
        <v>185</v>
      </c>
      <c r="E16" s="36" t="s">
        <v>133</v>
      </c>
      <c r="F16" s="36" t="s">
        <v>186</v>
      </c>
      <c r="G16" s="57" t="s">
        <v>42</v>
      </c>
      <c r="H16" s="57" t="s">
        <v>198</v>
      </c>
      <c r="I16" s="57" t="s">
        <v>159</v>
      </c>
      <c r="J16" s="57" t="s">
        <v>38</v>
      </c>
      <c r="K16" s="57" t="s">
        <v>161</v>
      </c>
      <c r="L16" s="36">
        <v>3</v>
      </c>
      <c r="N16" s="57">
        <v>18</v>
      </c>
      <c r="O16" s="57">
        <v>0.35</v>
      </c>
      <c r="P16" s="57">
        <v>0.5</v>
      </c>
      <c r="Q16" s="75">
        <f t="shared" si="0"/>
        <v>0.42499999999999999</v>
      </c>
      <c r="R16" s="36">
        <v>17.399999999999999</v>
      </c>
      <c r="S16" s="36">
        <v>117</v>
      </c>
      <c r="T16" s="62">
        <f t="shared" si="1"/>
        <v>33</v>
      </c>
      <c r="U16" s="57">
        <v>1382</v>
      </c>
      <c r="V16" s="62">
        <f t="shared" si="2"/>
        <v>2533.6666666666665</v>
      </c>
      <c r="W16" s="36">
        <v>3</v>
      </c>
      <c r="X16" s="57" t="s">
        <v>46</v>
      </c>
      <c r="Y16" s="57" t="s">
        <v>55</v>
      </c>
      <c r="Z16" s="57" t="s">
        <v>69</v>
      </c>
      <c r="AA16" s="57" t="s">
        <v>78</v>
      </c>
      <c r="AB16" s="57" t="s">
        <v>158</v>
      </c>
      <c r="AE16" s="22" t="s">
        <v>218</v>
      </c>
      <c r="AG16" s="79"/>
      <c r="AH16" s="79"/>
      <c r="AP16" s="71" t="s">
        <v>80</v>
      </c>
      <c r="AR16" s="30" t="s">
        <v>63</v>
      </c>
      <c r="AV16" s="71" t="s">
        <v>84</v>
      </c>
    </row>
    <row r="17" spans="1:48" x14ac:dyDescent="0.15">
      <c r="A17" s="57" t="s">
        <v>41</v>
      </c>
      <c r="B17" s="58" t="s">
        <v>157</v>
      </c>
      <c r="C17" s="59">
        <v>2019</v>
      </c>
      <c r="D17" s="60" t="s">
        <v>185</v>
      </c>
      <c r="E17" s="36" t="s">
        <v>188</v>
      </c>
      <c r="F17" s="36" t="s">
        <v>186</v>
      </c>
      <c r="G17" s="57" t="s">
        <v>42</v>
      </c>
      <c r="H17" s="57" t="s">
        <v>160</v>
      </c>
      <c r="I17" s="57" t="s">
        <v>159</v>
      </c>
      <c r="J17" s="57" t="s">
        <v>38</v>
      </c>
      <c r="K17" s="57" t="s">
        <v>161</v>
      </c>
      <c r="L17" s="57">
        <v>1</v>
      </c>
      <c r="M17" s="57"/>
      <c r="N17" s="57">
        <v>1</v>
      </c>
      <c r="O17" s="57">
        <v>1.2</v>
      </c>
      <c r="P17" s="57">
        <v>1.1000000000000001</v>
      </c>
      <c r="Q17" s="75">
        <f t="shared" si="0"/>
        <v>1.1499999999999999</v>
      </c>
      <c r="R17" s="36">
        <v>12.6</v>
      </c>
      <c r="S17" s="36">
        <v>127</v>
      </c>
      <c r="T17" s="62">
        <f t="shared" si="1"/>
        <v>27</v>
      </c>
      <c r="U17" s="57">
        <v>149</v>
      </c>
      <c r="V17" s="62">
        <f t="shared" si="2"/>
        <v>4023</v>
      </c>
      <c r="W17" s="57">
        <v>3</v>
      </c>
      <c r="X17" s="57" t="s">
        <v>46</v>
      </c>
      <c r="Y17" s="57" t="s">
        <v>55</v>
      </c>
      <c r="Z17" s="57" t="s">
        <v>78</v>
      </c>
      <c r="AA17" s="57" t="s">
        <v>69</v>
      </c>
      <c r="AB17" s="57" t="s">
        <v>158</v>
      </c>
      <c r="AE17" s="22" t="s">
        <v>219</v>
      </c>
      <c r="AP17" s="43" t="s">
        <v>220</v>
      </c>
      <c r="AR17" s="30" t="s">
        <v>96</v>
      </c>
      <c r="AV17" s="71" t="s">
        <v>86</v>
      </c>
    </row>
    <row r="18" spans="1:48" x14ac:dyDescent="0.15">
      <c r="A18" s="57" t="s">
        <v>41</v>
      </c>
      <c r="B18" s="58" t="s">
        <v>157</v>
      </c>
      <c r="C18" s="59">
        <v>2019</v>
      </c>
      <c r="D18" s="60" t="s">
        <v>185</v>
      </c>
      <c r="E18" s="36" t="s">
        <v>188</v>
      </c>
      <c r="F18" s="36" t="s">
        <v>186</v>
      </c>
      <c r="G18" s="57" t="s">
        <v>42</v>
      </c>
      <c r="H18" s="57" t="s">
        <v>160</v>
      </c>
      <c r="I18" s="57" t="s">
        <v>159</v>
      </c>
      <c r="J18" s="57" t="s">
        <v>38</v>
      </c>
      <c r="K18" s="57" t="s">
        <v>161</v>
      </c>
      <c r="L18" s="36">
        <v>2</v>
      </c>
      <c r="N18" s="57">
        <v>1</v>
      </c>
      <c r="O18" s="57">
        <v>0.85</v>
      </c>
      <c r="P18" s="57">
        <v>1</v>
      </c>
      <c r="Q18" s="75">
        <f t="shared" si="0"/>
        <v>0.92500000000000004</v>
      </c>
      <c r="R18" s="36">
        <v>15.8</v>
      </c>
      <c r="S18" s="36">
        <v>124</v>
      </c>
      <c r="T18" s="62">
        <f t="shared" si="1"/>
        <v>27</v>
      </c>
      <c r="U18" s="57">
        <v>149</v>
      </c>
      <c r="V18" s="62">
        <f t="shared" si="2"/>
        <v>4023</v>
      </c>
      <c r="W18" s="57">
        <v>3</v>
      </c>
      <c r="X18" s="57" t="s">
        <v>46</v>
      </c>
      <c r="Y18" s="57" t="s">
        <v>55</v>
      </c>
      <c r="Z18" s="57" t="s">
        <v>78</v>
      </c>
      <c r="AA18" s="57" t="s">
        <v>69</v>
      </c>
      <c r="AB18" s="57" t="s">
        <v>158</v>
      </c>
      <c r="AE18" s="22" t="s">
        <v>212</v>
      </c>
      <c r="AP18" s="43" t="s">
        <v>221</v>
      </c>
      <c r="AR18" s="30" t="s">
        <v>101</v>
      </c>
      <c r="AV18" s="71" t="s">
        <v>88</v>
      </c>
    </row>
    <row r="19" spans="1:48" x14ac:dyDescent="0.15">
      <c r="A19" s="57" t="s">
        <v>41</v>
      </c>
      <c r="B19" s="58" t="s">
        <v>157</v>
      </c>
      <c r="C19" s="59">
        <v>2019</v>
      </c>
      <c r="D19" s="60" t="s">
        <v>185</v>
      </c>
      <c r="E19" s="36" t="s">
        <v>188</v>
      </c>
      <c r="F19" s="36" t="s">
        <v>186</v>
      </c>
      <c r="G19" s="57" t="s">
        <v>42</v>
      </c>
      <c r="H19" s="57" t="s">
        <v>160</v>
      </c>
      <c r="I19" s="57" t="s">
        <v>159</v>
      </c>
      <c r="J19" s="57" t="s">
        <v>38</v>
      </c>
      <c r="K19" s="57" t="s">
        <v>161</v>
      </c>
      <c r="L19" s="36">
        <v>3</v>
      </c>
      <c r="N19" s="57">
        <v>1</v>
      </c>
      <c r="O19" s="57">
        <v>0.95</v>
      </c>
      <c r="P19" s="57">
        <v>1</v>
      </c>
      <c r="Q19" s="75">
        <f t="shared" si="0"/>
        <v>0.97499999999999998</v>
      </c>
      <c r="R19" s="36">
        <v>15.8</v>
      </c>
      <c r="S19" s="36">
        <v>126</v>
      </c>
      <c r="T19" s="62">
        <f t="shared" si="1"/>
        <v>27</v>
      </c>
      <c r="U19" s="57">
        <v>149</v>
      </c>
      <c r="V19" s="62">
        <f t="shared" si="2"/>
        <v>4023</v>
      </c>
      <c r="W19" s="36">
        <v>3</v>
      </c>
      <c r="X19" s="57" t="s">
        <v>46</v>
      </c>
      <c r="Y19" s="57" t="s">
        <v>55</v>
      </c>
      <c r="Z19" s="57" t="s">
        <v>78</v>
      </c>
      <c r="AA19" s="57" t="s">
        <v>69</v>
      </c>
      <c r="AB19" s="57" t="s">
        <v>158</v>
      </c>
      <c r="AE19" s="35" t="s">
        <v>206</v>
      </c>
      <c r="AP19" s="43" t="s">
        <v>222</v>
      </c>
      <c r="AR19" s="30" t="s">
        <v>223</v>
      </c>
      <c r="AV19" s="71" t="s">
        <v>90</v>
      </c>
    </row>
    <row r="20" spans="1:48" x14ac:dyDescent="0.15">
      <c r="A20" s="57" t="s">
        <v>41</v>
      </c>
      <c r="B20" s="58" t="s">
        <v>157</v>
      </c>
      <c r="C20" s="59">
        <v>2019</v>
      </c>
      <c r="D20" s="60" t="s">
        <v>185</v>
      </c>
      <c r="E20" s="36" t="s">
        <v>188</v>
      </c>
      <c r="F20" s="36" t="s">
        <v>186</v>
      </c>
      <c r="G20" s="57" t="s">
        <v>42</v>
      </c>
      <c r="H20" s="57" t="s">
        <v>160</v>
      </c>
      <c r="I20" s="57" t="s">
        <v>159</v>
      </c>
      <c r="J20" s="57" t="s">
        <v>38</v>
      </c>
      <c r="K20" s="57" t="s">
        <v>161</v>
      </c>
      <c r="L20" s="57">
        <v>1</v>
      </c>
      <c r="M20" s="57"/>
      <c r="N20" s="57">
        <v>4</v>
      </c>
      <c r="O20" s="57">
        <v>0.35</v>
      </c>
      <c r="P20" s="57">
        <v>0.4</v>
      </c>
      <c r="Q20" s="75">
        <f t="shared" si="0"/>
        <v>0.375</v>
      </c>
      <c r="R20" s="36">
        <v>14.7</v>
      </c>
      <c r="S20" s="36">
        <v>120</v>
      </c>
      <c r="T20" s="62">
        <f t="shared" si="1"/>
        <v>30</v>
      </c>
      <c r="U20" s="57">
        <v>537</v>
      </c>
      <c r="V20" s="62">
        <f t="shared" si="2"/>
        <v>4027.5</v>
      </c>
      <c r="W20" s="57">
        <v>2</v>
      </c>
      <c r="X20" s="57" t="s">
        <v>46</v>
      </c>
      <c r="Y20" s="57" t="s">
        <v>55</v>
      </c>
      <c r="Z20" s="57" t="s">
        <v>78</v>
      </c>
      <c r="AA20" s="57" t="s">
        <v>69</v>
      </c>
      <c r="AB20" s="57" t="s">
        <v>158</v>
      </c>
      <c r="AE20" s="35"/>
      <c r="AP20" s="43" t="s">
        <v>224</v>
      </c>
      <c r="AR20" s="30" t="s">
        <v>105</v>
      </c>
      <c r="AV20" s="76" t="s">
        <v>225</v>
      </c>
    </row>
    <row r="21" spans="1:48" x14ac:dyDescent="0.15">
      <c r="A21" s="57" t="s">
        <v>41</v>
      </c>
      <c r="B21" s="58" t="s">
        <v>157</v>
      </c>
      <c r="C21" s="59">
        <v>2019</v>
      </c>
      <c r="D21" s="60" t="s">
        <v>185</v>
      </c>
      <c r="E21" s="36" t="s">
        <v>188</v>
      </c>
      <c r="F21" s="36" t="s">
        <v>186</v>
      </c>
      <c r="G21" s="57" t="s">
        <v>42</v>
      </c>
      <c r="H21" s="57" t="s">
        <v>160</v>
      </c>
      <c r="I21" s="57" t="s">
        <v>159</v>
      </c>
      <c r="J21" s="57" t="s">
        <v>38</v>
      </c>
      <c r="K21" s="57" t="s">
        <v>161</v>
      </c>
      <c r="L21" s="36">
        <v>2</v>
      </c>
      <c r="N21" s="57">
        <v>4</v>
      </c>
      <c r="O21" s="57">
        <v>0.45</v>
      </c>
      <c r="P21" s="57">
        <v>0.5</v>
      </c>
      <c r="Q21" s="75">
        <f t="shared" si="0"/>
        <v>0.47499999999999998</v>
      </c>
      <c r="R21" s="36">
        <v>17.600000000000001</v>
      </c>
      <c r="S21" s="36">
        <v>123</v>
      </c>
      <c r="T21" s="62">
        <f t="shared" si="1"/>
        <v>27</v>
      </c>
      <c r="U21" s="57">
        <v>537</v>
      </c>
      <c r="V21" s="62">
        <f t="shared" si="2"/>
        <v>3624.75</v>
      </c>
      <c r="W21" s="57">
        <v>2</v>
      </c>
      <c r="X21" s="57" t="s">
        <v>46</v>
      </c>
      <c r="Y21" s="57" t="s">
        <v>55</v>
      </c>
      <c r="Z21" s="57" t="s">
        <v>78</v>
      </c>
      <c r="AA21" s="57" t="s">
        <v>69</v>
      </c>
      <c r="AB21" s="57" t="s">
        <v>158</v>
      </c>
      <c r="AE21" s="77"/>
      <c r="AP21" s="43" t="s">
        <v>226</v>
      </c>
      <c r="AR21" s="30" t="s">
        <v>68</v>
      </c>
      <c r="AV21" s="76" t="s">
        <v>227</v>
      </c>
    </row>
    <row r="22" spans="1:48" x14ac:dyDescent="0.15">
      <c r="A22" s="57" t="s">
        <v>41</v>
      </c>
      <c r="B22" s="58" t="s">
        <v>157</v>
      </c>
      <c r="C22" s="59">
        <v>2019</v>
      </c>
      <c r="D22" s="60" t="s">
        <v>185</v>
      </c>
      <c r="E22" s="36" t="s">
        <v>188</v>
      </c>
      <c r="F22" s="36" t="s">
        <v>186</v>
      </c>
      <c r="G22" s="57" t="s">
        <v>42</v>
      </c>
      <c r="H22" s="57" t="s">
        <v>160</v>
      </c>
      <c r="I22" s="57" t="s">
        <v>159</v>
      </c>
      <c r="J22" s="57" t="s">
        <v>38</v>
      </c>
      <c r="K22" s="57" t="s">
        <v>161</v>
      </c>
      <c r="L22" s="36">
        <v>3</v>
      </c>
      <c r="N22" s="57">
        <v>4</v>
      </c>
      <c r="O22" s="57">
        <v>0.5</v>
      </c>
      <c r="P22" s="57">
        <v>0.45</v>
      </c>
      <c r="Q22" s="75">
        <f t="shared" si="0"/>
        <v>0.47499999999999998</v>
      </c>
      <c r="R22" s="36">
        <v>16.5</v>
      </c>
      <c r="S22" s="36">
        <v>124</v>
      </c>
      <c r="T22" s="62">
        <f t="shared" si="1"/>
        <v>27</v>
      </c>
      <c r="U22" s="57">
        <v>537</v>
      </c>
      <c r="V22" s="62">
        <f t="shared" si="2"/>
        <v>3624.75</v>
      </c>
      <c r="W22" s="36">
        <v>2</v>
      </c>
      <c r="X22" s="57" t="s">
        <v>46</v>
      </c>
      <c r="Y22" s="57" t="s">
        <v>55</v>
      </c>
      <c r="Z22" s="57" t="s">
        <v>78</v>
      </c>
      <c r="AA22" s="57" t="s">
        <v>69</v>
      </c>
      <c r="AB22" s="57" t="s">
        <v>158</v>
      </c>
      <c r="AP22" s="43" t="s">
        <v>228</v>
      </c>
      <c r="AR22" s="30" t="s">
        <v>83</v>
      </c>
      <c r="AV22" s="76"/>
    </row>
    <row r="23" spans="1:48" x14ac:dyDescent="0.15">
      <c r="A23" s="57" t="s">
        <v>41</v>
      </c>
      <c r="B23" s="58" t="s">
        <v>157</v>
      </c>
      <c r="C23" s="59">
        <v>2019</v>
      </c>
      <c r="D23" s="60" t="s">
        <v>185</v>
      </c>
      <c r="E23" s="36" t="s">
        <v>188</v>
      </c>
      <c r="F23" s="36" t="s">
        <v>186</v>
      </c>
      <c r="G23" s="57" t="s">
        <v>42</v>
      </c>
      <c r="H23" s="57" t="s">
        <v>160</v>
      </c>
      <c r="I23" s="57" t="s">
        <v>159</v>
      </c>
      <c r="J23" s="57" t="s">
        <v>38</v>
      </c>
      <c r="K23" s="57" t="s">
        <v>161</v>
      </c>
      <c r="L23" s="57">
        <v>1</v>
      </c>
      <c r="M23" s="57"/>
      <c r="N23" s="57">
        <v>5</v>
      </c>
      <c r="O23" s="57">
        <v>0.75</v>
      </c>
      <c r="P23" s="57">
        <v>0.6</v>
      </c>
      <c r="Q23" s="75">
        <f t="shared" si="0"/>
        <v>0.67500000000000004</v>
      </c>
      <c r="R23" s="36">
        <v>14.5</v>
      </c>
      <c r="S23" s="36">
        <v>128</v>
      </c>
      <c r="T23" s="62">
        <f t="shared" si="1"/>
        <v>27</v>
      </c>
      <c r="U23" s="57">
        <v>626</v>
      </c>
      <c r="V23" s="62">
        <f t="shared" si="2"/>
        <v>3380.4</v>
      </c>
      <c r="W23" s="57">
        <v>2</v>
      </c>
      <c r="X23" s="57" t="s">
        <v>46</v>
      </c>
      <c r="Y23" s="57" t="s">
        <v>55</v>
      </c>
      <c r="Z23" s="57" t="s">
        <v>78</v>
      </c>
      <c r="AA23" s="57" t="s">
        <v>69</v>
      </c>
      <c r="AB23" s="57" t="s">
        <v>158</v>
      </c>
      <c r="AP23" s="43" t="s">
        <v>229</v>
      </c>
      <c r="AR23" s="77" t="s">
        <v>230</v>
      </c>
      <c r="AV23" s="77"/>
    </row>
    <row r="24" spans="1:48" x14ac:dyDescent="0.15">
      <c r="A24" s="57" t="s">
        <v>41</v>
      </c>
      <c r="B24" s="58" t="s">
        <v>157</v>
      </c>
      <c r="C24" s="59">
        <v>2019</v>
      </c>
      <c r="D24" s="60" t="s">
        <v>185</v>
      </c>
      <c r="E24" s="36" t="s">
        <v>188</v>
      </c>
      <c r="F24" s="36" t="s">
        <v>186</v>
      </c>
      <c r="G24" s="57" t="s">
        <v>42</v>
      </c>
      <c r="H24" s="57" t="s">
        <v>160</v>
      </c>
      <c r="I24" s="57" t="s">
        <v>159</v>
      </c>
      <c r="J24" s="57" t="s">
        <v>38</v>
      </c>
      <c r="K24" s="57" t="s">
        <v>161</v>
      </c>
      <c r="L24" s="36">
        <v>2</v>
      </c>
      <c r="N24" s="57">
        <v>5</v>
      </c>
      <c r="O24" s="57">
        <v>0.65</v>
      </c>
      <c r="P24" s="57">
        <v>0.6</v>
      </c>
      <c r="Q24" s="75">
        <f t="shared" si="0"/>
        <v>0.625</v>
      </c>
      <c r="R24" s="36">
        <v>13.5</v>
      </c>
      <c r="S24" s="36">
        <v>124</v>
      </c>
      <c r="T24" s="62">
        <f t="shared" si="1"/>
        <v>27</v>
      </c>
      <c r="U24" s="57">
        <v>626</v>
      </c>
      <c r="V24" s="62">
        <f t="shared" si="2"/>
        <v>3380.4</v>
      </c>
      <c r="W24" s="57">
        <v>2</v>
      </c>
      <c r="X24" s="57" t="s">
        <v>46</v>
      </c>
      <c r="Y24" s="57" t="s">
        <v>55</v>
      </c>
      <c r="Z24" s="57" t="s">
        <v>78</v>
      </c>
      <c r="AA24" s="57" t="s">
        <v>69</v>
      </c>
      <c r="AB24" s="57" t="s">
        <v>158</v>
      </c>
      <c r="AP24" s="43" t="s">
        <v>231</v>
      </c>
    </row>
    <row r="25" spans="1:48" x14ac:dyDescent="0.15">
      <c r="A25" s="57" t="s">
        <v>41</v>
      </c>
      <c r="B25" s="58" t="s">
        <v>157</v>
      </c>
      <c r="C25" s="59">
        <v>2019</v>
      </c>
      <c r="D25" s="60" t="s">
        <v>185</v>
      </c>
      <c r="E25" s="36" t="s">
        <v>188</v>
      </c>
      <c r="F25" s="36" t="s">
        <v>186</v>
      </c>
      <c r="G25" s="57" t="s">
        <v>42</v>
      </c>
      <c r="H25" s="57" t="s">
        <v>160</v>
      </c>
      <c r="I25" s="57" t="s">
        <v>159</v>
      </c>
      <c r="J25" s="57" t="s">
        <v>38</v>
      </c>
      <c r="K25" s="57" t="s">
        <v>161</v>
      </c>
      <c r="L25" s="36">
        <v>3</v>
      </c>
      <c r="N25" s="57">
        <v>5</v>
      </c>
      <c r="O25" s="57">
        <v>0.55000000000000004</v>
      </c>
      <c r="P25" s="57">
        <v>0.65</v>
      </c>
      <c r="Q25" s="75">
        <f t="shared" si="0"/>
        <v>0.60000000000000009</v>
      </c>
      <c r="R25" s="36">
        <v>15.8</v>
      </c>
      <c r="S25" s="36">
        <v>126</v>
      </c>
      <c r="T25" s="62">
        <f t="shared" si="1"/>
        <v>27</v>
      </c>
      <c r="U25" s="57">
        <v>626</v>
      </c>
      <c r="V25" s="62">
        <f t="shared" si="2"/>
        <v>3380.4</v>
      </c>
      <c r="W25" s="36">
        <v>2</v>
      </c>
      <c r="X25" s="57" t="s">
        <v>46</v>
      </c>
      <c r="Y25" s="57" t="s">
        <v>55</v>
      </c>
      <c r="Z25" s="57" t="s">
        <v>78</v>
      </c>
      <c r="AA25" s="57" t="s">
        <v>69</v>
      </c>
      <c r="AB25" s="57" t="s">
        <v>158</v>
      </c>
    </row>
    <row r="26" spans="1:48" x14ac:dyDescent="0.15">
      <c r="A26" s="57" t="s">
        <v>41</v>
      </c>
      <c r="B26" s="58" t="s">
        <v>157</v>
      </c>
      <c r="C26" s="59">
        <v>2019</v>
      </c>
      <c r="D26" s="60" t="s">
        <v>185</v>
      </c>
      <c r="E26" s="36" t="s">
        <v>188</v>
      </c>
      <c r="F26" s="36" t="s">
        <v>186</v>
      </c>
      <c r="G26" s="57" t="s">
        <v>42</v>
      </c>
      <c r="H26" s="57" t="s">
        <v>160</v>
      </c>
      <c r="I26" s="57" t="s">
        <v>159</v>
      </c>
      <c r="J26" s="57" t="s">
        <v>38</v>
      </c>
      <c r="K26" s="57" t="s">
        <v>161</v>
      </c>
      <c r="L26" s="57">
        <v>1</v>
      </c>
      <c r="M26" s="57"/>
      <c r="N26" s="57">
        <v>10</v>
      </c>
      <c r="O26" s="57">
        <v>1.1000000000000001</v>
      </c>
      <c r="P26" s="57">
        <v>0.1</v>
      </c>
      <c r="Q26" s="75">
        <f t="shared" si="0"/>
        <v>0.60000000000000009</v>
      </c>
      <c r="R26" s="36">
        <v>12.9</v>
      </c>
      <c r="S26" s="36">
        <v>118</v>
      </c>
      <c r="T26" s="62">
        <f t="shared" si="1"/>
        <v>30</v>
      </c>
      <c r="U26" s="57">
        <v>1058</v>
      </c>
      <c r="V26" s="62">
        <f t="shared" si="2"/>
        <v>3174</v>
      </c>
      <c r="W26" s="57">
        <v>1</v>
      </c>
      <c r="X26" s="57" t="s">
        <v>46</v>
      </c>
      <c r="Y26" s="57" t="s">
        <v>55</v>
      </c>
      <c r="Z26" s="57" t="s">
        <v>78</v>
      </c>
      <c r="AA26" s="57" t="s">
        <v>69</v>
      </c>
      <c r="AB26" s="57" t="s">
        <v>158</v>
      </c>
    </row>
    <row r="27" spans="1:48" x14ac:dyDescent="0.15">
      <c r="A27" s="57" t="s">
        <v>41</v>
      </c>
      <c r="B27" s="58" t="s">
        <v>157</v>
      </c>
      <c r="C27" s="59">
        <v>2019</v>
      </c>
      <c r="D27" s="60" t="s">
        <v>185</v>
      </c>
      <c r="E27" s="36" t="s">
        <v>188</v>
      </c>
      <c r="F27" s="36" t="s">
        <v>186</v>
      </c>
      <c r="G27" s="57" t="s">
        <v>42</v>
      </c>
      <c r="H27" s="57" t="s">
        <v>160</v>
      </c>
      <c r="I27" s="57" t="s">
        <v>159</v>
      </c>
      <c r="J27" s="57" t="s">
        <v>38</v>
      </c>
      <c r="K27" s="57" t="s">
        <v>161</v>
      </c>
      <c r="L27" s="36">
        <v>2</v>
      </c>
      <c r="N27" s="57">
        <v>10</v>
      </c>
      <c r="O27" s="57">
        <v>0.95</v>
      </c>
      <c r="P27" s="57">
        <v>0.8</v>
      </c>
      <c r="Q27" s="75">
        <f t="shared" si="0"/>
        <v>0.875</v>
      </c>
      <c r="R27" s="36">
        <v>13.3</v>
      </c>
      <c r="S27" s="36">
        <v>120</v>
      </c>
      <c r="T27" s="62">
        <f t="shared" si="1"/>
        <v>30</v>
      </c>
      <c r="U27" s="57">
        <v>1058</v>
      </c>
      <c r="V27" s="62">
        <f t="shared" si="2"/>
        <v>3174</v>
      </c>
      <c r="W27" s="36">
        <v>1</v>
      </c>
      <c r="X27" s="57" t="s">
        <v>46</v>
      </c>
      <c r="Y27" s="57" t="s">
        <v>55</v>
      </c>
      <c r="Z27" s="57" t="s">
        <v>78</v>
      </c>
      <c r="AA27" s="57" t="s">
        <v>69</v>
      </c>
      <c r="AB27" s="57" t="s">
        <v>158</v>
      </c>
    </row>
    <row r="28" spans="1:48" x14ac:dyDescent="0.15">
      <c r="A28" s="57" t="s">
        <v>41</v>
      </c>
      <c r="B28" s="58" t="s">
        <v>157</v>
      </c>
      <c r="C28" s="59">
        <v>2019</v>
      </c>
      <c r="D28" s="60" t="s">
        <v>185</v>
      </c>
      <c r="E28" s="36" t="s">
        <v>188</v>
      </c>
      <c r="F28" s="36" t="s">
        <v>186</v>
      </c>
      <c r="G28" s="57" t="s">
        <v>42</v>
      </c>
      <c r="H28" s="57" t="s">
        <v>160</v>
      </c>
      <c r="I28" s="57" t="s">
        <v>159</v>
      </c>
      <c r="J28" s="57" t="s">
        <v>38</v>
      </c>
      <c r="K28" s="57" t="s">
        <v>161</v>
      </c>
      <c r="L28" s="36">
        <v>3</v>
      </c>
      <c r="N28" s="57">
        <v>10</v>
      </c>
      <c r="O28" s="57">
        <v>0.85</v>
      </c>
      <c r="P28" s="57">
        <v>0.65</v>
      </c>
      <c r="Q28" s="75">
        <f t="shared" si="0"/>
        <v>0.75</v>
      </c>
      <c r="R28" s="36">
        <v>14.8</v>
      </c>
      <c r="S28" s="36">
        <v>115</v>
      </c>
      <c r="T28" s="62">
        <f t="shared" si="1"/>
        <v>30</v>
      </c>
      <c r="U28" s="57">
        <v>1058</v>
      </c>
      <c r="V28" s="62">
        <f t="shared" si="2"/>
        <v>3174</v>
      </c>
      <c r="W28" s="36">
        <v>1</v>
      </c>
      <c r="X28" s="57" t="s">
        <v>46</v>
      </c>
      <c r="Y28" s="57" t="s">
        <v>55</v>
      </c>
      <c r="Z28" s="57" t="s">
        <v>78</v>
      </c>
      <c r="AA28" s="57" t="s">
        <v>69</v>
      </c>
      <c r="AB28" s="57" t="s">
        <v>158</v>
      </c>
    </row>
    <row r="29" spans="1:48" x14ac:dyDescent="0.15">
      <c r="A29" s="57" t="s">
        <v>41</v>
      </c>
      <c r="B29" s="58" t="s">
        <v>157</v>
      </c>
      <c r="C29" s="59">
        <v>2019</v>
      </c>
      <c r="D29" s="60" t="s">
        <v>185</v>
      </c>
      <c r="E29" s="36" t="s">
        <v>188</v>
      </c>
      <c r="F29" s="36" t="s">
        <v>186</v>
      </c>
      <c r="G29" s="57" t="s">
        <v>42</v>
      </c>
      <c r="H29" s="57" t="s">
        <v>165</v>
      </c>
      <c r="I29" s="57" t="s">
        <v>159</v>
      </c>
      <c r="J29" s="57" t="s">
        <v>38</v>
      </c>
      <c r="K29" s="57" t="s">
        <v>161</v>
      </c>
      <c r="L29" s="36">
        <v>1</v>
      </c>
      <c r="N29" s="57">
        <v>1</v>
      </c>
      <c r="O29" s="57">
        <v>0.45</v>
      </c>
      <c r="P29" s="57">
        <v>0.45</v>
      </c>
      <c r="Q29" s="75">
        <f t="shared" si="0"/>
        <v>0.45</v>
      </c>
      <c r="R29" s="57">
        <v>14</v>
      </c>
      <c r="S29" s="57">
        <v>134</v>
      </c>
      <c r="T29" s="62">
        <f t="shared" si="1"/>
        <v>25</v>
      </c>
      <c r="U29" s="57">
        <v>149</v>
      </c>
      <c r="V29" s="62">
        <f t="shared" si="2"/>
        <v>3725</v>
      </c>
      <c r="W29" s="36">
        <v>3</v>
      </c>
      <c r="X29" s="57" t="s">
        <v>46</v>
      </c>
      <c r="Y29" s="57" t="s">
        <v>55</v>
      </c>
      <c r="Z29" s="57" t="s">
        <v>78</v>
      </c>
      <c r="AA29" s="57" t="s">
        <v>69</v>
      </c>
      <c r="AB29" s="57" t="s">
        <v>158</v>
      </c>
    </row>
    <row r="30" spans="1:48" x14ac:dyDescent="0.15">
      <c r="A30" s="57" t="s">
        <v>41</v>
      </c>
      <c r="B30" s="58" t="s">
        <v>157</v>
      </c>
      <c r="C30" s="59">
        <v>2019</v>
      </c>
      <c r="D30" s="60" t="s">
        <v>185</v>
      </c>
      <c r="E30" s="36" t="s">
        <v>188</v>
      </c>
      <c r="F30" s="36" t="s">
        <v>186</v>
      </c>
      <c r="G30" s="57" t="s">
        <v>42</v>
      </c>
      <c r="H30" s="57" t="s">
        <v>165</v>
      </c>
      <c r="I30" s="57" t="s">
        <v>159</v>
      </c>
      <c r="J30" s="57" t="s">
        <v>38</v>
      </c>
      <c r="K30" s="57" t="s">
        <v>161</v>
      </c>
      <c r="L30" s="36">
        <v>2</v>
      </c>
      <c r="N30" s="57">
        <v>1</v>
      </c>
      <c r="O30" s="57">
        <v>0.5</v>
      </c>
      <c r="P30" s="57">
        <v>0.5</v>
      </c>
      <c r="Q30" s="75">
        <f t="shared" si="0"/>
        <v>0.5</v>
      </c>
      <c r="R30" s="57">
        <v>15.2</v>
      </c>
      <c r="S30" s="57">
        <v>132</v>
      </c>
      <c r="T30" s="62">
        <f t="shared" si="1"/>
        <v>25</v>
      </c>
      <c r="U30" s="57">
        <v>149</v>
      </c>
      <c r="V30" s="62">
        <f t="shared" si="2"/>
        <v>3725</v>
      </c>
      <c r="W30" s="36">
        <v>3</v>
      </c>
      <c r="X30" s="57" t="s">
        <v>46</v>
      </c>
      <c r="Y30" s="57" t="s">
        <v>55</v>
      </c>
      <c r="Z30" s="57" t="s">
        <v>78</v>
      </c>
      <c r="AA30" s="57" t="s">
        <v>69</v>
      </c>
      <c r="AB30" s="57" t="s">
        <v>158</v>
      </c>
    </row>
    <row r="31" spans="1:48" x14ac:dyDescent="0.15">
      <c r="A31" s="57" t="s">
        <v>41</v>
      </c>
      <c r="B31" s="58" t="s">
        <v>157</v>
      </c>
      <c r="C31" s="59">
        <v>2019</v>
      </c>
      <c r="D31" s="60" t="s">
        <v>185</v>
      </c>
      <c r="E31" s="36" t="s">
        <v>188</v>
      </c>
      <c r="F31" s="36" t="s">
        <v>186</v>
      </c>
      <c r="G31" s="57" t="s">
        <v>42</v>
      </c>
      <c r="H31" s="57" t="s">
        <v>165</v>
      </c>
      <c r="I31" s="57" t="s">
        <v>159</v>
      </c>
      <c r="J31" s="57" t="s">
        <v>38</v>
      </c>
      <c r="K31" s="57" t="s">
        <v>161</v>
      </c>
      <c r="L31" s="36">
        <v>3</v>
      </c>
      <c r="N31" s="57">
        <v>1</v>
      </c>
      <c r="O31" s="57">
        <v>0.35</v>
      </c>
      <c r="P31" s="57">
        <v>0.35</v>
      </c>
      <c r="Q31" s="75">
        <f t="shared" si="0"/>
        <v>0.35</v>
      </c>
      <c r="R31" s="57">
        <v>13.5</v>
      </c>
      <c r="S31" s="57">
        <v>130</v>
      </c>
      <c r="T31" s="62">
        <f t="shared" si="1"/>
        <v>25</v>
      </c>
      <c r="U31" s="57">
        <v>149</v>
      </c>
      <c r="V31" s="62">
        <f t="shared" si="2"/>
        <v>3725</v>
      </c>
      <c r="W31" s="36">
        <v>3</v>
      </c>
      <c r="X31" s="57" t="s">
        <v>46</v>
      </c>
      <c r="Y31" s="57" t="s">
        <v>55</v>
      </c>
      <c r="Z31" s="57" t="s">
        <v>78</v>
      </c>
      <c r="AA31" s="57" t="s">
        <v>69</v>
      </c>
      <c r="AB31" s="57" t="s">
        <v>158</v>
      </c>
    </row>
    <row r="32" spans="1:48" x14ac:dyDescent="0.15">
      <c r="A32" s="57" t="s">
        <v>41</v>
      </c>
      <c r="B32" s="58" t="s">
        <v>157</v>
      </c>
      <c r="C32" s="59">
        <v>2019</v>
      </c>
      <c r="D32" s="60" t="s">
        <v>185</v>
      </c>
      <c r="E32" s="36" t="s">
        <v>188</v>
      </c>
      <c r="F32" s="36" t="s">
        <v>186</v>
      </c>
      <c r="G32" s="57" t="s">
        <v>42</v>
      </c>
      <c r="H32" s="57" t="s">
        <v>160</v>
      </c>
      <c r="I32" s="57" t="s">
        <v>159</v>
      </c>
      <c r="J32" s="57" t="s">
        <v>38</v>
      </c>
      <c r="K32" s="57" t="s">
        <v>161</v>
      </c>
      <c r="L32" s="36">
        <v>1</v>
      </c>
      <c r="N32" s="57">
        <v>4</v>
      </c>
      <c r="O32" s="57">
        <v>0.65</v>
      </c>
      <c r="P32" s="57">
        <v>0.5</v>
      </c>
      <c r="Q32" s="75">
        <f t="shared" si="0"/>
        <v>0.57499999999999996</v>
      </c>
      <c r="R32" s="57">
        <v>12</v>
      </c>
      <c r="S32" s="57">
        <v>124</v>
      </c>
      <c r="T32" s="62">
        <f t="shared" si="1"/>
        <v>27</v>
      </c>
      <c r="U32" s="36">
        <v>429</v>
      </c>
      <c r="V32" s="62">
        <f t="shared" si="2"/>
        <v>2895.75</v>
      </c>
      <c r="W32" s="36">
        <v>2</v>
      </c>
      <c r="X32" s="57" t="s">
        <v>46</v>
      </c>
      <c r="Y32" s="57" t="s">
        <v>55</v>
      </c>
      <c r="Z32" s="57" t="s">
        <v>78</v>
      </c>
      <c r="AA32" s="57" t="s">
        <v>69</v>
      </c>
      <c r="AB32" s="57" t="s">
        <v>158</v>
      </c>
    </row>
    <row r="33" spans="1:28" x14ac:dyDescent="0.15">
      <c r="A33" s="57" t="s">
        <v>41</v>
      </c>
      <c r="B33" s="58" t="s">
        <v>157</v>
      </c>
      <c r="C33" s="59">
        <v>2019</v>
      </c>
      <c r="D33" s="60" t="s">
        <v>185</v>
      </c>
      <c r="E33" s="36" t="s">
        <v>188</v>
      </c>
      <c r="F33" s="36" t="s">
        <v>186</v>
      </c>
      <c r="G33" s="57" t="s">
        <v>42</v>
      </c>
      <c r="H33" s="57" t="s">
        <v>160</v>
      </c>
      <c r="I33" s="57" t="s">
        <v>159</v>
      </c>
      <c r="J33" s="57" t="s">
        <v>38</v>
      </c>
      <c r="K33" s="57" t="s">
        <v>161</v>
      </c>
      <c r="L33" s="36">
        <v>2</v>
      </c>
      <c r="N33" s="57">
        <v>4</v>
      </c>
      <c r="O33" s="57">
        <v>0.85</v>
      </c>
      <c r="P33" s="57">
        <v>0.75</v>
      </c>
      <c r="Q33" s="75">
        <f t="shared" si="0"/>
        <v>0.8</v>
      </c>
      <c r="R33" s="57">
        <v>13.5</v>
      </c>
      <c r="S33" s="57">
        <v>126</v>
      </c>
      <c r="T33" s="62">
        <f t="shared" si="1"/>
        <v>27</v>
      </c>
      <c r="U33" s="36">
        <v>429</v>
      </c>
      <c r="V33" s="62">
        <f t="shared" si="2"/>
        <v>2895.75</v>
      </c>
      <c r="W33" s="36">
        <v>2</v>
      </c>
      <c r="X33" s="57" t="s">
        <v>46</v>
      </c>
      <c r="Y33" s="57" t="s">
        <v>55</v>
      </c>
      <c r="Z33" s="57" t="s">
        <v>78</v>
      </c>
      <c r="AA33" s="57" t="s">
        <v>69</v>
      </c>
      <c r="AB33" s="57" t="s">
        <v>158</v>
      </c>
    </row>
    <row r="34" spans="1:28" x14ac:dyDescent="0.15">
      <c r="A34" s="57" t="s">
        <v>41</v>
      </c>
      <c r="B34" s="58" t="s">
        <v>157</v>
      </c>
      <c r="C34" s="59">
        <v>2019</v>
      </c>
      <c r="D34" s="60" t="s">
        <v>185</v>
      </c>
      <c r="E34" s="36" t="s">
        <v>188</v>
      </c>
      <c r="F34" s="36" t="s">
        <v>186</v>
      </c>
      <c r="G34" s="57" t="s">
        <v>42</v>
      </c>
      <c r="H34" s="57" t="s">
        <v>160</v>
      </c>
      <c r="I34" s="57" t="s">
        <v>159</v>
      </c>
      <c r="J34" s="57" t="s">
        <v>38</v>
      </c>
      <c r="K34" s="57" t="s">
        <v>161</v>
      </c>
      <c r="L34" s="36">
        <v>3</v>
      </c>
      <c r="N34" s="57">
        <v>4</v>
      </c>
      <c r="O34" s="57">
        <v>0.7</v>
      </c>
      <c r="P34" s="57">
        <v>0.65</v>
      </c>
      <c r="Q34" s="75">
        <f t="shared" si="0"/>
        <v>0.67500000000000004</v>
      </c>
      <c r="R34" s="57">
        <v>14.8</v>
      </c>
      <c r="S34" s="57">
        <v>123</v>
      </c>
      <c r="T34" s="62">
        <f t="shared" si="1"/>
        <v>27</v>
      </c>
      <c r="U34" s="36">
        <v>429</v>
      </c>
      <c r="V34" s="62">
        <f t="shared" si="2"/>
        <v>2895.75</v>
      </c>
      <c r="W34" s="36">
        <v>2</v>
      </c>
      <c r="X34" s="57" t="s">
        <v>46</v>
      </c>
      <c r="Y34" s="57" t="s">
        <v>55</v>
      </c>
      <c r="Z34" s="57" t="s">
        <v>78</v>
      </c>
      <c r="AA34" s="57" t="s">
        <v>69</v>
      </c>
      <c r="AB34" s="57" t="s">
        <v>158</v>
      </c>
    </row>
    <row r="35" spans="1:28" x14ac:dyDescent="0.15">
      <c r="A35" s="57" t="s">
        <v>41</v>
      </c>
      <c r="B35" s="58" t="s">
        <v>157</v>
      </c>
      <c r="C35" s="59">
        <v>2019</v>
      </c>
      <c r="D35" s="60" t="s">
        <v>185</v>
      </c>
      <c r="E35" s="36" t="s">
        <v>188</v>
      </c>
      <c r="F35" s="36" t="s">
        <v>186</v>
      </c>
      <c r="G35" s="57" t="s">
        <v>42</v>
      </c>
      <c r="H35" s="57" t="s">
        <v>160</v>
      </c>
      <c r="I35" s="57" t="s">
        <v>159</v>
      </c>
      <c r="J35" s="57" t="s">
        <v>38</v>
      </c>
      <c r="K35" s="57" t="s">
        <v>161</v>
      </c>
      <c r="L35" s="36">
        <v>1</v>
      </c>
      <c r="N35" s="57">
        <v>6</v>
      </c>
      <c r="O35" s="57">
        <v>0.85</v>
      </c>
      <c r="P35" s="57">
        <v>0.8</v>
      </c>
      <c r="Q35" s="75">
        <f t="shared" si="0"/>
        <v>0.82499999999999996</v>
      </c>
      <c r="R35" s="57">
        <v>15.2</v>
      </c>
      <c r="S35" s="57">
        <v>124</v>
      </c>
      <c r="T35" s="62">
        <f t="shared" si="1"/>
        <v>27</v>
      </c>
      <c r="U35" s="36">
        <v>645</v>
      </c>
      <c r="V35" s="62">
        <f t="shared" si="2"/>
        <v>2902.5</v>
      </c>
      <c r="W35" s="36">
        <v>2</v>
      </c>
      <c r="X35" s="57" t="s">
        <v>46</v>
      </c>
      <c r="Y35" s="57" t="s">
        <v>55</v>
      </c>
      <c r="Z35" s="57" t="s">
        <v>78</v>
      </c>
      <c r="AA35" s="57" t="s">
        <v>69</v>
      </c>
      <c r="AB35" s="57" t="s">
        <v>158</v>
      </c>
    </row>
    <row r="36" spans="1:28" x14ac:dyDescent="0.15">
      <c r="A36" s="57" t="s">
        <v>41</v>
      </c>
      <c r="B36" s="58" t="s">
        <v>157</v>
      </c>
      <c r="C36" s="59">
        <v>2019</v>
      </c>
      <c r="D36" s="60" t="s">
        <v>185</v>
      </c>
      <c r="E36" s="36" t="s">
        <v>188</v>
      </c>
      <c r="F36" s="36" t="s">
        <v>186</v>
      </c>
      <c r="G36" s="57" t="s">
        <v>42</v>
      </c>
      <c r="H36" s="57" t="s">
        <v>160</v>
      </c>
      <c r="I36" s="57" t="s">
        <v>159</v>
      </c>
      <c r="J36" s="57" t="s">
        <v>38</v>
      </c>
      <c r="K36" s="57" t="s">
        <v>161</v>
      </c>
      <c r="L36" s="36">
        <v>2</v>
      </c>
      <c r="N36" s="57">
        <v>6</v>
      </c>
      <c r="O36" s="57">
        <v>0.75</v>
      </c>
      <c r="P36" s="57">
        <v>0.7</v>
      </c>
      <c r="Q36" s="75">
        <f t="shared" si="0"/>
        <v>0.72499999999999998</v>
      </c>
      <c r="R36" s="57">
        <v>14</v>
      </c>
      <c r="S36" s="57">
        <v>123</v>
      </c>
      <c r="T36" s="62">
        <f t="shared" si="1"/>
        <v>27</v>
      </c>
      <c r="U36" s="36">
        <v>645</v>
      </c>
      <c r="V36" s="62">
        <f t="shared" si="2"/>
        <v>2902.5</v>
      </c>
      <c r="W36" s="36">
        <v>2</v>
      </c>
      <c r="X36" s="57" t="s">
        <v>46</v>
      </c>
      <c r="Y36" s="57" t="s">
        <v>55</v>
      </c>
      <c r="Z36" s="57" t="s">
        <v>78</v>
      </c>
      <c r="AA36" s="57" t="s">
        <v>69</v>
      </c>
      <c r="AB36" s="57" t="s">
        <v>158</v>
      </c>
    </row>
    <row r="37" spans="1:28" x14ac:dyDescent="0.15">
      <c r="A37" s="57" t="s">
        <v>41</v>
      </c>
      <c r="B37" s="58" t="s">
        <v>157</v>
      </c>
      <c r="C37" s="59">
        <v>2019</v>
      </c>
      <c r="D37" s="60" t="s">
        <v>185</v>
      </c>
      <c r="E37" s="36" t="s">
        <v>188</v>
      </c>
      <c r="F37" s="36" t="s">
        <v>186</v>
      </c>
      <c r="G37" s="57" t="s">
        <v>42</v>
      </c>
      <c r="H37" s="57" t="s">
        <v>160</v>
      </c>
      <c r="I37" s="57" t="s">
        <v>159</v>
      </c>
      <c r="J37" s="57" t="s">
        <v>38</v>
      </c>
      <c r="K37" s="57" t="s">
        <v>161</v>
      </c>
      <c r="L37" s="36">
        <v>3</v>
      </c>
      <c r="N37" s="57">
        <v>6</v>
      </c>
      <c r="O37" s="57">
        <v>0.65</v>
      </c>
      <c r="P37" s="57">
        <v>0.6</v>
      </c>
      <c r="Q37" s="75">
        <f t="shared" si="0"/>
        <v>0.625</v>
      </c>
      <c r="R37" s="57">
        <v>13.8</v>
      </c>
      <c r="S37" s="57">
        <v>122</v>
      </c>
      <c r="T37" s="62">
        <f t="shared" si="1"/>
        <v>27</v>
      </c>
      <c r="U37" s="36">
        <v>645</v>
      </c>
      <c r="V37" s="62">
        <f t="shared" si="2"/>
        <v>2902.5</v>
      </c>
      <c r="W37" s="36">
        <v>2</v>
      </c>
      <c r="X37" s="57" t="s">
        <v>46</v>
      </c>
      <c r="Y37" s="57" t="s">
        <v>55</v>
      </c>
      <c r="Z37" s="57" t="s">
        <v>78</v>
      </c>
      <c r="AA37" s="57" t="s">
        <v>69</v>
      </c>
      <c r="AB37" s="57" t="s">
        <v>158</v>
      </c>
    </row>
    <row r="38" spans="1:28" x14ac:dyDescent="0.15">
      <c r="A38" s="57" t="s">
        <v>41</v>
      </c>
      <c r="B38" s="58" t="s">
        <v>157</v>
      </c>
      <c r="C38" s="59">
        <v>2019</v>
      </c>
      <c r="D38" s="60" t="s">
        <v>185</v>
      </c>
      <c r="E38" s="36" t="s">
        <v>188</v>
      </c>
      <c r="F38" s="57" t="s">
        <v>190</v>
      </c>
      <c r="G38" s="57" t="s">
        <v>42</v>
      </c>
      <c r="H38" s="57" t="s">
        <v>165</v>
      </c>
      <c r="I38" s="57" t="s">
        <v>159</v>
      </c>
      <c r="J38" s="57" t="s">
        <v>38</v>
      </c>
      <c r="K38" s="57" t="s">
        <v>161</v>
      </c>
      <c r="L38" s="36">
        <v>1</v>
      </c>
      <c r="N38" s="57">
        <v>1</v>
      </c>
      <c r="O38" s="57">
        <v>0.65</v>
      </c>
      <c r="P38" s="57">
        <v>0.65</v>
      </c>
      <c r="Q38" s="75">
        <f t="shared" si="0"/>
        <v>0.65</v>
      </c>
      <c r="R38" s="57">
        <v>12.3</v>
      </c>
      <c r="S38" s="57">
        <v>133</v>
      </c>
      <c r="T38" s="62">
        <f t="shared" si="1"/>
        <v>25</v>
      </c>
      <c r="U38" s="36">
        <v>149</v>
      </c>
      <c r="V38" s="62">
        <f t="shared" si="2"/>
        <v>3725</v>
      </c>
      <c r="W38" s="36">
        <v>3</v>
      </c>
      <c r="X38" s="57" t="s">
        <v>46</v>
      </c>
      <c r="Y38" s="57" t="s">
        <v>55</v>
      </c>
      <c r="Z38" s="57" t="s">
        <v>47</v>
      </c>
      <c r="AA38" s="57" t="s">
        <v>69</v>
      </c>
      <c r="AB38" s="57" t="s">
        <v>158</v>
      </c>
    </row>
    <row r="39" spans="1:28" x14ac:dyDescent="0.15">
      <c r="A39" s="57" t="s">
        <v>41</v>
      </c>
      <c r="B39" s="58" t="s">
        <v>157</v>
      </c>
      <c r="C39" s="59">
        <v>2019</v>
      </c>
      <c r="D39" s="60" t="s">
        <v>185</v>
      </c>
      <c r="E39" s="36" t="s">
        <v>188</v>
      </c>
      <c r="F39" s="57" t="s">
        <v>190</v>
      </c>
      <c r="G39" s="57" t="s">
        <v>42</v>
      </c>
      <c r="H39" s="57" t="s">
        <v>165</v>
      </c>
      <c r="I39" s="57" t="s">
        <v>159</v>
      </c>
      <c r="J39" s="57" t="s">
        <v>38</v>
      </c>
      <c r="K39" s="57" t="s">
        <v>161</v>
      </c>
      <c r="L39" s="36">
        <v>2</v>
      </c>
      <c r="N39" s="57">
        <v>1</v>
      </c>
      <c r="O39" s="57">
        <v>0.8</v>
      </c>
      <c r="P39" s="57">
        <v>0.75</v>
      </c>
      <c r="Q39" s="75">
        <f t="shared" si="0"/>
        <v>0.77500000000000002</v>
      </c>
      <c r="R39" s="57">
        <v>14.2</v>
      </c>
      <c r="S39" s="57">
        <v>137</v>
      </c>
      <c r="T39" s="62">
        <f t="shared" si="1"/>
        <v>25</v>
      </c>
      <c r="U39" s="36">
        <v>149</v>
      </c>
      <c r="V39" s="62">
        <f t="shared" si="2"/>
        <v>3725</v>
      </c>
      <c r="W39" s="36">
        <v>3</v>
      </c>
      <c r="X39" s="57" t="s">
        <v>46</v>
      </c>
      <c r="Y39" s="57" t="s">
        <v>55</v>
      </c>
      <c r="Z39" s="57" t="s">
        <v>47</v>
      </c>
      <c r="AA39" s="57" t="s">
        <v>69</v>
      </c>
      <c r="AB39" s="57" t="s">
        <v>158</v>
      </c>
    </row>
    <row r="40" spans="1:28" x14ac:dyDescent="0.15">
      <c r="A40" s="57" t="s">
        <v>41</v>
      </c>
      <c r="B40" s="58" t="s">
        <v>157</v>
      </c>
      <c r="C40" s="59">
        <v>2019</v>
      </c>
      <c r="D40" s="60" t="s">
        <v>185</v>
      </c>
      <c r="E40" s="36" t="s">
        <v>188</v>
      </c>
      <c r="F40" s="57" t="s">
        <v>190</v>
      </c>
      <c r="G40" s="57" t="s">
        <v>42</v>
      </c>
      <c r="H40" s="57" t="s">
        <v>165</v>
      </c>
      <c r="I40" s="57" t="s">
        <v>159</v>
      </c>
      <c r="J40" s="57" t="s">
        <v>38</v>
      </c>
      <c r="K40" s="57" t="s">
        <v>161</v>
      </c>
      <c r="L40" s="36">
        <v>3</v>
      </c>
      <c r="N40" s="57">
        <v>1</v>
      </c>
      <c r="O40" s="57">
        <v>0.6</v>
      </c>
      <c r="P40" s="57">
        <v>0.5</v>
      </c>
      <c r="Q40" s="75">
        <f t="shared" si="0"/>
        <v>0.55000000000000004</v>
      </c>
      <c r="R40" s="57">
        <v>10.199999999999999</v>
      </c>
      <c r="S40" s="57">
        <v>132</v>
      </c>
      <c r="T40" s="62">
        <f t="shared" si="1"/>
        <v>25</v>
      </c>
      <c r="U40" s="36">
        <v>149</v>
      </c>
      <c r="V40" s="62">
        <f t="shared" si="2"/>
        <v>3725</v>
      </c>
      <c r="W40" s="36">
        <v>3</v>
      </c>
      <c r="X40" s="57" t="s">
        <v>46</v>
      </c>
      <c r="Y40" s="57" t="s">
        <v>55</v>
      </c>
      <c r="Z40" s="57" t="s">
        <v>47</v>
      </c>
      <c r="AA40" s="57" t="s">
        <v>69</v>
      </c>
      <c r="AB40" s="57" t="s">
        <v>158</v>
      </c>
    </row>
    <row r="41" spans="1:28" x14ac:dyDescent="0.15">
      <c r="A41" s="57" t="s">
        <v>41</v>
      </c>
      <c r="B41" s="58" t="s">
        <v>157</v>
      </c>
      <c r="C41" s="59">
        <v>2019</v>
      </c>
      <c r="D41" s="60" t="s">
        <v>185</v>
      </c>
      <c r="E41" s="36" t="s">
        <v>188</v>
      </c>
      <c r="F41" s="57" t="s">
        <v>190</v>
      </c>
      <c r="G41" s="57" t="s">
        <v>42</v>
      </c>
      <c r="H41" s="57" t="s">
        <v>165</v>
      </c>
      <c r="I41" s="57" t="s">
        <v>159</v>
      </c>
      <c r="J41" s="57" t="s">
        <v>38</v>
      </c>
      <c r="K41" s="57" t="s">
        <v>161</v>
      </c>
      <c r="L41" s="36">
        <v>1</v>
      </c>
      <c r="N41" s="57">
        <v>4</v>
      </c>
      <c r="O41" s="57">
        <v>0.7</v>
      </c>
      <c r="P41" s="57">
        <v>0.9</v>
      </c>
      <c r="Q41" s="75">
        <f t="shared" si="0"/>
        <v>0.8</v>
      </c>
      <c r="R41" s="57">
        <v>14.6</v>
      </c>
      <c r="S41" s="57">
        <v>124</v>
      </c>
      <c r="T41" s="62">
        <f t="shared" si="1"/>
        <v>27</v>
      </c>
      <c r="U41" s="36">
        <v>429</v>
      </c>
      <c r="V41" s="62">
        <f t="shared" si="2"/>
        <v>2895.75</v>
      </c>
      <c r="W41" s="36">
        <v>2</v>
      </c>
      <c r="X41" s="57" t="s">
        <v>46</v>
      </c>
      <c r="Y41" s="57" t="s">
        <v>55</v>
      </c>
      <c r="Z41" s="57" t="s">
        <v>47</v>
      </c>
      <c r="AA41" s="57" t="s">
        <v>69</v>
      </c>
      <c r="AB41" s="57" t="s">
        <v>158</v>
      </c>
    </row>
    <row r="42" spans="1:28" x14ac:dyDescent="0.15">
      <c r="A42" s="57" t="s">
        <v>41</v>
      </c>
      <c r="B42" s="58" t="s">
        <v>157</v>
      </c>
      <c r="C42" s="59">
        <v>2019</v>
      </c>
      <c r="D42" s="60" t="s">
        <v>185</v>
      </c>
      <c r="E42" s="36" t="s">
        <v>188</v>
      </c>
      <c r="F42" s="57" t="s">
        <v>190</v>
      </c>
      <c r="G42" s="57" t="s">
        <v>42</v>
      </c>
      <c r="H42" s="57" t="s">
        <v>165</v>
      </c>
      <c r="I42" s="57" t="s">
        <v>159</v>
      </c>
      <c r="J42" s="57" t="s">
        <v>38</v>
      </c>
      <c r="K42" s="57" t="s">
        <v>161</v>
      </c>
      <c r="L42" s="36">
        <v>2</v>
      </c>
      <c r="N42" s="57">
        <v>4</v>
      </c>
      <c r="O42" s="57">
        <v>0.65</v>
      </c>
      <c r="P42" s="57">
        <v>0.45</v>
      </c>
      <c r="Q42" s="75">
        <f t="shared" si="0"/>
        <v>0.55000000000000004</v>
      </c>
      <c r="R42" s="57">
        <v>13.7</v>
      </c>
      <c r="S42" s="57">
        <v>123</v>
      </c>
      <c r="T42" s="62">
        <f t="shared" si="1"/>
        <v>27</v>
      </c>
      <c r="U42" s="36">
        <v>429</v>
      </c>
      <c r="V42" s="62">
        <f t="shared" si="2"/>
        <v>2895.75</v>
      </c>
      <c r="W42" s="36">
        <v>2</v>
      </c>
      <c r="X42" s="57" t="s">
        <v>46</v>
      </c>
      <c r="Y42" s="57" t="s">
        <v>55</v>
      </c>
      <c r="Z42" s="57" t="s">
        <v>47</v>
      </c>
      <c r="AA42" s="57" t="s">
        <v>69</v>
      </c>
      <c r="AB42" s="57" t="s">
        <v>158</v>
      </c>
    </row>
    <row r="43" spans="1:28" x14ac:dyDescent="0.15">
      <c r="A43" s="57" t="s">
        <v>41</v>
      </c>
      <c r="B43" s="58" t="s">
        <v>157</v>
      </c>
      <c r="C43" s="59">
        <v>2019</v>
      </c>
      <c r="D43" s="60" t="s">
        <v>185</v>
      </c>
      <c r="E43" s="36" t="s">
        <v>188</v>
      </c>
      <c r="F43" s="57" t="s">
        <v>190</v>
      </c>
      <c r="G43" s="57" t="s">
        <v>42</v>
      </c>
      <c r="H43" s="57" t="s">
        <v>165</v>
      </c>
      <c r="I43" s="57" t="s">
        <v>159</v>
      </c>
      <c r="J43" s="57" t="s">
        <v>38</v>
      </c>
      <c r="K43" s="57" t="s">
        <v>161</v>
      </c>
      <c r="L43" s="36">
        <v>3</v>
      </c>
      <c r="N43" s="57">
        <v>4</v>
      </c>
      <c r="O43" s="57">
        <v>0.55000000000000004</v>
      </c>
      <c r="P43" s="57">
        <v>0.5</v>
      </c>
      <c r="Q43" s="75">
        <f t="shared" si="0"/>
        <v>0.52500000000000002</v>
      </c>
      <c r="R43" s="57">
        <v>15.1</v>
      </c>
      <c r="S43" s="57">
        <v>126</v>
      </c>
      <c r="T43" s="62">
        <f t="shared" si="1"/>
        <v>27</v>
      </c>
      <c r="U43" s="36">
        <v>429</v>
      </c>
      <c r="V43" s="62">
        <f t="shared" si="2"/>
        <v>2895.75</v>
      </c>
      <c r="W43" s="36">
        <v>2</v>
      </c>
      <c r="X43" s="57" t="s">
        <v>46</v>
      </c>
      <c r="Y43" s="57" t="s">
        <v>55</v>
      </c>
      <c r="Z43" s="57" t="s">
        <v>47</v>
      </c>
      <c r="AA43" s="57" t="s">
        <v>69</v>
      </c>
      <c r="AB43" s="57" t="s">
        <v>158</v>
      </c>
    </row>
    <row r="44" spans="1:28" x14ac:dyDescent="0.15">
      <c r="A44" s="57" t="s">
        <v>41</v>
      </c>
      <c r="B44" s="58" t="s">
        <v>157</v>
      </c>
      <c r="C44" s="59">
        <v>2019</v>
      </c>
      <c r="D44" s="60" t="s">
        <v>185</v>
      </c>
      <c r="E44" s="36" t="s">
        <v>188</v>
      </c>
      <c r="F44" s="57" t="s">
        <v>190</v>
      </c>
      <c r="G44" s="57" t="s">
        <v>42</v>
      </c>
      <c r="H44" s="57" t="s">
        <v>165</v>
      </c>
      <c r="I44" s="57" t="s">
        <v>159</v>
      </c>
      <c r="J44" s="57" t="s">
        <v>38</v>
      </c>
      <c r="K44" s="57" t="s">
        <v>161</v>
      </c>
      <c r="L44" s="36">
        <v>1</v>
      </c>
      <c r="N44" s="36">
        <v>8</v>
      </c>
      <c r="O44" s="36">
        <v>0.65</v>
      </c>
      <c r="P44" s="36">
        <v>0.45</v>
      </c>
      <c r="Q44" s="75">
        <f t="shared" si="0"/>
        <v>0.55000000000000004</v>
      </c>
      <c r="R44" s="36">
        <v>12.9</v>
      </c>
      <c r="S44" s="36">
        <v>122</v>
      </c>
      <c r="T44" s="62">
        <f t="shared" si="1"/>
        <v>27</v>
      </c>
      <c r="U44" s="36">
        <v>645</v>
      </c>
      <c r="V44" s="62">
        <f t="shared" si="2"/>
        <v>2176.875</v>
      </c>
      <c r="W44" s="36">
        <v>1</v>
      </c>
      <c r="X44" s="57" t="s">
        <v>46</v>
      </c>
      <c r="Y44" s="57" t="s">
        <v>55</v>
      </c>
      <c r="Z44" s="57" t="s">
        <v>47</v>
      </c>
      <c r="AA44" s="57" t="s">
        <v>69</v>
      </c>
      <c r="AB44" s="57" t="s">
        <v>158</v>
      </c>
    </row>
    <row r="45" spans="1:28" x14ac:dyDescent="0.15">
      <c r="A45" s="57" t="s">
        <v>41</v>
      </c>
      <c r="B45" s="58" t="s">
        <v>157</v>
      </c>
      <c r="C45" s="59">
        <v>2019</v>
      </c>
      <c r="D45" s="60" t="s">
        <v>185</v>
      </c>
      <c r="E45" s="36" t="s">
        <v>188</v>
      </c>
      <c r="F45" s="57" t="s">
        <v>190</v>
      </c>
      <c r="G45" s="57" t="s">
        <v>42</v>
      </c>
      <c r="H45" s="57" t="s">
        <v>165</v>
      </c>
      <c r="I45" s="57" t="s">
        <v>159</v>
      </c>
      <c r="J45" s="57" t="s">
        <v>38</v>
      </c>
      <c r="K45" s="57" t="s">
        <v>161</v>
      </c>
      <c r="L45" s="36">
        <v>2</v>
      </c>
      <c r="N45" s="36">
        <v>8</v>
      </c>
      <c r="O45" s="36">
        <v>0.5</v>
      </c>
      <c r="P45" s="36">
        <v>0.65</v>
      </c>
      <c r="Q45" s="75">
        <f t="shared" si="0"/>
        <v>0.57499999999999996</v>
      </c>
      <c r="R45" s="36">
        <v>14.7</v>
      </c>
      <c r="S45" s="36">
        <v>120</v>
      </c>
      <c r="T45" s="62">
        <f t="shared" si="1"/>
        <v>30</v>
      </c>
      <c r="U45" s="36">
        <v>645</v>
      </c>
      <c r="V45" s="62">
        <f t="shared" si="2"/>
        <v>2418.75</v>
      </c>
      <c r="W45" s="36">
        <v>1</v>
      </c>
      <c r="X45" s="57" t="s">
        <v>46</v>
      </c>
      <c r="Y45" s="57" t="s">
        <v>55</v>
      </c>
      <c r="Z45" s="57" t="s">
        <v>47</v>
      </c>
      <c r="AA45" s="57" t="s">
        <v>69</v>
      </c>
      <c r="AB45" s="57" t="s">
        <v>158</v>
      </c>
    </row>
    <row r="46" spans="1:28" x14ac:dyDescent="0.15">
      <c r="A46" s="57" t="s">
        <v>41</v>
      </c>
      <c r="B46" s="58" t="s">
        <v>157</v>
      </c>
      <c r="C46" s="59">
        <v>2019</v>
      </c>
      <c r="D46" s="60" t="s">
        <v>185</v>
      </c>
      <c r="E46" s="36" t="s">
        <v>188</v>
      </c>
      <c r="F46" s="57" t="s">
        <v>190</v>
      </c>
      <c r="G46" s="57" t="s">
        <v>42</v>
      </c>
      <c r="H46" s="57" t="s">
        <v>165</v>
      </c>
      <c r="I46" s="57" t="s">
        <v>159</v>
      </c>
      <c r="J46" s="57" t="s">
        <v>38</v>
      </c>
      <c r="K46" s="57" t="s">
        <v>161</v>
      </c>
      <c r="L46" s="36">
        <v>3</v>
      </c>
      <c r="N46" s="36">
        <v>8</v>
      </c>
      <c r="O46" s="36">
        <v>0.7</v>
      </c>
      <c r="P46" s="36">
        <v>0.7</v>
      </c>
      <c r="Q46" s="75">
        <f t="shared" si="0"/>
        <v>0.7</v>
      </c>
      <c r="R46" s="36">
        <v>15.7</v>
      </c>
      <c r="S46" s="36">
        <v>121</v>
      </c>
      <c r="T46" s="62">
        <f t="shared" si="1"/>
        <v>27</v>
      </c>
      <c r="U46" s="36">
        <v>645</v>
      </c>
      <c r="V46" s="62">
        <f t="shared" si="2"/>
        <v>2176.875</v>
      </c>
      <c r="W46" s="36">
        <v>1</v>
      </c>
      <c r="X46" s="57" t="s">
        <v>46</v>
      </c>
      <c r="Y46" s="57" t="s">
        <v>55</v>
      </c>
      <c r="Z46" s="57" t="s">
        <v>47</v>
      </c>
      <c r="AA46" s="57" t="s">
        <v>69</v>
      </c>
      <c r="AB46" s="57" t="s">
        <v>158</v>
      </c>
    </row>
    <row r="47" spans="1:28" x14ac:dyDescent="0.15">
      <c r="A47" s="57" t="s">
        <v>41</v>
      </c>
      <c r="B47" s="58" t="s">
        <v>157</v>
      </c>
      <c r="C47" s="59">
        <v>2019</v>
      </c>
      <c r="D47" s="60" t="s">
        <v>185</v>
      </c>
      <c r="E47" s="36" t="s">
        <v>188</v>
      </c>
      <c r="F47" s="57" t="s">
        <v>190</v>
      </c>
      <c r="G47" s="57" t="s">
        <v>42</v>
      </c>
      <c r="H47" s="57" t="s">
        <v>160</v>
      </c>
      <c r="I47" s="57" t="s">
        <v>159</v>
      </c>
      <c r="J47" s="57" t="s">
        <v>38</v>
      </c>
      <c r="K47" s="57" t="s">
        <v>161</v>
      </c>
      <c r="L47" s="36">
        <v>1</v>
      </c>
      <c r="N47" s="36">
        <v>1</v>
      </c>
      <c r="O47" s="36">
        <v>0.65</v>
      </c>
      <c r="P47" s="36">
        <v>0.5</v>
      </c>
      <c r="Q47" s="75">
        <f t="shared" si="0"/>
        <v>0.57499999999999996</v>
      </c>
      <c r="R47" s="36">
        <v>16.399999999999999</v>
      </c>
      <c r="S47" s="36">
        <v>125</v>
      </c>
      <c r="T47" s="62">
        <f t="shared" si="1"/>
        <v>27</v>
      </c>
      <c r="U47" s="36">
        <v>149</v>
      </c>
      <c r="V47" s="62">
        <f t="shared" si="2"/>
        <v>4023</v>
      </c>
      <c r="W47" s="36">
        <v>4</v>
      </c>
      <c r="X47" s="57" t="s">
        <v>46</v>
      </c>
      <c r="Y47" s="57" t="s">
        <v>55</v>
      </c>
      <c r="Z47" s="57" t="s">
        <v>47</v>
      </c>
      <c r="AA47" s="57" t="s">
        <v>69</v>
      </c>
      <c r="AB47" s="57" t="s">
        <v>158</v>
      </c>
    </row>
    <row r="48" spans="1:28" x14ac:dyDescent="0.15">
      <c r="A48" s="57" t="s">
        <v>41</v>
      </c>
      <c r="B48" s="58" t="s">
        <v>157</v>
      </c>
      <c r="C48" s="59">
        <v>2019</v>
      </c>
      <c r="D48" s="60" t="s">
        <v>185</v>
      </c>
      <c r="E48" s="36" t="s">
        <v>188</v>
      </c>
      <c r="F48" s="57" t="s">
        <v>190</v>
      </c>
      <c r="G48" s="57" t="s">
        <v>42</v>
      </c>
      <c r="H48" s="57" t="s">
        <v>160</v>
      </c>
      <c r="I48" s="57" t="s">
        <v>159</v>
      </c>
      <c r="J48" s="57" t="s">
        <v>38</v>
      </c>
      <c r="K48" s="57" t="s">
        <v>161</v>
      </c>
      <c r="L48" s="36">
        <v>2</v>
      </c>
      <c r="N48" s="36">
        <v>1</v>
      </c>
      <c r="O48" s="36">
        <v>0.7</v>
      </c>
      <c r="P48" s="36">
        <v>0.8</v>
      </c>
      <c r="Q48" s="75">
        <f t="shared" si="0"/>
        <v>0.75</v>
      </c>
      <c r="R48" s="36">
        <v>17.399999999999999</v>
      </c>
      <c r="S48" s="36">
        <v>127</v>
      </c>
      <c r="T48" s="62">
        <f t="shared" si="1"/>
        <v>27</v>
      </c>
      <c r="U48" s="36">
        <v>149</v>
      </c>
      <c r="V48" s="62">
        <f t="shared" si="2"/>
        <v>4023</v>
      </c>
      <c r="W48" s="36">
        <v>4</v>
      </c>
      <c r="X48" s="57" t="s">
        <v>46</v>
      </c>
      <c r="Y48" s="57" t="s">
        <v>55</v>
      </c>
      <c r="Z48" s="57" t="s">
        <v>47</v>
      </c>
      <c r="AA48" s="57" t="s">
        <v>69</v>
      </c>
      <c r="AB48" s="57" t="s">
        <v>158</v>
      </c>
    </row>
    <row r="49" spans="1:30" x14ac:dyDescent="0.15">
      <c r="A49" s="57" t="s">
        <v>41</v>
      </c>
      <c r="B49" s="58" t="s">
        <v>157</v>
      </c>
      <c r="C49" s="59">
        <v>2019</v>
      </c>
      <c r="D49" s="60" t="s">
        <v>185</v>
      </c>
      <c r="E49" s="36" t="s">
        <v>188</v>
      </c>
      <c r="F49" s="57" t="s">
        <v>190</v>
      </c>
      <c r="G49" s="57" t="s">
        <v>42</v>
      </c>
      <c r="H49" s="57" t="s">
        <v>160</v>
      </c>
      <c r="I49" s="57" t="s">
        <v>159</v>
      </c>
      <c r="J49" s="57" t="s">
        <v>38</v>
      </c>
      <c r="K49" s="57" t="s">
        <v>161</v>
      </c>
      <c r="L49" s="36">
        <v>3</v>
      </c>
      <c r="N49" s="36">
        <v>1</v>
      </c>
      <c r="O49" s="36">
        <v>0.45</v>
      </c>
      <c r="P49" s="36">
        <v>0.5</v>
      </c>
      <c r="Q49" s="75">
        <f t="shared" si="0"/>
        <v>0.47499999999999998</v>
      </c>
      <c r="R49" s="36">
        <v>15</v>
      </c>
      <c r="S49" s="36">
        <v>126</v>
      </c>
      <c r="T49" s="62">
        <f t="shared" si="1"/>
        <v>27</v>
      </c>
      <c r="U49" s="36">
        <v>149</v>
      </c>
      <c r="V49" s="62">
        <f t="shared" si="2"/>
        <v>4023</v>
      </c>
      <c r="W49" s="36">
        <v>4</v>
      </c>
      <c r="X49" s="57" t="s">
        <v>46</v>
      </c>
      <c r="Y49" s="57" t="s">
        <v>55</v>
      </c>
      <c r="Z49" s="57" t="s">
        <v>47</v>
      </c>
      <c r="AA49" s="57" t="s">
        <v>69</v>
      </c>
      <c r="AB49" s="57" t="s">
        <v>158</v>
      </c>
    </row>
    <row r="50" spans="1:30" x14ac:dyDescent="0.15">
      <c r="A50" s="57" t="s">
        <v>41</v>
      </c>
      <c r="B50" s="58" t="s">
        <v>157</v>
      </c>
      <c r="C50" s="59">
        <v>2019</v>
      </c>
      <c r="D50" s="60" t="s">
        <v>185</v>
      </c>
      <c r="E50" s="36" t="s">
        <v>188</v>
      </c>
      <c r="F50" s="57" t="s">
        <v>190</v>
      </c>
      <c r="G50" s="57" t="s">
        <v>42</v>
      </c>
      <c r="H50" s="57" t="s">
        <v>160</v>
      </c>
      <c r="I50" s="57" t="s">
        <v>159</v>
      </c>
      <c r="J50" s="57" t="s">
        <v>38</v>
      </c>
      <c r="K50" s="57" t="s">
        <v>161</v>
      </c>
      <c r="L50" s="36">
        <v>1</v>
      </c>
      <c r="N50" s="36">
        <v>4</v>
      </c>
      <c r="O50" s="57">
        <v>0.55000000000000004</v>
      </c>
      <c r="P50" s="57">
        <v>0.55000000000000004</v>
      </c>
      <c r="Q50" s="75">
        <f t="shared" si="0"/>
        <v>0.55000000000000004</v>
      </c>
      <c r="R50" s="57">
        <v>14.8</v>
      </c>
      <c r="S50" s="57">
        <v>122</v>
      </c>
      <c r="T50" s="62">
        <f t="shared" si="1"/>
        <v>27</v>
      </c>
      <c r="U50" s="36">
        <v>537</v>
      </c>
      <c r="V50" s="62">
        <f t="shared" si="2"/>
        <v>3624.75</v>
      </c>
      <c r="W50" s="36">
        <v>3</v>
      </c>
      <c r="X50" s="57" t="s">
        <v>46</v>
      </c>
      <c r="Y50" s="57" t="s">
        <v>55</v>
      </c>
      <c r="Z50" s="57" t="s">
        <v>47</v>
      </c>
      <c r="AA50" s="57" t="s">
        <v>69</v>
      </c>
      <c r="AB50" s="57" t="s">
        <v>158</v>
      </c>
      <c r="AC50" s="57"/>
      <c r="AD50" s="57"/>
    </row>
    <row r="51" spans="1:30" x14ac:dyDescent="0.15">
      <c r="A51" s="57" t="s">
        <v>41</v>
      </c>
      <c r="B51" s="58" t="s">
        <v>157</v>
      </c>
      <c r="C51" s="59">
        <v>2019</v>
      </c>
      <c r="D51" s="60" t="s">
        <v>185</v>
      </c>
      <c r="E51" s="36" t="s">
        <v>188</v>
      </c>
      <c r="F51" s="57" t="s">
        <v>190</v>
      </c>
      <c r="G51" s="57" t="s">
        <v>42</v>
      </c>
      <c r="H51" s="57" t="s">
        <v>160</v>
      </c>
      <c r="I51" s="57" t="s">
        <v>159</v>
      </c>
      <c r="J51" s="57" t="s">
        <v>38</v>
      </c>
      <c r="K51" s="57" t="s">
        <v>161</v>
      </c>
      <c r="L51" s="36">
        <v>2</v>
      </c>
      <c r="N51" s="36">
        <v>4</v>
      </c>
      <c r="O51" s="57">
        <v>0.65</v>
      </c>
      <c r="P51" s="57">
        <v>0.65</v>
      </c>
      <c r="Q51" s="75">
        <f t="shared" si="0"/>
        <v>0.65</v>
      </c>
      <c r="R51" s="57">
        <v>15.4</v>
      </c>
      <c r="S51" s="57">
        <v>120</v>
      </c>
      <c r="T51" s="62">
        <f t="shared" si="1"/>
        <v>30</v>
      </c>
      <c r="U51" s="36">
        <v>537</v>
      </c>
      <c r="V51" s="62">
        <f t="shared" si="2"/>
        <v>4027.5</v>
      </c>
      <c r="W51" s="36">
        <v>3</v>
      </c>
      <c r="X51" s="57" t="s">
        <v>46</v>
      </c>
      <c r="Y51" s="57" t="s">
        <v>55</v>
      </c>
      <c r="Z51" s="57" t="s">
        <v>47</v>
      </c>
      <c r="AA51" s="57" t="s">
        <v>69</v>
      </c>
      <c r="AB51" s="57" t="s">
        <v>158</v>
      </c>
    </row>
    <row r="52" spans="1:30" x14ac:dyDescent="0.15">
      <c r="A52" s="57" t="s">
        <v>41</v>
      </c>
      <c r="B52" s="58" t="s">
        <v>157</v>
      </c>
      <c r="C52" s="59">
        <v>2019</v>
      </c>
      <c r="D52" s="60" t="s">
        <v>185</v>
      </c>
      <c r="E52" s="36" t="s">
        <v>188</v>
      </c>
      <c r="F52" s="57" t="s">
        <v>190</v>
      </c>
      <c r="G52" s="57" t="s">
        <v>42</v>
      </c>
      <c r="H52" s="57" t="s">
        <v>160</v>
      </c>
      <c r="I52" s="57" t="s">
        <v>159</v>
      </c>
      <c r="J52" s="57" t="s">
        <v>38</v>
      </c>
      <c r="K52" s="57" t="s">
        <v>161</v>
      </c>
      <c r="L52" s="36">
        <v>3</v>
      </c>
      <c r="N52" s="36">
        <v>4</v>
      </c>
      <c r="O52" s="57">
        <v>0.7</v>
      </c>
      <c r="P52" s="57">
        <v>0.6</v>
      </c>
      <c r="Q52" s="75">
        <f t="shared" si="0"/>
        <v>0.64999999999999991</v>
      </c>
      <c r="R52" s="57">
        <v>12.9</v>
      </c>
      <c r="S52" s="57">
        <v>118</v>
      </c>
      <c r="T52" s="62">
        <f t="shared" si="1"/>
        <v>30</v>
      </c>
      <c r="U52" s="36">
        <v>537</v>
      </c>
      <c r="V52" s="62">
        <f t="shared" si="2"/>
        <v>4027.5</v>
      </c>
      <c r="W52" s="36">
        <v>3</v>
      </c>
      <c r="X52" s="57" t="s">
        <v>46</v>
      </c>
      <c r="Y52" s="57" t="s">
        <v>55</v>
      </c>
      <c r="Z52" s="57" t="s">
        <v>47</v>
      </c>
      <c r="AA52" s="57" t="s">
        <v>69</v>
      </c>
      <c r="AB52" s="57" t="s">
        <v>158</v>
      </c>
    </row>
    <row r="53" spans="1:30" x14ac:dyDescent="0.15">
      <c r="A53" s="57" t="s">
        <v>41</v>
      </c>
      <c r="B53" s="58" t="s">
        <v>157</v>
      </c>
      <c r="C53" s="59">
        <v>2019</v>
      </c>
      <c r="D53" s="60" t="s">
        <v>185</v>
      </c>
      <c r="E53" s="36" t="s">
        <v>188</v>
      </c>
      <c r="F53" s="57" t="s">
        <v>190</v>
      </c>
      <c r="G53" s="57" t="s">
        <v>42</v>
      </c>
      <c r="H53" s="57" t="s">
        <v>160</v>
      </c>
      <c r="I53" s="57" t="s">
        <v>159</v>
      </c>
      <c r="J53" s="57" t="s">
        <v>38</v>
      </c>
      <c r="K53" s="57" t="s">
        <v>161</v>
      </c>
      <c r="L53" s="36">
        <v>1</v>
      </c>
      <c r="N53" s="36">
        <v>5</v>
      </c>
      <c r="O53" s="36">
        <v>0.35</v>
      </c>
      <c r="P53" s="36">
        <v>0.25</v>
      </c>
      <c r="Q53" s="75">
        <f t="shared" si="0"/>
        <v>0.3</v>
      </c>
      <c r="R53" s="36">
        <v>12</v>
      </c>
      <c r="S53" s="36">
        <v>114</v>
      </c>
      <c r="T53" s="62">
        <f t="shared" si="1"/>
        <v>30</v>
      </c>
      <c r="U53" s="36">
        <v>753</v>
      </c>
      <c r="V53" s="62">
        <f t="shared" si="2"/>
        <v>4518</v>
      </c>
      <c r="W53" s="36">
        <v>2</v>
      </c>
      <c r="X53" s="57" t="s">
        <v>46</v>
      </c>
      <c r="Y53" s="57" t="s">
        <v>55</v>
      </c>
      <c r="Z53" s="57" t="s">
        <v>47</v>
      </c>
      <c r="AA53" s="57" t="s">
        <v>69</v>
      </c>
      <c r="AB53" s="57" t="s">
        <v>158</v>
      </c>
    </row>
    <row r="54" spans="1:30" x14ac:dyDescent="0.15">
      <c r="A54" s="57" t="s">
        <v>41</v>
      </c>
      <c r="B54" s="58" t="s">
        <v>157</v>
      </c>
      <c r="C54" s="59">
        <v>2019</v>
      </c>
      <c r="D54" s="60" t="s">
        <v>185</v>
      </c>
      <c r="E54" s="36" t="s">
        <v>188</v>
      </c>
      <c r="F54" s="57" t="s">
        <v>190</v>
      </c>
      <c r="G54" s="57" t="s">
        <v>42</v>
      </c>
      <c r="H54" s="57" t="s">
        <v>160</v>
      </c>
      <c r="I54" s="57" t="s">
        <v>159</v>
      </c>
      <c r="J54" s="57" t="s">
        <v>38</v>
      </c>
      <c r="K54" s="57" t="s">
        <v>161</v>
      </c>
      <c r="L54" s="36">
        <v>2</v>
      </c>
      <c r="N54" s="36">
        <v>5</v>
      </c>
      <c r="O54" s="57">
        <v>0.45</v>
      </c>
      <c r="P54" s="57">
        <v>0.35</v>
      </c>
      <c r="Q54" s="75">
        <f t="shared" si="0"/>
        <v>0.4</v>
      </c>
      <c r="R54" s="36">
        <v>13.7</v>
      </c>
      <c r="S54" s="36">
        <v>116</v>
      </c>
      <c r="T54" s="62">
        <f t="shared" si="1"/>
        <v>30</v>
      </c>
      <c r="U54" s="36">
        <v>753</v>
      </c>
      <c r="V54" s="62">
        <f t="shared" si="2"/>
        <v>4518</v>
      </c>
      <c r="W54" s="36">
        <v>2</v>
      </c>
      <c r="X54" s="57" t="s">
        <v>46</v>
      </c>
      <c r="Y54" s="57" t="s">
        <v>55</v>
      </c>
      <c r="Z54" s="57" t="s">
        <v>47</v>
      </c>
      <c r="AA54" s="57" t="s">
        <v>69</v>
      </c>
      <c r="AB54" s="57" t="s">
        <v>158</v>
      </c>
    </row>
    <row r="55" spans="1:30" x14ac:dyDescent="0.15">
      <c r="A55" s="57" t="s">
        <v>41</v>
      </c>
      <c r="B55" s="58" t="s">
        <v>157</v>
      </c>
      <c r="C55" s="59">
        <v>2019</v>
      </c>
      <c r="D55" s="60" t="s">
        <v>185</v>
      </c>
      <c r="E55" s="36" t="s">
        <v>188</v>
      </c>
      <c r="F55" s="57" t="s">
        <v>190</v>
      </c>
      <c r="G55" s="57" t="s">
        <v>42</v>
      </c>
      <c r="H55" s="57" t="s">
        <v>160</v>
      </c>
      <c r="I55" s="57" t="s">
        <v>159</v>
      </c>
      <c r="J55" s="57" t="s">
        <v>38</v>
      </c>
      <c r="K55" s="57" t="s">
        <v>161</v>
      </c>
      <c r="L55" s="36">
        <v>3</v>
      </c>
      <c r="N55" s="36">
        <v>5</v>
      </c>
      <c r="O55" s="57">
        <v>0.5</v>
      </c>
      <c r="P55" s="57">
        <v>0.35</v>
      </c>
      <c r="Q55" s="75">
        <f t="shared" si="0"/>
        <v>0.42499999999999999</v>
      </c>
      <c r="R55" s="36">
        <v>14.1</v>
      </c>
      <c r="S55" s="36">
        <v>117</v>
      </c>
      <c r="T55" s="62">
        <f t="shared" si="1"/>
        <v>30</v>
      </c>
      <c r="U55" s="36">
        <v>753</v>
      </c>
      <c r="V55" s="62">
        <f t="shared" si="2"/>
        <v>4518</v>
      </c>
      <c r="W55" s="36">
        <v>2</v>
      </c>
      <c r="X55" s="57" t="s">
        <v>46</v>
      </c>
      <c r="Y55" s="57" t="s">
        <v>55</v>
      </c>
      <c r="Z55" s="57" t="s">
        <v>47</v>
      </c>
      <c r="AA55" s="57" t="s">
        <v>69</v>
      </c>
      <c r="AB55" s="57" t="s">
        <v>158</v>
      </c>
    </row>
    <row r="56" spans="1:30" x14ac:dyDescent="0.15">
      <c r="A56" s="57" t="s">
        <v>41</v>
      </c>
      <c r="B56" s="58" t="s">
        <v>157</v>
      </c>
      <c r="C56" s="59">
        <v>2019</v>
      </c>
      <c r="D56" s="60" t="s">
        <v>185</v>
      </c>
      <c r="E56" s="36" t="s">
        <v>195</v>
      </c>
      <c r="F56" s="57" t="s">
        <v>186</v>
      </c>
      <c r="G56" s="57" t="s">
        <v>42</v>
      </c>
      <c r="H56" s="57" t="s">
        <v>160</v>
      </c>
      <c r="I56" s="57" t="s">
        <v>159</v>
      </c>
      <c r="J56" s="57" t="s">
        <v>38</v>
      </c>
      <c r="K56" s="57" t="s">
        <v>161</v>
      </c>
      <c r="L56" s="36">
        <v>1</v>
      </c>
      <c r="N56" s="36">
        <v>1</v>
      </c>
      <c r="O56" s="57">
        <v>0.95</v>
      </c>
      <c r="P56" s="57">
        <v>1.1000000000000001</v>
      </c>
      <c r="Q56" s="75">
        <f t="shared" si="0"/>
        <v>1.0249999999999999</v>
      </c>
      <c r="R56" s="36">
        <v>12.9</v>
      </c>
      <c r="S56" s="36">
        <v>135</v>
      </c>
      <c r="T56" s="62">
        <f t="shared" si="1"/>
        <v>25</v>
      </c>
      <c r="U56" s="36">
        <v>138</v>
      </c>
      <c r="V56" s="62">
        <f t="shared" si="2"/>
        <v>3450</v>
      </c>
      <c r="W56" s="36">
        <v>4</v>
      </c>
      <c r="X56" s="57" t="s">
        <v>46</v>
      </c>
      <c r="Y56" s="36" t="s">
        <v>55</v>
      </c>
      <c r="Z56" s="36" t="s">
        <v>69</v>
      </c>
      <c r="AA56" s="36" t="s">
        <v>78</v>
      </c>
      <c r="AB56" s="57" t="s">
        <v>158</v>
      </c>
    </row>
    <row r="57" spans="1:30" x14ac:dyDescent="0.15">
      <c r="A57" s="57" t="s">
        <v>41</v>
      </c>
      <c r="B57" s="58" t="s">
        <v>157</v>
      </c>
      <c r="C57" s="59">
        <v>2019</v>
      </c>
      <c r="D57" s="60" t="s">
        <v>185</v>
      </c>
      <c r="E57" s="36" t="s">
        <v>195</v>
      </c>
      <c r="F57" s="57" t="s">
        <v>186</v>
      </c>
      <c r="G57" s="57" t="s">
        <v>42</v>
      </c>
      <c r="H57" s="57" t="s">
        <v>160</v>
      </c>
      <c r="I57" s="57" t="s">
        <v>159</v>
      </c>
      <c r="J57" s="57" t="s">
        <v>38</v>
      </c>
      <c r="K57" s="57" t="s">
        <v>161</v>
      </c>
      <c r="L57" s="36">
        <v>2</v>
      </c>
      <c r="N57" s="36">
        <v>1</v>
      </c>
      <c r="O57" s="57">
        <v>0.8</v>
      </c>
      <c r="P57" s="57">
        <v>0.95</v>
      </c>
      <c r="Q57" s="75">
        <f t="shared" si="0"/>
        <v>0.875</v>
      </c>
      <c r="R57" s="36">
        <v>16.8</v>
      </c>
      <c r="S57" s="36">
        <v>130</v>
      </c>
      <c r="T57" s="62">
        <f t="shared" si="1"/>
        <v>25</v>
      </c>
      <c r="U57" s="36">
        <v>138</v>
      </c>
      <c r="V57" s="62">
        <f t="shared" si="2"/>
        <v>3450</v>
      </c>
      <c r="W57" s="36">
        <v>4</v>
      </c>
      <c r="X57" s="57" t="s">
        <v>46</v>
      </c>
      <c r="Y57" s="36" t="s">
        <v>55</v>
      </c>
      <c r="Z57" s="36" t="s">
        <v>69</v>
      </c>
      <c r="AA57" s="36" t="s">
        <v>78</v>
      </c>
      <c r="AB57" s="57" t="s">
        <v>158</v>
      </c>
    </row>
    <row r="58" spans="1:30" x14ac:dyDescent="0.15">
      <c r="A58" s="57" t="s">
        <v>41</v>
      </c>
      <c r="B58" s="58" t="s">
        <v>157</v>
      </c>
      <c r="C58" s="59">
        <v>2019</v>
      </c>
      <c r="D58" s="60" t="s">
        <v>185</v>
      </c>
      <c r="E58" s="36" t="s">
        <v>195</v>
      </c>
      <c r="F58" s="57" t="s">
        <v>186</v>
      </c>
      <c r="G58" s="57" t="s">
        <v>42</v>
      </c>
      <c r="H58" s="57" t="s">
        <v>160</v>
      </c>
      <c r="I58" s="57" t="s">
        <v>159</v>
      </c>
      <c r="J58" s="57" t="s">
        <v>38</v>
      </c>
      <c r="K58" s="57" t="s">
        <v>161</v>
      </c>
      <c r="L58" s="36">
        <v>3</v>
      </c>
      <c r="N58" s="36">
        <v>1</v>
      </c>
      <c r="O58" s="57">
        <v>0.65</v>
      </c>
      <c r="P58" s="57">
        <v>0.8</v>
      </c>
      <c r="Q58" s="75">
        <f t="shared" si="0"/>
        <v>0.72500000000000009</v>
      </c>
      <c r="R58" s="36">
        <v>15.7</v>
      </c>
      <c r="S58" s="36">
        <v>129</v>
      </c>
      <c r="T58" s="62">
        <f t="shared" si="1"/>
        <v>25</v>
      </c>
      <c r="U58" s="36">
        <v>138</v>
      </c>
      <c r="V58" s="62">
        <f t="shared" si="2"/>
        <v>3450</v>
      </c>
      <c r="W58" s="36">
        <v>4</v>
      </c>
      <c r="X58" s="57" t="s">
        <v>46</v>
      </c>
      <c r="Y58" s="36" t="s">
        <v>55</v>
      </c>
      <c r="Z58" s="36" t="s">
        <v>69</v>
      </c>
      <c r="AA58" s="36" t="s">
        <v>78</v>
      </c>
      <c r="AB58" s="57" t="s">
        <v>158</v>
      </c>
    </row>
    <row r="59" spans="1:30" x14ac:dyDescent="0.15">
      <c r="A59" s="57" t="s">
        <v>41</v>
      </c>
      <c r="B59" s="58" t="s">
        <v>157</v>
      </c>
      <c r="C59" s="59">
        <v>2019</v>
      </c>
      <c r="D59" s="60" t="s">
        <v>185</v>
      </c>
      <c r="E59" s="36" t="s">
        <v>195</v>
      </c>
      <c r="F59" s="57" t="s">
        <v>186</v>
      </c>
      <c r="G59" s="57" t="s">
        <v>42</v>
      </c>
      <c r="H59" s="57" t="s">
        <v>160</v>
      </c>
      <c r="I59" s="57" t="s">
        <v>159</v>
      </c>
      <c r="J59" s="57" t="s">
        <v>38</v>
      </c>
      <c r="K59" s="57" t="s">
        <v>161</v>
      </c>
      <c r="L59" s="36">
        <v>1</v>
      </c>
      <c r="N59" s="57">
        <v>5</v>
      </c>
      <c r="O59" s="57">
        <v>0.45</v>
      </c>
      <c r="P59" s="57">
        <v>0.5</v>
      </c>
      <c r="Q59" s="75">
        <f t="shared" si="0"/>
        <v>0.47499999999999998</v>
      </c>
      <c r="R59" s="36">
        <v>14.6</v>
      </c>
      <c r="S59" s="36">
        <v>118</v>
      </c>
      <c r="T59" s="62">
        <f t="shared" si="1"/>
        <v>30</v>
      </c>
      <c r="U59" s="36">
        <v>537</v>
      </c>
      <c r="V59" s="62">
        <f t="shared" si="2"/>
        <v>3222</v>
      </c>
      <c r="W59" s="36">
        <v>2</v>
      </c>
      <c r="X59" s="57" t="s">
        <v>46</v>
      </c>
      <c r="Y59" s="36" t="s">
        <v>55</v>
      </c>
      <c r="Z59" s="36" t="s">
        <v>69</v>
      </c>
      <c r="AA59" s="36" t="s">
        <v>78</v>
      </c>
      <c r="AB59" s="57" t="s">
        <v>158</v>
      </c>
    </row>
    <row r="60" spans="1:30" x14ac:dyDescent="0.15">
      <c r="A60" s="57" t="s">
        <v>41</v>
      </c>
      <c r="B60" s="58" t="s">
        <v>157</v>
      </c>
      <c r="C60" s="59">
        <v>2019</v>
      </c>
      <c r="D60" s="60" t="s">
        <v>185</v>
      </c>
      <c r="E60" s="36" t="s">
        <v>195</v>
      </c>
      <c r="F60" s="57" t="s">
        <v>186</v>
      </c>
      <c r="G60" s="57" t="s">
        <v>42</v>
      </c>
      <c r="H60" s="57" t="s">
        <v>160</v>
      </c>
      <c r="I60" s="57" t="s">
        <v>159</v>
      </c>
      <c r="J60" s="57" t="s">
        <v>38</v>
      </c>
      <c r="K60" s="57" t="s">
        <v>161</v>
      </c>
      <c r="L60" s="36">
        <v>2</v>
      </c>
      <c r="N60" s="57">
        <v>5</v>
      </c>
      <c r="O60" s="57">
        <v>0.65</v>
      </c>
      <c r="P60" s="57">
        <v>0.75</v>
      </c>
      <c r="Q60" s="75">
        <f t="shared" si="0"/>
        <v>0.7</v>
      </c>
      <c r="R60" s="36">
        <v>15</v>
      </c>
      <c r="S60" s="36">
        <v>120</v>
      </c>
      <c r="T60" s="62">
        <f t="shared" si="1"/>
        <v>30</v>
      </c>
      <c r="U60" s="36">
        <v>537</v>
      </c>
      <c r="V60" s="62">
        <f t="shared" si="2"/>
        <v>3222</v>
      </c>
      <c r="W60" s="36">
        <v>2</v>
      </c>
      <c r="X60" s="57" t="s">
        <v>46</v>
      </c>
      <c r="Y60" s="36" t="s">
        <v>55</v>
      </c>
      <c r="Z60" s="36" t="s">
        <v>69</v>
      </c>
      <c r="AA60" s="36" t="s">
        <v>78</v>
      </c>
      <c r="AB60" s="57" t="s">
        <v>158</v>
      </c>
    </row>
    <row r="61" spans="1:30" x14ac:dyDescent="0.15">
      <c r="A61" s="57" t="s">
        <v>41</v>
      </c>
      <c r="B61" s="58" t="s">
        <v>157</v>
      </c>
      <c r="C61" s="59">
        <v>2019</v>
      </c>
      <c r="D61" s="60" t="s">
        <v>185</v>
      </c>
      <c r="E61" s="36" t="s">
        <v>195</v>
      </c>
      <c r="F61" s="57" t="s">
        <v>186</v>
      </c>
      <c r="G61" s="57" t="s">
        <v>42</v>
      </c>
      <c r="H61" s="57" t="s">
        <v>160</v>
      </c>
      <c r="I61" s="57" t="s">
        <v>159</v>
      </c>
      <c r="J61" s="57" t="s">
        <v>38</v>
      </c>
      <c r="K61" s="57" t="s">
        <v>161</v>
      </c>
      <c r="L61" s="36">
        <v>3</v>
      </c>
      <c r="N61" s="57">
        <v>5</v>
      </c>
      <c r="O61" s="57">
        <v>0.5</v>
      </c>
      <c r="P61" s="57">
        <v>0.65</v>
      </c>
      <c r="Q61" s="75">
        <f t="shared" si="0"/>
        <v>0.57499999999999996</v>
      </c>
      <c r="R61" s="36">
        <v>15.2</v>
      </c>
      <c r="S61" s="36">
        <v>115</v>
      </c>
      <c r="T61" s="62">
        <f t="shared" si="1"/>
        <v>30</v>
      </c>
      <c r="U61" s="36">
        <v>537</v>
      </c>
      <c r="V61" s="62">
        <f t="shared" si="2"/>
        <v>3222</v>
      </c>
      <c r="W61" s="36">
        <v>2</v>
      </c>
      <c r="X61" s="57" t="s">
        <v>46</v>
      </c>
      <c r="Y61" s="36" t="s">
        <v>55</v>
      </c>
      <c r="Z61" s="36" t="s">
        <v>69</v>
      </c>
      <c r="AA61" s="36" t="s">
        <v>78</v>
      </c>
      <c r="AB61" s="57" t="s">
        <v>158</v>
      </c>
    </row>
    <row r="62" spans="1:30" x14ac:dyDescent="0.15">
      <c r="A62" s="57" t="s">
        <v>41</v>
      </c>
      <c r="B62" s="58" t="s">
        <v>157</v>
      </c>
      <c r="C62" s="59">
        <v>2019</v>
      </c>
      <c r="D62" s="60" t="s">
        <v>185</v>
      </c>
      <c r="E62" s="36" t="s">
        <v>195</v>
      </c>
      <c r="F62" s="57" t="s">
        <v>186</v>
      </c>
      <c r="G62" s="57" t="s">
        <v>42</v>
      </c>
      <c r="H62" s="57" t="s">
        <v>160</v>
      </c>
      <c r="I62" s="57" t="s">
        <v>159</v>
      </c>
      <c r="J62" s="57" t="s">
        <v>38</v>
      </c>
      <c r="K62" s="57" t="s">
        <v>161</v>
      </c>
      <c r="L62" s="36">
        <v>1</v>
      </c>
      <c r="N62" s="57">
        <v>7</v>
      </c>
      <c r="O62" s="57">
        <v>0.35</v>
      </c>
      <c r="P62" s="57">
        <v>0.3</v>
      </c>
      <c r="Q62" s="75">
        <f t="shared" si="0"/>
        <v>0.32499999999999996</v>
      </c>
      <c r="R62" s="36">
        <v>13.8</v>
      </c>
      <c r="S62" s="36">
        <v>120</v>
      </c>
      <c r="T62" s="62">
        <f t="shared" si="1"/>
        <v>30</v>
      </c>
      <c r="U62" s="36">
        <v>1058</v>
      </c>
      <c r="V62" s="62">
        <f t="shared" si="2"/>
        <v>4534.2857142857138</v>
      </c>
      <c r="W62" s="36">
        <v>3</v>
      </c>
      <c r="X62" s="57" t="s">
        <v>46</v>
      </c>
      <c r="Y62" s="36" t="s">
        <v>55</v>
      </c>
      <c r="Z62" s="36" t="s">
        <v>69</v>
      </c>
      <c r="AA62" s="36" t="s">
        <v>78</v>
      </c>
      <c r="AB62" s="57" t="s">
        <v>158</v>
      </c>
    </row>
    <row r="63" spans="1:30" x14ac:dyDescent="0.15">
      <c r="A63" s="57" t="s">
        <v>41</v>
      </c>
      <c r="B63" s="58" t="s">
        <v>157</v>
      </c>
      <c r="C63" s="59">
        <v>2019</v>
      </c>
      <c r="D63" s="60" t="s">
        <v>185</v>
      </c>
      <c r="E63" s="36" t="s">
        <v>195</v>
      </c>
      <c r="F63" s="57" t="s">
        <v>186</v>
      </c>
      <c r="G63" s="57" t="s">
        <v>42</v>
      </c>
      <c r="H63" s="57" t="s">
        <v>160</v>
      </c>
      <c r="I63" s="57" t="s">
        <v>159</v>
      </c>
      <c r="J63" s="57" t="s">
        <v>38</v>
      </c>
      <c r="K63" s="57" t="s">
        <v>161</v>
      </c>
      <c r="L63" s="36">
        <v>2</v>
      </c>
      <c r="N63" s="57">
        <v>7</v>
      </c>
      <c r="O63" s="57">
        <v>0.45</v>
      </c>
      <c r="P63" s="57">
        <v>0.35</v>
      </c>
      <c r="Q63" s="75">
        <f t="shared" si="0"/>
        <v>0.4</v>
      </c>
      <c r="R63" s="36">
        <v>12.9</v>
      </c>
      <c r="S63" s="36">
        <v>120</v>
      </c>
      <c r="T63" s="62">
        <f t="shared" si="1"/>
        <v>30</v>
      </c>
      <c r="U63" s="36">
        <v>1058</v>
      </c>
      <c r="V63" s="62">
        <f t="shared" si="2"/>
        <v>4534.2857142857138</v>
      </c>
      <c r="W63" s="36">
        <v>3</v>
      </c>
      <c r="X63" s="57" t="s">
        <v>46</v>
      </c>
      <c r="Y63" s="36" t="s">
        <v>55</v>
      </c>
      <c r="Z63" s="36" t="s">
        <v>69</v>
      </c>
      <c r="AA63" s="36" t="s">
        <v>78</v>
      </c>
      <c r="AB63" s="57" t="s">
        <v>158</v>
      </c>
    </row>
    <row r="64" spans="1:30" x14ac:dyDescent="0.15">
      <c r="A64" s="57" t="s">
        <v>41</v>
      </c>
      <c r="B64" s="58" t="s">
        <v>157</v>
      </c>
      <c r="C64" s="59">
        <v>2019</v>
      </c>
      <c r="D64" s="60" t="s">
        <v>185</v>
      </c>
      <c r="E64" s="36" t="s">
        <v>195</v>
      </c>
      <c r="F64" s="57" t="s">
        <v>186</v>
      </c>
      <c r="G64" s="57" t="s">
        <v>42</v>
      </c>
      <c r="H64" s="57" t="s">
        <v>160</v>
      </c>
      <c r="I64" s="57" t="s">
        <v>159</v>
      </c>
      <c r="J64" s="57" t="s">
        <v>38</v>
      </c>
      <c r="K64" s="57" t="s">
        <v>161</v>
      </c>
      <c r="L64" s="36">
        <v>3</v>
      </c>
      <c r="N64" s="57">
        <v>7</v>
      </c>
      <c r="O64" s="57">
        <v>0.25</v>
      </c>
      <c r="P64" s="57">
        <v>0.3</v>
      </c>
      <c r="Q64" s="75">
        <f t="shared" si="0"/>
        <v>0.27500000000000002</v>
      </c>
      <c r="R64" s="36">
        <v>14.3</v>
      </c>
      <c r="S64" s="36">
        <v>115</v>
      </c>
      <c r="T64" s="62">
        <f t="shared" si="1"/>
        <v>30</v>
      </c>
      <c r="U64" s="36">
        <v>1058</v>
      </c>
      <c r="V64" s="62">
        <f t="shared" si="2"/>
        <v>4534.2857142857138</v>
      </c>
      <c r="W64" s="36">
        <v>3</v>
      </c>
      <c r="X64" s="57" t="s">
        <v>46</v>
      </c>
      <c r="Y64" s="36" t="s">
        <v>55</v>
      </c>
      <c r="Z64" s="36" t="s">
        <v>69</v>
      </c>
      <c r="AA64" s="36" t="s">
        <v>78</v>
      </c>
      <c r="AB64" s="57" t="s">
        <v>158</v>
      </c>
    </row>
    <row r="65" spans="1:28" x14ac:dyDescent="0.15">
      <c r="A65" s="57" t="s">
        <v>41</v>
      </c>
      <c r="B65" s="58" t="s">
        <v>157</v>
      </c>
      <c r="C65" s="59">
        <v>2019</v>
      </c>
      <c r="D65" s="60" t="s">
        <v>185</v>
      </c>
      <c r="E65" s="36" t="s">
        <v>195</v>
      </c>
      <c r="F65" s="57" t="s">
        <v>186</v>
      </c>
      <c r="G65" s="57" t="s">
        <v>42</v>
      </c>
      <c r="H65" s="57" t="s">
        <v>165</v>
      </c>
      <c r="I65" s="57" t="s">
        <v>159</v>
      </c>
      <c r="J65" s="57" t="s">
        <v>38</v>
      </c>
      <c r="K65" s="57" t="s">
        <v>161</v>
      </c>
      <c r="L65" s="36">
        <v>1</v>
      </c>
      <c r="N65" s="57">
        <v>1</v>
      </c>
      <c r="O65" s="57">
        <v>0.85</v>
      </c>
      <c r="P65" s="57">
        <v>0.9</v>
      </c>
      <c r="Q65" s="75">
        <f t="shared" si="0"/>
        <v>0.875</v>
      </c>
      <c r="R65" s="36">
        <v>12.9</v>
      </c>
      <c r="S65" s="36">
        <v>131</v>
      </c>
      <c r="T65" s="62">
        <f t="shared" si="1"/>
        <v>25</v>
      </c>
      <c r="U65" s="57">
        <v>108</v>
      </c>
      <c r="V65" s="62">
        <f t="shared" si="2"/>
        <v>2700</v>
      </c>
      <c r="W65" s="36">
        <v>3</v>
      </c>
      <c r="X65" s="57" t="s">
        <v>46</v>
      </c>
      <c r="Y65" s="36" t="s">
        <v>55</v>
      </c>
      <c r="Z65" s="57" t="s">
        <v>69</v>
      </c>
      <c r="AA65" s="36" t="s">
        <v>78</v>
      </c>
      <c r="AB65" s="57" t="s">
        <v>158</v>
      </c>
    </row>
    <row r="66" spans="1:28" x14ac:dyDescent="0.15">
      <c r="A66" s="57" t="s">
        <v>41</v>
      </c>
      <c r="B66" s="58" t="s">
        <v>157</v>
      </c>
      <c r="C66" s="59">
        <v>2019</v>
      </c>
      <c r="D66" s="60" t="s">
        <v>185</v>
      </c>
      <c r="E66" s="36" t="s">
        <v>195</v>
      </c>
      <c r="F66" s="57" t="s">
        <v>186</v>
      </c>
      <c r="G66" s="57" t="s">
        <v>42</v>
      </c>
      <c r="H66" s="57" t="s">
        <v>165</v>
      </c>
      <c r="I66" s="57" t="s">
        <v>159</v>
      </c>
      <c r="J66" s="57" t="s">
        <v>38</v>
      </c>
      <c r="K66" s="57" t="s">
        <v>161</v>
      </c>
      <c r="L66" s="36">
        <v>2</v>
      </c>
      <c r="N66" s="57">
        <v>1</v>
      </c>
      <c r="O66" s="36">
        <v>1</v>
      </c>
      <c r="P66" s="36">
        <v>0.9</v>
      </c>
      <c r="Q66" s="75">
        <f t="shared" ref="Q66:Q129" si="3">IF(OR(O66="",P66=""),"",AVERAGE(O66,P66))</f>
        <v>0.95</v>
      </c>
      <c r="R66" s="36">
        <v>11.5</v>
      </c>
      <c r="S66" s="36">
        <v>129</v>
      </c>
      <c r="T66" s="62">
        <f t="shared" ref="T66:T129" si="4">IF(H66="","",IF(OR(H66="GREEN",H66="GK"),IF(S66&gt;=$AX$2,VLOOKUP(S66,$AX$2:$AY$10,2,1),""),IF(S66&gt;=$AZ$2,VLOOKUP(S66,$AZ$2:$BA$10,2,1),"")))</f>
        <v>25</v>
      </c>
      <c r="U66" s="57">
        <v>108</v>
      </c>
      <c r="V66" s="62">
        <f t="shared" ref="V66:V129" si="5">IF(OR(N66="",U66="",T66=""),"",U66/N66*T66)</f>
        <v>2700</v>
      </c>
      <c r="W66" s="36">
        <v>3</v>
      </c>
      <c r="X66" s="57" t="s">
        <v>46</v>
      </c>
      <c r="Y66" s="36" t="s">
        <v>55</v>
      </c>
      <c r="Z66" s="57" t="s">
        <v>69</v>
      </c>
      <c r="AA66" s="36" t="s">
        <v>78</v>
      </c>
      <c r="AB66" s="57" t="s">
        <v>158</v>
      </c>
    </row>
    <row r="67" spans="1:28" x14ac:dyDescent="0.15">
      <c r="A67" s="57" t="s">
        <v>41</v>
      </c>
      <c r="B67" s="58" t="s">
        <v>157</v>
      </c>
      <c r="C67" s="59">
        <v>2019</v>
      </c>
      <c r="D67" s="60" t="s">
        <v>185</v>
      </c>
      <c r="E67" s="36" t="s">
        <v>195</v>
      </c>
      <c r="F67" s="57" t="s">
        <v>186</v>
      </c>
      <c r="G67" s="57" t="s">
        <v>42</v>
      </c>
      <c r="H67" s="57" t="s">
        <v>165</v>
      </c>
      <c r="I67" s="57" t="s">
        <v>159</v>
      </c>
      <c r="J67" s="57" t="s">
        <v>38</v>
      </c>
      <c r="K67" s="57" t="s">
        <v>161</v>
      </c>
      <c r="L67" s="36">
        <v>3</v>
      </c>
      <c r="N67" s="57">
        <v>1</v>
      </c>
      <c r="O67" s="36">
        <v>0.95</v>
      </c>
      <c r="P67" s="36">
        <v>1.1499999999999999</v>
      </c>
      <c r="Q67" s="75">
        <f t="shared" si="3"/>
        <v>1.0499999999999998</v>
      </c>
      <c r="R67" s="36">
        <v>13.8</v>
      </c>
      <c r="S67" s="36">
        <v>125</v>
      </c>
      <c r="T67" s="62">
        <f t="shared" si="4"/>
        <v>27</v>
      </c>
      <c r="U67" s="57">
        <v>108</v>
      </c>
      <c r="V67" s="62">
        <f t="shared" si="5"/>
        <v>2916</v>
      </c>
      <c r="W67" s="36">
        <v>3</v>
      </c>
      <c r="X67" s="57" t="s">
        <v>46</v>
      </c>
      <c r="Y67" s="36" t="s">
        <v>55</v>
      </c>
      <c r="Z67" s="57" t="s">
        <v>69</v>
      </c>
      <c r="AA67" s="36" t="s">
        <v>78</v>
      </c>
      <c r="AB67" s="57" t="s">
        <v>158</v>
      </c>
    </row>
    <row r="68" spans="1:28" x14ac:dyDescent="0.15">
      <c r="A68" s="57" t="s">
        <v>41</v>
      </c>
      <c r="B68" s="58" t="s">
        <v>157</v>
      </c>
      <c r="C68" s="59">
        <v>2019</v>
      </c>
      <c r="D68" s="60" t="s">
        <v>185</v>
      </c>
      <c r="E68" s="36" t="s">
        <v>195</v>
      </c>
      <c r="F68" s="57" t="s">
        <v>186</v>
      </c>
      <c r="G68" s="57" t="s">
        <v>42</v>
      </c>
      <c r="H68" s="57" t="s">
        <v>165</v>
      </c>
      <c r="I68" s="57" t="s">
        <v>159</v>
      </c>
      <c r="J68" s="57" t="s">
        <v>38</v>
      </c>
      <c r="K68" s="57" t="s">
        <v>161</v>
      </c>
      <c r="L68" s="36">
        <v>1</v>
      </c>
      <c r="N68" s="57">
        <v>5</v>
      </c>
      <c r="O68" s="57">
        <v>0.5</v>
      </c>
      <c r="P68" s="57">
        <v>0.65</v>
      </c>
      <c r="Q68" s="75">
        <f t="shared" si="3"/>
        <v>0.57499999999999996</v>
      </c>
      <c r="R68" s="57">
        <v>14.4</v>
      </c>
      <c r="S68" s="57">
        <v>122</v>
      </c>
      <c r="T68" s="62">
        <f t="shared" si="4"/>
        <v>27</v>
      </c>
      <c r="U68" s="57">
        <v>537</v>
      </c>
      <c r="V68" s="62">
        <f t="shared" si="5"/>
        <v>2899.8</v>
      </c>
      <c r="W68" s="36">
        <v>2</v>
      </c>
      <c r="X68" s="57" t="s">
        <v>46</v>
      </c>
      <c r="Y68" s="36" t="s">
        <v>55</v>
      </c>
      <c r="Z68" s="57" t="s">
        <v>69</v>
      </c>
      <c r="AA68" s="36" t="s">
        <v>78</v>
      </c>
      <c r="AB68" s="57" t="s">
        <v>158</v>
      </c>
    </row>
    <row r="69" spans="1:28" x14ac:dyDescent="0.15">
      <c r="A69" s="57" t="s">
        <v>41</v>
      </c>
      <c r="B69" s="58" t="s">
        <v>157</v>
      </c>
      <c r="C69" s="59">
        <v>2019</v>
      </c>
      <c r="D69" s="60" t="s">
        <v>185</v>
      </c>
      <c r="E69" s="36" t="s">
        <v>195</v>
      </c>
      <c r="F69" s="57" t="s">
        <v>186</v>
      </c>
      <c r="G69" s="57" t="s">
        <v>42</v>
      </c>
      <c r="H69" s="57" t="s">
        <v>165</v>
      </c>
      <c r="I69" s="57" t="s">
        <v>159</v>
      </c>
      <c r="J69" s="57" t="s">
        <v>38</v>
      </c>
      <c r="K69" s="57" t="s">
        <v>161</v>
      </c>
      <c r="L69" s="36">
        <v>2</v>
      </c>
      <c r="N69" s="57">
        <v>5</v>
      </c>
      <c r="O69" s="57">
        <v>0.75</v>
      </c>
      <c r="P69" s="57">
        <v>0.7</v>
      </c>
      <c r="Q69" s="75">
        <f t="shared" si="3"/>
        <v>0.72499999999999998</v>
      </c>
      <c r="R69" s="57">
        <v>14</v>
      </c>
      <c r="S69" s="57">
        <v>124</v>
      </c>
      <c r="T69" s="62">
        <f t="shared" si="4"/>
        <v>27</v>
      </c>
      <c r="U69" s="57">
        <v>537</v>
      </c>
      <c r="V69" s="62">
        <f t="shared" si="5"/>
        <v>2899.8</v>
      </c>
      <c r="W69" s="36">
        <v>2</v>
      </c>
      <c r="X69" s="57" t="s">
        <v>46</v>
      </c>
      <c r="Y69" s="36" t="s">
        <v>55</v>
      </c>
      <c r="Z69" s="57" t="s">
        <v>69</v>
      </c>
      <c r="AA69" s="36" t="s">
        <v>78</v>
      </c>
      <c r="AB69" s="57" t="s">
        <v>158</v>
      </c>
    </row>
    <row r="70" spans="1:28" x14ac:dyDescent="0.15">
      <c r="A70" s="57" t="s">
        <v>41</v>
      </c>
      <c r="B70" s="58" t="s">
        <v>157</v>
      </c>
      <c r="C70" s="59">
        <v>2019</v>
      </c>
      <c r="D70" s="60" t="s">
        <v>185</v>
      </c>
      <c r="E70" s="36" t="s">
        <v>195</v>
      </c>
      <c r="F70" s="57" t="s">
        <v>186</v>
      </c>
      <c r="G70" s="57" t="s">
        <v>42</v>
      </c>
      <c r="H70" s="57" t="s">
        <v>165</v>
      </c>
      <c r="I70" s="57" t="s">
        <v>159</v>
      </c>
      <c r="J70" s="57" t="s">
        <v>38</v>
      </c>
      <c r="K70" s="57" t="s">
        <v>161</v>
      </c>
      <c r="L70" s="36">
        <v>3</v>
      </c>
      <c r="N70" s="57">
        <v>5</v>
      </c>
      <c r="O70" s="57">
        <v>0.8</v>
      </c>
      <c r="P70" s="57">
        <v>0.6</v>
      </c>
      <c r="Q70" s="75">
        <f t="shared" si="3"/>
        <v>0.7</v>
      </c>
      <c r="R70" s="57">
        <v>14.1</v>
      </c>
      <c r="S70" s="57">
        <v>123</v>
      </c>
      <c r="T70" s="62">
        <f t="shared" si="4"/>
        <v>27</v>
      </c>
      <c r="U70" s="57">
        <v>537</v>
      </c>
      <c r="V70" s="62">
        <f t="shared" si="5"/>
        <v>2899.8</v>
      </c>
      <c r="W70" s="36">
        <v>2</v>
      </c>
      <c r="X70" s="57" t="s">
        <v>46</v>
      </c>
      <c r="Y70" s="36" t="s">
        <v>55</v>
      </c>
      <c r="Z70" s="57" t="s">
        <v>69</v>
      </c>
      <c r="AA70" s="36" t="s">
        <v>78</v>
      </c>
      <c r="AB70" s="57" t="s">
        <v>158</v>
      </c>
    </row>
    <row r="71" spans="1:28" x14ac:dyDescent="0.15">
      <c r="A71" s="57" t="s">
        <v>41</v>
      </c>
      <c r="B71" s="58" t="s">
        <v>157</v>
      </c>
      <c r="C71" s="59">
        <v>2019</v>
      </c>
      <c r="D71" s="60" t="s">
        <v>185</v>
      </c>
      <c r="E71" s="57" t="s">
        <v>195</v>
      </c>
      <c r="F71" s="36" t="s">
        <v>197</v>
      </c>
      <c r="G71" s="57" t="s">
        <v>42</v>
      </c>
      <c r="H71" s="57" t="s">
        <v>165</v>
      </c>
      <c r="I71" s="57" t="s">
        <v>159</v>
      </c>
      <c r="J71" s="57" t="s">
        <v>38</v>
      </c>
      <c r="K71" s="57" t="s">
        <v>161</v>
      </c>
      <c r="L71" s="57">
        <v>1</v>
      </c>
      <c r="M71" s="57"/>
      <c r="N71" s="57">
        <v>1</v>
      </c>
      <c r="O71" s="36">
        <v>0.85</v>
      </c>
      <c r="P71" s="36">
        <v>0.75</v>
      </c>
      <c r="Q71" s="75">
        <f t="shared" si="3"/>
        <v>0.8</v>
      </c>
      <c r="R71" s="36">
        <v>16.8</v>
      </c>
      <c r="S71" s="36">
        <v>121</v>
      </c>
      <c r="T71" s="62">
        <f t="shared" si="4"/>
        <v>27</v>
      </c>
      <c r="U71" s="57">
        <v>138</v>
      </c>
      <c r="V71" s="62">
        <f t="shared" si="5"/>
        <v>3726</v>
      </c>
      <c r="W71" s="57">
        <v>4</v>
      </c>
      <c r="X71" s="57" t="s">
        <v>46</v>
      </c>
      <c r="Y71" s="57" t="s">
        <v>55</v>
      </c>
      <c r="Z71" s="57" t="s">
        <v>69</v>
      </c>
      <c r="AA71" s="57" t="s">
        <v>47</v>
      </c>
      <c r="AB71" s="57" t="s">
        <v>158</v>
      </c>
    </row>
    <row r="72" spans="1:28" x14ac:dyDescent="0.15">
      <c r="A72" s="57" t="s">
        <v>41</v>
      </c>
      <c r="B72" s="58" t="s">
        <v>157</v>
      </c>
      <c r="C72" s="59">
        <v>2019</v>
      </c>
      <c r="D72" s="60" t="s">
        <v>185</v>
      </c>
      <c r="E72" s="57" t="s">
        <v>195</v>
      </c>
      <c r="F72" s="36" t="s">
        <v>197</v>
      </c>
      <c r="G72" s="57" t="s">
        <v>42</v>
      </c>
      <c r="H72" s="57" t="s">
        <v>165</v>
      </c>
      <c r="I72" s="57" t="s">
        <v>159</v>
      </c>
      <c r="J72" s="57" t="s">
        <v>38</v>
      </c>
      <c r="K72" s="57" t="s">
        <v>161</v>
      </c>
      <c r="L72" s="36">
        <v>2</v>
      </c>
      <c r="N72" s="57">
        <v>1</v>
      </c>
      <c r="O72" s="36">
        <v>0.65</v>
      </c>
      <c r="P72" s="36">
        <v>0.8</v>
      </c>
      <c r="Q72" s="75">
        <f t="shared" si="3"/>
        <v>0.72500000000000009</v>
      </c>
      <c r="R72" s="36">
        <v>14.8</v>
      </c>
      <c r="S72" s="36">
        <v>125</v>
      </c>
      <c r="T72" s="62">
        <f t="shared" si="4"/>
        <v>27</v>
      </c>
      <c r="U72" s="57">
        <v>138</v>
      </c>
      <c r="V72" s="62">
        <f t="shared" si="5"/>
        <v>3726</v>
      </c>
      <c r="W72" s="57">
        <v>4</v>
      </c>
      <c r="X72" s="57" t="s">
        <v>46</v>
      </c>
      <c r="Y72" s="57" t="s">
        <v>55</v>
      </c>
      <c r="Z72" s="57" t="s">
        <v>69</v>
      </c>
      <c r="AA72" s="57" t="s">
        <v>47</v>
      </c>
      <c r="AB72" s="57" t="s">
        <v>158</v>
      </c>
    </row>
    <row r="73" spans="1:28" x14ac:dyDescent="0.15">
      <c r="A73" s="57" t="s">
        <v>41</v>
      </c>
      <c r="B73" s="58" t="s">
        <v>157</v>
      </c>
      <c r="C73" s="59">
        <v>2019</v>
      </c>
      <c r="D73" s="60" t="s">
        <v>185</v>
      </c>
      <c r="E73" s="57" t="s">
        <v>195</v>
      </c>
      <c r="F73" s="36" t="s">
        <v>197</v>
      </c>
      <c r="G73" s="57" t="s">
        <v>42</v>
      </c>
      <c r="H73" s="57" t="s">
        <v>165</v>
      </c>
      <c r="I73" s="57" t="s">
        <v>159</v>
      </c>
      <c r="J73" s="57" t="s">
        <v>38</v>
      </c>
      <c r="K73" s="57" t="s">
        <v>161</v>
      </c>
      <c r="L73" s="36">
        <v>3</v>
      </c>
      <c r="N73" s="57">
        <v>1</v>
      </c>
      <c r="O73" s="36">
        <v>0.45</v>
      </c>
      <c r="P73" s="36">
        <v>0.65</v>
      </c>
      <c r="Q73" s="75">
        <f t="shared" si="3"/>
        <v>0.55000000000000004</v>
      </c>
      <c r="R73" s="36">
        <v>15.7</v>
      </c>
      <c r="S73" s="36">
        <v>123</v>
      </c>
      <c r="T73" s="62">
        <f t="shared" si="4"/>
        <v>27</v>
      </c>
      <c r="U73" s="57">
        <v>138</v>
      </c>
      <c r="V73" s="62">
        <f t="shared" si="5"/>
        <v>3726</v>
      </c>
      <c r="W73" s="36">
        <v>4</v>
      </c>
      <c r="X73" s="57" t="s">
        <v>46</v>
      </c>
      <c r="Y73" s="57" t="s">
        <v>55</v>
      </c>
      <c r="Z73" s="57" t="s">
        <v>69</v>
      </c>
      <c r="AA73" s="57" t="s">
        <v>47</v>
      </c>
      <c r="AB73" s="57" t="s">
        <v>158</v>
      </c>
    </row>
    <row r="74" spans="1:28" x14ac:dyDescent="0.15">
      <c r="A74" s="57" t="s">
        <v>41</v>
      </c>
      <c r="B74" s="58" t="s">
        <v>157</v>
      </c>
      <c r="C74" s="59">
        <v>2019</v>
      </c>
      <c r="D74" s="60" t="s">
        <v>185</v>
      </c>
      <c r="E74" s="57" t="s">
        <v>195</v>
      </c>
      <c r="F74" s="36" t="s">
        <v>197</v>
      </c>
      <c r="G74" s="57" t="s">
        <v>42</v>
      </c>
      <c r="H74" s="57" t="s">
        <v>165</v>
      </c>
      <c r="I74" s="57" t="s">
        <v>159</v>
      </c>
      <c r="J74" s="57" t="s">
        <v>38</v>
      </c>
      <c r="K74" s="57" t="s">
        <v>161</v>
      </c>
      <c r="L74" s="57">
        <v>1</v>
      </c>
      <c r="M74" s="57"/>
      <c r="N74" s="57">
        <v>4</v>
      </c>
      <c r="O74" s="57">
        <v>0.9</v>
      </c>
      <c r="P74" s="57">
        <v>0.8</v>
      </c>
      <c r="Q74" s="75">
        <f t="shared" si="3"/>
        <v>0.85000000000000009</v>
      </c>
      <c r="R74" s="36">
        <v>12.8</v>
      </c>
      <c r="S74" s="36">
        <v>122</v>
      </c>
      <c r="T74" s="62">
        <f t="shared" si="4"/>
        <v>27</v>
      </c>
      <c r="U74" s="57">
        <v>537</v>
      </c>
      <c r="V74" s="62">
        <f t="shared" si="5"/>
        <v>3624.75</v>
      </c>
      <c r="W74" s="57">
        <v>2</v>
      </c>
      <c r="X74" s="57" t="s">
        <v>46</v>
      </c>
      <c r="Y74" s="57" t="s">
        <v>55</v>
      </c>
      <c r="Z74" s="57" t="s">
        <v>69</v>
      </c>
      <c r="AA74" s="57" t="s">
        <v>47</v>
      </c>
      <c r="AB74" s="57" t="s">
        <v>158</v>
      </c>
    </row>
    <row r="75" spans="1:28" x14ac:dyDescent="0.15">
      <c r="A75" s="57" t="s">
        <v>41</v>
      </c>
      <c r="B75" s="58" t="s">
        <v>157</v>
      </c>
      <c r="C75" s="59">
        <v>2019</v>
      </c>
      <c r="D75" s="60" t="s">
        <v>185</v>
      </c>
      <c r="E75" s="57" t="s">
        <v>195</v>
      </c>
      <c r="F75" s="36" t="s">
        <v>197</v>
      </c>
      <c r="G75" s="57" t="s">
        <v>42</v>
      </c>
      <c r="H75" s="57" t="s">
        <v>165</v>
      </c>
      <c r="I75" s="57" t="s">
        <v>159</v>
      </c>
      <c r="J75" s="57" t="s">
        <v>38</v>
      </c>
      <c r="K75" s="57" t="s">
        <v>161</v>
      </c>
      <c r="L75" s="36">
        <v>2</v>
      </c>
      <c r="N75" s="57">
        <v>4</v>
      </c>
      <c r="O75" s="57">
        <v>0.85</v>
      </c>
      <c r="P75" s="57">
        <v>1</v>
      </c>
      <c r="Q75" s="75">
        <f t="shared" si="3"/>
        <v>0.92500000000000004</v>
      </c>
      <c r="R75" s="36">
        <v>12.3</v>
      </c>
      <c r="S75" s="36">
        <v>124</v>
      </c>
      <c r="T75" s="62">
        <f t="shared" si="4"/>
        <v>27</v>
      </c>
      <c r="U75" s="57">
        <v>537</v>
      </c>
      <c r="V75" s="62">
        <f t="shared" si="5"/>
        <v>3624.75</v>
      </c>
      <c r="W75" s="36">
        <v>2</v>
      </c>
      <c r="X75" s="57" t="s">
        <v>46</v>
      </c>
      <c r="Y75" s="57" t="s">
        <v>55</v>
      </c>
      <c r="Z75" s="57" t="s">
        <v>69</v>
      </c>
      <c r="AA75" s="57" t="s">
        <v>47</v>
      </c>
      <c r="AB75" s="57" t="s">
        <v>158</v>
      </c>
    </row>
    <row r="76" spans="1:28" x14ac:dyDescent="0.15">
      <c r="A76" s="57" t="s">
        <v>41</v>
      </c>
      <c r="B76" s="58" t="s">
        <v>157</v>
      </c>
      <c r="C76" s="59">
        <v>2019</v>
      </c>
      <c r="D76" s="60" t="s">
        <v>185</v>
      </c>
      <c r="E76" s="57" t="s">
        <v>195</v>
      </c>
      <c r="F76" s="36" t="s">
        <v>197</v>
      </c>
      <c r="G76" s="57" t="s">
        <v>42</v>
      </c>
      <c r="H76" s="57" t="s">
        <v>165</v>
      </c>
      <c r="I76" s="57" t="s">
        <v>159</v>
      </c>
      <c r="J76" s="57" t="s">
        <v>38</v>
      </c>
      <c r="K76" s="57" t="s">
        <v>161</v>
      </c>
      <c r="L76" s="36">
        <v>3</v>
      </c>
      <c r="N76" s="57">
        <v>4</v>
      </c>
      <c r="O76" s="57">
        <v>0.6</v>
      </c>
      <c r="P76" s="57">
        <v>0.85</v>
      </c>
      <c r="Q76" s="75">
        <f t="shared" si="3"/>
        <v>0.72499999999999998</v>
      </c>
      <c r="R76" s="36">
        <v>16</v>
      </c>
      <c r="S76" s="36">
        <v>126</v>
      </c>
      <c r="T76" s="62">
        <f t="shared" si="4"/>
        <v>27</v>
      </c>
      <c r="U76" s="57">
        <v>537</v>
      </c>
      <c r="V76" s="62">
        <f t="shared" si="5"/>
        <v>3624.75</v>
      </c>
      <c r="W76" s="36">
        <v>2</v>
      </c>
      <c r="X76" s="57" t="s">
        <v>46</v>
      </c>
      <c r="Y76" s="57" t="s">
        <v>55</v>
      </c>
      <c r="Z76" s="57" t="s">
        <v>69</v>
      </c>
      <c r="AA76" s="57" t="s">
        <v>47</v>
      </c>
      <c r="AB76" s="57" t="s">
        <v>158</v>
      </c>
    </row>
    <row r="77" spans="1:28" x14ac:dyDescent="0.15">
      <c r="A77" s="57" t="s">
        <v>41</v>
      </c>
      <c r="B77" s="58" t="s">
        <v>157</v>
      </c>
      <c r="C77" s="59">
        <v>2019</v>
      </c>
      <c r="D77" s="60" t="s">
        <v>185</v>
      </c>
      <c r="E77" s="57" t="s">
        <v>195</v>
      </c>
      <c r="F77" s="36" t="s">
        <v>197</v>
      </c>
      <c r="G77" s="57" t="s">
        <v>42</v>
      </c>
      <c r="H77" s="57" t="s">
        <v>165</v>
      </c>
      <c r="I77" s="57" t="s">
        <v>159</v>
      </c>
      <c r="J77" s="57" t="s">
        <v>38</v>
      </c>
      <c r="K77" s="57" t="s">
        <v>161</v>
      </c>
      <c r="L77" s="57">
        <v>1</v>
      </c>
      <c r="M77" s="57"/>
      <c r="N77" s="57">
        <v>10</v>
      </c>
      <c r="O77" s="36">
        <v>0.25</v>
      </c>
      <c r="P77" s="36">
        <v>0.35</v>
      </c>
      <c r="Q77" s="75">
        <f t="shared" si="3"/>
        <v>0.3</v>
      </c>
      <c r="R77" s="36">
        <v>14.5</v>
      </c>
      <c r="S77" s="36">
        <v>118</v>
      </c>
      <c r="T77" s="62">
        <f t="shared" si="4"/>
        <v>30</v>
      </c>
      <c r="U77" s="57">
        <v>1079</v>
      </c>
      <c r="V77" s="62">
        <f t="shared" si="5"/>
        <v>3237</v>
      </c>
      <c r="W77" s="57">
        <v>2</v>
      </c>
      <c r="X77" s="57" t="s">
        <v>46</v>
      </c>
      <c r="Y77" s="57" t="s">
        <v>55</v>
      </c>
      <c r="Z77" s="57" t="s">
        <v>69</v>
      </c>
      <c r="AA77" s="57" t="s">
        <v>47</v>
      </c>
      <c r="AB77" s="57" t="s">
        <v>158</v>
      </c>
    </row>
    <row r="78" spans="1:28" x14ac:dyDescent="0.15">
      <c r="A78" s="57" t="s">
        <v>41</v>
      </c>
      <c r="B78" s="58" t="s">
        <v>157</v>
      </c>
      <c r="C78" s="59">
        <v>2019</v>
      </c>
      <c r="D78" s="60" t="s">
        <v>185</v>
      </c>
      <c r="E78" s="57" t="s">
        <v>195</v>
      </c>
      <c r="F78" s="36" t="s">
        <v>197</v>
      </c>
      <c r="G78" s="57" t="s">
        <v>42</v>
      </c>
      <c r="H78" s="57" t="s">
        <v>165</v>
      </c>
      <c r="I78" s="57" t="s">
        <v>159</v>
      </c>
      <c r="J78" s="57" t="s">
        <v>38</v>
      </c>
      <c r="K78" s="57" t="s">
        <v>161</v>
      </c>
      <c r="L78" s="36">
        <v>2</v>
      </c>
      <c r="N78" s="57">
        <v>10</v>
      </c>
      <c r="O78" s="36">
        <v>0.35</v>
      </c>
      <c r="P78" s="36">
        <v>0.25</v>
      </c>
      <c r="Q78" s="75">
        <f t="shared" si="3"/>
        <v>0.3</v>
      </c>
      <c r="R78" s="36">
        <v>13.8</v>
      </c>
      <c r="S78" s="36">
        <v>115</v>
      </c>
      <c r="T78" s="62">
        <f t="shared" si="4"/>
        <v>30</v>
      </c>
      <c r="U78" s="57">
        <v>1079</v>
      </c>
      <c r="V78" s="62">
        <f t="shared" si="5"/>
        <v>3237</v>
      </c>
      <c r="W78" s="57">
        <v>2</v>
      </c>
      <c r="X78" s="57" t="s">
        <v>46</v>
      </c>
      <c r="Y78" s="57" t="s">
        <v>55</v>
      </c>
      <c r="Z78" s="57" t="s">
        <v>69</v>
      </c>
      <c r="AA78" s="57" t="s">
        <v>47</v>
      </c>
      <c r="AB78" s="57" t="s">
        <v>158</v>
      </c>
    </row>
    <row r="79" spans="1:28" x14ac:dyDescent="0.15">
      <c r="A79" s="57" t="s">
        <v>41</v>
      </c>
      <c r="B79" s="58" t="s">
        <v>157</v>
      </c>
      <c r="C79" s="59">
        <v>2019</v>
      </c>
      <c r="D79" s="60" t="s">
        <v>185</v>
      </c>
      <c r="E79" s="57" t="s">
        <v>195</v>
      </c>
      <c r="F79" s="36" t="s">
        <v>197</v>
      </c>
      <c r="G79" s="57" t="s">
        <v>42</v>
      </c>
      <c r="H79" s="57" t="s">
        <v>165</v>
      </c>
      <c r="I79" s="57" t="s">
        <v>159</v>
      </c>
      <c r="J79" s="57" t="s">
        <v>38</v>
      </c>
      <c r="K79" s="57" t="s">
        <v>161</v>
      </c>
      <c r="L79" s="36">
        <v>3</v>
      </c>
      <c r="N79" s="57">
        <v>10</v>
      </c>
      <c r="O79" s="36">
        <v>0.45</v>
      </c>
      <c r="P79" s="36">
        <v>0.45</v>
      </c>
      <c r="Q79" s="75">
        <f t="shared" si="3"/>
        <v>0.45</v>
      </c>
      <c r="R79" s="36">
        <v>12.8</v>
      </c>
      <c r="S79" s="36">
        <v>116</v>
      </c>
      <c r="T79" s="62">
        <f t="shared" si="4"/>
        <v>30</v>
      </c>
      <c r="U79" s="57">
        <v>1079</v>
      </c>
      <c r="V79" s="62">
        <f t="shared" si="5"/>
        <v>3237</v>
      </c>
      <c r="W79" s="36">
        <v>2</v>
      </c>
      <c r="X79" s="57" t="s">
        <v>46</v>
      </c>
      <c r="Y79" s="57" t="s">
        <v>55</v>
      </c>
      <c r="Z79" s="57" t="s">
        <v>69</v>
      </c>
      <c r="AA79" s="57" t="s">
        <v>47</v>
      </c>
      <c r="AB79" s="57" t="s">
        <v>158</v>
      </c>
    </row>
    <row r="80" spans="1:28" x14ac:dyDescent="0.15">
      <c r="A80" s="57" t="s">
        <v>41</v>
      </c>
      <c r="B80" s="58" t="s">
        <v>157</v>
      </c>
      <c r="C80" s="59">
        <v>2019</v>
      </c>
      <c r="D80" s="60" t="s">
        <v>185</v>
      </c>
      <c r="E80" s="57" t="s">
        <v>195</v>
      </c>
      <c r="F80" s="36" t="s">
        <v>197</v>
      </c>
      <c r="G80" s="57" t="s">
        <v>42</v>
      </c>
      <c r="H80" s="57" t="s">
        <v>160</v>
      </c>
      <c r="I80" s="57" t="s">
        <v>159</v>
      </c>
      <c r="J80" s="57" t="s">
        <v>38</v>
      </c>
      <c r="K80" s="57" t="s">
        <v>161</v>
      </c>
      <c r="L80" s="57">
        <v>1</v>
      </c>
      <c r="M80" s="57"/>
      <c r="N80" s="57">
        <v>1</v>
      </c>
      <c r="O80" s="57">
        <v>0.95</v>
      </c>
      <c r="P80" s="57">
        <v>0.9</v>
      </c>
      <c r="Q80" s="75">
        <f t="shared" si="3"/>
        <v>0.92500000000000004</v>
      </c>
      <c r="R80" s="36">
        <v>15.1</v>
      </c>
      <c r="S80" s="36">
        <v>130</v>
      </c>
      <c r="T80" s="62">
        <f t="shared" si="4"/>
        <v>25</v>
      </c>
      <c r="U80" s="57">
        <v>108</v>
      </c>
      <c r="V80" s="62">
        <f t="shared" si="5"/>
        <v>2700</v>
      </c>
      <c r="W80" s="57">
        <v>4</v>
      </c>
      <c r="X80" s="57" t="s">
        <v>46</v>
      </c>
      <c r="Y80" s="57" t="s">
        <v>55</v>
      </c>
      <c r="Z80" s="57" t="s">
        <v>69</v>
      </c>
      <c r="AA80" s="57" t="s">
        <v>47</v>
      </c>
      <c r="AB80" s="57" t="s">
        <v>158</v>
      </c>
    </row>
    <row r="81" spans="1:34" x14ac:dyDescent="0.15">
      <c r="A81" s="57" t="s">
        <v>41</v>
      </c>
      <c r="B81" s="58" t="s">
        <v>157</v>
      </c>
      <c r="C81" s="59">
        <v>2019</v>
      </c>
      <c r="D81" s="60" t="s">
        <v>185</v>
      </c>
      <c r="E81" s="57" t="s">
        <v>195</v>
      </c>
      <c r="F81" s="36" t="s">
        <v>197</v>
      </c>
      <c r="G81" s="57" t="s">
        <v>42</v>
      </c>
      <c r="H81" s="57" t="s">
        <v>160</v>
      </c>
      <c r="I81" s="57" t="s">
        <v>159</v>
      </c>
      <c r="J81" s="57" t="s">
        <v>38</v>
      </c>
      <c r="K81" s="57" t="s">
        <v>161</v>
      </c>
      <c r="L81" s="36">
        <v>2</v>
      </c>
      <c r="N81" s="57">
        <v>1</v>
      </c>
      <c r="O81" s="57">
        <v>1</v>
      </c>
      <c r="P81" s="57">
        <v>1.25</v>
      </c>
      <c r="Q81" s="75">
        <f t="shared" si="3"/>
        <v>1.125</v>
      </c>
      <c r="R81" s="36">
        <v>13.7</v>
      </c>
      <c r="S81" s="36">
        <v>129</v>
      </c>
      <c r="T81" s="62">
        <f t="shared" si="4"/>
        <v>25</v>
      </c>
      <c r="U81" s="57">
        <v>108</v>
      </c>
      <c r="V81" s="62">
        <f t="shared" si="5"/>
        <v>2700</v>
      </c>
      <c r="W81" s="36">
        <v>4</v>
      </c>
      <c r="X81" s="57" t="s">
        <v>46</v>
      </c>
      <c r="Y81" s="57" t="s">
        <v>55</v>
      </c>
      <c r="Z81" s="57" t="s">
        <v>69</v>
      </c>
      <c r="AA81" s="57" t="s">
        <v>47</v>
      </c>
      <c r="AB81" s="57" t="s">
        <v>158</v>
      </c>
    </row>
    <row r="82" spans="1:34" x14ac:dyDescent="0.15">
      <c r="A82" s="57" t="s">
        <v>41</v>
      </c>
      <c r="B82" s="58" t="s">
        <v>157</v>
      </c>
      <c r="C82" s="59">
        <v>2019</v>
      </c>
      <c r="D82" s="60" t="s">
        <v>185</v>
      </c>
      <c r="E82" s="57" t="s">
        <v>195</v>
      </c>
      <c r="F82" s="36" t="s">
        <v>197</v>
      </c>
      <c r="G82" s="57" t="s">
        <v>42</v>
      </c>
      <c r="H82" s="57" t="s">
        <v>160</v>
      </c>
      <c r="I82" s="57" t="s">
        <v>159</v>
      </c>
      <c r="J82" s="57" t="s">
        <v>38</v>
      </c>
      <c r="K82" s="57" t="s">
        <v>161</v>
      </c>
      <c r="L82" s="36">
        <v>3</v>
      </c>
      <c r="N82" s="57">
        <v>1</v>
      </c>
      <c r="O82" s="57">
        <v>0.95</v>
      </c>
      <c r="P82" s="57">
        <v>1.05</v>
      </c>
      <c r="Q82" s="75">
        <f t="shared" si="3"/>
        <v>1</v>
      </c>
      <c r="R82" s="36">
        <v>14.4</v>
      </c>
      <c r="S82" s="36">
        <v>126</v>
      </c>
      <c r="T82" s="62">
        <f t="shared" si="4"/>
        <v>27</v>
      </c>
      <c r="U82" s="57">
        <v>108</v>
      </c>
      <c r="V82" s="62">
        <f t="shared" si="5"/>
        <v>2916</v>
      </c>
      <c r="W82" s="36">
        <v>4</v>
      </c>
      <c r="X82" s="57" t="s">
        <v>46</v>
      </c>
      <c r="Y82" s="57" t="s">
        <v>55</v>
      </c>
      <c r="Z82" s="57" t="s">
        <v>69</v>
      </c>
      <c r="AA82" s="57" t="s">
        <v>47</v>
      </c>
      <c r="AB82" s="57" t="s">
        <v>158</v>
      </c>
    </row>
    <row r="83" spans="1:34" x14ac:dyDescent="0.15">
      <c r="A83" s="57" t="s">
        <v>41</v>
      </c>
      <c r="B83" s="58" t="s">
        <v>157</v>
      </c>
      <c r="C83" s="59">
        <v>2019</v>
      </c>
      <c r="D83" s="60" t="s">
        <v>185</v>
      </c>
      <c r="E83" s="57" t="s">
        <v>195</v>
      </c>
      <c r="F83" s="36" t="s">
        <v>197</v>
      </c>
      <c r="G83" s="57" t="s">
        <v>42</v>
      </c>
      <c r="H83" s="57" t="s">
        <v>160</v>
      </c>
      <c r="I83" s="57" t="s">
        <v>159</v>
      </c>
      <c r="J83" s="57" t="s">
        <v>38</v>
      </c>
      <c r="K83" s="57" t="s">
        <v>161</v>
      </c>
      <c r="L83" s="57">
        <v>1</v>
      </c>
      <c r="M83" s="57"/>
      <c r="N83" s="57">
        <v>4</v>
      </c>
      <c r="O83" s="36">
        <v>0.75</v>
      </c>
      <c r="P83" s="36">
        <v>0.9</v>
      </c>
      <c r="Q83" s="75">
        <f t="shared" si="3"/>
        <v>0.82499999999999996</v>
      </c>
      <c r="R83" s="36">
        <v>14.2</v>
      </c>
      <c r="S83" s="36">
        <v>125</v>
      </c>
      <c r="T83" s="62">
        <f t="shared" si="4"/>
        <v>27</v>
      </c>
      <c r="U83" s="57">
        <v>429</v>
      </c>
      <c r="V83" s="62">
        <f t="shared" si="5"/>
        <v>2895.75</v>
      </c>
      <c r="W83" s="57">
        <v>2</v>
      </c>
      <c r="X83" s="57" t="s">
        <v>46</v>
      </c>
      <c r="Y83" s="57" t="s">
        <v>55</v>
      </c>
      <c r="Z83" s="57" t="s">
        <v>69</v>
      </c>
      <c r="AA83" s="57" t="s">
        <v>47</v>
      </c>
      <c r="AB83" s="57" t="s">
        <v>158</v>
      </c>
    </row>
    <row r="84" spans="1:34" x14ac:dyDescent="0.15">
      <c r="A84" s="57" t="s">
        <v>41</v>
      </c>
      <c r="B84" s="58" t="s">
        <v>157</v>
      </c>
      <c r="C84" s="59">
        <v>2019</v>
      </c>
      <c r="D84" s="60" t="s">
        <v>185</v>
      </c>
      <c r="E84" s="57" t="s">
        <v>195</v>
      </c>
      <c r="F84" s="36" t="s">
        <v>197</v>
      </c>
      <c r="G84" s="57" t="s">
        <v>42</v>
      </c>
      <c r="H84" s="57" t="s">
        <v>160</v>
      </c>
      <c r="I84" s="57" t="s">
        <v>159</v>
      </c>
      <c r="J84" s="57" t="s">
        <v>38</v>
      </c>
      <c r="K84" s="57" t="s">
        <v>161</v>
      </c>
      <c r="L84" s="36">
        <v>2</v>
      </c>
      <c r="N84" s="57">
        <v>4</v>
      </c>
      <c r="O84" s="36">
        <v>0.8</v>
      </c>
      <c r="P84" s="36">
        <v>0.95</v>
      </c>
      <c r="Q84" s="75">
        <f t="shared" si="3"/>
        <v>0.875</v>
      </c>
      <c r="R84" s="36">
        <v>13.9</v>
      </c>
      <c r="S84" s="36">
        <v>123</v>
      </c>
      <c r="T84" s="62">
        <f t="shared" si="4"/>
        <v>27</v>
      </c>
      <c r="U84" s="57">
        <v>429</v>
      </c>
      <c r="V84" s="62">
        <f t="shared" si="5"/>
        <v>2895.75</v>
      </c>
      <c r="W84" s="57">
        <v>2</v>
      </c>
      <c r="X84" s="57" t="s">
        <v>46</v>
      </c>
      <c r="Y84" s="57" t="s">
        <v>55</v>
      </c>
      <c r="Z84" s="57" t="s">
        <v>69</v>
      </c>
      <c r="AA84" s="57" t="s">
        <v>47</v>
      </c>
      <c r="AB84" s="57" t="s">
        <v>158</v>
      </c>
    </row>
    <row r="85" spans="1:34" x14ac:dyDescent="0.15">
      <c r="A85" s="57" t="s">
        <v>41</v>
      </c>
      <c r="B85" s="58" t="s">
        <v>157</v>
      </c>
      <c r="C85" s="59">
        <v>2019</v>
      </c>
      <c r="D85" s="60" t="s">
        <v>185</v>
      </c>
      <c r="E85" s="57" t="s">
        <v>195</v>
      </c>
      <c r="F85" s="36" t="s">
        <v>197</v>
      </c>
      <c r="G85" s="57" t="s">
        <v>42</v>
      </c>
      <c r="H85" s="57" t="s">
        <v>160</v>
      </c>
      <c r="I85" s="57" t="s">
        <v>159</v>
      </c>
      <c r="J85" s="57" t="s">
        <v>38</v>
      </c>
      <c r="K85" s="57" t="s">
        <v>161</v>
      </c>
      <c r="L85" s="36">
        <v>3</v>
      </c>
      <c r="N85" s="57">
        <v>4</v>
      </c>
      <c r="O85" s="36">
        <v>0.65</v>
      </c>
      <c r="P85" s="36">
        <v>0.7</v>
      </c>
      <c r="Q85" s="75">
        <f t="shared" si="3"/>
        <v>0.67500000000000004</v>
      </c>
      <c r="R85" s="36">
        <v>13.5</v>
      </c>
      <c r="S85" s="36">
        <v>124</v>
      </c>
      <c r="T85" s="62">
        <f t="shared" si="4"/>
        <v>27</v>
      </c>
      <c r="U85" s="57">
        <v>429</v>
      </c>
      <c r="V85" s="62">
        <f t="shared" si="5"/>
        <v>2895.75</v>
      </c>
      <c r="W85" s="36">
        <v>2</v>
      </c>
      <c r="X85" s="57" t="s">
        <v>46</v>
      </c>
      <c r="Y85" s="57" t="s">
        <v>55</v>
      </c>
      <c r="Z85" s="57" t="s">
        <v>69</v>
      </c>
      <c r="AA85" s="57" t="s">
        <v>47</v>
      </c>
      <c r="AB85" s="57" t="s">
        <v>158</v>
      </c>
    </row>
    <row r="86" spans="1:34" x14ac:dyDescent="0.15">
      <c r="A86" s="57" t="s">
        <v>41</v>
      </c>
      <c r="B86" s="58" t="s">
        <v>157</v>
      </c>
      <c r="C86" s="59">
        <v>2019</v>
      </c>
      <c r="D86" s="60" t="s">
        <v>185</v>
      </c>
      <c r="E86" s="57" t="s">
        <v>195</v>
      </c>
      <c r="F86" s="36" t="s">
        <v>197</v>
      </c>
      <c r="G86" s="57" t="s">
        <v>42</v>
      </c>
      <c r="H86" s="57" t="s">
        <v>160</v>
      </c>
      <c r="I86" s="57" t="s">
        <v>159</v>
      </c>
      <c r="J86" s="57" t="s">
        <v>38</v>
      </c>
      <c r="K86" s="57" t="s">
        <v>161</v>
      </c>
      <c r="L86" s="57">
        <v>1</v>
      </c>
      <c r="M86" s="57"/>
      <c r="N86" s="57">
        <v>10</v>
      </c>
      <c r="O86" s="57">
        <v>0.45</v>
      </c>
      <c r="P86" s="57">
        <v>0.5</v>
      </c>
      <c r="Q86" s="75">
        <f t="shared" si="3"/>
        <v>0.47499999999999998</v>
      </c>
      <c r="R86" s="36">
        <v>13</v>
      </c>
      <c r="S86" s="36">
        <v>121</v>
      </c>
      <c r="T86" s="62">
        <f t="shared" si="4"/>
        <v>27</v>
      </c>
      <c r="U86" s="57">
        <v>950</v>
      </c>
      <c r="V86" s="62">
        <f t="shared" si="5"/>
        <v>2565</v>
      </c>
      <c r="W86" s="57">
        <v>2</v>
      </c>
      <c r="X86" s="57" t="s">
        <v>46</v>
      </c>
      <c r="Y86" s="57" t="s">
        <v>55</v>
      </c>
      <c r="Z86" s="57" t="s">
        <v>69</v>
      </c>
      <c r="AA86" s="57" t="s">
        <v>47</v>
      </c>
      <c r="AB86" s="57" t="s">
        <v>158</v>
      </c>
    </row>
    <row r="87" spans="1:34" x14ac:dyDescent="0.15">
      <c r="A87" s="57" t="s">
        <v>41</v>
      </c>
      <c r="B87" s="58" t="s">
        <v>157</v>
      </c>
      <c r="C87" s="59">
        <v>2019</v>
      </c>
      <c r="D87" s="60" t="s">
        <v>185</v>
      </c>
      <c r="E87" s="57" t="s">
        <v>195</v>
      </c>
      <c r="F87" s="36" t="s">
        <v>197</v>
      </c>
      <c r="G87" s="57" t="s">
        <v>42</v>
      </c>
      <c r="H87" s="57" t="s">
        <v>160</v>
      </c>
      <c r="I87" s="57" t="s">
        <v>159</v>
      </c>
      <c r="J87" s="57" t="s">
        <v>38</v>
      </c>
      <c r="K87" s="57" t="s">
        <v>161</v>
      </c>
      <c r="L87" s="36">
        <v>2</v>
      </c>
      <c r="N87" s="57">
        <v>10</v>
      </c>
      <c r="O87" s="57">
        <v>0.8</v>
      </c>
      <c r="P87" s="57">
        <v>0.5</v>
      </c>
      <c r="Q87" s="75">
        <f t="shared" si="3"/>
        <v>0.65</v>
      </c>
      <c r="R87" s="36">
        <v>14.5</v>
      </c>
      <c r="S87" s="36">
        <v>120</v>
      </c>
      <c r="T87" s="62">
        <f t="shared" si="4"/>
        <v>30</v>
      </c>
      <c r="U87" s="57">
        <v>950</v>
      </c>
      <c r="V87" s="62">
        <f t="shared" si="5"/>
        <v>2850</v>
      </c>
      <c r="W87" s="36">
        <v>2</v>
      </c>
      <c r="X87" s="57" t="s">
        <v>46</v>
      </c>
      <c r="Y87" s="57" t="s">
        <v>55</v>
      </c>
      <c r="Z87" s="57" t="s">
        <v>69</v>
      </c>
      <c r="AA87" s="57" t="s">
        <v>47</v>
      </c>
      <c r="AB87" s="57" t="s">
        <v>158</v>
      </c>
    </row>
    <row r="88" spans="1:34" x14ac:dyDescent="0.15">
      <c r="A88" s="57" t="s">
        <v>41</v>
      </c>
      <c r="B88" s="58" t="s">
        <v>157</v>
      </c>
      <c r="C88" s="59">
        <v>2019</v>
      </c>
      <c r="D88" s="60" t="s">
        <v>185</v>
      </c>
      <c r="E88" s="57" t="s">
        <v>195</v>
      </c>
      <c r="F88" s="36" t="s">
        <v>197</v>
      </c>
      <c r="G88" s="57" t="s">
        <v>42</v>
      </c>
      <c r="H88" s="57" t="s">
        <v>160</v>
      </c>
      <c r="I88" s="57" t="s">
        <v>159</v>
      </c>
      <c r="J88" s="57" t="s">
        <v>38</v>
      </c>
      <c r="K88" s="57" t="s">
        <v>161</v>
      </c>
      <c r="L88" s="36">
        <v>3</v>
      </c>
      <c r="N88" s="57">
        <v>10</v>
      </c>
      <c r="O88" s="57">
        <v>0.75</v>
      </c>
      <c r="P88" s="57">
        <v>0.65</v>
      </c>
      <c r="Q88" s="75">
        <f t="shared" si="3"/>
        <v>0.7</v>
      </c>
      <c r="R88" s="36">
        <v>15.8</v>
      </c>
      <c r="S88" s="36">
        <v>118</v>
      </c>
      <c r="T88" s="62">
        <f t="shared" si="4"/>
        <v>30</v>
      </c>
      <c r="U88" s="57">
        <v>950</v>
      </c>
      <c r="V88" s="62">
        <f t="shared" si="5"/>
        <v>2850</v>
      </c>
      <c r="W88" s="36">
        <v>2</v>
      </c>
      <c r="X88" s="57" t="s">
        <v>46</v>
      </c>
      <c r="Y88" s="57" t="s">
        <v>55</v>
      </c>
      <c r="Z88" s="57" t="s">
        <v>69</v>
      </c>
      <c r="AA88" s="57" t="s">
        <v>47</v>
      </c>
      <c r="AB88" s="57" t="s">
        <v>158</v>
      </c>
    </row>
    <row r="89" spans="1:34" x14ac:dyDescent="0.15">
      <c r="A89" s="57" t="s">
        <v>41</v>
      </c>
      <c r="B89" s="58" t="s">
        <v>157</v>
      </c>
      <c r="C89" s="59">
        <v>2019</v>
      </c>
      <c r="D89" s="60" t="s">
        <v>185</v>
      </c>
      <c r="E89" s="57" t="s">
        <v>199</v>
      </c>
      <c r="F89" s="36" t="s">
        <v>197</v>
      </c>
      <c r="G89" s="57" t="s">
        <v>42</v>
      </c>
      <c r="H89" s="57" t="s">
        <v>160</v>
      </c>
      <c r="I89" s="57" t="s">
        <v>159</v>
      </c>
      <c r="J89" s="57" t="s">
        <v>38</v>
      </c>
      <c r="K89" s="57" t="s">
        <v>161</v>
      </c>
      <c r="L89" s="57">
        <v>1</v>
      </c>
      <c r="M89" s="57"/>
      <c r="N89" s="57">
        <v>1</v>
      </c>
      <c r="O89" s="36">
        <v>0.65</v>
      </c>
      <c r="P89" s="36">
        <v>0.75</v>
      </c>
      <c r="Q89" s="75">
        <f t="shared" si="3"/>
        <v>0.7</v>
      </c>
      <c r="R89" s="36">
        <v>13.2</v>
      </c>
      <c r="S89" s="36">
        <v>120</v>
      </c>
      <c r="T89" s="62">
        <f t="shared" si="4"/>
        <v>30</v>
      </c>
      <c r="U89" s="57">
        <v>104</v>
      </c>
      <c r="V89" s="62">
        <f t="shared" si="5"/>
        <v>3120</v>
      </c>
      <c r="W89" s="57">
        <v>1</v>
      </c>
      <c r="X89" s="57" t="s">
        <v>46</v>
      </c>
      <c r="Y89" s="57" t="s">
        <v>47</v>
      </c>
      <c r="Z89" s="57" t="s">
        <v>69</v>
      </c>
      <c r="AA89" s="57" t="s">
        <v>60</v>
      </c>
      <c r="AB89" s="57" t="s">
        <v>158</v>
      </c>
    </row>
    <row r="90" spans="1:34" x14ac:dyDescent="0.15">
      <c r="A90" s="57" t="s">
        <v>41</v>
      </c>
      <c r="B90" s="58" t="s">
        <v>157</v>
      </c>
      <c r="C90" s="59">
        <v>2019</v>
      </c>
      <c r="D90" s="60" t="s">
        <v>185</v>
      </c>
      <c r="E90" s="57" t="s">
        <v>199</v>
      </c>
      <c r="F90" s="36" t="s">
        <v>197</v>
      </c>
      <c r="G90" s="57" t="s">
        <v>42</v>
      </c>
      <c r="H90" s="57" t="s">
        <v>160</v>
      </c>
      <c r="I90" s="57" t="s">
        <v>159</v>
      </c>
      <c r="J90" s="57" t="s">
        <v>38</v>
      </c>
      <c r="K90" s="57" t="s">
        <v>161</v>
      </c>
      <c r="L90" s="36">
        <v>2</v>
      </c>
      <c r="N90" s="57">
        <v>1</v>
      </c>
      <c r="O90" s="36">
        <v>0.35</v>
      </c>
      <c r="P90" s="36">
        <v>0.4</v>
      </c>
      <c r="Q90" s="75">
        <f t="shared" si="3"/>
        <v>0.375</v>
      </c>
      <c r="R90" s="36">
        <v>15.4</v>
      </c>
      <c r="S90" s="36">
        <v>118</v>
      </c>
      <c r="T90" s="62">
        <f t="shared" si="4"/>
        <v>30</v>
      </c>
      <c r="U90" s="57">
        <v>104</v>
      </c>
      <c r="V90" s="62">
        <f t="shared" si="5"/>
        <v>3120</v>
      </c>
      <c r="W90" s="57">
        <v>1</v>
      </c>
      <c r="X90" s="57" t="s">
        <v>46</v>
      </c>
      <c r="Y90" s="57" t="s">
        <v>47</v>
      </c>
      <c r="Z90" s="57" t="s">
        <v>69</v>
      </c>
      <c r="AA90" s="57" t="s">
        <v>60</v>
      </c>
      <c r="AB90" s="57" t="s">
        <v>158</v>
      </c>
    </row>
    <row r="91" spans="1:34" x14ac:dyDescent="0.15">
      <c r="A91" s="57" t="s">
        <v>41</v>
      </c>
      <c r="B91" s="58" t="s">
        <v>157</v>
      </c>
      <c r="C91" s="59">
        <v>2019</v>
      </c>
      <c r="D91" s="60" t="s">
        <v>185</v>
      </c>
      <c r="E91" s="57" t="s">
        <v>199</v>
      </c>
      <c r="F91" s="36" t="s">
        <v>197</v>
      </c>
      <c r="G91" s="57" t="s">
        <v>42</v>
      </c>
      <c r="H91" s="57" t="s">
        <v>160</v>
      </c>
      <c r="I91" s="57" t="s">
        <v>159</v>
      </c>
      <c r="J91" s="57" t="s">
        <v>38</v>
      </c>
      <c r="K91" s="57" t="s">
        <v>161</v>
      </c>
      <c r="L91" s="36">
        <v>3</v>
      </c>
      <c r="N91" s="57">
        <v>1</v>
      </c>
      <c r="O91" s="36">
        <v>0.45</v>
      </c>
      <c r="P91" s="36">
        <v>0.5</v>
      </c>
      <c r="Q91" s="75">
        <f t="shared" si="3"/>
        <v>0.47499999999999998</v>
      </c>
      <c r="R91" s="36">
        <v>15.5</v>
      </c>
      <c r="S91" s="36">
        <v>117</v>
      </c>
      <c r="T91" s="62">
        <f t="shared" si="4"/>
        <v>30</v>
      </c>
      <c r="U91" s="57">
        <v>104</v>
      </c>
      <c r="V91" s="62">
        <f t="shared" si="5"/>
        <v>3120</v>
      </c>
      <c r="W91" s="36">
        <v>1</v>
      </c>
      <c r="X91" s="57" t="s">
        <v>46</v>
      </c>
      <c r="Y91" s="57" t="s">
        <v>47</v>
      </c>
      <c r="Z91" s="57" t="s">
        <v>69</v>
      </c>
      <c r="AA91" s="57" t="s">
        <v>60</v>
      </c>
      <c r="AB91" s="57" t="s">
        <v>158</v>
      </c>
    </row>
    <row r="92" spans="1:34" x14ac:dyDescent="0.15">
      <c r="A92" s="57" t="s">
        <v>41</v>
      </c>
      <c r="B92" s="58" t="s">
        <v>157</v>
      </c>
      <c r="C92" s="59">
        <v>2019</v>
      </c>
      <c r="D92" s="60" t="s">
        <v>185</v>
      </c>
      <c r="E92" s="57" t="s">
        <v>199</v>
      </c>
      <c r="F92" s="36" t="s">
        <v>197</v>
      </c>
      <c r="G92" s="57" t="s">
        <v>42</v>
      </c>
      <c r="H92" s="57" t="s">
        <v>165</v>
      </c>
      <c r="I92" s="57" t="s">
        <v>159</v>
      </c>
      <c r="J92" s="57" t="s">
        <v>38</v>
      </c>
      <c r="K92" s="57" t="s">
        <v>161</v>
      </c>
      <c r="L92" s="57">
        <v>1</v>
      </c>
      <c r="M92" s="57"/>
      <c r="N92" s="57">
        <v>1</v>
      </c>
      <c r="O92" s="57">
        <v>0.85</v>
      </c>
      <c r="P92" s="57">
        <v>0.8</v>
      </c>
      <c r="Q92" s="75">
        <f t="shared" si="3"/>
        <v>0.82499999999999996</v>
      </c>
      <c r="R92" s="36">
        <v>15</v>
      </c>
      <c r="S92" s="36">
        <v>122</v>
      </c>
      <c r="T92" s="62">
        <f t="shared" si="4"/>
        <v>27</v>
      </c>
      <c r="U92" s="57">
        <v>104</v>
      </c>
      <c r="V92" s="62">
        <f t="shared" si="5"/>
        <v>2808</v>
      </c>
      <c r="W92" s="57">
        <v>2</v>
      </c>
      <c r="X92" s="57" t="s">
        <v>46</v>
      </c>
      <c r="Y92" s="57" t="s">
        <v>47</v>
      </c>
      <c r="Z92" s="57" t="s">
        <v>69</v>
      </c>
      <c r="AA92" s="57" t="s">
        <v>60</v>
      </c>
      <c r="AB92" s="57" t="s">
        <v>158</v>
      </c>
    </row>
    <row r="93" spans="1:34" x14ac:dyDescent="0.15">
      <c r="A93" s="57" t="s">
        <v>41</v>
      </c>
      <c r="B93" s="58" t="s">
        <v>157</v>
      </c>
      <c r="C93" s="59">
        <v>2019</v>
      </c>
      <c r="D93" s="60" t="s">
        <v>185</v>
      </c>
      <c r="E93" s="57" t="s">
        <v>199</v>
      </c>
      <c r="F93" s="36" t="s">
        <v>197</v>
      </c>
      <c r="G93" s="57" t="s">
        <v>42</v>
      </c>
      <c r="H93" s="57" t="s">
        <v>165</v>
      </c>
      <c r="I93" s="57" t="s">
        <v>159</v>
      </c>
      <c r="J93" s="57" t="s">
        <v>38</v>
      </c>
      <c r="K93" s="57" t="s">
        <v>161</v>
      </c>
      <c r="L93" s="36">
        <v>2</v>
      </c>
      <c r="N93" s="57">
        <v>1</v>
      </c>
      <c r="O93" s="57">
        <v>0.65</v>
      </c>
      <c r="P93" s="57">
        <v>0.5</v>
      </c>
      <c r="Q93" s="75">
        <f t="shared" si="3"/>
        <v>0.57499999999999996</v>
      </c>
      <c r="R93" s="36">
        <v>14.2</v>
      </c>
      <c r="S93" s="36">
        <v>120</v>
      </c>
      <c r="T93" s="62">
        <f t="shared" si="4"/>
        <v>30</v>
      </c>
      <c r="U93" s="57">
        <v>104</v>
      </c>
      <c r="V93" s="62">
        <f t="shared" si="5"/>
        <v>3120</v>
      </c>
      <c r="W93" s="36">
        <v>2</v>
      </c>
      <c r="X93" s="57" t="s">
        <v>46</v>
      </c>
      <c r="Y93" s="57" t="s">
        <v>47</v>
      </c>
      <c r="Z93" s="57" t="s">
        <v>69</v>
      </c>
      <c r="AA93" s="57" t="s">
        <v>60</v>
      </c>
      <c r="AB93" s="57" t="s">
        <v>158</v>
      </c>
    </row>
    <row r="94" spans="1:34" x14ac:dyDescent="0.15">
      <c r="A94" s="57" t="s">
        <v>41</v>
      </c>
      <c r="B94" s="58" t="s">
        <v>157</v>
      </c>
      <c r="C94" s="59">
        <v>2019</v>
      </c>
      <c r="D94" s="60" t="s">
        <v>185</v>
      </c>
      <c r="E94" s="57" t="s">
        <v>199</v>
      </c>
      <c r="F94" s="36" t="s">
        <v>197</v>
      </c>
      <c r="G94" s="57" t="s">
        <v>42</v>
      </c>
      <c r="H94" s="57" t="s">
        <v>165</v>
      </c>
      <c r="I94" s="57" t="s">
        <v>159</v>
      </c>
      <c r="J94" s="57" t="s">
        <v>38</v>
      </c>
      <c r="K94" s="57" t="s">
        <v>161</v>
      </c>
      <c r="L94" s="36">
        <v>3</v>
      </c>
      <c r="N94" s="57">
        <v>1</v>
      </c>
      <c r="O94" s="57">
        <v>0.7</v>
      </c>
      <c r="P94" s="57">
        <v>0.45</v>
      </c>
      <c r="Q94" s="75">
        <f t="shared" si="3"/>
        <v>0.57499999999999996</v>
      </c>
      <c r="R94" s="36">
        <v>14.3</v>
      </c>
      <c r="S94" s="36">
        <v>123</v>
      </c>
      <c r="T94" s="62">
        <f t="shared" si="4"/>
        <v>27</v>
      </c>
      <c r="U94" s="57">
        <v>104</v>
      </c>
      <c r="V94" s="62">
        <f t="shared" si="5"/>
        <v>2808</v>
      </c>
      <c r="W94" s="36">
        <v>2</v>
      </c>
      <c r="X94" s="57" t="s">
        <v>46</v>
      </c>
      <c r="Y94" s="57" t="s">
        <v>47</v>
      </c>
      <c r="Z94" s="57" t="s">
        <v>69</v>
      </c>
      <c r="AA94" s="57" t="s">
        <v>60</v>
      </c>
      <c r="AB94" s="57" t="s">
        <v>158</v>
      </c>
    </row>
    <row r="95" spans="1:34" x14ac:dyDescent="0.15">
      <c r="A95" s="57" t="s">
        <v>41</v>
      </c>
      <c r="B95" s="58" t="s">
        <v>157</v>
      </c>
      <c r="C95" s="59">
        <v>2019</v>
      </c>
      <c r="D95" s="60" t="s">
        <v>185</v>
      </c>
      <c r="E95" s="57" t="s">
        <v>199</v>
      </c>
      <c r="F95" s="36" t="s">
        <v>197</v>
      </c>
      <c r="G95" s="57" t="s">
        <v>42</v>
      </c>
      <c r="H95" s="57" t="s">
        <v>165</v>
      </c>
      <c r="I95" s="57" t="s">
        <v>159</v>
      </c>
      <c r="J95" s="57" t="s">
        <v>38</v>
      </c>
      <c r="K95" s="57" t="s">
        <v>161</v>
      </c>
      <c r="L95" s="57">
        <v>1</v>
      </c>
      <c r="M95" s="57"/>
      <c r="N95" s="57">
        <v>4</v>
      </c>
      <c r="O95" s="36">
        <v>0.9</v>
      </c>
      <c r="P95" s="36">
        <v>0.8</v>
      </c>
      <c r="Q95" s="75">
        <f t="shared" si="3"/>
        <v>0.85000000000000009</v>
      </c>
      <c r="R95" s="36">
        <v>13.3</v>
      </c>
      <c r="S95" s="36">
        <v>120</v>
      </c>
      <c r="T95" s="62">
        <f t="shared" si="4"/>
        <v>30</v>
      </c>
      <c r="U95" s="57">
        <v>320</v>
      </c>
      <c r="V95" s="62">
        <f t="shared" si="5"/>
        <v>2400</v>
      </c>
      <c r="W95" s="57">
        <v>1</v>
      </c>
      <c r="X95" s="57" t="s">
        <v>46</v>
      </c>
      <c r="Y95" s="57" t="s">
        <v>47</v>
      </c>
      <c r="Z95" s="57" t="s">
        <v>69</v>
      </c>
      <c r="AA95" s="57" t="s">
        <v>60</v>
      </c>
      <c r="AB95" s="57" t="s">
        <v>158</v>
      </c>
      <c r="AC95" s="88"/>
      <c r="AD95" s="88"/>
      <c r="AE95" s="88"/>
      <c r="AF95" s="88"/>
      <c r="AG95" s="88"/>
      <c r="AH95" s="88"/>
    </row>
    <row r="96" spans="1:34" x14ac:dyDescent="0.15">
      <c r="A96" s="57" t="s">
        <v>41</v>
      </c>
      <c r="B96" s="58" t="s">
        <v>157</v>
      </c>
      <c r="C96" s="59">
        <v>2019</v>
      </c>
      <c r="D96" s="60" t="s">
        <v>185</v>
      </c>
      <c r="E96" s="57" t="s">
        <v>199</v>
      </c>
      <c r="F96" s="36" t="s">
        <v>197</v>
      </c>
      <c r="G96" s="57" t="s">
        <v>42</v>
      </c>
      <c r="H96" s="57" t="s">
        <v>165</v>
      </c>
      <c r="I96" s="57" t="s">
        <v>159</v>
      </c>
      <c r="J96" s="57" t="s">
        <v>38</v>
      </c>
      <c r="K96" s="57" t="s">
        <v>161</v>
      </c>
      <c r="L96" s="36">
        <v>2</v>
      </c>
      <c r="N96" s="57">
        <v>4</v>
      </c>
      <c r="O96" s="36">
        <v>1</v>
      </c>
      <c r="P96" s="36">
        <v>0.9</v>
      </c>
      <c r="Q96" s="75">
        <f t="shared" si="3"/>
        <v>0.95</v>
      </c>
      <c r="R96" s="36">
        <v>12.9</v>
      </c>
      <c r="S96" s="36">
        <v>118</v>
      </c>
      <c r="T96" s="62">
        <f t="shared" si="4"/>
        <v>30</v>
      </c>
      <c r="U96" s="57">
        <v>320</v>
      </c>
      <c r="V96" s="62">
        <f t="shared" si="5"/>
        <v>2400</v>
      </c>
      <c r="W96" s="57">
        <v>1</v>
      </c>
      <c r="X96" s="57" t="s">
        <v>46</v>
      </c>
      <c r="Y96" s="57" t="s">
        <v>47</v>
      </c>
      <c r="Z96" s="57" t="s">
        <v>69</v>
      </c>
      <c r="AA96" s="57" t="s">
        <v>60</v>
      </c>
      <c r="AB96" s="57" t="s">
        <v>158</v>
      </c>
      <c r="AC96" s="88"/>
      <c r="AD96" s="88"/>
      <c r="AE96" s="88"/>
      <c r="AF96" s="88"/>
      <c r="AG96" s="88"/>
      <c r="AH96" s="88"/>
    </row>
    <row r="97" spans="1:34" x14ac:dyDescent="0.15">
      <c r="A97" s="57" t="s">
        <v>41</v>
      </c>
      <c r="B97" s="58" t="s">
        <v>157</v>
      </c>
      <c r="C97" s="59">
        <v>2019</v>
      </c>
      <c r="D97" s="60" t="s">
        <v>185</v>
      </c>
      <c r="E97" s="57" t="s">
        <v>199</v>
      </c>
      <c r="F97" s="36" t="s">
        <v>197</v>
      </c>
      <c r="G97" s="57" t="s">
        <v>42</v>
      </c>
      <c r="H97" s="57" t="s">
        <v>165</v>
      </c>
      <c r="I97" s="57" t="s">
        <v>159</v>
      </c>
      <c r="J97" s="57" t="s">
        <v>38</v>
      </c>
      <c r="K97" s="57" t="s">
        <v>161</v>
      </c>
      <c r="L97" s="36">
        <v>3</v>
      </c>
      <c r="N97" s="57">
        <v>4</v>
      </c>
      <c r="O97" s="36">
        <v>1</v>
      </c>
      <c r="P97" s="36">
        <v>0.9</v>
      </c>
      <c r="Q97" s="75">
        <f t="shared" si="3"/>
        <v>0.95</v>
      </c>
      <c r="R97" s="36">
        <v>15.1</v>
      </c>
      <c r="S97" s="36">
        <v>119</v>
      </c>
      <c r="T97" s="62">
        <f t="shared" si="4"/>
        <v>30</v>
      </c>
      <c r="U97" s="57">
        <v>320</v>
      </c>
      <c r="V97" s="62">
        <f t="shared" si="5"/>
        <v>2400</v>
      </c>
      <c r="W97" s="36">
        <v>1</v>
      </c>
      <c r="X97" s="57" t="s">
        <v>46</v>
      </c>
      <c r="Y97" s="57" t="s">
        <v>47</v>
      </c>
      <c r="Z97" s="57" t="s">
        <v>69</v>
      </c>
      <c r="AA97" s="57" t="s">
        <v>60</v>
      </c>
      <c r="AB97" s="57" t="s">
        <v>158</v>
      </c>
      <c r="AC97" s="88"/>
      <c r="AD97" s="88"/>
      <c r="AE97" s="88"/>
      <c r="AF97" s="88"/>
      <c r="AG97" s="88"/>
      <c r="AH97" s="88"/>
    </row>
    <row r="98" spans="1:34" x14ac:dyDescent="0.15">
      <c r="A98" s="57" t="s">
        <v>41</v>
      </c>
      <c r="B98" s="58" t="s">
        <v>157</v>
      </c>
      <c r="C98" s="59">
        <v>2019</v>
      </c>
      <c r="D98" s="60" t="s">
        <v>185</v>
      </c>
      <c r="E98" s="57" t="s">
        <v>201</v>
      </c>
      <c r="F98" s="36" t="s">
        <v>202</v>
      </c>
      <c r="G98" s="57" t="s">
        <v>42</v>
      </c>
      <c r="H98" s="57" t="s">
        <v>165</v>
      </c>
      <c r="I98" s="57" t="s">
        <v>159</v>
      </c>
      <c r="J98" s="57" t="s">
        <v>38</v>
      </c>
      <c r="K98" s="57" t="s">
        <v>161</v>
      </c>
      <c r="L98" s="57">
        <v>1</v>
      </c>
      <c r="M98" s="57"/>
      <c r="N98" s="57">
        <v>1</v>
      </c>
      <c r="O98" s="58">
        <v>0.5</v>
      </c>
      <c r="P98" s="89">
        <v>0.25</v>
      </c>
      <c r="Q98" s="75">
        <f t="shared" si="3"/>
        <v>0.375</v>
      </c>
      <c r="R98" s="36">
        <v>13</v>
      </c>
      <c r="S98" s="36">
        <v>128</v>
      </c>
      <c r="T98" s="62">
        <f t="shared" si="4"/>
        <v>27</v>
      </c>
      <c r="U98" s="57">
        <v>105</v>
      </c>
      <c r="V98" s="62">
        <f t="shared" si="5"/>
        <v>2835</v>
      </c>
      <c r="W98" s="57">
        <v>2</v>
      </c>
      <c r="X98" s="57" t="s">
        <v>46</v>
      </c>
      <c r="Y98" s="57" t="s">
        <v>55</v>
      </c>
      <c r="Z98" s="57" t="s">
        <v>69</v>
      </c>
      <c r="AA98" s="57" t="s">
        <v>47</v>
      </c>
      <c r="AB98" s="57" t="s">
        <v>158</v>
      </c>
      <c r="AC98" s="88"/>
      <c r="AD98" s="88"/>
      <c r="AE98" s="88"/>
      <c r="AF98" s="88"/>
      <c r="AG98" s="88"/>
      <c r="AH98" s="88"/>
    </row>
    <row r="99" spans="1:34" x14ac:dyDescent="0.15">
      <c r="A99" s="57" t="s">
        <v>41</v>
      </c>
      <c r="B99" s="58" t="s">
        <v>157</v>
      </c>
      <c r="C99" s="59">
        <v>2019</v>
      </c>
      <c r="D99" s="60" t="s">
        <v>185</v>
      </c>
      <c r="E99" s="57" t="s">
        <v>201</v>
      </c>
      <c r="F99" s="36" t="s">
        <v>202</v>
      </c>
      <c r="G99" s="57" t="s">
        <v>42</v>
      </c>
      <c r="H99" s="57" t="s">
        <v>165</v>
      </c>
      <c r="I99" s="57" t="s">
        <v>159</v>
      </c>
      <c r="J99" s="57" t="s">
        <v>38</v>
      </c>
      <c r="K99" s="57" t="s">
        <v>161</v>
      </c>
      <c r="L99" s="36">
        <v>2</v>
      </c>
      <c r="N99" s="57">
        <v>1</v>
      </c>
      <c r="O99" s="58">
        <v>0.65</v>
      </c>
      <c r="P99" s="58">
        <v>0.4</v>
      </c>
      <c r="Q99" s="75">
        <f t="shared" si="3"/>
        <v>0.52500000000000002</v>
      </c>
      <c r="R99" s="36">
        <v>12.8</v>
      </c>
      <c r="S99" s="36">
        <v>130</v>
      </c>
      <c r="T99" s="62">
        <f t="shared" si="4"/>
        <v>25</v>
      </c>
      <c r="U99" s="57">
        <v>105</v>
      </c>
      <c r="V99" s="62">
        <f t="shared" si="5"/>
        <v>2625</v>
      </c>
      <c r="W99" s="36">
        <v>2</v>
      </c>
      <c r="X99" s="57" t="s">
        <v>46</v>
      </c>
      <c r="Y99" s="57" t="s">
        <v>55</v>
      </c>
      <c r="Z99" s="57" t="s">
        <v>69</v>
      </c>
      <c r="AA99" s="57" t="s">
        <v>47</v>
      </c>
      <c r="AB99" s="57" t="s">
        <v>158</v>
      </c>
      <c r="AC99" s="88"/>
      <c r="AD99" s="88"/>
      <c r="AE99" s="88"/>
      <c r="AF99" s="88"/>
      <c r="AG99" s="88"/>
      <c r="AH99" s="88"/>
    </row>
    <row r="100" spans="1:34" x14ac:dyDescent="0.15">
      <c r="A100" s="57" t="s">
        <v>41</v>
      </c>
      <c r="B100" s="58" t="s">
        <v>157</v>
      </c>
      <c r="C100" s="59">
        <v>2019</v>
      </c>
      <c r="D100" s="60" t="s">
        <v>185</v>
      </c>
      <c r="E100" s="57" t="s">
        <v>201</v>
      </c>
      <c r="F100" s="36" t="s">
        <v>202</v>
      </c>
      <c r="G100" s="57" t="s">
        <v>42</v>
      </c>
      <c r="H100" s="57" t="s">
        <v>165</v>
      </c>
      <c r="I100" s="57" t="s">
        <v>159</v>
      </c>
      <c r="J100" s="57" t="s">
        <v>38</v>
      </c>
      <c r="K100" s="57" t="s">
        <v>161</v>
      </c>
      <c r="L100" s="36">
        <v>3</v>
      </c>
      <c r="N100" s="57">
        <v>1</v>
      </c>
      <c r="O100" s="58">
        <v>0.7</v>
      </c>
      <c r="P100" s="58">
        <v>0.65</v>
      </c>
      <c r="Q100" s="75">
        <f t="shared" si="3"/>
        <v>0.67500000000000004</v>
      </c>
      <c r="R100" s="36">
        <v>15.1</v>
      </c>
      <c r="S100" s="36">
        <v>135</v>
      </c>
      <c r="T100" s="62">
        <f t="shared" si="4"/>
        <v>25</v>
      </c>
      <c r="U100" s="57">
        <v>105</v>
      </c>
      <c r="V100" s="62">
        <f t="shared" si="5"/>
        <v>2625</v>
      </c>
      <c r="W100" s="36">
        <v>2</v>
      </c>
      <c r="X100" s="57" t="s">
        <v>46</v>
      </c>
      <c r="Y100" s="57" t="s">
        <v>55</v>
      </c>
      <c r="Z100" s="57" t="s">
        <v>69</v>
      </c>
      <c r="AA100" s="57" t="s">
        <v>47</v>
      </c>
      <c r="AB100" s="57" t="s">
        <v>158</v>
      </c>
      <c r="AC100" s="88"/>
      <c r="AD100" s="88"/>
      <c r="AE100" s="88"/>
      <c r="AF100" s="88"/>
      <c r="AG100" s="88"/>
      <c r="AH100" s="88"/>
    </row>
    <row r="101" spans="1:34" x14ac:dyDescent="0.15">
      <c r="A101" s="57" t="s">
        <v>41</v>
      </c>
      <c r="B101" s="58" t="s">
        <v>157</v>
      </c>
      <c r="C101" s="59">
        <v>2019</v>
      </c>
      <c r="D101" s="60" t="s">
        <v>185</v>
      </c>
      <c r="E101" s="57" t="s">
        <v>201</v>
      </c>
      <c r="F101" s="36" t="s">
        <v>202</v>
      </c>
      <c r="G101" s="57" t="s">
        <v>42</v>
      </c>
      <c r="H101" s="57" t="s">
        <v>165</v>
      </c>
      <c r="I101" s="57" t="s">
        <v>159</v>
      </c>
      <c r="J101" s="57" t="s">
        <v>38</v>
      </c>
      <c r="K101" s="57" t="s">
        <v>161</v>
      </c>
      <c r="L101" s="57">
        <v>1</v>
      </c>
      <c r="M101" s="57"/>
      <c r="N101" s="57">
        <v>5</v>
      </c>
      <c r="O101" s="58">
        <v>0.65</v>
      </c>
      <c r="P101" s="58">
        <v>0.6</v>
      </c>
      <c r="Q101" s="75">
        <f t="shared" si="3"/>
        <v>0.625</v>
      </c>
      <c r="R101" s="36">
        <v>14</v>
      </c>
      <c r="S101" s="36">
        <v>124</v>
      </c>
      <c r="T101" s="62">
        <f t="shared" si="4"/>
        <v>27</v>
      </c>
      <c r="U101" s="57">
        <v>378</v>
      </c>
      <c r="V101" s="62">
        <f t="shared" si="5"/>
        <v>2041.1999999999998</v>
      </c>
      <c r="W101" s="57">
        <v>2</v>
      </c>
      <c r="X101" s="57" t="s">
        <v>46</v>
      </c>
      <c r="Y101" s="57" t="s">
        <v>55</v>
      </c>
      <c r="Z101" s="57" t="s">
        <v>69</v>
      </c>
      <c r="AA101" s="57" t="s">
        <v>47</v>
      </c>
      <c r="AB101" s="57" t="s">
        <v>158</v>
      </c>
      <c r="AC101" s="88"/>
      <c r="AD101" s="88"/>
      <c r="AE101" s="88"/>
      <c r="AF101" s="88"/>
      <c r="AG101" s="88"/>
      <c r="AH101" s="88"/>
    </row>
    <row r="102" spans="1:34" x14ac:dyDescent="0.15">
      <c r="A102" s="57" t="s">
        <v>41</v>
      </c>
      <c r="B102" s="58" t="s">
        <v>157</v>
      </c>
      <c r="C102" s="59">
        <v>2019</v>
      </c>
      <c r="D102" s="60" t="s">
        <v>185</v>
      </c>
      <c r="E102" s="57" t="s">
        <v>201</v>
      </c>
      <c r="F102" s="36" t="s">
        <v>202</v>
      </c>
      <c r="G102" s="57" t="s">
        <v>42</v>
      </c>
      <c r="H102" s="57" t="s">
        <v>165</v>
      </c>
      <c r="I102" s="57" t="s">
        <v>159</v>
      </c>
      <c r="J102" s="57" t="s">
        <v>38</v>
      </c>
      <c r="K102" s="57" t="s">
        <v>161</v>
      </c>
      <c r="L102" s="36">
        <v>2</v>
      </c>
      <c r="N102" s="57">
        <v>5</v>
      </c>
      <c r="O102" s="58">
        <v>0.8</v>
      </c>
      <c r="P102" s="58">
        <v>0.55000000000000004</v>
      </c>
      <c r="Q102" s="75">
        <f t="shared" si="3"/>
        <v>0.67500000000000004</v>
      </c>
      <c r="R102" s="36">
        <v>14.2</v>
      </c>
      <c r="S102" s="36">
        <v>122</v>
      </c>
      <c r="T102" s="62">
        <f t="shared" si="4"/>
        <v>27</v>
      </c>
      <c r="U102" s="57">
        <v>378</v>
      </c>
      <c r="V102" s="62">
        <f t="shared" si="5"/>
        <v>2041.1999999999998</v>
      </c>
      <c r="W102" s="57">
        <v>2</v>
      </c>
      <c r="X102" s="57" t="s">
        <v>46</v>
      </c>
      <c r="Y102" s="57" t="s">
        <v>55</v>
      </c>
      <c r="Z102" s="57" t="s">
        <v>69</v>
      </c>
      <c r="AA102" s="57" t="s">
        <v>47</v>
      </c>
      <c r="AB102" s="57" t="s">
        <v>158</v>
      </c>
      <c r="AC102" s="88"/>
      <c r="AD102" s="88"/>
      <c r="AE102" s="88"/>
      <c r="AF102" s="88"/>
      <c r="AG102" s="88"/>
      <c r="AH102" s="88"/>
    </row>
    <row r="103" spans="1:34" x14ac:dyDescent="0.15">
      <c r="A103" s="57" t="s">
        <v>41</v>
      </c>
      <c r="B103" s="58" t="s">
        <v>157</v>
      </c>
      <c r="C103" s="59">
        <v>2019</v>
      </c>
      <c r="D103" s="60" t="s">
        <v>185</v>
      </c>
      <c r="E103" s="57" t="s">
        <v>201</v>
      </c>
      <c r="F103" s="36" t="s">
        <v>202</v>
      </c>
      <c r="G103" s="57" t="s">
        <v>42</v>
      </c>
      <c r="H103" s="57" t="s">
        <v>165</v>
      </c>
      <c r="I103" s="57" t="s">
        <v>159</v>
      </c>
      <c r="J103" s="57" t="s">
        <v>38</v>
      </c>
      <c r="K103" s="57" t="s">
        <v>161</v>
      </c>
      <c r="L103" s="36">
        <v>3</v>
      </c>
      <c r="N103" s="57">
        <v>5</v>
      </c>
      <c r="O103" s="58">
        <v>0.5</v>
      </c>
      <c r="P103" s="58">
        <v>0.45</v>
      </c>
      <c r="Q103" s="75">
        <f t="shared" si="3"/>
        <v>0.47499999999999998</v>
      </c>
      <c r="R103" s="36">
        <v>13.5</v>
      </c>
      <c r="S103" s="36">
        <v>123</v>
      </c>
      <c r="T103" s="62">
        <f t="shared" si="4"/>
        <v>27</v>
      </c>
      <c r="U103" s="57">
        <v>378</v>
      </c>
      <c r="V103" s="62">
        <f t="shared" si="5"/>
        <v>2041.1999999999998</v>
      </c>
      <c r="W103" s="36">
        <v>2</v>
      </c>
      <c r="X103" s="57" t="s">
        <v>46</v>
      </c>
      <c r="Y103" s="57" t="s">
        <v>55</v>
      </c>
      <c r="Z103" s="57" t="s">
        <v>69</v>
      </c>
      <c r="AA103" s="57" t="s">
        <v>47</v>
      </c>
      <c r="AB103" s="57" t="s">
        <v>158</v>
      </c>
      <c r="AC103" s="88"/>
      <c r="AD103" s="88"/>
      <c r="AE103" s="88"/>
      <c r="AF103" s="88"/>
      <c r="AG103" s="88"/>
      <c r="AH103" s="88"/>
    </row>
    <row r="104" spans="1:34" x14ac:dyDescent="0.15">
      <c r="A104" s="57" t="s">
        <v>41</v>
      </c>
      <c r="B104" s="58" t="s">
        <v>157</v>
      </c>
      <c r="C104" s="59">
        <v>2019</v>
      </c>
      <c r="D104" s="60" t="s">
        <v>185</v>
      </c>
      <c r="E104" s="57" t="s">
        <v>201</v>
      </c>
      <c r="F104" s="36" t="s">
        <v>202</v>
      </c>
      <c r="G104" s="57" t="s">
        <v>42</v>
      </c>
      <c r="H104" s="57" t="s">
        <v>160</v>
      </c>
      <c r="I104" s="57" t="s">
        <v>159</v>
      </c>
      <c r="J104" s="57" t="s">
        <v>38</v>
      </c>
      <c r="K104" s="57" t="s">
        <v>161</v>
      </c>
      <c r="L104" s="57">
        <v>1</v>
      </c>
      <c r="M104" s="57"/>
      <c r="N104" s="57">
        <v>1</v>
      </c>
      <c r="O104" s="58">
        <v>0.25</v>
      </c>
      <c r="P104" s="58">
        <v>0.2</v>
      </c>
      <c r="Q104" s="75">
        <f t="shared" si="3"/>
        <v>0.22500000000000001</v>
      </c>
      <c r="R104" s="36">
        <v>16.399999999999999</v>
      </c>
      <c r="S104" s="36">
        <v>125</v>
      </c>
      <c r="T104" s="62">
        <f t="shared" si="4"/>
        <v>27</v>
      </c>
      <c r="U104" s="57">
        <v>105</v>
      </c>
      <c r="V104" s="62">
        <f t="shared" si="5"/>
        <v>2835</v>
      </c>
      <c r="W104" s="57">
        <v>3</v>
      </c>
      <c r="X104" s="57" t="s">
        <v>46</v>
      </c>
      <c r="Y104" s="57" t="s">
        <v>55</v>
      </c>
      <c r="Z104" s="57" t="s">
        <v>69</v>
      </c>
      <c r="AA104" s="57" t="s">
        <v>47</v>
      </c>
      <c r="AB104" s="57" t="s">
        <v>158</v>
      </c>
      <c r="AC104" s="88"/>
      <c r="AD104" s="88"/>
      <c r="AE104" s="88"/>
      <c r="AF104" s="88"/>
      <c r="AG104" s="88"/>
      <c r="AH104" s="88"/>
    </row>
    <row r="105" spans="1:34" x14ac:dyDescent="0.15">
      <c r="A105" s="57" t="s">
        <v>41</v>
      </c>
      <c r="B105" s="58" t="s">
        <v>157</v>
      </c>
      <c r="C105" s="59">
        <v>2019</v>
      </c>
      <c r="D105" s="60" t="s">
        <v>185</v>
      </c>
      <c r="E105" s="57" t="s">
        <v>201</v>
      </c>
      <c r="F105" s="36" t="s">
        <v>202</v>
      </c>
      <c r="G105" s="57" t="s">
        <v>42</v>
      </c>
      <c r="H105" s="57" t="s">
        <v>160</v>
      </c>
      <c r="I105" s="57" t="s">
        <v>159</v>
      </c>
      <c r="J105" s="57" t="s">
        <v>38</v>
      </c>
      <c r="K105" s="57" t="s">
        <v>161</v>
      </c>
      <c r="L105" s="36">
        <v>2</v>
      </c>
      <c r="N105" s="57">
        <v>1</v>
      </c>
      <c r="O105" s="58">
        <v>0.35</v>
      </c>
      <c r="P105" s="58">
        <v>0.35</v>
      </c>
      <c r="Q105" s="75">
        <f t="shared" si="3"/>
        <v>0.35</v>
      </c>
      <c r="R105" s="36">
        <v>15.8</v>
      </c>
      <c r="S105" s="36">
        <v>126</v>
      </c>
      <c r="T105" s="62">
        <f t="shared" si="4"/>
        <v>27</v>
      </c>
      <c r="U105" s="57">
        <v>105</v>
      </c>
      <c r="V105" s="62">
        <f t="shared" si="5"/>
        <v>2835</v>
      </c>
      <c r="W105" s="36">
        <v>3</v>
      </c>
      <c r="X105" s="57" t="s">
        <v>46</v>
      </c>
      <c r="Y105" s="57" t="s">
        <v>55</v>
      </c>
      <c r="Z105" s="57" t="s">
        <v>69</v>
      </c>
      <c r="AA105" s="57" t="s">
        <v>47</v>
      </c>
      <c r="AB105" s="57" t="s">
        <v>158</v>
      </c>
      <c r="AC105" s="88"/>
      <c r="AD105" s="88"/>
      <c r="AE105" s="88"/>
      <c r="AF105" s="88"/>
      <c r="AG105" s="88"/>
      <c r="AH105" s="88"/>
    </row>
    <row r="106" spans="1:34" x14ac:dyDescent="0.15">
      <c r="A106" s="57" t="s">
        <v>41</v>
      </c>
      <c r="B106" s="58" t="s">
        <v>157</v>
      </c>
      <c r="C106" s="59">
        <v>2019</v>
      </c>
      <c r="D106" s="60" t="s">
        <v>185</v>
      </c>
      <c r="E106" s="57" t="s">
        <v>201</v>
      </c>
      <c r="F106" s="36" t="s">
        <v>202</v>
      </c>
      <c r="G106" s="57" t="s">
        <v>42</v>
      </c>
      <c r="H106" s="57" t="s">
        <v>160</v>
      </c>
      <c r="I106" s="57" t="s">
        <v>159</v>
      </c>
      <c r="J106" s="57" t="s">
        <v>38</v>
      </c>
      <c r="K106" s="57" t="s">
        <v>161</v>
      </c>
      <c r="L106" s="36">
        <v>3</v>
      </c>
      <c r="N106" s="57">
        <v>1</v>
      </c>
      <c r="O106" s="58">
        <v>0.25</v>
      </c>
      <c r="P106" s="58">
        <v>0.25</v>
      </c>
      <c r="Q106" s="90">
        <f t="shared" si="3"/>
        <v>0.25</v>
      </c>
      <c r="R106" s="36">
        <v>17.399999999999999</v>
      </c>
      <c r="S106" s="36">
        <v>124</v>
      </c>
      <c r="T106" s="91">
        <f t="shared" si="4"/>
        <v>27</v>
      </c>
      <c r="U106" s="57">
        <v>105</v>
      </c>
      <c r="V106" s="62">
        <f t="shared" si="5"/>
        <v>2835</v>
      </c>
      <c r="W106" s="36">
        <v>3</v>
      </c>
      <c r="X106" s="57" t="s">
        <v>46</v>
      </c>
      <c r="Y106" s="57" t="s">
        <v>55</v>
      </c>
      <c r="Z106" s="57" t="s">
        <v>69</v>
      </c>
      <c r="AA106" s="57" t="s">
        <v>47</v>
      </c>
      <c r="AB106" s="57" t="s">
        <v>158</v>
      </c>
      <c r="AC106" s="88"/>
      <c r="AD106" s="88"/>
      <c r="AE106" s="88"/>
      <c r="AF106" s="88"/>
      <c r="AG106" s="88"/>
      <c r="AH106" s="88"/>
    </row>
    <row r="107" spans="1:34" x14ac:dyDescent="0.15">
      <c r="A107" s="57" t="s">
        <v>41</v>
      </c>
      <c r="B107" s="58" t="s">
        <v>157</v>
      </c>
      <c r="C107" s="59">
        <v>2019</v>
      </c>
      <c r="D107" s="60" t="s">
        <v>185</v>
      </c>
      <c r="E107" s="57" t="s">
        <v>201</v>
      </c>
      <c r="F107" s="36" t="s">
        <v>202</v>
      </c>
      <c r="G107" s="57" t="s">
        <v>42</v>
      </c>
      <c r="H107" s="57" t="s">
        <v>160</v>
      </c>
      <c r="I107" s="57" t="s">
        <v>159</v>
      </c>
      <c r="J107" s="57" t="s">
        <v>38</v>
      </c>
      <c r="K107" s="57" t="s">
        <v>161</v>
      </c>
      <c r="L107" s="57">
        <v>1</v>
      </c>
      <c r="M107" s="57"/>
      <c r="N107" s="57">
        <v>4</v>
      </c>
      <c r="O107" s="58">
        <v>0.3</v>
      </c>
      <c r="P107" s="58">
        <v>0.3</v>
      </c>
      <c r="Q107" s="90">
        <f t="shared" si="3"/>
        <v>0.3</v>
      </c>
      <c r="R107" s="36">
        <v>15.1</v>
      </c>
      <c r="S107" s="36">
        <v>120</v>
      </c>
      <c r="T107" s="91">
        <f t="shared" si="4"/>
        <v>30</v>
      </c>
      <c r="U107" s="57">
        <v>410</v>
      </c>
      <c r="V107" s="62">
        <f t="shared" si="5"/>
        <v>3075</v>
      </c>
      <c r="W107" s="57">
        <v>2</v>
      </c>
      <c r="X107" s="57" t="s">
        <v>46</v>
      </c>
      <c r="Y107" s="57" t="s">
        <v>55</v>
      </c>
      <c r="Z107" s="57" t="s">
        <v>69</v>
      </c>
      <c r="AA107" s="57" t="s">
        <v>47</v>
      </c>
      <c r="AB107" s="57" t="s">
        <v>158</v>
      </c>
      <c r="AC107" s="88"/>
      <c r="AD107" s="88"/>
      <c r="AE107" s="88"/>
      <c r="AF107" s="88"/>
      <c r="AG107" s="88"/>
      <c r="AH107" s="88"/>
    </row>
    <row r="108" spans="1:34" x14ac:dyDescent="0.15">
      <c r="A108" s="57" t="s">
        <v>41</v>
      </c>
      <c r="B108" s="58" t="s">
        <v>157</v>
      </c>
      <c r="C108" s="59">
        <v>2019</v>
      </c>
      <c r="D108" s="60" t="s">
        <v>185</v>
      </c>
      <c r="E108" s="57" t="s">
        <v>201</v>
      </c>
      <c r="F108" s="36" t="s">
        <v>202</v>
      </c>
      <c r="G108" s="57" t="s">
        <v>42</v>
      </c>
      <c r="H108" s="57" t="s">
        <v>160</v>
      </c>
      <c r="I108" s="57" t="s">
        <v>159</v>
      </c>
      <c r="J108" s="57" t="s">
        <v>38</v>
      </c>
      <c r="K108" s="57" t="s">
        <v>161</v>
      </c>
      <c r="L108" s="36">
        <v>2</v>
      </c>
      <c r="N108" s="57">
        <v>4</v>
      </c>
      <c r="O108" s="58">
        <v>0.45</v>
      </c>
      <c r="P108" s="58">
        <v>0.35</v>
      </c>
      <c r="Q108" s="90">
        <f t="shared" si="3"/>
        <v>0.4</v>
      </c>
      <c r="R108" s="36">
        <v>15.2</v>
      </c>
      <c r="S108" s="36">
        <v>120</v>
      </c>
      <c r="T108" s="91">
        <f t="shared" si="4"/>
        <v>30</v>
      </c>
      <c r="U108" s="57">
        <v>410</v>
      </c>
      <c r="V108" s="62">
        <f t="shared" si="5"/>
        <v>3075</v>
      </c>
      <c r="W108" s="36">
        <v>2</v>
      </c>
      <c r="X108" s="57" t="s">
        <v>46</v>
      </c>
      <c r="Y108" s="57" t="s">
        <v>55</v>
      </c>
      <c r="Z108" s="57" t="s">
        <v>69</v>
      </c>
      <c r="AA108" s="57" t="s">
        <v>47</v>
      </c>
      <c r="AB108" s="57" t="s">
        <v>158</v>
      </c>
      <c r="AC108" s="88"/>
      <c r="AD108" s="88"/>
      <c r="AE108" s="88"/>
      <c r="AF108" s="88"/>
      <c r="AG108" s="88"/>
      <c r="AH108" s="88"/>
    </row>
    <row r="109" spans="1:34" x14ac:dyDescent="0.15">
      <c r="A109" s="57" t="s">
        <v>41</v>
      </c>
      <c r="B109" s="58" t="s">
        <v>157</v>
      </c>
      <c r="C109" s="59">
        <v>2019</v>
      </c>
      <c r="D109" s="60" t="s">
        <v>185</v>
      </c>
      <c r="E109" s="57" t="s">
        <v>201</v>
      </c>
      <c r="F109" s="36" t="s">
        <v>202</v>
      </c>
      <c r="G109" s="57" t="s">
        <v>42</v>
      </c>
      <c r="H109" s="57" t="s">
        <v>160</v>
      </c>
      <c r="I109" s="57" t="s">
        <v>159</v>
      </c>
      <c r="J109" s="57" t="s">
        <v>38</v>
      </c>
      <c r="K109" s="57" t="s">
        <v>161</v>
      </c>
      <c r="L109" s="36">
        <v>3</v>
      </c>
      <c r="N109" s="57">
        <v>4</v>
      </c>
      <c r="O109" s="58">
        <v>0.25</v>
      </c>
      <c r="P109" s="58">
        <v>0.25</v>
      </c>
      <c r="Q109" s="90">
        <f t="shared" si="3"/>
        <v>0.25</v>
      </c>
      <c r="R109" s="36">
        <v>13.8</v>
      </c>
      <c r="S109" s="36">
        <v>118</v>
      </c>
      <c r="T109" s="91">
        <f t="shared" si="4"/>
        <v>30</v>
      </c>
      <c r="U109" s="57">
        <v>410</v>
      </c>
      <c r="V109" s="91">
        <f t="shared" si="5"/>
        <v>3075</v>
      </c>
      <c r="W109" s="36">
        <v>2</v>
      </c>
      <c r="X109" s="57" t="s">
        <v>46</v>
      </c>
      <c r="Y109" s="57" t="s">
        <v>55</v>
      </c>
      <c r="Z109" s="57" t="s">
        <v>69</v>
      </c>
      <c r="AA109" s="57" t="s">
        <v>47</v>
      </c>
      <c r="AB109" s="57" t="s">
        <v>158</v>
      </c>
      <c r="AC109" s="88"/>
      <c r="AD109" s="88"/>
      <c r="AE109" s="88"/>
      <c r="AF109" s="88"/>
      <c r="AG109" s="88"/>
      <c r="AH109" s="88"/>
    </row>
    <row r="110" spans="1:34" s="57" customFormat="1" x14ac:dyDescent="0.15">
      <c r="A110" s="57" t="s">
        <v>41</v>
      </c>
      <c r="B110" s="58" t="s">
        <v>157</v>
      </c>
      <c r="C110" s="59">
        <v>2019</v>
      </c>
      <c r="D110" s="60" t="s">
        <v>185</v>
      </c>
      <c r="E110" s="57" t="s">
        <v>201</v>
      </c>
      <c r="F110" s="36" t="s">
        <v>202</v>
      </c>
      <c r="G110" s="57" t="s">
        <v>42</v>
      </c>
      <c r="H110" s="57" t="s">
        <v>160</v>
      </c>
      <c r="I110" s="57" t="s">
        <v>159</v>
      </c>
      <c r="J110" s="57" t="s">
        <v>38</v>
      </c>
      <c r="K110" s="57" t="s">
        <v>161</v>
      </c>
      <c r="L110" s="57">
        <v>1</v>
      </c>
      <c r="N110" s="57">
        <v>3</v>
      </c>
      <c r="O110" s="57">
        <v>0.6</v>
      </c>
      <c r="P110" s="57">
        <v>0.75</v>
      </c>
      <c r="Q110" s="90">
        <f t="shared" si="3"/>
        <v>0.67500000000000004</v>
      </c>
      <c r="R110" s="57">
        <v>16</v>
      </c>
      <c r="S110" s="57">
        <v>157</v>
      </c>
      <c r="T110" s="91">
        <f t="shared" si="4"/>
        <v>22</v>
      </c>
      <c r="U110" s="57">
        <v>429</v>
      </c>
      <c r="V110" s="91">
        <f t="shared" si="5"/>
        <v>3146</v>
      </c>
      <c r="W110" s="57">
        <v>2</v>
      </c>
      <c r="X110" s="57" t="s">
        <v>46</v>
      </c>
      <c r="Y110" s="57" t="s">
        <v>55</v>
      </c>
      <c r="Z110" s="57" t="s">
        <v>69</v>
      </c>
      <c r="AA110" s="57" t="s">
        <v>47</v>
      </c>
      <c r="AB110" s="57" t="s">
        <v>158</v>
      </c>
      <c r="AC110" s="92"/>
      <c r="AD110" s="92"/>
      <c r="AE110" s="92"/>
      <c r="AF110" s="92"/>
      <c r="AG110" s="92"/>
      <c r="AH110" s="92"/>
    </row>
    <row r="111" spans="1:34" s="57" customFormat="1" x14ac:dyDescent="0.15">
      <c r="A111" s="57" t="s">
        <v>41</v>
      </c>
      <c r="B111" s="58" t="s">
        <v>157</v>
      </c>
      <c r="C111" s="59">
        <v>2019</v>
      </c>
      <c r="D111" s="60" t="s">
        <v>185</v>
      </c>
      <c r="E111" s="57" t="s">
        <v>201</v>
      </c>
      <c r="F111" s="36" t="s">
        <v>202</v>
      </c>
      <c r="G111" s="57" t="s">
        <v>42</v>
      </c>
      <c r="H111" s="57" t="s">
        <v>160</v>
      </c>
      <c r="I111" s="57" t="s">
        <v>159</v>
      </c>
      <c r="J111" s="57" t="s">
        <v>38</v>
      </c>
      <c r="K111" s="57" t="s">
        <v>161</v>
      </c>
      <c r="L111" s="57">
        <v>2</v>
      </c>
      <c r="N111" s="57">
        <v>3</v>
      </c>
      <c r="O111" s="57">
        <v>0.75</v>
      </c>
      <c r="P111" s="57">
        <v>0.6</v>
      </c>
      <c r="Q111" s="90">
        <f t="shared" si="3"/>
        <v>0.67500000000000004</v>
      </c>
      <c r="R111" s="57">
        <v>12.5</v>
      </c>
      <c r="S111" s="57">
        <v>160</v>
      </c>
      <c r="T111" s="91">
        <f t="shared" si="4"/>
        <v>22</v>
      </c>
      <c r="U111" s="57">
        <v>429</v>
      </c>
      <c r="V111" s="91">
        <f t="shared" si="5"/>
        <v>3146</v>
      </c>
      <c r="W111" s="57">
        <v>2</v>
      </c>
      <c r="X111" s="57" t="s">
        <v>46</v>
      </c>
      <c r="Y111" s="57" t="s">
        <v>55</v>
      </c>
      <c r="Z111" s="57" t="s">
        <v>69</v>
      </c>
      <c r="AA111" s="57" t="s">
        <v>47</v>
      </c>
      <c r="AB111" s="57" t="s">
        <v>158</v>
      </c>
      <c r="AC111" s="92"/>
      <c r="AD111" s="92"/>
      <c r="AE111" s="92"/>
      <c r="AF111" s="92"/>
      <c r="AG111" s="92"/>
      <c r="AH111" s="92"/>
    </row>
    <row r="112" spans="1:34" s="57" customFormat="1" x14ac:dyDescent="0.15">
      <c r="A112" s="57" t="s">
        <v>41</v>
      </c>
      <c r="B112" s="58" t="s">
        <v>157</v>
      </c>
      <c r="C112" s="59">
        <v>2019</v>
      </c>
      <c r="D112" s="60" t="s">
        <v>185</v>
      </c>
      <c r="E112" s="57" t="s">
        <v>201</v>
      </c>
      <c r="F112" s="36" t="s">
        <v>202</v>
      </c>
      <c r="G112" s="57" t="s">
        <v>42</v>
      </c>
      <c r="H112" s="57" t="s">
        <v>160</v>
      </c>
      <c r="I112" s="57" t="s">
        <v>159</v>
      </c>
      <c r="J112" s="57" t="s">
        <v>38</v>
      </c>
      <c r="K112" s="57" t="s">
        <v>161</v>
      </c>
      <c r="L112" s="57">
        <v>3</v>
      </c>
      <c r="N112" s="57">
        <v>3</v>
      </c>
      <c r="O112" s="57">
        <v>0.6</v>
      </c>
      <c r="P112" s="57">
        <v>0.55000000000000004</v>
      </c>
      <c r="Q112" s="90">
        <f t="shared" si="3"/>
        <v>0.57499999999999996</v>
      </c>
      <c r="R112" s="57">
        <v>11.8</v>
      </c>
      <c r="S112" s="57">
        <v>155</v>
      </c>
      <c r="T112" s="91">
        <f t="shared" si="4"/>
        <v>22</v>
      </c>
      <c r="U112" s="57">
        <v>429</v>
      </c>
      <c r="V112" s="91">
        <f t="shared" si="5"/>
        <v>3146</v>
      </c>
      <c r="W112" s="57">
        <v>2</v>
      </c>
      <c r="X112" s="57" t="s">
        <v>46</v>
      </c>
      <c r="Y112" s="57" t="s">
        <v>55</v>
      </c>
      <c r="Z112" s="57" t="s">
        <v>69</v>
      </c>
      <c r="AA112" s="57" t="s">
        <v>47</v>
      </c>
      <c r="AB112" s="57" t="s">
        <v>158</v>
      </c>
      <c r="AC112" s="92"/>
      <c r="AD112" s="92"/>
      <c r="AE112" s="92"/>
      <c r="AF112" s="92"/>
      <c r="AG112" s="92"/>
      <c r="AH112" s="92"/>
    </row>
    <row r="113" spans="1:34" s="57" customFormat="1" x14ac:dyDescent="0.15">
      <c r="A113" s="57" t="s">
        <v>41</v>
      </c>
      <c r="B113" s="58" t="s">
        <v>157</v>
      </c>
      <c r="C113" s="59">
        <v>2019</v>
      </c>
      <c r="D113" s="60" t="s">
        <v>185</v>
      </c>
      <c r="E113" s="57" t="s">
        <v>201</v>
      </c>
      <c r="F113" s="36" t="s">
        <v>202</v>
      </c>
      <c r="G113" s="57" t="s">
        <v>42</v>
      </c>
      <c r="H113" s="57" t="s">
        <v>160</v>
      </c>
      <c r="I113" s="57" t="s">
        <v>159</v>
      </c>
      <c r="J113" s="57" t="s">
        <v>38</v>
      </c>
      <c r="K113" s="57" t="s">
        <v>161</v>
      </c>
      <c r="L113" s="57">
        <v>1</v>
      </c>
      <c r="N113" s="57">
        <v>6</v>
      </c>
      <c r="O113" s="57">
        <v>0.25</v>
      </c>
      <c r="P113" s="57">
        <v>0.3</v>
      </c>
      <c r="Q113" s="90">
        <f t="shared" si="3"/>
        <v>0.27500000000000002</v>
      </c>
      <c r="R113" s="57">
        <v>12.7</v>
      </c>
      <c r="S113" s="57">
        <v>123</v>
      </c>
      <c r="T113" s="91">
        <f t="shared" si="4"/>
        <v>27</v>
      </c>
      <c r="U113" s="57">
        <v>842</v>
      </c>
      <c r="V113" s="91">
        <f t="shared" si="5"/>
        <v>3789.0000000000005</v>
      </c>
      <c r="W113" s="57">
        <v>1</v>
      </c>
      <c r="X113" s="57" t="s">
        <v>46</v>
      </c>
      <c r="Y113" s="57" t="s">
        <v>55</v>
      </c>
      <c r="Z113" s="57" t="s">
        <v>69</v>
      </c>
      <c r="AA113" s="57" t="s">
        <v>47</v>
      </c>
      <c r="AB113" s="57" t="s">
        <v>158</v>
      </c>
      <c r="AC113" s="92"/>
      <c r="AD113" s="92"/>
      <c r="AE113" s="92"/>
      <c r="AF113" s="92"/>
      <c r="AG113" s="92"/>
      <c r="AH113" s="92"/>
    </row>
    <row r="114" spans="1:34" s="57" customFormat="1" x14ac:dyDescent="0.15">
      <c r="A114" s="57" t="s">
        <v>41</v>
      </c>
      <c r="B114" s="58" t="s">
        <v>157</v>
      </c>
      <c r="C114" s="59">
        <v>2019</v>
      </c>
      <c r="D114" s="60" t="s">
        <v>185</v>
      </c>
      <c r="E114" s="57" t="s">
        <v>201</v>
      </c>
      <c r="F114" s="36" t="s">
        <v>202</v>
      </c>
      <c r="G114" s="57" t="s">
        <v>42</v>
      </c>
      <c r="H114" s="57" t="s">
        <v>160</v>
      </c>
      <c r="I114" s="57" t="s">
        <v>159</v>
      </c>
      <c r="J114" s="57" t="s">
        <v>38</v>
      </c>
      <c r="K114" s="57" t="s">
        <v>161</v>
      </c>
      <c r="L114" s="57">
        <v>2</v>
      </c>
      <c r="N114" s="57">
        <v>6</v>
      </c>
      <c r="O114" s="57">
        <v>0.35</v>
      </c>
      <c r="P114" s="57">
        <v>0.3</v>
      </c>
      <c r="Q114" s="90">
        <f t="shared" si="3"/>
        <v>0.32499999999999996</v>
      </c>
      <c r="R114" s="57">
        <v>14.4</v>
      </c>
      <c r="S114" s="57">
        <v>124</v>
      </c>
      <c r="T114" s="91">
        <f t="shared" si="4"/>
        <v>27</v>
      </c>
      <c r="U114" s="57">
        <v>842</v>
      </c>
      <c r="V114" s="91">
        <f t="shared" si="5"/>
        <v>3789.0000000000005</v>
      </c>
      <c r="W114" s="57">
        <v>1</v>
      </c>
      <c r="X114" s="57" t="s">
        <v>46</v>
      </c>
      <c r="Y114" s="57" t="s">
        <v>55</v>
      </c>
      <c r="Z114" s="57" t="s">
        <v>69</v>
      </c>
      <c r="AA114" s="57" t="s">
        <v>47</v>
      </c>
      <c r="AB114" s="57" t="s">
        <v>158</v>
      </c>
      <c r="AC114" s="92"/>
      <c r="AD114" s="92"/>
      <c r="AE114" s="92"/>
      <c r="AF114" s="92"/>
      <c r="AG114" s="92"/>
      <c r="AH114" s="92"/>
    </row>
    <row r="115" spans="1:34" s="57" customFormat="1" x14ac:dyDescent="0.15">
      <c r="A115" s="57" t="s">
        <v>41</v>
      </c>
      <c r="B115" s="58" t="s">
        <v>157</v>
      </c>
      <c r="C115" s="59">
        <v>2019</v>
      </c>
      <c r="D115" s="60" t="s">
        <v>185</v>
      </c>
      <c r="E115" s="57" t="s">
        <v>201</v>
      </c>
      <c r="F115" s="36" t="s">
        <v>202</v>
      </c>
      <c r="G115" s="57" t="s">
        <v>42</v>
      </c>
      <c r="H115" s="57" t="s">
        <v>160</v>
      </c>
      <c r="I115" s="57" t="s">
        <v>159</v>
      </c>
      <c r="J115" s="57" t="s">
        <v>38</v>
      </c>
      <c r="K115" s="57" t="s">
        <v>161</v>
      </c>
      <c r="L115" s="57">
        <v>3</v>
      </c>
      <c r="N115" s="57">
        <v>6</v>
      </c>
      <c r="O115" s="57">
        <v>0.3</v>
      </c>
      <c r="P115" s="57">
        <v>0.35</v>
      </c>
      <c r="Q115" s="90">
        <f t="shared" si="3"/>
        <v>0.32499999999999996</v>
      </c>
      <c r="R115" s="57">
        <v>13.3</v>
      </c>
      <c r="S115" s="57">
        <v>122</v>
      </c>
      <c r="T115" s="91">
        <f t="shared" si="4"/>
        <v>27</v>
      </c>
      <c r="U115" s="57">
        <v>842</v>
      </c>
      <c r="V115" s="91">
        <f t="shared" si="5"/>
        <v>3789.0000000000005</v>
      </c>
      <c r="W115" s="57">
        <v>1</v>
      </c>
      <c r="X115" s="57" t="s">
        <v>46</v>
      </c>
      <c r="Y115" s="57" t="s">
        <v>55</v>
      </c>
      <c r="Z115" s="57" t="s">
        <v>69</v>
      </c>
      <c r="AA115" s="57" t="s">
        <v>47</v>
      </c>
      <c r="AB115" s="57" t="s">
        <v>158</v>
      </c>
      <c r="AC115" s="92"/>
      <c r="AD115" s="92"/>
      <c r="AE115" s="92"/>
      <c r="AF115" s="92"/>
      <c r="AG115" s="92"/>
      <c r="AH115" s="92"/>
    </row>
    <row r="116" spans="1:34" x14ac:dyDescent="0.15">
      <c r="A116" s="57" t="s">
        <v>41</v>
      </c>
      <c r="B116" s="58" t="s">
        <v>157</v>
      </c>
      <c r="C116" s="59">
        <v>2019</v>
      </c>
      <c r="D116" s="60" t="s">
        <v>185</v>
      </c>
      <c r="E116" s="57" t="s">
        <v>201</v>
      </c>
      <c r="F116" s="36" t="s">
        <v>208</v>
      </c>
      <c r="G116" s="57" t="s">
        <v>42</v>
      </c>
      <c r="H116" s="57" t="s">
        <v>165</v>
      </c>
      <c r="I116" s="57" t="s">
        <v>159</v>
      </c>
      <c r="J116" s="57" t="s">
        <v>38</v>
      </c>
      <c r="K116" s="57" t="s">
        <v>161</v>
      </c>
      <c r="L116" s="57">
        <v>1</v>
      </c>
      <c r="M116" s="57"/>
      <c r="N116" s="57">
        <v>1</v>
      </c>
      <c r="O116" s="58">
        <v>0.65</v>
      </c>
      <c r="P116" s="58">
        <v>0.3</v>
      </c>
      <c r="Q116" s="75">
        <f t="shared" si="3"/>
        <v>0.47499999999999998</v>
      </c>
      <c r="R116" s="36">
        <v>15.2</v>
      </c>
      <c r="S116" s="36">
        <v>130</v>
      </c>
      <c r="T116" s="62">
        <f t="shared" si="4"/>
        <v>25</v>
      </c>
      <c r="U116" s="57">
        <v>105</v>
      </c>
      <c r="V116" s="62">
        <f t="shared" si="5"/>
        <v>2625</v>
      </c>
      <c r="W116" s="57">
        <v>4</v>
      </c>
      <c r="X116" s="57" t="s">
        <v>46</v>
      </c>
      <c r="Y116" s="57" t="s">
        <v>55</v>
      </c>
      <c r="Z116" s="57" t="s">
        <v>69</v>
      </c>
      <c r="AA116" s="57" t="s">
        <v>47</v>
      </c>
      <c r="AB116" s="57" t="s">
        <v>158</v>
      </c>
      <c r="AC116" s="88"/>
      <c r="AD116" s="88"/>
      <c r="AE116" s="88"/>
      <c r="AF116" s="88"/>
      <c r="AG116" s="88"/>
      <c r="AH116" s="88"/>
    </row>
    <row r="117" spans="1:34" x14ac:dyDescent="0.15">
      <c r="A117" s="57" t="s">
        <v>41</v>
      </c>
      <c r="B117" s="58" t="s">
        <v>157</v>
      </c>
      <c r="C117" s="59">
        <v>2019</v>
      </c>
      <c r="D117" s="60" t="s">
        <v>185</v>
      </c>
      <c r="E117" s="57" t="s">
        <v>201</v>
      </c>
      <c r="F117" s="36" t="s">
        <v>208</v>
      </c>
      <c r="G117" s="57" t="s">
        <v>42</v>
      </c>
      <c r="H117" s="57" t="s">
        <v>165</v>
      </c>
      <c r="I117" s="57" t="s">
        <v>159</v>
      </c>
      <c r="J117" s="57" t="s">
        <v>38</v>
      </c>
      <c r="K117" s="57" t="s">
        <v>161</v>
      </c>
      <c r="L117" s="36">
        <v>2</v>
      </c>
      <c r="N117" s="57">
        <v>1</v>
      </c>
      <c r="O117" s="58">
        <v>0.85</v>
      </c>
      <c r="P117" s="58">
        <v>0.8</v>
      </c>
      <c r="Q117" s="75">
        <f t="shared" si="3"/>
        <v>0.82499999999999996</v>
      </c>
      <c r="R117" s="36">
        <v>13.2</v>
      </c>
      <c r="S117" s="36">
        <v>132</v>
      </c>
      <c r="T117" s="62">
        <f t="shared" si="4"/>
        <v>25</v>
      </c>
      <c r="U117" s="57">
        <v>105</v>
      </c>
      <c r="V117" s="62">
        <f t="shared" si="5"/>
        <v>2625</v>
      </c>
      <c r="W117" s="36">
        <v>4</v>
      </c>
      <c r="X117" s="57" t="s">
        <v>46</v>
      </c>
      <c r="Y117" s="57" t="s">
        <v>55</v>
      </c>
      <c r="Z117" s="57" t="s">
        <v>69</v>
      </c>
      <c r="AA117" s="57" t="s">
        <v>47</v>
      </c>
      <c r="AB117" s="57" t="s">
        <v>158</v>
      </c>
      <c r="AC117" s="88"/>
      <c r="AD117" s="88"/>
      <c r="AE117" s="88"/>
      <c r="AF117" s="88"/>
      <c r="AG117" s="88"/>
      <c r="AH117" s="88"/>
    </row>
    <row r="118" spans="1:34" x14ac:dyDescent="0.15">
      <c r="A118" s="57" t="s">
        <v>41</v>
      </c>
      <c r="B118" s="58" t="s">
        <v>157</v>
      </c>
      <c r="C118" s="59">
        <v>2019</v>
      </c>
      <c r="D118" s="60" t="s">
        <v>185</v>
      </c>
      <c r="E118" s="57" t="s">
        <v>201</v>
      </c>
      <c r="F118" s="36" t="s">
        <v>208</v>
      </c>
      <c r="G118" s="57" t="s">
        <v>42</v>
      </c>
      <c r="H118" s="57" t="s">
        <v>165</v>
      </c>
      <c r="I118" s="57" t="s">
        <v>159</v>
      </c>
      <c r="J118" s="57" t="s">
        <v>38</v>
      </c>
      <c r="K118" s="57" t="s">
        <v>161</v>
      </c>
      <c r="L118" s="36">
        <v>3</v>
      </c>
      <c r="N118" s="57">
        <v>1</v>
      </c>
      <c r="O118" s="58">
        <v>0.45</v>
      </c>
      <c r="P118" s="58">
        <v>0.6</v>
      </c>
      <c r="Q118" s="75">
        <f t="shared" si="3"/>
        <v>0.52500000000000002</v>
      </c>
      <c r="R118" s="36">
        <v>12.4</v>
      </c>
      <c r="S118" s="36">
        <v>131</v>
      </c>
      <c r="T118" s="62">
        <f t="shared" si="4"/>
        <v>25</v>
      </c>
      <c r="U118" s="57">
        <v>105</v>
      </c>
      <c r="V118" s="62">
        <f t="shared" si="5"/>
        <v>2625</v>
      </c>
      <c r="W118" s="36">
        <v>4</v>
      </c>
      <c r="X118" s="57" t="s">
        <v>46</v>
      </c>
      <c r="Y118" s="57" t="s">
        <v>55</v>
      </c>
      <c r="Z118" s="57" t="s">
        <v>69</v>
      </c>
      <c r="AA118" s="57" t="s">
        <v>47</v>
      </c>
      <c r="AB118" s="57" t="s">
        <v>158</v>
      </c>
      <c r="AC118" s="88"/>
      <c r="AD118" s="88"/>
      <c r="AE118" s="88"/>
      <c r="AF118" s="88"/>
      <c r="AG118" s="88"/>
      <c r="AH118" s="88"/>
    </row>
    <row r="119" spans="1:34" x14ac:dyDescent="0.15">
      <c r="A119" s="57" t="s">
        <v>41</v>
      </c>
      <c r="B119" s="58" t="s">
        <v>157</v>
      </c>
      <c r="C119" s="59">
        <v>2019</v>
      </c>
      <c r="D119" s="60" t="s">
        <v>185</v>
      </c>
      <c r="E119" s="57" t="s">
        <v>201</v>
      </c>
      <c r="F119" s="36" t="s">
        <v>208</v>
      </c>
      <c r="G119" s="57" t="s">
        <v>42</v>
      </c>
      <c r="H119" s="57" t="s">
        <v>165</v>
      </c>
      <c r="I119" s="57" t="s">
        <v>159</v>
      </c>
      <c r="J119" s="57" t="s">
        <v>38</v>
      </c>
      <c r="K119" s="57" t="s">
        <v>161</v>
      </c>
      <c r="L119" s="57">
        <v>1</v>
      </c>
      <c r="M119" s="57"/>
      <c r="N119" s="57">
        <v>5</v>
      </c>
      <c r="O119" s="58">
        <v>1.2</v>
      </c>
      <c r="P119" s="58">
        <v>0.95</v>
      </c>
      <c r="Q119" s="75">
        <f t="shared" si="3"/>
        <v>1.075</v>
      </c>
      <c r="R119" s="36">
        <v>15.4</v>
      </c>
      <c r="S119" s="36">
        <v>125</v>
      </c>
      <c r="T119" s="62">
        <f t="shared" si="4"/>
        <v>27</v>
      </c>
      <c r="U119" s="57">
        <v>378</v>
      </c>
      <c r="V119" s="62">
        <f t="shared" si="5"/>
        <v>2041.1999999999998</v>
      </c>
      <c r="W119" s="57">
        <v>2</v>
      </c>
      <c r="X119" s="57" t="s">
        <v>46</v>
      </c>
      <c r="Y119" s="57" t="s">
        <v>55</v>
      </c>
      <c r="Z119" s="57" t="s">
        <v>69</v>
      </c>
      <c r="AA119" s="57" t="s">
        <v>47</v>
      </c>
      <c r="AB119" s="57" t="s">
        <v>158</v>
      </c>
      <c r="AC119" s="88"/>
      <c r="AD119" s="88"/>
      <c r="AE119" s="88"/>
      <c r="AF119" s="88"/>
      <c r="AG119" s="88"/>
      <c r="AH119" s="88"/>
    </row>
    <row r="120" spans="1:34" x14ac:dyDescent="0.15">
      <c r="A120" s="57" t="s">
        <v>41</v>
      </c>
      <c r="B120" s="58" t="s">
        <v>157</v>
      </c>
      <c r="C120" s="59">
        <v>2019</v>
      </c>
      <c r="D120" s="60" t="s">
        <v>185</v>
      </c>
      <c r="E120" s="57" t="s">
        <v>201</v>
      </c>
      <c r="F120" s="36" t="s">
        <v>208</v>
      </c>
      <c r="G120" s="57" t="s">
        <v>42</v>
      </c>
      <c r="H120" s="57" t="s">
        <v>165</v>
      </c>
      <c r="I120" s="57" t="s">
        <v>159</v>
      </c>
      <c r="J120" s="57" t="s">
        <v>38</v>
      </c>
      <c r="K120" s="57" t="s">
        <v>161</v>
      </c>
      <c r="L120" s="36">
        <v>2</v>
      </c>
      <c r="N120" s="57">
        <v>5</v>
      </c>
      <c r="O120" s="58">
        <v>1</v>
      </c>
      <c r="P120" s="58">
        <v>0.9</v>
      </c>
      <c r="Q120" s="75">
        <f t="shared" si="3"/>
        <v>0.95</v>
      </c>
      <c r="R120" s="36">
        <v>14.1</v>
      </c>
      <c r="S120" s="36">
        <v>121</v>
      </c>
      <c r="T120" s="62">
        <f t="shared" si="4"/>
        <v>27</v>
      </c>
      <c r="U120" s="57">
        <v>378</v>
      </c>
      <c r="V120" s="62">
        <f t="shared" si="5"/>
        <v>2041.1999999999998</v>
      </c>
      <c r="W120" s="57">
        <v>2</v>
      </c>
      <c r="X120" s="57" t="s">
        <v>46</v>
      </c>
      <c r="Y120" s="57" t="s">
        <v>55</v>
      </c>
      <c r="Z120" s="57" t="s">
        <v>69</v>
      </c>
      <c r="AA120" s="57" t="s">
        <v>47</v>
      </c>
      <c r="AB120" s="57" t="s">
        <v>158</v>
      </c>
      <c r="AC120" s="88"/>
      <c r="AD120" s="88"/>
      <c r="AE120" s="88"/>
      <c r="AF120" s="88"/>
      <c r="AG120" s="88"/>
      <c r="AH120" s="88"/>
    </row>
    <row r="121" spans="1:34" x14ac:dyDescent="0.15">
      <c r="A121" s="57" t="s">
        <v>41</v>
      </c>
      <c r="B121" s="58" t="s">
        <v>157</v>
      </c>
      <c r="C121" s="59">
        <v>2019</v>
      </c>
      <c r="D121" s="60" t="s">
        <v>185</v>
      </c>
      <c r="E121" s="57" t="s">
        <v>201</v>
      </c>
      <c r="F121" s="36" t="s">
        <v>208</v>
      </c>
      <c r="G121" s="57" t="s">
        <v>42</v>
      </c>
      <c r="H121" s="57" t="s">
        <v>165</v>
      </c>
      <c r="I121" s="57" t="s">
        <v>159</v>
      </c>
      <c r="J121" s="57" t="s">
        <v>38</v>
      </c>
      <c r="K121" s="57" t="s">
        <v>161</v>
      </c>
      <c r="L121" s="36">
        <v>3</v>
      </c>
      <c r="N121" s="57">
        <v>5</v>
      </c>
      <c r="O121" s="58">
        <v>1.1499999999999999</v>
      </c>
      <c r="P121" s="58">
        <v>1.2</v>
      </c>
      <c r="Q121" s="75">
        <f t="shared" si="3"/>
        <v>1.1749999999999998</v>
      </c>
      <c r="R121" s="36">
        <v>14.8</v>
      </c>
      <c r="S121" s="36">
        <v>121</v>
      </c>
      <c r="T121" s="62">
        <f t="shared" si="4"/>
        <v>27</v>
      </c>
      <c r="U121" s="57">
        <v>378</v>
      </c>
      <c r="V121" s="62">
        <f t="shared" si="5"/>
        <v>2041.1999999999998</v>
      </c>
      <c r="W121" s="36">
        <v>2</v>
      </c>
      <c r="X121" s="57" t="s">
        <v>46</v>
      </c>
      <c r="Y121" s="57" t="s">
        <v>55</v>
      </c>
      <c r="Z121" s="57" t="s">
        <v>69</v>
      </c>
      <c r="AA121" s="57" t="s">
        <v>47</v>
      </c>
      <c r="AB121" s="57" t="s">
        <v>158</v>
      </c>
      <c r="AC121" s="88"/>
      <c r="AD121" s="88"/>
      <c r="AE121" s="88"/>
      <c r="AF121" s="88"/>
      <c r="AG121" s="88"/>
      <c r="AH121" s="88"/>
    </row>
    <row r="122" spans="1:34" x14ac:dyDescent="0.15">
      <c r="A122" s="57" t="s">
        <v>41</v>
      </c>
      <c r="B122" s="58" t="s">
        <v>157</v>
      </c>
      <c r="C122" s="59">
        <v>2019</v>
      </c>
      <c r="D122" s="60" t="s">
        <v>185</v>
      </c>
      <c r="E122" s="57" t="s">
        <v>201</v>
      </c>
      <c r="F122" s="36" t="s">
        <v>208</v>
      </c>
      <c r="G122" s="57" t="s">
        <v>42</v>
      </c>
      <c r="H122" s="57" t="s">
        <v>160</v>
      </c>
      <c r="I122" s="57" t="s">
        <v>159</v>
      </c>
      <c r="J122" s="57" t="s">
        <v>38</v>
      </c>
      <c r="K122" s="57" t="s">
        <v>161</v>
      </c>
      <c r="L122" s="57">
        <v>1</v>
      </c>
      <c r="M122" s="57"/>
      <c r="N122" s="57">
        <v>10</v>
      </c>
      <c r="O122" s="58">
        <v>0.7</v>
      </c>
      <c r="P122" s="58">
        <v>0.65</v>
      </c>
      <c r="Q122" s="75">
        <f t="shared" si="3"/>
        <v>0.67500000000000004</v>
      </c>
      <c r="R122" s="36">
        <v>15.5</v>
      </c>
      <c r="S122" s="36">
        <v>118</v>
      </c>
      <c r="T122" s="62">
        <f t="shared" si="4"/>
        <v>30</v>
      </c>
      <c r="U122" s="57">
        <v>842</v>
      </c>
      <c r="V122" s="62">
        <f t="shared" si="5"/>
        <v>2526</v>
      </c>
      <c r="W122" s="57">
        <v>3</v>
      </c>
      <c r="X122" s="57" t="s">
        <v>46</v>
      </c>
      <c r="Y122" s="57" t="s">
        <v>55</v>
      </c>
      <c r="Z122" s="57" t="s">
        <v>69</v>
      </c>
      <c r="AA122" s="57" t="s">
        <v>47</v>
      </c>
      <c r="AB122" s="57" t="s">
        <v>158</v>
      </c>
      <c r="AC122" s="88"/>
      <c r="AD122" s="88"/>
      <c r="AE122" s="88"/>
      <c r="AF122" s="88"/>
      <c r="AG122" s="88"/>
      <c r="AH122" s="88"/>
    </row>
    <row r="123" spans="1:34" x14ac:dyDescent="0.15">
      <c r="A123" s="57" t="s">
        <v>41</v>
      </c>
      <c r="B123" s="58" t="s">
        <v>157</v>
      </c>
      <c r="C123" s="59">
        <v>2019</v>
      </c>
      <c r="D123" s="60" t="s">
        <v>185</v>
      </c>
      <c r="E123" s="57" t="s">
        <v>201</v>
      </c>
      <c r="F123" s="36" t="s">
        <v>208</v>
      </c>
      <c r="G123" s="57" t="s">
        <v>42</v>
      </c>
      <c r="H123" s="57" t="s">
        <v>160</v>
      </c>
      <c r="I123" s="57" t="s">
        <v>159</v>
      </c>
      <c r="J123" s="57" t="s">
        <v>38</v>
      </c>
      <c r="K123" s="57" t="s">
        <v>161</v>
      </c>
      <c r="L123" s="36">
        <v>2</v>
      </c>
      <c r="N123" s="57">
        <v>10</v>
      </c>
      <c r="O123" s="58">
        <v>0.5</v>
      </c>
      <c r="P123" s="58">
        <v>0.65</v>
      </c>
      <c r="Q123" s="75">
        <f t="shared" si="3"/>
        <v>0.57499999999999996</v>
      </c>
      <c r="R123" s="36">
        <v>12.6</v>
      </c>
      <c r="S123" s="36">
        <v>120</v>
      </c>
      <c r="T123" s="62">
        <f t="shared" si="4"/>
        <v>30</v>
      </c>
      <c r="U123" s="57">
        <v>842</v>
      </c>
      <c r="V123" s="62">
        <f t="shared" si="5"/>
        <v>2526</v>
      </c>
      <c r="W123" s="36">
        <v>3</v>
      </c>
      <c r="X123" s="57" t="s">
        <v>46</v>
      </c>
      <c r="Y123" s="57" t="s">
        <v>55</v>
      </c>
      <c r="Z123" s="57" t="s">
        <v>69</v>
      </c>
      <c r="AA123" s="57" t="s">
        <v>47</v>
      </c>
      <c r="AB123" s="57" t="s">
        <v>158</v>
      </c>
      <c r="AC123" s="88"/>
      <c r="AD123" s="88"/>
      <c r="AE123" s="88"/>
      <c r="AF123" s="88"/>
      <c r="AG123" s="88"/>
      <c r="AH123" s="88"/>
    </row>
    <row r="124" spans="1:34" x14ac:dyDescent="0.15">
      <c r="A124" s="57" t="s">
        <v>41</v>
      </c>
      <c r="B124" s="58" t="s">
        <v>157</v>
      </c>
      <c r="C124" s="59">
        <v>2019</v>
      </c>
      <c r="D124" s="60" t="s">
        <v>185</v>
      </c>
      <c r="E124" s="57" t="s">
        <v>201</v>
      </c>
      <c r="F124" s="36" t="s">
        <v>208</v>
      </c>
      <c r="G124" s="57" t="s">
        <v>42</v>
      </c>
      <c r="H124" s="57" t="s">
        <v>160</v>
      </c>
      <c r="I124" s="57" t="s">
        <v>159</v>
      </c>
      <c r="J124" s="57" t="s">
        <v>38</v>
      </c>
      <c r="K124" s="57" t="s">
        <v>161</v>
      </c>
      <c r="L124" s="36">
        <v>3</v>
      </c>
      <c r="N124" s="57">
        <v>10</v>
      </c>
      <c r="O124" s="58">
        <v>0.65</v>
      </c>
      <c r="P124" s="58">
        <v>0.45</v>
      </c>
      <c r="Q124" s="90">
        <f t="shared" si="3"/>
        <v>0.55000000000000004</v>
      </c>
      <c r="R124" s="36">
        <v>13.8</v>
      </c>
      <c r="S124" s="36">
        <v>118</v>
      </c>
      <c r="T124" s="91">
        <f t="shared" si="4"/>
        <v>30</v>
      </c>
      <c r="U124" s="57">
        <v>842</v>
      </c>
      <c r="V124" s="62">
        <f t="shared" si="5"/>
        <v>2526</v>
      </c>
      <c r="W124" s="36">
        <v>3</v>
      </c>
      <c r="X124" s="57" t="s">
        <v>46</v>
      </c>
      <c r="Y124" s="57" t="s">
        <v>55</v>
      </c>
      <c r="Z124" s="57" t="s">
        <v>69</v>
      </c>
      <c r="AA124" s="57" t="s">
        <v>47</v>
      </c>
      <c r="AB124" s="57" t="s">
        <v>158</v>
      </c>
      <c r="AC124" s="88"/>
      <c r="AD124" s="88"/>
      <c r="AE124" s="88"/>
      <c r="AF124" s="88"/>
      <c r="AG124" s="88"/>
      <c r="AH124" s="88"/>
    </row>
    <row r="125" spans="1:34" x14ac:dyDescent="0.15">
      <c r="A125" s="57" t="s">
        <v>41</v>
      </c>
      <c r="B125" s="58" t="s">
        <v>157</v>
      </c>
      <c r="C125" s="59">
        <v>2019</v>
      </c>
      <c r="D125" s="60" t="s">
        <v>185</v>
      </c>
      <c r="E125" s="57" t="s">
        <v>201</v>
      </c>
      <c r="F125" s="36" t="s">
        <v>208</v>
      </c>
      <c r="G125" s="57" t="s">
        <v>42</v>
      </c>
      <c r="H125" s="57" t="s">
        <v>160</v>
      </c>
      <c r="I125" s="57" t="s">
        <v>159</v>
      </c>
      <c r="J125" s="57" t="s">
        <v>38</v>
      </c>
      <c r="K125" s="57" t="s">
        <v>161</v>
      </c>
      <c r="L125" s="57">
        <v>1</v>
      </c>
      <c r="M125" s="57"/>
      <c r="N125" s="57">
        <v>1</v>
      </c>
      <c r="O125" s="58">
        <v>0.5</v>
      </c>
      <c r="P125" s="58">
        <v>0.5</v>
      </c>
      <c r="Q125" s="90">
        <f t="shared" si="3"/>
        <v>0.5</v>
      </c>
      <c r="R125" s="36">
        <v>16.7</v>
      </c>
      <c r="S125" s="36">
        <v>124</v>
      </c>
      <c r="T125" s="91">
        <f t="shared" si="4"/>
        <v>27</v>
      </c>
      <c r="U125" s="57">
        <v>105</v>
      </c>
      <c r="V125" s="62">
        <f t="shared" si="5"/>
        <v>2835</v>
      </c>
      <c r="W125" s="57">
        <v>5</v>
      </c>
      <c r="X125" s="57" t="s">
        <v>46</v>
      </c>
      <c r="Y125" s="57" t="s">
        <v>55</v>
      </c>
      <c r="Z125" s="57" t="s">
        <v>69</v>
      </c>
      <c r="AA125" s="57" t="s">
        <v>47</v>
      </c>
      <c r="AB125" s="57" t="s">
        <v>158</v>
      </c>
      <c r="AC125" s="88"/>
      <c r="AD125" s="88"/>
      <c r="AE125" s="88"/>
      <c r="AF125" s="88"/>
      <c r="AG125" s="88"/>
      <c r="AH125" s="88"/>
    </row>
    <row r="126" spans="1:34" x14ac:dyDescent="0.15">
      <c r="A126" s="57" t="s">
        <v>41</v>
      </c>
      <c r="B126" s="58" t="s">
        <v>157</v>
      </c>
      <c r="C126" s="59">
        <v>2019</v>
      </c>
      <c r="D126" s="60" t="s">
        <v>185</v>
      </c>
      <c r="E126" s="57" t="s">
        <v>201</v>
      </c>
      <c r="F126" s="36" t="s">
        <v>208</v>
      </c>
      <c r="G126" s="57" t="s">
        <v>42</v>
      </c>
      <c r="H126" s="57" t="s">
        <v>160</v>
      </c>
      <c r="I126" s="57" t="s">
        <v>159</v>
      </c>
      <c r="J126" s="57" t="s">
        <v>38</v>
      </c>
      <c r="K126" s="57" t="s">
        <v>161</v>
      </c>
      <c r="L126" s="36">
        <v>2</v>
      </c>
      <c r="N126" s="57">
        <v>1</v>
      </c>
      <c r="O126" s="58">
        <v>0.55000000000000004</v>
      </c>
      <c r="P126" s="58">
        <v>0.45</v>
      </c>
      <c r="Q126" s="90">
        <f t="shared" si="3"/>
        <v>0.5</v>
      </c>
      <c r="R126" s="36">
        <v>15</v>
      </c>
      <c r="S126" s="36">
        <v>122</v>
      </c>
      <c r="T126" s="91">
        <f t="shared" si="4"/>
        <v>27</v>
      </c>
      <c r="U126" s="57">
        <v>105</v>
      </c>
      <c r="V126" s="62">
        <f t="shared" si="5"/>
        <v>2835</v>
      </c>
      <c r="W126" s="36">
        <v>5</v>
      </c>
      <c r="X126" s="57" t="s">
        <v>46</v>
      </c>
      <c r="Y126" s="57" t="s">
        <v>55</v>
      </c>
      <c r="Z126" s="57" t="s">
        <v>69</v>
      </c>
      <c r="AA126" s="57" t="s">
        <v>47</v>
      </c>
      <c r="AB126" s="57" t="s">
        <v>158</v>
      </c>
      <c r="AC126" s="88"/>
      <c r="AD126" s="88"/>
      <c r="AE126" s="88"/>
      <c r="AF126" s="88"/>
      <c r="AG126" s="88"/>
      <c r="AH126" s="88"/>
    </row>
    <row r="127" spans="1:34" x14ac:dyDescent="0.15">
      <c r="A127" s="57" t="s">
        <v>41</v>
      </c>
      <c r="B127" s="58" t="s">
        <v>157</v>
      </c>
      <c r="C127" s="59">
        <v>2019</v>
      </c>
      <c r="D127" s="60" t="s">
        <v>185</v>
      </c>
      <c r="E127" s="57" t="s">
        <v>201</v>
      </c>
      <c r="F127" s="36" t="s">
        <v>208</v>
      </c>
      <c r="G127" s="57" t="s">
        <v>42</v>
      </c>
      <c r="H127" s="57" t="s">
        <v>160</v>
      </c>
      <c r="I127" s="57" t="s">
        <v>159</v>
      </c>
      <c r="J127" s="57" t="s">
        <v>38</v>
      </c>
      <c r="K127" s="57" t="s">
        <v>161</v>
      </c>
      <c r="L127" s="36">
        <v>3</v>
      </c>
      <c r="N127" s="57">
        <v>1</v>
      </c>
      <c r="O127" s="58">
        <v>0.45</v>
      </c>
      <c r="P127" s="58">
        <v>0.4</v>
      </c>
      <c r="Q127" s="90">
        <f t="shared" si="3"/>
        <v>0.42500000000000004</v>
      </c>
      <c r="R127" s="36">
        <v>12.8</v>
      </c>
      <c r="S127" s="36">
        <v>125</v>
      </c>
      <c r="T127" s="91">
        <f t="shared" si="4"/>
        <v>27</v>
      </c>
      <c r="U127" s="57">
        <v>105</v>
      </c>
      <c r="V127" s="91">
        <f t="shared" si="5"/>
        <v>2835</v>
      </c>
      <c r="W127" s="36">
        <v>5</v>
      </c>
      <c r="X127" s="57" t="s">
        <v>46</v>
      </c>
      <c r="Y127" s="57" t="s">
        <v>55</v>
      </c>
      <c r="Z127" s="57" t="s">
        <v>69</v>
      </c>
      <c r="AA127" s="57" t="s">
        <v>47</v>
      </c>
      <c r="AB127" s="57" t="s">
        <v>158</v>
      </c>
      <c r="AC127" s="88"/>
      <c r="AD127" s="88"/>
      <c r="AE127" s="88"/>
      <c r="AF127" s="88"/>
      <c r="AG127" s="88"/>
      <c r="AH127" s="88"/>
    </row>
    <row r="128" spans="1:34" s="57" customFormat="1" x14ac:dyDescent="0.15">
      <c r="A128" s="57" t="s">
        <v>41</v>
      </c>
      <c r="B128" s="58" t="s">
        <v>157</v>
      </c>
      <c r="C128" s="59">
        <v>2019</v>
      </c>
      <c r="D128" s="60" t="s">
        <v>185</v>
      </c>
      <c r="E128" s="57" t="s">
        <v>201</v>
      </c>
      <c r="F128" s="36" t="s">
        <v>208</v>
      </c>
      <c r="G128" s="57" t="s">
        <v>42</v>
      </c>
      <c r="H128" s="57" t="s">
        <v>160</v>
      </c>
      <c r="I128" s="57" t="s">
        <v>159</v>
      </c>
      <c r="J128" s="57" t="s">
        <v>38</v>
      </c>
      <c r="K128" s="57" t="s">
        <v>161</v>
      </c>
      <c r="L128" s="57">
        <v>1</v>
      </c>
      <c r="N128" s="57">
        <v>4</v>
      </c>
      <c r="O128" s="58">
        <v>0.3</v>
      </c>
      <c r="P128" s="58">
        <v>0.25</v>
      </c>
      <c r="Q128" s="90">
        <f t="shared" si="3"/>
        <v>0.27500000000000002</v>
      </c>
      <c r="R128" s="57">
        <v>15.4</v>
      </c>
      <c r="S128" s="57">
        <v>123</v>
      </c>
      <c r="T128" s="91">
        <f t="shared" si="4"/>
        <v>27</v>
      </c>
      <c r="U128" s="57">
        <v>410</v>
      </c>
      <c r="V128" s="91">
        <f t="shared" si="5"/>
        <v>2767.5</v>
      </c>
      <c r="W128" s="57">
        <v>3</v>
      </c>
      <c r="X128" s="57" t="s">
        <v>46</v>
      </c>
      <c r="Y128" s="57" t="s">
        <v>55</v>
      </c>
      <c r="Z128" s="57" t="s">
        <v>69</v>
      </c>
      <c r="AA128" s="57" t="s">
        <v>47</v>
      </c>
      <c r="AB128" s="57" t="s">
        <v>158</v>
      </c>
      <c r="AC128" s="92"/>
      <c r="AD128" s="92"/>
      <c r="AE128" s="92"/>
      <c r="AF128" s="92"/>
      <c r="AG128" s="92"/>
      <c r="AH128" s="92"/>
    </row>
    <row r="129" spans="1:34" s="57" customFormat="1" x14ac:dyDescent="0.15">
      <c r="A129" s="57" t="s">
        <v>41</v>
      </c>
      <c r="B129" s="58" t="s">
        <v>157</v>
      </c>
      <c r="C129" s="59">
        <v>2019</v>
      </c>
      <c r="D129" s="60" t="s">
        <v>185</v>
      </c>
      <c r="E129" s="57" t="s">
        <v>201</v>
      </c>
      <c r="F129" s="36" t="s">
        <v>208</v>
      </c>
      <c r="G129" s="57" t="s">
        <v>42</v>
      </c>
      <c r="H129" s="57" t="s">
        <v>160</v>
      </c>
      <c r="I129" s="57" t="s">
        <v>159</v>
      </c>
      <c r="J129" s="57" t="s">
        <v>38</v>
      </c>
      <c r="K129" s="57" t="s">
        <v>161</v>
      </c>
      <c r="L129" s="57">
        <v>2</v>
      </c>
      <c r="N129" s="57">
        <v>4</v>
      </c>
      <c r="O129" s="58">
        <v>0.65</v>
      </c>
      <c r="P129" s="58">
        <v>0.4</v>
      </c>
      <c r="Q129" s="90">
        <f t="shared" si="3"/>
        <v>0.52500000000000002</v>
      </c>
      <c r="R129" s="57">
        <v>12.8</v>
      </c>
      <c r="S129" s="57">
        <v>124</v>
      </c>
      <c r="T129" s="91">
        <f t="shared" si="4"/>
        <v>27</v>
      </c>
      <c r="U129" s="57">
        <v>410</v>
      </c>
      <c r="V129" s="91">
        <f t="shared" si="5"/>
        <v>2767.5</v>
      </c>
      <c r="W129" s="57">
        <v>3</v>
      </c>
      <c r="X129" s="57" t="s">
        <v>46</v>
      </c>
      <c r="Y129" s="57" t="s">
        <v>55</v>
      </c>
      <c r="Z129" s="57" t="s">
        <v>69</v>
      </c>
      <c r="AA129" s="57" t="s">
        <v>47</v>
      </c>
      <c r="AB129" s="57" t="s">
        <v>158</v>
      </c>
      <c r="AC129" s="92"/>
      <c r="AD129" s="92"/>
      <c r="AE129" s="92"/>
      <c r="AF129" s="92"/>
      <c r="AG129" s="92"/>
      <c r="AH129" s="92"/>
    </row>
    <row r="130" spans="1:34" s="57" customFormat="1" x14ac:dyDescent="0.15">
      <c r="A130" s="57" t="s">
        <v>41</v>
      </c>
      <c r="B130" s="58" t="s">
        <v>157</v>
      </c>
      <c r="C130" s="59">
        <v>2019</v>
      </c>
      <c r="D130" s="60" t="s">
        <v>185</v>
      </c>
      <c r="E130" s="57" t="s">
        <v>201</v>
      </c>
      <c r="F130" s="36" t="s">
        <v>208</v>
      </c>
      <c r="G130" s="57" t="s">
        <v>42</v>
      </c>
      <c r="H130" s="57" t="s">
        <v>160</v>
      </c>
      <c r="I130" s="57" t="s">
        <v>159</v>
      </c>
      <c r="J130" s="57" t="s">
        <v>38</v>
      </c>
      <c r="K130" s="57" t="s">
        <v>161</v>
      </c>
      <c r="L130" s="57">
        <v>3</v>
      </c>
      <c r="N130" s="57">
        <v>4</v>
      </c>
      <c r="O130" s="58">
        <v>0.65</v>
      </c>
      <c r="P130" s="58">
        <v>0.8</v>
      </c>
      <c r="Q130" s="90">
        <f t="shared" ref="Q130:Q193" si="6">IF(OR(O130="",P130=""),"",AVERAGE(O130,P130))</f>
        <v>0.72500000000000009</v>
      </c>
      <c r="R130" s="57">
        <v>13.8</v>
      </c>
      <c r="S130" s="57">
        <v>121</v>
      </c>
      <c r="T130" s="91">
        <f t="shared" ref="T130:T193" si="7">IF(H130="","",IF(OR(H130="GREEN",H130="GK"),IF(S130&gt;=$AX$2,VLOOKUP(S130,$AX$2:$AY$10,2,1),""),IF(S130&gt;=$AZ$2,VLOOKUP(S130,$AZ$2:$BA$10,2,1),"")))</f>
        <v>27</v>
      </c>
      <c r="U130" s="57">
        <v>410</v>
      </c>
      <c r="V130" s="91">
        <f t="shared" ref="V130:V193" si="8">IF(OR(N130="",U130="",T130=""),"",U130/N130*T130)</f>
        <v>2767.5</v>
      </c>
      <c r="W130" s="57">
        <v>3</v>
      </c>
      <c r="X130" s="57" t="s">
        <v>46</v>
      </c>
      <c r="Y130" s="57" t="s">
        <v>55</v>
      </c>
      <c r="Z130" s="57" t="s">
        <v>69</v>
      </c>
      <c r="AA130" s="57" t="s">
        <v>47</v>
      </c>
      <c r="AB130" s="57" t="s">
        <v>158</v>
      </c>
      <c r="AC130" s="92"/>
      <c r="AD130" s="92"/>
      <c r="AE130" s="92"/>
      <c r="AF130" s="92"/>
      <c r="AG130" s="92"/>
      <c r="AH130" s="92"/>
    </row>
    <row r="131" spans="1:34" s="57" customFormat="1" x14ac:dyDescent="0.15">
      <c r="A131" s="57" t="s">
        <v>41</v>
      </c>
      <c r="B131" s="58" t="s">
        <v>157</v>
      </c>
      <c r="C131" s="59">
        <v>2019</v>
      </c>
      <c r="D131" s="60" t="s">
        <v>185</v>
      </c>
      <c r="E131" s="57" t="s">
        <v>201</v>
      </c>
      <c r="F131" s="36" t="s">
        <v>208</v>
      </c>
      <c r="G131" s="57" t="s">
        <v>42</v>
      </c>
      <c r="H131" s="57" t="s">
        <v>160</v>
      </c>
      <c r="I131" s="57" t="s">
        <v>159</v>
      </c>
      <c r="J131" s="57" t="s">
        <v>38</v>
      </c>
      <c r="K131" s="57" t="s">
        <v>161</v>
      </c>
      <c r="L131" s="57">
        <v>1</v>
      </c>
      <c r="N131" s="57">
        <v>7</v>
      </c>
      <c r="O131" s="58">
        <v>0.25</v>
      </c>
      <c r="P131" s="58">
        <v>0.25</v>
      </c>
      <c r="Q131" s="90">
        <f t="shared" si="6"/>
        <v>0.25</v>
      </c>
      <c r="R131" s="57">
        <v>12.6</v>
      </c>
      <c r="S131" s="57">
        <v>115</v>
      </c>
      <c r="T131" s="91">
        <f t="shared" si="7"/>
        <v>30</v>
      </c>
      <c r="U131" s="57">
        <v>842</v>
      </c>
      <c r="V131" s="91">
        <f t="shared" si="8"/>
        <v>3608.5714285714289</v>
      </c>
      <c r="W131" s="57">
        <v>2</v>
      </c>
      <c r="X131" s="57" t="s">
        <v>46</v>
      </c>
      <c r="Y131" s="57" t="s">
        <v>55</v>
      </c>
      <c r="Z131" s="57" t="s">
        <v>69</v>
      </c>
      <c r="AA131" s="57" t="s">
        <v>47</v>
      </c>
      <c r="AB131" s="57" t="s">
        <v>158</v>
      </c>
      <c r="AC131" s="92"/>
      <c r="AD131" s="92"/>
      <c r="AE131" s="92"/>
      <c r="AF131" s="92"/>
      <c r="AG131" s="92"/>
      <c r="AH131" s="92"/>
    </row>
    <row r="132" spans="1:34" s="57" customFormat="1" x14ac:dyDescent="0.15">
      <c r="A132" s="57" t="s">
        <v>41</v>
      </c>
      <c r="B132" s="58" t="s">
        <v>157</v>
      </c>
      <c r="C132" s="59">
        <v>2019</v>
      </c>
      <c r="D132" s="60" t="s">
        <v>185</v>
      </c>
      <c r="E132" s="57" t="s">
        <v>201</v>
      </c>
      <c r="F132" s="36" t="s">
        <v>208</v>
      </c>
      <c r="G132" s="57" t="s">
        <v>42</v>
      </c>
      <c r="H132" s="57" t="s">
        <v>160</v>
      </c>
      <c r="I132" s="57" t="s">
        <v>159</v>
      </c>
      <c r="J132" s="57" t="s">
        <v>38</v>
      </c>
      <c r="K132" s="57" t="s">
        <v>161</v>
      </c>
      <c r="L132" s="57">
        <v>2</v>
      </c>
      <c r="N132" s="57">
        <v>7</v>
      </c>
      <c r="O132" s="58">
        <v>0.25</v>
      </c>
      <c r="P132" s="58">
        <v>0.4</v>
      </c>
      <c r="Q132" s="90">
        <f t="shared" si="6"/>
        <v>0.32500000000000001</v>
      </c>
      <c r="R132" s="57">
        <v>16.8</v>
      </c>
      <c r="S132" s="57">
        <v>120</v>
      </c>
      <c r="T132" s="91">
        <f t="shared" si="7"/>
        <v>30</v>
      </c>
      <c r="U132" s="57">
        <v>842</v>
      </c>
      <c r="V132" s="91">
        <f t="shared" si="8"/>
        <v>3608.5714285714289</v>
      </c>
      <c r="W132" s="57">
        <v>2</v>
      </c>
      <c r="X132" s="57" t="s">
        <v>46</v>
      </c>
      <c r="Y132" s="57" t="s">
        <v>55</v>
      </c>
      <c r="Z132" s="57" t="s">
        <v>69</v>
      </c>
      <c r="AA132" s="57" t="s">
        <v>47</v>
      </c>
      <c r="AB132" s="57" t="s">
        <v>158</v>
      </c>
      <c r="AC132" s="92"/>
      <c r="AD132" s="92"/>
      <c r="AE132" s="92"/>
      <c r="AF132" s="92"/>
      <c r="AG132" s="92"/>
      <c r="AH132" s="92"/>
    </row>
    <row r="133" spans="1:34" s="57" customFormat="1" x14ac:dyDescent="0.15">
      <c r="A133" s="57" t="s">
        <v>41</v>
      </c>
      <c r="B133" s="58" t="s">
        <v>157</v>
      </c>
      <c r="C133" s="59">
        <v>2019</v>
      </c>
      <c r="D133" s="60" t="s">
        <v>185</v>
      </c>
      <c r="E133" s="57" t="s">
        <v>201</v>
      </c>
      <c r="F133" s="36" t="s">
        <v>208</v>
      </c>
      <c r="G133" s="57" t="s">
        <v>42</v>
      </c>
      <c r="H133" s="57" t="s">
        <v>160</v>
      </c>
      <c r="I133" s="57" t="s">
        <v>159</v>
      </c>
      <c r="J133" s="57" t="s">
        <v>38</v>
      </c>
      <c r="K133" s="57" t="s">
        <v>161</v>
      </c>
      <c r="L133" s="57">
        <v>3</v>
      </c>
      <c r="N133" s="57">
        <v>7</v>
      </c>
      <c r="O133" s="58">
        <v>0.25</v>
      </c>
      <c r="P133" s="58">
        <v>0.3</v>
      </c>
      <c r="Q133" s="90">
        <f t="shared" si="6"/>
        <v>0.27500000000000002</v>
      </c>
      <c r="R133" s="57">
        <v>15.7</v>
      </c>
      <c r="S133" s="57">
        <v>118</v>
      </c>
      <c r="T133" s="91">
        <f t="shared" si="7"/>
        <v>30</v>
      </c>
      <c r="U133" s="57">
        <v>842</v>
      </c>
      <c r="V133" s="91">
        <f t="shared" si="8"/>
        <v>3608.5714285714289</v>
      </c>
      <c r="W133" s="57">
        <v>2</v>
      </c>
      <c r="X133" s="57" t="s">
        <v>46</v>
      </c>
      <c r="Y133" s="57" t="s">
        <v>55</v>
      </c>
      <c r="Z133" s="57" t="s">
        <v>69</v>
      </c>
      <c r="AA133" s="57" t="s">
        <v>47</v>
      </c>
      <c r="AB133" s="57" t="s">
        <v>158</v>
      </c>
      <c r="AC133" s="92"/>
      <c r="AD133" s="92"/>
      <c r="AE133" s="92"/>
      <c r="AF133" s="92"/>
      <c r="AG133" s="92"/>
      <c r="AH133" s="92"/>
    </row>
    <row r="134" spans="1:34" x14ac:dyDescent="0.15">
      <c r="A134" s="57" t="s">
        <v>41</v>
      </c>
      <c r="B134" s="58" t="s">
        <v>157</v>
      </c>
      <c r="C134" s="59">
        <v>2019</v>
      </c>
      <c r="D134" s="60" t="s">
        <v>185</v>
      </c>
      <c r="E134" s="57" t="s">
        <v>204</v>
      </c>
      <c r="F134" s="36" t="s">
        <v>205</v>
      </c>
      <c r="G134" s="57" t="s">
        <v>42</v>
      </c>
      <c r="H134" s="57" t="s">
        <v>165</v>
      </c>
      <c r="I134" s="57" t="s">
        <v>159</v>
      </c>
      <c r="J134" s="57" t="s">
        <v>38</v>
      </c>
      <c r="K134" s="57" t="s">
        <v>161</v>
      </c>
      <c r="L134" s="57">
        <v>1</v>
      </c>
      <c r="M134" s="57"/>
      <c r="N134" s="57">
        <v>1</v>
      </c>
      <c r="O134" s="58">
        <v>0.7</v>
      </c>
      <c r="P134" s="58">
        <v>0.65</v>
      </c>
      <c r="Q134" s="75">
        <f t="shared" si="6"/>
        <v>0.67500000000000004</v>
      </c>
      <c r="R134" s="36">
        <v>12.1</v>
      </c>
      <c r="S134" s="36">
        <v>128</v>
      </c>
      <c r="T134" s="62">
        <f t="shared" si="7"/>
        <v>27</v>
      </c>
      <c r="U134" s="57">
        <v>95</v>
      </c>
      <c r="V134" s="62">
        <f t="shared" si="8"/>
        <v>2565</v>
      </c>
      <c r="W134" s="57">
        <v>3</v>
      </c>
      <c r="X134" s="57" t="s">
        <v>46</v>
      </c>
      <c r="Y134" s="57" t="s">
        <v>55</v>
      </c>
      <c r="Z134" s="57" t="s">
        <v>69</v>
      </c>
      <c r="AA134" s="57" t="s">
        <v>47</v>
      </c>
      <c r="AB134" s="57" t="s">
        <v>158</v>
      </c>
      <c r="AC134" s="88"/>
      <c r="AD134" s="88"/>
      <c r="AE134" s="88"/>
      <c r="AF134" s="88"/>
      <c r="AG134" s="88"/>
      <c r="AH134" s="88"/>
    </row>
    <row r="135" spans="1:34" x14ac:dyDescent="0.15">
      <c r="A135" s="57" t="s">
        <v>41</v>
      </c>
      <c r="B135" s="58" t="s">
        <v>157</v>
      </c>
      <c r="C135" s="59">
        <v>2019</v>
      </c>
      <c r="D135" s="60" t="s">
        <v>185</v>
      </c>
      <c r="E135" s="57" t="s">
        <v>204</v>
      </c>
      <c r="F135" s="36" t="s">
        <v>205</v>
      </c>
      <c r="G135" s="57" t="s">
        <v>42</v>
      </c>
      <c r="H135" s="57" t="s">
        <v>165</v>
      </c>
      <c r="I135" s="57" t="s">
        <v>159</v>
      </c>
      <c r="J135" s="57" t="s">
        <v>38</v>
      </c>
      <c r="K135" s="57" t="s">
        <v>161</v>
      </c>
      <c r="L135" s="36">
        <v>2</v>
      </c>
      <c r="N135" s="57">
        <v>1</v>
      </c>
      <c r="O135" s="58">
        <v>0.45</v>
      </c>
      <c r="P135" s="58">
        <v>0.6</v>
      </c>
      <c r="Q135" s="75">
        <f t="shared" si="6"/>
        <v>0.52500000000000002</v>
      </c>
      <c r="R135" s="36">
        <v>11.5</v>
      </c>
      <c r="S135" s="36">
        <v>124</v>
      </c>
      <c r="T135" s="62">
        <f t="shared" si="7"/>
        <v>27</v>
      </c>
      <c r="U135" s="57">
        <v>95</v>
      </c>
      <c r="V135" s="62">
        <f t="shared" si="8"/>
        <v>2565</v>
      </c>
      <c r="W135" s="36">
        <v>3</v>
      </c>
      <c r="X135" s="57" t="s">
        <v>46</v>
      </c>
      <c r="Y135" s="57" t="s">
        <v>55</v>
      </c>
      <c r="Z135" s="57" t="s">
        <v>69</v>
      </c>
      <c r="AA135" s="57" t="s">
        <v>47</v>
      </c>
      <c r="AB135" s="57" t="s">
        <v>158</v>
      </c>
      <c r="AC135" s="88"/>
      <c r="AD135" s="88"/>
      <c r="AE135" s="88"/>
      <c r="AF135" s="88"/>
      <c r="AG135" s="88"/>
      <c r="AH135" s="88"/>
    </row>
    <row r="136" spans="1:34" x14ac:dyDescent="0.15">
      <c r="A136" s="57" t="s">
        <v>41</v>
      </c>
      <c r="B136" s="58" t="s">
        <v>157</v>
      </c>
      <c r="C136" s="59">
        <v>2019</v>
      </c>
      <c r="D136" s="60" t="s">
        <v>185</v>
      </c>
      <c r="E136" s="57" t="s">
        <v>204</v>
      </c>
      <c r="F136" s="36" t="s">
        <v>205</v>
      </c>
      <c r="G136" s="57" t="s">
        <v>42</v>
      </c>
      <c r="H136" s="57" t="s">
        <v>165</v>
      </c>
      <c r="I136" s="57" t="s">
        <v>159</v>
      </c>
      <c r="J136" s="57" t="s">
        <v>38</v>
      </c>
      <c r="K136" s="57" t="s">
        <v>161</v>
      </c>
      <c r="L136" s="36">
        <v>3</v>
      </c>
      <c r="N136" s="57">
        <v>1</v>
      </c>
      <c r="O136" s="58">
        <v>0.5</v>
      </c>
      <c r="P136" s="58">
        <v>0.45</v>
      </c>
      <c r="Q136" s="75">
        <f t="shared" si="6"/>
        <v>0.47499999999999998</v>
      </c>
      <c r="R136" s="36">
        <v>14.2</v>
      </c>
      <c r="S136" s="36">
        <v>126</v>
      </c>
      <c r="T136" s="62">
        <f t="shared" si="7"/>
        <v>27</v>
      </c>
      <c r="U136" s="57">
        <v>95</v>
      </c>
      <c r="V136" s="62">
        <f t="shared" si="8"/>
        <v>2565</v>
      </c>
      <c r="W136" s="36">
        <v>3</v>
      </c>
      <c r="X136" s="57" t="s">
        <v>46</v>
      </c>
      <c r="Y136" s="57" t="s">
        <v>55</v>
      </c>
      <c r="Z136" s="57" t="s">
        <v>69</v>
      </c>
      <c r="AA136" s="57" t="s">
        <v>47</v>
      </c>
      <c r="AB136" s="57" t="s">
        <v>158</v>
      </c>
      <c r="AC136" s="88"/>
      <c r="AD136" s="88"/>
      <c r="AE136" s="88"/>
      <c r="AF136" s="88"/>
      <c r="AG136" s="88"/>
      <c r="AH136" s="88"/>
    </row>
    <row r="137" spans="1:34" x14ac:dyDescent="0.15">
      <c r="A137" s="57" t="s">
        <v>41</v>
      </c>
      <c r="B137" s="58" t="s">
        <v>157</v>
      </c>
      <c r="C137" s="59">
        <v>2019</v>
      </c>
      <c r="D137" s="60" t="s">
        <v>185</v>
      </c>
      <c r="E137" s="57" t="s">
        <v>204</v>
      </c>
      <c r="F137" s="36" t="s">
        <v>205</v>
      </c>
      <c r="G137" s="57" t="s">
        <v>42</v>
      </c>
      <c r="H137" s="57" t="s">
        <v>160</v>
      </c>
      <c r="I137" s="57" t="s">
        <v>159</v>
      </c>
      <c r="J137" s="57" t="s">
        <v>38</v>
      </c>
      <c r="K137" s="57" t="s">
        <v>161</v>
      </c>
      <c r="L137" s="57">
        <v>1</v>
      </c>
      <c r="M137" s="57"/>
      <c r="N137" s="57">
        <v>1</v>
      </c>
      <c r="O137" s="58">
        <v>0.55000000000000004</v>
      </c>
      <c r="P137" s="58">
        <v>0.6</v>
      </c>
      <c r="Q137" s="75">
        <f t="shared" si="6"/>
        <v>0.57499999999999996</v>
      </c>
      <c r="R137" s="36">
        <v>13.8</v>
      </c>
      <c r="S137" s="36">
        <v>121</v>
      </c>
      <c r="T137" s="62">
        <f t="shared" si="7"/>
        <v>27</v>
      </c>
      <c r="U137" s="57">
        <v>138</v>
      </c>
      <c r="V137" s="62">
        <f t="shared" si="8"/>
        <v>3726</v>
      </c>
      <c r="W137" s="57">
        <v>6</v>
      </c>
      <c r="X137" s="57" t="s">
        <v>46</v>
      </c>
      <c r="Y137" s="57" t="s">
        <v>55</v>
      </c>
      <c r="Z137" s="57" t="s">
        <v>69</v>
      </c>
      <c r="AA137" s="57" t="s">
        <v>47</v>
      </c>
      <c r="AB137" s="57" t="s">
        <v>158</v>
      </c>
      <c r="AC137" s="88"/>
      <c r="AD137" s="88"/>
      <c r="AE137" s="88"/>
      <c r="AF137" s="88"/>
      <c r="AG137" s="88"/>
      <c r="AH137" s="88"/>
    </row>
    <row r="138" spans="1:34" x14ac:dyDescent="0.15">
      <c r="A138" s="57" t="s">
        <v>41</v>
      </c>
      <c r="B138" s="58" t="s">
        <v>157</v>
      </c>
      <c r="C138" s="59">
        <v>2019</v>
      </c>
      <c r="D138" s="60" t="s">
        <v>185</v>
      </c>
      <c r="E138" s="57" t="s">
        <v>204</v>
      </c>
      <c r="F138" s="36" t="s">
        <v>205</v>
      </c>
      <c r="G138" s="57" t="s">
        <v>42</v>
      </c>
      <c r="H138" s="57" t="s">
        <v>160</v>
      </c>
      <c r="I138" s="57" t="s">
        <v>159</v>
      </c>
      <c r="J138" s="57" t="s">
        <v>38</v>
      </c>
      <c r="K138" s="57" t="s">
        <v>161</v>
      </c>
      <c r="L138" s="36">
        <v>2</v>
      </c>
      <c r="N138" s="57">
        <v>1</v>
      </c>
      <c r="O138" s="58">
        <v>0.75</v>
      </c>
      <c r="P138" s="58">
        <v>0.55000000000000004</v>
      </c>
      <c r="Q138" s="75">
        <f t="shared" si="6"/>
        <v>0.65</v>
      </c>
      <c r="R138" s="36">
        <v>12.6</v>
      </c>
      <c r="S138" s="36">
        <v>124</v>
      </c>
      <c r="T138" s="62">
        <f t="shared" si="7"/>
        <v>27</v>
      </c>
      <c r="U138" s="57">
        <v>138</v>
      </c>
      <c r="V138" s="62">
        <f t="shared" si="8"/>
        <v>3726</v>
      </c>
      <c r="W138" s="57">
        <v>6</v>
      </c>
      <c r="X138" s="57" t="s">
        <v>46</v>
      </c>
      <c r="Y138" s="57" t="s">
        <v>55</v>
      </c>
      <c r="Z138" s="57" t="s">
        <v>69</v>
      </c>
      <c r="AA138" s="57" t="s">
        <v>47</v>
      </c>
      <c r="AB138" s="57" t="s">
        <v>158</v>
      </c>
      <c r="AC138" s="88"/>
      <c r="AD138" s="88"/>
      <c r="AE138" s="88"/>
      <c r="AF138" s="88"/>
      <c r="AG138" s="88"/>
      <c r="AH138" s="88"/>
    </row>
    <row r="139" spans="1:34" x14ac:dyDescent="0.15">
      <c r="A139" s="57" t="s">
        <v>41</v>
      </c>
      <c r="B139" s="58" t="s">
        <v>157</v>
      </c>
      <c r="C139" s="59">
        <v>2019</v>
      </c>
      <c r="D139" s="60" t="s">
        <v>185</v>
      </c>
      <c r="E139" s="57" t="s">
        <v>204</v>
      </c>
      <c r="F139" s="36" t="s">
        <v>205</v>
      </c>
      <c r="G139" s="57" t="s">
        <v>42</v>
      </c>
      <c r="H139" s="57" t="s">
        <v>160</v>
      </c>
      <c r="I139" s="57" t="s">
        <v>159</v>
      </c>
      <c r="J139" s="57" t="s">
        <v>38</v>
      </c>
      <c r="K139" s="57" t="s">
        <v>161</v>
      </c>
      <c r="L139" s="36">
        <v>3</v>
      </c>
      <c r="N139" s="57">
        <v>1</v>
      </c>
      <c r="O139" s="36">
        <v>0.35</v>
      </c>
      <c r="P139" s="36">
        <v>0.35</v>
      </c>
      <c r="Q139" s="75">
        <f t="shared" si="6"/>
        <v>0.35</v>
      </c>
      <c r="R139" s="36">
        <v>15.4</v>
      </c>
      <c r="S139" s="36">
        <v>126</v>
      </c>
      <c r="T139" s="62">
        <f t="shared" si="7"/>
        <v>27</v>
      </c>
      <c r="U139" s="57">
        <v>138</v>
      </c>
      <c r="V139" s="62">
        <f t="shared" si="8"/>
        <v>3726</v>
      </c>
      <c r="W139" s="36">
        <v>6</v>
      </c>
      <c r="X139" s="57" t="s">
        <v>46</v>
      </c>
      <c r="Y139" s="57" t="s">
        <v>55</v>
      </c>
      <c r="Z139" s="57" t="s">
        <v>69</v>
      </c>
      <c r="AA139" s="57" t="s">
        <v>47</v>
      </c>
      <c r="AB139" s="57" t="s">
        <v>158</v>
      </c>
      <c r="AC139" s="88"/>
      <c r="AD139" s="88"/>
      <c r="AE139" s="88"/>
      <c r="AF139" s="88"/>
      <c r="AG139" s="88"/>
      <c r="AH139" s="88"/>
    </row>
    <row r="140" spans="1:34" x14ac:dyDescent="0.15">
      <c r="A140" s="57" t="s">
        <v>41</v>
      </c>
      <c r="B140" s="58" t="s">
        <v>157</v>
      </c>
      <c r="C140" s="59">
        <v>2019</v>
      </c>
      <c r="D140" s="60" t="s">
        <v>185</v>
      </c>
      <c r="E140" s="57" t="s">
        <v>204</v>
      </c>
      <c r="F140" s="36" t="s">
        <v>205</v>
      </c>
      <c r="G140" s="57" t="s">
        <v>42</v>
      </c>
      <c r="H140" s="57" t="s">
        <v>160</v>
      </c>
      <c r="I140" s="57" t="s">
        <v>159</v>
      </c>
      <c r="J140" s="57" t="s">
        <v>38</v>
      </c>
      <c r="K140" s="57" t="s">
        <v>161</v>
      </c>
      <c r="L140" s="57">
        <v>1</v>
      </c>
      <c r="M140" s="57"/>
      <c r="N140" s="57">
        <v>1</v>
      </c>
      <c r="O140" s="57">
        <v>0.45</v>
      </c>
      <c r="P140" s="57">
        <v>0.35</v>
      </c>
      <c r="Q140" s="75">
        <f t="shared" si="6"/>
        <v>0.4</v>
      </c>
      <c r="R140" s="36">
        <v>15</v>
      </c>
      <c r="S140" s="36">
        <v>158</v>
      </c>
      <c r="T140" s="62">
        <f t="shared" si="7"/>
        <v>22</v>
      </c>
      <c r="U140" s="57">
        <v>170</v>
      </c>
      <c r="V140" s="62">
        <f t="shared" si="8"/>
        <v>3740</v>
      </c>
      <c r="W140" s="57">
        <v>2</v>
      </c>
      <c r="X140" s="57" t="s">
        <v>46</v>
      </c>
      <c r="Y140" s="57" t="s">
        <v>55</v>
      </c>
      <c r="Z140" s="57" t="s">
        <v>69</v>
      </c>
      <c r="AA140" s="57" t="s">
        <v>47</v>
      </c>
      <c r="AB140" s="57" t="s">
        <v>158</v>
      </c>
      <c r="AC140" s="88"/>
      <c r="AD140" s="88"/>
      <c r="AE140" s="88"/>
      <c r="AF140" s="88"/>
      <c r="AG140" s="88"/>
      <c r="AH140" s="88"/>
    </row>
    <row r="141" spans="1:34" x14ac:dyDescent="0.15">
      <c r="A141" s="57" t="s">
        <v>41</v>
      </c>
      <c r="B141" s="58" t="s">
        <v>157</v>
      </c>
      <c r="C141" s="59">
        <v>2019</v>
      </c>
      <c r="D141" s="60" t="s">
        <v>185</v>
      </c>
      <c r="E141" s="57" t="s">
        <v>204</v>
      </c>
      <c r="F141" s="36" t="s">
        <v>205</v>
      </c>
      <c r="G141" s="57" t="s">
        <v>42</v>
      </c>
      <c r="H141" s="57" t="s">
        <v>160</v>
      </c>
      <c r="I141" s="57" t="s">
        <v>159</v>
      </c>
      <c r="J141" s="57" t="s">
        <v>38</v>
      </c>
      <c r="K141" s="57" t="s">
        <v>161</v>
      </c>
      <c r="L141" s="36">
        <v>2</v>
      </c>
      <c r="N141" s="57">
        <v>1</v>
      </c>
      <c r="O141" s="57">
        <v>0.35</v>
      </c>
      <c r="P141" s="57">
        <v>0.25</v>
      </c>
      <c r="Q141" s="75">
        <f t="shared" si="6"/>
        <v>0.3</v>
      </c>
      <c r="R141" s="36">
        <v>16.399999999999999</v>
      </c>
      <c r="S141" s="36">
        <v>167</v>
      </c>
      <c r="T141" s="62">
        <f t="shared" si="7"/>
        <v>22</v>
      </c>
      <c r="U141" s="57">
        <v>170</v>
      </c>
      <c r="V141" s="62">
        <f t="shared" si="8"/>
        <v>3740</v>
      </c>
      <c r="W141" s="36">
        <v>2</v>
      </c>
      <c r="X141" s="57" t="s">
        <v>46</v>
      </c>
      <c r="Y141" s="57" t="s">
        <v>55</v>
      </c>
      <c r="Z141" s="57" t="s">
        <v>69</v>
      </c>
      <c r="AA141" s="57" t="s">
        <v>47</v>
      </c>
      <c r="AB141" s="57" t="s">
        <v>158</v>
      </c>
      <c r="AC141" s="88"/>
      <c r="AD141" s="88"/>
      <c r="AE141" s="88"/>
      <c r="AF141" s="88"/>
      <c r="AG141" s="88"/>
      <c r="AH141" s="88"/>
    </row>
    <row r="142" spans="1:34" x14ac:dyDescent="0.15">
      <c r="A142" s="57" t="s">
        <v>41</v>
      </c>
      <c r="B142" s="58" t="s">
        <v>157</v>
      </c>
      <c r="C142" s="59">
        <v>2019</v>
      </c>
      <c r="D142" s="60" t="s">
        <v>185</v>
      </c>
      <c r="E142" s="57" t="s">
        <v>204</v>
      </c>
      <c r="F142" s="36" t="s">
        <v>205</v>
      </c>
      <c r="G142" s="57" t="s">
        <v>42</v>
      </c>
      <c r="H142" s="57" t="s">
        <v>160</v>
      </c>
      <c r="I142" s="57" t="s">
        <v>159</v>
      </c>
      <c r="J142" s="57" t="s">
        <v>38</v>
      </c>
      <c r="K142" s="57" t="s">
        <v>161</v>
      </c>
      <c r="L142" s="36">
        <v>3</v>
      </c>
      <c r="N142" s="57">
        <v>1</v>
      </c>
      <c r="O142" s="57">
        <v>0.5</v>
      </c>
      <c r="P142" s="57">
        <v>0.5</v>
      </c>
      <c r="Q142" s="90">
        <f t="shared" si="6"/>
        <v>0.5</v>
      </c>
      <c r="R142" s="36">
        <v>12.8</v>
      </c>
      <c r="S142" s="36">
        <v>159</v>
      </c>
      <c r="T142" s="91">
        <f t="shared" si="7"/>
        <v>22</v>
      </c>
      <c r="U142" s="57">
        <v>170</v>
      </c>
      <c r="V142" s="62">
        <f t="shared" si="8"/>
        <v>3740</v>
      </c>
      <c r="W142" s="36">
        <v>2</v>
      </c>
      <c r="X142" s="57" t="s">
        <v>46</v>
      </c>
      <c r="Y142" s="57" t="s">
        <v>55</v>
      </c>
      <c r="Z142" s="57" t="s">
        <v>69</v>
      </c>
      <c r="AA142" s="57" t="s">
        <v>47</v>
      </c>
      <c r="AB142" s="57" t="s">
        <v>158</v>
      </c>
      <c r="AC142" s="88"/>
      <c r="AD142" s="88"/>
      <c r="AE142" s="88"/>
      <c r="AF142" s="88"/>
      <c r="AG142" s="88"/>
      <c r="AH142" s="88"/>
    </row>
    <row r="143" spans="1:34" x14ac:dyDescent="0.15">
      <c r="A143" s="57" t="s">
        <v>41</v>
      </c>
      <c r="B143" s="58" t="s">
        <v>157</v>
      </c>
      <c r="C143" s="59">
        <v>2019</v>
      </c>
      <c r="D143" s="60" t="s">
        <v>185</v>
      </c>
      <c r="E143" s="57" t="s">
        <v>204</v>
      </c>
      <c r="F143" s="36" t="s">
        <v>205</v>
      </c>
      <c r="G143" s="57" t="s">
        <v>42</v>
      </c>
      <c r="H143" s="57" t="s">
        <v>160</v>
      </c>
      <c r="I143" s="57" t="s">
        <v>159</v>
      </c>
      <c r="J143" s="57" t="s">
        <v>38</v>
      </c>
      <c r="K143" s="57" t="s">
        <v>161</v>
      </c>
      <c r="L143" s="57">
        <v>1</v>
      </c>
      <c r="M143" s="57"/>
      <c r="N143" s="57">
        <v>5</v>
      </c>
      <c r="O143" s="57">
        <v>0.7</v>
      </c>
      <c r="P143" s="57">
        <v>0.65</v>
      </c>
      <c r="Q143" s="90">
        <f t="shared" si="6"/>
        <v>0.67500000000000004</v>
      </c>
      <c r="R143" s="36">
        <v>17.399999999999999</v>
      </c>
      <c r="S143" s="36">
        <v>120</v>
      </c>
      <c r="T143" s="91">
        <f t="shared" si="7"/>
        <v>30</v>
      </c>
      <c r="U143" s="57">
        <v>626</v>
      </c>
      <c r="V143" s="62">
        <f t="shared" si="8"/>
        <v>3756</v>
      </c>
      <c r="W143" s="57">
        <v>3</v>
      </c>
      <c r="X143" s="57" t="s">
        <v>46</v>
      </c>
      <c r="Y143" s="57" t="s">
        <v>55</v>
      </c>
      <c r="Z143" s="57" t="s">
        <v>69</v>
      </c>
      <c r="AA143" s="57" t="s">
        <v>47</v>
      </c>
      <c r="AB143" s="57" t="s">
        <v>158</v>
      </c>
      <c r="AC143" s="88"/>
      <c r="AD143" s="88"/>
      <c r="AE143" s="88"/>
      <c r="AF143" s="88"/>
      <c r="AG143" s="88"/>
      <c r="AH143" s="88"/>
    </row>
    <row r="144" spans="1:34" x14ac:dyDescent="0.15">
      <c r="A144" s="57" t="s">
        <v>41</v>
      </c>
      <c r="B144" s="58" t="s">
        <v>157</v>
      </c>
      <c r="C144" s="59">
        <v>2019</v>
      </c>
      <c r="D144" s="60" t="s">
        <v>185</v>
      </c>
      <c r="E144" s="57" t="s">
        <v>204</v>
      </c>
      <c r="F144" s="36" t="s">
        <v>205</v>
      </c>
      <c r="G144" s="57" t="s">
        <v>42</v>
      </c>
      <c r="H144" s="57" t="s">
        <v>160</v>
      </c>
      <c r="I144" s="57" t="s">
        <v>159</v>
      </c>
      <c r="J144" s="57" t="s">
        <v>38</v>
      </c>
      <c r="K144" s="57" t="s">
        <v>161</v>
      </c>
      <c r="L144" s="36">
        <v>2</v>
      </c>
      <c r="N144" s="57">
        <v>5</v>
      </c>
      <c r="O144" s="57">
        <v>0.8</v>
      </c>
      <c r="P144" s="57">
        <v>0.9</v>
      </c>
      <c r="Q144" s="90">
        <f t="shared" si="6"/>
        <v>0.85000000000000009</v>
      </c>
      <c r="R144" s="36">
        <v>15.8</v>
      </c>
      <c r="S144" s="36">
        <v>118</v>
      </c>
      <c r="T144" s="91">
        <f t="shared" si="7"/>
        <v>30</v>
      </c>
      <c r="U144" s="57">
        <v>626</v>
      </c>
      <c r="V144" s="62">
        <f t="shared" si="8"/>
        <v>3756</v>
      </c>
      <c r="W144" s="36">
        <v>3</v>
      </c>
      <c r="X144" s="57" t="s">
        <v>46</v>
      </c>
      <c r="Y144" s="57" t="s">
        <v>55</v>
      </c>
      <c r="Z144" s="57" t="s">
        <v>69</v>
      </c>
      <c r="AA144" s="57" t="s">
        <v>47</v>
      </c>
      <c r="AB144" s="57" t="s">
        <v>158</v>
      </c>
      <c r="AC144" s="88"/>
      <c r="AD144" s="88"/>
      <c r="AE144" s="88"/>
      <c r="AF144" s="88"/>
      <c r="AG144" s="88"/>
      <c r="AH144" s="88"/>
    </row>
    <row r="145" spans="1:34" x14ac:dyDescent="0.15">
      <c r="A145" s="57" t="s">
        <v>41</v>
      </c>
      <c r="B145" s="58" t="s">
        <v>157</v>
      </c>
      <c r="C145" s="59">
        <v>2019</v>
      </c>
      <c r="D145" s="60" t="s">
        <v>185</v>
      </c>
      <c r="E145" s="57" t="s">
        <v>204</v>
      </c>
      <c r="F145" s="36" t="s">
        <v>205</v>
      </c>
      <c r="G145" s="57" t="s">
        <v>42</v>
      </c>
      <c r="H145" s="57" t="s">
        <v>160</v>
      </c>
      <c r="I145" s="57" t="s">
        <v>159</v>
      </c>
      <c r="J145" s="57" t="s">
        <v>38</v>
      </c>
      <c r="K145" s="57" t="s">
        <v>161</v>
      </c>
      <c r="L145" s="36">
        <v>3</v>
      </c>
      <c r="N145" s="57">
        <v>5</v>
      </c>
      <c r="O145" s="57">
        <v>0.9</v>
      </c>
      <c r="P145" s="57">
        <v>0.75</v>
      </c>
      <c r="Q145" s="90">
        <f t="shared" si="6"/>
        <v>0.82499999999999996</v>
      </c>
      <c r="R145" s="36">
        <v>15.4</v>
      </c>
      <c r="S145" s="36">
        <v>114</v>
      </c>
      <c r="T145" s="91">
        <f t="shared" si="7"/>
        <v>30</v>
      </c>
      <c r="U145" s="57">
        <v>626</v>
      </c>
      <c r="V145" s="91">
        <f t="shared" si="8"/>
        <v>3756</v>
      </c>
      <c r="W145" s="36">
        <v>3</v>
      </c>
      <c r="X145" s="57" t="s">
        <v>46</v>
      </c>
      <c r="Y145" s="57" t="s">
        <v>55</v>
      </c>
      <c r="Z145" s="57" t="s">
        <v>69</v>
      </c>
      <c r="AA145" s="57" t="s">
        <v>47</v>
      </c>
      <c r="AB145" s="57" t="s">
        <v>158</v>
      </c>
      <c r="AC145" s="88"/>
      <c r="AD145" s="88"/>
      <c r="AE145" s="88"/>
      <c r="AF145" s="88"/>
      <c r="AG145" s="88"/>
      <c r="AH145" s="88"/>
    </row>
    <row r="146" spans="1:34" s="57" customFormat="1" x14ac:dyDescent="0.15">
      <c r="A146" s="57" t="s">
        <v>41</v>
      </c>
      <c r="B146" s="58" t="s">
        <v>157</v>
      </c>
      <c r="C146" s="59">
        <v>2019</v>
      </c>
      <c r="D146" s="60" t="s">
        <v>185</v>
      </c>
      <c r="E146" s="57" t="s">
        <v>210</v>
      </c>
      <c r="F146" s="57" t="s">
        <v>211</v>
      </c>
      <c r="G146" s="57" t="s">
        <v>42</v>
      </c>
      <c r="H146" s="57" t="s">
        <v>165</v>
      </c>
      <c r="I146" s="57" t="s">
        <v>159</v>
      </c>
      <c r="J146" s="57" t="s">
        <v>38</v>
      </c>
      <c r="K146" s="57" t="s">
        <v>161</v>
      </c>
      <c r="L146" s="57">
        <v>1</v>
      </c>
      <c r="N146" s="57">
        <v>1</v>
      </c>
      <c r="O146" s="57">
        <v>0.45</v>
      </c>
      <c r="P146" s="57">
        <v>0.5</v>
      </c>
      <c r="Q146" s="90">
        <f t="shared" si="6"/>
        <v>0.47499999999999998</v>
      </c>
      <c r="R146" s="57">
        <v>12.5</v>
      </c>
      <c r="S146" s="57">
        <v>133</v>
      </c>
      <c r="T146" s="91">
        <f t="shared" si="7"/>
        <v>25</v>
      </c>
      <c r="U146" s="57">
        <v>137</v>
      </c>
      <c r="V146" s="91">
        <f t="shared" si="8"/>
        <v>3425</v>
      </c>
      <c r="W146" s="57">
        <v>2</v>
      </c>
      <c r="X146" s="57" t="s">
        <v>46</v>
      </c>
      <c r="Y146" s="57" t="s">
        <v>69</v>
      </c>
      <c r="Z146" s="57" t="s">
        <v>47</v>
      </c>
      <c r="AA146" s="57" t="s">
        <v>55</v>
      </c>
      <c r="AB146" s="57" t="s">
        <v>158</v>
      </c>
      <c r="AC146" s="92"/>
      <c r="AD146" s="92"/>
      <c r="AE146" s="92"/>
      <c r="AF146" s="92"/>
      <c r="AG146" s="92"/>
      <c r="AH146" s="92"/>
    </row>
    <row r="147" spans="1:34" s="57" customFormat="1" x14ac:dyDescent="0.15">
      <c r="A147" s="57" t="s">
        <v>41</v>
      </c>
      <c r="B147" s="58" t="s">
        <v>157</v>
      </c>
      <c r="C147" s="59">
        <v>2019</v>
      </c>
      <c r="D147" s="60" t="s">
        <v>185</v>
      </c>
      <c r="E147" s="57" t="s">
        <v>210</v>
      </c>
      <c r="F147" s="57" t="s">
        <v>211</v>
      </c>
      <c r="G147" s="57" t="s">
        <v>42</v>
      </c>
      <c r="H147" s="57" t="s">
        <v>165</v>
      </c>
      <c r="I147" s="57" t="s">
        <v>159</v>
      </c>
      <c r="J147" s="57" t="s">
        <v>38</v>
      </c>
      <c r="K147" s="57" t="s">
        <v>161</v>
      </c>
      <c r="L147" s="57">
        <v>2</v>
      </c>
      <c r="N147" s="57">
        <v>1</v>
      </c>
      <c r="O147" s="57">
        <v>0.5</v>
      </c>
      <c r="P147" s="57">
        <v>0.45</v>
      </c>
      <c r="Q147" s="90">
        <f t="shared" si="6"/>
        <v>0.47499999999999998</v>
      </c>
      <c r="R147" s="57">
        <v>13.7</v>
      </c>
      <c r="S147" s="57">
        <v>128</v>
      </c>
      <c r="T147" s="91">
        <f t="shared" si="7"/>
        <v>27</v>
      </c>
      <c r="U147" s="57">
        <v>137</v>
      </c>
      <c r="V147" s="91">
        <f t="shared" si="8"/>
        <v>3699</v>
      </c>
      <c r="W147" s="57">
        <v>2</v>
      </c>
      <c r="X147" s="57" t="s">
        <v>46</v>
      </c>
      <c r="Y147" s="57" t="s">
        <v>69</v>
      </c>
      <c r="Z147" s="57" t="s">
        <v>47</v>
      </c>
      <c r="AA147" s="57" t="s">
        <v>55</v>
      </c>
      <c r="AB147" s="57" t="s">
        <v>158</v>
      </c>
      <c r="AC147" s="92"/>
      <c r="AD147" s="92"/>
      <c r="AE147" s="92"/>
      <c r="AF147" s="92"/>
      <c r="AG147" s="92"/>
      <c r="AH147" s="92"/>
    </row>
    <row r="148" spans="1:34" s="57" customFormat="1" x14ac:dyDescent="0.15">
      <c r="A148" s="57" t="s">
        <v>41</v>
      </c>
      <c r="B148" s="58" t="s">
        <v>157</v>
      </c>
      <c r="C148" s="59">
        <v>2019</v>
      </c>
      <c r="D148" s="60" t="s">
        <v>185</v>
      </c>
      <c r="E148" s="57" t="s">
        <v>210</v>
      </c>
      <c r="F148" s="57" t="s">
        <v>211</v>
      </c>
      <c r="G148" s="57" t="s">
        <v>42</v>
      </c>
      <c r="H148" s="57" t="s">
        <v>165</v>
      </c>
      <c r="I148" s="57" t="s">
        <v>159</v>
      </c>
      <c r="J148" s="57" t="s">
        <v>38</v>
      </c>
      <c r="K148" s="57" t="s">
        <v>161</v>
      </c>
      <c r="L148" s="57">
        <v>3</v>
      </c>
      <c r="N148" s="57">
        <v>1</v>
      </c>
      <c r="O148" s="57">
        <v>0.35</v>
      </c>
      <c r="P148" s="57">
        <v>0.4</v>
      </c>
      <c r="Q148" s="90">
        <f t="shared" si="6"/>
        <v>0.375</v>
      </c>
      <c r="R148" s="57">
        <v>14.5</v>
      </c>
      <c r="S148" s="57">
        <v>127</v>
      </c>
      <c r="T148" s="91">
        <f t="shared" si="7"/>
        <v>27</v>
      </c>
      <c r="U148" s="57">
        <v>137</v>
      </c>
      <c r="V148" s="91">
        <f t="shared" si="8"/>
        <v>3699</v>
      </c>
      <c r="W148" s="57">
        <v>2</v>
      </c>
      <c r="X148" s="57" t="s">
        <v>46</v>
      </c>
      <c r="Y148" s="57" t="s">
        <v>69</v>
      </c>
      <c r="Z148" s="57" t="s">
        <v>47</v>
      </c>
      <c r="AA148" s="57" t="s">
        <v>55</v>
      </c>
      <c r="AB148" s="57" t="s">
        <v>158</v>
      </c>
      <c r="AC148" s="92"/>
      <c r="AD148" s="92"/>
      <c r="AE148" s="92"/>
      <c r="AF148" s="92"/>
      <c r="AG148" s="92"/>
      <c r="AH148" s="92"/>
    </row>
    <row r="149" spans="1:34" s="57" customFormat="1" x14ac:dyDescent="0.15">
      <c r="A149" s="57" t="s">
        <v>41</v>
      </c>
      <c r="B149" s="58" t="s">
        <v>157</v>
      </c>
      <c r="C149" s="59">
        <v>2019</v>
      </c>
      <c r="D149" s="60" t="s">
        <v>185</v>
      </c>
      <c r="E149" s="57" t="s">
        <v>210</v>
      </c>
      <c r="F149" s="57" t="s">
        <v>211</v>
      </c>
      <c r="G149" s="57" t="s">
        <v>42</v>
      </c>
      <c r="H149" s="57" t="s">
        <v>165</v>
      </c>
      <c r="I149" s="57" t="s">
        <v>159</v>
      </c>
      <c r="J149" s="57" t="s">
        <v>38</v>
      </c>
      <c r="K149" s="57" t="s">
        <v>161</v>
      </c>
      <c r="L149" s="57">
        <v>1</v>
      </c>
      <c r="N149" s="57">
        <v>4</v>
      </c>
      <c r="O149" s="57">
        <v>0.75</v>
      </c>
      <c r="P149" s="57">
        <v>0.65</v>
      </c>
      <c r="Q149" s="90">
        <f t="shared" si="6"/>
        <v>0.7</v>
      </c>
      <c r="R149" s="57">
        <v>11.4</v>
      </c>
      <c r="S149" s="57">
        <v>121</v>
      </c>
      <c r="T149" s="91">
        <f t="shared" si="7"/>
        <v>27</v>
      </c>
      <c r="U149" s="57">
        <v>428</v>
      </c>
      <c r="V149" s="91">
        <f t="shared" si="8"/>
        <v>2889</v>
      </c>
      <c r="W149" s="57">
        <v>3</v>
      </c>
      <c r="X149" s="57" t="s">
        <v>46</v>
      </c>
      <c r="Y149" s="57" t="s">
        <v>69</v>
      </c>
      <c r="Z149" s="57" t="s">
        <v>47</v>
      </c>
      <c r="AA149" s="57" t="s">
        <v>55</v>
      </c>
      <c r="AB149" s="57" t="s">
        <v>158</v>
      </c>
      <c r="AC149" s="92"/>
      <c r="AD149" s="92"/>
      <c r="AE149" s="92"/>
      <c r="AF149" s="92"/>
      <c r="AG149" s="92"/>
      <c r="AH149" s="92"/>
    </row>
    <row r="150" spans="1:34" s="57" customFormat="1" x14ac:dyDescent="0.15">
      <c r="A150" s="57" t="s">
        <v>41</v>
      </c>
      <c r="B150" s="58" t="s">
        <v>157</v>
      </c>
      <c r="C150" s="59">
        <v>2019</v>
      </c>
      <c r="D150" s="60" t="s">
        <v>185</v>
      </c>
      <c r="E150" s="57" t="s">
        <v>210</v>
      </c>
      <c r="F150" s="57" t="s">
        <v>211</v>
      </c>
      <c r="G150" s="57" t="s">
        <v>42</v>
      </c>
      <c r="H150" s="57" t="s">
        <v>165</v>
      </c>
      <c r="I150" s="57" t="s">
        <v>159</v>
      </c>
      <c r="J150" s="57" t="s">
        <v>38</v>
      </c>
      <c r="K150" s="57" t="s">
        <v>161</v>
      </c>
      <c r="L150" s="57">
        <v>2</v>
      </c>
      <c r="N150" s="57">
        <v>4</v>
      </c>
      <c r="O150" s="57">
        <v>0.8</v>
      </c>
      <c r="P150" s="57">
        <v>0.7</v>
      </c>
      <c r="Q150" s="90">
        <f t="shared" si="6"/>
        <v>0.75</v>
      </c>
      <c r="R150" s="57">
        <v>12.6</v>
      </c>
      <c r="S150" s="57">
        <v>125</v>
      </c>
      <c r="T150" s="91">
        <f t="shared" si="7"/>
        <v>27</v>
      </c>
      <c r="U150" s="57">
        <v>428</v>
      </c>
      <c r="V150" s="91">
        <f t="shared" si="8"/>
        <v>2889</v>
      </c>
      <c r="W150" s="57">
        <v>3</v>
      </c>
      <c r="X150" s="57" t="s">
        <v>46</v>
      </c>
      <c r="Y150" s="57" t="s">
        <v>69</v>
      </c>
      <c r="Z150" s="57" t="s">
        <v>47</v>
      </c>
      <c r="AA150" s="57" t="s">
        <v>55</v>
      </c>
      <c r="AB150" s="57" t="s">
        <v>158</v>
      </c>
      <c r="AC150" s="92"/>
      <c r="AD150" s="92"/>
      <c r="AE150" s="92"/>
      <c r="AF150" s="92"/>
      <c r="AG150" s="92"/>
      <c r="AH150" s="92"/>
    </row>
    <row r="151" spans="1:34" s="57" customFormat="1" x14ac:dyDescent="0.15">
      <c r="A151" s="57" t="s">
        <v>41</v>
      </c>
      <c r="B151" s="58" t="s">
        <v>157</v>
      </c>
      <c r="C151" s="59">
        <v>2019</v>
      </c>
      <c r="D151" s="60" t="s">
        <v>185</v>
      </c>
      <c r="E151" s="57" t="s">
        <v>210</v>
      </c>
      <c r="F151" s="57" t="s">
        <v>211</v>
      </c>
      <c r="G151" s="57" t="s">
        <v>42</v>
      </c>
      <c r="H151" s="57" t="s">
        <v>165</v>
      </c>
      <c r="I151" s="57" t="s">
        <v>159</v>
      </c>
      <c r="J151" s="57" t="s">
        <v>38</v>
      </c>
      <c r="K151" s="57" t="s">
        <v>161</v>
      </c>
      <c r="L151" s="57">
        <v>3</v>
      </c>
      <c r="N151" s="57">
        <v>4</v>
      </c>
      <c r="O151" s="57">
        <v>0.6</v>
      </c>
      <c r="P151" s="57">
        <v>0.55000000000000004</v>
      </c>
      <c r="Q151" s="90">
        <f t="shared" si="6"/>
        <v>0.57499999999999996</v>
      </c>
      <c r="R151" s="57">
        <v>15.4</v>
      </c>
      <c r="S151" s="57">
        <v>126</v>
      </c>
      <c r="T151" s="91">
        <f t="shared" si="7"/>
        <v>27</v>
      </c>
      <c r="U151" s="57">
        <v>428</v>
      </c>
      <c r="V151" s="91">
        <f t="shared" si="8"/>
        <v>2889</v>
      </c>
      <c r="W151" s="57">
        <v>3</v>
      </c>
      <c r="X151" s="57" t="s">
        <v>46</v>
      </c>
      <c r="Y151" s="57" t="s">
        <v>69</v>
      </c>
      <c r="Z151" s="57" t="s">
        <v>47</v>
      </c>
      <c r="AA151" s="57" t="s">
        <v>55</v>
      </c>
      <c r="AB151" s="57" t="s">
        <v>158</v>
      </c>
      <c r="AC151" s="92"/>
      <c r="AD151" s="92"/>
      <c r="AE151" s="92"/>
      <c r="AF151" s="92"/>
      <c r="AG151" s="92"/>
      <c r="AH151" s="92"/>
    </row>
    <row r="152" spans="1:34" s="57" customFormat="1" x14ac:dyDescent="0.15">
      <c r="A152" s="57" t="s">
        <v>41</v>
      </c>
      <c r="B152" s="58" t="s">
        <v>157</v>
      </c>
      <c r="C152" s="59">
        <v>2019</v>
      </c>
      <c r="D152" s="60" t="s">
        <v>185</v>
      </c>
      <c r="E152" s="57" t="s">
        <v>210</v>
      </c>
      <c r="F152" s="57" t="s">
        <v>211</v>
      </c>
      <c r="G152" s="57" t="s">
        <v>42</v>
      </c>
      <c r="H152" s="57" t="s">
        <v>160</v>
      </c>
      <c r="I152" s="57" t="s">
        <v>159</v>
      </c>
      <c r="J152" s="57" t="s">
        <v>38</v>
      </c>
      <c r="K152" s="57" t="s">
        <v>161</v>
      </c>
      <c r="L152" s="57">
        <v>1</v>
      </c>
      <c r="N152" s="57">
        <v>1</v>
      </c>
      <c r="O152" s="57">
        <v>0.45</v>
      </c>
      <c r="P152" s="57">
        <v>0.5</v>
      </c>
      <c r="Q152" s="90">
        <f t="shared" si="6"/>
        <v>0.47499999999999998</v>
      </c>
      <c r="R152" s="57">
        <v>16.8</v>
      </c>
      <c r="S152" s="57">
        <v>127</v>
      </c>
      <c r="T152" s="91">
        <f t="shared" si="7"/>
        <v>27</v>
      </c>
      <c r="U152" s="57">
        <v>137</v>
      </c>
      <c r="V152" s="91">
        <f t="shared" si="8"/>
        <v>3699</v>
      </c>
      <c r="W152" s="57">
        <v>4</v>
      </c>
      <c r="X152" s="57" t="s">
        <v>46</v>
      </c>
      <c r="Y152" s="57" t="s">
        <v>69</v>
      </c>
      <c r="Z152" s="57" t="s">
        <v>47</v>
      </c>
      <c r="AA152" s="57" t="s">
        <v>55</v>
      </c>
      <c r="AB152" s="57" t="s">
        <v>158</v>
      </c>
      <c r="AC152" s="92"/>
      <c r="AD152" s="92"/>
      <c r="AE152" s="92"/>
      <c r="AF152" s="92"/>
      <c r="AG152" s="92"/>
      <c r="AH152" s="92"/>
    </row>
    <row r="153" spans="1:34" s="57" customFormat="1" x14ac:dyDescent="0.15">
      <c r="A153" s="57" t="s">
        <v>41</v>
      </c>
      <c r="B153" s="58" t="s">
        <v>157</v>
      </c>
      <c r="C153" s="59">
        <v>2019</v>
      </c>
      <c r="D153" s="60" t="s">
        <v>185</v>
      </c>
      <c r="E153" s="57" t="s">
        <v>210</v>
      </c>
      <c r="F153" s="57" t="s">
        <v>211</v>
      </c>
      <c r="G153" s="57" t="s">
        <v>42</v>
      </c>
      <c r="H153" s="57" t="s">
        <v>160</v>
      </c>
      <c r="I153" s="57" t="s">
        <v>159</v>
      </c>
      <c r="J153" s="57" t="s">
        <v>38</v>
      </c>
      <c r="K153" s="57" t="s">
        <v>161</v>
      </c>
      <c r="L153" s="57">
        <v>2</v>
      </c>
      <c r="N153" s="57">
        <v>1</v>
      </c>
      <c r="O153" s="57">
        <v>0.35</v>
      </c>
      <c r="P153" s="57">
        <v>0.45</v>
      </c>
      <c r="Q153" s="90">
        <f t="shared" si="6"/>
        <v>0.4</v>
      </c>
      <c r="R153" s="57">
        <v>14.7</v>
      </c>
      <c r="S153" s="57">
        <v>126</v>
      </c>
      <c r="T153" s="91">
        <f t="shared" si="7"/>
        <v>27</v>
      </c>
      <c r="U153" s="57">
        <v>137</v>
      </c>
      <c r="V153" s="91">
        <f t="shared" si="8"/>
        <v>3699</v>
      </c>
      <c r="W153" s="57">
        <v>4</v>
      </c>
      <c r="X153" s="57" t="s">
        <v>46</v>
      </c>
      <c r="Y153" s="57" t="s">
        <v>69</v>
      </c>
      <c r="Z153" s="57" t="s">
        <v>47</v>
      </c>
      <c r="AA153" s="57" t="s">
        <v>55</v>
      </c>
      <c r="AB153" s="57" t="s">
        <v>158</v>
      </c>
      <c r="AC153" s="92"/>
      <c r="AD153" s="92"/>
      <c r="AE153" s="92"/>
      <c r="AF153" s="92"/>
      <c r="AG153" s="92"/>
      <c r="AH153" s="92"/>
    </row>
    <row r="154" spans="1:34" s="57" customFormat="1" x14ac:dyDescent="0.15">
      <c r="A154" s="57" t="s">
        <v>41</v>
      </c>
      <c r="B154" s="58" t="s">
        <v>157</v>
      </c>
      <c r="C154" s="59">
        <v>2019</v>
      </c>
      <c r="D154" s="60" t="s">
        <v>185</v>
      </c>
      <c r="E154" s="57" t="s">
        <v>210</v>
      </c>
      <c r="F154" s="57" t="s">
        <v>211</v>
      </c>
      <c r="G154" s="57" t="s">
        <v>42</v>
      </c>
      <c r="H154" s="57" t="s">
        <v>160</v>
      </c>
      <c r="I154" s="57" t="s">
        <v>159</v>
      </c>
      <c r="J154" s="57" t="s">
        <v>38</v>
      </c>
      <c r="K154" s="57" t="s">
        <v>161</v>
      </c>
      <c r="L154" s="57">
        <v>3</v>
      </c>
      <c r="N154" s="57">
        <v>1</v>
      </c>
      <c r="O154" s="57">
        <v>0.55000000000000004</v>
      </c>
      <c r="P154" s="57">
        <v>0.6</v>
      </c>
      <c r="Q154" s="90">
        <f t="shared" si="6"/>
        <v>0.57499999999999996</v>
      </c>
      <c r="R154" s="57">
        <v>14.2</v>
      </c>
      <c r="S154" s="57">
        <v>123</v>
      </c>
      <c r="T154" s="91">
        <f t="shared" si="7"/>
        <v>27</v>
      </c>
      <c r="U154" s="57">
        <v>137</v>
      </c>
      <c r="V154" s="91">
        <f t="shared" si="8"/>
        <v>3699</v>
      </c>
      <c r="W154" s="57">
        <v>4</v>
      </c>
      <c r="X154" s="57" t="s">
        <v>46</v>
      </c>
      <c r="Y154" s="57" t="s">
        <v>69</v>
      </c>
      <c r="Z154" s="57" t="s">
        <v>47</v>
      </c>
      <c r="AA154" s="57" t="s">
        <v>55</v>
      </c>
      <c r="AB154" s="57" t="s">
        <v>158</v>
      </c>
      <c r="AC154" s="92"/>
      <c r="AD154" s="92"/>
      <c r="AE154" s="92"/>
      <c r="AF154" s="92"/>
      <c r="AG154" s="92"/>
      <c r="AH154" s="92"/>
    </row>
    <row r="155" spans="1:34" s="57" customFormat="1" x14ac:dyDescent="0.15">
      <c r="A155" s="57" t="s">
        <v>41</v>
      </c>
      <c r="B155" s="58" t="s">
        <v>157</v>
      </c>
      <c r="C155" s="59">
        <v>2019</v>
      </c>
      <c r="D155" s="60" t="s">
        <v>185</v>
      </c>
      <c r="E155" s="57" t="s">
        <v>210</v>
      </c>
      <c r="F155" s="57" t="s">
        <v>211</v>
      </c>
      <c r="G155" s="57" t="s">
        <v>42</v>
      </c>
      <c r="H155" s="57" t="s">
        <v>160</v>
      </c>
      <c r="I155" s="57" t="s">
        <v>159</v>
      </c>
      <c r="J155" s="57" t="s">
        <v>38</v>
      </c>
      <c r="K155" s="57" t="s">
        <v>161</v>
      </c>
      <c r="L155" s="57">
        <v>1</v>
      </c>
      <c r="N155" s="57">
        <v>4</v>
      </c>
      <c r="O155" s="57">
        <v>0.65</v>
      </c>
      <c r="P155" s="57">
        <v>0.7</v>
      </c>
      <c r="Q155" s="90">
        <f t="shared" si="6"/>
        <v>0.67500000000000004</v>
      </c>
      <c r="R155" s="57">
        <v>12.1</v>
      </c>
      <c r="S155" s="57">
        <v>122</v>
      </c>
      <c r="T155" s="91">
        <f t="shared" si="7"/>
        <v>27</v>
      </c>
      <c r="U155" s="57">
        <v>428</v>
      </c>
      <c r="V155" s="91">
        <f t="shared" si="8"/>
        <v>2889</v>
      </c>
      <c r="W155" s="57">
        <v>3</v>
      </c>
      <c r="X155" s="57" t="s">
        <v>46</v>
      </c>
      <c r="Y155" s="57" t="s">
        <v>69</v>
      </c>
      <c r="Z155" s="57" t="s">
        <v>47</v>
      </c>
      <c r="AA155" s="57" t="s">
        <v>55</v>
      </c>
      <c r="AB155" s="57" t="s">
        <v>158</v>
      </c>
      <c r="AC155" s="92"/>
      <c r="AD155" s="92"/>
      <c r="AE155" s="92"/>
      <c r="AF155" s="92"/>
      <c r="AG155" s="92"/>
      <c r="AH155" s="92"/>
    </row>
    <row r="156" spans="1:34" s="57" customFormat="1" x14ac:dyDescent="0.15">
      <c r="A156" s="57" t="s">
        <v>41</v>
      </c>
      <c r="B156" s="58" t="s">
        <v>157</v>
      </c>
      <c r="C156" s="59">
        <v>2019</v>
      </c>
      <c r="D156" s="60" t="s">
        <v>185</v>
      </c>
      <c r="E156" s="57" t="s">
        <v>210</v>
      </c>
      <c r="F156" s="57" t="s">
        <v>211</v>
      </c>
      <c r="G156" s="57" t="s">
        <v>42</v>
      </c>
      <c r="H156" s="57" t="s">
        <v>160</v>
      </c>
      <c r="I156" s="57" t="s">
        <v>159</v>
      </c>
      <c r="J156" s="57" t="s">
        <v>38</v>
      </c>
      <c r="K156" s="57" t="s">
        <v>161</v>
      </c>
      <c r="L156" s="57">
        <v>2</v>
      </c>
      <c r="N156" s="57">
        <v>4</v>
      </c>
      <c r="O156" s="57">
        <v>0.7</v>
      </c>
      <c r="P156" s="57">
        <v>0.85</v>
      </c>
      <c r="Q156" s="90">
        <f t="shared" si="6"/>
        <v>0.77499999999999991</v>
      </c>
      <c r="R156" s="57">
        <v>12.3</v>
      </c>
      <c r="S156" s="57">
        <v>127</v>
      </c>
      <c r="T156" s="91">
        <f t="shared" si="7"/>
        <v>27</v>
      </c>
      <c r="U156" s="57">
        <v>428</v>
      </c>
      <c r="V156" s="91">
        <f t="shared" si="8"/>
        <v>2889</v>
      </c>
      <c r="W156" s="57">
        <v>3</v>
      </c>
      <c r="X156" s="57" t="s">
        <v>46</v>
      </c>
      <c r="Y156" s="57" t="s">
        <v>69</v>
      </c>
      <c r="Z156" s="57" t="s">
        <v>47</v>
      </c>
      <c r="AA156" s="57" t="s">
        <v>55</v>
      </c>
      <c r="AB156" s="57" t="s">
        <v>158</v>
      </c>
      <c r="AC156" s="92"/>
      <c r="AD156" s="92"/>
      <c r="AE156" s="92"/>
      <c r="AF156" s="92"/>
      <c r="AG156" s="92"/>
      <c r="AH156" s="92"/>
    </row>
    <row r="157" spans="1:34" s="57" customFormat="1" x14ac:dyDescent="0.15">
      <c r="A157" s="57" t="s">
        <v>41</v>
      </c>
      <c r="B157" s="58" t="s">
        <v>157</v>
      </c>
      <c r="C157" s="59">
        <v>2019</v>
      </c>
      <c r="D157" s="60" t="s">
        <v>185</v>
      </c>
      <c r="E157" s="57" t="s">
        <v>210</v>
      </c>
      <c r="F157" s="57" t="s">
        <v>211</v>
      </c>
      <c r="G157" s="57" t="s">
        <v>42</v>
      </c>
      <c r="H157" s="57" t="s">
        <v>160</v>
      </c>
      <c r="I157" s="57" t="s">
        <v>159</v>
      </c>
      <c r="J157" s="57" t="s">
        <v>38</v>
      </c>
      <c r="K157" s="57" t="s">
        <v>161</v>
      </c>
      <c r="L157" s="57">
        <v>3</v>
      </c>
      <c r="N157" s="57">
        <v>4</v>
      </c>
      <c r="O157" s="57">
        <v>0.85</v>
      </c>
      <c r="P157" s="57">
        <v>0.65</v>
      </c>
      <c r="Q157" s="90">
        <f t="shared" si="6"/>
        <v>0.75</v>
      </c>
      <c r="R157" s="57">
        <v>15</v>
      </c>
      <c r="S157" s="57">
        <v>125</v>
      </c>
      <c r="T157" s="91">
        <f t="shared" si="7"/>
        <v>27</v>
      </c>
      <c r="U157" s="57">
        <v>428</v>
      </c>
      <c r="V157" s="91">
        <f t="shared" si="8"/>
        <v>2889</v>
      </c>
      <c r="W157" s="57">
        <v>3</v>
      </c>
      <c r="X157" s="57" t="s">
        <v>46</v>
      </c>
      <c r="Y157" s="57" t="s">
        <v>69</v>
      </c>
      <c r="Z157" s="57" t="s">
        <v>47</v>
      </c>
      <c r="AA157" s="57" t="s">
        <v>55</v>
      </c>
      <c r="AB157" s="57" t="s">
        <v>158</v>
      </c>
      <c r="AC157" s="92"/>
      <c r="AD157" s="92"/>
      <c r="AE157" s="92"/>
      <c r="AF157" s="92"/>
      <c r="AG157" s="92"/>
      <c r="AH157" s="92"/>
    </row>
    <row r="158" spans="1:34" x14ac:dyDescent="0.15">
      <c r="K158" s="57"/>
      <c r="Q158" s="75" t="str">
        <f t="shared" si="6"/>
        <v/>
      </c>
      <c r="T158" s="62" t="str">
        <f t="shared" si="7"/>
        <v/>
      </c>
      <c r="V158" s="62" t="str">
        <f t="shared" si="8"/>
        <v/>
      </c>
      <c r="Y158" s="57"/>
    </row>
    <row r="159" spans="1:34" x14ac:dyDescent="0.15">
      <c r="K159" s="57"/>
      <c r="Q159" s="75" t="str">
        <f t="shared" si="6"/>
        <v/>
      </c>
      <c r="T159" s="62" t="str">
        <f t="shared" si="7"/>
        <v/>
      </c>
      <c r="V159" s="62" t="str">
        <f t="shared" si="8"/>
        <v/>
      </c>
      <c r="Y159" s="57"/>
    </row>
    <row r="160" spans="1:34" x14ac:dyDescent="0.15">
      <c r="K160" s="57"/>
      <c r="Q160" s="75" t="str">
        <f t="shared" si="6"/>
        <v/>
      </c>
      <c r="T160" s="62" t="str">
        <f t="shared" si="7"/>
        <v/>
      </c>
      <c r="V160" s="62" t="str">
        <f t="shared" si="8"/>
        <v/>
      </c>
      <c r="Y160" s="57"/>
    </row>
    <row r="161" spans="11:25" x14ac:dyDescent="0.15">
      <c r="K161" s="57"/>
      <c r="Q161" s="75" t="str">
        <f t="shared" si="6"/>
        <v/>
      </c>
      <c r="T161" s="62" t="str">
        <f t="shared" si="7"/>
        <v/>
      </c>
      <c r="V161" s="62" t="str">
        <f t="shared" si="8"/>
        <v/>
      </c>
      <c r="Y161" s="57"/>
    </row>
    <row r="162" spans="11:25" x14ac:dyDescent="0.15">
      <c r="K162" s="57"/>
      <c r="Q162" s="75" t="str">
        <f t="shared" si="6"/>
        <v/>
      </c>
      <c r="T162" s="62" t="str">
        <f t="shared" si="7"/>
        <v/>
      </c>
      <c r="V162" s="62" t="str">
        <f t="shared" si="8"/>
        <v/>
      </c>
      <c r="Y162" s="57"/>
    </row>
    <row r="163" spans="11:25" x14ac:dyDescent="0.15">
      <c r="K163" s="57"/>
      <c r="Q163" s="75" t="str">
        <f t="shared" si="6"/>
        <v/>
      </c>
      <c r="T163" s="62" t="str">
        <f t="shared" si="7"/>
        <v/>
      </c>
      <c r="V163" s="62" t="str">
        <f t="shared" si="8"/>
        <v/>
      </c>
      <c r="Y163" s="57"/>
    </row>
    <row r="164" spans="11:25" x14ac:dyDescent="0.15">
      <c r="K164" s="57"/>
      <c r="Q164" s="75" t="str">
        <f t="shared" si="6"/>
        <v/>
      </c>
      <c r="T164" s="62" t="str">
        <f t="shared" si="7"/>
        <v/>
      </c>
      <c r="V164" s="62" t="str">
        <f t="shared" si="8"/>
        <v/>
      </c>
      <c r="Y164" s="57"/>
    </row>
    <row r="165" spans="11:25" x14ac:dyDescent="0.15">
      <c r="K165" s="57"/>
      <c r="Q165" s="75" t="str">
        <f t="shared" si="6"/>
        <v/>
      </c>
      <c r="T165" s="62" t="str">
        <f t="shared" si="7"/>
        <v/>
      </c>
      <c r="V165" s="62" t="str">
        <f t="shared" si="8"/>
        <v/>
      </c>
      <c r="Y165" s="57"/>
    </row>
    <row r="166" spans="11:25" x14ac:dyDescent="0.15">
      <c r="K166" s="57"/>
      <c r="Q166" s="75" t="str">
        <f t="shared" si="6"/>
        <v/>
      </c>
      <c r="T166" s="62" t="str">
        <f t="shared" si="7"/>
        <v/>
      </c>
      <c r="V166" s="62" t="str">
        <f t="shared" si="8"/>
        <v/>
      </c>
      <c r="Y166" s="57"/>
    </row>
    <row r="167" spans="11:25" x14ac:dyDescent="0.15">
      <c r="K167" s="57"/>
      <c r="Q167" s="75" t="str">
        <f t="shared" si="6"/>
        <v/>
      </c>
      <c r="T167" s="62" t="str">
        <f t="shared" si="7"/>
        <v/>
      </c>
      <c r="V167" s="62" t="str">
        <f t="shared" si="8"/>
        <v/>
      </c>
      <c r="Y167" s="57"/>
    </row>
    <row r="168" spans="11:25" x14ac:dyDescent="0.15">
      <c r="K168" s="57"/>
      <c r="Q168" s="75" t="str">
        <f t="shared" si="6"/>
        <v/>
      </c>
      <c r="T168" s="62" t="str">
        <f t="shared" si="7"/>
        <v/>
      </c>
      <c r="V168" s="62" t="str">
        <f t="shared" si="8"/>
        <v/>
      </c>
      <c r="Y168" s="57"/>
    </row>
    <row r="169" spans="11:25" x14ac:dyDescent="0.15">
      <c r="K169" s="57"/>
      <c r="Q169" s="75" t="str">
        <f t="shared" si="6"/>
        <v/>
      </c>
      <c r="T169" s="62" t="str">
        <f t="shared" si="7"/>
        <v/>
      </c>
      <c r="V169" s="62" t="str">
        <f t="shared" si="8"/>
        <v/>
      </c>
      <c r="Y169" s="57"/>
    </row>
    <row r="170" spans="11:25" x14ac:dyDescent="0.15">
      <c r="K170" s="57"/>
      <c r="Q170" s="75" t="str">
        <f t="shared" si="6"/>
        <v/>
      </c>
      <c r="T170" s="62" t="str">
        <f t="shared" si="7"/>
        <v/>
      </c>
      <c r="V170" s="62" t="str">
        <f t="shared" si="8"/>
        <v/>
      </c>
      <c r="Y170" s="57"/>
    </row>
    <row r="171" spans="11:25" x14ac:dyDescent="0.15">
      <c r="K171" s="57"/>
      <c r="Q171" s="75" t="str">
        <f t="shared" si="6"/>
        <v/>
      </c>
      <c r="T171" s="62" t="str">
        <f t="shared" si="7"/>
        <v/>
      </c>
      <c r="V171" s="62" t="str">
        <f t="shared" si="8"/>
        <v/>
      </c>
      <c r="Y171" s="57"/>
    </row>
    <row r="172" spans="11:25" x14ac:dyDescent="0.15">
      <c r="K172" s="57"/>
      <c r="Q172" s="75" t="str">
        <f t="shared" si="6"/>
        <v/>
      </c>
      <c r="T172" s="62" t="str">
        <f t="shared" si="7"/>
        <v/>
      </c>
      <c r="V172" s="62" t="str">
        <f t="shared" si="8"/>
        <v/>
      </c>
      <c r="Y172" s="57"/>
    </row>
    <row r="173" spans="11:25" x14ac:dyDescent="0.15">
      <c r="K173" s="57"/>
      <c r="Q173" s="75" t="str">
        <f t="shared" si="6"/>
        <v/>
      </c>
      <c r="T173" s="62" t="str">
        <f t="shared" si="7"/>
        <v/>
      </c>
      <c r="V173" s="62" t="str">
        <f t="shared" si="8"/>
        <v/>
      </c>
      <c r="Y173" s="57"/>
    </row>
    <row r="174" spans="11:25" x14ac:dyDescent="0.15">
      <c r="K174" s="57"/>
      <c r="Q174" s="75" t="str">
        <f t="shared" si="6"/>
        <v/>
      </c>
      <c r="T174" s="62" t="str">
        <f t="shared" si="7"/>
        <v/>
      </c>
      <c r="V174" s="62" t="str">
        <f t="shared" si="8"/>
        <v/>
      </c>
      <c r="Y174" s="57"/>
    </row>
    <row r="175" spans="11:25" x14ac:dyDescent="0.15">
      <c r="K175" s="57"/>
      <c r="Q175" s="75" t="str">
        <f t="shared" si="6"/>
        <v/>
      </c>
      <c r="T175" s="62" t="str">
        <f t="shared" si="7"/>
        <v/>
      </c>
      <c r="V175" s="62" t="str">
        <f t="shared" si="8"/>
        <v/>
      </c>
      <c r="Y175" s="57"/>
    </row>
    <row r="176" spans="11:25" x14ac:dyDescent="0.15">
      <c r="K176" s="57"/>
      <c r="Q176" s="75" t="str">
        <f t="shared" si="6"/>
        <v/>
      </c>
      <c r="T176" s="62" t="str">
        <f t="shared" si="7"/>
        <v/>
      </c>
      <c r="V176" s="62" t="str">
        <f t="shared" si="8"/>
        <v/>
      </c>
      <c r="Y176" s="57"/>
    </row>
    <row r="177" spans="11:25" x14ac:dyDescent="0.15">
      <c r="K177" s="57"/>
      <c r="Q177" s="75" t="str">
        <f t="shared" si="6"/>
        <v/>
      </c>
      <c r="T177" s="62" t="str">
        <f t="shared" si="7"/>
        <v/>
      </c>
      <c r="V177" s="62" t="str">
        <f t="shared" si="8"/>
        <v/>
      </c>
      <c r="Y177" s="57"/>
    </row>
    <row r="178" spans="11:25" x14ac:dyDescent="0.15">
      <c r="K178" s="57"/>
      <c r="Q178" s="75" t="str">
        <f t="shared" si="6"/>
        <v/>
      </c>
      <c r="T178" s="62" t="str">
        <f t="shared" si="7"/>
        <v/>
      </c>
      <c r="V178" s="62" t="str">
        <f t="shared" si="8"/>
        <v/>
      </c>
      <c r="Y178" s="57"/>
    </row>
    <row r="179" spans="11:25" x14ac:dyDescent="0.15">
      <c r="K179" s="57"/>
      <c r="Q179" s="75" t="str">
        <f t="shared" si="6"/>
        <v/>
      </c>
      <c r="T179" s="62" t="str">
        <f t="shared" si="7"/>
        <v/>
      </c>
      <c r="V179" s="62" t="str">
        <f t="shared" si="8"/>
        <v/>
      </c>
      <c r="Y179" s="57"/>
    </row>
    <row r="180" spans="11:25" x14ac:dyDescent="0.15">
      <c r="K180" s="57"/>
      <c r="Q180" s="75" t="str">
        <f t="shared" si="6"/>
        <v/>
      </c>
      <c r="T180" s="62" t="str">
        <f t="shared" si="7"/>
        <v/>
      </c>
      <c r="V180" s="62" t="str">
        <f t="shared" si="8"/>
        <v/>
      </c>
      <c r="Y180" s="57"/>
    </row>
    <row r="181" spans="11:25" x14ac:dyDescent="0.15">
      <c r="Q181" s="75" t="str">
        <f t="shared" si="6"/>
        <v/>
      </c>
      <c r="T181" s="62" t="str">
        <f t="shared" si="7"/>
        <v/>
      </c>
      <c r="V181" s="62" t="str">
        <f t="shared" si="8"/>
        <v/>
      </c>
      <c r="Y181" s="57"/>
    </row>
    <row r="182" spans="11:25" x14ac:dyDescent="0.15">
      <c r="Q182" s="75" t="str">
        <f t="shared" si="6"/>
        <v/>
      </c>
      <c r="T182" s="62" t="str">
        <f t="shared" si="7"/>
        <v/>
      </c>
      <c r="V182" s="62" t="str">
        <f t="shared" si="8"/>
        <v/>
      </c>
    </row>
    <row r="183" spans="11:25" x14ac:dyDescent="0.15">
      <c r="Q183" s="75" t="str">
        <f t="shared" si="6"/>
        <v/>
      </c>
      <c r="T183" s="62" t="str">
        <f t="shared" si="7"/>
        <v/>
      </c>
      <c r="V183" s="62" t="str">
        <f t="shared" si="8"/>
        <v/>
      </c>
    </row>
    <row r="184" spans="11:25" x14ac:dyDescent="0.15">
      <c r="Q184" s="75" t="str">
        <f t="shared" si="6"/>
        <v/>
      </c>
      <c r="T184" s="62" t="str">
        <f t="shared" si="7"/>
        <v/>
      </c>
      <c r="V184" s="62" t="str">
        <f t="shared" si="8"/>
        <v/>
      </c>
    </row>
    <row r="185" spans="11:25" x14ac:dyDescent="0.15">
      <c r="Q185" s="75" t="str">
        <f t="shared" si="6"/>
        <v/>
      </c>
      <c r="T185" s="62" t="str">
        <f t="shared" si="7"/>
        <v/>
      </c>
      <c r="V185" s="62" t="str">
        <f t="shared" si="8"/>
        <v/>
      </c>
    </row>
    <row r="186" spans="11:25" x14ac:dyDescent="0.15">
      <c r="Q186" s="75" t="str">
        <f t="shared" si="6"/>
        <v/>
      </c>
      <c r="T186" s="62" t="str">
        <f t="shared" si="7"/>
        <v/>
      </c>
      <c r="V186" s="62" t="str">
        <f t="shared" si="8"/>
        <v/>
      </c>
    </row>
    <row r="187" spans="11:25" x14ac:dyDescent="0.15">
      <c r="Q187" s="75" t="str">
        <f t="shared" si="6"/>
        <v/>
      </c>
      <c r="T187" s="62" t="str">
        <f t="shared" si="7"/>
        <v/>
      </c>
      <c r="V187" s="62" t="str">
        <f t="shared" si="8"/>
        <v/>
      </c>
    </row>
    <row r="188" spans="11:25" x14ac:dyDescent="0.15">
      <c r="Q188" s="75" t="str">
        <f t="shared" si="6"/>
        <v/>
      </c>
      <c r="T188" s="62" t="str">
        <f t="shared" si="7"/>
        <v/>
      </c>
      <c r="V188" s="62" t="str">
        <f t="shared" si="8"/>
        <v/>
      </c>
    </row>
    <row r="189" spans="11:25" x14ac:dyDescent="0.15">
      <c r="Q189" s="75" t="str">
        <f t="shared" si="6"/>
        <v/>
      </c>
      <c r="T189" s="62" t="str">
        <f t="shared" si="7"/>
        <v/>
      </c>
      <c r="V189" s="62" t="str">
        <f t="shared" si="8"/>
        <v/>
      </c>
    </row>
    <row r="190" spans="11:25" x14ac:dyDescent="0.15">
      <c r="Q190" s="75" t="str">
        <f t="shared" si="6"/>
        <v/>
      </c>
      <c r="T190" s="62" t="str">
        <f t="shared" si="7"/>
        <v/>
      </c>
      <c r="V190" s="62" t="str">
        <f t="shared" si="8"/>
        <v/>
      </c>
    </row>
    <row r="191" spans="11:25" x14ac:dyDescent="0.15">
      <c r="Q191" s="75" t="str">
        <f t="shared" si="6"/>
        <v/>
      </c>
      <c r="T191" s="62" t="str">
        <f t="shared" si="7"/>
        <v/>
      </c>
      <c r="V191" s="62" t="str">
        <f t="shared" si="8"/>
        <v/>
      </c>
    </row>
    <row r="192" spans="11:25" x14ac:dyDescent="0.15">
      <c r="Q192" s="75" t="str">
        <f t="shared" si="6"/>
        <v/>
      </c>
      <c r="T192" s="62" t="str">
        <f t="shared" si="7"/>
        <v/>
      </c>
      <c r="V192" s="62" t="str">
        <f t="shared" si="8"/>
        <v/>
      </c>
    </row>
    <row r="193" spans="17:22" x14ac:dyDescent="0.15">
      <c r="Q193" s="75" t="str">
        <f t="shared" si="6"/>
        <v/>
      </c>
      <c r="T193" s="62" t="str">
        <f t="shared" si="7"/>
        <v/>
      </c>
      <c r="V193" s="62" t="str">
        <f t="shared" si="8"/>
        <v/>
      </c>
    </row>
    <row r="194" spans="17:22" x14ac:dyDescent="0.15">
      <c r="Q194" s="75" t="str">
        <f t="shared" ref="Q194:Q257" si="9">IF(OR(O194="",P194=""),"",AVERAGE(O194,P194))</f>
        <v/>
      </c>
      <c r="T194" s="62" t="str">
        <f t="shared" ref="T194:T257" si="10">IF(H194="","",IF(OR(H194="GREEN",H194="GK"),IF(S194&gt;=$AX$2,VLOOKUP(S194,$AX$2:$AY$10,2,1),""),IF(S194&gt;=$AZ$2,VLOOKUP(S194,$AZ$2:$BA$10,2,1),"")))</f>
        <v/>
      </c>
      <c r="V194" s="62" t="str">
        <f t="shared" ref="V194:V257" si="11">IF(OR(N194="",U194="",T194=""),"",U194/N194*T194)</f>
        <v/>
      </c>
    </row>
    <row r="195" spans="17:22" x14ac:dyDescent="0.15">
      <c r="Q195" s="75" t="str">
        <f t="shared" si="9"/>
        <v/>
      </c>
      <c r="T195" s="62" t="str">
        <f t="shared" si="10"/>
        <v/>
      </c>
      <c r="V195" s="62" t="str">
        <f t="shared" si="11"/>
        <v/>
      </c>
    </row>
    <row r="196" spans="17:22" x14ac:dyDescent="0.15">
      <c r="Q196" s="75" t="str">
        <f t="shared" si="9"/>
        <v/>
      </c>
      <c r="T196" s="62" t="str">
        <f t="shared" si="10"/>
        <v/>
      </c>
      <c r="V196" s="62" t="str">
        <f t="shared" si="11"/>
        <v/>
      </c>
    </row>
    <row r="197" spans="17:22" x14ac:dyDescent="0.15">
      <c r="Q197" s="75" t="str">
        <f t="shared" si="9"/>
        <v/>
      </c>
      <c r="T197" s="62" t="str">
        <f t="shared" si="10"/>
        <v/>
      </c>
      <c r="V197" s="62" t="str">
        <f t="shared" si="11"/>
        <v/>
      </c>
    </row>
    <row r="198" spans="17:22" x14ac:dyDescent="0.15">
      <c r="Q198" s="75" t="str">
        <f t="shared" si="9"/>
        <v/>
      </c>
      <c r="T198" s="62" t="str">
        <f t="shared" si="10"/>
        <v/>
      </c>
      <c r="V198" s="62" t="str">
        <f t="shared" si="11"/>
        <v/>
      </c>
    </row>
    <row r="199" spans="17:22" x14ac:dyDescent="0.15">
      <c r="Q199" s="75" t="str">
        <f t="shared" si="9"/>
        <v/>
      </c>
      <c r="T199" s="62" t="str">
        <f t="shared" si="10"/>
        <v/>
      </c>
      <c r="V199" s="62" t="str">
        <f t="shared" si="11"/>
        <v/>
      </c>
    </row>
    <row r="200" spans="17:22" x14ac:dyDescent="0.15">
      <c r="Q200" s="75" t="str">
        <f t="shared" si="9"/>
        <v/>
      </c>
      <c r="T200" s="62" t="str">
        <f t="shared" si="10"/>
        <v/>
      </c>
      <c r="V200" s="62" t="str">
        <f t="shared" si="11"/>
        <v/>
      </c>
    </row>
    <row r="201" spans="17:22" x14ac:dyDescent="0.15">
      <c r="Q201" s="75" t="str">
        <f t="shared" si="9"/>
        <v/>
      </c>
      <c r="T201" s="62" t="str">
        <f t="shared" si="10"/>
        <v/>
      </c>
      <c r="V201" s="62" t="str">
        <f t="shared" si="11"/>
        <v/>
      </c>
    </row>
    <row r="202" spans="17:22" x14ac:dyDescent="0.15">
      <c r="Q202" s="75" t="str">
        <f t="shared" si="9"/>
        <v/>
      </c>
      <c r="T202" s="62" t="str">
        <f t="shared" si="10"/>
        <v/>
      </c>
      <c r="V202" s="62" t="str">
        <f t="shared" si="11"/>
        <v/>
      </c>
    </row>
    <row r="203" spans="17:22" x14ac:dyDescent="0.15">
      <c r="Q203" s="75" t="str">
        <f t="shared" si="9"/>
        <v/>
      </c>
      <c r="T203" s="62" t="str">
        <f t="shared" si="10"/>
        <v/>
      </c>
      <c r="V203" s="62" t="str">
        <f t="shared" si="11"/>
        <v/>
      </c>
    </row>
    <row r="204" spans="17:22" x14ac:dyDescent="0.15">
      <c r="Q204" s="75" t="str">
        <f t="shared" si="9"/>
        <v/>
      </c>
      <c r="T204" s="62" t="str">
        <f t="shared" si="10"/>
        <v/>
      </c>
      <c r="V204" s="62" t="str">
        <f t="shared" si="11"/>
        <v/>
      </c>
    </row>
    <row r="205" spans="17:22" x14ac:dyDescent="0.15">
      <c r="Q205" s="75" t="str">
        <f t="shared" si="9"/>
        <v/>
      </c>
      <c r="T205" s="62" t="str">
        <f t="shared" si="10"/>
        <v/>
      </c>
      <c r="V205" s="62" t="str">
        <f t="shared" si="11"/>
        <v/>
      </c>
    </row>
    <row r="206" spans="17:22" x14ac:dyDescent="0.15">
      <c r="Q206" s="75" t="str">
        <f t="shared" si="9"/>
        <v/>
      </c>
      <c r="T206" s="62" t="str">
        <f t="shared" si="10"/>
        <v/>
      </c>
      <c r="V206" s="62" t="str">
        <f t="shared" si="11"/>
        <v/>
      </c>
    </row>
    <row r="207" spans="17:22" x14ac:dyDescent="0.15">
      <c r="Q207" s="75" t="str">
        <f t="shared" si="9"/>
        <v/>
      </c>
      <c r="T207" s="62" t="str">
        <f t="shared" si="10"/>
        <v/>
      </c>
      <c r="V207" s="62" t="str">
        <f t="shared" si="11"/>
        <v/>
      </c>
    </row>
    <row r="208" spans="17:22" x14ac:dyDescent="0.15">
      <c r="Q208" s="75" t="str">
        <f t="shared" si="9"/>
        <v/>
      </c>
      <c r="T208" s="62" t="str">
        <f t="shared" si="10"/>
        <v/>
      </c>
      <c r="V208" s="62" t="str">
        <f t="shared" si="11"/>
        <v/>
      </c>
    </row>
    <row r="209" spans="17:22" x14ac:dyDescent="0.15">
      <c r="Q209" s="75" t="str">
        <f t="shared" si="9"/>
        <v/>
      </c>
      <c r="T209" s="62" t="str">
        <f t="shared" si="10"/>
        <v/>
      </c>
      <c r="V209" s="62" t="str">
        <f t="shared" si="11"/>
        <v/>
      </c>
    </row>
    <row r="210" spans="17:22" x14ac:dyDescent="0.15">
      <c r="Q210" s="75" t="str">
        <f t="shared" si="9"/>
        <v/>
      </c>
      <c r="T210" s="62" t="str">
        <f t="shared" si="10"/>
        <v/>
      </c>
      <c r="V210" s="62" t="str">
        <f t="shared" si="11"/>
        <v/>
      </c>
    </row>
    <row r="211" spans="17:22" x14ac:dyDescent="0.15">
      <c r="Q211" s="75" t="str">
        <f t="shared" si="9"/>
        <v/>
      </c>
      <c r="T211" s="62" t="str">
        <f t="shared" si="10"/>
        <v/>
      </c>
      <c r="V211" s="62" t="str">
        <f t="shared" si="11"/>
        <v/>
      </c>
    </row>
    <row r="212" spans="17:22" x14ac:dyDescent="0.15">
      <c r="Q212" s="75" t="str">
        <f t="shared" si="9"/>
        <v/>
      </c>
      <c r="T212" s="62" t="str">
        <f t="shared" si="10"/>
        <v/>
      </c>
      <c r="V212" s="62" t="str">
        <f t="shared" si="11"/>
        <v/>
      </c>
    </row>
    <row r="213" spans="17:22" x14ac:dyDescent="0.15">
      <c r="Q213" s="75" t="str">
        <f t="shared" si="9"/>
        <v/>
      </c>
      <c r="T213" s="62" t="str">
        <f t="shared" si="10"/>
        <v/>
      </c>
      <c r="V213" s="62" t="str">
        <f t="shared" si="11"/>
        <v/>
      </c>
    </row>
    <row r="214" spans="17:22" x14ac:dyDescent="0.15">
      <c r="Q214" s="75" t="str">
        <f t="shared" si="9"/>
        <v/>
      </c>
      <c r="T214" s="62" t="str">
        <f t="shared" si="10"/>
        <v/>
      </c>
      <c r="V214" s="62" t="str">
        <f t="shared" si="11"/>
        <v/>
      </c>
    </row>
    <row r="215" spans="17:22" x14ac:dyDescent="0.15">
      <c r="Q215" s="75" t="str">
        <f t="shared" si="9"/>
        <v/>
      </c>
      <c r="T215" s="62" t="str">
        <f t="shared" si="10"/>
        <v/>
      </c>
      <c r="V215" s="62" t="str">
        <f t="shared" si="11"/>
        <v/>
      </c>
    </row>
    <row r="216" spans="17:22" x14ac:dyDescent="0.15">
      <c r="Q216" s="75" t="str">
        <f t="shared" si="9"/>
        <v/>
      </c>
      <c r="T216" s="62" t="str">
        <f t="shared" si="10"/>
        <v/>
      </c>
      <c r="V216" s="62" t="str">
        <f t="shared" si="11"/>
        <v/>
      </c>
    </row>
    <row r="217" spans="17:22" x14ac:dyDescent="0.15">
      <c r="Q217" s="75" t="str">
        <f t="shared" si="9"/>
        <v/>
      </c>
      <c r="T217" s="62" t="str">
        <f t="shared" si="10"/>
        <v/>
      </c>
      <c r="V217" s="62" t="str">
        <f t="shared" si="11"/>
        <v/>
      </c>
    </row>
    <row r="218" spans="17:22" x14ac:dyDescent="0.15">
      <c r="Q218" s="75" t="str">
        <f t="shared" si="9"/>
        <v/>
      </c>
      <c r="T218" s="62" t="str">
        <f t="shared" si="10"/>
        <v/>
      </c>
      <c r="V218" s="62" t="str">
        <f t="shared" si="11"/>
        <v/>
      </c>
    </row>
    <row r="219" spans="17:22" x14ac:dyDescent="0.15">
      <c r="Q219" s="75" t="str">
        <f t="shared" si="9"/>
        <v/>
      </c>
      <c r="T219" s="62" t="str">
        <f t="shared" si="10"/>
        <v/>
      </c>
      <c r="V219" s="62" t="str">
        <f t="shared" si="11"/>
        <v/>
      </c>
    </row>
    <row r="220" spans="17:22" x14ac:dyDescent="0.15">
      <c r="Q220" s="75" t="str">
        <f t="shared" si="9"/>
        <v/>
      </c>
      <c r="T220" s="62" t="str">
        <f t="shared" si="10"/>
        <v/>
      </c>
      <c r="V220" s="62" t="str">
        <f t="shared" si="11"/>
        <v/>
      </c>
    </row>
    <row r="221" spans="17:22" x14ac:dyDescent="0.15">
      <c r="Q221" s="75" t="str">
        <f t="shared" si="9"/>
        <v/>
      </c>
      <c r="T221" s="62" t="str">
        <f t="shared" si="10"/>
        <v/>
      </c>
      <c r="V221" s="62" t="str">
        <f t="shared" si="11"/>
        <v/>
      </c>
    </row>
    <row r="222" spans="17:22" x14ac:dyDescent="0.15">
      <c r="Q222" s="75" t="str">
        <f t="shared" si="9"/>
        <v/>
      </c>
      <c r="T222" s="62" t="str">
        <f t="shared" si="10"/>
        <v/>
      </c>
      <c r="V222" s="62" t="str">
        <f t="shared" si="11"/>
        <v/>
      </c>
    </row>
    <row r="223" spans="17:22" x14ac:dyDescent="0.15">
      <c r="Q223" s="75" t="str">
        <f t="shared" si="9"/>
        <v/>
      </c>
      <c r="T223" s="62" t="str">
        <f t="shared" si="10"/>
        <v/>
      </c>
      <c r="V223" s="62" t="str">
        <f t="shared" si="11"/>
        <v/>
      </c>
    </row>
    <row r="224" spans="17:22" x14ac:dyDescent="0.15">
      <c r="Q224" s="75" t="str">
        <f t="shared" si="9"/>
        <v/>
      </c>
      <c r="T224" s="62" t="str">
        <f t="shared" si="10"/>
        <v/>
      </c>
      <c r="V224" s="62" t="str">
        <f t="shared" si="11"/>
        <v/>
      </c>
    </row>
    <row r="225" spans="17:22" x14ac:dyDescent="0.15">
      <c r="Q225" s="75" t="str">
        <f t="shared" si="9"/>
        <v/>
      </c>
      <c r="T225" s="62" t="str">
        <f t="shared" si="10"/>
        <v/>
      </c>
      <c r="V225" s="62" t="str">
        <f t="shared" si="11"/>
        <v/>
      </c>
    </row>
    <row r="226" spans="17:22" x14ac:dyDescent="0.15">
      <c r="Q226" s="75" t="str">
        <f t="shared" si="9"/>
        <v/>
      </c>
      <c r="T226" s="62" t="str">
        <f t="shared" si="10"/>
        <v/>
      </c>
      <c r="V226" s="62" t="str">
        <f t="shared" si="11"/>
        <v/>
      </c>
    </row>
    <row r="227" spans="17:22" x14ac:dyDescent="0.15">
      <c r="Q227" s="75" t="str">
        <f t="shared" si="9"/>
        <v/>
      </c>
      <c r="T227" s="62" t="str">
        <f t="shared" si="10"/>
        <v/>
      </c>
      <c r="V227" s="62" t="str">
        <f t="shared" si="11"/>
        <v/>
      </c>
    </row>
    <row r="228" spans="17:22" x14ac:dyDescent="0.15">
      <c r="Q228" s="75" t="str">
        <f t="shared" si="9"/>
        <v/>
      </c>
      <c r="T228" s="62" t="str">
        <f t="shared" si="10"/>
        <v/>
      </c>
      <c r="V228" s="62" t="str">
        <f t="shared" si="11"/>
        <v/>
      </c>
    </row>
    <row r="229" spans="17:22" x14ac:dyDescent="0.15">
      <c r="Q229" s="75" t="str">
        <f t="shared" si="9"/>
        <v/>
      </c>
      <c r="T229" s="62" t="str">
        <f t="shared" si="10"/>
        <v/>
      </c>
      <c r="V229" s="62" t="str">
        <f t="shared" si="11"/>
        <v/>
      </c>
    </row>
    <row r="230" spans="17:22" x14ac:dyDescent="0.15">
      <c r="Q230" s="75" t="str">
        <f t="shared" si="9"/>
        <v/>
      </c>
      <c r="T230" s="62" t="str">
        <f t="shared" si="10"/>
        <v/>
      </c>
      <c r="V230" s="62" t="str">
        <f t="shared" si="11"/>
        <v/>
      </c>
    </row>
    <row r="231" spans="17:22" x14ac:dyDescent="0.15">
      <c r="Q231" s="75" t="str">
        <f t="shared" si="9"/>
        <v/>
      </c>
      <c r="T231" s="62" t="str">
        <f t="shared" si="10"/>
        <v/>
      </c>
      <c r="V231" s="62" t="str">
        <f t="shared" si="11"/>
        <v/>
      </c>
    </row>
    <row r="232" spans="17:22" x14ac:dyDescent="0.15">
      <c r="Q232" s="75" t="str">
        <f t="shared" si="9"/>
        <v/>
      </c>
      <c r="T232" s="62" t="str">
        <f t="shared" si="10"/>
        <v/>
      </c>
      <c r="V232" s="62" t="str">
        <f t="shared" si="11"/>
        <v/>
      </c>
    </row>
    <row r="233" spans="17:22" x14ac:dyDescent="0.15">
      <c r="Q233" s="75" t="str">
        <f t="shared" si="9"/>
        <v/>
      </c>
      <c r="T233" s="62" t="str">
        <f t="shared" si="10"/>
        <v/>
      </c>
      <c r="V233" s="62" t="str">
        <f t="shared" si="11"/>
        <v/>
      </c>
    </row>
    <row r="234" spans="17:22" x14ac:dyDescent="0.15">
      <c r="Q234" s="75" t="str">
        <f t="shared" si="9"/>
        <v/>
      </c>
      <c r="T234" s="62" t="str">
        <f t="shared" si="10"/>
        <v/>
      </c>
      <c r="V234" s="62" t="str">
        <f t="shared" si="11"/>
        <v/>
      </c>
    </row>
    <row r="235" spans="17:22" x14ac:dyDescent="0.15">
      <c r="Q235" s="75" t="str">
        <f t="shared" si="9"/>
        <v/>
      </c>
      <c r="T235" s="62" t="str">
        <f t="shared" si="10"/>
        <v/>
      </c>
      <c r="V235" s="62" t="str">
        <f t="shared" si="11"/>
        <v/>
      </c>
    </row>
    <row r="236" spans="17:22" x14ac:dyDescent="0.15">
      <c r="Q236" s="75" t="str">
        <f t="shared" si="9"/>
        <v/>
      </c>
      <c r="T236" s="62" t="str">
        <f t="shared" si="10"/>
        <v/>
      </c>
      <c r="V236" s="62" t="str">
        <f t="shared" si="11"/>
        <v/>
      </c>
    </row>
    <row r="237" spans="17:22" x14ac:dyDescent="0.15">
      <c r="Q237" s="75" t="str">
        <f t="shared" si="9"/>
        <v/>
      </c>
      <c r="T237" s="62" t="str">
        <f t="shared" si="10"/>
        <v/>
      </c>
      <c r="V237" s="62" t="str">
        <f t="shared" si="11"/>
        <v/>
      </c>
    </row>
    <row r="238" spans="17:22" x14ac:dyDescent="0.15">
      <c r="Q238" s="75" t="str">
        <f t="shared" si="9"/>
        <v/>
      </c>
      <c r="T238" s="62" t="str">
        <f t="shared" si="10"/>
        <v/>
      </c>
      <c r="V238" s="62" t="str">
        <f t="shared" si="11"/>
        <v/>
      </c>
    </row>
    <row r="239" spans="17:22" x14ac:dyDescent="0.15">
      <c r="Q239" s="75" t="str">
        <f t="shared" si="9"/>
        <v/>
      </c>
      <c r="T239" s="62" t="str">
        <f t="shared" si="10"/>
        <v/>
      </c>
      <c r="V239" s="62" t="str">
        <f t="shared" si="11"/>
        <v/>
      </c>
    </row>
    <row r="240" spans="17:22" x14ac:dyDescent="0.15">
      <c r="Q240" s="75" t="str">
        <f t="shared" si="9"/>
        <v/>
      </c>
      <c r="T240" s="62" t="str">
        <f t="shared" si="10"/>
        <v/>
      </c>
      <c r="V240" s="62" t="str">
        <f t="shared" si="11"/>
        <v/>
      </c>
    </row>
    <row r="241" spans="17:22" x14ac:dyDescent="0.15">
      <c r="Q241" s="75" t="str">
        <f t="shared" si="9"/>
        <v/>
      </c>
      <c r="T241" s="62" t="str">
        <f t="shared" si="10"/>
        <v/>
      </c>
      <c r="V241" s="62" t="str">
        <f t="shared" si="11"/>
        <v/>
      </c>
    </row>
    <row r="242" spans="17:22" x14ac:dyDescent="0.15">
      <c r="Q242" s="75" t="str">
        <f t="shared" si="9"/>
        <v/>
      </c>
      <c r="T242" s="62" t="str">
        <f t="shared" si="10"/>
        <v/>
      </c>
      <c r="V242" s="62" t="str">
        <f t="shared" si="11"/>
        <v/>
      </c>
    </row>
    <row r="243" spans="17:22" x14ac:dyDescent="0.15">
      <c r="Q243" s="75" t="str">
        <f t="shared" si="9"/>
        <v/>
      </c>
      <c r="T243" s="62" t="str">
        <f t="shared" si="10"/>
        <v/>
      </c>
      <c r="V243" s="62" t="str">
        <f t="shared" si="11"/>
        <v/>
      </c>
    </row>
    <row r="244" spans="17:22" x14ac:dyDescent="0.15">
      <c r="Q244" s="75" t="str">
        <f t="shared" si="9"/>
        <v/>
      </c>
      <c r="T244" s="62" t="str">
        <f t="shared" si="10"/>
        <v/>
      </c>
      <c r="V244" s="62" t="str">
        <f t="shared" si="11"/>
        <v/>
      </c>
    </row>
    <row r="245" spans="17:22" x14ac:dyDescent="0.15">
      <c r="Q245" s="75" t="str">
        <f t="shared" si="9"/>
        <v/>
      </c>
      <c r="T245" s="62" t="str">
        <f t="shared" si="10"/>
        <v/>
      </c>
      <c r="V245" s="62" t="str">
        <f t="shared" si="11"/>
        <v/>
      </c>
    </row>
    <row r="246" spans="17:22" x14ac:dyDescent="0.15">
      <c r="Q246" s="75" t="str">
        <f t="shared" si="9"/>
        <v/>
      </c>
      <c r="T246" s="62" t="str">
        <f t="shared" si="10"/>
        <v/>
      </c>
      <c r="V246" s="62" t="str">
        <f t="shared" si="11"/>
        <v/>
      </c>
    </row>
    <row r="247" spans="17:22" x14ac:dyDescent="0.15">
      <c r="Q247" s="75" t="str">
        <f t="shared" si="9"/>
        <v/>
      </c>
      <c r="T247" s="62" t="str">
        <f t="shared" si="10"/>
        <v/>
      </c>
      <c r="V247" s="62" t="str">
        <f t="shared" si="11"/>
        <v/>
      </c>
    </row>
    <row r="248" spans="17:22" x14ac:dyDescent="0.15">
      <c r="Q248" s="75" t="str">
        <f t="shared" si="9"/>
        <v/>
      </c>
      <c r="T248" s="62" t="str">
        <f t="shared" si="10"/>
        <v/>
      </c>
      <c r="V248" s="62" t="str">
        <f t="shared" si="11"/>
        <v/>
      </c>
    </row>
    <row r="249" spans="17:22" x14ac:dyDescent="0.15">
      <c r="Q249" s="75" t="str">
        <f t="shared" si="9"/>
        <v/>
      </c>
      <c r="T249" s="62" t="str">
        <f t="shared" si="10"/>
        <v/>
      </c>
      <c r="V249" s="62" t="str">
        <f t="shared" si="11"/>
        <v/>
      </c>
    </row>
    <row r="250" spans="17:22" x14ac:dyDescent="0.15">
      <c r="Q250" s="75" t="str">
        <f t="shared" si="9"/>
        <v/>
      </c>
      <c r="T250" s="62" t="str">
        <f t="shared" si="10"/>
        <v/>
      </c>
      <c r="V250" s="62" t="str">
        <f t="shared" si="11"/>
        <v/>
      </c>
    </row>
    <row r="251" spans="17:22" x14ac:dyDescent="0.15">
      <c r="Q251" s="75" t="str">
        <f t="shared" si="9"/>
        <v/>
      </c>
      <c r="T251" s="62" t="str">
        <f t="shared" si="10"/>
        <v/>
      </c>
      <c r="V251" s="62" t="str">
        <f t="shared" si="11"/>
        <v/>
      </c>
    </row>
    <row r="252" spans="17:22" x14ac:dyDescent="0.15">
      <c r="Q252" s="75" t="str">
        <f t="shared" si="9"/>
        <v/>
      </c>
      <c r="T252" s="62" t="str">
        <f t="shared" si="10"/>
        <v/>
      </c>
      <c r="V252" s="62" t="str">
        <f t="shared" si="11"/>
        <v/>
      </c>
    </row>
    <row r="253" spans="17:22" x14ac:dyDescent="0.15">
      <c r="Q253" s="75" t="str">
        <f t="shared" si="9"/>
        <v/>
      </c>
      <c r="T253" s="62" t="str">
        <f t="shared" si="10"/>
        <v/>
      </c>
      <c r="V253" s="62" t="str">
        <f t="shared" si="11"/>
        <v/>
      </c>
    </row>
    <row r="254" spans="17:22" x14ac:dyDescent="0.15">
      <c r="Q254" s="75" t="str">
        <f t="shared" si="9"/>
        <v/>
      </c>
      <c r="T254" s="62" t="str">
        <f t="shared" si="10"/>
        <v/>
      </c>
      <c r="V254" s="62" t="str">
        <f t="shared" si="11"/>
        <v/>
      </c>
    </row>
    <row r="255" spans="17:22" x14ac:dyDescent="0.15">
      <c r="Q255" s="75" t="str">
        <f t="shared" si="9"/>
        <v/>
      </c>
      <c r="T255" s="62" t="str">
        <f t="shared" si="10"/>
        <v/>
      </c>
      <c r="V255" s="62" t="str">
        <f t="shared" si="11"/>
        <v/>
      </c>
    </row>
    <row r="256" spans="17:22" x14ac:dyDescent="0.15">
      <c r="Q256" s="75" t="str">
        <f t="shared" si="9"/>
        <v/>
      </c>
      <c r="T256" s="62" t="str">
        <f t="shared" si="10"/>
        <v/>
      </c>
      <c r="V256" s="62" t="str">
        <f t="shared" si="11"/>
        <v/>
      </c>
    </row>
    <row r="257" spans="17:22" x14ac:dyDescent="0.15">
      <c r="Q257" s="75" t="str">
        <f t="shared" si="9"/>
        <v/>
      </c>
      <c r="T257" s="62" t="str">
        <f t="shared" si="10"/>
        <v/>
      </c>
      <c r="V257" s="62" t="str">
        <f t="shared" si="11"/>
        <v/>
      </c>
    </row>
    <row r="258" spans="17:22" x14ac:dyDescent="0.15">
      <c r="Q258" s="75" t="str">
        <f t="shared" ref="Q258:Q321" si="12">IF(OR(O258="",P258=""),"",AVERAGE(O258,P258))</f>
        <v/>
      </c>
      <c r="T258" s="62" t="str">
        <f t="shared" ref="T258:T321" si="13">IF(H258="","",IF(OR(H258="GREEN",H258="GK"),IF(S258&gt;=$AX$2,VLOOKUP(S258,$AX$2:$AY$10,2,1),""),IF(S258&gt;=$AZ$2,VLOOKUP(S258,$AZ$2:$BA$10,2,1),"")))</f>
        <v/>
      </c>
      <c r="V258" s="62" t="str">
        <f t="shared" ref="V258:V321" si="14">IF(OR(N258="",U258="",T258=""),"",U258/N258*T258)</f>
        <v/>
      </c>
    </row>
    <row r="259" spans="17:22" x14ac:dyDescent="0.15">
      <c r="Q259" s="75" t="str">
        <f t="shared" si="12"/>
        <v/>
      </c>
      <c r="T259" s="62" t="str">
        <f t="shared" si="13"/>
        <v/>
      </c>
      <c r="V259" s="62" t="str">
        <f t="shared" si="14"/>
        <v/>
      </c>
    </row>
    <row r="260" spans="17:22" x14ac:dyDescent="0.15">
      <c r="Q260" s="75" t="str">
        <f t="shared" si="12"/>
        <v/>
      </c>
      <c r="T260" s="62" t="str">
        <f t="shared" si="13"/>
        <v/>
      </c>
      <c r="V260" s="62" t="str">
        <f t="shared" si="14"/>
        <v/>
      </c>
    </row>
    <row r="261" spans="17:22" x14ac:dyDescent="0.15">
      <c r="Q261" s="75" t="str">
        <f t="shared" si="12"/>
        <v/>
      </c>
      <c r="T261" s="62" t="str">
        <f t="shared" si="13"/>
        <v/>
      </c>
      <c r="V261" s="62" t="str">
        <f t="shared" si="14"/>
        <v/>
      </c>
    </row>
    <row r="262" spans="17:22" x14ac:dyDescent="0.15">
      <c r="Q262" s="75" t="str">
        <f t="shared" si="12"/>
        <v/>
      </c>
      <c r="T262" s="62" t="str">
        <f t="shared" si="13"/>
        <v/>
      </c>
      <c r="V262" s="62" t="str">
        <f t="shared" si="14"/>
        <v/>
      </c>
    </row>
    <row r="263" spans="17:22" x14ac:dyDescent="0.15">
      <c r="Q263" s="75" t="str">
        <f t="shared" si="12"/>
        <v/>
      </c>
      <c r="T263" s="62" t="str">
        <f t="shared" si="13"/>
        <v/>
      </c>
      <c r="V263" s="62" t="str">
        <f t="shared" si="14"/>
        <v/>
      </c>
    </row>
    <row r="264" spans="17:22" x14ac:dyDescent="0.15">
      <c r="Q264" s="75" t="str">
        <f t="shared" si="12"/>
        <v/>
      </c>
      <c r="T264" s="62" t="str">
        <f t="shared" si="13"/>
        <v/>
      </c>
      <c r="V264" s="62" t="str">
        <f t="shared" si="14"/>
        <v/>
      </c>
    </row>
    <row r="265" spans="17:22" x14ac:dyDescent="0.15">
      <c r="Q265" s="75" t="str">
        <f t="shared" si="12"/>
        <v/>
      </c>
      <c r="T265" s="62" t="str">
        <f t="shared" si="13"/>
        <v/>
      </c>
      <c r="V265" s="62" t="str">
        <f t="shared" si="14"/>
        <v/>
      </c>
    </row>
    <row r="266" spans="17:22" x14ac:dyDescent="0.15">
      <c r="Q266" s="75" t="str">
        <f t="shared" si="12"/>
        <v/>
      </c>
      <c r="T266" s="62" t="str">
        <f t="shared" si="13"/>
        <v/>
      </c>
      <c r="V266" s="62" t="str">
        <f t="shared" si="14"/>
        <v/>
      </c>
    </row>
    <row r="267" spans="17:22" x14ac:dyDescent="0.15">
      <c r="Q267" s="75" t="str">
        <f t="shared" si="12"/>
        <v/>
      </c>
      <c r="T267" s="62" t="str">
        <f t="shared" si="13"/>
        <v/>
      </c>
      <c r="V267" s="62" t="str">
        <f t="shared" si="14"/>
        <v/>
      </c>
    </row>
    <row r="268" spans="17:22" x14ac:dyDescent="0.15">
      <c r="Q268" s="75" t="str">
        <f t="shared" si="12"/>
        <v/>
      </c>
      <c r="T268" s="62" t="str">
        <f t="shared" si="13"/>
        <v/>
      </c>
      <c r="V268" s="62" t="str">
        <f t="shared" si="14"/>
        <v/>
      </c>
    </row>
    <row r="269" spans="17:22" x14ac:dyDescent="0.15">
      <c r="Q269" s="75" t="str">
        <f t="shared" si="12"/>
        <v/>
      </c>
      <c r="T269" s="62" t="str">
        <f t="shared" si="13"/>
        <v/>
      </c>
      <c r="V269" s="62" t="str">
        <f t="shared" si="14"/>
        <v/>
      </c>
    </row>
    <row r="270" spans="17:22" x14ac:dyDescent="0.15">
      <c r="Q270" s="75" t="str">
        <f t="shared" si="12"/>
        <v/>
      </c>
      <c r="T270" s="62" t="str">
        <f t="shared" si="13"/>
        <v/>
      </c>
      <c r="V270" s="62" t="str">
        <f t="shared" si="14"/>
        <v/>
      </c>
    </row>
    <row r="271" spans="17:22" x14ac:dyDescent="0.15">
      <c r="Q271" s="75" t="str">
        <f t="shared" si="12"/>
        <v/>
      </c>
      <c r="T271" s="62" t="str">
        <f t="shared" si="13"/>
        <v/>
      </c>
      <c r="V271" s="62" t="str">
        <f t="shared" si="14"/>
        <v/>
      </c>
    </row>
    <row r="272" spans="17:22" x14ac:dyDescent="0.15">
      <c r="Q272" s="75" t="str">
        <f t="shared" si="12"/>
        <v/>
      </c>
      <c r="T272" s="62" t="str">
        <f t="shared" si="13"/>
        <v/>
      </c>
      <c r="V272" s="62" t="str">
        <f t="shared" si="14"/>
        <v/>
      </c>
    </row>
    <row r="273" spans="17:22" x14ac:dyDescent="0.15">
      <c r="Q273" s="75" t="str">
        <f t="shared" si="12"/>
        <v/>
      </c>
      <c r="T273" s="62" t="str">
        <f t="shared" si="13"/>
        <v/>
      </c>
      <c r="V273" s="62" t="str">
        <f t="shared" si="14"/>
        <v/>
      </c>
    </row>
    <row r="274" spans="17:22" x14ac:dyDescent="0.15">
      <c r="Q274" s="75" t="str">
        <f t="shared" si="12"/>
        <v/>
      </c>
      <c r="T274" s="62" t="str">
        <f t="shared" si="13"/>
        <v/>
      </c>
      <c r="V274" s="62" t="str">
        <f t="shared" si="14"/>
        <v/>
      </c>
    </row>
    <row r="275" spans="17:22" x14ac:dyDescent="0.15">
      <c r="Q275" s="75" t="str">
        <f t="shared" si="12"/>
        <v/>
      </c>
      <c r="T275" s="62" t="str">
        <f t="shared" si="13"/>
        <v/>
      </c>
      <c r="V275" s="62" t="str">
        <f t="shared" si="14"/>
        <v/>
      </c>
    </row>
    <row r="276" spans="17:22" x14ac:dyDescent="0.15">
      <c r="Q276" s="75" t="str">
        <f t="shared" si="12"/>
        <v/>
      </c>
      <c r="T276" s="62" t="str">
        <f t="shared" si="13"/>
        <v/>
      </c>
      <c r="V276" s="62" t="str">
        <f t="shared" si="14"/>
        <v/>
      </c>
    </row>
    <row r="277" spans="17:22" x14ac:dyDescent="0.15">
      <c r="Q277" s="75" t="str">
        <f t="shared" si="12"/>
        <v/>
      </c>
      <c r="T277" s="62" t="str">
        <f t="shared" si="13"/>
        <v/>
      </c>
      <c r="V277" s="62" t="str">
        <f t="shared" si="14"/>
        <v/>
      </c>
    </row>
    <row r="278" spans="17:22" x14ac:dyDescent="0.15">
      <c r="Q278" s="75" t="str">
        <f t="shared" si="12"/>
        <v/>
      </c>
      <c r="T278" s="62" t="str">
        <f t="shared" si="13"/>
        <v/>
      </c>
      <c r="V278" s="62" t="str">
        <f t="shared" si="14"/>
        <v/>
      </c>
    </row>
    <row r="279" spans="17:22" x14ac:dyDescent="0.15">
      <c r="Q279" s="75" t="str">
        <f t="shared" si="12"/>
        <v/>
      </c>
      <c r="T279" s="62" t="str">
        <f t="shared" si="13"/>
        <v/>
      </c>
      <c r="V279" s="62" t="str">
        <f t="shared" si="14"/>
        <v/>
      </c>
    </row>
    <row r="280" spans="17:22" x14ac:dyDescent="0.15">
      <c r="Q280" s="75" t="str">
        <f t="shared" si="12"/>
        <v/>
      </c>
      <c r="T280" s="62" t="str">
        <f t="shared" si="13"/>
        <v/>
      </c>
      <c r="V280" s="62" t="str">
        <f t="shared" si="14"/>
        <v/>
      </c>
    </row>
    <row r="281" spans="17:22" x14ac:dyDescent="0.15">
      <c r="Q281" s="75" t="str">
        <f t="shared" si="12"/>
        <v/>
      </c>
      <c r="T281" s="62" t="str">
        <f t="shared" si="13"/>
        <v/>
      </c>
      <c r="V281" s="62" t="str">
        <f t="shared" si="14"/>
        <v/>
      </c>
    </row>
    <row r="282" spans="17:22" x14ac:dyDescent="0.15">
      <c r="Q282" s="75" t="str">
        <f t="shared" si="12"/>
        <v/>
      </c>
      <c r="T282" s="62" t="str">
        <f t="shared" si="13"/>
        <v/>
      </c>
      <c r="V282" s="62" t="str">
        <f t="shared" si="14"/>
        <v/>
      </c>
    </row>
    <row r="283" spans="17:22" x14ac:dyDescent="0.15">
      <c r="Q283" s="75" t="str">
        <f t="shared" si="12"/>
        <v/>
      </c>
      <c r="T283" s="62" t="str">
        <f t="shared" si="13"/>
        <v/>
      </c>
      <c r="V283" s="62" t="str">
        <f t="shared" si="14"/>
        <v/>
      </c>
    </row>
    <row r="284" spans="17:22" x14ac:dyDescent="0.15">
      <c r="Q284" s="75" t="str">
        <f t="shared" si="12"/>
        <v/>
      </c>
      <c r="T284" s="62" t="str">
        <f t="shared" si="13"/>
        <v/>
      </c>
      <c r="V284" s="62" t="str">
        <f t="shared" si="14"/>
        <v/>
      </c>
    </row>
    <row r="285" spans="17:22" x14ac:dyDescent="0.15">
      <c r="Q285" s="75" t="str">
        <f t="shared" si="12"/>
        <v/>
      </c>
      <c r="T285" s="62" t="str">
        <f t="shared" si="13"/>
        <v/>
      </c>
      <c r="V285" s="62" t="str">
        <f t="shared" si="14"/>
        <v/>
      </c>
    </row>
    <row r="286" spans="17:22" x14ac:dyDescent="0.15">
      <c r="Q286" s="75" t="str">
        <f t="shared" si="12"/>
        <v/>
      </c>
      <c r="T286" s="62" t="str">
        <f t="shared" si="13"/>
        <v/>
      </c>
      <c r="V286" s="62" t="str">
        <f t="shared" si="14"/>
        <v/>
      </c>
    </row>
    <row r="287" spans="17:22" x14ac:dyDescent="0.15">
      <c r="Q287" s="75" t="str">
        <f t="shared" si="12"/>
        <v/>
      </c>
      <c r="T287" s="62" t="str">
        <f t="shared" si="13"/>
        <v/>
      </c>
      <c r="V287" s="62" t="str">
        <f t="shared" si="14"/>
        <v/>
      </c>
    </row>
    <row r="288" spans="17:22" x14ac:dyDescent="0.15">
      <c r="Q288" s="75" t="str">
        <f t="shared" si="12"/>
        <v/>
      </c>
      <c r="T288" s="62" t="str">
        <f t="shared" si="13"/>
        <v/>
      </c>
      <c r="V288" s="62" t="str">
        <f t="shared" si="14"/>
        <v/>
      </c>
    </row>
    <row r="289" spans="17:22" x14ac:dyDescent="0.15">
      <c r="Q289" s="75" t="str">
        <f t="shared" si="12"/>
        <v/>
      </c>
      <c r="T289" s="62" t="str">
        <f t="shared" si="13"/>
        <v/>
      </c>
      <c r="V289" s="62" t="str">
        <f t="shared" si="14"/>
        <v/>
      </c>
    </row>
    <row r="290" spans="17:22" x14ac:dyDescent="0.15">
      <c r="Q290" s="75" t="str">
        <f t="shared" si="12"/>
        <v/>
      </c>
      <c r="T290" s="62" t="str">
        <f t="shared" si="13"/>
        <v/>
      </c>
      <c r="V290" s="62" t="str">
        <f t="shared" si="14"/>
        <v/>
      </c>
    </row>
    <row r="291" spans="17:22" x14ac:dyDescent="0.15">
      <c r="Q291" s="75" t="str">
        <f t="shared" si="12"/>
        <v/>
      </c>
      <c r="T291" s="62" t="str">
        <f t="shared" si="13"/>
        <v/>
      </c>
      <c r="V291" s="62" t="str">
        <f t="shared" si="14"/>
        <v/>
      </c>
    </row>
    <row r="292" spans="17:22" x14ac:dyDescent="0.15">
      <c r="Q292" s="75" t="str">
        <f t="shared" si="12"/>
        <v/>
      </c>
      <c r="T292" s="62" t="str">
        <f t="shared" si="13"/>
        <v/>
      </c>
      <c r="V292" s="62" t="str">
        <f t="shared" si="14"/>
        <v/>
      </c>
    </row>
    <row r="293" spans="17:22" x14ac:dyDescent="0.15">
      <c r="Q293" s="75" t="str">
        <f t="shared" si="12"/>
        <v/>
      </c>
      <c r="T293" s="62" t="str">
        <f t="shared" si="13"/>
        <v/>
      </c>
      <c r="V293" s="62" t="str">
        <f t="shared" si="14"/>
        <v/>
      </c>
    </row>
    <row r="294" spans="17:22" x14ac:dyDescent="0.15">
      <c r="Q294" s="75" t="str">
        <f t="shared" si="12"/>
        <v/>
      </c>
      <c r="T294" s="62" t="str">
        <f t="shared" si="13"/>
        <v/>
      </c>
      <c r="V294" s="62" t="str">
        <f t="shared" si="14"/>
        <v/>
      </c>
    </row>
    <row r="295" spans="17:22" x14ac:dyDescent="0.15">
      <c r="Q295" s="75" t="str">
        <f t="shared" si="12"/>
        <v/>
      </c>
      <c r="T295" s="62" t="str">
        <f t="shared" si="13"/>
        <v/>
      </c>
      <c r="V295" s="62" t="str">
        <f t="shared" si="14"/>
        <v/>
      </c>
    </row>
    <row r="296" spans="17:22" x14ac:dyDescent="0.15">
      <c r="Q296" s="75" t="str">
        <f t="shared" si="12"/>
        <v/>
      </c>
      <c r="T296" s="62" t="str">
        <f t="shared" si="13"/>
        <v/>
      </c>
      <c r="V296" s="62" t="str">
        <f t="shared" si="14"/>
        <v/>
      </c>
    </row>
    <row r="297" spans="17:22" x14ac:dyDescent="0.15">
      <c r="Q297" s="75" t="str">
        <f t="shared" si="12"/>
        <v/>
      </c>
      <c r="T297" s="62" t="str">
        <f t="shared" si="13"/>
        <v/>
      </c>
      <c r="V297" s="62" t="str">
        <f t="shared" si="14"/>
        <v/>
      </c>
    </row>
    <row r="298" spans="17:22" x14ac:dyDescent="0.15">
      <c r="Q298" s="75" t="str">
        <f t="shared" si="12"/>
        <v/>
      </c>
      <c r="T298" s="62" t="str">
        <f t="shared" si="13"/>
        <v/>
      </c>
      <c r="V298" s="62" t="str">
        <f t="shared" si="14"/>
        <v/>
      </c>
    </row>
    <row r="299" spans="17:22" x14ac:dyDescent="0.15">
      <c r="Q299" s="75" t="str">
        <f t="shared" si="12"/>
        <v/>
      </c>
      <c r="T299" s="62" t="str">
        <f t="shared" si="13"/>
        <v/>
      </c>
      <c r="V299" s="62" t="str">
        <f t="shared" si="14"/>
        <v/>
      </c>
    </row>
    <row r="300" spans="17:22" x14ac:dyDescent="0.15">
      <c r="Q300" s="75" t="str">
        <f t="shared" si="12"/>
        <v/>
      </c>
      <c r="T300" s="62" t="str">
        <f t="shared" si="13"/>
        <v/>
      </c>
      <c r="V300" s="62" t="str">
        <f t="shared" si="14"/>
        <v/>
      </c>
    </row>
    <row r="301" spans="17:22" x14ac:dyDescent="0.15">
      <c r="Q301" s="75" t="str">
        <f t="shared" si="12"/>
        <v/>
      </c>
      <c r="T301" s="62" t="str">
        <f t="shared" si="13"/>
        <v/>
      </c>
      <c r="V301" s="62" t="str">
        <f t="shared" si="14"/>
        <v/>
      </c>
    </row>
    <row r="302" spans="17:22" x14ac:dyDescent="0.15">
      <c r="Q302" s="75" t="str">
        <f t="shared" si="12"/>
        <v/>
      </c>
      <c r="T302" s="62" t="str">
        <f t="shared" si="13"/>
        <v/>
      </c>
      <c r="V302" s="62" t="str">
        <f t="shared" si="14"/>
        <v/>
      </c>
    </row>
    <row r="303" spans="17:22" x14ac:dyDescent="0.15">
      <c r="Q303" s="75" t="str">
        <f t="shared" si="12"/>
        <v/>
      </c>
      <c r="T303" s="62" t="str">
        <f t="shared" si="13"/>
        <v/>
      </c>
      <c r="V303" s="62" t="str">
        <f t="shared" si="14"/>
        <v/>
      </c>
    </row>
    <row r="304" spans="17:22" x14ac:dyDescent="0.15">
      <c r="Q304" s="75" t="str">
        <f t="shared" si="12"/>
        <v/>
      </c>
      <c r="T304" s="62" t="str">
        <f t="shared" si="13"/>
        <v/>
      </c>
      <c r="V304" s="62" t="str">
        <f t="shared" si="14"/>
        <v/>
      </c>
    </row>
    <row r="305" spans="17:22" x14ac:dyDescent="0.15">
      <c r="Q305" s="75" t="str">
        <f t="shared" si="12"/>
        <v/>
      </c>
      <c r="T305" s="62" t="str">
        <f t="shared" si="13"/>
        <v/>
      </c>
      <c r="V305" s="62" t="str">
        <f t="shared" si="14"/>
        <v/>
      </c>
    </row>
    <row r="306" spans="17:22" x14ac:dyDescent="0.15">
      <c r="Q306" s="75" t="str">
        <f t="shared" si="12"/>
        <v/>
      </c>
      <c r="T306" s="62" t="str">
        <f t="shared" si="13"/>
        <v/>
      </c>
      <c r="V306" s="62" t="str">
        <f t="shared" si="14"/>
        <v/>
      </c>
    </row>
    <row r="307" spans="17:22" x14ac:dyDescent="0.15">
      <c r="Q307" s="75" t="str">
        <f t="shared" si="12"/>
        <v/>
      </c>
      <c r="T307" s="62" t="str">
        <f t="shared" si="13"/>
        <v/>
      </c>
      <c r="V307" s="62" t="str">
        <f t="shared" si="14"/>
        <v/>
      </c>
    </row>
    <row r="308" spans="17:22" x14ac:dyDescent="0.15">
      <c r="Q308" s="75" t="str">
        <f t="shared" si="12"/>
        <v/>
      </c>
      <c r="T308" s="62" t="str">
        <f t="shared" si="13"/>
        <v/>
      </c>
      <c r="V308" s="62" t="str">
        <f t="shared" si="14"/>
        <v/>
      </c>
    </row>
    <row r="309" spans="17:22" x14ac:dyDescent="0.15">
      <c r="Q309" s="75" t="str">
        <f t="shared" si="12"/>
        <v/>
      </c>
      <c r="T309" s="62" t="str">
        <f t="shared" si="13"/>
        <v/>
      </c>
      <c r="V309" s="62" t="str">
        <f t="shared" si="14"/>
        <v/>
      </c>
    </row>
    <row r="310" spans="17:22" x14ac:dyDescent="0.15">
      <c r="Q310" s="75" t="str">
        <f t="shared" si="12"/>
        <v/>
      </c>
      <c r="T310" s="62" t="str">
        <f t="shared" si="13"/>
        <v/>
      </c>
      <c r="V310" s="62" t="str">
        <f t="shared" si="14"/>
        <v/>
      </c>
    </row>
    <row r="311" spans="17:22" x14ac:dyDescent="0.15">
      <c r="Q311" s="75" t="str">
        <f t="shared" si="12"/>
        <v/>
      </c>
      <c r="T311" s="62" t="str">
        <f t="shared" si="13"/>
        <v/>
      </c>
      <c r="V311" s="62" t="str">
        <f t="shared" si="14"/>
        <v/>
      </c>
    </row>
    <row r="312" spans="17:22" x14ac:dyDescent="0.15">
      <c r="Q312" s="75" t="str">
        <f t="shared" si="12"/>
        <v/>
      </c>
      <c r="T312" s="62" t="str">
        <f t="shared" si="13"/>
        <v/>
      </c>
      <c r="V312" s="62" t="str">
        <f t="shared" si="14"/>
        <v/>
      </c>
    </row>
    <row r="313" spans="17:22" x14ac:dyDescent="0.15">
      <c r="Q313" s="75" t="str">
        <f t="shared" si="12"/>
        <v/>
      </c>
      <c r="T313" s="62" t="str">
        <f t="shared" si="13"/>
        <v/>
      </c>
      <c r="V313" s="62" t="str">
        <f t="shared" si="14"/>
        <v/>
      </c>
    </row>
    <row r="314" spans="17:22" x14ac:dyDescent="0.15">
      <c r="Q314" s="75" t="str">
        <f t="shared" si="12"/>
        <v/>
      </c>
      <c r="T314" s="62" t="str">
        <f t="shared" si="13"/>
        <v/>
      </c>
      <c r="V314" s="62" t="str">
        <f t="shared" si="14"/>
        <v/>
      </c>
    </row>
    <row r="315" spans="17:22" x14ac:dyDescent="0.15">
      <c r="Q315" s="75" t="str">
        <f t="shared" si="12"/>
        <v/>
      </c>
      <c r="T315" s="62" t="str">
        <f t="shared" si="13"/>
        <v/>
      </c>
      <c r="V315" s="62" t="str">
        <f t="shared" si="14"/>
        <v/>
      </c>
    </row>
    <row r="316" spans="17:22" x14ac:dyDescent="0.15">
      <c r="Q316" s="75" t="str">
        <f t="shared" si="12"/>
        <v/>
      </c>
      <c r="T316" s="62" t="str">
        <f t="shared" si="13"/>
        <v/>
      </c>
      <c r="V316" s="62" t="str">
        <f t="shared" si="14"/>
        <v/>
      </c>
    </row>
    <row r="317" spans="17:22" x14ac:dyDescent="0.15">
      <c r="Q317" s="75" t="str">
        <f t="shared" si="12"/>
        <v/>
      </c>
      <c r="T317" s="62" t="str">
        <f t="shared" si="13"/>
        <v/>
      </c>
      <c r="V317" s="62" t="str">
        <f t="shared" si="14"/>
        <v/>
      </c>
    </row>
    <row r="318" spans="17:22" x14ac:dyDescent="0.15">
      <c r="Q318" s="75" t="str">
        <f t="shared" si="12"/>
        <v/>
      </c>
      <c r="T318" s="62" t="str">
        <f t="shared" si="13"/>
        <v/>
      </c>
      <c r="V318" s="62" t="str">
        <f t="shared" si="14"/>
        <v/>
      </c>
    </row>
    <row r="319" spans="17:22" x14ac:dyDescent="0.15">
      <c r="Q319" s="75" t="str">
        <f t="shared" si="12"/>
        <v/>
      </c>
      <c r="T319" s="62" t="str">
        <f t="shared" si="13"/>
        <v/>
      </c>
      <c r="V319" s="62" t="str">
        <f t="shared" si="14"/>
        <v/>
      </c>
    </row>
    <row r="320" spans="17:22" x14ac:dyDescent="0.15">
      <c r="Q320" s="75" t="str">
        <f t="shared" si="12"/>
        <v/>
      </c>
      <c r="T320" s="62" t="str">
        <f t="shared" si="13"/>
        <v/>
      </c>
      <c r="V320" s="62" t="str">
        <f t="shared" si="14"/>
        <v/>
      </c>
    </row>
    <row r="321" spans="17:22" x14ac:dyDescent="0.15">
      <c r="Q321" s="75" t="str">
        <f t="shared" si="12"/>
        <v/>
      </c>
      <c r="T321" s="62" t="str">
        <f t="shared" si="13"/>
        <v/>
      </c>
      <c r="V321" s="62" t="str">
        <f t="shared" si="14"/>
        <v/>
      </c>
    </row>
    <row r="322" spans="17:22" x14ac:dyDescent="0.15">
      <c r="Q322" s="75" t="str">
        <f t="shared" ref="Q322:Q380" si="15">IF(OR(O322="",P322=""),"",AVERAGE(O322,P322))</f>
        <v/>
      </c>
      <c r="T322" s="62" t="str">
        <f t="shared" ref="T322:T385" si="16">IF(H322="","",IF(OR(H322="GREEN",H322="GK"),IF(S322&gt;=$AX$2,VLOOKUP(S322,$AX$2:$AY$10,2,1),""),IF(S322&gt;=$AZ$2,VLOOKUP(S322,$AZ$2:$BA$10,2,1),"")))</f>
        <v/>
      </c>
      <c r="V322" s="62" t="str">
        <f t="shared" ref="V322:V385" si="17">IF(OR(N322="",U322="",T322=""),"",U322/N322*T322)</f>
        <v/>
      </c>
    </row>
    <row r="323" spans="17:22" x14ac:dyDescent="0.15">
      <c r="Q323" s="75" t="str">
        <f t="shared" si="15"/>
        <v/>
      </c>
      <c r="T323" s="62" t="str">
        <f t="shared" si="16"/>
        <v/>
      </c>
      <c r="V323" s="62" t="str">
        <f t="shared" si="17"/>
        <v/>
      </c>
    </row>
    <row r="324" spans="17:22" x14ac:dyDescent="0.15">
      <c r="Q324" s="75" t="str">
        <f t="shared" si="15"/>
        <v/>
      </c>
      <c r="T324" s="62" t="str">
        <f t="shared" si="16"/>
        <v/>
      </c>
      <c r="V324" s="62" t="str">
        <f t="shared" si="17"/>
        <v/>
      </c>
    </row>
    <row r="325" spans="17:22" x14ac:dyDescent="0.15">
      <c r="Q325" s="75" t="str">
        <f t="shared" si="15"/>
        <v/>
      </c>
      <c r="T325" s="62" t="str">
        <f t="shared" si="16"/>
        <v/>
      </c>
      <c r="V325" s="62" t="str">
        <f t="shared" si="17"/>
        <v/>
      </c>
    </row>
    <row r="326" spans="17:22" x14ac:dyDescent="0.15">
      <c r="Q326" s="75" t="str">
        <f t="shared" si="15"/>
        <v/>
      </c>
      <c r="T326" s="62" t="str">
        <f t="shared" si="16"/>
        <v/>
      </c>
      <c r="V326" s="62" t="str">
        <f t="shared" si="17"/>
        <v/>
      </c>
    </row>
    <row r="327" spans="17:22" x14ac:dyDescent="0.15">
      <c r="Q327" s="75" t="str">
        <f t="shared" si="15"/>
        <v/>
      </c>
      <c r="T327" s="62" t="str">
        <f t="shared" si="16"/>
        <v/>
      </c>
      <c r="V327" s="62" t="str">
        <f t="shared" si="17"/>
        <v/>
      </c>
    </row>
    <row r="328" spans="17:22" x14ac:dyDescent="0.15">
      <c r="Q328" s="75" t="str">
        <f t="shared" si="15"/>
        <v/>
      </c>
      <c r="T328" s="62" t="str">
        <f t="shared" si="16"/>
        <v/>
      </c>
      <c r="V328" s="62" t="str">
        <f t="shared" si="17"/>
        <v/>
      </c>
    </row>
    <row r="329" spans="17:22" x14ac:dyDescent="0.15">
      <c r="Q329" s="75" t="str">
        <f t="shared" si="15"/>
        <v/>
      </c>
      <c r="T329" s="62" t="str">
        <f t="shared" si="16"/>
        <v/>
      </c>
      <c r="V329" s="62" t="str">
        <f t="shared" si="17"/>
        <v/>
      </c>
    </row>
    <row r="330" spans="17:22" x14ac:dyDescent="0.15">
      <c r="Q330" s="75" t="str">
        <f t="shared" si="15"/>
        <v/>
      </c>
      <c r="T330" s="62" t="str">
        <f t="shared" si="16"/>
        <v/>
      </c>
      <c r="V330" s="62" t="str">
        <f t="shared" si="17"/>
        <v/>
      </c>
    </row>
    <row r="331" spans="17:22" x14ac:dyDescent="0.15">
      <c r="Q331" s="75" t="str">
        <f t="shared" si="15"/>
        <v/>
      </c>
      <c r="T331" s="62" t="str">
        <f t="shared" si="16"/>
        <v/>
      </c>
      <c r="V331" s="62" t="str">
        <f t="shared" si="17"/>
        <v/>
      </c>
    </row>
    <row r="332" spans="17:22" x14ac:dyDescent="0.15">
      <c r="Q332" s="75" t="str">
        <f t="shared" si="15"/>
        <v/>
      </c>
      <c r="T332" s="62" t="str">
        <f t="shared" si="16"/>
        <v/>
      </c>
      <c r="V332" s="62" t="str">
        <f t="shared" si="17"/>
        <v/>
      </c>
    </row>
    <row r="333" spans="17:22" x14ac:dyDescent="0.15">
      <c r="Q333" s="75" t="str">
        <f t="shared" si="15"/>
        <v/>
      </c>
      <c r="T333" s="62" t="str">
        <f t="shared" si="16"/>
        <v/>
      </c>
      <c r="V333" s="62" t="str">
        <f t="shared" si="17"/>
        <v/>
      </c>
    </row>
    <row r="334" spans="17:22" x14ac:dyDescent="0.15">
      <c r="Q334" s="75" t="str">
        <f t="shared" si="15"/>
        <v/>
      </c>
      <c r="T334" s="62" t="str">
        <f t="shared" si="16"/>
        <v/>
      </c>
      <c r="V334" s="62" t="str">
        <f t="shared" si="17"/>
        <v/>
      </c>
    </row>
    <row r="335" spans="17:22" x14ac:dyDescent="0.15">
      <c r="Q335" s="75" t="str">
        <f t="shared" si="15"/>
        <v/>
      </c>
      <c r="T335" s="62" t="str">
        <f t="shared" si="16"/>
        <v/>
      </c>
      <c r="V335" s="62" t="str">
        <f t="shared" si="17"/>
        <v/>
      </c>
    </row>
    <row r="336" spans="17:22" x14ac:dyDescent="0.15">
      <c r="Q336" s="75" t="str">
        <f t="shared" si="15"/>
        <v/>
      </c>
      <c r="T336" s="62" t="str">
        <f t="shared" si="16"/>
        <v/>
      </c>
      <c r="V336" s="62" t="str">
        <f t="shared" si="17"/>
        <v/>
      </c>
    </row>
    <row r="337" spans="17:22" x14ac:dyDescent="0.15">
      <c r="Q337" s="75" t="str">
        <f t="shared" si="15"/>
        <v/>
      </c>
      <c r="T337" s="62" t="str">
        <f t="shared" si="16"/>
        <v/>
      </c>
      <c r="V337" s="62" t="str">
        <f t="shared" si="17"/>
        <v/>
      </c>
    </row>
    <row r="338" spans="17:22" x14ac:dyDescent="0.15">
      <c r="Q338" s="75" t="str">
        <f t="shared" si="15"/>
        <v/>
      </c>
      <c r="T338" s="62" t="str">
        <f t="shared" si="16"/>
        <v/>
      </c>
      <c r="V338" s="62" t="str">
        <f t="shared" si="17"/>
        <v/>
      </c>
    </row>
    <row r="339" spans="17:22" x14ac:dyDescent="0.15">
      <c r="Q339" s="75" t="str">
        <f t="shared" si="15"/>
        <v/>
      </c>
      <c r="T339" s="62" t="str">
        <f t="shared" si="16"/>
        <v/>
      </c>
      <c r="V339" s="62" t="str">
        <f t="shared" si="17"/>
        <v/>
      </c>
    </row>
    <row r="340" spans="17:22" x14ac:dyDescent="0.15">
      <c r="Q340" s="75" t="str">
        <f t="shared" si="15"/>
        <v/>
      </c>
      <c r="T340" s="62" t="str">
        <f t="shared" si="16"/>
        <v/>
      </c>
      <c r="V340" s="62" t="str">
        <f t="shared" si="17"/>
        <v/>
      </c>
    </row>
    <row r="341" spans="17:22" x14ac:dyDescent="0.15">
      <c r="Q341" s="75" t="str">
        <f t="shared" si="15"/>
        <v/>
      </c>
      <c r="T341" s="62" t="str">
        <f t="shared" si="16"/>
        <v/>
      </c>
      <c r="V341" s="62" t="str">
        <f t="shared" si="17"/>
        <v/>
      </c>
    </row>
    <row r="342" spans="17:22" x14ac:dyDescent="0.15">
      <c r="Q342" s="75" t="str">
        <f t="shared" si="15"/>
        <v/>
      </c>
      <c r="T342" s="62" t="str">
        <f t="shared" si="16"/>
        <v/>
      </c>
      <c r="V342" s="62" t="str">
        <f t="shared" si="17"/>
        <v/>
      </c>
    </row>
    <row r="343" spans="17:22" x14ac:dyDescent="0.15">
      <c r="Q343" s="75" t="str">
        <f t="shared" si="15"/>
        <v/>
      </c>
      <c r="T343" s="62" t="str">
        <f t="shared" si="16"/>
        <v/>
      </c>
      <c r="V343" s="62" t="str">
        <f t="shared" si="17"/>
        <v/>
      </c>
    </row>
    <row r="344" spans="17:22" x14ac:dyDescent="0.15">
      <c r="Q344" s="75" t="str">
        <f t="shared" si="15"/>
        <v/>
      </c>
      <c r="T344" s="62" t="str">
        <f t="shared" si="16"/>
        <v/>
      </c>
      <c r="V344" s="62" t="str">
        <f t="shared" si="17"/>
        <v/>
      </c>
    </row>
    <row r="345" spans="17:22" x14ac:dyDescent="0.15">
      <c r="Q345" s="75" t="str">
        <f t="shared" si="15"/>
        <v/>
      </c>
      <c r="T345" s="62" t="str">
        <f t="shared" si="16"/>
        <v/>
      </c>
      <c r="V345" s="62" t="str">
        <f t="shared" si="17"/>
        <v/>
      </c>
    </row>
    <row r="346" spans="17:22" x14ac:dyDescent="0.15">
      <c r="Q346" s="75" t="str">
        <f t="shared" si="15"/>
        <v/>
      </c>
      <c r="T346" s="62" t="str">
        <f t="shared" si="16"/>
        <v/>
      </c>
      <c r="V346" s="62" t="str">
        <f t="shared" si="17"/>
        <v/>
      </c>
    </row>
    <row r="347" spans="17:22" x14ac:dyDescent="0.15">
      <c r="Q347" s="75" t="str">
        <f t="shared" si="15"/>
        <v/>
      </c>
      <c r="T347" s="62" t="str">
        <f t="shared" si="16"/>
        <v/>
      </c>
      <c r="V347" s="62" t="str">
        <f t="shared" si="17"/>
        <v/>
      </c>
    </row>
    <row r="348" spans="17:22" x14ac:dyDescent="0.15">
      <c r="Q348" s="75" t="str">
        <f t="shared" si="15"/>
        <v/>
      </c>
      <c r="T348" s="62" t="str">
        <f t="shared" si="16"/>
        <v/>
      </c>
      <c r="V348" s="62" t="str">
        <f t="shared" si="17"/>
        <v/>
      </c>
    </row>
    <row r="349" spans="17:22" x14ac:dyDescent="0.15">
      <c r="Q349" s="75" t="str">
        <f t="shared" si="15"/>
        <v/>
      </c>
      <c r="T349" s="62" t="str">
        <f t="shared" si="16"/>
        <v/>
      </c>
      <c r="V349" s="62" t="str">
        <f t="shared" si="17"/>
        <v/>
      </c>
    </row>
    <row r="350" spans="17:22" x14ac:dyDescent="0.15">
      <c r="Q350" s="75" t="str">
        <f t="shared" si="15"/>
        <v/>
      </c>
      <c r="T350" s="62" t="str">
        <f t="shared" si="16"/>
        <v/>
      </c>
      <c r="V350" s="62" t="str">
        <f t="shared" si="17"/>
        <v/>
      </c>
    </row>
    <row r="351" spans="17:22" x14ac:dyDescent="0.15">
      <c r="Q351" s="75" t="str">
        <f t="shared" si="15"/>
        <v/>
      </c>
      <c r="T351" s="62" t="str">
        <f t="shared" si="16"/>
        <v/>
      </c>
      <c r="V351" s="62" t="str">
        <f t="shared" si="17"/>
        <v/>
      </c>
    </row>
    <row r="352" spans="17:22" x14ac:dyDescent="0.15">
      <c r="Q352" s="75" t="str">
        <f t="shared" si="15"/>
        <v/>
      </c>
      <c r="T352" s="62" t="str">
        <f t="shared" si="16"/>
        <v/>
      </c>
      <c r="V352" s="62" t="str">
        <f t="shared" si="17"/>
        <v/>
      </c>
    </row>
    <row r="353" spans="17:22" x14ac:dyDescent="0.15">
      <c r="Q353" s="75" t="str">
        <f t="shared" si="15"/>
        <v/>
      </c>
      <c r="T353" s="62" t="str">
        <f t="shared" si="16"/>
        <v/>
      </c>
      <c r="V353" s="62" t="str">
        <f t="shared" si="17"/>
        <v/>
      </c>
    </row>
    <row r="354" spans="17:22" x14ac:dyDescent="0.15">
      <c r="Q354" s="75" t="str">
        <f t="shared" si="15"/>
        <v/>
      </c>
      <c r="T354" s="62" t="str">
        <f t="shared" si="16"/>
        <v/>
      </c>
      <c r="V354" s="62" t="str">
        <f t="shared" si="17"/>
        <v/>
      </c>
    </row>
    <row r="355" spans="17:22" x14ac:dyDescent="0.15">
      <c r="Q355" s="75" t="str">
        <f t="shared" si="15"/>
        <v/>
      </c>
      <c r="T355" s="62" t="str">
        <f t="shared" si="16"/>
        <v/>
      </c>
      <c r="V355" s="62" t="str">
        <f t="shared" si="17"/>
        <v/>
      </c>
    </row>
    <row r="356" spans="17:22" x14ac:dyDescent="0.15">
      <c r="Q356" s="75" t="str">
        <f t="shared" si="15"/>
        <v/>
      </c>
      <c r="T356" s="62" t="str">
        <f t="shared" si="16"/>
        <v/>
      </c>
      <c r="V356" s="62" t="str">
        <f t="shared" si="17"/>
        <v/>
      </c>
    </row>
    <row r="357" spans="17:22" x14ac:dyDescent="0.15">
      <c r="Q357" s="75" t="str">
        <f t="shared" si="15"/>
        <v/>
      </c>
      <c r="T357" s="62" t="str">
        <f t="shared" si="16"/>
        <v/>
      </c>
      <c r="V357" s="62" t="str">
        <f t="shared" si="17"/>
        <v/>
      </c>
    </row>
    <row r="358" spans="17:22" x14ac:dyDescent="0.15">
      <c r="Q358" s="75" t="str">
        <f t="shared" si="15"/>
        <v/>
      </c>
      <c r="T358" s="62" t="str">
        <f t="shared" si="16"/>
        <v/>
      </c>
      <c r="V358" s="62" t="str">
        <f t="shared" si="17"/>
        <v/>
      </c>
    </row>
    <row r="359" spans="17:22" x14ac:dyDescent="0.15">
      <c r="Q359" s="75" t="str">
        <f t="shared" si="15"/>
        <v/>
      </c>
      <c r="T359" s="62" t="str">
        <f t="shared" si="16"/>
        <v/>
      </c>
      <c r="V359" s="62" t="str">
        <f t="shared" si="17"/>
        <v/>
      </c>
    </row>
    <row r="360" spans="17:22" x14ac:dyDescent="0.15">
      <c r="Q360" s="75" t="str">
        <f t="shared" si="15"/>
        <v/>
      </c>
      <c r="T360" s="62" t="str">
        <f t="shared" si="16"/>
        <v/>
      </c>
      <c r="V360" s="62" t="str">
        <f t="shared" si="17"/>
        <v/>
      </c>
    </row>
    <row r="361" spans="17:22" x14ac:dyDescent="0.15">
      <c r="Q361" s="75" t="str">
        <f t="shared" si="15"/>
        <v/>
      </c>
      <c r="T361" s="62" t="str">
        <f t="shared" si="16"/>
        <v/>
      </c>
      <c r="V361" s="62" t="str">
        <f t="shared" si="17"/>
        <v/>
      </c>
    </row>
    <row r="362" spans="17:22" x14ac:dyDescent="0.15">
      <c r="Q362" s="75" t="str">
        <f t="shared" si="15"/>
        <v/>
      </c>
      <c r="T362" s="62" t="str">
        <f t="shared" si="16"/>
        <v/>
      </c>
      <c r="V362" s="62" t="str">
        <f t="shared" si="17"/>
        <v/>
      </c>
    </row>
    <row r="363" spans="17:22" x14ac:dyDescent="0.15">
      <c r="Q363" s="75" t="str">
        <f t="shared" si="15"/>
        <v/>
      </c>
      <c r="T363" s="62" t="str">
        <f t="shared" si="16"/>
        <v/>
      </c>
      <c r="V363" s="62" t="str">
        <f t="shared" si="17"/>
        <v/>
      </c>
    </row>
    <row r="364" spans="17:22" x14ac:dyDescent="0.15">
      <c r="Q364" s="75" t="str">
        <f t="shared" si="15"/>
        <v/>
      </c>
      <c r="T364" s="62" t="str">
        <f t="shared" si="16"/>
        <v/>
      </c>
      <c r="V364" s="62" t="str">
        <f t="shared" si="17"/>
        <v/>
      </c>
    </row>
    <row r="365" spans="17:22" x14ac:dyDescent="0.15">
      <c r="Q365" s="75" t="str">
        <f t="shared" si="15"/>
        <v/>
      </c>
      <c r="T365" s="62" t="str">
        <f t="shared" si="16"/>
        <v/>
      </c>
      <c r="V365" s="62" t="str">
        <f t="shared" si="17"/>
        <v/>
      </c>
    </row>
    <row r="366" spans="17:22" x14ac:dyDescent="0.15">
      <c r="Q366" s="75" t="str">
        <f t="shared" si="15"/>
        <v/>
      </c>
      <c r="T366" s="62" t="str">
        <f t="shared" si="16"/>
        <v/>
      </c>
      <c r="V366" s="62" t="str">
        <f t="shared" si="17"/>
        <v/>
      </c>
    </row>
    <row r="367" spans="17:22" x14ac:dyDescent="0.15">
      <c r="Q367" s="75" t="str">
        <f t="shared" si="15"/>
        <v/>
      </c>
      <c r="T367" s="62" t="str">
        <f t="shared" si="16"/>
        <v/>
      </c>
      <c r="V367" s="62" t="str">
        <f t="shared" si="17"/>
        <v/>
      </c>
    </row>
    <row r="368" spans="17:22" x14ac:dyDescent="0.15">
      <c r="Q368" s="75" t="str">
        <f t="shared" si="15"/>
        <v/>
      </c>
      <c r="T368" s="62" t="str">
        <f t="shared" si="16"/>
        <v/>
      </c>
      <c r="V368" s="62" t="str">
        <f t="shared" si="17"/>
        <v/>
      </c>
    </row>
    <row r="369" spans="17:22" x14ac:dyDescent="0.15">
      <c r="Q369" s="75" t="str">
        <f t="shared" si="15"/>
        <v/>
      </c>
      <c r="T369" s="62" t="str">
        <f t="shared" si="16"/>
        <v/>
      </c>
      <c r="V369" s="62" t="str">
        <f t="shared" si="17"/>
        <v/>
      </c>
    </row>
    <row r="370" spans="17:22" x14ac:dyDescent="0.15">
      <c r="Q370" s="75" t="str">
        <f t="shared" si="15"/>
        <v/>
      </c>
      <c r="T370" s="62" t="str">
        <f t="shared" si="16"/>
        <v/>
      </c>
      <c r="V370" s="62" t="str">
        <f t="shared" si="17"/>
        <v/>
      </c>
    </row>
    <row r="371" spans="17:22" x14ac:dyDescent="0.15">
      <c r="Q371" s="75" t="str">
        <f t="shared" si="15"/>
        <v/>
      </c>
      <c r="T371" s="62" t="str">
        <f t="shared" si="16"/>
        <v/>
      </c>
      <c r="V371" s="62" t="str">
        <f t="shared" si="17"/>
        <v/>
      </c>
    </row>
    <row r="372" spans="17:22" x14ac:dyDescent="0.15">
      <c r="Q372" s="75" t="str">
        <f t="shared" si="15"/>
        <v/>
      </c>
      <c r="T372" s="62" t="str">
        <f t="shared" si="16"/>
        <v/>
      </c>
      <c r="V372" s="62" t="str">
        <f t="shared" si="17"/>
        <v/>
      </c>
    </row>
    <row r="373" spans="17:22" x14ac:dyDescent="0.15">
      <c r="Q373" s="75" t="str">
        <f t="shared" si="15"/>
        <v/>
      </c>
      <c r="T373" s="62" t="str">
        <f t="shared" si="16"/>
        <v/>
      </c>
      <c r="V373" s="62" t="str">
        <f t="shared" si="17"/>
        <v/>
      </c>
    </row>
    <row r="374" spans="17:22" x14ac:dyDescent="0.15">
      <c r="Q374" s="75" t="str">
        <f t="shared" si="15"/>
        <v/>
      </c>
      <c r="T374" s="62" t="str">
        <f t="shared" si="16"/>
        <v/>
      </c>
      <c r="V374" s="62" t="str">
        <f t="shared" si="17"/>
        <v/>
      </c>
    </row>
    <row r="375" spans="17:22" x14ac:dyDescent="0.15">
      <c r="Q375" s="75" t="str">
        <f t="shared" si="15"/>
        <v/>
      </c>
      <c r="T375" s="62" t="str">
        <f t="shared" si="16"/>
        <v/>
      </c>
      <c r="V375" s="62" t="str">
        <f t="shared" si="17"/>
        <v/>
      </c>
    </row>
    <row r="376" spans="17:22" x14ac:dyDescent="0.15">
      <c r="Q376" s="75" t="str">
        <f t="shared" si="15"/>
        <v/>
      </c>
      <c r="T376" s="62" t="str">
        <f t="shared" si="16"/>
        <v/>
      </c>
      <c r="V376" s="62" t="str">
        <f t="shared" si="17"/>
        <v/>
      </c>
    </row>
    <row r="377" spans="17:22" x14ac:dyDescent="0.15">
      <c r="Q377" s="75" t="str">
        <f t="shared" si="15"/>
        <v/>
      </c>
      <c r="T377" s="62" t="str">
        <f t="shared" si="16"/>
        <v/>
      </c>
      <c r="V377" s="62" t="str">
        <f t="shared" si="17"/>
        <v/>
      </c>
    </row>
    <row r="378" spans="17:22" x14ac:dyDescent="0.15">
      <c r="Q378" s="75" t="str">
        <f t="shared" si="15"/>
        <v/>
      </c>
      <c r="T378" s="62" t="str">
        <f t="shared" si="16"/>
        <v/>
      </c>
      <c r="V378" s="62" t="str">
        <f t="shared" si="17"/>
        <v/>
      </c>
    </row>
    <row r="379" spans="17:22" x14ac:dyDescent="0.15">
      <c r="Q379" s="75" t="str">
        <f t="shared" si="15"/>
        <v/>
      </c>
      <c r="T379" s="62" t="str">
        <f t="shared" si="16"/>
        <v/>
      </c>
      <c r="V379" s="62" t="str">
        <f t="shared" si="17"/>
        <v/>
      </c>
    </row>
    <row r="380" spans="17:22" x14ac:dyDescent="0.15">
      <c r="Q380" s="75" t="str">
        <f t="shared" si="15"/>
        <v/>
      </c>
      <c r="T380" s="62" t="str">
        <f t="shared" si="16"/>
        <v/>
      </c>
      <c r="V380" s="62" t="str">
        <f t="shared" si="17"/>
        <v/>
      </c>
    </row>
    <row r="381" spans="17:22" x14ac:dyDescent="0.15">
      <c r="T381" s="62" t="str">
        <f t="shared" si="16"/>
        <v/>
      </c>
      <c r="V381" s="62" t="str">
        <f t="shared" si="17"/>
        <v/>
      </c>
    </row>
    <row r="382" spans="17:22" x14ac:dyDescent="0.15">
      <c r="T382" s="62" t="str">
        <f t="shared" si="16"/>
        <v/>
      </c>
      <c r="V382" s="62" t="str">
        <f t="shared" si="17"/>
        <v/>
      </c>
    </row>
    <row r="383" spans="17:22" x14ac:dyDescent="0.15">
      <c r="T383" s="62" t="str">
        <f t="shared" si="16"/>
        <v/>
      </c>
      <c r="V383" s="62" t="str">
        <f t="shared" si="17"/>
        <v/>
      </c>
    </row>
    <row r="384" spans="17:22" x14ac:dyDescent="0.15">
      <c r="T384" s="62" t="str">
        <f t="shared" si="16"/>
        <v/>
      </c>
      <c r="V384" s="62" t="str">
        <f t="shared" si="17"/>
        <v/>
      </c>
    </row>
    <row r="385" spans="20:22" x14ac:dyDescent="0.15">
      <c r="T385" s="62" t="str">
        <f t="shared" si="16"/>
        <v/>
      </c>
      <c r="V385" s="62" t="str">
        <f t="shared" si="17"/>
        <v/>
      </c>
    </row>
    <row r="386" spans="20:22" x14ac:dyDescent="0.15">
      <c r="T386" s="62" t="str">
        <f t="shared" ref="T386:T408" si="18">IF(H386="","",IF(OR(H386="GREEN",H386="GK"),IF(S386&gt;=$AX$2,VLOOKUP(S386,$AX$2:$AY$10,2,1),""),IF(S386&gt;=$AZ$2,VLOOKUP(S386,$AZ$2:$BA$10,2,1),"")))</f>
        <v/>
      </c>
      <c r="V386" s="62" t="str">
        <f t="shared" ref="V386:V388" si="19">IF(OR(N386="",U386="",T386=""),"",U386/N386*T386)</f>
        <v/>
      </c>
    </row>
    <row r="387" spans="20:22" x14ac:dyDescent="0.15">
      <c r="T387" s="62" t="str">
        <f t="shared" si="18"/>
        <v/>
      </c>
      <c r="V387" s="62" t="str">
        <f t="shared" si="19"/>
        <v/>
      </c>
    </row>
    <row r="388" spans="20:22" x14ac:dyDescent="0.15">
      <c r="T388" s="62" t="str">
        <f t="shared" si="18"/>
        <v/>
      </c>
      <c r="V388" s="62" t="str">
        <f t="shared" si="19"/>
        <v/>
      </c>
    </row>
    <row r="389" spans="20:22" x14ac:dyDescent="0.15">
      <c r="T389" s="62" t="str">
        <f t="shared" si="18"/>
        <v/>
      </c>
    </row>
    <row r="390" spans="20:22" x14ac:dyDescent="0.15">
      <c r="T390" s="62" t="str">
        <f t="shared" si="18"/>
        <v/>
      </c>
    </row>
    <row r="391" spans="20:22" x14ac:dyDescent="0.15">
      <c r="T391" s="62" t="str">
        <f t="shared" si="18"/>
        <v/>
      </c>
    </row>
    <row r="392" spans="20:22" x14ac:dyDescent="0.15">
      <c r="T392" s="62" t="str">
        <f t="shared" si="18"/>
        <v/>
      </c>
    </row>
    <row r="393" spans="20:22" x14ac:dyDescent="0.15">
      <c r="T393" s="62" t="str">
        <f t="shared" si="18"/>
        <v/>
      </c>
    </row>
    <row r="394" spans="20:22" x14ac:dyDescent="0.15">
      <c r="T394" s="62" t="str">
        <f t="shared" si="18"/>
        <v/>
      </c>
    </row>
    <row r="395" spans="20:22" x14ac:dyDescent="0.15">
      <c r="T395" s="62" t="str">
        <f t="shared" si="18"/>
        <v/>
      </c>
    </row>
    <row r="396" spans="20:22" x14ac:dyDescent="0.15">
      <c r="T396" s="62" t="str">
        <f t="shared" si="18"/>
        <v/>
      </c>
    </row>
    <row r="397" spans="20:22" x14ac:dyDescent="0.15">
      <c r="T397" s="62" t="str">
        <f t="shared" si="18"/>
        <v/>
      </c>
    </row>
    <row r="398" spans="20:22" x14ac:dyDescent="0.15">
      <c r="T398" s="62" t="str">
        <f t="shared" si="18"/>
        <v/>
      </c>
    </row>
    <row r="399" spans="20:22" x14ac:dyDescent="0.15">
      <c r="T399" s="62" t="str">
        <f t="shared" si="18"/>
        <v/>
      </c>
    </row>
    <row r="400" spans="20:22" x14ac:dyDescent="0.15">
      <c r="T400" s="62" t="str">
        <f t="shared" si="18"/>
        <v/>
      </c>
    </row>
    <row r="401" spans="20:20" x14ac:dyDescent="0.15">
      <c r="T401" s="62" t="str">
        <f t="shared" si="18"/>
        <v/>
      </c>
    </row>
    <row r="402" spans="20:20" x14ac:dyDescent="0.15">
      <c r="T402" s="62" t="str">
        <f t="shared" si="18"/>
        <v/>
      </c>
    </row>
    <row r="403" spans="20:20" x14ac:dyDescent="0.15">
      <c r="T403" s="62" t="str">
        <f t="shared" si="18"/>
        <v/>
      </c>
    </row>
    <row r="404" spans="20:20" x14ac:dyDescent="0.15">
      <c r="T404" s="62" t="str">
        <f t="shared" si="18"/>
        <v/>
      </c>
    </row>
    <row r="405" spans="20:20" x14ac:dyDescent="0.15">
      <c r="T405" s="62" t="str">
        <f t="shared" si="18"/>
        <v/>
      </c>
    </row>
    <row r="406" spans="20:20" x14ac:dyDescent="0.15">
      <c r="T406" s="62" t="str">
        <f t="shared" si="18"/>
        <v/>
      </c>
    </row>
    <row r="407" spans="20:20" x14ac:dyDescent="0.15">
      <c r="T407" s="62" t="str">
        <f t="shared" si="18"/>
        <v/>
      </c>
    </row>
    <row r="408" spans="20:20" x14ac:dyDescent="0.15">
      <c r="T408" s="62" t="str">
        <f t="shared" si="18"/>
        <v/>
      </c>
    </row>
  </sheetData>
  <autoFilter ref="A1:BA408" xr:uid="{00000000-0009-0000-0000-000001000000}"/>
  <phoneticPr fontId="3"/>
  <dataValidations count="15">
    <dataValidation type="decimal" allowBlank="1" showInputMessage="1" showErrorMessage="1" error="硬度を正しく入力して下さい。" sqref="O2:P364" xr:uid="{C7FE26C5-B0DE-4DD8-8994-EF34FC0B0693}">
      <formula1>0</formula1>
      <formula2>7</formula2>
    </dataValidation>
    <dataValidation type="list" allowBlank="1" showInputMessage="1" showErrorMessage="1" sqref="X2:X364" xr:uid="{85A55C64-D912-4115-91A6-8AA15F171BFC}">
      <formula1>$AT$2:$AT$3</formula1>
    </dataValidation>
    <dataValidation type="list" allowBlank="1" showInputMessage="1" showErrorMessage="1" sqref="G2:G364" xr:uid="{F16C3CB8-A552-48B1-A00E-439F8C4B48C2}">
      <formula1>$AJ$2:$AJ$4</formula1>
    </dataValidation>
    <dataValidation type="list" allowBlank="1" showInputMessage="1" showErrorMessage="1" sqref="F1:F1048576" xr:uid="{F2D15866-5345-4B11-AFC3-4C348A845560}">
      <formula1>$AH$2:$AH$11</formula1>
    </dataValidation>
    <dataValidation type="list" allowBlank="1" showInputMessage="1" showErrorMessage="1" sqref="E1:E1048576" xr:uid="{A789EB64-9C3E-4344-833A-7B61E227ED31}">
      <formula1>$AG$2:$AG$11</formula1>
    </dataValidation>
    <dataValidation allowBlank="1" showInputMessage="1" showErrorMessage="1" sqref="B2:B157" xr:uid="{6B600155-0C40-460A-8BCE-4241A3995B48}"/>
    <dataValidation type="list" allowBlank="1" showInputMessage="1" showErrorMessage="1" sqref="I2:I364" xr:uid="{ADC73EB5-D014-492C-B30B-8E3232C07EC0}">
      <formula1>$AN$5:$AN$6</formula1>
    </dataValidation>
    <dataValidation type="list" allowBlank="1" showInputMessage="1" showErrorMessage="1" sqref="H2:H364" xr:uid="{F3533858-1A87-450D-AF7D-A3B6862FA6B8}">
      <formula1>$AL$2:$AL$8</formula1>
    </dataValidation>
    <dataValidation type="list" allowBlank="1" showInputMessage="1" showErrorMessage="1" sqref="Y2:AA157" xr:uid="{7EDD24FC-74E4-4596-A36E-7F80ABB99253}">
      <formula1>$AV$2:$AV$23</formula1>
    </dataValidation>
    <dataValidation type="list" allowBlank="1" showInputMessage="1" showErrorMessage="1" sqref="K2:K180" xr:uid="{98824016-2ED3-428B-BFE6-21B3E8F4C764}">
      <formula1>$AR$2:$AR$23</formula1>
    </dataValidation>
    <dataValidation type="list" allowBlank="1" showInputMessage="1" showErrorMessage="1" sqref="A2:A364" xr:uid="{94B7C6AB-E750-4678-9374-F706252F1CBB}">
      <formula1>$AE$2:$AE$16</formula1>
    </dataValidation>
    <dataValidation type="list" allowBlank="1" showInputMessage="1" showErrorMessage="1" sqref="Y158:AA364" xr:uid="{C12FDD57-29AA-407E-9F32-8E3BBB606558}">
      <formula1>$AV$2:$AV$16</formula1>
    </dataValidation>
    <dataValidation type="list" allowBlank="1" showInputMessage="1" showErrorMessage="1" sqref="K181:K364" xr:uid="{3144035D-635C-4C47-ABC1-64DA7A1C788E}">
      <formula1>$AR$2:$AR$19</formula1>
    </dataValidation>
    <dataValidation type="list" allowBlank="1" showInputMessage="1" showErrorMessage="1" sqref="J47:J49" xr:uid="{D84A3E1C-C96E-4946-95E0-97A6780390F5}">
      <formula1>$AP$2:$AP$25</formula1>
    </dataValidation>
    <dataValidation type="list" allowBlank="1" showInputMessage="1" showErrorMessage="1" sqref="J2:J46 J50:J364" xr:uid="{8D663710-4CF1-4544-8A7A-AECB57827E5B}">
      <formula1>$AP$2:$AP$19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69FF-C324-4360-B6A9-F4FE77E99392}">
  <dimension ref="A1:BA450"/>
  <sheetViews>
    <sheetView zoomScale="85" zoomScaleNormal="85" workbookViewId="0">
      <selection activeCell="AB2" sqref="AB2"/>
    </sheetView>
  </sheetViews>
  <sheetFormatPr defaultRowHeight="13.5" x14ac:dyDescent="0.15"/>
  <cols>
    <col min="1" max="1" width="9" style="53"/>
    <col min="2" max="2" width="9" style="54"/>
    <col min="3"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27" width="9" style="53"/>
    <col min="28" max="28" width="9" style="54"/>
    <col min="29"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94" t="s">
        <v>0</v>
      </c>
      <c r="B1" s="1" t="s">
        <v>1</v>
      </c>
      <c r="C1" s="1" t="s">
        <v>2</v>
      </c>
      <c r="D1" s="2" t="s">
        <v>3</v>
      </c>
      <c r="E1" s="95" t="s">
        <v>4</v>
      </c>
      <c r="F1" s="95" t="s">
        <v>5</v>
      </c>
      <c r="G1" s="95" t="s">
        <v>6</v>
      </c>
      <c r="H1" s="95" t="s">
        <v>7</v>
      </c>
      <c r="I1" s="95" t="s">
        <v>8</v>
      </c>
      <c r="J1" s="95" t="s">
        <v>9</v>
      </c>
      <c r="K1" s="95" t="s">
        <v>10</v>
      </c>
      <c r="L1" s="2" t="s">
        <v>11</v>
      </c>
      <c r="M1" s="2" t="s">
        <v>12</v>
      </c>
      <c r="N1" s="2" t="s">
        <v>13</v>
      </c>
      <c r="O1" s="2" t="s">
        <v>14</v>
      </c>
      <c r="P1" s="2" t="s">
        <v>15</v>
      </c>
      <c r="Q1" s="3" t="s">
        <v>16</v>
      </c>
      <c r="R1" s="2" t="s">
        <v>17</v>
      </c>
      <c r="S1" s="2" t="s">
        <v>18</v>
      </c>
      <c r="T1" s="3" t="s">
        <v>19</v>
      </c>
      <c r="U1" s="4" t="s">
        <v>108</v>
      </c>
      <c r="V1" s="5" t="s">
        <v>20</v>
      </c>
      <c r="W1" s="2" t="s">
        <v>21</v>
      </c>
      <c r="X1" s="95" t="s">
        <v>22</v>
      </c>
      <c r="Y1" s="95" t="s">
        <v>23</v>
      </c>
      <c r="Z1" s="95" t="s">
        <v>24</v>
      </c>
      <c r="AA1" s="9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7" t="s">
        <v>56</v>
      </c>
      <c r="B2" s="57" t="s">
        <v>232</v>
      </c>
      <c r="C2" s="54">
        <v>2019</v>
      </c>
      <c r="D2" s="97" t="s">
        <v>233</v>
      </c>
      <c r="E2" s="54" t="s">
        <v>234</v>
      </c>
      <c r="F2" s="54" t="s">
        <v>235</v>
      </c>
      <c r="G2" s="57" t="s">
        <v>42</v>
      </c>
      <c r="H2" s="54" t="s">
        <v>165</v>
      </c>
      <c r="I2" s="57" t="s">
        <v>168</v>
      </c>
      <c r="J2" s="54" t="s">
        <v>38</v>
      </c>
      <c r="K2" s="54" t="s">
        <v>161</v>
      </c>
      <c r="L2" s="54">
        <v>1</v>
      </c>
      <c r="N2" s="53">
        <v>5</v>
      </c>
      <c r="O2" s="54">
        <v>0.9</v>
      </c>
      <c r="P2" s="53">
        <v>0.85</v>
      </c>
      <c r="Q2" s="98">
        <f t="shared" ref="Q2:Q64" si="0">IF(OR(O2="",P2=""),"",AVERAGE(O2,P2))</f>
        <v>0.875</v>
      </c>
      <c r="R2" s="54">
        <v>15.2</v>
      </c>
      <c r="S2" s="53">
        <v>99</v>
      </c>
      <c r="T2" s="16">
        <f t="shared" ref="T2:T64" si="1">IF(H2="","",IF(OR(H2="GREEN",H2="GK"),IF(S2&gt;=$AX$2,VLOOKUP(S2,$AX$2:$AY$10,2,1),""),IF(S2&gt;=$AZ$2,VLOOKUP(S2,$AZ$2:$BA$10,2,1),"")))</f>
        <v>33</v>
      </c>
      <c r="U2" s="54">
        <v>534</v>
      </c>
      <c r="V2" s="16">
        <f t="shared" ref="V2:V64" si="2">IF(OR(N2="",U2="",T2=""),"",U2/N2*T2)</f>
        <v>3524.4</v>
      </c>
      <c r="W2" s="54">
        <v>1</v>
      </c>
      <c r="X2" s="57" t="s">
        <v>46</v>
      </c>
      <c r="Y2" s="57" t="s">
        <v>55</v>
      </c>
      <c r="Z2" s="54" t="s">
        <v>47</v>
      </c>
      <c r="AA2" s="57" t="s">
        <v>90</v>
      </c>
      <c r="AB2" s="54" t="s">
        <v>258</v>
      </c>
      <c r="AE2" s="17" t="s">
        <v>35</v>
      </c>
      <c r="AG2" s="30" t="s">
        <v>236</v>
      </c>
      <c r="AH2" s="99" t="s">
        <v>237</v>
      </c>
      <c r="AJ2" s="18" t="s">
        <v>36</v>
      </c>
      <c r="AL2" s="18" t="s">
        <v>127</v>
      </c>
      <c r="AN2" s="18" t="s">
        <v>37</v>
      </c>
      <c r="AP2" s="18" t="s">
        <v>38</v>
      </c>
      <c r="AR2" s="18" t="s">
        <v>120</v>
      </c>
      <c r="AT2" s="18" t="s">
        <v>39</v>
      </c>
      <c r="AV2" s="18" t="s">
        <v>40</v>
      </c>
      <c r="AX2" s="19">
        <v>1</v>
      </c>
      <c r="AY2" s="20">
        <v>50</v>
      </c>
      <c r="AZ2" s="20">
        <v>1</v>
      </c>
      <c r="BA2" s="21">
        <v>50</v>
      </c>
    </row>
    <row r="3" spans="1:53" x14ac:dyDescent="0.15">
      <c r="A3" s="57" t="s">
        <v>56</v>
      </c>
      <c r="B3" s="57" t="s">
        <v>232</v>
      </c>
      <c r="C3" s="54">
        <v>2019</v>
      </c>
      <c r="D3" s="97" t="s">
        <v>233</v>
      </c>
      <c r="E3" s="54" t="s">
        <v>234</v>
      </c>
      <c r="F3" s="54" t="s">
        <v>235</v>
      </c>
      <c r="G3" s="57" t="s">
        <v>42</v>
      </c>
      <c r="H3" s="54" t="s">
        <v>165</v>
      </c>
      <c r="I3" s="57" t="s">
        <v>168</v>
      </c>
      <c r="J3" s="54" t="s">
        <v>38</v>
      </c>
      <c r="K3" s="54" t="s">
        <v>161</v>
      </c>
      <c r="L3" s="53">
        <v>2</v>
      </c>
      <c r="N3" s="53">
        <v>5</v>
      </c>
      <c r="O3" s="53">
        <v>1.1499999999999999</v>
      </c>
      <c r="P3" s="53">
        <v>1.25</v>
      </c>
      <c r="Q3" s="98">
        <f t="shared" si="0"/>
        <v>1.2</v>
      </c>
      <c r="R3" s="53">
        <v>12.5</v>
      </c>
      <c r="S3" s="53">
        <v>96</v>
      </c>
      <c r="T3" s="16">
        <f t="shared" si="1"/>
        <v>36</v>
      </c>
      <c r="U3" s="53">
        <v>534</v>
      </c>
      <c r="V3" s="16">
        <f t="shared" si="2"/>
        <v>3844.7999999999997</v>
      </c>
      <c r="W3" s="53">
        <v>1</v>
      </c>
      <c r="X3" s="57" t="s">
        <v>46</v>
      </c>
      <c r="Y3" s="57" t="s">
        <v>55</v>
      </c>
      <c r="Z3" s="54" t="s">
        <v>47</v>
      </c>
      <c r="AA3" s="57" t="s">
        <v>90</v>
      </c>
      <c r="AB3" s="54" t="s">
        <v>158</v>
      </c>
      <c r="AE3" s="22" t="s">
        <v>41</v>
      </c>
      <c r="AG3" s="30" t="s">
        <v>238</v>
      </c>
      <c r="AH3" s="99" t="s">
        <v>235</v>
      </c>
      <c r="AJ3" s="23" t="s">
        <v>42</v>
      </c>
      <c r="AL3" s="23" t="s">
        <v>128</v>
      </c>
      <c r="AN3" s="23" t="s">
        <v>43</v>
      </c>
      <c r="AP3" s="23" t="s">
        <v>44</v>
      </c>
      <c r="AR3" s="41" t="s">
        <v>45</v>
      </c>
      <c r="AT3" s="23" t="s">
        <v>46</v>
      </c>
      <c r="AV3" s="23" t="s">
        <v>47</v>
      </c>
      <c r="AX3" s="24">
        <v>72</v>
      </c>
      <c r="AY3" s="25">
        <v>46</v>
      </c>
      <c r="AZ3" s="25">
        <v>71</v>
      </c>
      <c r="BA3" s="26">
        <v>42</v>
      </c>
    </row>
    <row r="4" spans="1:53" x14ac:dyDescent="0.15">
      <c r="A4" s="57" t="s">
        <v>56</v>
      </c>
      <c r="B4" s="57" t="s">
        <v>232</v>
      </c>
      <c r="C4" s="54">
        <v>2019</v>
      </c>
      <c r="D4" s="97" t="s">
        <v>233</v>
      </c>
      <c r="E4" s="54" t="s">
        <v>234</v>
      </c>
      <c r="F4" s="54" t="s">
        <v>235</v>
      </c>
      <c r="G4" s="57" t="s">
        <v>42</v>
      </c>
      <c r="H4" s="54" t="s">
        <v>165</v>
      </c>
      <c r="I4" s="57" t="s">
        <v>168</v>
      </c>
      <c r="J4" s="54" t="s">
        <v>38</v>
      </c>
      <c r="K4" s="54" t="s">
        <v>161</v>
      </c>
      <c r="L4" s="53">
        <v>3</v>
      </c>
      <c r="N4" s="53">
        <v>5</v>
      </c>
      <c r="O4" s="53">
        <v>1.1000000000000001</v>
      </c>
      <c r="P4" s="53">
        <v>1.1000000000000001</v>
      </c>
      <c r="Q4" s="98">
        <f t="shared" si="0"/>
        <v>1.1000000000000001</v>
      </c>
      <c r="R4" s="53">
        <v>12.3</v>
      </c>
      <c r="S4" s="53">
        <v>96</v>
      </c>
      <c r="T4" s="16">
        <f t="shared" si="1"/>
        <v>36</v>
      </c>
      <c r="U4" s="53">
        <v>534</v>
      </c>
      <c r="V4" s="16">
        <f t="shared" si="2"/>
        <v>3844.7999999999997</v>
      </c>
      <c r="W4" s="53">
        <v>1</v>
      </c>
      <c r="X4" s="57" t="s">
        <v>46</v>
      </c>
      <c r="Y4" s="57" t="s">
        <v>55</v>
      </c>
      <c r="Z4" s="54" t="s">
        <v>47</v>
      </c>
      <c r="AA4" s="57" t="s">
        <v>90</v>
      </c>
      <c r="AB4" s="54" t="s">
        <v>158</v>
      </c>
      <c r="AE4" s="22" t="s">
        <v>34</v>
      </c>
      <c r="AG4" s="30" t="s">
        <v>239</v>
      </c>
      <c r="AH4" s="99" t="s">
        <v>240</v>
      </c>
      <c r="AJ4" s="27" t="s">
        <v>48</v>
      </c>
      <c r="AL4" s="27" t="s">
        <v>241</v>
      </c>
      <c r="AN4" s="28" t="s">
        <v>49</v>
      </c>
      <c r="AP4" s="23" t="s">
        <v>93</v>
      </c>
      <c r="AR4" s="41" t="s">
        <v>121</v>
      </c>
      <c r="AT4" s="28"/>
      <c r="AV4" s="23" t="s">
        <v>50</v>
      </c>
      <c r="AX4" s="24">
        <v>75</v>
      </c>
      <c r="AY4" s="25">
        <v>42</v>
      </c>
      <c r="AZ4" s="25">
        <v>76</v>
      </c>
      <c r="BA4" s="26">
        <v>39</v>
      </c>
    </row>
    <row r="5" spans="1:53" x14ac:dyDescent="0.15">
      <c r="A5" s="57" t="s">
        <v>56</v>
      </c>
      <c r="B5" s="57" t="s">
        <v>232</v>
      </c>
      <c r="C5" s="54">
        <v>2019</v>
      </c>
      <c r="D5" s="97" t="s">
        <v>233</v>
      </c>
      <c r="E5" s="54" t="s">
        <v>234</v>
      </c>
      <c r="F5" s="54" t="s">
        <v>235</v>
      </c>
      <c r="G5" s="57" t="s">
        <v>42</v>
      </c>
      <c r="H5" s="54" t="s">
        <v>160</v>
      </c>
      <c r="I5" s="57" t="s">
        <v>168</v>
      </c>
      <c r="J5" s="54" t="s">
        <v>38</v>
      </c>
      <c r="K5" s="54" t="s">
        <v>161</v>
      </c>
      <c r="L5" s="54">
        <v>1</v>
      </c>
      <c r="M5" s="54"/>
      <c r="N5" s="53">
        <v>1</v>
      </c>
      <c r="O5" s="54">
        <v>0.55000000000000004</v>
      </c>
      <c r="P5" s="53">
        <v>0.55000000000000004</v>
      </c>
      <c r="Q5" s="98">
        <f t="shared" si="0"/>
        <v>0.55000000000000004</v>
      </c>
      <c r="R5" s="54">
        <v>17</v>
      </c>
      <c r="S5" s="53">
        <v>136</v>
      </c>
      <c r="T5" s="16">
        <f t="shared" si="1"/>
        <v>25</v>
      </c>
      <c r="U5" s="54">
        <v>181</v>
      </c>
      <c r="V5" s="16">
        <f t="shared" si="2"/>
        <v>4525</v>
      </c>
      <c r="W5" s="54">
        <v>3</v>
      </c>
      <c r="X5" s="57" t="s">
        <v>46</v>
      </c>
      <c r="Y5" s="57" t="s">
        <v>55</v>
      </c>
      <c r="Z5" s="54" t="s">
        <v>47</v>
      </c>
      <c r="AA5" s="57" t="s">
        <v>90</v>
      </c>
      <c r="AB5" s="54" t="s">
        <v>158</v>
      </c>
      <c r="AE5" s="22" t="s">
        <v>51</v>
      </c>
      <c r="AG5" s="30" t="s">
        <v>242</v>
      </c>
      <c r="AH5" s="99" t="s">
        <v>243</v>
      </c>
      <c r="AJ5" s="28"/>
      <c r="AL5" s="29" t="s">
        <v>66</v>
      </c>
      <c r="AN5" s="29" t="s">
        <v>52</v>
      </c>
      <c r="AP5" s="23" t="s">
        <v>244</v>
      </c>
      <c r="AR5" s="41" t="s">
        <v>54</v>
      </c>
      <c r="AV5" s="23" t="s">
        <v>55</v>
      </c>
      <c r="AX5" s="24">
        <v>84</v>
      </c>
      <c r="AY5" s="25">
        <v>39</v>
      </c>
      <c r="AZ5" s="25">
        <v>84</v>
      </c>
      <c r="BA5" s="26">
        <v>36</v>
      </c>
    </row>
    <row r="6" spans="1:53" x14ac:dyDescent="0.15">
      <c r="A6" s="57" t="s">
        <v>56</v>
      </c>
      <c r="B6" s="57" t="s">
        <v>232</v>
      </c>
      <c r="C6" s="54">
        <v>2019</v>
      </c>
      <c r="D6" s="97" t="s">
        <v>233</v>
      </c>
      <c r="E6" s="54" t="s">
        <v>234</v>
      </c>
      <c r="F6" s="54" t="s">
        <v>235</v>
      </c>
      <c r="G6" s="57" t="s">
        <v>42</v>
      </c>
      <c r="H6" s="54" t="s">
        <v>160</v>
      </c>
      <c r="I6" s="57" t="s">
        <v>168</v>
      </c>
      <c r="J6" s="54" t="s">
        <v>38</v>
      </c>
      <c r="K6" s="54" t="s">
        <v>161</v>
      </c>
      <c r="L6" s="53">
        <v>2</v>
      </c>
      <c r="N6" s="53">
        <v>1</v>
      </c>
      <c r="O6" s="53">
        <v>0.5</v>
      </c>
      <c r="P6" s="53">
        <v>0.55000000000000004</v>
      </c>
      <c r="Q6" s="98">
        <f t="shared" si="0"/>
        <v>0.52500000000000002</v>
      </c>
      <c r="R6" s="53">
        <v>17.600000000000001</v>
      </c>
      <c r="S6" s="53">
        <v>144</v>
      </c>
      <c r="T6" s="16">
        <f t="shared" si="1"/>
        <v>22</v>
      </c>
      <c r="U6" s="53">
        <v>181</v>
      </c>
      <c r="V6" s="16">
        <f t="shared" si="2"/>
        <v>3982</v>
      </c>
      <c r="W6" s="53">
        <v>3</v>
      </c>
      <c r="X6" s="57" t="s">
        <v>46</v>
      </c>
      <c r="Y6" s="57" t="s">
        <v>55</v>
      </c>
      <c r="Z6" s="54" t="s">
        <v>47</v>
      </c>
      <c r="AA6" s="57" t="s">
        <v>90</v>
      </c>
      <c r="AB6" s="54" t="s">
        <v>158</v>
      </c>
      <c r="AE6" s="22" t="s">
        <v>56</v>
      </c>
      <c r="AG6" s="30" t="s">
        <v>245</v>
      </c>
      <c r="AH6" s="99" t="s">
        <v>243</v>
      </c>
      <c r="AL6" s="29" t="s">
        <v>99</v>
      </c>
      <c r="AN6" s="29" t="s">
        <v>57</v>
      </c>
      <c r="AP6" s="23" t="s">
        <v>53</v>
      </c>
      <c r="AR6" s="41" t="s">
        <v>59</v>
      </c>
      <c r="AV6" s="23" t="s">
        <v>60</v>
      </c>
      <c r="AX6" s="24">
        <v>97</v>
      </c>
      <c r="AY6" s="25">
        <v>36</v>
      </c>
      <c r="AZ6" s="25">
        <v>99</v>
      </c>
      <c r="BA6" s="26">
        <v>33</v>
      </c>
    </row>
    <row r="7" spans="1:53" x14ac:dyDescent="0.15">
      <c r="A7" s="57" t="s">
        <v>56</v>
      </c>
      <c r="B7" s="57" t="s">
        <v>232</v>
      </c>
      <c r="C7" s="54">
        <v>2019</v>
      </c>
      <c r="D7" s="97" t="s">
        <v>233</v>
      </c>
      <c r="E7" s="54" t="s">
        <v>234</v>
      </c>
      <c r="F7" s="54" t="s">
        <v>235</v>
      </c>
      <c r="G7" s="57" t="s">
        <v>42</v>
      </c>
      <c r="H7" s="54" t="s">
        <v>160</v>
      </c>
      <c r="I7" s="57" t="s">
        <v>168</v>
      </c>
      <c r="J7" s="54" t="s">
        <v>38</v>
      </c>
      <c r="K7" s="54" t="s">
        <v>161</v>
      </c>
      <c r="L7" s="53">
        <v>3</v>
      </c>
      <c r="N7" s="53">
        <v>1</v>
      </c>
      <c r="O7" s="53">
        <v>0.85</v>
      </c>
      <c r="P7" s="53">
        <v>0.75</v>
      </c>
      <c r="Q7" s="98">
        <f t="shared" si="0"/>
        <v>0.8</v>
      </c>
      <c r="R7" s="53">
        <v>15.6</v>
      </c>
      <c r="S7" s="53">
        <v>139</v>
      </c>
      <c r="T7" s="16">
        <f t="shared" si="1"/>
        <v>22</v>
      </c>
      <c r="U7" s="53">
        <v>181</v>
      </c>
      <c r="V7" s="16">
        <f t="shared" si="2"/>
        <v>3982</v>
      </c>
      <c r="W7" s="53">
        <v>3</v>
      </c>
      <c r="X7" s="57" t="s">
        <v>46</v>
      </c>
      <c r="Y7" s="57" t="s">
        <v>55</v>
      </c>
      <c r="Z7" s="54" t="s">
        <v>47</v>
      </c>
      <c r="AA7" s="57" t="s">
        <v>90</v>
      </c>
      <c r="AB7" s="54" t="s">
        <v>158</v>
      </c>
      <c r="AE7" s="22" t="s">
        <v>61</v>
      </c>
      <c r="AG7" s="30" t="s">
        <v>246</v>
      </c>
      <c r="AH7" s="99" t="s">
        <v>247</v>
      </c>
      <c r="AL7" s="100" t="s">
        <v>109</v>
      </c>
      <c r="AP7" s="23" t="s">
        <v>58</v>
      </c>
      <c r="AR7" s="30" t="s">
        <v>122</v>
      </c>
      <c r="AV7" s="23" t="s">
        <v>64</v>
      </c>
      <c r="AX7" s="24">
        <v>109</v>
      </c>
      <c r="AY7" s="25">
        <v>33</v>
      </c>
      <c r="AZ7" s="25">
        <v>113</v>
      </c>
      <c r="BA7" s="26">
        <v>30</v>
      </c>
    </row>
    <row r="8" spans="1:53" x14ac:dyDescent="0.15">
      <c r="A8" s="57" t="s">
        <v>56</v>
      </c>
      <c r="B8" s="57" t="s">
        <v>232</v>
      </c>
      <c r="C8" s="54">
        <v>2019</v>
      </c>
      <c r="D8" s="97" t="s">
        <v>233</v>
      </c>
      <c r="E8" s="54" t="s">
        <v>248</v>
      </c>
      <c r="F8" s="54" t="s">
        <v>235</v>
      </c>
      <c r="G8" s="57" t="s">
        <v>42</v>
      </c>
      <c r="H8" s="54" t="s">
        <v>165</v>
      </c>
      <c r="I8" s="57" t="s">
        <v>159</v>
      </c>
      <c r="J8" s="54" t="s">
        <v>38</v>
      </c>
      <c r="K8" s="54" t="s">
        <v>161</v>
      </c>
      <c r="L8" s="53">
        <v>1</v>
      </c>
      <c r="N8" s="53">
        <v>5</v>
      </c>
      <c r="O8" s="53">
        <v>0.6</v>
      </c>
      <c r="P8" s="53">
        <v>0.75</v>
      </c>
      <c r="Q8" s="98">
        <f t="shared" si="0"/>
        <v>0.67500000000000004</v>
      </c>
      <c r="R8" s="53">
        <v>15.7</v>
      </c>
      <c r="S8" s="53">
        <v>104</v>
      </c>
      <c r="T8" s="16">
        <f t="shared" si="1"/>
        <v>33</v>
      </c>
      <c r="U8" s="53">
        <v>538</v>
      </c>
      <c r="V8" s="16">
        <f t="shared" si="2"/>
        <v>3550.7999999999997</v>
      </c>
      <c r="W8" s="53">
        <v>8</v>
      </c>
      <c r="X8" s="57" t="s">
        <v>46</v>
      </c>
      <c r="Y8" s="57" t="s">
        <v>55</v>
      </c>
      <c r="Z8" s="54" t="s">
        <v>47</v>
      </c>
      <c r="AA8" s="57" t="s">
        <v>60</v>
      </c>
      <c r="AB8" s="54" t="s">
        <v>158</v>
      </c>
      <c r="AE8" s="22" t="s">
        <v>59</v>
      </c>
      <c r="AG8" s="30" t="s">
        <v>249</v>
      </c>
      <c r="AH8" s="99" t="s">
        <v>247</v>
      </c>
      <c r="AL8" s="100" t="s">
        <v>134</v>
      </c>
      <c r="AP8" s="23" t="s">
        <v>62</v>
      </c>
      <c r="AR8" s="41" t="s">
        <v>81</v>
      </c>
      <c r="AV8" s="23" t="s">
        <v>97</v>
      </c>
      <c r="AX8" s="24">
        <v>119</v>
      </c>
      <c r="AY8" s="25">
        <v>30</v>
      </c>
      <c r="AZ8" s="25">
        <v>121</v>
      </c>
      <c r="BA8" s="26">
        <v>27</v>
      </c>
    </row>
    <row r="9" spans="1:53" x14ac:dyDescent="0.15">
      <c r="A9" s="57" t="s">
        <v>56</v>
      </c>
      <c r="B9" s="57" t="s">
        <v>232</v>
      </c>
      <c r="C9" s="54">
        <v>2019</v>
      </c>
      <c r="D9" s="97" t="s">
        <v>233</v>
      </c>
      <c r="E9" s="54" t="s">
        <v>248</v>
      </c>
      <c r="F9" s="54" t="s">
        <v>235</v>
      </c>
      <c r="G9" s="57" t="s">
        <v>42</v>
      </c>
      <c r="H9" s="54" t="s">
        <v>165</v>
      </c>
      <c r="I9" s="57" t="s">
        <v>159</v>
      </c>
      <c r="J9" s="54" t="s">
        <v>38</v>
      </c>
      <c r="K9" s="54" t="s">
        <v>161</v>
      </c>
      <c r="L9" s="53">
        <v>2</v>
      </c>
      <c r="N9" s="53">
        <v>5</v>
      </c>
      <c r="O9" s="53">
        <v>0.75</v>
      </c>
      <c r="P9" s="53">
        <v>0.75</v>
      </c>
      <c r="Q9" s="98">
        <f t="shared" si="0"/>
        <v>0.75</v>
      </c>
      <c r="R9" s="53">
        <v>14</v>
      </c>
      <c r="S9" s="53">
        <v>105</v>
      </c>
      <c r="T9" s="16">
        <f t="shared" si="1"/>
        <v>33</v>
      </c>
      <c r="U9" s="53">
        <v>538</v>
      </c>
      <c r="V9" s="16">
        <f t="shared" si="2"/>
        <v>3550.7999999999997</v>
      </c>
      <c r="W9" s="53">
        <v>8</v>
      </c>
      <c r="X9" s="57" t="s">
        <v>46</v>
      </c>
      <c r="Y9" s="57" t="s">
        <v>55</v>
      </c>
      <c r="Z9" s="54" t="s">
        <v>47</v>
      </c>
      <c r="AA9" s="57" t="s">
        <v>60</v>
      </c>
      <c r="AB9" s="54" t="s">
        <v>158</v>
      </c>
      <c r="AE9" s="22" t="s">
        <v>98</v>
      </c>
      <c r="AG9" s="30" t="s">
        <v>234</v>
      </c>
      <c r="AH9" s="30" t="s">
        <v>235</v>
      </c>
      <c r="AL9" s="29"/>
      <c r="AP9" s="23" t="s">
        <v>95</v>
      </c>
      <c r="AR9" s="30" t="s">
        <v>89</v>
      </c>
      <c r="AV9" s="23" t="s">
        <v>102</v>
      </c>
      <c r="AX9" s="24">
        <v>128</v>
      </c>
      <c r="AY9" s="25">
        <v>27</v>
      </c>
      <c r="AZ9" s="25">
        <v>129</v>
      </c>
      <c r="BA9" s="26">
        <v>25</v>
      </c>
    </row>
    <row r="10" spans="1:53" x14ac:dyDescent="0.15">
      <c r="A10" s="57" t="s">
        <v>56</v>
      </c>
      <c r="B10" s="57" t="s">
        <v>232</v>
      </c>
      <c r="C10" s="54">
        <v>2019</v>
      </c>
      <c r="D10" s="97" t="s">
        <v>233</v>
      </c>
      <c r="E10" s="54" t="s">
        <v>248</v>
      </c>
      <c r="F10" s="54" t="s">
        <v>235</v>
      </c>
      <c r="G10" s="57" t="s">
        <v>42</v>
      </c>
      <c r="H10" s="54" t="s">
        <v>165</v>
      </c>
      <c r="I10" s="57" t="s">
        <v>159</v>
      </c>
      <c r="J10" s="54" t="s">
        <v>38</v>
      </c>
      <c r="K10" s="54" t="s">
        <v>161</v>
      </c>
      <c r="L10" s="53">
        <v>3</v>
      </c>
      <c r="N10" s="53">
        <v>5</v>
      </c>
      <c r="O10" s="53">
        <v>0.7</v>
      </c>
      <c r="P10" s="53">
        <v>0.7</v>
      </c>
      <c r="Q10" s="98">
        <f t="shared" si="0"/>
        <v>0.7</v>
      </c>
      <c r="R10" s="36">
        <v>15</v>
      </c>
      <c r="S10" s="53">
        <v>99</v>
      </c>
      <c r="T10" s="16">
        <f t="shared" si="1"/>
        <v>33</v>
      </c>
      <c r="U10" s="53">
        <v>538</v>
      </c>
      <c r="V10" s="16">
        <f t="shared" si="2"/>
        <v>3550.7999999999997</v>
      </c>
      <c r="W10" s="53">
        <v>8</v>
      </c>
      <c r="X10" s="57" t="s">
        <v>46</v>
      </c>
      <c r="Y10" s="57" t="s">
        <v>55</v>
      </c>
      <c r="Z10" s="54" t="s">
        <v>47</v>
      </c>
      <c r="AA10" s="57" t="s">
        <v>60</v>
      </c>
      <c r="AB10" s="54" t="s">
        <v>158</v>
      </c>
      <c r="AE10" s="22" t="s">
        <v>103</v>
      </c>
      <c r="AG10" s="30" t="s">
        <v>246</v>
      </c>
      <c r="AH10" s="99" t="s">
        <v>243</v>
      </c>
      <c r="AL10" s="100"/>
      <c r="AP10" s="23" t="s">
        <v>100</v>
      </c>
      <c r="AR10" s="30" t="s">
        <v>123</v>
      </c>
      <c r="AV10" s="23" t="s">
        <v>106</v>
      </c>
      <c r="AX10" s="24">
        <v>138</v>
      </c>
      <c r="AY10" s="25">
        <v>25</v>
      </c>
      <c r="AZ10" s="25">
        <v>138</v>
      </c>
      <c r="BA10" s="26">
        <v>22</v>
      </c>
    </row>
    <row r="11" spans="1:53" x14ac:dyDescent="0.15">
      <c r="A11" s="57" t="s">
        <v>56</v>
      </c>
      <c r="B11" s="57" t="s">
        <v>232</v>
      </c>
      <c r="C11" s="54">
        <v>2019</v>
      </c>
      <c r="D11" s="97" t="s">
        <v>233</v>
      </c>
      <c r="E11" s="54" t="s">
        <v>248</v>
      </c>
      <c r="F11" s="54" t="s">
        <v>235</v>
      </c>
      <c r="G11" s="57" t="s">
        <v>42</v>
      </c>
      <c r="H11" s="54" t="s">
        <v>160</v>
      </c>
      <c r="I11" s="57" t="s">
        <v>159</v>
      </c>
      <c r="J11" s="54" t="s">
        <v>38</v>
      </c>
      <c r="K11" s="54" t="s">
        <v>161</v>
      </c>
      <c r="L11" s="53">
        <v>1</v>
      </c>
      <c r="N11" s="53">
        <v>6</v>
      </c>
      <c r="O11" s="53">
        <v>0.7</v>
      </c>
      <c r="P11" s="53">
        <v>0.7</v>
      </c>
      <c r="Q11" s="98">
        <f t="shared" si="0"/>
        <v>0.7</v>
      </c>
      <c r="R11" s="53">
        <v>15.8</v>
      </c>
      <c r="S11" s="53">
        <v>102</v>
      </c>
      <c r="T11" s="16">
        <f t="shared" si="1"/>
        <v>33</v>
      </c>
      <c r="U11" s="53">
        <v>538</v>
      </c>
      <c r="V11" s="16">
        <f t="shared" si="2"/>
        <v>2959</v>
      </c>
      <c r="W11" s="53">
        <v>6</v>
      </c>
      <c r="X11" s="57" t="s">
        <v>46</v>
      </c>
      <c r="Y11" s="57" t="s">
        <v>55</v>
      </c>
      <c r="Z11" s="54" t="s">
        <v>47</v>
      </c>
      <c r="AA11" s="57" t="s">
        <v>60</v>
      </c>
      <c r="AB11" s="54" t="s">
        <v>158</v>
      </c>
      <c r="AE11" s="22" t="s">
        <v>65</v>
      </c>
      <c r="AG11" s="30" t="s">
        <v>245</v>
      </c>
      <c r="AH11" s="99" t="s">
        <v>243</v>
      </c>
      <c r="AJ11" s="100"/>
      <c r="AP11" s="23" t="s">
        <v>104</v>
      </c>
      <c r="AR11" s="30" t="s">
        <v>87</v>
      </c>
      <c r="AV11" s="23" t="s">
        <v>69</v>
      </c>
    </row>
    <row r="12" spans="1:53" x14ac:dyDescent="0.15">
      <c r="A12" s="57" t="s">
        <v>56</v>
      </c>
      <c r="B12" s="57" t="s">
        <v>232</v>
      </c>
      <c r="C12" s="54">
        <v>2019</v>
      </c>
      <c r="D12" s="97" t="s">
        <v>233</v>
      </c>
      <c r="E12" s="54" t="s">
        <v>248</v>
      </c>
      <c r="F12" s="54" t="s">
        <v>235</v>
      </c>
      <c r="G12" s="57" t="s">
        <v>42</v>
      </c>
      <c r="H12" s="54" t="s">
        <v>160</v>
      </c>
      <c r="I12" s="57" t="s">
        <v>159</v>
      </c>
      <c r="J12" s="54" t="s">
        <v>38</v>
      </c>
      <c r="K12" s="54" t="s">
        <v>161</v>
      </c>
      <c r="L12" s="53">
        <v>2</v>
      </c>
      <c r="N12" s="53">
        <v>6</v>
      </c>
      <c r="O12" s="53">
        <v>0.65</v>
      </c>
      <c r="P12" s="53">
        <v>0.65</v>
      </c>
      <c r="Q12" s="98">
        <f t="shared" si="0"/>
        <v>0.65</v>
      </c>
      <c r="R12" s="53">
        <v>15.8</v>
      </c>
      <c r="S12" s="53">
        <v>115</v>
      </c>
      <c r="T12" s="16">
        <f t="shared" si="1"/>
        <v>30</v>
      </c>
      <c r="U12" s="53">
        <v>538</v>
      </c>
      <c r="V12" s="16">
        <f t="shared" si="2"/>
        <v>2690</v>
      </c>
      <c r="W12" s="53">
        <v>6</v>
      </c>
      <c r="X12" s="57" t="s">
        <v>46</v>
      </c>
      <c r="Y12" s="57" t="s">
        <v>55</v>
      </c>
      <c r="Z12" s="54" t="s">
        <v>47</v>
      </c>
      <c r="AA12" s="57" t="s">
        <v>60</v>
      </c>
      <c r="AB12" s="54" t="s">
        <v>158</v>
      </c>
      <c r="AE12" s="22" t="s">
        <v>70</v>
      </c>
      <c r="AG12" s="30" t="s">
        <v>238</v>
      </c>
      <c r="AH12" s="99" t="s">
        <v>243</v>
      </c>
      <c r="AJ12" s="100"/>
      <c r="AP12" s="23" t="s">
        <v>67</v>
      </c>
      <c r="AR12" s="30" t="s">
        <v>124</v>
      </c>
      <c r="AV12" s="23" t="s">
        <v>72</v>
      </c>
    </row>
    <row r="13" spans="1:53" x14ac:dyDescent="0.15">
      <c r="A13" s="57" t="s">
        <v>56</v>
      </c>
      <c r="B13" s="57" t="s">
        <v>232</v>
      </c>
      <c r="C13" s="54">
        <v>2019</v>
      </c>
      <c r="D13" s="97" t="s">
        <v>233</v>
      </c>
      <c r="E13" s="54" t="s">
        <v>248</v>
      </c>
      <c r="F13" s="54" t="s">
        <v>235</v>
      </c>
      <c r="G13" s="57" t="s">
        <v>42</v>
      </c>
      <c r="H13" s="54" t="s">
        <v>160</v>
      </c>
      <c r="I13" s="57" t="s">
        <v>159</v>
      </c>
      <c r="J13" s="54" t="s">
        <v>38</v>
      </c>
      <c r="K13" s="54" t="s">
        <v>161</v>
      </c>
      <c r="L13" s="53">
        <v>3</v>
      </c>
      <c r="N13" s="53">
        <v>6</v>
      </c>
      <c r="O13" s="53">
        <v>0.7</v>
      </c>
      <c r="P13" s="53">
        <v>0.75</v>
      </c>
      <c r="Q13" s="98">
        <f t="shared" si="0"/>
        <v>0.72499999999999998</v>
      </c>
      <c r="R13" s="36">
        <v>15</v>
      </c>
      <c r="S13" s="53">
        <v>107</v>
      </c>
      <c r="T13" s="16">
        <f t="shared" si="1"/>
        <v>33</v>
      </c>
      <c r="U13" s="53">
        <v>538</v>
      </c>
      <c r="V13" s="16">
        <f t="shared" si="2"/>
        <v>2959</v>
      </c>
      <c r="W13" s="53">
        <v>6</v>
      </c>
      <c r="X13" s="57" t="s">
        <v>46</v>
      </c>
      <c r="Y13" s="57" t="s">
        <v>55</v>
      </c>
      <c r="Z13" s="54" t="s">
        <v>47</v>
      </c>
      <c r="AA13" s="57" t="s">
        <v>60</v>
      </c>
      <c r="AB13" s="54" t="s">
        <v>158</v>
      </c>
      <c r="AE13" s="22" t="s">
        <v>73</v>
      </c>
      <c r="AP13" s="23" t="s">
        <v>71</v>
      </c>
      <c r="AR13" s="30" t="s">
        <v>103</v>
      </c>
      <c r="AV13" s="23" t="s">
        <v>75</v>
      </c>
    </row>
    <row r="14" spans="1:53" x14ac:dyDescent="0.15">
      <c r="A14" s="57" t="s">
        <v>56</v>
      </c>
      <c r="B14" s="57" t="s">
        <v>232</v>
      </c>
      <c r="C14" s="54">
        <v>2019</v>
      </c>
      <c r="D14" s="97" t="s">
        <v>233</v>
      </c>
      <c r="E14" s="54" t="s">
        <v>162</v>
      </c>
      <c r="F14" s="54" t="s">
        <v>250</v>
      </c>
      <c r="G14" s="57" t="s">
        <v>42</v>
      </c>
      <c r="H14" s="54" t="s">
        <v>165</v>
      </c>
      <c r="I14" s="57" t="s">
        <v>159</v>
      </c>
      <c r="J14" s="54" t="s">
        <v>38</v>
      </c>
      <c r="K14" s="54" t="s">
        <v>161</v>
      </c>
      <c r="L14" s="53">
        <v>1</v>
      </c>
      <c r="N14" s="53">
        <v>1</v>
      </c>
      <c r="O14" s="53">
        <v>0.6</v>
      </c>
      <c r="P14" s="53">
        <v>0.65</v>
      </c>
      <c r="Q14" s="98">
        <f t="shared" si="0"/>
        <v>0.625</v>
      </c>
      <c r="R14" s="53">
        <v>14.4</v>
      </c>
      <c r="S14" s="53">
        <v>106</v>
      </c>
      <c r="T14" s="16">
        <f t="shared" si="1"/>
        <v>33</v>
      </c>
      <c r="U14" s="53">
        <v>106</v>
      </c>
      <c r="V14" s="16">
        <f t="shared" si="2"/>
        <v>3498</v>
      </c>
      <c r="W14" s="53">
        <v>5</v>
      </c>
      <c r="X14" s="57" t="s">
        <v>46</v>
      </c>
      <c r="Y14" s="57" t="s">
        <v>55</v>
      </c>
      <c r="Z14" s="54" t="s">
        <v>47</v>
      </c>
      <c r="AA14" s="57" t="s">
        <v>60</v>
      </c>
      <c r="AB14" s="54" t="s">
        <v>158</v>
      </c>
      <c r="AE14" s="22" t="s">
        <v>76</v>
      </c>
      <c r="AP14" s="23" t="s">
        <v>74</v>
      </c>
      <c r="AR14" s="30" t="s">
        <v>125</v>
      </c>
      <c r="AV14" s="23" t="s">
        <v>78</v>
      </c>
    </row>
    <row r="15" spans="1:53" x14ac:dyDescent="0.15">
      <c r="A15" s="57" t="s">
        <v>56</v>
      </c>
      <c r="B15" s="57" t="s">
        <v>232</v>
      </c>
      <c r="C15" s="54">
        <v>2019</v>
      </c>
      <c r="D15" s="97" t="s">
        <v>233</v>
      </c>
      <c r="E15" s="54" t="s">
        <v>162</v>
      </c>
      <c r="F15" s="54" t="s">
        <v>250</v>
      </c>
      <c r="G15" s="57" t="s">
        <v>42</v>
      </c>
      <c r="H15" s="54" t="s">
        <v>165</v>
      </c>
      <c r="I15" s="57" t="s">
        <v>159</v>
      </c>
      <c r="J15" s="54" t="s">
        <v>38</v>
      </c>
      <c r="K15" s="54" t="s">
        <v>161</v>
      </c>
      <c r="L15" s="53">
        <v>2</v>
      </c>
      <c r="N15" s="53">
        <v>1</v>
      </c>
      <c r="O15" s="53">
        <v>0.8</v>
      </c>
      <c r="P15" s="53">
        <v>1</v>
      </c>
      <c r="Q15" s="98">
        <f t="shared" si="0"/>
        <v>0.9</v>
      </c>
      <c r="R15" s="53">
        <v>14.8</v>
      </c>
      <c r="S15" s="53">
        <v>110</v>
      </c>
      <c r="T15" s="16">
        <f t="shared" si="1"/>
        <v>33</v>
      </c>
      <c r="U15" s="53">
        <v>106</v>
      </c>
      <c r="V15" s="16">
        <f t="shared" si="2"/>
        <v>3498</v>
      </c>
      <c r="W15" s="53">
        <v>5</v>
      </c>
      <c r="X15" s="57" t="s">
        <v>46</v>
      </c>
      <c r="Y15" s="57" t="s">
        <v>55</v>
      </c>
      <c r="Z15" s="54" t="s">
        <v>47</v>
      </c>
      <c r="AA15" s="57" t="s">
        <v>60</v>
      </c>
      <c r="AB15" s="54" t="s">
        <v>158</v>
      </c>
      <c r="AE15" s="22" t="s">
        <v>79</v>
      </c>
      <c r="AP15" s="23" t="s">
        <v>77</v>
      </c>
      <c r="AR15" s="30" t="s">
        <v>94</v>
      </c>
      <c r="AV15" s="23" t="s">
        <v>107</v>
      </c>
    </row>
    <row r="16" spans="1:53" x14ac:dyDescent="0.15">
      <c r="A16" s="57" t="s">
        <v>56</v>
      </c>
      <c r="B16" s="57" t="s">
        <v>232</v>
      </c>
      <c r="C16" s="54">
        <v>2019</v>
      </c>
      <c r="D16" s="97" t="s">
        <v>233</v>
      </c>
      <c r="E16" s="54" t="s">
        <v>162</v>
      </c>
      <c r="F16" s="54" t="s">
        <v>250</v>
      </c>
      <c r="G16" s="57" t="s">
        <v>42</v>
      </c>
      <c r="H16" s="54" t="s">
        <v>165</v>
      </c>
      <c r="I16" s="57" t="s">
        <v>159</v>
      </c>
      <c r="J16" s="54" t="s">
        <v>38</v>
      </c>
      <c r="K16" s="54" t="s">
        <v>161</v>
      </c>
      <c r="L16" s="53">
        <v>3</v>
      </c>
      <c r="N16" s="53">
        <v>1</v>
      </c>
      <c r="O16" s="53">
        <v>0.75</v>
      </c>
      <c r="P16" s="53">
        <v>0.75</v>
      </c>
      <c r="Q16" s="98">
        <f t="shared" si="0"/>
        <v>0.75</v>
      </c>
      <c r="R16" s="36">
        <v>14.3</v>
      </c>
      <c r="S16" s="53">
        <v>110</v>
      </c>
      <c r="T16" s="16">
        <f t="shared" si="1"/>
        <v>33</v>
      </c>
      <c r="U16" s="53">
        <v>106</v>
      </c>
      <c r="V16" s="16">
        <f t="shared" si="2"/>
        <v>3498</v>
      </c>
      <c r="W16" s="53">
        <v>5</v>
      </c>
      <c r="X16" s="57" t="s">
        <v>46</v>
      </c>
      <c r="Y16" s="57" t="s">
        <v>55</v>
      </c>
      <c r="Z16" s="54" t="s">
        <v>47</v>
      </c>
      <c r="AA16" s="57" t="s">
        <v>60</v>
      </c>
      <c r="AB16" s="54" t="s">
        <v>158</v>
      </c>
      <c r="AE16" s="22" t="s">
        <v>82</v>
      </c>
      <c r="AP16" s="23" t="s">
        <v>80</v>
      </c>
      <c r="AR16" s="41" t="s">
        <v>63</v>
      </c>
      <c r="AV16" s="23" t="s">
        <v>84</v>
      </c>
    </row>
    <row r="17" spans="1:48" x14ac:dyDescent="0.15">
      <c r="A17" s="57" t="s">
        <v>56</v>
      </c>
      <c r="B17" s="57" t="s">
        <v>232</v>
      </c>
      <c r="C17" s="54">
        <v>2019</v>
      </c>
      <c r="D17" s="97" t="s">
        <v>233</v>
      </c>
      <c r="E17" s="54" t="s">
        <v>162</v>
      </c>
      <c r="F17" s="54" t="s">
        <v>250</v>
      </c>
      <c r="G17" s="57" t="s">
        <v>42</v>
      </c>
      <c r="H17" s="54" t="s">
        <v>160</v>
      </c>
      <c r="I17" s="57" t="s">
        <v>159</v>
      </c>
      <c r="J17" s="54" t="s">
        <v>38</v>
      </c>
      <c r="K17" s="54" t="s">
        <v>161</v>
      </c>
      <c r="L17" s="53">
        <v>1</v>
      </c>
      <c r="N17" s="53">
        <v>1</v>
      </c>
      <c r="O17" s="53">
        <v>0.9</v>
      </c>
      <c r="P17" s="53">
        <v>1</v>
      </c>
      <c r="Q17" s="98">
        <f t="shared" si="0"/>
        <v>0.95</v>
      </c>
      <c r="R17" s="53">
        <v>16.2</v>
      </c>
      <c r="S17" s="53">
        <v>117</v>
      </c>
      <c r="T17" s="16">
        <f t="shared" si="1"/>
        <v>30</v>
      </c>
      <c r="U17" s="53">
        <v>192</v>
      </c>
      <c r="V17" s="16">
        <f t="shared" si="2"/>
        <v>5760</v>
      </c>
      <c r="W17" s="53">
        <v>3</v>
      </c>
      <c r="X17" s="57" t="s">
        <v>46</v>
      </c>
      <c r="Y17" s="57" t="s">
        <v>55</v>
      </c>
      <c r="Z17" s="54" t="s">
        <v>47</v>
      </c>
      <c r="AA17" s="57" t="s">
        <v>60</v>
      </c>
      <c r="AB17" s="54" t="s">
        <v>158</v>
      </c>
      <c r="AE17" s="22" t="s">
        <v>85</v>
      </c>
      <c r="AP17" s="43" t="s">
        <v>110</v>
      </c>
      <c r="AR17" s="41" t="s">
        <v>96</v>
      </c>
      <c r="AV17" s="23" t="s">
        <v>86</v>
      </c>
    </row>
    <row r="18" spans="1:48" x14ac:dyDescent="0.15">
      <c r="A18" s="57" t="s">
        <v>56</v>
      </c>
      <c r="B18" s="57" t="s">
        <v>232</v>
      </c>
      <c r="C18" s="54">
        <v>2019</v>
      </c>
      <c r="D18" s="97" t="s">
        <v>233</v>
      </c>
      <c r="E18" s="54" t="s">
        <v>162</v>
      </c>
      <c r="F18" s="54" t="s">
        <v>250</v>
      </c>
      <c r="G18" s="57" t="s">
        <v>42</v>
      </c>
      <c r="H18" s="54" t="s">
        <v>160</v>
      </c>
      <c r="I18" s="57" t="s">
        <v>159</v>
      </c>
      <c r="J18" s="54" t="s">
        <v>38</v>
      </c>
      <c r="K18" s="54" t="s">
        <v>161</v>
      </c>
      <c r="L18" s="53">
        <v>2</v>
      </c>
      <c r="N18" s="53">
        <v>1</v>
      </c>
      <c r="O18" s="53">
        <v>1.25</v>
      </c>
      <c r="P18" s="53">
        <v>1.3</v>
      </c>
      <c r="Q18" s="98">
        <f t="shared" si="0"/>
        <v>1.2749999999999999</v>
      </c>
      <c r="R18" s="53">
        <v>12.6</v>
      </c>
      <c r="S18" s="53">
        <v>121</v>
      </c>
      <c r="T18" s="16">
        <f t="shared" si="1"/>
        <v>27</v>
      </c>
      <c r="U18" s="53">
        <v>192</v>
      </c>
      <c r="V18" s="16">
        <f t="shared" si="2"/>
        <v>5184</v>
      </c>
      <c r="W18" s="53">
        <v>3</v>
      </c>
      <c r="X18" s="57" t="s">
        <v>46</v>
      </c>
      <c r="Y18" s="57" t="s">
        <v>55</v>
      </c>
      <c r="Z18" s="54" t="s">
        <v>47</v>
      </c>
      <c r="AA18" s="57" t="s">
        <v>60</v>
      </c>
      <c r="AB18" s="54" t="s">
        <v>158</v>
      </c>
      <c r="AE18" s="22" t="s">
        <v>87</v>
      </c>
      <c r="AP18" s="43" t="s">
        <v>111</v>
      </c>
      <c r="AR18" s="41" t="s">
        <v>101</v>
      </c>
      <c r="AV18" s="23" t="s">
        <v>88</v>
      </c>
    </row>
    <row r="19" spans="1:48" x14ac:dyDescent="0.15">
      <c r="A19" s="57" t="s">
        <v>56</v>
      </c>
      <c r="B19" s="57" t="s">
        <v>232</v>
      </c>
      <c r="C19" s="54">
        <v>2019</v>
      </c>
      <c r="D19" s="97" t="s">
        <v>233</v>
      </c>
      <c r="E19" s="54" t="s">
        <v>162</v>
      </c>
      <c r="F19" s="54" t="s">
        <v>250</v>
      </c>
      <c r="G19" s="57" t="s">
        <v>42</v>
      </c>
      <c r="H19" s="54" t="s">
        <v>160</v>
      </c>
      <c r="I19" s="57" t="s">
        <v>159</v>
      </c>
      <c r="J19" s="54" t="s">
        <v>38</v>
      </c>
      <c r="K19" s="54" t="s">
        <v>161</v>
      </c>
      <c r="L19" s="53">
        <v>3</v>
      </c>
      <c r="N19" s="53">
        <v>1</v>
      </c>
      <c r="O19" s="53">
        <v>0.8</v>
      </c>
      <c r="P19" s="53">
        <v>0.8</v>
      </c>
      <c r="Q19" s="98">
        <f t="shared" si="0"/>
        <v>0.8</v>
      </c>
      <c r="R19" s="36">
        <v>15.4</v>
      </c>
      <c r="S19" s="53">
        <v>126</v>
      </c>
      <c r="T19" s="16">
        <f t="shared" si="1"/>
        <v>27</v>
      </c>
      <c r="U19" s="53">
        <v>192</v>
      </c>
      <c r="V19" s="16">
        <f t="shared" si="2"/>
        <v>5184</v>
      </c>
      <c r="W19" s="53">
        <v>3</v>
      </c>
      <c r="X19" s="57" t="s">
        <v>46</v>
      </c>
      <c r="Y19" s="57" t="s">
        <v>55</v>
      </c>
      <c r="Z19" s="54" t="s">
        <v>47</v>
      </c>
      <c r="AA19" s="57" t="s">
        <v>60</v>
      </c>
      <c r="AB19" s="54" t="s">
        <v>158</v>
      </c>
      <c r="AE19" s="35" t="s">
        <v>89</v>
      </c>
      <c r="AP19" s="43" t="s">
        <v>112</v>
      </c>
      <c r="AR19" s="30" t="s">
        <v>126</v>
      </c>
      <c r="AV19" s="23" t="s">
        <v>90</v>
      </c>
    </row>
    <row r="20" spans="1:48" x14ac:dyDescent="0.15">
      <c r="A20" s="57" t="s">
        <v>56</v>
      </c>
      <c r="B20" s="57" t="s">
        <v>232</v>
      </c>
      <c r="C20" s="54">
        <v>2019</v>
      </c>
      <c r="D20" s="97" t="s">
        <v>233</v>
      </c>
      <c r="E20" s="54" t="s">
        <v>251</v>
      </c>
      <c r="F20" s="54" t="s">
        <v>252</v>
      </c>
      <c r="G20" s="57" t="s">
        <v>42</v>
      </c>
      <c r="H20" s="54" t="s">
        <v>165</v>
      </c>
      <c r="I20" s="57" t="s">
        <v>159</v>
      </c>
      <c r="J20" s="54" t="s">
        <v>38</v>
      </c>
      <c r="K20" s="54" t="s">
        <v>161</v>
      </c>
      <c r="L20" s="53">
        <v>1</v>
      </c>
      <c r="N20" s="53">
        <v>1</v>
      </c>
      <c r="O20" s="53">
        <v>0.55000000000000004</v>
      </c>
      <c r="P20" s="53">
        <v>0.55000000000000004</v>
      </c>
      <c r="Q20" s="98">
        <f t="shared" si="0"/>
        <v>0.55000000000000004</v>
      </c>
      <c r="R20" s="53">
        <v>15.1</v>
      </c>
      <c r="S20" s="53">
        <v>115</v>
      </c>
      <c r="T20" s="16">
        <f t="shared" si="1"/>
        <v>30</v>
      </c>
      <c r="U20" s="53">
        <v>138</v>
      </c>
      <c r="V20" s="16">
        <f t="shared" si="2"/>
        <v>4140</v>
      </c>
      <c r="W20" s="53">
        <v>3</v>
      </c>
      <c r="X20" s="57" t="s">
        <v>46</v>
      </c>
      <c r="Y20" s="57" t="s">
        <v>55</v>
      </c>
      <c r="Z20" s="54" t="s">
        <v>47</v>
      </c>
      <c r="AA20" s="57" t="s">
        <v>78</v>
      </c>
      <c r="AB20" s="54" t="s">
        <v>158</v>
      </c>
      <c r="AP20" s="43" t="s">
        <v>113</v>
      </c>
      <c r="AR20" s="41" t="s">
        <v>105</v>
      </c>
      <c r="AV20" s="27" t="s">
        <v>135</v>
      </c>
    </row>
    <row r="21" spans="1:48" x14ac:dyDescent="0.15">
      <c r="A21" s="57" t="s">
        <v>56</v>
      </c>
      <c r="B21" s="57" t="s">
        <v>232</v>
      </c>
      <c r="C21" s="54">
        <v>2019</v>
      </c>
      <c r="D21" s="97" t="s">
        <v>233</v>
      </c>
      <c r="E21" s="54" t="s">
        <v>251</v>
      </c>
      <c r="F21" s="54" t="s">
        <v>252</v>
      </c>
      <c r="G21" s="57" t="s">
        <v>42</v>
      </c>
      <c r="H21" s="54" t="s">
        <v>165</v>
      </c>
      <c r="I21" s="57" t="s">
        <v>159</v>
      </c>
      <c r="J21" s="54" t="s">
        <v>38</v>
      </c>
      <c r="K21" s="54" t="s">
        <v>161</v>
      </c>
      <c r="L21" s="53">
        <v>2</v>
      </c>
      <c r="N21" s="53">
        <v>1</v>
      </c>
      <c r="O21" s="53">
        <v>0.55000000000000004</v>
      </c>
      <c r="P21" s="53">
        <v>0.55000000000000004</v>
      </c>
      <c r="Q21" s="98">
        <f t="shared" si="0"/>
        <v>0.55000000000000004</v>
      </c>
      <c r="R21" s="53">
        <v>15.6</v>
      </c>
      <c r="S21" s="53">
        <v>113</v>
      </c>
      <c r="T21" s="16">
        <f t="shared" si="1"/>
        <v>30</v>
      </c>
      <c r="U21" s="53">
        <v>138</v>
      </c>
      <c r="V21" s="16">
        <f t="shared" si="2"/>
        <v>4140</v>
      </c>
      <c r="W21" s="53">
        <v>3</v>
      </c>
      <c r="X21" s="57" t="s">
        <v>46</v>
      </c>
      <c r="Y21" s="57" t="s">
        <v>55</v>
      </c>
      <c r="Z21" s="54" t="s">
        <v>47</v>
      </c>
      <c r="AA21" s="57" t="s">
        <v>78</v>
      </c>
      <c r="AB21" s="54" t="s">
        <v>158</v>
      </c>
      <c r="AP21" s="43" t="s">
        <v>114</v>
      </c>
      <c r="AR21" s="41" t="s">
        <v>68</v>
      </c>
      <c r="AV21" s="28" t="s">
        <v>253</v>
      </c>
    </row>
    <row r="22" spans="1:48" x14ac:dyDescent="0.15">
      <c r="A22" s="57" t="s">
        <v>56</v>
      </c>
      <c r="B22" s="57" t="s">
        <v>232</v>
      </c>
      <c r="C22" s="54">
        <v>2019</v>
      </c>
      <c r="D22" s="97" t="s">
        <v>233</v>
      </c>
      <c r="E22" s="54" t="s">
        <v>251</v>
      </c>
      <c r="F22" s="54" t="s">
        <v>252</v>
      </c>
      <c r="G22" s="57" t="s">
        <v>42</v>
      </c>
      <c r="H22" s="54" t="s">
        <v>165</v>
      </c>
      <c r="I22" s="57" t="s">
        <v>159</v>
      </c>
      <c r="J22" s="54" t="s">
        <v>38</v>
      </c>
      <c r="K22" s="54" t="s">
        <v>161</v>
      </c>
      <c r="L22" s="53">
        <v>3</v>
      </c>
      <c r="N22" s="53">
        <v>1</v>
      </c>
      <c r="O22" s="53">
        <v>0.7</v>
      </c>
      <c r="P22" s="53">
        <v>0.7</v>
      </c>
      <c r="Q22" s="98">
        <f t="shared" si="0"/>
        <v>0.7</v>
      </c>
      <c r="R22" s="53">
        <v>14.9</v>
      </c>
      <c r="S22" s="53">
        <v>115</v>
      </c>
      <c r="T22" s="16">
        <f t="shared" si="1"/>
        <v>30</v>
      </c>
      <c r="U22" s="53">
        <v>138</v>
      </c>
      <c r="V22" s="16">
        <f t="shared" si="2"/>
        <v>4140</v>
      </c>
      <c r="W22" s="53">
        <v>3</v>
      </c>
      <c r="X22" s="57" t="s">
        <v>46</v>
      </c>
      <c r="Y22" s="57" t="s">
        <v>55</v>
      </c>
      <c r="Z22" s="54" t="s">
        <v>47</v>
      </c>
      <c r="AA22" s="57" t="s">
        <v>78</v>
      </c>
      <c r="AB22" s="54" t="s">
        <v>158</v>
      </c>
      <c r="AP22" s="43" t="s">
        <v>115</v>
      </c>
      <c r="AR22" s="41" t="s">
        <v>83</v>
      </c>
    </row>
    <row r="23" spans="1:48" x14ac:dyDescent="0.15">
      <c r="A23" s="57" t="s">
        <v>56</v>
      </c>
      <c r="B23" s="57" t="s">
        <v>232</v>
      </c>
      <c r="C23" s="54">
        <v>2019</v>
      </c>
      <c r="D23" s="97" t="s">
        <v>233</v>
      </c>
      <c r="E23" s="54" t="s">
        <v>251</v>
      </c>
      <c r="F23" s="54" t="s">
        <v>252</v>
      </c>
      <c r="G23" s="57" t="s">
        <v>42</v>
      </c>
      <c r="H23" s="54" t="s">
        <v>160</v>
      </c>
      <c r="I23" s="57" t="s">
        <v>159</v>
      </c>
      <c r="J23" s="54" t="s">
        <v>38</v>
      </c>
      <c r="K23" s="54" t="s">
        <v>161</v>
      </c>
      <c r="L23" s="53">
        <v>1</v>
      </c>
      <c r="N23" s="53">
        <v>1</v>
      </c>
      <c r="O23" s="53">
        <v>0.65</v>
      </c>
      <c r="P23" s="53">
        <v>0.65</v>
      </c>
      <c r="Q23" s="98">
        <f t="shared" si="0"/>
        <v>0.65</v>
      </c>
      <c r="R23" s="53">
        <v>15.5</v>
      </c>
      <c r="S23" s="53">
        <v>133</v>
      </c>
      <c r="T23" s="16">
        <f t="shared" si="1"/>
        <v>25</v>
      </c>
      <c r="U23" s="53">
        <v>138</v>
      </c>
      <c r="V23" s="16">
        <f t="shared" si="2"/>
        <v>3450</v>
      </c>
      <c r="W23" s="53">
        <v>3</v>
      </c>
      <c r="X23" s="57" t="s">
        <v>46</v>
      </c>
      <c r="Y23" s="57" t="s">
        <v>55</v>
      </c>
      <c r="Z23" s="54" t="s">
        <v>47</v>
      </c>
      <c r="AA23" s="57" t="s">
        <v>78</v>
      </c>
      <c r="AB23" s="54" t="s">
        <v>158</v>
      </c>
      <c r="AP23" s="43" t="s">
        <v>137</v>
      </c>
      <c r="AR23" s="41" t="s">
        <v>61</v>
      </c>
    </row>
    <row r="24" spans="1:48" x14ac:dyDescent="0.15">
      <c r="A24" s="57" t="s">
        <v>56</v>
      </c>
      <c r="B24" s="57" t="s">
        <v>232</v>
      </c>
      <c r="C24" s="54">
        <v>2019</v>
      </c>
      <c r="D24" s="97" t="s">
        <v>233</v>
      </c>
      <c r="E24" s="54" t="s">
        <v>251</v>
      </c>
      <c r="F24" s="54" t="s">
        <v>252</v>
      </c>
      <c r="G24" s="57" t="s">
        <v>42</v>
      </c>
      <c r="H24" s="54" t="s">
        <v>160</v>
      </c>
      <c r="I24" s="57" t="s">
        <v>159</v>
      </c>
      <c r="J24" s="54" t="s">
        <v>38</v>
      </c>
      <c r="K24" s="54" t="s">
        <v>161</v>
      </c>
      <c r="L24" s="53">
        <v>2</v>
      </c>
      <c r="N24" s="53">
        <v>1</v>
      </c>
      <c r="O24" s="53">
        <v>0.75</v>
      </c>
      <c r="P24" s="53">
        <v>0.75</v>
      </c>
      <c r="Q24" s="98">
        <f t="shared" si="0"/>
        <v>0.75</v>
      </c>
      <c r="R24" s="53">
        <v>15</v>
      </c>
      <c r="S24" s="53">
        <v>126</v>
      </c>
      <c r="T24" s="16">
        <f t="shared" si="1"/>
        <v>27</v>
      </c>
      <c r="U24" s="53">
        <v>138</v>
      </c>
      <c r="V24" s="16">
        <f t="shared" si="2"/>
        <v>3726</v>
      </c>
      <c r="W24" s="53">
        <v>3</v>
      </c>
      <c r="X24" s="57" t="s">
        <v>46</v>
      </c>
      <c r="Y24" s="57" t="s">
        <v>55</v>
      </c>
      <c r="Z24" s="54" t="s">
        <v>47</v>
      </c>
      <c r="AA24" s="57" t="s">
        <v>78</v>
      </c>
      <c r="AB24" s="54" t="s">
        <v>158</v>
      </c>
      <c r="AP24" s="43" t="s">
        <v>138</v>
      </c>
      <c r="AR24" s="41" t="s">
        <v>91</v>
      </c>
    </row>
    <row r="25" spans="1:48" x14ac:dyDescent="0.15">
      <c r="A25" s="57" t="s">
        <v>56</v>
      </c>
      <c r="B25" s="57" t="s">
        <v>232</v>
      </c>
      <c r="C25" s="54">
        <v>2019</v>
      </c>
      <c r="D25" s="97" t="s">
        <v>233</v>
      </c>
      <c r="E25" s="54" t="s">
        <v>251</v>
      </c>
      <c r="F25" s="54" t="s">
        <v>252</v>
      </c>
      <c r="G25" s="57" t="s">
        <v>42</v>
      </c>
      <c r="H25" s="54" t="s">
        <v>160</v>
      </c>
      <c r="I25" s="57" t="s">
        <v>159</v>
      </c>
      <c r="J25" s="54" t="s">
        <v>38</v>
      </c>
      <c r="K25" s="54" t="s">
        <v>161</v>
      </c>
      <c r="L25" s="53">
        <v>3</v>
      </c>
      <c r="N25" s="53">
        <v>1</v>
      </c>
      <c r="O25" s="53">
        <v>0.75</v>
      </c>
      <c r="P25" s="53">
        <v>0.65</v>
      </c>
      <c r="Q25" s="98">
        <f t="shared" si="0"/>
        <v>0.7</v>
      </c>
      <c r="R25" s="53">
        <v>14.6</v>
      </c>
      <c r="S25" s="53">
        <v>128</v>
      </c>
      <c r="T25" s="16">
        <f t="shared" si="1"/>
        <v>27</v>
      </c>
      <c r="U25" s="53">
        <v>138</v>
      </c>
      <c r="V25" s="16">
        <f t="shared" si="2"/>
        <v>3726</v>
      </c>
      <c r="W25" s="53">
        <v>3</v>
      </c>
      <c r="X25" s="57" t="s">
        <v>46</v>
      </c>
      <c r="Y25" s="57" t="s">
        <v>55</v>
      </c>
      <c r="Z25" s="54" t="s">
        <v>47</v>
      </c>
      <c r="AA25" s="57" t="s">
        <v>78</v>
      </c>
      <c r="AB25" s="54" t="s">
        <v>158</v>
      </c>
      <c r="AP25" s="43" t="s">
        <v>116</v>
      </c>
      <c r="AR25" s="42" t="s">
        <v>92</v>
      </c>
    </row>
    <row r="26" spans="1:48" x14ac:dyDescent="0.15">
      <c r="A26" s="57" t="s">
        <v>56</v>
      </c>
      <c r="B26" s="57" t="s">
        <v>232</v>
      </c>
      <c r="C26" s="54">
        <v>2019</v>
      </c>
      <c r="D26" s="97" t="s">
        <v>233</v>
      </c>
      <c r="E26" s="54" t="s">
        <v>254</v>
      </c>
      <c r="F26" s="54" t="s">
        <v>250</v>
      </c>
      <c r="G26" s="57" t="s">
        <v>42</v>
      </c>
      <c r="H26" s="54" t="s">
        <v>127</v>
      </c>
      <c r="I26" s="57" t="s">
        <v>168</v>
      </c>
      <c r="J26" s="54" t="s">
        <v>80</v>
      </c>
      <c r="K26" s="54" t="s">
        <v>63</v>
      </c>
      <c r="L26" s="53">
        <v>1</v>
      </c>
      <c r="N26" s="53">
        <v>1</v>
      </c>
      <c r="O26" s="53">
        <v>0.6</v>
      </c>
      <c r="P26" s="53">
        <v>0.6</v>
      </c>
      <c r="Q26" s="98">
        <f t="shared" si="0"/>
        <v>0.6</v>
      </c>
      <c r="R26" s="53">
        <v>15.5</v>
      </c>
      <c r="S26" s="53">
        <v>107</v>
      </c>
      <c r="T26" s="16">
        <f t="shared" si="1"/>
        <v>33</v>
      </c>
      <c r="U26" s="53">
        <v>83</v>
      </c>
      <c r="V26" s="16">
        <f t="shared" si="2"/>
        <v>2739</v>
      </c>
      <c r="W26" s="53">
        <v>3</v>
      </c>
      <c r="X26" s="57" t="s">
        <v>39</v>
      </c>
      <c r="Y26" s="57" t="s">
        <v>55</v>
      </c>
      <c r="Z26" s="54" t="s">
        <v>47</v>
      </c>
      <c r="AA26" s="57" t="s">
        <v>40</v>
      </c>
      <c r="AB26" s="54" t="s">
        <v>158</v>
      </c>
      <c r="AP26" s="43" t="s">
        <v>117</v>
      </c>
      <c r="AR26" s="53" t="s">
        <v>153</v>
      </c>
    </row>
    <row r="27" spans="1:48" x14ac:dyDescent="0.15">
      <c r="A27" s="57" t="s">
        <v>56</v>
      </c>
      <c r="B27" s="57" t="s">
        <v>232</v>
      </c>
      <c r="C27" s="54">
        <v>2019</v>
      </c>
      <c r="D27" s="97" t="s">
        <v>233</v>
      </c>
      <c r="E27" s="54" t="s">
        <v>254</v>
      </c>
      <c r="F27" s="54" t="s">
        <v>250</v>
      </c>
      <c r="G27" s="57" t="s">
        <v>42</v>
      </c>
      <c r="H27" s="54" t="s">
        <v>127</v>
      </c>
      <c r="I27" s="57" t="s">
        <v>168</v>
      </c>
      <c r="J27" s="54" t="s">
        <v>80</v>
      </c>
      <c r="K27" s="54" t="s">
        <v>63</v>
      </c>
      <c r="L27" s="53">
        <v>2</v>
      </c>
      <c r="N27" s="53">
        <v>1</v>
      </c>
      <c r="O27" s="53">
        <v>0.75</v>
      </c>
      <c r="P27" s="53">
        <v>0.7</v>
      </c>
      <c r="Q27" s="98">
        <f t="shared" si="0"/>
        <v>0.72499999999999998</v>
      </c>
      <c r="R27" s="53">
        <v>13.2</v>
      </c>
      <c r="S27" s="53">
        <v>115</v>
      </c>
      <c r="T27" s="16">
        <f t="shared" si="1"/>
        <v>30</v>
      </c>
      <c r="U27" s="53">
        <v>83</v>
      </c>
      <c r="V27" s="16">
        <f t="shared" si="2"/>
        <v>2490</v>
      </c>
      <c r="W27" s="53">
        <v>3</v>
      </c>
      <c r="X27" s="57" t="s">
        <v>39</v>
      </c>
      <c r="Y27" s="57" t="s">
        <v>55</v>
      </c>
      <c r="Z27" s="54" t="s">
        <v>47</v>
      </c>
      <c r="AA27" s="57" t="s">
        <v>40</v>
      </c>
      <c r="AB27" s="54" t="s">
        <v>158</v>
      </c>
      <c r="AP27" s="43" t="s">
        <v>118</v>
      </c>
    </row>
    <row r="28" spans="1:48" x14ac:dyDescent="0.15">
      <c r="A28" s="57" t="s">
        <v>56</v>
      </c>
      <c r="B28" s="57" t="s">
        <v>232</v>
      </c>
      <c r="C28" s="54">
        <v>2019</v>
      </c>
      <c r="D28" s="97" t="s">
        <v>233</v>
      </c>
      <c r="E28" s="54" t="s">
        <v>254</v>
      </c>
      <c r="F28" s="54" t="s">
        <v>250</v>
      </c>
      <c r="G28" s="57" t="s">
        <v>42</v>
      </c>
      <c r="H28" s="54" t="s">
        <v>127</v>
      </c>
      <c r="I28" s="57" t="s">
        <v>168</v>
      </c>
      <c r="J28" s="54" t="s">
        <v>80</v>
      </c>
      <c r="K28" s="54" t="s">
        <v>63</v>
      </c>
      <c r="L28" s="53">
        <v>3</v>
      </c>
      <c r="N28" s="53">
        <v>1</v>
      </c>
      <c r="O28" s="53">
        <v>0.55000000000000004</v>
      </c>
      <c r="P28" s="53">
        <v>0.6</v>
      </c>
      <c r="Q28" s="98">
        <f t="shared" si="0"/>
        <v>0.57499999999999996</v>
      </c>
      <c r="R28" s="53">
        <v>11.3</v>
      </c>
      <c r="S28" s="53">
        <v>105</v>
      </c>
      <c r="T28" s="16">
        <f t="shared" si="1"/>
        <v>33</v>
      </c>
      <c r="U28" s="53">
        <v>83</v>
      </c>
      <c r="V28" s="16">
        <f t="shared" si="2"/>
        <v>2739</v>
      </c>
      <c r="W28" s="53">
        <v>3</v>
      </c>
      <c r="X28" s="57" t="s">
        <v>39</v>
      </c>
      <c r="Y28" s="57" t="s">
        <v>55</v>
      </c>
      <c r="Z28" s="54" t="s">
        <v>47</v>
      </c>
      <c r="AA28" s="57" t="s">
        <v>40</v>
      </c>
      <c r="AB28" s="54" t="s">
        <v>158</v>
      </c>
    </row>
    <row r="29" spans="1:48" x14ac:dyDescent="0.15">
      <c r="A29" s="57" t="s">
        <v>56</v>
      </c>
      <c r="B29" s="57" t="s">
        <v>232</v>
      </c>
      <c r="C29" s="54">
        <v>2019</v>
      </c>
      <c r="D29" s="97" t="s">
        <v>233</v>
      </c>
      <c r="E29" s="54" t="s">
        <v>254</v>
      </c>
      <c r="F29" s="54" t="s">
        <v>250</v>
      </c>
      <c r="G29" s="57" t="s">
        <v>42</v>
      </c>
      <c r="H29" s="54" t="s">
        <v>165</v>
      </c>
      <c r="I29" s="57" t="s">
        <v>159</v>
      </c>
      <c r="J29" s="54" t="s">
        <v>38</v>
      </c>
      <c r="K29" s="54" t="s">
        <v>161</v>
      </c>
      <c r="L29" s="53">
        <v>1</v>
      </c>
      <c r="N29" s="53">
        <v>5</v>
      </c>
      <c r="O29" s="53">
        <v>0.75</v>
      </c>
      <c r="P29" s="53">
        <v>0.8</v>
      </c>
      <c r="Q29" s="16">
        <f t="shared" si="0"/>
        <v>0.77500000000000002</v>
      </c>
      <c r="R29" s="53">
        <v>12.6</v>
      </c>
      <c r="S29" s="53">
        <v>87</v>
      </c>
      <c r="T29" s="16">
        <f t="shared" si="1"/>
        <v>36</v>
      </c>
      <c r="U29" s="53">
        <v>388</v>
      </c>
      <c r="V29" s="16">
        <f t="shared" si="2"/>
        <v>2793.6</v>
      </c>
      <c r="W29" s="53">
        <v>4</v>
      </c>
      <c r="X29" s="57" t="s">
        <v>39</v>
      </c>
      <c r="Y29" s="57" t="s">
        <v>55</v>
      </c>
      <c r="Z29" s="54" t="s">
        <v>47</v>
      </c>
      <c r="AA29" s="57" t="s">
        <v>40</v>
      </c>
      <c r="AB29" s="54" t="s">
        <v>158</v>
      </c>
    </row>
    <row r="30" spans="1:48" x14ac:dyDescent="0.15">
      <c r="A30" s="57" t="s">
        <v>56</v>
      </c>
      <c r="B30" s="57" t="s">
        <v>232</v>
      </c>
      <c r="C30" s="54">
        <v>2019</v>
      </c>
      <c r="D30" s="97" t="s">
        <v>233</v>
      </c>
      <c r="E30" s="54" t="s">
        <v>254</v>
      </c>
      <c r="F30" s="54" t="s">
        <v>250</v>
      </c>
      <c r="G30" s="57" t="s">
        <v>42</v>
      </c>
      <c r="H30" s="54" t="s">
        <v>165</v>
      </c>
      <c r="I30" s="57" t="s">
        <v>159</v>
      </c>
      <c r="J30" s="54" t="s">
        <v>38</v>
      </c>
      <c r="K30" s="54" t="s">
        <v>161</v>
      </c>
      <c r="L30" s="53">
        <v>2</v>
      </c>
      <c r="N30" s="53">
        <v>5</v>
      </c>
      <c r="O30" s="53">
        <v>0.8</v>
      </c>
      <c r="P30" s="53">
        <v>0.8</v>
      </c>
      <c r="Q30" s="16">
        <f t="shared" si="0"/>
        <v>0.8</v>
      </c>
      <c r="R30" s="53">
        <v>11.8</v>
      </c>
      <c r="S30" s="53">
        <v>94</v>
      </c>
      <c r="T30" s="16">
        <f t="shared" si="1"/>
        <v>36</v>
      </c>
      <c r="U30" s="53">
        <v>388</v>
      </c>
      <c r="V30" s="16">
        <f t="shared" si="2"/>
        <v>2793.6</v>
      </c>
      <c r="W30" s="53">
        <v>4</v>
      </c>
      <c r="X30" s="57" t="s">
        <v>39</v>
      </c>
      <c r="Y30" s="57" t="s">
        <v>55</v>
      </c>
      <c r="Z30" s="54" t="s">
        <v>47</v>
      </c>
      <c r="AA30" s="57" t="s">
        <v>40</v>
      </c>
      <c r="AB30" s="54" t="s">
        <v>158</v>
      </c>
    </row>
    <row r="31" spans="1:48" x14ac:dyDescent="0.15">
      <c r="A31" s="57" t="s">
        <v>56</v>
      </c>
      <c r="B31" s="57" t="s">
        <v>232</v>
      </c>
      <c r="C31" s="54">
        <v>2019</v>
      </c>
      <c r="D31" s="97" t="s">
        <v>233</v>
      </c>
      <c r="E31" s="54" t="s">
        <v>254</v>
      </c>
      <c r="F31" s="54" t="s">
        <v>250</v>
      </c>
      <c r="G31" s="57" t="s">
        <v>42</v>
      </c>
      <c r="H31" s="54" t="s">
        <v>165</v>
      </c>
      <c r="I31" s="57" t="s">
        <v>159</v>
      </c>
      <c r="J31" s="54" t="s">
        <v>38</v>
      </c>
      <c r="K31" s="54" t="s">
        <v>161</v>
      </c>
      <c r="L31" s="53">
        <v>3</v>
      </c>
      <c r="N31" s="53">
        <v>5</v>
      </c>
      <c r="O31" s="53">
        <v>1</v>
      </c>
      <c r="P31" s="53">
        <v>1.1000000000000001</v>
      </c>
      <c r="Q31" s="16">
        <f t="shared" si="0"/>
        <v>1.05</v>
      </c>
      <c r="R31" s="53">
        <v>11.7</v>
      </c>
      <c r="S31" s="53">
        <v>94</v>
      </c>
      <c r="T31" s="16">
        <f t="shared" si="1"/>
        <v>36</v>
      </c>
      <c r="U31" s="53">
        <v>388</v>
      </c>
      <c r="V31" s="16">
        <f t="shared" si="2"/>
        <v>2793.6</v>
      </c>
      <c r="W31" s="53">
        <v>4</v>
      </c>
      <c r="X31" s="57" t="s">
        <v>39</v>
      </c>
      <c r="Y31" s="57" t="s">
        <v>55</v>
      </c>
      <c r="Z31" s="54" t="s">
        <v>47</v>
      </c>
      <c r="AA31" s="57" t="s">
        <v>40</v>
      </c>
      <c r="AB31" s="54" t="s">
        <v>158</v>
      </c>
    </row>
    <row r="32" spans="1:48" x14ac:dyDescent="0.15">
      <c r="A32" s="57" t="s">
        <v>56</v>
      </c>
      <c r="B32" s="57" t="s">
        <v>232</v>
      </c>
      <c r="C32" s="54">
        <v>2019</v>
      </c>
      <c r="D32" s="97" t="s">
        <v>233</v>
      </c>
      <c r="E32" s="54" t="s">
        <v>254</v>
      </c>
      <c r="F32" s="54" t="s">
        <v>250</v>
      </c>
      <c r="G32" s="57" t="s">
        <v>42</v>
      </c>
      <c r="H32" s="54" t="s">
        <v>160</v>
      </c>
      <c r="I32" s="57" t="s">
        <v>159</v>
      </c>
      <c r="J32" s="54" t="s">
        <v>38</v>
      </c>
      <c r="K32" s="54" t="s">
        <v>161</v>
      </c>
      <c r="L32" s="53">
        <v>1</v>
      </c>
      <c r="N32" s="53">
        <v>4</v>
      </c>
      <c r="O32" s="53">
        <v>0.5</v>
      </c>
      <c r="P32" s="53">
        <v>0.5</v>
      </c>
      <c r="Q32" s="16">
        <f t="shared" si="0"/>
        <v>0.5</v>
      </c>
      <c r="R32" s="53">
        <v>15.7</v>
      </c>
      <c r="S32" s="53">
        <v>97</v>
      </c>
      <c r="T32" s="16">
        <f t="shared" si="1"/>
        <v>36</v>
      </c>
      <c r="U32" s="53">
        <v>418</v>
      </c>
      <c r="V32" s="16">
        <f t="shared" si="2"/>
        <v>3762</v>
      </c>
      <c r="W32" s="53">
        <v>4</v>
      </c>
      <c r="X32" s="57" t="s">
        <v>39</v>
      </c>
      <c r="Y32" s="57" t="s">
        <v>55</v>
      </c>
      <c r="Z32" s="54" t="s">
        <v>47</v>
      </c>
      <c r="AA32" s="57" t="s">
        <v>40</v>
      </c>
      <c r="AB32" s="54" t="s">
        <v>158</v>
      </c>
    </row>
    <row r="33" spans="1:28" x14ac:dyDescent="0.15">
      <c r="A33" s="57" t="s">
        <v>56</v>
      </c>
      <c r="B33" s="57" t="s">
        <v>232</v>
      </c>
      <c r="C33" s="54">
        <v>2019</v>
      </c>
      <c r="D33" s="97" t="s">
        <v>233</v>
      </c>
      <c r="E33" s="54" t="s">
        <v>254</v>
      </c>
      <c r="F33" s="54" t="s">
        <v>250</v>
      </c>
      <c r="G33" s="57" t="s">
        <v>42</v>
      </c>
      <c r="H33" s="54" t="s">
        <v>160</v>
      </c>
      <c r="I33" s="57" t="s">
        <v>159</v>
      </c>
      <c r="J33" s="54" t="s">
        <v>38</v>
      </c>
      <c r="K33" s="54" t="s">
        <v>161</v>
      </c>
      <c r="L33" s="53">
        <v>2</v>
      </c>
      <c r="N33" s="53">
        <v>4</v>
      </c>
      <c r="O33" s="53">
        <v>0.6</v>
      </c>
      <c r="P33" s="53">
        <v>0.6</v>
      </c>
      <c r="Q33" s="16">
        <f t="shared" si="0"/>
        <v>0.6</v>
      </c>
      <c r="R33" s="53">
        <v>16.8</v>
      </c>
      <c r="S33" s="53">
        <v>103</v>
      </c>
      <c r="T33" s="16">
        <f t="shared" si="1"/>
        <v>33</v>
      </c>
      <c r="U33" s="53">
        <v>418</v>
      </c>
      <c r="V33" s="16">
        <f t="shared" si="2"/>
        <v>3448.5</v>
      </c>
      <c r="W33" s="53">
        <v>4</v>
      </c>
      <c r="X33" s="57" t="s">
        <v>39</v>
      </c>
      <c r="Y33" s="57" t="s">
        <v>55</v>
      </c>
      <c r="Z33" s="54" t="s">
        <v>47</v>
      </c>
      <c r="AA33" s="57" t="s">
        <v>40</v>
      </c>
      <c r="AB33" s="54" t="s">
        <v>158</v>
      </c>
    </row>
    <row r="34" spans="1:28" x14ac:dyDescent="0.15">
      <c r="A34" s="57" t="s">
        <v>56</v>
      </c>
      <c r="B34" s="57" t="s">
        <v>232</v>
      </c>
      <c r="C34" s="54">
        <v>2019</v>
      </c>
      <c r="D34" s="97" t="s">
        <v>233</v>
      </c>
      <c r="E34" s="54" t="s">
        <v>254</v>
      </c>
      <c r="F34" s="54" t="s">
        <v>250</v>
      </c>
      <c r="G34" s="57" t="s">
        <v>42</v>
      </c>
      <c r="H34" s="54" t="s">
        <v>160</v>
      </c>
      <c r="I34" s="57" t="s">
        <v>159</v>
      </c>
      <c r="J34" s="54" t="s">
        <v>38</v>
      </c>
      <c r="K34" s="54" t="s">
        <v>161</v>
      </c>
      <c r="L34" s="53">
        <v>3</v>
      </c>
      <c r="N34" s="53">
        <v>4</v>
      </c>
      <c r="O34" s="53">
        <v>0.55000000000000004</v>
      </c>
      <c r="P34" s="53">
        <v>0.6</v>
      </c>
      <c r="Q34" s="16">
        <f t="shared" si="0"/>
        <v>0.57499999999999996</v>
      </c>
      <c r="R34" s="53">
        <v>15.5</v>
      </c>
      <c r="S34" s="53">
        <v>100</v>
      </c>
      <c r="T34" s="16">
        <f t="shared" si="1"/>
        <v>33</v>
      </c>
      <c r="U34" s="53">
        <v>418</v>
      </c>
      <c r="V34" s="16">
        <f t="shared" si="2"/>
        <v>3448.5</v>
      </c>
      <c r="W34" s="53">
        <v>4</v>
      </c>
      <c r="X34" s="57" t="s">
        <v>39</v>
      </c>
      <c r="Y34" s="57" t="s">
        <v>55</v>
      </c>
      <c r="Z34" s="54" t="s">
        <v>47</v>
      </c>
      <c r="AA34" s="57" t="s">
        <v>40</v>
      </c>
      <c r="AB34" s="54" t="s">
        <v>158</v>
      </c>
    </row>
    <row r="35" spans="1:28" x14ac:dyDescent="0.15">
      <c r="A35" s="57" t="s">
        <v>56</v>
      </c>
      <c r="B35" s="57" t="s">
        <v>232</v>
      </c>
      <c r="C35" s="54">
        <v>2019</v>
      </c>
      <c r="D35" s="97" t="s">
        <v>233</v>
      </c>
      <c r="E35" s="54" t="s">
        <v>162</v>
      </c>
      <c r="F35" s="54" t="s">
        <v>247</v>
      </c>
      <c r="G35" s="57" t="s">
        <v>42</v>
      </c>
      <c r="H35" s="54" t="s">
        <v>127</v>
      </c>
      <c r="I35" s="57" t="s">
        <v>159</v>
      </c>
      <c r="J35" s="54" t="s">
        <v>53</v>
      </c>
      <c r="K35" s="54" t="s">
        <v>54</v>
      </c>
      <c r="L35" s="53">
        <v>1</v>
      </c>
      <c r="N35" s="53">
        <v>5</v>
      </c>
      <c r="O35" s="53">
        <v>0.7</v>
      </c>
      <c r="P35" s="53">
        <v>0.7</v>
      </c>
      <c r="Q35" s="16">
        <f t="shared" si="0"/>
        <v>0.7</v>
      </c>
      <c r="R35" s="53">
        <v>12.1</v>
      </c>
      <c r="S35" s="53">
        <v>80</v>
      </c>
      <c r="T35" s="16">
        <f t="shared" si="1"/>
        <v>39</v>
      </c>
      <c r="U35" s="53">
        <v>430</v>
      </c>
      <c r="V35" s="16">
        <f t="shared" si="2"/>
        <v>3354</v>
      </c>
      <c r="W35" s="53">
        <v>2</v>
      </c>
      <c r="X35" s="57" t="s">
        <v>46</v>
      </c>
      <c r="Y35" s="57" t="s">
        <v>55</v>
      </c>
      <c r="Z35" s="54" t="s">
        <v>78</v>
      </c>
      <c r="AA35" s="57" t="s">
        <v>47</v>
      </c>
      <c r="AB35" s="54" t="s">
        <v>158</v>
      </c>
    </row>
    <row r="36" spans="1:28" x14ac:dyDescent="0.15">
      <c r="A36" s="57" t="s">
        <v>56</v>
      </c>
      <c r="B36" s="57" t="s">
        <v>232</v>
      </c>
      <c r="C36" s="54">
        <v>2019</v>
      </c>
      <c r="D36" s="97" t="s">
        <v>233</v>
      </c>
      <c r="E36" s="54" t="s">
        <v>162</v>
      </c>
      <c r="F36" s="54" t="s">
        <v>247</v>
      </c>
      <c r="G36" s="57" t="s">
        <v>42</v>
      </c>
      <c r="H36" s="54" t="s">
        <v>127</v>
      </c>
      <c r="I36" s="57" t="s">
        <v>159</v>
      </c>
      <c r="J36" s="54" t="s">
        <v>53</v>
      </c>
      <c r="K36" s="54" t="s">
        <v>54</v>
      </c>
      <c r="L36" s="53">
        <v>2</v>
      </c>
      <c r="N36" s="53">
        <v>5</v>
      </c>
      <c r="O36" s="53">
        <v>0.65</v>
      </c>
      <c r="P36" s="53">
        <v>0.6</v>
      </c>
      <c r="Q36" s="16">
        <f t="shared" si="0"/>
        <v>0.625</v>
      </c>
      <c r="R36" s="53">
        <v>11.8</v>
      </c>
      <c r="S36" s="53">
        <v>88</v>
      </c>
      <c r="T36" s="16">
        <f t="shared" si="1"/>
        <v>36</v>
      </c>
      <c r="U36" s="53">
        <v>430</v>
      </c>
      <c r="V36" s="16">
        <f t="shared" si="2"/>
        <v>3096</v>
      </c>
      <c r="W36" s="53">
        <v>2</v>
      </c>
      <c r="X36" s="57" t="s">
        <v>46</v>
      </c>
      <c r="Y36" s="57" t="s">
        <v>55</v>
      </c>
      <c r="Z36" s="54" t="s">
        <v>78</v>
      </c>
      <c r="AA36" s="57" t="s">
        <v>47</v>
      </c>
      <c r="AB36" s="54" t="s">
        <v>158</v>
      </c>
    </row>
    <row r="37" spans="1:28" x14ac:dyDescent="0.15">
      <c r="A37" s="57" t="s">
        <v>56</v>
      </c>
      <c r="B37" s="57" t="s">
        <v>232</v>
      </c>
      <c r="C37" s="54">
        <v>2019</v>
      </c>
      <c r="D37" s="97" t="s">
        <v>233</v>
      </c>
      <c r="E37" s="54" t="s">
        <v>162</v>
      </c>
      <c r="F37" s="54" t="s">
        <v>247</v>
      </c>
      <c r="G37" s="57" t="s">
        <v>42</v>
      </c>
      <c r="H37" s="54" t="s">
        <v>127</v>
      </c>
      <c r="I37" s="57" t="s">
        <v>159</v>
      </c>
      <c r="J37" s="54" t="s">
        <v>53</v>
      </c>
      <c r="K37" s="54" t="s">
        <v>54</v>
      </c>
      <c r="L37" s="53">
        <v>3</v>
      </c>
      <c r="N37" s="53">
        <v>5</v>
      </c>
      <c r="O37" s="53">
        <v>0.7</v>
      </c>
      <c r="P37" s="53">
        <v>0.7</v>
      </c>
      <c r="Q37" s="16">
        <f t="shared" si="0"/>
        <v>0.7</v>
      </c>
      <c r="R37" s="53">
        <v>13.3</v>
      </c>
      <c r="S37" s="53">
        <v>80</v>
      </c>
      <c r="T37" s="16">
        <f t="shared" si="1"/>
        <v>39</v>
      </c>
      <c r="U37" s="53">
        <v>430</v>
      </c>
      <c r="V37" s="16">
        <f t="shared" si="2"/>
        <v>3354</v>
      </c>
      <c r="W37" s="53">
        <v>2</v>
      </c>
      <c r="X37" s="57" t="s">
        <v>46</v>
      </c>
      <c r="Y37" s="57" t="s">
        <v>55</v>
      </c>
      <c r="Z37" s="54" t="s">
        <v>78</v>
      </c>
      <c r="AA37" s="57" t="s">
        <v>47</v>
      </c>
      <c r="AB37" s="54" t="s">
        <v>158</v>
      </c>
    </row>
    <row r="38" spans="1:28" x14ac:dyDescent="0.15">
      <c r="A38" s="57" t="s">
        <v>56</v>
      </c>
      <c r="B38" s="57" t="s">
        <v>232</v>
      </c>
      <c r="C38" s="54">
        <v>2019</v>
      </c>
      <c r="D38" s="97" t="s">
        <v>233</v>
      </c>
      <c r="E38" s="54" t="s">
        <v>162</v>
      </c>
      <c r="F38" s="54" t="s">
        <v>247</v>
      </c>
      <c r="G38" s="57" t="s">
        <v>42</v>
      </c>
      <c r="H38" s="54" t="s">
        <v>165</v>
      </c>
      <c r="I38" s="57" t="s">
        <v>159</v>
      </c>
      <c r="J38" s="54" t="s">
        <v>38</v>
      </c>
      <c r="K38" s="54" t="s">
        <v>161</v>
      </c>
      <c r="L38" s="53">
        <v>1</v>
      </c>
      <c r="N38" s="53">
        <v>1</v>
      </c>
      <c r="O38" s="53">
        <v>0.75</v>
      </c>
      <c r="P38" s="53">
        <v>0.9</v>
      </c>
      <c r="Q38" s="16">
        <f t="shared" si="0"/>
        <v>0.82499999999999996</v>
      </c>
      <c r="R38" s="53">
        <v>13.1</v>
      </c>
      <c r="S38" s="53">
        <v>107</v>
      </c>
      <c r="T38" s="16">
        <f t="shared" si="1"/>
        <v>33</v>
      </c>
      <c r="U38" s="53">
        <v>106</v>
      </c>
      <c r="V38" s="16">
        <f t="shared" si="2"/>
        <v>3498</v>
      </c>
      <c r="W38" s="53">
        <v>2</v>
      </c>
      <c r="X38" s="57" t="s">
        <v>46</v>
      </c>
      <c r="Y38" s="57" t="s">
        <v>55</v>
      </c>
      <c r="Z38" s="54" t="s">
        <v>78</v>
      </c>
      <c r="AA38" s="57" t="s">
        <v>47</v>
      </c>
      <c r="AB38" s="54" t="s">
        <v>158</v>
      </c>
    </row>
    <row r="39" spans="1:28" x14ac:dyDescent="0.15">
      <c r="A39" s="57" t="s">
        <v>56</v>
      </c>
      <c r="B39" s="57" t="s">
        <v>232</v>
      </c>
      <c r="C39" s="54">
        <v>2019</v>
      </c>
      <c r="D39" s="97" t="s">
        <v>233</v>
      </c>
      <c r="E39" s="54" t="s">
        <v>162</v>
      </c>
      <c r="F39" s="54" t="s">
        <v>247</v>
      </c>
      <c r="G39" s="57" t="s">
        <v>42</v>
      </c>
      <c r="H39" s="54" t="s">
        <v>165</v>
      </c>
      <c r="I39" s="57" t="s">
        <v>159</v>
      </c>
      <c r="J39" s="54" t="s">
        <v>38</v>
      </c>
      <c r="K39" s="54" t="s">
        <v>161</v>
      </c>
      <c r="L39" s="53">
        <v>2</v>
      </c>
      <c r="N39" s="53">
        <v>1</v>
      </c>
      <c r="O39" s="53">
        <v>0.85</v>
      </c>
      <c r="P39" s="53">
        <v>0.85</v>
      </c>
      <c r="Q39" s="16">
        <f t="shared" si="0"/>
        <v>0.85</v>
      </c>
      <c r="R39" s="53">
        <v>13.8</v>
      </c>
      <c r="S39" s="53">
        <v>112</v>
      </c>
      <c r="T39" s="16">
        <f t="shared" si="1"/>
        <v>33</v>
      </c>
      <c r="U39" s="53">
        <v>106</v>
      </c>
      <c r="V39" s="16">
        <f t="shared" si="2"/>
        <v>3498</v>
      </c>
      <c r="W39" s="53">
        <v>2</v>
      </c>
      <c r="X39" s="57" t="s">
        <v>46</v>
      </c>
      <c r="Y39" s="57" t="s">
        <v>55</v>
      </c>
      <c r="Z39" s="54" t="s">
        <v>78</v>
      </c>
      <c r="AA39" s="57" t="s">
        <v>47</v>
      </c>
      <c r="AB39" s="54" t="s">
        <v>158</v>
      </c>
    </row>
    <row r="40" spans="1:28" x14ac:dyDescent="0.15">
      <c r="A40" s="57" t="s">
        <v>56</v>
      </c>
      <c r="B40" s="57" t="s">
        <v>232</v>
      </c>
      <c r="C40" s="54">
        <v>2019</v>
      </c>
      <c r="D40" s="97" t="s">
        <v>233</v>
      </c>
      <c r="E40" s="54" t="s">
        <v>162</v>
      </c>
      <c r="F40" s="54" t="s">
        <v>247</v>
      </c>
      <c r="G40" s="57" t="s">
        <v>42</v>
      </c>
      <c r="H40" s="54" t="s">
        <v>165</v>
      </c>
      <c r="I40" s="57" t="s">
        <v>159</v>
      </c>
      <c r="J40" s="54" t="s">
        <v>38</v>
      </c>
      <c r="K40" s="54" t="s">
        <v>161</v>
      </c>
      <c r="L40" s="53">
        <v>3</v>
      </c>
      <c r="N40" s="53">
        <v>1</v>
      </c>
      <c r="O40" s="53">
        <v>0.75</v>
      </c>
      <c r="P40" s="53">
        <v>0.75</v>
      </c>
      <c r="Q40" s="16">
        <f t="shared" si="0"/>
        <v>0.75</v>
      </c>
      <c r="R40" s="53">
        <v>13</v>
      </c>
      <c r="S40" s="53">
        <v>109</v>
      </c>
      <c r="T40" s="16">
        <f t="shared" si="1"/>
        <v>33</v>
      </c>
      <c r="U40" s="53">
        <v>106</v>
      </c>
      <c r="V40" s="16">
        <f t="shared" si="2"/>
        <v>3498</v>
      </c>
      <c r="W40" s="53">
        <v>2</v>
      </c>
      <c r="X40" s="57" t="s">
        <v>46</v>
      </c>
      <c r="Y40" s="57" t="s">
        <v>55</v>
      </c>
      <c r="Z40" s="54" t="s">
        <v>78</v>
      </c>
      <c r="AA40" s="57" t="s">
        <v>47</v>
      </c>
      <c r="AB40" s="54" t="s">
        <v>158</v>
      </c>
    </row>
    <row r="41" spans="1:28" x14ac:dyDescent="0.15">
      <c r="A41" s="57" t="s">
        <v>56</v>
      </c>
      <c r="B41" s="57" t="s">
        <v>232</v>
      </c>
      <c r="C41" s="54">
        <v>2019</v>
      </c>
      <c r="D41" s="97" t="s">
        <v>233</v>
      </c>
      <c r="E41" s="54" t="s">
        <v>162</v>
      </c>
      <c r="F41" s="54" t="s">
        <v>247</v>
      </c>
      <c r="G41" s="57" t="s">
        <v>42</v>
      </c>
      <c r="H41" s="54" t="s">
        <v>160</v>
      </c>
      <c r="I41" s="57" t="s">
        <v>159</v>
      </c>
      <c r="J41" s="54" t="s">
        <v>38</v>
      </c>
      <c r="K41" s="54" t="s">
        <v>161</v>
      </c>
      <c r="L41" s="53">
        <v>1</v>
      </c>
      <c r="N41" s="53">
        <v>1</v>
      </c>
      <c r="O41" s="53">
        <v>0.6</v>
      </c>
      <c r="P41" s="53">
        <v>0.65</v>
      </c>
      <c r="Q41" s="16">
        <f t="shared" si="0"/>
        <v>0.625</v>
      </c>
      <c r="R41" s="53">
        <v>17.100000000000001</v>
      </c>
      <c r="S41" s="53">
        <v>120</v>
      </c>
      <c r="T41" s="16">
        <f t="shared" si="1"/>
        <v>30</v>
      </c>
      <c r="U41" s="53">
        <v>138</v>
      </c>
      <c r="V41" s="16">
        <f t="shared" si="2"/>
        <v>4140</v>
      </c>
      <c r="W41" s="53">
        <v>2</v>
      </c>
      <c r="X41" s="57" t="s">
        <v>46</v>
      </c>
      <c r="Y41" s="57" t="s">
        <v>55</v>
      </c>
      <c r="Z41" s="54" t="s">
        <v>78</v>
      </c>
      <c r="AA41" s="57" t="s">
        <v>47</v>
      </c>
      <c r="AB41" s="54" t="s">
        <v>158</v>
      </c>
    </row>
    <row r="42" spans="1:28" x14ac:dyDescent="0.15">
      <c r="A42" s="57" t="s">
        <v>56</v>
      </c>
      <c r="B42" s="57" t="s">
        <v>232</v>
      </c>
      <c r="C42" s="54">
        <v>2019</v>
      </c>
      <c r="D42" s="97" t="s">
        <v>233</v>
      </c>
      <c r="E42" s="54" t="s">
        <v>162</v>
      </c>
      <c r="F42" s="54" t="s">
        <v>247</v>
      </c>
      <c r="G42" s="57" t="s">
        <v>42</v>
      </c>
      <c r="H42" s="54" t="s">
        <v>160</v>
      </c>
      <c r="I42" s="57" t="s">
        <v>159</v>
      </c>
      <c r="J42" s="54" t="s">
        <v>38</v>
      </c>
      <c r="K42" s="54" t="s">
        <v>161</v>
      </c>
      <c r="L42" s="53">
        <v>2</v>
      </c>
      <c r="N42" s="53">
        <v>1</v>
      </c>
      <c r="O42" s="53">
        <v>0.55000000000000004</v>
      </c>
      <c r="P42" s="53">
        <v>0.55000000000000004</v>
      </c>
      <c r="Q42" s="16">
        <f t="shared" si="0"/>
        <v>0.55000000000000004</v>
      </c>
      <c r="R42" s="53">
        <v>16.600000000000001</v>
      </c>
      <c r="S42" s="53">
        <v>118</v>
      </c>
      <c r="T42" s="16">
        <f t="shared" si="1"/>
        <v>30</v>
      </c>
      <c r="U42" s="53">
        <v>138</v>
      </c>
      <c r="V42" s="16">
        <f t="shared" si="2"/>
        <v>4140</v>
      </c>
      <c r="W42" s="53">
        <v>2</v>
      </c>
      <c r="X42" s="57" t="s">
        <v>46</v>
      </c>
      <c r="Y42" s="57" t="s">
        <v>55</v>
      </c>
      <c r="Z42" s="54" t="s">
        <v>78</v>
      </c>
      <c r="AA42" s="57" t="s">
        <v>47</v>
      </c>
      <c r="AB42" s="54" t="s">
        <v>158</v>
      </c>
    </row>
    <row r="43" spans="1:28" x14ac:dyDescent="0.15">
      <c r="A43" s="57" t="s">
        <v>56</v>
      </c>
      <c r="B43" s="57" t="s">
        <v>232</v>
      </c>
      <c r="C43" s="54">
        <v>2019</v>
      </c>
      <c r="D43" s="97" t="s">
        <v>233</v>
      </c>
      <c r="E43" s="54" t="s">
        <v>162</v>
      </c>
      <c r="F43" s="54" t="s">
        <v>247</v>
      </c>
      <c r="G43" s="57" t="s">
        <v>42</v>
      </c>
      <c r="H43" s="54" t="s">
        <v>160</v>
      </c>
      <c r="I43" s="57" t="s">
        <v>159</v>
      </c>
      <c r="J43" s="54" t="s">
        <v>38</v>
      </c>
      <c r="K43" s="54" t="s">
        <v>161</v>
      </c>
      <c r="L43" s="53">
        <v>3</v>
      </c>
      <c r="N43" s="53">
        <v>1</v>
      </c>
      <c r="O43" s="53">
        <v>0.55000000000000004</v>
      </c>
      <c r="P43" s="53">
        <v>0.55000000000000004</v>
      </c>
      <c r="Q43" s="16">
        <f t="shared" si="0"/>
        <v>0.55000000000000004</v>
      </c>
      <c r="R43" s="53">
        <v>13.5</v>
      </c>
      <c r="S43" s="53">
        <v>116</v>
      </c>
      <c r="T43" s="16">
        <f t="shared" si="1"/>
        <v>30</v>
      </c>
      <c r="U43" s="53">
        <v>138</v>
      </c>
      <c r="V43" s="16">
        <f t="shared" si="2"/>
        <v>4140</v>
      </c>
      <c r="W43" s="53">
        <v>2</v>
      </c>
      <c r="X43" s="57" t="s">
        <v>46</v>
      </c>
      <c r="Y43" s="57" t="s">
        <v>55</v>
      </c>
      <c r="Z43" s="54" t="s">
        <v>78</v>
      </c>
      <c r="AA43" s="57" t="s">
        <v>47</v>
      </c>
      <c r="AB43" s="54" t="s">
        <v>158</v>
      </c>
    </row>
    <row r="44" spans="1:28" x14ac:dyDescent="0.15">
      <c r="A44" s="57" t="s">
        <v>56</v>
      </c>
      <c r="B44" s="57" t="s">
        <v>232</v>
      </c>
      <c r="C44" s="54">
        <v>2019</v>
      </c>
      <c r="D44" s="97" t="s">
        <v>233</v>
      </c>
      <c r="E44" s="54" t="s">
        <v>255</v>
      </c>
      <c r="F44" s="54" t="s">
        <v>247</v>
      </c>
      <c r="G44" s="57" t="s">
        <v>42</v>
      </c>
      <c r="H44" s="54" t="s">
        <v>165</v>
      </c>
      <c r="I44" s="57" t="s">
        <v>159</v>
      </c>
      <c r="J44" s="54" t="s">
        <v>38</v>
      </c>
      <c r="K44" s="54" t="s">
        <v>161</v>
      </c>
      <c r="L44" s="53">
        <v>1</v>
      </c>
      <c r="N44" s="53">
        <v>1</v>
      </c>
      <c r="O44" s="53">
        <v>0.85</v>
      </c>
      <c r="P44" s="53">
        <v>0.85</v>
      </c>
      <c r="Q44" s="16">
        <f t="shared" si="0"/>
        <v>0.85</v>
      </c>
      <c r="R44" s="53">
        <v>14.5</v>
      </c>
      <c r="S44" s="53">
        <v>136</v>
      </c>
      <c r="T44" s="16">
        <f t="shared" si="1"/>
        <v>25</v>
      </c>
      <c r="U44" s="53">
        <v>138</v>
      </c>
      <c r="V44" s="16">
        <f t="shared" si="2"/>
        <v>3450</v>
      </c>
      <c r="W44" s="53">
        <v>1</v>
      </c>
      <c r="X44" s="57" t="s">
        <v>39</v>
      </c>
      <c r="Y44" s="57" t="s">
        <v>40</v>
      </c>
      <c r="Z44" s="54" t="s">
        <v>69</v>
      </c>
      <c r="AA44" s="57" t="s">
        <v>90</v>
      </c>
      <c r="AB44" s="54" t="s">
        <v>158</v>
      </c>
    </row>
    <row r="45" spans="1:28" x14ac:dyDescent="0.15">
      <c r="A45" s="57" t="s">
        <v>56</v>
      </c>
      <c r="B45" s="57" t="s">
        <v>232</v>
      </c>
      <c r="C45" s="54">
        <v>2019</v>
      </c>
      <c r="D45" s="97" t="s">
        <v>233</v>
      </c>
      <c r="E45" s="54" t="s">
        <v>255</v>
      </c>
      <c r="F45" s="54" t="s">
        <v>247</v>
      </c>
      <c r="G45" s="57" t="s">
        <v>42</v>
      </c>
      <c r="H45" s="54" t="s">
        <v>165</v>
      </c>
      <c r="I45" s="57" t="s">
        <v>159</v>
      </c>
      <c r="J45" s="54" t="s">
        <v>38</v>
      </c>
      <c r="K45" s="54" t="s">
        <v>161</v>
      </c>
      <c r="L45" s="53">
        <v>2</v>
      </c>
      <c r="N45" s="53">
        <v>1</v>
      </c>
      <c r="O45" s="53">
        <v>0.5</v>
      </c>
      <c r="P45" s="53">
        <v>0.55000000000000004</v>
      </c>
      <c r="Q45" s="16">
        <f t="shared" si="0"/>
        <v>0.52500000000000002</v>
      </c>
      <c r="R45" s="53">
        <v>12.9</v>
      </c>
      <c r="S45" s="53">
        <v>125</v>
      </c>
      <c r="T45" s="16">
        <f t="shared" si="1"/>
        <v>27</v>
      </c>
      <c r="U45" s="53">
        <v>138</v>
      </c>
      <c r="V45" s="16">
        <f t="shared" si="2"/>
        <v>3726</v>
      </c>
      <c r="W45" s="53">
        <v>1</v>
      </c>
      <c r="X45" s="57" t="s">
        <v>39</v>
      </c>
      <c r="Y45" s="57" t="s">
        <v>40</v>
      </c>
      <c r="Z45" s="54" t="s">
        <v>69</v>
      </c>
      <c r="AA45" s="57" t="s">
        <v>90</v>
      </c>
      <c r="AB45" s="54" t="s">
        <v>158</v>
      </c>
    </row>
    <row r="46" spans="1:28" x14ac:dyDescent="0.15">
      <c r="A46" s="57" t="s">
        <v>56</v>
      </c>
      <c r="B46" s="57" t="s">
        <v>232</v>
      </c>
      <c r="C46" s="54">
        <v>2019</v>
      </c>
      <c r="D46" s="97" t="s">
        <v>233</v>
      </c>
      <c r="E46" s="54" t="s">
        <v>255</v>
      </c>
      <c r="F46" s="54" t="s">
        <v>247</v>
      </c>
      <c r="G46" s="57" t="s">
        <v>42</v>
      </c>
      <c r="H46" s="54" t="s">
        <v>165</v>
      </c>
      <c r="I46" s="57" t="s">
        <v>159</v>
      </c>
      <c r="J46" s="54" t="s">
        <v>38</v>
      </c>
      <c r="K46" s="54" t="s">
        <v>161</v>
      </c>
      <c r="L46" s="53">
        <v>3</v>
      </c>
      <c r="N46" s="53">
        <v>1</v>
      </c>
      <c r="O46" s="53">
        <v>0.65</v>
      </c>
      <c r="P46" s="53">
        <v>0.6</v>
      </c>
      <c r="Q46" s="16">
        <f t="shared" si="0"/>
        <v>0.625</v>
      </c>
      <c r="R46" s="53">
        <v>14.1</v>
      </c>
      <c r="S46" s="53">
        <v>132</v>
      </c>
      <c r="T46" s="16">
        <f t="shared" si="1"/>
        <v>25</v>
      </c>
      <c r="U46" s="53">
        <v>138</v>
      </c>
      <c r="V46" s="16">
        <f t="shared" si="2"/>
        <v>3450</v>
      </c>
      <c r="W46" s="53">
        <v>1</v>
      </c>
      <c r="X46" s="57" t="s">
        <v>39</v>
      </c>
      <c r="Y46" s="57" t="s">
        <v>40</v>
      </c>
      <c r="Z46" s="54" t="s">
        <v>69</v>
      </c>
      <c r="AA46" s="57" t="s">
        <v>90</v>
      </c>
      <c r="AB46" s="54" t="s">
        <v>158</v>
      </c>
    </row>
    <row r="47" spans="1:28" x14ac:dyDescent="0.15">
      <c r="A47" s="57" t="s">
        <v>56</v>
      </c>
      <c r="B47" s="57" t="s">
        <v>232</v>
      </c>
      <c r="C47" s="54">
        <v>2019</v>
      </c>
      <c r="D47" s="97" t="s">
        <v>233</v>
      </c>
      <c r="E47" s="54" t="s">
        <v>255</v>
      </c>
      <c r="F47" s="54" t="s">
        <v>247</v>
      </c>
      <c r="G47" s="57" t="s">
        <v>42</v>
      </c>
      <c r="H47" s="54" t="s">
        <v>160</v>
      </c>
      <c r="I47" s="57" t="s">
        <v>159</v>
      </c>
      <c r="J47" s="54" t="s">
        <v>38</v>
      </c>
      <c r="K47" s="54" t="s">
        <v>161</v>
      </c>
      <c r="L47" s="53">
        <v>1</v>
      </c>
      <c r="N47" s="53">
        <v>1</v>
      </c>
      <c r="O47" s="53">
        <v>0.7</v>
      </c>
      <c r="P47" s="53">
        <v>0.7</v>
      </c>
      <c r="Q47" s="16">
        <f t="shared" si="0"/>
        <v>0.7</v>
      </c>
      <c r="R47" s="53">
        <v>15.5</v>
      </c>
      <c r="S47" s="53">
        <v>132</v>
      </c>
      <c r="T47" s="16">
        <f t="shared" si="1"/>
        <v>25</v>
      </c>
      <c r="U47" s="53">
        <v>150</v>
      </c>
      <c r="V47" s="16">
        <f t="shared" si="2"/>
        <v>3750</v>
      </c>
      <c r="W47" s="53">
        <v>1</v>
      </c>
      <c r="X47" s="57" t="s">
        <v>39</v>
      </c>
      <c r="Y47" s="57" t="s">
        <v>40</v>
      </c>
      <c r="Z47" s="54" t="s">
        <v>69</v>
      </c>
      <c r="AA47" s="57" t="s">
        <v>90</v>
      </c>
      <c r="AB47" s="54" t="s">
        <v>158</v>
      </c>
    </row>
    <row r="48" spans="1:28" x14ac:dyDescent="0.15">
      <c r="A48" s="57" t="s">
        <v>56</v>
      </c>
      <c r="B48" s="57" t="s">
        <v>232</v>
      </c>
      <c r="C48" s="54">
        <v>2019</v>
      </c>
      <c r="D48" s="97" t="s">
        <v>233</v>
      </c>
      <c r="E48" s="54" t="s">
        <v>255</v>
      </c>
      <c r="F48" s="54" t="s">
        <v>247</v>
      </c>
      <c r="G48" s="57" t="s">
        <v>42</v>
      </c>
      <c r="H48" s="54" t="s">
        <v>160</v>
      </c>
      <c r="I48" s="57" t="s">
        <v>159</v>
      </c>
      <c r="J48" s="54" t="s">
        <v>38</v>
      </c>
      <c r="K48" s="54" t="s">
        <v>161</v>
      </c>
      <c r="L48" s="53">
        <v>2</v>
      </c>
      <c r="N48" s="53">
        <v>1</v>
      </c>
      <c r="O48" s="53">
        <v>0.65</v>
      </c>
      <c r="P48" s="53">
        <v>0.65</v>
      </c>
      <c r="Q48" s="16">
        <f t="shared" si="0"/>
        <v>0.65</v>
      </c>
      <c r="R48" s="53">
        <v>15.5</v>
      </c>
      <c r="S48" s="53">
        <v>131</v>
      </c>
      <c r="T48" s="16">
        <f t="shared" si="1"/>
        <v>25</v>
      </c>
      <c r="U48" s="53">
        <v>150</v>
      </c>
      <c r="V48" s="16">
        <f t="shared" si="2"/>
        <v>3750</v>
      </c>
      <c r="W48" s="53">
        <v>1</v>
      </c>
      <c r="X48" s="57" t="s">
        <v>39</v>
      </c>
      <c r="Y48" s="57" t="s">
        <v>40</v>
      </c>
      <c r="Z48" s="54" t="s">
        <v>69</v>
      </c>
      <c r="AA48" s="57" t="s">
        <v>90</v>
      </c>
      <c r="AB48" s="54" t="s">
        <v>158</v>
      </c>
    </row>
    <row r="49" spans="1:28" x14ac:dyDescent="0.15">
      <c r="A49" s="57" t="s">
        <v>56</v>
      </c>
      <c r="B49" s="57" t="s">
        <v>232</v>
      </c>
      <c r="C49" s="54">
        <v>2019</v>
      </c>
      <c r="D49" s="97" t="s">
        <v>233</v>
      </c>
      <c r="E49" s="54" t="s">
        <v>255</v>
      </c>
      <c r="F49" s="54" t="s">
        <v>247</v>
      </c>
      <c r="G49" s="57" t="s">
        <v>42</v>
      </c>
      <c r="H49" s="54" t="s">
        <v>160</v>
      </c>
      <c r="I49" s="57" t="s">
        <v>159</v>
      </c>
      <c r="J49" s="54" t="s">
        <v>38</v>
      </c>
      <c r="K49" s="54" t="s">
        <v>161</v>
      </c>
      <c r="L49" s="53">
        <v>3</v>
      </c>
      <c r="N49" s="53">
        <v>1</v>
      </c>
      <c r="O49" s="53">
        <v>0.65</v>
      </c>
      <c r="P49" s="53">
        <v>0.65</v>
      </c>
      <c r="Q49" s="16">
        <f t="shared" si="0"/>
        <v>0.65</v>
      </c>
      <c r="R49" s="53">
        <v>15</v>
      </c>
      <c r="S49" s="53">
        <v>132</v>
      </c>
      <c r="T49" s="16">
        <f t="shared" si="1"/>
        <v>25</v>
      </c>
      <c r="U49" s="53">
        <v>150</v>
      </c>
      <c r="V49" s="16">
        <f t="shared" si="2"/>
        <v>3750</v>
      </c>
      <c r="W49" s="53">
        <v>1</v>
      </c>
      <c r="X49" s="57" t="s">
        <v>39</v>
      </c>
      <c r="Y49" s="57" t="s">
        <v>40</v>
      </c>
      <c r="Z49" s="54" t="s">
        <v>69</v>
      </c>
      <c r="AA49" s="57" t="s">
        <v>90</v>
      </c>
      <c r="AB49" s="54" t="s">
        <v>158</v>
      </c>
    </row>
    <row r="50" spans="1:28" x14ac:dyDescent="0.15">
      <c r="A50" s="57" t="s">
        <v>56</v>
      </c>
      <c r="B50" s="57" t="s">
        <v>232</v>
      </c>
      <c r="C50" s="54">
        <v>2019</v>
      </c>
      <c r="D50" s="97" t="s">
        <v>233</v>
      </c>
      <c r="E50" s="54" t="s">
        <v>256</v>
      </c>
      <c r="F50" s="54" t="s">
        <v>237</v>
      </c>
      <c r="G50" s="57" t="s">
        <v>42</v>
      </c>
      <c r="H50" s="54" t="s">
        <v>160</v>
      </c>
      <c r="I50" s="57" t="s">
        <v>159</v>
      </c>
      <c r="J50" s="54" t="s">
        <v>38</v>
      </c>
      <c r="K50" s="54" t="s">
        <v>161</v>
      </c>
      <c r="L50" s="53">
        <v>1</v>
      </c>
      <c r="N50" s="53">
        <v>4</v>
      </c>
      <c r="O50" s="53">
        <v>0.7</v>
      </c>
      <c r="P50" s="53">
        <v>0.7</v>
      </c>
      <c r="Q50" s="16">
        <f t="shared" si="0"/>
        <v>0.7</v>
      </c>
      <c r="R50" s="53">
        <v>16.399999999999999</v>
      </c>
      <c r="S50" s="53">
        <v>113</v>
      </c>
      <c r="T50" s="16">
        <f t="shared" si="1"/>
        <v>30</v>
      </c>
      <c r="U50" s="53">
        <v>429</v>
      </c>
      <c r="V50" s="16">
        <f t="shared" si="2"/>
        <v>3217.5</v>
      </c>
      <c r="W50" s="53">
        <v>2</v>
      </c>
      <c r="X50" s="57" t="s">
        <v>39</v>
      </c>
      <c r="Y50" s="57" t="s">
        <v>55</v>
      </c>
      <c r="Z50" s="53" t="s">
        <v>90</v>
      </c>
      <c r="AA50" s="57" t="s">
        <v>47</v>
      </c>
      <c r="AB50" s="54" t="s">
        <v>158</v>
      </c>
    </row>
    <row r="51" spans="1:28" x14ac:dyDescent="0.15">
      <c r="A51" s="57" t="s">
        <v>56</v>
      </c>
      <c r="B51" s="57" t="s">
        <v>232</v>
      </c>
      <c r="C51" s="54">
        <v>2019</v>
      </c>
      <c r="D51" s="97" t="s">
        <v>233</v>
      </c>
      <c r="E51" s="54" t="s">
        <v>256</v>
      </c>
      <c r="F51" s="54" t="s">
        <v>237</v>
      </c>
      <c r="G51" s="57" t="s">
        <v>42</v>
      </c>
      <c r="H51" s="54" t="s">
        <v>160</v>
      </c>
      <c r="I51" s="57" t="s">
        <v>159</v>
      </c>
      <c r="J51" s="54" t="s">
        <v>38</v>
      </c>
      <c r="K51" s="54" t="s">
        <v>161</v>
      </c>
      <c r="L51" s="53">
        <v>2</v>
      </c>
      <c r="N51" s="53">
        <v>4</v>
      </c>
      <c r="O51" s="53">
        <v>0.6</v>
      </c>
      <c r="P51" s="53">
        <v>0.6</v>
      </c>
      <c r="Q51" s="16">
        <f t="shared" si="0"/>
        <v>0.6</v>
      </c>
      <c r="R51" s="53">
        <v>17.8</v>
      </c>
      <c r="S51" s="53">
        <v>109</v>
      </c>
      <c r="T51" s="16">
        <f t="shared" si="1"/>
        <v>33</v>
      </c>
      <c r="U51" s="53">
        <v>429</v>
      </c>
      <c r="V51" s="16">
        <f t="shared" si="2"/>
        <v>3539.25</v>
      </c>
      <c r="W51" s="53">
        <v>2</v>
      </c>
      <c r="X51" s="57" t="s">
        <v>39</v>
      </c>
      <c r="Y51" s="57" t="s">
        <v>55</v>
      </c>
      <c r="Z51" s="53" t="s">
        <v>90</v>
      </c>
      <c r="AA51" s="57" t="s">
        <v>47</v>
      </c>
      <c r="AB51" s="54" t="s">
        <v>158</v>
      </c>
    </row>
    <row r="52" spans="1:28" x14ac:dyDescent="0.15">
      <c r="A52" s="57" t="s">
        <v>56</v>
      </c>
      <c r="B52" s="57" t="s">
        <v>232</v>
      </c>
      <c r="C52" s="54">
        <v>2019</v>
      </c>
      <c r="D52" s="97" t="s">
        <v>233</v>
      </c>
      <c r="E52" s="54" t="s">
        <v>256</v>
      </c>
      <c r="F52" s="54" t="s">
        <v>237</v>
      </c>
      <c r="G52" s="57" t="s">
        <v>42</v>
      </c>
      <c r="H52" s="54" t="s">
        <v>160</v>
      </c>
      <c r="I52" s="57" t="s">
        <v>159</v>
      </c>
      <c r="J52" s="54" t="s">
        <v>38</v>
      </c>
      <c r="K52" s="54" t="s">
        <v>161</v>
      </c>
      <c r="L52" s="53">
        <v>3</v>
      </c>
      <c r="N52" s="53">
        <v>4</v>
      </c>
      <c r="O52" s="53">
        <v>0.6</v>
      </c>
      <c r="P52" s="53">
        <v>0.6</v>
      </c>
      <c r="Q52" s="16">
        <f t="shared" si="0"/>
        <v>0.6</v>
      </c>
      <c r="R52" s="53">
        <v>17</v>
      </c>
      <c r="S52" s="53">
        <v>113</v>
      </c>
      <c r="T52" s="16">
        <f t="shared" si="1"/>
        <v>30</v>
      </c>
      <c r="U52" s="53">
        <v>429</v>
      </c>
      <c r="V52" s="16">
        <f t="shared" si="2"/>
        <v>3217.5</v>
      </c>
      <c r="W52" s="53">
        <v>2</v>
      </c>
      <c r="X52" s="57" t="s">
        <v>39</v>
      </c>
      <c r="Y52" s="57" t="s">
        <v>55</v>
      </c>
      <c r="Z52" s="53" t="s">
        <v>90</v>
      </c>
      <c r="AA52" s="57" t="s">
        <v>47</v>
      </c>
      <c r="AB52" s="54" t="s">
        <v>158</v>
      </c>
    </row>
    <row r="53" spans="1:28" x14ac:dyDescent="0.15">
      <c r="A53" s="57" t="s">
        <v>56</v>
      </c>
      <c r="B53" s="57" t="s">
        <v>232</v>
      </c>
      <c r="C53" s="54">
        <v>2019</v>
      </c>
      <c r="D53" s="97" t="s">
        <v>233</v>
      </c>
      <c r="E53" s="54" t="s">
        <v>248</v>
      </c>
      <c r="F53" s="54" t="s">
        <v>250</v>
      </c>
      <c r="G53" s="57" t="s">
        <v>42</v>
      </c>
      <c r="H53" s="54" t="s">
        <v>165</v>
      </c>
      <c r="I53" s="57" t="s">
        <v>159</v>
      </c>
      <c r="J53" s="54" t="s">
        <v>38</v>
      </c>
      <c r="K53" s="54" t="s">
        <v>161</v>
      </c>
      <c r="L53" s="53">
        <v>1</v>
      </c>
      <c r="N53" s="53">
        <v>1</v>
      </c>
      <c r="O53" s="53">
        <v>0.55000000000000004</v>
      </c>
      <c r="P53" s="53">
        <v>0.55000000000000004</v>
      </c>
      <c r="Q53" s="16">
        <f t="shared" si="0"/>
        <v>0.55000000000000004</v>
      </c>
      <c r="R53" s="53">
        <v>14.8</v>
      </c>
      <c r="S53" s="53">
        <v>143</v>
      </c>
      <c r="T53" s="16">
        <f t="shared" si="1"/>
        <v>22</v>
      </c>
      <c r="U53" s="53">
        <v>127</v>
      </c>
      <c r="V53" s="16">
        <f t="shared" si="2"/>
        <v>2794</v>
      </c>
      <c r="W53" s="53">
        <v>6</v>
      </c>
      <c r="X53" s="57" t="s">
        <v>46</v>
      </c>
      <c r="Y53" s="57" t="s">
        <v>55</v>
      </c>
      <c r="Z53" s="53" t="s">
        <v>90</v>
      </c>
      <c r="AA53" s="57" t="s">
        <v>47</v>
      </c>
      <c r="AB53" s="54" t="s">
        <v>158</v>
      </c>
    </row>
    <row r="54" spans="1:28" x14ac:dyDescent="0.15">
      <c r="A54" s="57" t="s">
        <v>56</v>
      </c>
      <c r="B54" s="57" t="s">
        <v>232</v>
      </c>
      <c r="C54" s="54">
        <v>2019</v>
      </c>
      <c r="D54" s="97" t="s">
        <v>233</v>
      </c>
      <c r="E54" s="54" t="s">
        <v>248</v>
      </c>
      <c r="F54" s="54" t="s">
        <v>250</v>
      </c>
      <c r="G54" s="57" t="s">
        <v>42</v>
      </c>
      <c r="H54" s="54" t="s">
        <v>165</v>
      </c>
      <c r="I54" s="57" t="s">
        <v>159</v>
      </c>
      <c r="J54" s="54" t="s">
        <v>38</v>
      </c>
      <c r="K54" s="54" t="s">
        <v>161</v>
      </c>
      <c r="L54" s="53">
        <v>2</v>
      </c>
      <c r="N54" s="53">
        <v>1</v>
      </c>
      <c r="O54" s="53">
        <v>0.55000000000000004</v>
      </c>
      <c r="P54" s="53">
        <v>0.5</v>
      </c>
      <c r="Q54" s="16">
        <f t="shared" si="0"/>
        <v>0.52500000000000002</v>
      </c>
      <c r="R54" s="53">
        <v>13.5</v>
      </c>
      <c r="S54" s="53">
        <v>132</v>
      </c>
      <c r="T54" s="16">
        <f t="shared" si="1"/>
        <v>25</v>
      </c>
      <c r="U54" s="53">
        <v>127</v>
      </c>
      <c r="V54" s="16">
        <f t="shared" si="2"/>
        <v>3175</v>
      </c>
      <c r="W54" s="53">
        <v>6</v>
      </c>
      <c r="X54" s="57" t="s">
        <v>46</v>
      </c>
      <c r="Y54" s="57" t="s">
        <v>55</v>
      </c>
      <c r="Z54" s="53" t="s">
        <v>90</v>
      </c>
      <c r="AA54" s="57" t="s">
        <v>47</v>
      </c>
      <c r="AB54" s="54" t="s">
        <v>158</v>
      </c>
    </row>
    <row r="55" spans="1:28" x14ac:dyDescent="0.15">
      <c r="A55" s="57" t="s">
        <v>56</v>
      </c>
      <c r="B55" s="57" t="s">
        <v>232</v>
      </c>
      <c r="C55" s="54">
        <v>2019</v>
      </c>
      <c r="D55" s="97" t="s">
        <v>233</v>
      </c>
      <c r="E55" s="54" t="s">
        <v>248</v>
      </c>
      <c r="F55" s="54" t="s">
        <v>250</v>
      </c>
      <c r="G55" s="57" t="s">
        <v>42</v>
      </c>
      <c r="H55" s="54" t="s">
        <v>165</v>
      </c>
      <c r="I55" s="57" t="s">
        <v>159</v>
      </c>
      <c r="J55" s="54" t="s">
        <v>38</v>
      </c>
      <c r="K55" s="54" t="s">
        <v>161</v>
      </c>
      <c r="L55" s="53">
        <v>3</v>
      </c>
      <c r="N55" s="53">
        <v>1</v>
      </c>
      <c r="O55" s="53">
        <v>0.7</v>
      </c>
      <c r="P55" s="53">
        <v>0.65</v>
      </c>
      <c r="Q55" s="16">
        <f t="shared" si="0"/>
        <v>0.67500000000000004</v>
      </c>
      <c r="R55" s="53">
        <v>13.1</v>
      </c>
      <c r="S55" s="53">
        <v>147</v>
      </c>
      <c r="T55" s="16">
        <f t="shared" si="1"/>
        <v>22</v>
      </c>
      <c r="U55" s="53">
        <v>127</v>
      </c>
      <c r="V55" s="16">
        <f t="shared" si="2"/>
        <v>2794</v>
      </c>
      <c r="W55" s="53">
        <v>6</v>
      </c>
      <c r="X55" s="57" t="s">
        <v>46</v>
      </c>
      <c r="Y55" s="57" t="s">
        <v>55</v>
      </c>
      <c r="Z55" s="53" t="s">
        <v>90</v>
      </c>
      <c r="AA55" s="57" t="s">
        <v>47</v>
      </c>
      <c r="AB55" s="54" t="s">
        <v>158</v>
      </c>
    </row>
    <row r="56" spans="1:28" x14ac:dyDescent="0.15">
      <c r="A56" s="57" t="s">
        <v>56</v>
      </c>
      <c r="B56" s="57" t="s">
        <v>232</v>
      </c>
      <c r="C56" s="54">
        <v>2019</v>
      </c>
      <c r="D56" s="97" t="s">
        <v>233</v>
      </c>
      <c r="E56" s="54" t="s">
        <v>248</v>
      </c>
      <c r="F56" s="54" t="s">
        <v>250</v>
      </c>
      <c r="G56" s="57" t="s">
        <v>42</v>
      </c>
      <c r="H56" s="54" t="s">
        <v>160</v>
      </c>
      <c r="I56" s="57" t="s">
        <v>159</v>
      </c>
      <c r="J56" s="54" t="s">
        <v>38</v>
      </c>
      <c r="K56" s="54" t="s">
        <v>161</v>
      </c>
      <c r="L56" s="53">
        <v>1</v>
      </c>
      <c r="N56" s="53">
        <v>1</v>
      </c>
      <c r="O56" s="53">
        <v>0.55000000000000004</v>
      </c>
      <c r="P56" s="53">
        <v>0.55000000000000004</v>
      </c>
      <c r="Q56" s="16">
        <f t="shared" si="0"/>
        <v>0.55000000000000004</v>
      </c>
      <c r="R56" s="53">
        <v>16.100000000000001</v>
      </c>
      <c r="S56" s="53">
        <v>141</v>
      </c>
      <c r="T56" s="16">
        <f t="shared" si="1"/>
        <v>22</v>
      </c>
      <c r="U56" s="53">
        <v>127</v>
      </c>
      <c r="V56" s="16">
        <f t="shared" si="2"/>
        <v>2794</v>
      </c>
      <c r="W56" s="53">
        <v>4</v>
      </c>
      <c r="X56" s="57" t="s">
        <v>46</v>
      </c>
      <c r="Y56" s="57" t="s">
        <v>55</v>
      </c>
      <c r="Z56" s="53" t="s">
        <v>90</v>
      </c>
      <c r="AA56" s="57" t="s">
        <v>47</v>
      </c>
      <c r="AB56" s="54" t="s">
        <v>158</v>
      </c>
    </row>
    <row r="57" spans="1:28" x14ac:dyDescent="0.15">
      <c r="A57" s="57" t="s">
        <v>56</v>
      </c>
      <c r="B57" s="57" t="s">
        <v>232</v>
      </c>
      <c r="C57" s="54">
        <v>2019</v>
      </c>
      <c r="D57" s="97" t="s">
        <v>233</v>
      </c>
      <c r="E57" s="54" t="s">
        <v>248</v>
      </c>
      <c r="F57" s="54" t="s">
        <v>250</v>
      </c>
      <c r="G57" s="57" t="s">
        <v>42</v>
      </c>
      <c r="H57" s="54" t="s">
        <v>160</v>
      </c>
      <c r="I57" s="57" t="s">
        <v>159</v>
      </c>
      <c r="J57" s="54" t="s">
        <v>38</v>
      </c>
      <c r="K57" s="54" t="s">
        <v>161</v>
      </c>
      <c r="L57" s="53">
        <v>2</v>
      </c>
      <c r="N57" s="53">
        <v>1</v>
      </c>
      <c r="O57" s="53">
        <v>0.7</v>
      </c>
      <c r="P57" s="53">
        <v>0.55000000000000004</v>
      </c>
      <c r="Q57" s="16">
        <f t="shared" si="0"/>
        <v>0.625</v>
      </c>
      <c r="R57" s="53">
        <v>16.399999999999999</v>
      </c>
      <c r="S57" s="53">
        <v>128</v>
      </c>
      <c r="T57" s="16">
        <f t="shared" si="1"/>
        <v>27</v>
      </c>
      <c r="U57" s="53">
        <v>127</v>
      </c>
      <c r="V57" s="16">
        <f t="shared" si="2"/>
        <v>3429</v>
      </c>
      <c r="W57" s="53">
        <v>4</v>
      </c>
      <c r="X57" s="57" t="s">
        <v>46</v>
      </c>
      <c r="Y57" s="57" t="s">
        <v>55</v>
      </c>
      <c r="Z57" s="53" t="s">
        <v>90</v>
      </c>
      <c r="AA57" s="57" t="s">
        <v>47</v>
      </c>
      <c r="AB57" s="54" t="s">
        <v>158</v>
      </c>
    </row>
    <row r="58" spans="1:28" x14ac:dyDescent="0.15">
      <c r="A58" s="57" t="s">
        <v>56</v>
      </c>
      <c r="B58" s="57" t="s">
        <v>232</v>
      </c>
      <c r="C58" s="54">
        <v>2019</v>
      </c>
      <c r="D58" s="97" t="s">
        <v>233</v>
      </c>
      <c r="E58" s="54" t="s">
        <v>248</v>
      </c>
      <c r="F58" s="54" t="s">
        <v>250</v>
      </c>
      <c r="G58" s="57" t="s">
        <v>42</v>
      </c>
      <c r="H58" s="54" t="s">
        <v>160</v>
      </c>
      <c r="I58" s="57" t="s">
        <v>159</v>
      </c>
      <c r="J58" s="54" t="s">
        <v>38</v>
      </c>
      <c r="K58" s="54" t="s">
        <v>161</v>
      </c>
      <c r="L58" s="53">
        <v>3</v>
      </c>
      <c r="N58" s="53">
        <v>1</v>
      </c>
      <c r="O58" s="53">
        <v>0.65</v>
      </c>
      <c r="P58" s="53">
        <v>0.6</v>
      </c>
      <c r="Q58" s="16">
        <f t="shared" si="0"/>
        <v>0.625</v>
      </c>
      <c r="R58" s="53">
        <v>17.2</v>
      </c>
      <c r="S58" s="53">
        <v>142</v>
      </c>
      <c r="T58" s="16">
        <f t="shared" si="1"/>
        <v>22</v>
      </c>
      <c r="U58" s="53">
        <v>127</v>
      </c>
      <c r="V58" s="16">
        <f t="shared" si="2"/>
        <v>2794</v>
      </c>
      <c r="W58" s="53">
        <v>4</v>
      </c>
      <c r="X58" s="57" t="s">
        <v>46</v>
      </c>
      <c r="Y58" s="57" t="s">
        <v>55</v>
      </c>
      <c r="Z58" s="53" t="s">
        <v>90</v>
      </c>
      <c r="AA58" s="57" t="s">
        <v>47</v>
      </c>
      <c r="AB58" s="54" t="s">
        <v>158</v>
      </c>
    </row>
    <row r="59" spans="1:28" x14ac:dyDescent="0.15">
      <c r="A59" s="57" t="s">
        <v>56</v>
      </c>
      <c r="B59" s="57" t="s">
        <v>232</v>
      </c>
      <c r="C59" s="54">
        <v>2019</v>
      </c>
      <c r="D59" s="97" t="s">
        <v>233</v>
      </c>
      <c r="E59" s="54" t="s">
        <v>257</v>
      </c>
      <c r="F59" s="54" t="s">
        <v>250</v>
      </c>
      <c r="G59" s="57" t="s">
        <v>42</v>
      </c>
      <c r="H59" s="54" t="s">
        <v>160</v>
      </c>
      <c r="I59" s="57" t="s">
        <v>159</v>
      </c>
      <c r="J59" s="54" t="s">
        <v>38</v>
      </c>
      <c r="K59" s="54" t="s">
        <v>161</v>
      </c>
      <c r="L59" s="53">
        <v>1</v>
      </c>
      <c r="N59" s="53">
        <v>1</v>
      </c>
      <c r="O59" s="53">
        <v>0.9</v>
      </c>
      <c r="P59" s="53">
        <v>0.85</v>
      </c>
      <c r="Q59" s="16">
        <f t="shared" si="0"/>
        <v>0.875</v>
      </c>
      <c r="R59" s="53">
        <v>14.4</v>
      </c>
      <c r="S59" s="53">
        <v>125</v>
      </c>
      <c r="T59" s="16">
        <f t="shared" si="1"/>
        <v>27</v>
      </c>
      <c r="U59" s="53">
        <v>138</v>
      </c>
      <c r="V59" s="16">
        <f t="shared" si="2"/>
        <v>3726</v>
      </c>
      <c r="W59" s="53">
        <v>6</v>
      </c>
      <c r="X59" s="57" t="s">
        <v>46</v>
      </c>
      <c r="Y59" s="57" t="s">
        <v>55</v>
      </c>
      <c r="Z59" s="53" t="s">
        <v>47</v>
      </c>
      <c r="AA59" s="57" t="s">
        <v>90</v>
      </c>
      <c r="AB59" s="54" t="s">
        <v>158</v>
      </c>
    </row>
    <row r="60" spans="1:28" x14ac:dyDescent="0.15">
      <c r="A60" s="57" t="s">
        <v>56</v>
      </c>
      <c r="B60" s="57" t="s">
        <v>232</v>
      </c>
      <c r="C60" s="54">
        <v>2019</v>
      </c>
      <c r="D60" s="97" t="s">
        <v>233</v>
      </c>
      <c r="E60" s="54" t="s">
        <v>257</v>
      </c>
      <c r="F60" s="54" t="s">
        <v>250</v>
      </c>
      <c r="G60" s="57" t="s">
        <v>42</v>
      </c>
      <c r="H60" s="54" t="s">
        <v>160</v>
      </c>
      <c r="I60" s="57" t="s">
        <v>159</v>
      </c>
      <c r="J60" s="54" t="s">
        <v>38</v>
      </c>
      <c r="K60" s="54" t="s">
        <v>161</v>
      </c>
      <c r="L60" s="53">
        <v>2</v>
      </c>
      <c r="N60" s="53">
        <v>1</v>
      </c>
      <c r="O60" s="53">
        <v>0.6</v>
      </c>
      <c r="P60" s="53">
        <v>0.55000000000000004</v>
      </c>
      <c r="Q60" s="16">
        <f t="shared" si="0"/>
        <v>0.57499999999999996</v>
      </c>
      <c r="R60" s="53">
        <v>14.6</v>
      </c>
      <c r="S60" s="53">
        <v>128</v>
      </c>
      <c r="T60" s="16">
        <f t="shared" si="1"/>
        <v>27</v>
      </c>
      <c r="U60" s="53">
        <v>138</v>
      </c>
      <c r="V60" s="16">
        <f t="shared" si="2"/>
        <v>3726</v>
      </c>
      <c r="W60" s="53">
        <v>6</v>
      </c>
      <c r="X60" s="57" t="s">
        <v>46</v>
      </c>
      <c r="Y60" s="57" t="s">
        <v>55</v>
      </c>
      <c r="Z60" s="53" t="s">
        <v>47</v>
      </c>
      <c r="AA60" s="57" t="s">
        <v>90</v>
      </c>
      <c r="AB60" s="54" t="s">
        <v>158</v>
      </c>
    </row>
    <row r="61" spans="1:28" x14ac:dyDescent="0.15">
      <c r="A61" s="57" t="s">
        <v>56</v>
      </c>
      <c r="B61" s="57" t="s">
        <v>232</v>
      </c>
      <c r="C61" s="54">
        <v>2019</v>
      </c>
      <c r="D61" s="97" t="s">
        <v>233</v>
      </c>
      <c r="E61" s="54" t="s">
        <v>257</v>
      </c>
      <c r="F61" s="54" t="s">
        <v>250</v>
      </c>
      <c r="G61" s="57" t="s">
        <v>42</v>
      </c>
      <c r="H61" s="54" t="s">
        <v>160</v>
      </c>
      <c r="I61" s="57" t="s">
        <v>159</v>
      </c>
      <c r="J61" s="54" t="s">
        <v>38</v>
      </c>
      <c r="K61" s="54" t="s">
        <v>161</v>
      </c>
      <c r="L61" s="53">
        <v>3</v>
      </c>
      <c r="N61" s="53">
        <v>1</v>
      </c>
      <c r="O61" s="53">
        <v>0.75</v>
      </c>
      <c r="P61" s="53">
        <v>0.7</v>
      </c>
      <c r="Q61" s="16">
        <f t="shared" si="0"/>
        <v>0.72499999999999998</v>
      </c>
      <c r="R61" s="53">
        <v>12.4</v>
      </c>
      <c r="S61" s="53">
        <v>130</v>
      </c>
      <c r="T61" s="16">
        <f t="shared" si="1"/>
        <v>25</v>
      </c>
      <c r="U61" s="53">
        <v>138</v>
      </c>
      <c r="V61" s="16">
        <f t="shared" si="2"/>
        <v>3450</v>
      </c>
      <c r="W61" s="53">
        <v>6</v>
      </c>
      <c r="X61" s="57" t="s">
        <v>46</v>
      </c>
      <c r="Y61" s="57" t="s">
        <v>55</v>
      </c>
      <c r="Z61" s="53" t="s">
        <v>47</v>
      </c>
      <c r="AA61" s="57" t="s">
        <v>90</v>
      </c>
      <c r="AB61" s="54" t="s">
        <v>158</v>
      </c>
    </row>
    <row r="62" spans="1:28" x14ac:dyDescent="0.15">
      <c r="A62" s="57" t="s">
        <v>56</v>
      </c>
      <c r="B62" s="57" t="s">
        <v>232</v>
      </c>
      <c r="C62" s="54">
        <v>2019</v>
      </c>
      <c r="D62" s="97" t="s">
        <v>233</v>
      </c>
      <c r="E62" s="54" t="s">
        <v>257</v>
      </c>
      <c r="F62" s="54" t="s">
        <v>250</v>
      </c>
      <c r="G62" s="57" t="s">
        <v>42</v>
      </c>
      <c r="H62" s="54" t="s">
        <v>165</v>
      </c>
      <c r="I62" s="57" t="s">
        <v>159</v>
      </c>
      <c r="J62" s="54" t="s">
        <v>38</v>
      </c>
      <c r="K62" s="54" t="s">
        <v>161</v>
      </c>
      <c r="L62" s="53">
        <v>1</v>
      </c>
      <c r="N62" s="53">
        <v>5</v>
      </c>
      <c r="O62" s="53">
        <v>0.65</v>
      </c>
      <c r="P62" s="53">
        <v>0.65</v>
      </c>
      <c r="Q62" s="16">
        <f t="shared" si="0"/>
        <v>0.65</v>
      </c>
      <c r="R62" s="53">
        <v>16.600000000000001</v>
      </c>
      <c r="S62" s="53">
        <v>112</v>
      </c>
      <c r="T62" s="16">
        <f t="shared" si="1"/>
        <v>33</v>
      </c>
      <c r="U62" s="53">
        <v>646</v>
      </c>
      <c r="V62" s="16">
        <f t="shared" si="2"/>
        <v>4263.5999999999995</v>
      </c>
      <c r="W62" s="53">
        <v>12</v>
      </c>
      <c r="X62" s="57" t="s">
        <v>46</v>
      </c>
      <c r="Y62" s="57" t="s">
        <v>55</v>
      </c>
      <c r="Z62" s="53" t="s">
        <v>47</v>
      </c>
      <c r="AA62" s="57" t="s">
        <v>90</v>
      </c>
      <c r="AB62" s="54" t="s">
        <v>158</v>
      </c>
    </row>
    <row r="63" spans="1:28" x14ac:dyDescent="0.15">
      <c r="A63" s="57" t="s">
        <v>56</v>
      </c>
      <c r="B63" s="57" t="s">
        <v>232</v>
      </c>
      <c r="C63" s="54">
        <v>2019</v>
      </c>
      <c r="D63" s="97" t="s">
        <v>233</v>
      </c>
      <c r="E63" s="54" t="s">
        <v>257</v>
      </c>
      <c r="F63" s="54" t="s">
        <v>250</v>
      </c>
      <c r="G63" s="57" t="s">
        <v>42</v>
      </c>
      <c r="H63" s="54" t="s">
        <v>165</v>
      </c>
      <c r="I63" s="57" t="s">
        <v>159</v>
      </c>
      <c r="J63" s="54" t="s">
        <v>38</v>
      </c>
      <c r="K63" s="54" t="s">
        <v>161</v>
      </c>
      <c r="L63" s="53">
        <v>2</v>
      </c>
      <c r="N63" s="53">
        <v>5</v>
      </c>
      <c r="O63" s="53">
        <v>0.55000000000000004</v>
      </c>
      <c r="P63" s="53">
        <v>0.65</v>
      </c>
      <c r="Q63" s="16">
        <f t="shared" si="0"/>
        <v>0.60000000000000009</v>
      </c>
      <c r="R63" s="53">
        <v>14.8</v>
      </c>
      <c r="S63" s="53">
        <v>106</v>
      </c>
      <c r="T63" s="16">
        <f t="shared" si="1"/>
        <v>33</v>
      </c>
      <c r="U63" s="53">
        <v>646</v>
      </c>
      <c r="V63" s="16">
        <f t="shared" si="2"/>
        <v>4263.5999999999995</v>
      </c>
      <c r="W63" s="53">
        <v>12</v>
      </c>
      <c r="X63" s="57" t="s">
        <v>46</v>
      </c>
      <c r="Y63" s="57" t="s">
        <v>55</v>
      </c>
      <c r="Z63" s="53" t="s">
        <v>47</v>
      </c>
      <c r="AA63" s="57" t="s">
        <v>90</v>
      </c>
      <c r="AB63" s="54" t="s">
        <v>158</v>
      </c>
    </row>
    <row r="64" spans="1:28" x14ac:dyDescent="0.15">
      <c r="A64" s="57" t="s">
        <v>56</v>
      </c>
      <c r="B64" s="57" t="s">
        <v>232</v>
      </c>
      <c r="C64" s="54">
        <v>2019</v>
      </c>
      <c r="D64" s="97" t="s">
        <v>233</v>
      </c>
      <c r="E64" s="54" t="s">
        <v>257</v>
      </c>
      <c r="F64" s="54" t="s">
        <v>250</v>
      </c>
      <c r="G64" s="57" t="s">
        <v>42</v>
      </c>
      <c r="H64" s="54" t="s">
        <v>165</v>
      </c>
      <c r="I64" s="57" t="s">
        <v>159</v>
      </c>
      <c r="J64" s="54" t="s">
        <v>38</v>
      </c>
      <c r="K64" s="54" t="s">
        <v>161</v>
      </c>
      <c r="L64" s="53">
        <v>3</v>
      </c>
      <c r="N64" s="53">
        <v>5</v>
      </c>
      <c r="O64" s="53">
        <v>0.55000000000000004</v>
      </c>
      <c r="P64" s="53">
        <v>0.55000000000000004</v>
      </c>
      <c r="Q64" s="16">
        <f t="shared" si="0"/>
        <v>0.55000000000000004</v>
      </c>
      <c r="R64" s="53">
        <v>15.9</v>
      </c>
      <c r="S64" s="53">
        <v>106</v>
      </c>
      <c r="T64" s="16">
        <f t="shared" si="1"/>
        <v>33</v>
      </c>
      <c r="U64" s="53">
        <v>646</v>
      </c>
      <c r="V64" s="16">
        <f t="shared" si="2"/>
        <v>4263.5999999999995</v>
      </c>
      <c r="W64" s="53">
        <v>12</v>
      </c>
      <c r="X64" s="57" t="s">
        <v>46</v>
      </c>
      <c r="Y64" s="57" t="s">
        <v>55</v>
      </c>
      <c r="Z64" s="53" t="s">
        <v>47</v>
      </c>
      <c r="AA64" s="57" t="s">
        <v>90</v>
      </c>
      <c r="AB64" s="54" t="s">
        <v>158</v>
      </c>
    </row>
    <row r="65" spans="1:27" x14ac:dyDescent="0.15">
      <c r="A65" s="57" t="s">
        <v>56</v>
      </c>
      <c r="B65" s="57"/>
      <c r="C65" s="54"/>
      <c r="D65" s="97"/>
      <c r="E65" s="54"/>
      <c r="F65" s="54"/>
      <c r="G65" s="57"/>
      <c r="H65" s="54"/>
      <c r="I65" s="57"/>
      <c r="J65" s="54"/>
      <c r="K65" s="54"/>
      <c r="X65" s="57"/>
      <c r="Y65" s="57"/>
      <c r="AA65" s="57"/>
    </row>
    <row r="66" spans="1:27" x14ac:dyDescent="0.15">
      <c r="A66" s="57" t="s">
        <v>56</v>
      </c>
      <c r="B66" s="57"/>
      <c r="C66" s="54"/>
      <c r="D66" s="97"/>
      <c r="E66" s="54"/>
      <c r="F66" s="54"/>
      <c r="G66" s="57"/>
      <c r="H66" s="54"/>
      <c r="I66" s="57"/>
      <c r="J66" s="54"/>
      <c r="K66" s="54"/>
      <c r="X66" s="57"/>
      <c r="Y66" s="57"/>
      <c r="AA66" s="57"/>
    </row>
    <row r="67" spans="1:27" x14ac:dyDescent="0.15">
      <c r="A67" s="57" t="s">
        <v>56</v>
      </c>
      <c r="B67" s="57"/>
      <c r="C67" s="54"/>
      <c r="D67" s="97"/>
      <c r="E67" s="54"/>
      <c r="F67" s="54"/>
      <c r="G67" s="57"/>
      <c r="H67" s="54"/>
      <c r="I67" s="57"/>
      <c r="J67" s="54"/>
      <c r="K67" s="54"/>
      <c r="X67" s="57"/>
      <c r="Y67" s="57"/>
      <c r="AA67" s="57"/>
    </row>
    <row r="68" spans="1:27" x14ac:dyDescent="0.15">
      <c r="A68" s="57"/>
      <c r="B68" s="57"/>
      <c r="C68" s="54"/>
      <c r="D68" s="97"/>
      <c r="E68" s="54"/>
      <c r="F68" s="54"/>
      <c r="G68" s="57"/>
      <c r="H68" s="54"/>
      <c r="I68" s="57"/>
      <c r="J68" s="54"/>
      <c r="K68" s="54"/>
      <c r="X68" s="57"/>
      <c r="Y68" s="57"/>
      <c r="AA68" s="57"/>
    </row>
    <row r="69" spans="1:27" x14ac:dyDescent="0.15">
      <c r="A69" s="57"/>
      <c r="B69" s="57"/>
      <c r="C69" s="54"/>
      <c r="D69" s="97"/>
      <c r="E69" s="54"/>
      <c r="F69" s="54"/>
      <c r="G69" s="57"/>
      <c r="H69" s="54"/>
      <c r="I69" s="57"/>
      <c r="J69" s="54"/>
      <c r="K69" s="54"/>
      <c r="X69" s="57"/>
      <c r="Y69" s="57"/>
      <c r="AA69" s="57"/>
    </row>
    <row r="70" spans="1:27" x14ac:dyDescent="0.15">
      <c r="A70" s="57"/>
      <c r="B70" s="57"/>
      <c r="C70" s="54"/>
      <c r="D70" s="97"/>
      <c r="E70" s="54"/>
      <c r="F70" s="54"/>
      <c r="G70" s="57"/>
      <c r="H70" s="54"/>
      <c r="I70" s="57"/>
      <c r="J70" s="54"/>
      <c r="K70" s="54"/>
      <c r="X70" s="57"/>
      <c r="Y70" s="57"/>
      <c r="AA70" s="57"/>
    </row>
    <row r="71" spans="1:27" x14ac:dyDescent="0.15">
      <c r="A71" s="57"/>
      <c r="B71" s="57"/>
      <c r="C71" s="54"/>
      <c r="D71" s="97"/>
      <c r="E71" s="54"/>
      <c r="F71" s="54"/>
      <c r="G71" s="57"/>
      <c r="H71" s="54"/>
      <c r="I71" s="57"/>
      <c r="J71" s="54"/>
      <c r="K71" s="54"/>
      <c r="X71" s="57"/>
      <c r="Y71" s="57"/>
      <c r="AA71" s="57"/>
    </row>
    <row r="72" spans="1:27" x14ac:dyDescent="0.15">
      <c r="A72" s="57"/>
      <c r="B72" s="57"/>
      <c r="C72" s="54"/>
      <c r="D72" s="97"/>
      <c r="E72" s="54"/>
      <c r="F72" s="54"/>
      <c r="G72" s="57"/>
      <c r="H72" s="54"/>
      <c r="I72" s="57"/>
      <c r="J72" s="54"/>
      <c r="K72" s="54"/>
      <c r="X72" s="57"/>
      <c r="Y72" s="57"/>
      <c r="AA72" s="57"/>
    </row>
    <row r="73" spans="1:27" x14ac:dyDescent="0.15">
      <c r="A73" s="57"/>
      <c r="B73" s="57"/>
      <c r="C73" s="54"/>
      <c r="D73" s="97"/>
      <c r="E73" s="54"/>
      <c r="F73" s="54"/>
      <c r="G73" s="57"/>
      <c r="H73" s="54"/>
      <c r="I73" s="57"/>
      <c r="J73" s="54"/>
      <c r="K73" s="54"/>
      <c r="X73" s="57"/>
      <c r="Y73" s="57"/>
      <c r="AA73" s="57"/>
    </row>
    <row r="74" spans="1:27" x14ac:dyDescent="0.15">
      <c r="A74" s="57"/>
      <c r="B74" s="57"/>
      <c r="C74" s="54"/>
      <c r="D74" s="97"/>
      <c r="E74" s="54"/>
      <c r="F74" s="54"/>
      <c r="G74" s="57"/>
      <c r="H74" s="54"/>
      <c r="I74" s="57"/>
      <c r="J74" s="54"/>
      <c r="K74" s="54"/>
      <c r="X74" s="57"/>
      <c r="Y74" s="57"/>
      <c r="AA74" s="57"/>
    </row>
    <row r="75" spans="1:27" x14ac:dyDescent="0.15">
      <c r="A75" s="57"/>
      <c r="B75" s="57"/>
      <c r="C75" s="54"/>
      <c r="D75" s="97"/>
      <c r="E75" s="54"/>
      <c r="F75" s="54"/>
      <c r="G75" s="57"/>
      <c r="H75" s="54"/>
      <c r="I75" s="57"/>
      <c r="J75" s="54"/>
      <c r="K75" s="54"/>
      <c r="X75" s="57"/>
      <c r="Y75" s="57"/>
      <c r="AA75" s="57"/>
    </row>
    <row r="76" spans="1:27" x14ac:dyDescent="0.15">
      <c r="A76" s="57"/>
      <c r="B76" s="57"/>
      <c r="C76" s="54"/>
      <c r="D76" s="97"/>
      <c r="E76" s="54"/>
      <c r="F76" s="54"/>
      <c r="G76" s="57"/>
      <c r="H76" s="54"/>
      <c r="I76" s="57"/>
      <c r="J76" s="54"/>
      <c r="K76" s="54"/>
      <c r="X76" s="57"/>
      <c r="Y76" s="57"/>
      <c r="AA76" s="57"/>
    </row>
    <row r="77" spans="1:27" x14ac:dyDescent="0.15">
      <c r="A77" s="57"/>
      <c r="B77" s="57"/>
      <c r="C77" s="54"/>
      <c r="D77" s="97"/>
      <c r="E77" s="54"/>
      <c r="F77" s="54"/>
      <c r="G77" s="57"/>
      <c r="H77" s="54"/>
      <c r="I77" s="57"/>
      <c r="J77" s="54"/>
      <c r="K77" s="54"/>
      <c r="X77" s="57"/>
      <c r="Y77" s="57"/>
      <c r="AA77" s="57"/>
    </row>
    <row r="78" spans="1:27" x14ac:dyDescent="0.15">
      <c r="A78" s="57"/>
      <c r="B78" s="57"/>
      <c r="C78" s="54"/>
      <c r="D78" s="97"/>
      <c r="E78" s="54"/>
      <c r="F78" s="54"/>
      <c r="G78" s="57"/>
      <c r="H78" s="54"/>
      <c r="I78" s="57"/>
      <c r="J78" s="54"/>
      <c r="K78" s="54"/>
      <c r="X78" s="57"/>
      <c r="Y78" s="57"/>
      <c r="AA78" s="57"/>
    </row>
    <row r="79" spans="1:27" x14ac:dyDescent="0.15">
      <c r="A79" s="57"/>
      <c r="B79" s="57"/>
      <c r="C79" s="54"/>
      <c r="D79" s="97"/>
      <c r="E79" s="54"/>
      <c r="F79" s="54"/>
      <c r="G79" s="57"/>
      <c r="H79" s="54"/>
      <c r="I79" s="57"/>
      <c r="J79" s="54"/>
      <c r="K79" s="54"/>
      <c r="X79" s="57"/>
      <c r="Y79" s="57"/>
      <c r="AA79" s="57"/>
    </row>
    <row r="80" spans="1:27" x14ac:dyDescent="0.15">
      <c r="A80" s="57"/>
      <c r="B80" s="57"/>
      <c r="C80" s="54"/>
      <c r="D80" s="97"/>
      <c r="E80" s="54"/>
      <c r="F80" s="54"/>
      <c r="G80" s="57"/>
      <c r="H80" s="54"/>
      <c r="I80" s="57"/>
      <c r="J80" s="54"/>
      <c r="K80" s="54"/>
      <c r="X80" s="57"/>
      <c r="Y80" s="57"/>
      <c r="AA80" s="57"/>
    </row>
    <row r="81" spans="1:27" x14ac:dyDescent="0.15">
      <c r="A81" s="57"/>
      <c r="B81" s="57"/>
      <c r="C81" s="54"/>
      <c r="D81" s="97"/>
      <c r="E81" s="54"/>
      <c r="F81" s="54"/>
      <c r="G81" s="57"/>
      <c r="H81" s="54"/>
      <c r="I81" s="57"/>
      <c r="J81" s="54"/>
      <c r="K81" s="54"/>
      <c r="X81" s="57"/>
      <c r="Y81" s="57"/>
      <c r="AA81" s="57"/>
    </row>
    <row r="82" spans="1:27" x14ac:dyDescent="0.15">
      <c r="A82" s="57"/>
      <c r="B82" s="57"/>
      <c r="C82" s="54"/>
      <c r="D82" s="97"/>
      <c r="E82" s="54"/>
      <c r="F82" s="54"/>
      <c r="G82" s="57"/>
      <c r="H82" s="54"/>
      <c r="I82" s="57"/>
      <c r="J82" s="54"/>
      <c r="K82" s="54"/>
      <c r="X82" s="57"/>
      <c r="Y82" s="57"/>
      <c r="AA82" s="57"/>
    </row>
    <row r="83" spans="1:27" x14ac:dyDescent="0.15">
      <c r="E83" s="54"/>
      <c r="F83" s="54"/>
      <c r="G83" s="57"/>
      <c r="H83" s="54"/>
      <c r="I83" s="57"/>
      <c r="J83" s="54"/>
      <c r="K83" s="54"/>
      <c r="X83" s="57"/>
      <c r="Y83" s="57"/>
      <c r="AA83" s="57"/>
    </row>
    <row r="84" spans="1:27" x14ac:dyDescent="0.15">
      <c r="E84" s="54"/>
      <c r="F84" s="54"/>
      <c r="G84" s="57"/>
      <c r="H84" s="54"/>
      <c r="I84" s="57"/>
      <c r="J84" s="54"/>
      <c r="K84" s="54"/>
      <c r="X84" s="57"/>
      <c r="Y84" s="57"/>
      <c r="AA84" s="57"/>
    </row>
    <row r="85" spans="1:27" x14ac:dyDescent="0.15">
      <c r="E85" s="54"/>
      <c r="F85" s="54"/>
      <c r="G85" s="57"/>
      <c r="H85" s="54"/>
      <c r="I85" s="57"/>
      <c r="J85" s="54"/>
      <c r="K85" s="54"/>
      <c r="X85" s="57"/>
      <c r="Y85" s="57"/>
      <c r="AA85" s="57"/>
    </row>
    <row r="86" spans="1:27" x14ac:dyDescent="0.15">
      <c r="J86" s="54"/>
      <c r="K86" s="54"/>
    </row>
    <row r="87" spans="1:27" x14ac:dyDescent="0.15">
      <c r="J87" s="54"/>
      <c r="K87" s="54"/>
    </row>
    <row r="88" spans="1:27" x14ac:dyDescent="0.15">
      <c r="J88" s="54"/>
      <c r="K88" s="54"/>
    </row>
    <row r="89" spans="1:27" x14ac:dyDescent="0.15">
      <c r="J89" s="54"/>
      <c r="K89" s="54"/>
    </row>
    <row r="90" spans="1:27" x14ac:dyDescent="0.15">
      <c r="J90" s="54"/>
      <c r="K90" s="54"/>
    </row>
    <row r="91" spans="1:27" x14ac:dyDescent="0.15">
      <c r="J91" s="54"/>
      <c r="K91" s="54"/>
    </row>
    <row r="92" spans="1:27" x14ac:dyDescent="0.15">
      <c r="J92" s="54"/>
      <c r="K92" s="54"/>
    </row>
    <row r="93" spans="1:27" x14ac:dyDescent="0.15">
      <c r="J93" s="54"/>
      <c r="K93" s="54"/>
    </row>
    <row r="94" spans="1:27" x14ac:dyDescent="0.15">
      <c r="J94" s="54"/>
      <c r="K94" s="54"/>
    </row>
    <row r="95" spans="1:27" x14ac:dyDescent="0.15">
      <c r="J95" s="54"/>
      <c r="K95" s="54"/>
    </row>
    <row r="96" spans="1:27" x14ac:dyDescent="0.15">
      <c r="J96" s="54"/>
      <c r="K96" s="54"/>
    </row>
    <row r="97" spans="10:11" x14ac:dyDescent="0.15">
      <c r="J97" s="54"/>
      <c r="K97" s="54"/>
    </row>
    <row r="98" spans="10:11" x14ac:dyDescent="0.15">
      <c r="J98" s="54"/>
      <c r="K98" s="54"/>
    </row>
    <row r="99" spans="10:11" x14ac:dyDescent="0.15">
      <c r="J99" s="54"/>
      <c r="K99" s="54"/>
    </row>
    <row r="100" spans="10:11" x14ac:dyDescent="0.15">
      <c r="J100" s="54"/>
      <c r="K100" s="54"/>
    </row>
    <row r="101" spans="10:11" x14ac:dyDescent="0.15">
      <c r="K101" s="54"/>
    </row>
    <row r="102" spans="10:11" x14ac:dyDescent="0.15">
      <c r="K102" s="54"/>
    </row>
    <row r="103" spans="10:11" x14ac:dyDescent="0.15">
      <c r="K103" s="54"/>
    </row>
    <row r="104" spans="10:11" x14ac:dyDescent="0.15">
      <c r="K104" s="54"/>
    </row>
    <row r="105" spans="10:11" x14ac:dyDescent="0.15">
      <c r="K105" s="54"/>
    </row>
    <row r="106" spans="10:11" x14ac:dyDescent="0.15">
      <c r="K106" s="54"/>
    </row>
    <row r="107" spans="10:11" x14ac:dyDescent="0.15">
      <c r="K107" s="54"/>
    </row>
    <row r="108" spans="10:11" x14ac:dyDescent="0.15">
      <c r="K108" s="54"/>
    </row>
    <row r="109" spans="10:11" x14ac:dyDescent="0.15">
      <c r="K109" s="54"/>
    </row>
    <row r="110" spans="10:11" x14ac:dyDescent="0.15">
      <c r="K110" s="54"/>
    </row>
    <row r="111" spans="10:11" x14ac:dyDescent="0.15">
      <c r="K111" s="54"/>
    </row>
    <row r="112" spans="10: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sheetData>
  <autoFilter ref="A1:BA52" xr:uid="{00000000-0009-0000-0000-000002000000}"/>
  <phoneticPr fontId="3"/>
  <dataValidations count="18">
    <dataValidation type="list" allowBlank="1" showInputMessage="1" showErrorMessage="1" sqref="K2:K450" xr:uid="{B44F7EA7-B3EF-4DE6-ADC8-7238B96DB35B}">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3655ABF0-7BF9-48E7-B25F-C192540D3BCA}">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38B8B021-3743-4CFA-9FAC-FBBB5B37718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624A45E5-36ED-4672-8DA1-85D9276A6CC2}">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C7ADFCAF-1941-4384-BC58-766ACE61755E}">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9509134D-F11D-41DA-9764-494D79CAFC5B}"/>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48531186-A9B2-440C-AF2F-0D0EDB4B9502}">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DC5A16AC-3B30-4D5A-A2A2-62EF365B9366}">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75DC1CEE-AE73-4F59-A603-2E335490ADC2}">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3630CD12-8571-4E06-A6E9-1CD571580BCD}">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7E1EEE18-3C2B-4098-A08C-E2FAD2E12137}">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BBDA9DFC-7EBA-4A5E-A0CD-89DEDDD4992E}">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88962A28-EF7B-41A6-ADB9-28645F296B2D}">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B949C2FF-6D64-4B41-8D68-D4B8D02C8588}">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44E8A40B-F1BF-4E51-A3B4-F7B20D15145C}">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1FA80653-D6C5-40EB-8390-189CD4FCF909}">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18DAC804-7F37-4F54-BAEA-6665D82B4E9D}">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44A8D7C9-0D86-423C-9442-DB8C8F078B73}">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CE28-DDEE-4E78-A9AE-D53E33670E88}">
  <dimension ref="A1:BA732"/>
  <sheetViews>
    <sheetView topLeftCell="A25" zoomScale="85" zoomScaleNormal="85" workbookViewId="0">
      <selection activeCell="Z72" sqref="Z72"/>
    </sheetView>
  </sheetViews>
  <sheetFormatPr defaultColWidth="9" defaultRowHeight="13.5" x14ac:dyDescent="0.15"/>
  <cols>
    <col min="1" max="3" width="9" style="110"/>
    <col min="4" max="4" width="10.5" style="110" customWidth="1"/>
    <col min="5" max="16" width="9" style="110"/>
    <col min="17" max="17" width="9" style="145"/>
    <col min="18" max="18" width="9" style="110"/>
    <col min="19" max="19" width="9.5" style="110" customWidth="1"/>
    <col min="20" max="20" width="9" style="145"/>
    <col min="21" max="21" width="9" style="110"/>
    <col min="22" max="22" width="9" style="145"/>
    <col min="23" max="23" width="10.5" style="110" customWidth="1"/>
    <col min="24" max="32" width="9" style="110"/>
    <col min="33" max="33" width="19.625" style="110" customWidth="1"/>
    <col min="34" max="34" width="9.375" style="110" customWidth="1"/>
    <col min="35" max="259" width="9" style="110"/>
    <col min="260" max="260" width="10.5" style="110" customWidth="1"/>
    <col min="261" max="274" width="9" style="110"/>
    <col min="275" max="275" width="9.5" style="110" customWidth="1"/>
    <col min="276" max="278" width="9" style="110"/>
    <col min="279" max="279" width="10.5" style="110" customWidth="1"/>
    <col min="280" max="515" width="9" style="110"/>
    <col min="516" max="516" width="10.5" style="110" customWidth="1"/>
    <col min="517" max="530" width="9" style="110"/>
    <col min="531" max="531" width="9.5" style="110" customWidth="1"/>
    <col min="532" max="534" width="9" style="110"/>
    <col min="535" max="535" width="10.5" style="110" customWidth="1"/>
    <col min="536" max="771" width="9" style="110"/>
    <col min="772" max="772" width="10.5" style="110" customWidth="1"/>
    <col min="773" max="786" width="9" style="110"/>
    <col min="787" max="787" width="9.5" style="110" customWidth="1"/>
    <col min="788" max="790" width="9" style="110"/>
    <col min="791" max="791" width="10.5" style="110" customWidth="1"/>
    <col min="792" max="1027" width="9" style="110"/>
    <col min="1028" max="1028" width="10.5" style="110" customWidth="1"/>
    <col min="1029" max="1042" width="9" style="110"/>
    <col min="1043" max="1043" width="9.5" style="110" customWidth="1"/>
    <col min="1044" max="1046" width="9" style="110"/>
    <col min="1047" max="1047" width="10.5" style="110" customWidth="1"/>
    <col min="1048" max="1283" width="9" style="110"/>
    <col min="1284" max="1284" width="10.5" style="110" customWidth="1"/>
    <col min="1285" max="1298" width="9" style="110"/>
    <col min="1299" max="1299" width="9.5" style="110" customWidth="1"/>
    <col min="1300" max="1302" width="9" style="110"/>
    <col min="1303" max="1303" width="10.5" style="110" customWidth="1"/>
    <col min="1304" max="1539" width="9" style="110"/>
    <col min="1540" max="1540" width="10.5" style="110" customWidth="1"/>
    <col min="1541" max="1554" width="9" style="110"/>
    <col min="1555" max="1555" width="9.5" style="110" customWidth="1"/>
    <col min="1556" max="1558" width="9" style="110"/>
    <col min="1559" max="1559" width="10.5" style="110" customWidth="1"/>
    <col min="1560" max="1795" width="9" style="110"/>
    <col min="1796" max="1796" width="10.5" style="110" customWidth="1"/>
    <col min="1797" max="1810" width="9" style="110"/>
    <col min="1811" max="1811" width="9.5" style="110" customWidth="1"/>
    <col min="1812" max="1814" width="9" style="110"/>
    <col min="1815" max="1815" width="10.5" style="110" customWidth="1"/>
    <col min="1816" max="2051" width="9" style="110"/>
    <col min="2052" max="2052" width="10.5" style="110" customWidth="1"/>
    <col min="2053" max="2066" width="9" style="110"/>
    <col min="2067" max="2067" width="9.5" style="110" customWidth="1"/>
    <col min="2068" max="2070" width="9" style="110"/>
    <col min="2071" max="2071" width="10.5" style="110" customWidth="1"/>
    <col min="2072" max="2307" width="9" style="110"/>
    <col min="2308" max="2308" width="10.5" style="110" customWidth="1"/>
    <col min="2309" max="2322" width="9" style="110"/>
    <col min="2323" max="2323" width="9.5" style="110" customWidth="1"/>
    <col min="2324" max="2326" width="9" style="110"/>
    <col min="2327" max="2327" width="10.5" style="110" customWidth="1"/>
    <col min="2328" max="2563" width="9" style="110"/>
    <col min="2564" max="2564" width="10.5" style="110" customWidth="1"/>
    <col min="2565" max="2578" width="9" style="110"/>
    <col min="2579" max="2579" width="9.5" style="110" customWidth="1"/>
    <col min="2580" max="2582" width="9" style="110"/>
    <col min="2583" max="2583" width="10.5" style="110" customWidth="1"/>
    <col min="2584" max="2819" width="9" style="110"/>
    <col min="2820" max="2820" width="10.5" style="110" customWidth="1"/>
    <col min="2821" max="2834" width="9" style="110"/>
    <col min="2835" max="2835" width="9.5" style="110" customWidth="1"/>
    <col min="2836" max="2838" width="9" style="110"/>
    <col min="2839" max="2839" width="10.5" style="110" customWidth="1"/>
    <col min="2840" max="3075" width="9" style="110"/>
    <col min="3076" max="3076" width="10.5" style="110" customWidth="1"/>
    <col min="3077" max="3090" width="9" style="110"/>
    <col min="3091" max="3091" width="9.5" style="110" customWidth="1"/>
    <col min="3092" max="3094" width="9" style="110"/>
    <col min="3095" max="3095" width="10.5" style="110" customWidth="1"/>
    <col min="3096" max="3331" width="9" style="110"/>
    <col min="3332" max="3332" width="10.5" style="110" customWidth="1"/>
    <col min="3333" max="3346" width="9" style="110"/>
    <col min="3347" max="3347" width="9.5" style="110" customWidth="1"/>
    <col min="3348" max="3350" width="9" style="110"/>
    <col min="3351" max="3351" width="10.5" style="110" customWidth="1"/>
    <col min="3352" max="3587" width="9" style="110"/>
    <col min="3588" max="3588" width="10.5" style="110" customWidth="1"/>
    <col min="3589" max="3602" width="9" style="110"/>
    <col min="3603" max="3603" width="9.5" style="110" customWidth="1"/>
    <col min="3604" max="3606" width="9" style="110"/>
    <col min="3607" max="3607" width="10.5" style="110" customWidth="1"/>
    <col min="3608" max="3843" width="9" style="110"/>
    <col min="3844" max="3844" width="10.5" style="110" customWidth="1"/>
    <col min="3845" max="3858" width="9" style="110"/>
    <col min="3859" max="3859" width="9.5" style="110" customWidth="1"/>
    <col min="3860" max="3862" width="9" style="110"/>
    <col min="3863" max="3863" width="10.5" style="110" customWidth="1"/>
    <col min="3864" max="4099" width="9" style="110"/>
    <col min="4100" max="4100" width="10.5" style="110" customWidth="1"/>
    <col min="4101" max="4114" width="9" style="110"/>
    <col min="4115" max="4115" width="9.5" style="110" customWidth="1"/>
    <col min="4116" max="4118" width="9" style="110"/>
    <col min="4119" max="4119" width="10.5" style="110" customWidth="1"/>
    <col min="4120" max="4355" width="9" style="110"/>
    <col min="4356" max="4356" width="10.5" style="110" customWidth="1"/>
    <col min="4357" max="4370" width="9" style="110"/>
    <col min="4371" max="4371" width="9.5" style="110" customWidth="1"/>
    <col min="4372" max="4374" width="9" style="110"/>
    <col min="4375" max="4375" width="10.5" style="110" customWidth="1"/>
    <col min="4376" max="4611" width="9" style="110"/>
    <col min="4612" max="4612" width="10.5" style="110" customWidth="1"/>
    <col min="4613" max="4626" width="9" style="110"/>
    <col min="4627" max="4627" width="9.5" style="110" customWidth="1"/>
    <col min="4628" max="4630" width="9" style="110"/>
    <col min="4631" max="4631" width="10.5" style="110" customWidth="1"/>
    <col min="4632" max="4867" width="9" style="110"/>
    <col min="4868" max="4868" width="10.5" style="110" customWidth="1"/>
    <col min="4869" max="4882" width="9" style="110"/>
    <col min="4883" max="4883" width="9.5" style="110" customWidth="1"/>
    <col min="4884" max="4886" width="9" style="110"/>
    <col min="4887" max="4887" width="10.5" style="110" customWidth="1"/>
    <col min="4888" max="5123" width="9" style="110"/>
    <col min="5124" max="5124" width="10.5" style="110" customWidth="1"/>
    <col min="5125" max="5138" width="9" style="110"/>
    <col min="5139" max="5139" width="9.5" style="110" customWidth="1"/>
    <col min="5140" max="5142" width="9" style="110"/>
    <col min="5143" max="5143" width="10.5" style="110" customWidth="1"/>
    <col min="5144" max="5379" width="9" style="110"/>
    <col min="5380" max="5380" width="10.5" style="110" customWidth="1"/>
    <col min="5381" max="5394" width="9" style="110"/>
    <col min="5395" max="5395" width="9.5" style="110" customWidth="1"/>
    <col min="5396" max="5398" width="9" style="110"/>
    <col min="5399" max="5399" width="10.5" style="110" customWidth="1"/>
    <col min="5400" max="5635" width="9" style="110"/>
    <col min="5636" max="5636" width="10.5" style="110" customWidth="1"/>
    <col min="5637" max="5650" width="9" style="110"/>
    <col min="5651" max="5651" width="9.5" style="110" customWidth="1"/>
    <col min="5652" max="5654" width="9" style="110"/>
    <col min="5655" max="5655" width="10.5" style="110" customWidth="1"/>
    <col min="5656" max="5891" width="9" style="110"/>
    <col min="5892" max="5892" width="10.5" style="110" customWidth="1"/>
    <col min="5893" max="5906" width="9" style="110"/>
    <col min="5907" max="5907" width="9.5" style="110" customWidth="1"/>
    <col min="5908" max="5910" width="9" style="110"/>
    <col min="5911" max="5911" width="10.5" style="110" customWidth="1"/>
    <col min="5912" max="6147" width="9" style="110"/>
    <col min="6148" max="6148" width="10.5" style="110" customWidth="1"/>
    <col min="6149" max="6162" width="9" style="110"/>
    <col min="6163" max="6163" width="9.5" style="110" customWidth="1"/>
    <col min="6164" max="6166" width="9" style="110"/>
    <col min="6167" max="6167" width="10.5" style="110" customWidth="1"/>
    <col min="6168" max="6403" width="9" style="110"/>
    <col min="6404" max="6404" width="10.5" style="110" customWidth="1"/>
    <col min="6405" max="6418" width="9" style="110"/>
    <col min="6419" max="6419" width="9.5" style="110" customWidth="1"/>
    <col min="6420" max="6422" width="9" style="110"/>
    <col min="6423" max="6423" width="10.5" style="110" customWidth="1"/>
    <col min="6424" max="6659" width="9" style="110"/>
    <col min="6660" max="6660" width="10.5" style="110" customWidth="1"/>
    <col min="6661" max="6674" width="9" style="110"/>
    <col min="6675" max="6675" width="9.5" style="110" customWidth="1"/>
    <col min="6676" max="6678" width="9" style="110"/>
    <col min="6679" max="6679" width="10.5" style="110" customWidth="1"/>
    <col min="6680" max="6915" width="9" style="110"/>
    <col min="6916" max="6916" width="10.5" style="110" customWidth="1"/>
    <col min="6917" max="6930" width="9" style="110"/>
    <col min="6931" max="6931" width="9.5" style="110" customWidth="1"/>
    <col min="6932" max="6934" width="9" style="110"/>
    <col min="6935" max="6935" width="10.5" style="110" customWidth="1"/>
    <col min="6936" max="7171" width="9" style="110"/>
    <col min="7172" max="7172" width="10.5" style="110" customWidth="1"/>
    <col min="7173" max="7186" width="9" style="110"/>
    <col min="7187" max="7187" width="9.5" style="110" customWidth="1"/>
    <col min="7188" max="7190" width="9" style="110"/>
    <col min="7191" max="7191" width="10.5" style="110" customWidth="1"/>
    <col min="7192" max="7427" width="9" style="110"/>
    <col min="7428" max="7428" width="10.5" style="110" customWidth="1"/>
    <col min="7429" max="7442" width="9" style="110"/>
    <col min="7443" max="7443" width="9.5" style="110" customWidth="1"/>
    <col min="7444" max="7446" width="9" style="110"/>
    <col min="7447" max="7447" width="10.5" style="110" customWidth="1"/>
    <col min="7448" max="7683" width="9" style="110"/>
    <col min="7684" max="7684" width="10.5" style="110" customWidth="1"/>
    <col min="7685" max="7698" width="9" style="110"/>
    <col min="7699" max="7699" width="9.5" style="110" customWidth="1"/>
    <col min="7700" max="7702" width="9" style="110"/>
    <col min="7703" max="7703" width="10.5" style="110" customWidth="1"/>
    <col min="7704" max="7939" width="9" style="110"/>
    <col min="7940" max="7940" width="10.5" style="110" customWidth="1"/>
    <col min="7941" max="7954" width="9" style="110"/>
    <col min="7955" max="7955" width="9.5" style="110" customWidth="1"/>
    <col min="7956" max="7958" width="9" style="110"/>
    <col min="7959" max="7959" width="10.5" style="110" customWidth="1"/>
    <col min="7960" max="8195" width="9" style="110"/>
    <col min="8196" max="8196" width="10.5" style="110" customWidth="1"/>
    <col min="8197" max="8210" width="9" style="110"/>
    <col min="8211" max="8211" width="9.5" style="110" customWidth="1"/>
    <col min="8212" max="8214" width="9" style="110"/>
    <col min="8215" max="8215" width="10.5" style="110" customWidth="1"/>
    <col min="8216" max="8451" width="9" style="110"/>
    <col min="8452" max="8452" width="10.5" style="110" customWidth="1"/>
    <col min="8453" max="8466" width="9" style="110"/>
    <col min="8467" max="8467" width="9.5" style="110" customWidth="1"/>
    <col min="8468" max="8470" width="9" style="110"/>
    <col min="8471" max="8471" width="10.5" style="110" customWidth="1"/>
    <col min="8472" max="8707" width="9" style="110"/>
    <col min="8708" max="8708" width="10.5" style="110" customWidth="1"/>
    <col min="8709" max="8722" width="9" style="110"/>
    <col min="8723" max="8723" width="9.5" style="110" customWidth="1"/>
    <col min="8724" max="8726" width="9" style="110"/>
    <col min="8727" max="8727" width="10.5" style="110" customWidth="1"/>
    <col min="8728" max="8963" width="9" style="110"/>
    <col min="8964" max="8964" width="10.5" style="110" customWidth="1"/>
    <col min="8965" max="8978" width="9" style="110"/>
    <col min="8979" max="8979" width="9.5" style="110" customWidth="1"/>
    <col min="8980" max="8982" width="9" style="110"/>
    <col min="8983" max="8983" width="10.5" style="110" customWidth="1"/>
    <col min="8984" max="9219" width="9" style="110"/>
    <col min="9220" max="9220" width="10.5" style="110" customWidth="1"/>
    <col min="9221" max="9234" width="9" style="110"/>
    <col min="9235" max="9235" width="9.5" style="110" customWidth="1"/>
    <col min="9236" max="9238" width="9" style="110"/>
    <col min="9239" max="9239" width="10.5" style="110" customWidth="1"/>
    <col min="9240" max="9475" width="9" style="110"/>
    <col min="9476" max="9476" width="10.5" style="110" customWidth="1"/>
    <col min="9477" max="9490" width="9" style="110"/>
    <col min="9491" max="9491" width="9.5" style="110" customWidth="1"/>
    <col min="9492" max="9494" width="9" style="110"/>
    <col min="9495" max="9495" width="10.5" style="110" customWidth="1"/>
    <col min="9496" max="9731" width="9" style="110"/>
    <col min="9732" max="9732" width="10.5" style="110" customWidth="1"/>
    <col min="9733" max="9746" width="9" style="110"/>
    <col min="9747" max="9747" width="9.5" style="110" customWidth="1"/>
    <col min="9748" max="9750" width="9" style="110"/>
    <col min="9751" max="9751" width="10.5" style="110" customWidth="1"/>
    <col min="9752" max="9987" width="9" style="110"/>
    <col min="9988" max="9988" width="10.5" style="110" customWidth="1"/>
    <col min="9989" max="10002" width="9" style="110"/>
    <col min="10003" max="10003" width="9.5" style="110" customWidth="1"/>
    <col min="10004" max="10006" width="9" style="110"/>
    <col min="10007" max="10007" width="10.5" style="110" customWidth="1"/>
    <col min="10008" max="10243" width="9" style="110"/>
    <col min="10244" max="10244" width="10.5" style="110" customWidth="1"/>
    <col min="10245" max="10258" width="9" style="110"/>
    <col min="10259" max="10259" width="9.5" style="110" customWidth="1"/>
    <col min="10260" max="10262" width="9" style="110"/>
    <col min="10263" max="10263" width="10.5" style="110" customWidth="1"/>
    <col min="10264" max="10499" width="9" style="110"/>
    <col min="10500" max="10500" width="10.5" style="110" customWidth="1"/>
    <col min="10501" max="10514" width="9" style="110"/>
    <col min="10515" max="10515" width="9.5" style="110" customWidth="1"/>
    <col min="10516" max="10518" width="9" style="110"/>
    <col min="10519" max="10519" width="10.5" style="110" customWidth="1"/>
    <col min="10520" max="10755" width="9" style="110"/>
    <col min="10756" max="10756" width="10.5" style="110" customWidth="1"/>
    <col min="10757" max="10770" width="9" style="110"/>
    <col min="10771" max="10771" width="9.5" style="110" customWidth="1"/>
    <col min="10772" max="10774" width="9" style="110"/>
    <col min="10775" max="10775" width="10.5" style="110" customWidth="1"/>
    <col min="10776" max="11011" width="9" style="110"/>
    <col min="11012" max="11012" width="10.5" style="110" customWidth="1"/>
    <col min="11013" max="11026" width="9" style="110"/>
    <col min="11027" max="11027" width="9.5" style="110" customWidth="1"/>
    <col min="11028" max="11030" width="9" style="110"/>
    <col min="11031" max="11031" width="10.5" style="110" customWidth="1"/>
    <col min="11032" max="11267" width="9" style="110"/>
    <col min="11268" max="11268" width="10.5" style="110" customWidth="1"/>
    <col min="11269" max="11282" width="9" style="110"/>
    <col min="11283" max="11283" width="9.5" style="110" customWidth="1"/>
    <col min="11284" max="11286" width="9" style="110"/>
    <col min="11287" max="11287" width="10.5" style="110" customWidth="1"/>
    <col min="11288" max="11523" width="9" style="110"/>
    <col min="11524" max="11524" width="10.5" style="110" customWidth="1"/>
    <col min="11525" max="11538" width="9" style="110"/>
    <col min="11539" max="11539" width="9.5" style="110" customWidth="1"/>
    <col min="11540" max="11542" width="9" style="110"/>
    <col min="11543" max="11543" width="10.5" style="110" customWidth="1"/>
    <col min="11544" max="11779" width="9" style="110"/>
    <col min="11780" max="11780" width="10.5" style="110" customWidth="1"/>
    <col min="11781" max="11794" width="9" style="110"/>
    <col min="11795" max="11795" width="9.5" style="110" customWidth="1"/>
    <col min="11796" max="11798" width="9" style="110"/>
    <col min="11799" max="11799" width="10.5" style="110" customWidth="1"/>
    <col min="11800" max="12035" width="9" style="110"/>
    <col min="12036" max="12036" width="10.5" style="110" customWidth="1"/>
    <col min="12037" max="12050" width="9" style="110"/>
    <col min="12051" max="12051" width="9.5" style="110" customWidth="1"/>
    <col min="12052" max="12054" width="9" style="110"/>
    <col min="12055" max="12055" width="10.5" style="110" customWidth="1"/>
    <col min="12056" max="12291" width="9" style="110"/>
    <col min="12292" max="12292" width="10.5" style="110" customWidth="1"/>
    <col min="12293" max="12306" width="9" style="110"/>
    <col min="12307" max="12307" width="9.5" style="110" customWidth="1"/>
    <col min="12308" max="12310" width="9" style="110"/>
    <col min="12311" max="12311" width="10.5" style="110" customWidth="1"/>
    <col min="12312" max="12547" width="9" style="110"/>
    <col min="12548" max="12548" width="10.5" style="110" customWidth="1"/>
    <col min="12549" max="12562" width="9" style="110"/>
    <col min="12563" max="12563" width="9.5" style="110" customWidth="1"/>
    <col min="12564" max="12566" width="9" style="110"/>
    <col min="12567" max="12567" width="10.5" style="110" customWidth="1"/>
    <col min="12568" max="12803" width="9" style="110"/>
    <col min="12804" max="12804" width="10.5" style="110" customWidth="1"/>
    <col min="12805" max="12818" width="9" style="110"/>
    <col min="12819" max="12819" width="9.5" style="110" customWidth="1"/>
    <col min="12820" max="12822" width="9" style="110"/>
    <col min="12823" max="12823" width="10.5" style="110" customWidth="1"/>
    <col min="12824" max="13059" width="9" style="110"/>
    <col min="13060" max="13060" width="10.5" style="110" customWidth="1"/>
    <col min="13061" max="13074" width="9" style="110"/>
    <col min="13075" max="13075" width="9.5" style="110" customWidth="1"/>
    <col min="13076" max="13078" width="9" style="110"/>
    <col min="13079" max="13079" width="10.5" style="110" customWidth="1"/>
    <col min="13080" max="13315" width="9" style="110"/>
    <col min="13316" max="13316" width="10.5" style="110" customWidth="1"/>
    <col min="13317" max="13330" width="9" style="110"/>
    <col min="13331" max="13331" width="9.5" style="110" customWidth="1"/>
    <col min="13332" max="13334" width="9" style="110"/>
    <col min="13335" max="13335" width="10.5" style="110" customWidth="1"/>
    <col min="13336" max="13571" width="9" style="110"/>
    <col min="13572" max="13572" width="10.5" style="110" customWidth="1"/>
    <col min="13573" max="13586" width="9" style="110"/>
    <col min="13587" max="13587" width="9.5" style="110" customWidth="1"/>
    <col min="13588" max="13590" width="9" style="110"/>
    <col min="13591" max="13591" width="10.5" style="110" customWidth="1"/>
    <col min="13592" max="13827" width="9" style="110"/>
    <col min="13828" max="13828" width="10.5" style="110" customWidth="1"/>
    <col min="13829" max="13842" width="9" style="110"/>
    <col min="13843" max="13843" width="9.5" style="110" customWidth="1"/>
    <col min="13844" max="13846" width="9" style="110"/>
    <col min="13847" max="13847" width="10.5" style="110" customWidth="1"/>
    <col min="13848" max="14083" width="9" style="110"/>
    <col min="14084" max="14084" width="10.5" style="110" customWidth="1"/>
    <col min="14085" max="14098" width="9" style="110"/>
    <col min="14099" max="14099" width="9.5" style="110" customWidth="1"/>
    <col min="14100" max="14102" width="9" style="110"/>
    <col min="14103" max="14103" width="10.5" style="110" customWidth="1"/>
    <col min="14104" max="14339" width="9" style="110"/>
    <col min="14340" max="14340" width="10.5" style="110" customWidth="1"/>
    <col min="14341" max="14354" width="9" style="110"/>
    <col min="14355" max="14355" width="9.5" style="110" customWidth="1"/>
    <col min="14356" max="14358" width="9" style="110"/>
    <col min="14359" max="14359" width="10.5" style="110" customWidth="1"/>
    <col min="14360" max="14595" width="9" style="110"/>
    <col min="14596" max="14596" width="10.5" style="110" customWidth="1"/>
    <col min="14597" max="14610" width="9" style="110"/>
    <col min="14611" max="14611" width="9.5" style="110" customWidth="1"/>
    <col min="14612" max="14614" width="9" style="110"/>
    <col min="14615" max="14615" width="10.5" style="110" customWidth="1"/>
    <col min="14616" max="14851" width="9" style="110"/>
    <col min="14852" max="14852" width="10.5" style="110" customWidth="1"/>
    <col min="14853" max="14866" width="9" style="110"/>
    <col min="14867" max="14867" width="9.5" style="110" customWidth="1"/>
    <col min="14868" max="14870" width="9" style="110"/>
    <col min="14871" max="14871" width="10.5" style="110" customWidth="1"/>
    <col min="14872" max="15107" width="9" style="110"/>
    <col min="15108" max="15108" width="10.5" style="110" customWidth="1"/>
    <col min="15109" max="15122" width="9" style="110"/>
    <col min="15123" max="15123" width="9.5" style="110" customWidth="1"/>
    <col min="15124" max="15126" width="9" style="110"/>
    <col min="15127" max="15127" width="10.5" style="110" customWidth="1"/>
    <col min="15128" max="15363" width="9" style="110"/>
    <col min="15364" max="15364" width="10.5" style="110" customWidth="1"/>
    <col min="15365" max="15378" width="9" style="110"/>
    <col min="15379" max="15379" width="9.5" style="110" customWidth="1"/>
    <col min="15380" max="15382" width="9" style="110"/>
    <col min="15383" max="15383" width="10.5" style="110" customWidth="1"/>
    <col min="15384" max="15619" width="9" style="110"/>
    <col min="15620" max="15620" width="10.5" style="110" customWidth="1"/>
    <col min="15621" max="15634" width="9" style="110"/>
    <col min="15635" max="15635" width="9.5" style="110" customWidth="1"/>
    <col min="15636" max="15638" width="9" style="110"/>
    <col min="15639" max="15639" width="10.5" style="110" customWidth="1"/>
    <col min="15640" max="15875" width="9" style="110"/>
    <col min="15876" max="15876" width="10.5" style="110" customWidth="1"/>
    <col min="15877" max="15890" width="9" style="110"/>
    <col min="15891" max="15891" width="9.5" style="110" customWidth="1"/>
    <col min="15892" max="15894" width="9" style="110"/>
    <col min="15895" max="15895" width="10.5" style="110" customWidth="1"/>
    <col min="15896" max="16131" width="9" style="110"/>
    <col min="16132" max="16132" width="10.5" style="110" customWidth="1"/>
    <col min="16133" max="16146" width="9" style="110"/>
    <col min="16147" max="16147" width="9.5" style="110" customWidth="1"/>
    <col min="16148" max="16150" width="9" style="110"/>
    <col min="16151" max="16151" width="10.5" style="110" customWidth="1"/>
    <col min="16152" max="16384" width="9" style="110"/>
  </cols>
  <sheetData>
    <row r="1" spans="1:53" ht="45" x14ac:dyDescent="0.15">
      <c r="A1" s="101" t="s">
        <v>0</v>
      </c>
      <c r="B1" s="102" t="s">
        <v>169</v>
      </c>
      <c r="C1" s="102" t="s">
        <v>170</v>
      </c>
      <c r="D1" s="103" t="s">
        <v>3</v>
      </c>
      <c r="E1" s="104" t="s">
        <v>4</v>
      </c>
      <c r="F1" s="104" t="s">
        <v>5</v>
      </c>
      <c r="G1" s="104" t="s">
        <v>6</v>
      </c>
      <c r="H1" s="104" t="s">
        <v>7</v>
      </c>
      <c r="I1" s="104" t="s">
        <v>8</v>
      </c>
      <c r="J1" s="104" t="s">
        <v>9</v>
      </c>
      <c r="K1" s="104" t="s">
        <v>10</v>
      </c>
      <c r="L1" s="103" t="s">
        <v>171</v>
      </c>
      <c r="M1" s="103" t="s">
        <v>172</v>
      </c>
      <c r="N1" s="103" t="s">
        <v>13</v>
      </c>
      <c r="O1" s="103" t="s">
        <v>173</v>
      </c>
      <c r="P1" s="103" t="s">
        <v>174</v>
      </c>
      <c r="Q1" s="105" t="s">
        <v>175</v>
      </c>
      <c r="R1" s="103" t="s">
        <v>176</v>
      </c>
      <c r="S1" s="103" t="s">
        <v>177</v>
      </c>
      <c r="T1" s="105" t="s">
        <v>19</v>
      </c>
      <c r="U1" s="106" t="s">
        <v>108</v>
      </c>
      <c r="V1" s="107" t="s">
        <v>20</v>
      </c>
      <c r="W1" s="103" t="s">
        <v>178</v>
      </c>
      <c r="X1" s="104" t="s">
        <v>22</v>
      </c>
      <c r="Y1" s="104" t="s">
        <v>23</v>
      </c>
      <c r="Z1" s="104" t="s">
        <v>24</v>
      </c>
      <c r="AA1" s="108" t="s">
        <v>25</v>
      </c>
      <c r="AB1" s="109" t="s">
        <v>179</v>
      </c>
      <c r="AE1" s="111" t="s">
        <v>0</v>
      </c>
      <c r="AF1" s="112"/>
      <c r="AG1" s="111" t="s">
        <v>4</v>
      </c>
      <c r="AH1" s="111" t="s">
        <v>5</v>
      </c>
      <c r="AI1" s="112"/>
      <c r="AJ1" s="111" t="s">
        <v>6</v>
      </c>
      <c r="AK1" s="112"/>
      <c r="AL1" s="113" t="s">
        <v>7</v>
      </c>
      <c r="AM1" s="112"/>
      <c r="AN1" s="113" t="s">
        <v>8</v>
      </c>
      <c r="AO1" s="112"/>
      <c r="AP1" s="113" t="s">
        <v>27</v>
      </c>
      <c r="AQ1" s="112"/>
      <c r="AR1" s="113" t="s">
        <v>10</v>
      </c>
      <c r="AS1" s="112"/>
      <c r="AT1" s="114" t="s">
        <v>180</v>
      </c>
      <c r="AU1" s="112"/>
      <c r="AV1" s="113" t="s">
        <v>29</v>
      </c>
      <c r="AX1" s="115" t="s">
        <v>259</v>
      </c>
      <c r="AY1" s="116" t="s">
        <v>182</v>
      </c>
      <c r="AZ1" s="116" t="s">
        <v>260</v>
      </c>
      <c r="BA1" s="117" t="s">
        <v>184</v>
      </c>
    </row>
    <row r="2" spans="1:53" s="118" customFormat="1" x14ac:dyDescent="0.15">
      <c r="A2" s="118" t="s">
        <v>51</v>
      </c>
      <c r="B2" s="118" t="s">
        <v>157</v>
      </c>
      <c r="C2" s="118">
        <v>2019</v>
      </c>
      <c r="D2" s="119" t="s">
        <v>261</v>
      </c>
      <c r="E2" s="118" t="s">
        <v>262</v>
      </c>
      <c r="F2" s="118" t="s">
        <v>263</v>
      </c>
      <c r="G2" s="118" t="s">
        <v>42</v>
      </c>
      <c r="H2" s="118" t="s">
        <v>165</v>
      </c>
      <c r="I2" s="118" t="s">
        <v>159</v>
      </c>
      <c r="J2" s="118" t="s">
        <v>38</v>
      </c>
      <c r="L2" s="118">
        <v>1</v>
      </c>
      <c r="N2" s="118">
        <v>1</v>
      </c>
      <c r="O2" s="118">
        <v>0.75</v>
      </c>
      <c r="P2" s="118">
        <v>0.75</v>
      </c>
      <c r="Q2" s="120">
        <f t="shared" ref="Q2:Q65" si="0">IF(OR(O2="",P2=""),"",AVERAGE(O2,P2))</f>
        <v>0.75</v>
      </c>
      <c r="R2" s="118">
        <v>15.7</v>
      </c>
      <c r="S2" s="118">
        <v>124</v>
      </c>
      <c r="T2" s="121">
        <f t="shared" ref="T2:T65" si="1">IF(H2="","",IF(OR(H2="GREEN",H2="GK"),IF(S2&gt;=$AX$2,VLOOKUP(S2,$AX$2:$AY$12,2,1),""),IF(S2&gt;=$AZ$2,VLOOKUP(S2,$AZ$2:$BA$12,2,1),"")))</f>
        <v>27</v>
      </c>
      <c r="U2" s="118">
        <v>98</v>
      </c>
      <c r="V2" s="122">
        <f t="shared" ref="V2:V65" si="2">IF(OR(N2="",U2="",T2=""),"",U2/N2*T2)</f>
        <v>2646</v>
      </c>
      <c r="W2" s="118">
        <v>7</v>
      </c>
      <c r="X2" s="118" t="s">
        <v>39</v>
      </c>
      <c r="Y2" s="118" t="s">
        <v>69</v>
      </c>
      <c r="Z2" s="118" t="s">
        <v>40</v>
      </c>
      <c r="AA2" s="118" t="s">
        <v>47</v>
      </c>
      <c r="AB2" s="118" t="s">
        <v>158</v>
      </c>
      <c r="AE2" s="123" t="s">
        <v>35</v>
      </c>
      <c r="AG2" s="124" t="s">
        <v>210</v>
      </c>
      <c r="AH2" s="124" t="s">
        <v>264</v>
      </c>
      <c r="AJ2" s="124" t="s">
        <v>36</v>
      </c>
      <c r="AL2" s="124" t="s">
        <v>187</v>
      </c>
      <c r="AN2" s="124" t="s">
        <v>37</v>
      </c>
      <c r="AP2" s="124" t="s">
        <v>38</v>
      </c>
      <c r="AR2" s="124" t="s">
        <v>161</v>
      </c>
      <c r="AT2" s="124" t="s">
        <v>39</v>
      </c>
      <c r="AV2" s="124" t="s">
        <v>40</v>
      </c>
      <c r="AX2" s="125">
        <v>1</v>
      </c>
      <c r="AY2" s="126">
        <v>50</v>
      </c>
      <c r="AZ2" s="126">
        <v>1</v>
      </c>
      <c r="BA2" s="127">
        <v>50</v>
      </c>
    </row>
    <row r="3" spans="1:53" s="128" customFormat="1" x14ac:dyDescent="0.15">
      <c r="A3" s="118" t="s">
        <v>51</v>
      </c>
      <c r="B3" s="118" t="s">
        <v>157</v>
      </c>
      <c r="C3" s="118">
        <v>2019</v>
      </c>
      <c r="D3" s="119" t="s">
        <v>261</v>
      </c>
      <c r="E3" s="118" t="s">
        <v>262</v>
      </c>
      <c r="F3" s="118" t="s">
        <v>263</v>
      </c>
      <c r="G3" s="118" t="s">
        <v>42</v>
      </c>
      <c r="H3" s="118" t="s">
        <v>165</v>
      </c>
      <c r="I3" s="118" t="s">
        <v>159</v>
      </c>
      <c r="J3" s="118" t="s">
        <v>38</v>
      </c>
      <c r="K3" s="118"/>
      <c r="L3" s="118">
        <v>2</v>
      </c>
      <c r="M3" s="118"/>
      <c r="N3" s="118">
        <v>1</v>
      </c>
      <c r="O3" s="118">
        <v>0.8</v>
      </c>
      <c r="P3" s="118">
        <v>0.75</v>
      </c>
      <c r="Q3" s="120">
        <f t="shared" si="0"/>
        <v>0.77500000000000002</v>
      </c>
      <c r="R3" s="118">
        <v>15.4</v>
      </c>
      <c r="S3" s="118">
        <v>120</v>
      </c>
      <c r="T3" s="121">
        <f t="shared" si="1"/>
        <v>30</v>
      </c>
      <c r="U3" s="118">
        <v>98</v>
      </c>
      <c r="V3" s="122">
        <f t="shared" si="2"/>
        <v>2940</v>
      </c>
      <c r="W3" s="118">
        <v>7</v>
      </c>
      <c r="X3" s="118" t="s">
        <v>39</v>
      </c>
      <c r="Y3" s="118" t="s">
        <v>69</v>
      </c>
      <c r="Z3" s="118" t="s">
        <v>40</v>
      </c>
      <c r="AA3" s="118" t="s">
        <v>47</v>
      </c>
      <c r="AB3" s="118" t="s">
        <v>158</v>
      </c>
      <c r="AE3" s="129" t="s">
        <v>41</v>
      </c>
      <c r="AG3" s="124" t="s">
        <v>265</v>
      </c>
      <c r="AH3" s="124" t="s">
        <v>266</v>
      </c>
      <c r="AJ3" s="130" t="s">
        <v>42</v>
      </c>
      <c r="AL3" s="130" t="s">
        <v>189</v>
      </c>
      <c r="AN3" s="130" t="s">
        <v>43</v>
      </c>
      <c r="AP3" s="130" t="s">
        <v>44</v>
      </c>
      <c r="AR3" s="131" t="s">
        <v>45</v>
      </c>
      <c r="AT3" s="130" t="s">
        <v>46</v>
      </c>
      <c r="AV3" s="130" t="s">
        <v>47</v>
      </c>
      <c r="AX3" s="132">
        <v>72</v>
      </c>
      <c r="AY3" s="133">
        <v>46</v>
      </c>
      <c r="AZ3" s="133">
        <v>71</v>
      </c>
      <c r="BA3" s="134">
        <v>42</v>
      </c>
    </row>
    <row r="4" spans="1:53" s="128" customFormat="1" x14ac:dyDescent="0.15">
      <c r="A4" s="118" t="s">
        <v>51</v>
      </c>
      <c r="B4" s="118" t="s">
        <v>157</v>
      </c>
      <c r="C4" s="118">
        <v>2019</v>
      </c>
      <c r="D4" s="119" t="s">
        <v>261</v>
      </c>
      <c r="E4" s="118" t="s">
        <v>262</v>
      </c>
      <c r="F4" s="118" t="s">
        <v>263</v>
      </c>
      <c r="G4" s="118" t="s">
        <v>42</v>
      </c>
      <c r="H4" s="118" t="s">
        <v>165</v>
      </c>
      <c r="I4" s="118" t="s">
        <v>159</v>
      </c>
      <c r="J4" s="118" t="s">
        <v>38</v>
      </c>
      <c r="K4" s="118"/>
      <c r="L4" s="118">
        <v>3</v>
      </c>
      <c r="M4" s="118"/>
      <c r="N4" s="118">
        <v>1</v>
      </c>
      <c r="O4" s="118">
        <v>0.7</v>
      </c>
      <c r="P4" s="118">
        <v>0.85</v>
      </c>
      <c r="Q4" s="120">
        <f t="shared" si="0"/>
        <v>0.77499999999999991</v>
      </c>
      <c r="R4" s="118">
        <v>16.100000000000001</v>
      </c>
      <c r="S4" s="118">
        <v>128</v>
      </c>
      <c r="T4" s="121">
        <f t="shared" si="1"/>
        <v>27</v>
      </c>
      <c r="U4" s="118">
        <v>98</v>
      </c>
      <c r="V4" s="122">
        <f t="shared" si="2"/>
        <v>2646</v>
      </c>
      <c r="W4" s="118">
        <v>7</v>
      </c>
      <c r="X4" s="118" t="s">
        <v>39</v>
      </c>
      <c r="Y4" s="118" t="s">
        <v>69</v>
      </c>
      <c r="Z4" s="118" t="s">
        <v>40</v>
      </c>
      <c r="AA4" s="118" t="s">
        <v>47</v>
      </c>
      <c r="AB4" s="118" t="s">
        <v>158</v>
      </c>
      <c r="AE4" s="129" t="s">
        <v>34</v>
      </c>
      <c r="AG4" s="124" t="s">
        <v>267</v>
      </c>
      <c r="AH4" s="124" t="s">
        <v>268</v>
      </c>
      <c r="AJ4" s="135" t="s">
        <v>48</v>
      </c>
      <c r="AL4" s="135" t="s">
        <v>191</v>
      </c>
      <c r="AN4" s="136" t="s">
        <v>192</v>
      </c>
      <c r="AP4" s="130" t="s">
        <v>193</v>
      </c>
      <c r="AR4" s="131" t="s">
        <v>194</v>
      </c>
      <c r="AT4" s="136"/>
      <c r="AV4" s="130" t="s">
        <v>50</v>
      </c>
      <c r="AX4" s="132">
        <v>75</v>
      </c>
      <c r="AY4" s="133">
        <v>42</v>
      </c>
      <c r="AZ4" s="133">
        <v>76</v>
      </c>
      <c r="BA4" s="134">
        <v>39</v>
      </c>
    </row>
    <row r="5" spans="1:53" s="128" customFormat="1" x14ac:dyDescent="0.15">
      <c r="A5" s="118" t="s">
        <v>51</v>
      </c>
      <c r="B5" s="118" t="s">
        <v>157</v>
      </c>
      <c r="C5" s="118">
        <v>2019</v>
      </c>
      <c r="D5" s="119" t="s">
        <v>261</v>
      </c>
      <c r="E5" s="118" t="s">
        <v>262</v>
      </c>
      <c r="F5" s="118" t="s">
        <v>263</v>
      </c>
      <c r="G5" s="118" t="s">
        <v>42</v>
      </c>
      <c r="H5" s="118" t="s">
        <v>160</v>
      </c>
      <c r="I5" s="118" t="s">
        <v>159</v>
      </c>
      <c r="J5" s="118" t="s">
        <v>38</v>
      </c>
      <c r="K5" s="118"/>
      <c r="L5" s="118">
        <v>1</v>
      </c>
      <c r="M5" s="118"/>
      <c r="N5" s="118">
        <v>1</v>
      </c>
      <c r="O5" s="118">
        <v>0.65</v>
      </c>
      <c r="P5" s="118">
        <v>0.7</v>
      </c>
      <c r="Q5" s="120">
        <f t="shared" si="0"/>
        <v>0.67500000000000004</v>
      </c>
      <c r="R5" s="118">
        <v>17.5</v>
      </c>
      <c r="S5" s="118">
        <v>128</v>
      </c>
      <c r="T5" s="121">
        <f t="shared" si="1"/>
        <v>27</v>
      </c>
      <c r="U5" s="118">
        <v>138</v>
      </c>
      <c r="V5" s="122">
        <f t="shared" si="2"/>
        <v>3726</v>
      </c>
      <c r="W5" s="118">
        <v>7</v>
      </c>
      <c r="X5" s="118" t="s">
        <v>39</v>
      </c>
      <c r="Y5" s="118" t="s">
        <v>69</v>
      </c>
      <c r="Z5" s="118" t="s">
        <v>40</v>
      </c>
      <c r="AA5" s="118" t="s">
        <v>47</v>
      </c>
      <c r="AB5" s="118" t="s">
        <v>158</v>
      </c>
      <c r="AE5" s="129" t="s">
        <v>51</v>
      </c>
      <c r="AG5" s="124" t="s">
        <v>269</v>
      </c>
      <c r="AH5" s="124" t="s">
        <v>263</v>
      </c>
      <c r="AJ5" s="136"/>
      <c r="AL5" s="137" t="s">
        <v>165</v>
      </c>
      <c r="AN5" s="137" t="s">
        <v>159</v>
      </c>
      <c r="AP5" s="130" t="s">
        <v>196</v>
      </c>
      <c r="AR5" s="131" t="s">
        <v>54</v>
      </c>
      <c r="AV5" s="130" t="s">
        <v>55</v>
      </c>
      <c r="AX5" s="132">
        <v>84</v>
      </c>
      <c r="AY5" s="133">
        <v>39</v>
      </c>
      <c r="AZ5" s="133">
        <v>84</v>
      </c>
      <c r="BA5" s="134">
        <v>36</v>
      </c>
    </row>
    <row r="6" spans="1:53" s="128" customFormat="1" x14ac:dyDescent="0.15">
      <c r="A6" s="118" t="s">
        <v>51</v>
      </c>
      <c r="B6" s="118" t="s">
        <v>157</v>
      </c>
      <c r="C6" s="118">
        <v>2019</v>
      </c>
      <c r="D6" s="119" t="s">
        <v>261</v>
      </c>
      <c r="E6" s="118" t="s">
        <v>262</v>
      </c>
      <c r="F6" s="118" t="s">
        <v>263</v>
      </c>
      <c r="G6" s="118" t="s">
        <v>42</v>
      </c>
      <c r="H6" s="118" t="s">
        <v>160</v>
      </c>
      <c r="I6" s="118" t="s">
        <v>159</v>
      </c>
      <c r="J6" s="118" t="s">
        <v>38</v>
      </c>
      <c r="K6" s="118"/>
      <c r="L6" s="118">
        <v>2</v>
      </c>
      <c r="M6" s="118"/>
      <c r="N6" s="118">
        <v>1</v>
      </c>
      <c r="O6" s="118">
        <v>0.6</v>
      </c>
      <c r="P6" s="118">
        <v>0.65</v>
      </c>
      <c r="Q6" s="120">
        <f t="shared" si="0"/>
        <v>0.625</v>
      </c>
      <c r="R6" s="118">
        <v>18.2</v>
      </c>
      <c r="S6" s="118">
        <v>136</v>
      </c>
      <c r="T6" s="121">
        <f t="shared" si="1"/>
        <v>25</v>
      </c>
      <c r="U6" s="118">
        <v>138</v>
      </c>
      <c r="V6" s="122">
        <f t="shared" si="2"/>
        <v>3450</v>
      </c>
      <c r="W6" s="118">
        <v>7</v>
      </c>
      <c r="X6" s="118" t="s">
        <v>39</v>
      </c>
      <c r="Y6" s="118" t="s">
        <v>69</v>
      </c>
      <c r="Z6" s="118" t="s">
        <v>40</v>
      </c>
      <c r="AA6" s="118" t="s">
        <v>47</v>
      </c>
      <c r="AB6" s="118" t="s">
        <v>158</v>
      </c>
      <c r="AE6" s="129" t="s">
        <v>56</v>
      </c>
      <c r="AG6" s="124" t="s">
        <v>270</v>
      </c>
      <c r="AH6" s="124" t="s">
        <v>271</v>
      </c>
      <c r="AL6" s="137" t="s">
        <v>198</v>
      </c>
      <c r="AN6" s="137" t="s">
        <v>168</v>
      </c>
      <c r="AP6" s="130" t="s">
        <v>53</v>
      </c>
      <c r="AR6" s="131" t="s">
        <v>59</v>
      </c>
      <c r="AV6" s="130" t="s">
        <v>60</v>
      </c>
      <c r="AX6" s="132">
        <v>97</v>
      </c>
      <c r="AY6" s="133">
        <v>36</v>
      </c>
      <c r="AZ6" s="133">
        <v>99</v>
      </c>
      <c r="BA6" s="134">
        <v>33</v>
      </c>
    </row>
    <row r="7" spans="1:53" s="128" customFormat="1" x14ac:dyDescent="0.15">
      <c r="A7" s="118" t="s">
        <v>51</v>
      </c>
      <c r="B7" s="118" t="s">
        <v>157</v>
      </c>
      <c r="C7" s="118">
        <v>2019</v>
      </c>
      <c r="D7" s="119" t="s">
        <v>261</v>
      </c>
      <c r="E7" s="118" t="s">
        <v>262</v>
      </c>
      <c r="F7" s="118" t="s">
        <v>263</v>
      </c>
      <c r="G7" s="118" t="s">
        <v>42</v>
      </c>
      <c r="H7" s="118" t="s">
        <v>160</v>
      </c>
      <c r="I7" s="118" t="s">
        <v>159</v>
      </c>
      <c r="J7" s="118" t="s">
        <v>38</v>
      </c>
      <c r="K7" s="118"/>
      <c r="L7" s="118">
        <v>3</v>
      </c>
      <c r="M7" s="118"/>
      <c r="N7" s="118">
        <v>1</v>
      </c>
      <c r="O7" s="118">
        <v>0.55000000000000004</v>
      </c>
      <c r="P7" s="118">
        <v>0.55000000000000004</v>
      </c>
      <c r="Q7" s="120">
        <f t="shared" si="0"/>
        <v>0.55000000000000004</v>
      </c>
      <c r="R7" s="118">
        <v>17.600000000000001</v>
      </c>
      <c r="S7" s="118">
        <v>126</v>
      </c>
      <c r="T7" s="121">
        <f t="shared" si="1"/>
        <v>27</v>
      </c>
      <c r="U7" s="118">
        <v>138</v>
      </c>
      <c r="V7" s="122">
        <f t="shared" si="2"/>
        <v>3726</v>
      </c>
      <c r="W7" s="118">
        <v>7</v>
      </c>
      <c r="X7" s="118" t="s">
        <v>39</v>
      </c>
      <c r="Y7" s="118" t="s">
        <v>69</v>
      </c>
      <c r="Z7" s="118" t="s">
        <v>40</v>
      </c>
      <c r="AA7" s="118" t="s">
        <v>47</v>
      </c>
      <c r="AB7" s="118" t="s">
        <v>158</v>
      </c>
      <c r="AE7" s="129" t="s">
        <v>61</v>
      </c>
      <c r="AG7" s="124" t="s">
        <v>272</v>
      </c>
      <c r="AH7" s="124" t="s">
        <v>264</v>
      </c>
      <c r="AL7" s="128" t="s">
        <v>164</v>
      </c>
      <c r="AP7" s="130" t="s">
        <v>58</v>
      </c>
      <c r="AR7" s="131" t="s">
        <v>200</v>
      </c>
      <c r="AV7" s="130" t="s">
        <v>64</v>
      </c>
      <c r="AX7" s="132">
        <v>109</v>
      </c>
      <c r="AY7" s="133">
        <v>33</v>
      </c>
      <c r="AZ7" s="133">
        <v>113</v>
      </c>
      <c r="BA7" s="134">
        <v>30</v>
      </c>
    </row>
    <row r="8" spans="1:53" s="128" customFormat="1" x14ac:dyDescent="0.15">
      <c r="A8" s="118" t="s">
        <v>51</v>
      </c>
      <c r="B8" s="118" t="s">
        <v>157</v>
      </c>
      <c r="C8" s="118">
        <v>2019</v>
      </c>
      <c r="D8" s="119" t="s">
        <v>261</v>
      </c>
      <c r="E8" s="118" t="s">
        <v>262</v>
      </c>
      <c r="F8" s="118" t="s">
        <v>263</v>
      </c>
      <c r="G8" s="118" t="s">
        <v>42</v>
      </c>
      <c r="H8" s="118" t="s">
        <v>187</v>
      </c>
      <c r="I8" s="118" t="s">
        <v>159</v>
      </c>
      <c r="J8" s="118" t="s">
        <v>53</v>
      </c>
      <c r="K8" s="118"/>
      <c r="L8" s="118">
        <v>1</v>
      </c>
      <c r="M8" s="118"/>
      <c r="N8" s="118">
        <v>2</v>
      </c>
      <c r="O8" s="118">
        <v>0.25</v>
      </c>
      <c r="P8" s="118">
        <v>0.25</v>
      </c>
      <c r="Q8" s="120">
        <f t="shared" si="0"/>
        <v>0.25</v>
      </c>
      <c r="R8" s="118">
        <v>15.7</v>
      </c>
      <c r="S8" s="118">
        <v>152</v>
      </c>
      <c r="T8" s="121">
        <f t="shared" si="1"/>
        <v>18</v>
      </c>
      <c r="U8" s="118">
        <v>398</v>
      </c>
      <c r="V8" s="122">
        <f t="shared" si="2"/>
        <v>3582</v>
      </c>
      <c r="W8" s="118">
        <v>7</v>
      </c>
      <c r="X8" s="118" t="s">
        <v>39</v>
      </c>
      <c r="Y8" s="118" t="s">
        <v>69</v>
      </c>
      <c r="Z8" s="118" t="s">
        <v>40</v>
      </c>
      <c r="AA8" s="118" t="s">
        <v>47</v>
      </c>
      <c r="AB8" s="118" t="s">
        <v>158</v>
      </c>
      <c r="AE8" s="129" t="s">
        <v>59</v>
      </c>
      <c r="AG8" s="124" t="s">
        <v>273</v>
      </c>
      <c r="AH8" s="124" t="s">
        <v>274</v>
      </c>
      <c r="AL8" s="128" t="s">
        <v>160</v>
      </c>
      <c r="AP8" s="130" t="s">
        <v>62</v>
      </c>
      <c r="AR8" s="131" t="s">
        <v>81</v>
      </c>
      <c r="AV8" s="130" t="s">
        <v>97</v>
      </c>
      <c r="AX8" s="132">
        <v>119</v>
      </c>
      <c r="AY8" s="133">
        <v>30</v>
      </c>
      <c r="AZ8" s="133">
        <v>121</v>
      </c>
      <c r="BA8" s="134">
        <v>27</v>
      </c>
    </row>
    <row r="9" spans="1:53" s="128" customFormat="1" x14ac:dyDescent="0.15">
      <c r="A9" s="118" t="s">
        <v>51</v>
      </c>
      <c r="B9" s="118" t="s">
        <v>157</v>
      </c>
      <c r="C9" s="118">
        <v>2019</v>
      </c>
      <c r="D9" s="119" t="s">
        <v>261</v>
      </c>
      <c r="E9" s="118" t="s">
        <v>262</v>
      </c>
      <c r="F9" s="118" t="s">
        <v>263</v>
      </c>
      <c r="G9" s="118" t="s">
        <v>42</v>
      </c>
      <c r="H9" s="118" t="s">
        <v>187</v>
      </c>
      <c r="I9" s="118" t="s">
        <v>159</v>
      </c>
      <c r="J9" s="118" t="s">
        <v>53</v>
      </c>
      <c r="K9" s="118"/>
      <c r="L9" s="118">
        <v>2</v>
      </c>
      <c r="M9" s="118"/>
      <c r="N9" s="118">
        <v>2</v>
      </c>
      <c r="O9" s="118">
        <v>0.5</v>
      </c>
      <c r="P9" s="118">
        <v>0.5</v>
      </c>
      <c r="Q9" s="120">
        <f t="shared" si="0"/>
        <v>0.5</v>
      </c>
      <c r="R9" s="118">
        <v>15.5</v>
      </c>
      <c r="S9" s="118">
        <v>148</v>
      </c>
      <c r="T9" s="121">
        <f t="shared" si="1"/>
        <v>22</v>
      </c>
      <c r="U9" s="118">
        <v>398</v>
      </c>
      <c r="V9" s="122">
        <f t="shared" si="2"/>
        <v>4378</v>
      </c>
      <c r="W9" s="118">
        <v>7</v>
      </c>
      <c r="X9" s="118" t="s">
        <v>39</v>
      </c>
      <c r="Y9" s="118" t="s">
        <v>69</v>
      </c>
      <c r="Z9" s="118" t="s">
        <v>40</v>
      </c>
      <c r="AA9" s="118" t="s">
        <v>47</v>
      </c>
      <c r="AB9" s="118" t="s">
        <v>158</v>
      </c>
      <c r="AE9" s="129" t="s">
        <v>203</v>
      </c>
      <c r="AG9" s="124" t="s">
        <v>275</v>
      </c>
      <c r="AH9" s="124" t="s">
        <v>263</v>
      </c>
      <c r="AL9" s="137"/>
      <c r="AP9" s="130" t="s">
        <v>95</v>
      </c>
      <c r="AR9" s="131" t="s">
        <v>206</v>
      </c>
      <c r="AV9" s="130" t="s">
        <v>102</v>
      </c>
      <c r="AX9" s="132">
        <v>128</v>
      </c>
      <c r="AY9" s="133">
        <v>27</v>
      </c>
      <c r="AZ9" s="133">
        <v>129</v>
      </c>
      <c r="BA9" s="134">
        <v>25</v>
      </c>
    </row>
    <row r="10" spans="1:53" s="128" customFormat="1" x14ac:dyDescent="0.15">
      <c r="A10" s="118" t="s">
        <v>51</v>
      </c>
      <c r="B10" s="118" t="s">
        <v>157</v>
      </c>
      <c r="C10" s="118">
        <v>2019</v>
      </c>
      <c r="D10" s="119" t="s">
        <v>261</v>
      </c>
      <c r="E10" s="118" t="s">
        <v>262</v>
      </c>
      <c r="F10" s="118" t="s">
        <v>263</v>
      </c>
      <c r="G10" s="118" t="s">
        <v>42</v>
      </c>
      <c r="H10" s="118" t="s">
        <v>187</v>
      </c>
      <c r="I10" s="118" t="s">
        <v>159</v>
      </c>
      <c r="J10" s="118" t="s">
        <v>53</v>
      </c>
      <c r="K10" s="118"/>
      <c r="L10" s="118">
        <v>3</v>
      </c>
      <c r="M10" s="118"/>
      <c r="N10" s="118">
        <v>2</v>
      </c>
      <c r="O10" s="118">
        <v>0.55000000000000004</v>
      </c>
      <c r="P10" s="118">
        <v>0.55000000000000004</v>
      </c>
      <c r="Q10" s="120">
        <f t="shared" si="0"/>
        <v>0.55000000000000004</v>
      </c>
      <c r="R10" s="118">
        <v>16</v>
      </c>
      <c r="S10" s="118">
        <v>158</v>
      </c>
      <c r="T10" s="121">
        <f t="shared" si="1"/>
        <v>18</v>
      </c>
      <c r="U10" s="118">
        <v>398</v>
      </c>
      <c r="V10" s="122">
        <f t="shared" si="2"/>
        <v>3582</v>
      </c>
      <c r="W10" s="118">
        <v>7</v>
      </c>
      <c r="X10" s="118" t="s">
        <v>39</v>
      </c>
      <c r="Y10" s="118" t="s">
        <v>69</v>
      </c>
      <c r="Z10" s="118" t="s">
        <v>40</v>
      </c>
      <c r="AA10" s="118" t="s">
        <v>47</v>
      </c>
      <c r="AB10" s="118" t="s">
        <v>158</v>
      </c>
      <c r="AE10" s="129" t="s">
        <v>207</v>
      </c>
      <c r="AG10" s="124" t="s">
        <v>262</v>
      </c>
      <c r="AH10" s="130" t="s">
        <v>263</v>
      </c>
      <c r="AP10" s="130" t="s">
        <v>100</v>
      </c>
      <c r="AR10" s="131" t="s">
        <v>209</v>
      </c>
      <c r="AV10" s="130" t="s">
        <v>106</v>
      </c>
      <c r="AX10" s="132">
        <v>138</v>
      </c>
      <c r="AY10" s="133">
        <v>25</v>
      </c>
      <c r="AZ10" s="133">
        <v>138</v>
      </c>
      <c r="BA10" s="134">
        <v>22</v>
      </c>
    </row>
    <row r="11" spans="1:53" s="128" customFormat="1" x14ac:dyDescent="0.15">
      <c r="A11" s="118" t="s">
        <v>51</v>
      </c>
      <c r="B11" s="118" t="s">
        <v>157</v>
      </c>
      <c r="C11" s="118">
        <v>2019</v>
      </c>
      <c r="D11" s="119" t="s">
        <v>261</v>
      </c>
      <c r="E11" s="118" t="s">
        <v>265</v>
      </c>
      <c r="F11" s="118" t="s">
        <v>266</v>
      </c>
      <c r="G11" s="118" t="s">
        <v>36</v>
      </c>
      <c r="H11" s="118" t="s">
        <v>160</v>
      </c>
      <c r="I11" s="118" t="s">
        <v>159</v>
      </c>
      <c r="J11" s="118" t="s">
        <v>38</v>
      </c>
      <c r="K11" s="118"/>
      <c r="L11" s="118">
        <v>1</v>
      </c>
      <c r="M11" s="118"/>
      <c r="N11" s="118">
        <v>1</v>
      </c>
      <c r="O11" s="118">
        <v>0.75</v>
      </c>
      <c r="P11" s="118">
        <v>0.7</v>
      </c>
      <c r="Q11" s="120">
        <f t="shared" si="0"/>
        <v>0.72499999999999998</v>
      </c>
      <c r="R11" s="118">
        <v>16.7</v>
      </c>
      <c r="S11" s="118">
        <v>132</v>
      </c>
      <c r="T11" s="121">
        <f t="shared" si="1"/>
        <v>25</v>
      </c>
      <c r="U11" s="118">
        <v>138</v>
      </c>
      <c r="V11" s="122">
        <f t="shared" si="2"/>
        <v>3450</v>
      </c>
      <c r="W11" s="118">
        <v>7</v>
      </c>
      <c r="X11" s="118" t="s">
        <v>46</v>
      </c>
      <c r="Y11" s="118" t="s">
        <v>47</v>
      </c>
      <c r="Z11" s="118" t="s">
        <v>69</v>
      </c>
      <c r="AA11" s="118" t="s">
        <v>90</v>
      </c>
      <c r="AB11" s="118" t="s">
        <v>158</v>
      </c>
      <c r="AE11" s="129" t="s">
        <v>68</v>
      </c>
      <c r="AG11" s="124" t="s">
        <v>139</v>
      </c>
      <c r="AH11" s="130" t="s">
        <v>276</v>
      </c>
      <c r="AP11" s="130" t="s">
        <v>104</v>
      </c>
      <c r="AR11" s="131" t="s">
        <v>212</v>
      </c>
      <c r="AV11" s="130" t="s">
        <v>69</v>
      </c>
      <c r="AX11" s="132">
        <v>151</v>
      </c>
      <c r="AY11" s="133">
        <v>22</v>
      </c>
      <c r="AZ11" s="133">
        <v>152</v>
      </c>
      <c r="BA11" s="134">
        <v>18</v>
      </c>
    </row>
    <row r="12" spans="1:53" s="128" customFormat="1" x14ac:dyDescent="0.15">
      <c r="A12" s="118" t="s">
        <v>51</v>
      </c>
      <c r="B12" s="118" t="s">
        <v>157</v>
      </c>
      <c r="C12" s="118">
        <v>2019</v>
      </c>
      <c r="D12" s="119" t="s">
        <v>261</v>
      </c>
      <c r="E12" s="118" t="s">
        <v>265</v>
      </c>
      <c r="F12" s="118" t="s">
        <v>266</v>
      </c>
      <c r="G12" s="118" t="s">
        <v>36</v>
      </c>
      <c r="H12" s="118" t="s">
        <v>160</v>
      </c>
      <c r="I12" s="118" t="s">
        <v>159</v>
      </c>
      <c r="J12" s="118" t="s">
        <v>38</v>
      </c>
      <c r="K12" s="118"/>
      <c r="L12" s="118">
        <v>2</v>
      </c>
      <c r="M12" s="118"/>
      <c r="N12" s="118">
        <v>1</v>
      </c>
      <c r="O12" s="118">
        <v>0.65</v>
      </c>
      <c r="P12" s="118">
        <v>0.75</v>
      </c>
      <c r="Q12" s="120">
        <f t="shared" si="0"/>
        <v>0.7</v>
      </c>
      <c r="R12" s="118">
        <v>17.100000000000001</v>
      </c>
      <c r="S12" s="118">
        <v>136</v>
      </c>
      <c r="T12" s="121">
        <f t="shared" si="1"/>
        <v>25</v>
      </c>
      <c r="U12" s="118">
        <v>138</v>
      </c>
      <c r="V12" s="122">
        <f t="shared" si="2"/>
        <v>3450</v>
      </c>
      <c r="W12" s="118">
        <v>7</v>
      </c>
      <c r="X12" s="118" t="s">
        <v>46</v>
      </c>
      <c r="Y12" s="118" t="s">
        <v>47</v>
      </c>
      <c r="Z12" s="118" t="s">
        <v>69</v>
      </c>
      <c r="AA12" s="118" t="s">
        <v>90</v>
      </c>
      <c r="AB12" s="118" t="s">
        <v>158</v>
      </c>
      <c r="AE12" s="129" t="s">
        <v>213</v>
      </c>
      <c r="AG12" s="130"/>
      <c r="AH12" s="130"/>
      <c r="AP12" s="130" t="s">
        <v>67</v>
      </c>
      <c r="AR12" s="131" t="s">
        <v>214</v>
      </c>
      <c r="AV12" s="130" t="s">
        <v>72</v>
      </c>
      <c r="AX12" s="138">
        <v>180</v>
      </c>
      <c r="AY12" s="139">
        <v>18</v>
      </c>
      <c r="AZ12" s="139">
        <v>181</v>
      </c>
      <c r="BA12" s="140">
        <v>16</v>
      </c>
    </row>
    <row r="13" spans="1:53" s="128" customFormat="1" x14ac:dyDescent="0.15">
      <c r="A13" s="118" t="s">
        <v>51</v>
      </c>
      <c r="B13" s="118" t="s">
        <v>157</v>
      </c>
      <c r="C13" s="118">
        <v>2019</v>
      </c>
      <c r="D13" s="119" t="s">
        <v>261</v>
      </c>
      <c r="E13" s="118" t="s">
        <v>265</v>
      </c>
      <c r="F13" s="118" t="s">
        <v>266</v>
      </c>
      <c r="G13" s="118" t="s">
        <v>36</v>
      </c>
      <c r="H13" s="118" t="s">
        <v>160</v>
      </c>
      <c r="I13" s="118" t="s">
        <v>159</v>
      </c>
      <c r="J13" s="118" t="s">
        <v>38</v>
      </c>
      <c r="K13" s="118"/>
      <c r="L13" s="118">
        <v>3</v>
      </c>
      <c r="M13" s="118"/>
      <c r="N13" s="118">
        <v>1</v>
      </c>
      <c r="O13" s="118">
        <v>0.8</v>
      </c>
      <c r="P13" s="118">
        <v>0.7</v>
      </c>
      <c r="Q13" s="120">
        <f t="shared" si="0"/>
        <v>0.75</v>
      </c>
      <c r="R13" s="118">
        <v>16.5</v>
      </c>
      <c r="S13" s="118">
        <v>134</v>
      </c>
      <c r="T13" s="121">
        <f t="shared" si="1"/>
        <v>25</v>
      </c>
      <c r="U13" s="118">
        <v>138</v>
      </c>
      <c r="V13" s="122">
        <f t="shared" si="2"/>
        <v>3450</v>
      </c>
      <c r="W13" s="118">
        <v>7</v>
      </c>
      <c r="X13" s="118" t="s">
        <v>46</v>
      </c>
      <c r="Y13" s="118" t="s">
        <v>47</v>
      </c>
      <c r="Z13" s="118" t="s">
        <v>69</v>
      </c>
      <c r="AA13" s="118" t="s">
        <v>90</v>
      </c>
      <c r="AB13" s="118" t="s">
        <v>158</v>
      </c>
      <c r="AE13" s="129" t="s">
        <v>215</v>
      </c>
      <c r="AG13" s="130"/>
      <c r="AH13" s="130"/>
      <c r="AP13" s="130" t="s">
        <v>71</v>
      </c>
      <c r="AR13" s="131" t="s">
        <v>207</v>
      </c>
      <c r="AV13" s="130" t="s">
        <v>75</v>
      </c>
    </row>
    <row r="14" spans="1:53" s="128" customFormat="1" x14ac:dyDescent="0.15">
      <c r="A14" s="118" t="s">
        <v>51</v>
      </c>
      <c r="B14" s="118" t="s">
        <v>157</v>
      </c>
      <c r="C14" s="118">
        <v>2019</v>
      </c>
      <c r="D14" s="119" t="s">
        <v>261</v>
      </c>
      <c r="E14" s="118" t="s">
        <v>139</v>
      </c>
      <c r="F14" s="118" t="s">
        <v>276</v>
      </c>
      <c r="G14" s="118" t="s">
        <v>42</v>
      </c>
      <c r="H14" s="118" t="s">
        <v>165</v>
      </c>
      <c r="I14" s="118" t="s">
        <v>159</v>
      </c>
      <c r="J14" s="118" t="s">
        <v>38</v>
      </c>
      <c r="K14" s="118"/>
      <c r="L14" s="118">
        <v>1</v>
      </c>
      <c r="M14" s="118"/>
      <c r="N14" s="118">
        <v>1</v>
      </c>
      <c r="O14" s="118">
        <v>1</v>
      </c>
      <c r="P14" s="118">
        <v>0.85</v>
      </c>
      <c r="Q14" s="120">
        <f t="shared" si="0"/>
        <v>0.92500000000000004</v>
      </c>
      <c r="R14" s="118">
        <v>15.5</v>
      </c>
      <c r="S14" s="118">
        <v>146</v>
      </c>
      <c r="T14" s="121">
        <f t="shared" si="1"/>
        <v>22</v>
      </c>
      <c r="U14" s="118">
        <v>128</v>
      </c>
      <c r="V14" s="122">
        <f t="shared" si="2"/>
        <v>2816</v>
      </c>
      <c r="W14" s="118">
        <v>25</v>
      </c>
      <c r="X14" s="118" t="s">
        <v>46</v>
      </c>
      <c r="Y14" s="118" t="s">
        <v>55</v>
      </c>
      <c r="Z14" s="118" t="s">
        <v>69</v>
      </c>
      <c r="AA14" s="118" t="s">
        <v>47</v>
      </c>
      <c r="AB14" s="118" t="s">
        <v>158</v>
      </c>
      <c r="AE14" s="129" t="s">
        <v>96</v>
      </c>
      <c r="AG14" s="130"/>
      <c r="AH14" s="130"/>
      <c r="AP14" s="130" t="s">
        <v>74</v>
      </c>
      <c r="AR14" s="131" t="s">
        <v>216</v>
      </c>
      <c r="AV14" s="130" t="s">
        <v>78</v>
      </c>
    </row>
    <row r="15" spans="1:53" s="128" customFormat="1" x14ac:dyDescent="0.15">
      <c r="A15" s="118" t="s">
        <v>51</v>
      </c>
      <c r="B15" s="118" t="s">
        <v>157</v>
      </c>
      <c r="C15" s="118">
        <v>2019</v>
      </c>
      <c r="D15" s="119" t="s">
        <v>261</v>
      </c>
      <c r="E15" s="118" t="s">
        <v>139</v>
      </c>
      <c r="F15" s="118" t="s">
        <v>276</v>
      </c>
      <c r="G15" s="118" t="s">
        <v>42</v>
      </c>
      <c r="H15" s="118" t="s">
        <v>165</v>
      </c>
      <c r="I15" s="118" t="s">
        <v>159</v>
      </c>
      <c r="J15" s="118" t="s">
        <v>38</v>
      </c>
      <c r="K15" s="118"/>
      <c r="L15" s="118">
        <v>2</v>
      </c>
      <c r="M15" s="118"/>
      <c r="N15" s="118">
        <v>1</v>
      </c>
      <c r="O15" s="118">
        <v>0.9</v>
      </c>
      <c r="P15" s="118">
        <v>0.75</v>
      </c>
      <c r="Q15" s="120">
        <f t="shared" si="0"/>
        <v>0.82499999999999996</v>
      </c>
      <c r="R15" s="118">
        <v>15.9</v>
      </c>
      <c r="S15" s="118">
        <v>148</v>
      </c>
      <c r="T15" s="121">
        <f t="shared" si="1"/>
        <v>22</v>
      </c>
      <c r="U15" s="118">
        <v>128</v>
      </c>
      <c r="V15" s="122">
        <f t="shared" si="2"/>
        <v>2816</v>
      </c>
      <c r="W15" s="118">
        <v>25</v>
      </c>
      <c r="X15" s="118" t="s">
        <v>46</v>
      </c>
      <c r="Y15" s="118" t="s">
        <v>55</v>
      </c>
      <c r="Z15" s="118" t="s">
        <v>69</v>
      </c>
      <c r="AA15" s="118" t="s">
        <v>47</v>
      </c>
      <c r="AB15" s="118" t="s">
        <v>158</v>
      </c>
      <c r="AE15" s="129" t="s">
        <v>217</v>
      </c>
      <c r="AG15" s="130"/>
      <c r="AH15" s="130"/>
      <c r="AP15" s="130" t="s">
        <v>77</v>
      </c>
      <c r="AR15" s="131" t="s">
        <v>80</v>
      </c>
      <c r="AV15" s="130" t="s">
        <v>107</v>
      </c>
    </row>
    <row r="16" spans="1:53" s="128" customFormat="1" x14ac:dyDescent="0.15">
      <c r="A16" s="118" t="s">
        <v>51</v>
      </c>
      <c r="B16" s="118" t="s">
        <v>157</v>
      </c>
      <c r="C16" s="118">
        <v>2019</v>
      </c>
      <c r="D16" s="119" t="s">
        <v>261</v>
      </c>
      <c r="E16" s="118" t="s">
        <v>139</v>
      </c>
      <c r="F16" s="118" t="s">
        <v>276</v>
      </c>
      <c r="G16" s="118" t="s">
        <v>42</v>
      </c>
      <c r="H16" s="118" t="s">
        <v>165</v>
      </c>
      <c r="I16" s="118" t="s">
        <v>159</v>
      </c>
      <c r="J16" s="118" t="s">
        <v>38</v>
      </c>
      <c r="K16" s="118"/>
      <c r="L16" s="118">
        <v>3</v>
      </c>
      <c r="M16" s="118"/>
      <c r="N16" s="118">
        <v>1</v>
      </c>
      <c r="O16" s="118">
        <v>0.8</v>
      </c>
      <c r="P16" s="118">
        <v>0.75</v>
      </c>
      <c r="Q16" s="120">
        <f t="shared" si="0"/>
        <v>0.77500000000000002</v>
      </c>
      <c r="R16" s="118">
        <v>16.2</v>
      </c>
      <c r="S16" s="118">
        <v>148</v>
      </c>
      <c r="T16" s="121">
        <f t="shared" si="1"/>
        <v>22</v>
      </c>
      <c r="U16" s="118">
        <v>128</v>
      </c>
      <c r="V16" s="122">
        <f t="shared" si="2"/>
        <v>2816</v>
      </c>
      <c r="W16" s="118">
        <v>25</v>
      </c>
      <c r="X16" s="118" t="s">
        <v>46</v>
      </c>
      <c r="Y16" s="118" t="s">
        <v>55</v>
      </c>
      <c r="Z16" s="118" t="s">
        <v>69</v>
      </c>
      <c r="AA16" s="118" t="s">
        <v>47</v>
      </c>
      <c r="AB16" s="118" t="s">
        <v>158</v>
      </c>
      <c r="AE16" s="129" t="s">
        <v>218</v>
      </c>
      <c r="AG16" s="136"/>
      <c r="AH16" s="136"/>
      <c r="AP16" s="130" t="s">
        <v>80</v>
      </c>
      <c r="AR16" s="131" t="s">
        <v>63</v>
      </c>
      <c r="AV16" s="130" t="s">
        <v>84</v>
      </c>
    </row>
    <row r="17" spans="1:48" s="128" customFormat="1" x14ac:dyDescent="0.15">
      <c r="A17" s="118" t="s">
        <v>51</v>
      </c>
      <c r="B17" s="118" t="s">
        <v>157</v>
      </c>
      <c r="C17" s="118">
        <v>2019</v>
      </c>
      <c r="D17" s="119" t="s">
        <v>261</v>
      </c>
      <c r="E17" s="118" t="s">
        <v>139</v>
      </c>
      <c r="F17" s="118" t="s">
        <v>276</v>
      </c>
      <c r="G17" s="118" t="s">
        <v>42</v>
      </c>
      <c r="H17" s="118" t="s">
        <v>160</v>
      </c>
      <c r="I17" s="118" t="s">
        <v>159</v>
      </c>
      <c r="J17" s="118" t="s">
        <v>38</v>
      </c>
      <c r="K17" s="118"/>
      <c r="L17" s="118">
        <v>1</v>
      </c>
      <c r="M17" s="118"/>
      <c r="N17" s="118">
        <v>1</v>
      </c>
      <c r="O17" s="118">
        <v>0.9</v>
      </c>
      <c r="P17" s="118">
        <v>0.8</v>
      </c>
      <c r="Q17" s="120">
        <f t="shared" si="0"/>
        <v>0.85000000000000009</v>
      </c>
      <c r="R17" s="118">
        <v>16.600000000000001</v>
      </c>
      <c r="S17" s="118">
        <v>112</v>
      </c>
      <c r="T17" s="121">
        <f t="shared" si="1"/>
        <v>33</v>
      </c>
      <c r="U17" s="118">
        <v>98</v>
      </c>
      <c r="V17" s="122">
        <f t="shared" si="2"/>
        <v>3234</v>
      </c>
      <c r="W17" s="118">
        <v>25</v>
      </c>
      <c r="X17" s="118" t="s">
        <v>46</v>
      </c>
      <c r="Y17" s="118" t="s">
        <v>55</v>
      </c>
      <c r="Z17" s="118" t="s">
        <v>69</v>
      </c>
      <c r="AA17" s="118" t="s">
        <v>47</v>
      </c>
      <c r="AB17" s="118" t="s">
        <v>158</v>
      </c>
      <c r="AE17" s="129" t="s">
        <v>219</v>
      </c>
      <c r="AP17" s="141" t="s">
        <v>220</v>
      </c>
      <c r="AR17" s="131" t="s">
        <v>96</v>
      </c>
      <c r="AV17" s="130" t="s">
        <v>86</v>
      </c>
    </row>
    <row r="18" spans="1:48" s="128" customFormat="1" x14ac:dyDescent="0.15">
      <c r="A18" s="118" t="s">
        <v>51</v>
      </c>
      <c r="B18" s="118" t="s">
        <v>157</v>
      </c>
      <c r="C18" s="118">
        <v>2019</v>
      </c>
      <c r="D18" s="119" t="s">
        <v>261</v>
      </c>
      <c r="E18" s="118" t="s">
        <v>139</v>
      </c>
      <c r="F18" s="118" t="s">
        <v>276</v>
      </c>
      <c r="G18" s="118" t="s">
        <v>42</v>
      </c>
      <c r="H18" s="118" t="s">
        <v>160</v>
      </c>
      <c r="I18" s="118" t="s">
        <v>159</v>
      </c>
      <c r="J18" s="118" t="s">
        <v>38</v>
      </c>
      <c r="K18" s="118"/>
      <c r="L18" s="118">
        <v>2</v>
      </c>
      <c r="M18" s="118"/>
      <c r="N18" s="118">
        <v>1</v>
      </c>
      <c r="O18" s="118">
        <v>0.75</v>
      </c>
      <c r="P18" s="118">
        <v>0.85</v>
      </c>
      <c r="Q18" s="120">
        <f t="shared" si="0"/>
        <v>0.8</v>
      </c>
      <c r="R18" s="118">
        <v>16.399999999999999</v>
      </c>
      <c r="S18" s="118">
        <v>114</v>
      </c>
      <c r="T18" s="121">
        <f t="shared" si="1"/>
        <v>30</v>
      </c>
      <c r="U18" s="118">
        <v>98</v>
      </c>
      <c r="V18" s="122">
        <f t="shared" si="2"/>
        <v>2940</v>
      </c>
      <c r="W18" s="118">
        <v>25</v>
      </c>
      <c r="X18" s="118" t="s">
        <v>46</v>
      </c>
      <c r="Y18" s="118" t="s">
        <v>55</v>
      </c>
      <c r="Z18" s="118" t="s">
        <v>69</v>
      </c>
      <c r="AA18" s="118" t="s">
        <v>47</v>
      </c>
      <c r="AB18" s="118" t="s">
        <v>158</v>
      </c>
      <c r="AE18" s="129" t="s">
        <v>212</v>
      </c>
      <c r="AP18" s="141" t="s">
        <v>221</v>
      </c>
      <c r="AR18" s="131" t="s">
        <v>101</v>
      </c>
      <c r="AV18" s="130" t="s">
        <v>88</v>
      </c>
    </row>
    <row r="19" spans="1:48" s="128" customFormat="1" x14ac:dyDescent="0.15">
      <c r="A19" s="118" t="s">
        <v>51</v>
      </c>
      <c r="B19" s="118" t="s">
        <v>157</v>
      </c>
      <c r="C19" s="118">
        <v>2019</v>
      </c>
      <c r="D19" s="119" t="s">
        <v>261</v>
      </c>
      <c r="E19" s="118" t="s">
        <v>139</v>
      </c>
      <c r="F19" s="118" t="s">
        <v>276</v>
      </c>
      <c r="G19" s="118" t="s">
        <v>42</v>
      </c>
      <c r="H19" s="118" t="s">
        <v>160</v>
      </c>
      <c r="I19" s="118" t="s">
        <v>159</v>
      </c>
      <c r="J19" s="118" t="s">
        <v>38</v>
      </c>
      <c r="K19" s="118"/>
      <c r="L19" s="118">
        <v>3</v>
      </c>
      <c r="M19" s="118"/>
      <c r="N19" s="118">
        <v>1</v>
      </c>
      <c r="O19" s="118">
        <v>0.8</v>
      </c>
      <c r="P19" s="118">
        <v>0.8</v>
      </c>
      <c r="Q19" s="120">
        <f t="shared" si="0"/>
        <v>0.8</v>
      </c>
      <c r="R19" s="118">
        <v>16.8</v>
      </c>
      <c r="S19" s="118">
        <v>114</v>
      </c>
      <c r="T19" s="121">
        <f t="shared" si="1"/>
        <v>30</v>
      </c>
      <c r="U19" s="118">
        <v>98</v>
      </c>
      <c r="V19" s="122">
        <f t="shared" si="2"/>
        <v>2940</v>
      </c>
      <c r="W19" s="118">
        <v>25</v>
      </c>
      <c r="X19" s="118" t="s">
        <v>46</v>
      </c>
      <c r="Y19" s="118" t="s">
        <v>55</v>
      </c>
      <c r="Z19" s="118" t="s">
        <v>69</v>
      </c>
      <c r="AA19" s="118" t="s">
        <v>47</v>
      </c>
      <c r="AB19" s="118" t="s">
        <v>158</v>
      </c>
      <c r="AE19" s="142" t="s">
        <v>206</v>
      </c>
      <c r="AP19" s="141" t="s">
        <v>222</v>
      </c>
      <c r="AR19" s="131" t="s">
        <v>223</v>
      </c>
      <c r="AV19" s="130" t="s">
        <v>90</v>
      </c>
    </row>
    <row r="20" spans="1:48" s="128" customFormat="1" x14ac:dyDescent="0.15">
      <c r="A20" s="118" t="s">
        <v>51</v>
      </c>
      <c r="B20" s="118" t="s">
        <v>157</v>
      </c>
      <c r="C20" s="118">
        <v>2019</v>
      </c>
      <c r="D20" s="119" t="s">
        <v>261</v>
      </c>
      <c r="E20" s="118" t="s">
        <v>270</v>
      </c>
      <c r="F20" s="118" t="s">
        <v>271</v>
      </c>
      <c r="G20" s="118" t="s">
        <v>36</v>
      </c>
      <c r="H20" s="118" t="s">
        <v>165</v>
      </c>
      <c r="I20" s="118" t="s">
        <v>159</v>
      </c>
      <c r="J20" s="118" t="s">
        <v>38</v>
      </c>
      <c r="K20" s="118"/>
      <c r="L20" s="118">
        <v>1</v>
      </c>
      <c r="M20" s="118"/>
      <c r="N20" s="118">
        <v>1</v>
      </c>
      <c r="O20" s="118">
        <v>0.6</v>
      </c>
      <c r="P20" s="118">
        <v>0.6</v>
      </c>
      <c r="Q20" s="120">
        <f t="shared" si="0"/>
        <v>0.6</v>
      </c>
      <c r="R20" s="118">
        <v>15.5</v>
      </c>
      <c r="S20" s="118">
        <v>140</v>
      </c>
      <c r="T20" s="121">
        <f t="shared" si="1"/>
        <v>22</v>
      </c>
      <c r="U20" s="118">
        <v>128</v>
      </c>
      <c r="V20" s="122">
        <f t="shared" si="2"/>
        <v>2816</v>
      </c>
      <c r="W20" s="118">
        <v>10</v>
      </c>
      <c r="X20" s="118" t="s">
        <v>46</v>
      </c>
      <c r="Y20" s="118" t="s">
        <v>69</v>
      </c>
      <c r="Z20" s="118" t="s">
        <v>47</v>
      </c>
      <c r="AA20" s="118" t="s">
        <v>55</v>
      </c>
      <c r="AB20" s="118" t="s">
        <v>158</v>
      </c>
      <c r="AE20" s="142"/>
      <c r="AP20" s="141" t="s">
        <v>224</v>
      </c>
      <c r="AR20" s="131" t="s">
        <v>105</v>
      </c>
      <c r="AV20" s="135" t="s">
        <v>225</v>
      </c>
    </row>
    <row r="21" spans="1:48" s="128" customFormat="1" x14ac:dyDescent="0.15">
      <c r="A21" s="118" t="s">
        <v>51</v>
      </c>
      <c r="B21" s="118" t="s">
        <v>157</v>
      </c>
      <c r="C21" s="118">
        <v>2019</v>
      </c>
      <c r="D21" s="119" t="s">
        <v>261</v>
      </c>
      <c r="E21" s="118" t="s">
        <v>270</v>
      </c>
      <c r="F21" s="118" t="s">
        <v>271</v>
      </c>
      <c r="G21" s="118" t="s">
        <v>36</v>
      </c>
      <c r="H21" s="118" t="s">
        <v>165</v>
      </c>
      <c r="I21" s="118" t="s">
        <v>159</v>
      </c>
      <c r="J21" s="118" t="s">
        <v>38</v>
      </c>
      <c r="K21" s="118"/>
      <c r="L21" s="118">
        <v>2</v>
      </c>
      <c r="M21" s="118"/>
      <c r="N21" s="118">
        <v>1</v>
      </c>
      <c r="O21" s="118">
        <v>0.55000000000000004</v>
      </c>
      <c r="P21" s="118">
        <v>0.65</v>
      </c>
      <c r="Q21" s="120">
        <f t="shared" si="0"/>
        <v>0.60000000000000009</v>
      </c>
      <c r="R21" s="118">
        <v>14.9</v>
      </c>
      <c r="S21" s="118">
        <v>138</v>
      </c>
      <c r="T21" s="121">
        <f t="shared" si="1"/>
        <v>22</v>
      </c>
      <c r="U21" s="118">
        <v>128</v>
      </c>
      <c r="V21" s="122">
        <f t="shared" si="2"/>
        <v>2816</v>
      </c>
      <c r="W21" s="118">
        <v>10</v>
      </c>
      <c r="X21" s="118" t="s">
        <v>46</v>
      </c>
      <c r="Y21" s="118" t="s">
        <v>69</v>
      </c>
      <c r="Z21" s="118" t="s">
        <v>47</v>
      </c>
      <c r="AA21" s="118" t="s">
        <v>55</v>
      </c>
      <c r="AB21" s="118" t="s">
        <v>158</v>
      </c>
      <c r="AE21" s="136"/>
      <c r="AP21" s="141" t="s">
        <v>226</v>
      </c>
      <c r="AR21" s="131" t="s">
        <v>68</v>
      </c>
      <c r="AV21" s="135" t="s">
        <v>227</v>
      </c>
    </row>
    <row r="22" spans="1:48" s="128" customFormat="1" x14ac:dyDescent="0.15">
      <c r="A22" s="118" t="s">
        <v>51</v>
      </c>
      <c r="B22" s="118" t="s">
        <v>157</v>
      </c>
      <c r="C22" s="118">
        <v>2019</v>
      </c>
      <c r="D22" s="119" t="s">
        <v>261</v>
      </c>
      <c r="E22" s="118" t="s">
        <v>270</v>
      </c>
      <c r="F22" s="118" t="s">
        <v>271</v>
      </c>
      <c r="G22" s="118" t="s">
        <v>36</v>
      </c>
      <c r="H22" s="118" t="s">
        <v>165</v>
      </c>
      <c r="I22" s="118" t="s">
        <v>159</v>
      </c>
      <c r="J22" s="118" t="s">
        <v>38</v>
      </c>
      <c r="K22" s="118"/>
      <c r="L22" s="118">
        <v>3</v>
      </c>
      <c r="M22" s="118"/>
      <c r="N22" s="118">
        <v>1</v>
      </c>
      <c r="O22" s="118">
        <v>0.65</v>
      </c>
      <c r="P22" s="118">
        <v>0.7</v>
      </c>
      <c r="Q22" s="120">
        <f t="shared" si="0"/>
        <v>0.67500000000000004</v>
      </c>
      <c r="R22" s="118">
        <v>15.8</v>
      </c>
      <c r="S22" s="118">
        <v>140</v>
      </c>
      <c r="T22" s="121">
        <f t="shared" si="1"/>
        <v>22</v>
      </c>
      <c r="U22" s="118">
        <v>128</v>
      </c>
      <c r="V22" s="122">
        <f t="shared" si="2"/>
        <v>2816</v>
      </c>
      <c r="W22" s="118">
        <v>10</v>
      </c>
      <c r="X22" s="118" t="s">
        <v>46</v>
      </c>
      <c r="Y22" s="118" t="s">
        <v>69</v>
      </c>
      <c r="Z22" s="118" t="s">
        <v>47</v>
      </c>
      <c r="AA22" s="118" t="s">
        <v>55</v>
      </c>
      <c r="AB22" s="118" t="s">
        <v>158</v>
      </c>
      <c r="AP22" s="141" t="s">
        <v>228</v>
      </c>
      <c r="AR22" s="131" t="s">
        <v>83</v>
      </c>
      <c r="AV22" s="135"/>
    </row>
    <row r="23" spans="1:48" s="128" customFormat="1" x14ac:dyDescent="0.15">
      <c r="A23" s="118" t="s">
        <v>51</v>
      </c>
      <c r="B23" s="118" t="s">
        <v>157</v>
      </c>
      <c r="C23" s="118">
        <v>2019</v>
      </c>
      <c r="D23" s="119" t="s">
        <v>261</v>
      </c>
      <c r="E23" s="118" t="s">
        <v>270</v>
      </c>
      <c r="F23" s="118" t="s">
        <v>271</v>
      </c>
      <c r="G23" s="118" t="s">
        <v>36</v>
      </c>
      <c r="H23" s="118" t="s">
        <v>160</v>
      </c>
      <c r="I23" s="118" t="s">
        <v>159</v>
      </c>
      <c r="J23" s="118" t="s">
        <v>38</v>
      </c>
      <c r="K23" s="118"/>
      <c r="L23" s="118">
        <v>1</v>
      </c>
      <c r="M23" s="118"/>
      <c r="N23" s="118">
        <v>1</v>
      </c>
      <c r="O23" s="118">
        <v>0.55000000000000004</v>
      </c>
      <c r="P23" s="118">
        <v>0.65</v>
      </c>
      <c r="Q23" s="120">
        <f t="shared" si="0"/>
        <v>0.60000000000000009</v>
      </c>
      <c r="R23" s="118">
        <v>18.2</v>
      </c>
      <c r="S23" s="118">
        <v>148</v>
      </c>
      <c r="T23" s="121">
        <f t="shared" si="1"/>
        <v>22</v>
      </c>
      <c r="U23" s="118">
        <v>98</v>
      </c>
      <c r="V23" s="122">
        <f t="shared" si="2"/>
        <v>2156</v>
      </c>
      <c r="W23" s="118">
        <v>10</v>
      </c>
      <c r="X23" s="118" t="s">
        <v>46</v>
      </c>
      <c r="Y23" s="118" t="s">
        <v>69</v>
      </c>
      <c r="Z23" s="118" t="s">
        <v>47</v>
      </c>
      <c r="AA23" s="118" t="s">
        <v>55</v>
      </c>
      <c r="AB23" s="118" t="s">
        <v>158</v>
      </c>
      <c r="AP23" s="141" t="s">
        <v>277</v>
      </c>
      <c r="AR23" s="131" t="s">
        <v>61</v>
      </c>
    </row>
    <row r="24" spans="1:48" s="128" customFormat="1" x14ac:dyDescent="0.15">
      <c r="A24" s="118" t="s">
        <v>51</v>
      </c>
      <c r="B24" s="118" t="s">
        <v>157</v>
      </c>
      <c r="C24" s="118">
        <v>2019</v>
      </c>
      <c r="D24" s="119" t="s">
        <v>261</v>
      </c>
      <c r="E24" s="118" t="s">
        <v>270</v>
      </c>
      <c r="F24" s="118" t="s">
        <v>271</v>
      </c>
      <c r="G24" s="118" t="s">
        <v>36</v>
      </c>
      <c r="H24" s="118" t="s">
        <v>160</v>
      </c>
      <c r="I24" s="118" t="s">
        <v>159</v>
      </c>
      <c r="J24" s="118" t="s">
        <v>38</v>
      </c>
      <c r="K24" s="118"/>
      <c r="L24" s="118">
        <v>2</v>
      </c>
      <c r="M24" s="118"/>
      <c r="N24" s="118">
        <v>1</v>
      </c>
      <c r="O24" s="118">
        <v>0.5</v>
      </c>
      <c r="P24" s="118">
        <v>0.5</v>
      </c>
      <c r="Q24" s="120">
        <f t="shared" si="0"/>
        <v>0.5</v>
      </c>
      <c r="R24" s="118">
        <v>17.7</v>
      </c>
      <c r="S24" s="118">
        <v>136</v>
      </c>
      <c r="T24" s="121">
        <f t="shared" si="1"/>
        <v>25</v>
      </c>
      <c r="U24" s="118">
        <v>98</v>
      </c>
      <c r="V24" s="122">
        <f t="shared" si="2"/>
        <v>2450</v>
      </c>
      <c r="W24" s="118">
        <v>10</v>
      </c>
      <c r="X24" s="118" t="s">
        <v>46</v>
      </c>
      <c r="Y24" s="118" t="s">
        <v>69</v>
      </c>
      <c r="Z24" s="118" t="s">
        <v>47</v>
      </c>
      <c r="AA24" s="118" t="s">
        <v>55</v>
      </c>
      <c r="AB24" s="118" t="s">
        <v>158</v>
      </c>
      <c r="AP24" s="141" t="s">
        <v>278</v>
      </c>
      <c r="AR24" s="131" t="s">
        <v>91</v>
      </c>
    </row>
    <row r="25" spans="1:48" s="128" customFormat="1" x14ac:dyDescent="0.15">
      <c r="A25" s="118" t="s">
        <v>51</v>
      </c>
      <c r="B25" s="118" t="s">
        <v>157</v>
      </c>
      <c r="C25" s="118">
        <v>2019</v>
      </c>
      <c r="D25" s="119" t="s">
        <v>261</v>
      </c>
      <c r="E25" s="118" t="s">
        <v>270</v>
      </c>
      <c r="F25" s="118" t="s">
        <v>271</v>
      </c>
      <c r="G25" s="118" t="s">
        <v>36</v>
      </c>
      <c r="H25" s="118" t="s">
        <v>160</v>
      </c>
      <c r="I25" s="118" t="s">
        <v>159</v>
      </c>
      <c r="J25" s="118" t="s">
        <v>38</v>
      </c>
      <c r="K25" s="118"/>
      <c r="L25" s="118">
        <v>3</v>
      </c>
      <c r="M25" s="118"/>
      <c r="N25" s="118">
        <v>1</v>
      </c>
      <c r="O25" s="118">
        <v>0.7</v>
      </c>
      <c r="P25" s="118">
        <v>0.75</v>
      </c>
      <c r="Q25" s="120">
        <f t="shared" si="0"/>
        <v>0.72499999999999998</v>
      </c>
      <c r="R25" s="118">
        <v>17.899999999999999</v>
      </c>
      <c r="S25" s="118">
        <v>152</v>
      </c>
      <c r="T25" s="121">
        <f t="shared" si="1"/>
        <v>18</v>
      </c>
      <c r="U25" s="118">
        <v>98</v>
      </c>
      <c r="V25" s="122">
        <f t="shared" si="2"/>
        <v>1764</v>
      </c>
      <c r="W25" s="118">
        <v>10</v>
      </c>
      <c r="X25" s="118" t="s">
        <v>46</v>
      </c>
      <c r="Y25" s="118" t="s">
        <v>69</v>
      </c>
      <c r="Z25" s="118" t="s">
        <v>47</v>
      </c>
      <c r="AA25" s="118" t="s">
        <v>55</v>
      </c>
      <c r="AB25" s="118" t="s">
        <v>158</v>
      </c>
      <c r="AP25" s="141" t="s">
        <v>279</v>
      </c>
      <c r="AR25" s="141" t="s">
        <v>51</v>
      </c>
    </row>
    <row r="26" spans="1:48" s="128" customFormat="1" x14ac:dyDescent="0.15">
      <c r="A26" s="118" t="s">
        <v>51</v>
      </c>
      <c r="B26" s="118" t="s">
        <v>157</v>
      </c>
      <c r="C26" s="118">
        <v>2019</v>
      </c>
      <c r="D26" s="119" t="s">
        <v>261</v>
      </c>
      <c r="E26" s="118" t="s">
        <v>210</v>
      </c>
      <c r="F26" s="118" t="s">
        <v>264</v>
      </c>
      <c r="G26" s="118" t="s">
        <v>42</v>
      </c>
      <c r="H26" s="118" t="s">
        <v>165</v>
      </c>
      <c r="I26" s="118" t="s">
        <v>159</v>
      </c>
      <c r="J26" s="118" t="s">
        <v>38</v>
      </c>
      <c r="K26" s="118"/>
      <c r="L26" s="118">
        <v>1</v>
      </c>
      <c r="M26" s="118"/>
      <c r="N26" s="118">
        <v>1</v>
      </c>
      <c r="O26" s="118">
        <v>0.75</v>
      </c>
      <c r="P26" s="118">
        <v>0.6</v>
      </c>
      <c r="Q26" s="120">
        <f t="shared" si="0"/>
        <v>0.67500000000000004</v>
      </c>
      <c r="R26" s="118">
        <v>16.899999999999999</v>
      </c>
      <c r="S26" s="118">
        <v>126</v>
      </c>
      <c r="T26" s="121">
        <f t="shared" si="1"/>
        <v>27</v>
      </c>
      <c r="U26" s="118">
        <v>127</v>
      </c>
      <c r="V26" s="122">
        <f t="shared" si="2"/>
        <v>3429</v>
      </c>
      <c r="W26" s="118">
        <v>24</v>
      </c>
      <c r="X26" s="118" t="s">
        <v>46</v>
      </c>
      <c r="Y26" s="118" t="s">
        <v>47</v>
      </c>
      <c r="Z26" s="118" t="s">
        <v>55</v>
      </c>
      <c r="AA26" s="118" t="s">
        <v>69</v>
      </c>
      <c r="AB26" s="118" t="s">
        <v>158</v>
      </c>
      <c r="AP26" s="141" t="s">
        <v>229</v>
      </c>
      <c r="AR26" s="128" t="s">
        <v>230</v>
      </c>
    </row>
    <row r="27" spans="1:48" s="128" customFormat="1" x14ac:dyDescent="0.15">
      <c r="A27" s="118" t="s">
        <v>51</v>
      </c>
      <c r="B27" s="118" t="s">
        <v>157</v>
      </c>
      <c r="C27" s="118">
        <v>2019</v>
      </c>
      <c r="D27" s="119" t="s">
        <v>261</v>
      </c>
      <c r="E27" s="118" t="s">
        <v>210</v>
      </c>
      <c r="F27" s="118" t="s">
        <v>264</v>
      </c>
      <c r="G27" s="118" t="s">
        <v>42</v>
      </c>
      <c r="H27" s="118" t="s">
        <v>165</v>
      </c>
      <c r="I27" s="118" t="s">
        <v>159</v>
      </c>
      <c r="J27" s="118" t="s">
        <v>38</v>
      </c>
      <c r="K27" s="118"/>
      <c r="L27" s="118">
        <v>2</v>
      </c>
      <c r="M27" s="118"/>
      <c r="N27" s="118">
        <v>1</v>
      </c>
      <c r="O27" s="118">
        <v>0.65</v>
      </c>
      <c r="P27" s="118">
        <v>0.7</v>
      </c>
      <c r="Q27" s="120">
        <f t="shared" si="0"/>
        <v>0.67500000000000004</v>
      </c>
      <c r="R27" s="118">
        <v>17.2</v>
      </c>
      <c r="S27" s="118">
        <v>124</v>
      </c>
      <c r="T27" s="121">
        <f t="shared" si="1"/>
        <v>27</v>
      </c>
      <c r="U27" s="118">
        <v>127</v>
      </c>
      <c r="V27" s="122">
        <f t="shared" si="2"/>
        <v>3429</v>
      </c>
      <c r="W27" s="118">
        <v>24</v>
      </c>
      <c r="X27" s="118" t="s">
        <v>46</v>
      </c>
      <c r="Y27" s="118" t="s">
        <v>47</v>
      </c>
      <c r="Z27" s="118" t="s">
        <v>55</v>
      </c>
      <c r="AA27" s="118" t="s">
        <v>69</v>
      </c>
      <c r="AB27" s="118" t="s">
        <v>158</v>
      </c>
      <c r="AP27" s="141" t="s">
        <v>231</v>
      </c>
    </row>
    <row r="28" spans="1:48" s="128" customFormat="1" x14ac:dyDescent="0.15">
      <c r="A28" s="118" t="s">
        <v>51</v>
      </c>
      <c r="B28" s="118" t="s">
        <v>157</v>
      </c>
      <c r="C28" s="118">
        <v>2019</v>
      </c>
      <c r="D28" s="119" t="s">
        <v>261</v>
      </c>
      <c r="E28" s="118" t="s">
        <v>210</v>
      </c>
      <c r="F28" s="118" t="s">
        <v>264</v>
      </c>
      <c r="G28" s="118" t="s">
        <v>42</v>
      </c>
      <c r="H28" s="118" t="s">
        <v>165</v>
      </c>
      <c r="I28" s="118" t="s">
        <v>159</v>
      </c>
      <c r="J28" s="118" t="s">
        <v>38</v>
      </c>
      <c r="K28" s="118"/>
      <c r="L28" s="118">
        <v>3</v>
      </c>
      <c r="M28" s="118"/>
      <c r="N28" s="118">
        <v>1</v>
      </c>
      <c r="O28" s="118">
        <v>0.7</v>
      </c>
      <c r="P28" s="118">
        <v>0.6</v>
      </c>
      <c r="Q28" s="120">
        <f t="shared" si="0"/>
        <v>0.64999999999999991</v>
      </c>
      <c r="R28" s="118">
        <v>16.8</v>
      </c>
      <c r="S28" s="118">
        <v>124</v>
      </c>
      <c r="T28" s="121">
        <f t="shared" si="1"/>
        <v>27</v>
      </c>
      <c r="U28" s="118">
        <v>127</v>
      </c>
      <c r="V28" s="122">
        <f t="shared" si="2"/>
        <v>3429</v>
      </c>
      <c r="W28" s="118">
        <v>24</v>
      </c>
      <c r="X28" s="118" t="s">
        <v>46</v>
      </c>
      <c r="Y28" s="118" t="s">
        <v>47</v>
      </c>
      <c r="Z28" s="118" t="s">
        <v>55</v>
      </c>
      <c r="AA28" s="118" t="s">
        <v>69</v>
      </c>
      <c r="AB28" s="118" t="s">
        <v>158</v>
      </c>
    </row>
    <row r="29" spans="1:48" s="128" customFormat="1" x14ac:dyDescent="0.15">
      <c r="A29" s="118" t="s">
        <v>51</v>
      </c>
      <c r="B29" s="118" t="s">
        <v>157</v>
      </c>
      <c r="C29" s="118">
        <v>2019</v>
      </c>
      <c r="D29" s="119" t="s">
        <v>261</v>
      </c>
      <c r="E29" s="118" t="s">
        <v>210</v>
      </c>
      <c r="F29" s="118" t="s">
        <v>264</v>
      </c>
      <c r="G29" s="118" t="s">
        <v>42</v>
      </c>
      <c r="H29" s="118" t="s">
        <v>160</v>
      </c>
      <c r="I29" s="118" t="s">
        <v>159</v>
      </c>
      <c r="J29" s="118" t="s">
        <v>38</v>
      </c>
      <c r="K29" s="118"/>
      <c r="L29" s="118">
        <v>1</v>
      </c>
      <c r="M29" s="118"/>
      <c r="N29" s="118">
        <v>1</v>
      </c>
      <c r="O29" s="118">
        <v>0.75</v>
      </c>
      <c r="P29" s="118">
        <v>0.75</v>
      </c>
      <c r="Q29" s="120">
        <f t="shared" si="0"/>
        <v>0.75</v>
      </c>
      <c r="R29" s="118">
        <v>16.7</v>
      </c>
      <c r="S29" s="118">
        <v>132</v>
      </c>
      <c r="T29" s="121">
        <f t="shared" si="1"/>
        <v>25</v>
      </c>
      <c r="U29" s="118">
        <v>127</v>
      </c>
      <c r="V29" s="122">
        <f t="shared" si="2"/>
        <v>3175</v>
      </c>
      <c r="W29" s="118">
        <v>24</v>
      </c>
      <c r="X29" s="118" t="s">
        <v>46</v>
      </c>
      <c r="Y29" s="118" t="s">
        <v>47</v>
      </c>
      <c r="Z29" s="118" t="s">
        <v>55</v>
      </c>
      <c r="AA29" s="118" t="s">
        <v>69</v>
      </c>
      <c r="AB29" s="118" t="s">
        <v>158</v>
      </c>
    </row>
    <row r="30" spans="1:48" s="128" customFormat="1" x14ac:dyDescent="0.15">
      <c r="A30" s="118" t="s">
        <v>51</v>
      </c>
      <c r="B30" s="118" t="s">
        <v>157</v>
      </c>
      <c r="C30" s="118">
        <v>2019</v>
      </c>
      <c r="D30" s="119" t="s">
        <v>261</v>
      </c>
      <c r="E30" s="118" t="s">
        <v>210</v>
      </c>
      <c r="F30" s="118" t="s">
        <v>264</v>
      </c>
      <c r="G30" s="118" t="s">
        <v>42</v>
      </c>
      <c r="H30" s="118" t="s">
        <v>160</v>
      </c>
      <c r="I30" s="118" t="s">
        <v>159</v>
      </c>
      <c r="J30" s="118" t="s">
        <v>38</v>
      </c>
      <c r="K30" s="118"/>
      <c r="L30" s="118">
        <v>2</v>
      </c>
      <c r="M30" s="118"/>
      <c r="N30" s="118">
        <v>1</v>
      </c>
      <c r="O30" s="118">
        <v>0.8</v>
      </c>
      <c r="P30" s="118">
        <v>0.65</v>
      </c>
      <c r="Q30" s="120">
        <f t="shared" si="0"/>
        <v>0.72500000000000009</v>
      </c>
      <c r="R30" s="118">
        <v>17.5</v>
      </c>
      <c r="S30" s="118">
        <v>148</v>
      </c>
      <c r="T30" s="121">
        <f t="shared" si="1"/>
        <v>22</v>
      </c>
      <c r="U30" s="118">
        <v>127</v>
      </c>
      <c r="V30" s="122">
        <f t="shared" si="2"/>
        <v>2794</v>
      </c>
      <c r="W30" s="118">
        <v>24</v>
      </c>
      <c r="X30" s="118" t="s">
        <v>46</v>
      </c>
      <c r="Y30" s="118" t="s">
        <v>47</v>
      </c>
      <c r="Z30" s="118" t="s">
        <v>55</v>
      </c>
      <c r="AA30" s="118" t="s">
        <v>69</v>
      </c>
      <c r="AB30" s="118" t="s">
        <v>158</v>
      </c>
    </row>
    <row r="31" spans="1:48" s="128" customFormat="1" x14ac:dyDescent="0.15">
      <c r="A31" s="118" t="s">
        <v>51</v>
      </c>
      <c r="B31" s="118" t="s">
        <v>157</v>
      </c>
      <c r="C31" s="118">
        <v>2019</v>
      </c>
      <c r="D31" s="119" t="s">
        <v>261</v>
      </c>
      <c r="E31" s="118" t="s">
        <v>210</v>
      </c>
      <c r="F31" s="118" t="s">
        <v>264</v>
      </c>
      <c r="G31" s="118" t="s">
        <v>42</v>
      </c>
      <c r="H31" s="118" t="s">
        <v>160</v>
      </c>
      <c r="I31" s="118" t="s">
        <v>159</v>
      </c>
      <c r="J31" s="118" t="s">
        <v>38</v>
      </c>
      <c r="K31" s="118"/>
      <c r="L31" s="118">
        <v>3</v>
      </c>
      <c r="M31" s="118"/>
      <c r="N31" s="118">
        <v>1</v>
      </c>
      <c r="O31" s="118">
        <v>0.75</v>
      </c>
      <c r="P31" s="118">
        <v>0.8</v>
      </c>
      <c r="Q31" s="120">
        <f t="shared" si="0"/>
        <v>0.77500000000000002</v>
      </c>
      <c r="R31" s="118">
        <v>17.3</v>
      </c>
      <c r="S31" s="118">
        <v>146</v>
      </c>
      <c r="T31" s="121">
        <f t="shared" si="1"/>
        <v>22</v>
      </c>
      <c r="U31" s="118">
        <v>127</v>
      </c>
      <c r="V31" s="122">
        <f t="shared" si="2"/>
        <v>2794</v>
      </c>
      <c r="W31" s="118">
        <v>24</v>
      </c>
      <c r="X31" s="118" t="s">
        <v>46</v>
      </c>
      <c r="Y31" s="118" t="s">
        <v>47</v>
      </c>
      <c r="Z31" s="118" t="s">
        <v>55</v>
      </c>
      <c r="AA31" s="118" t="s">
        <v>69</v>
      </c>
      <c r="AB31" s="118" t="s">
        <v>158</v>
      </c>
    </row>
    <row r="32" spans="1:48" s="128" customFormat="1" x14ac:dyDescent="0.15">
      <c r="A32" s="118" t="s">
        <v>51</v>
      </c>
      <c r="B32" s="118" t="s">
        <v>157</v>
      </c>
      <c r="C32" s="118">
        <v>2019</v>
      </c>
      <c r="D32" s="119" t="s">
        <v>261</v>
      </c>
      <c r="E32" s="118" t="s">
        <v>272</v>
      </c>
      <c r="F32" s="118" t="s">
        <v>264</v>
      </c>
      <c r="G32" s="118" t="s">
        <v>42</v>
      </c>
      <c r="H32" s="118" t="s">
        <v>164</v>
      </c>
      <c r="I32" s="118" t="s">
        <v>159</v>
      </c>
      <c r="J32" s="118" t="s">
        <v>38</v>
      </c>
      <c r="K32" s="118"/>
      <c r="L32" s="118">
        <v>1</v>
      </c>
      <c r="M32" s="118"/>
      <c r="N32" s="118">
        <v>5</v>
      </c>
      <c r="O32" s="118">
        <v>0.8</v>
      </c>
      <c r="P32" s="118">
        <v>0.7</v>
      </c>
      <c r="Q32" s="120">
        <f t="shared" si="0"/>
        <v>0.75</v>
      </c>
      <c r="R32" s="118">
        <v>18.100000000000001</v>
      </c>
      <c r="S32" s="118">
        <v>89</v>
      </c>
      <c r="T32" s="121">
        <f t="shared" si="1"/>
        <v>36</v>
      </c>
      <c r="U32" s="118">
        <v>298</v>
      </c>
      <c r="V32" s="122">
        <f t="shared" si="2"/>
        <v>2145.6</v>
      </c>
      <c r="W32" s="118">
        <v>30</v>
      </c>
      <c r="X32" s="118" t="s">
        <v>46</v>
      </c>
      <c r="Y32" s="118" t="s">
        <v>55</v>
      </c>
      <c r="Z32" s="118" t="s">
        <v>90</v>
      </c>
      <c r="AA32" s="118" t="s">
        <v>69</v>
      </c>
      <c r="AB32" s="118" t="s">
        <v>158</v>
      </c>
    </row>
    <row r="33" spans="1:28" s="128" customFormat="1" x14ac:dyDescent="0.15">
      <c r="A33" s="118" t="s">
        <v>51</v>
      </c>
      <c r="B33" s="118" t="s">
        <v>157</v>
      </c>
      <c r="C33" s="118">
        <v>2019</v>
      </c>
      <c r="D33" s="119" t="s">
        <v>261</v>
      </c>
      <c r="E33" s="118" t="s">
        <v>272</v>
      </c>
      <c r="F33" s="118" t="s">
        <v>264</v>
      </c>
      <c r="G33" s="118" t="s">
        <v>42</v>
      </c>
      <c r="H33" s="118" t="s">
        <v>164</v>
      </c>
      <c r="I33" s="118" t="s">
        <v>159</v>
      </c>
      <c r="J33" s="118" t="s">
        <v>38</v>
      </c>
      <c r="K33" s="118"/>
      <c r="L33" s="118">
        <v>2</v>
      </c>
      <c r="M33" s="118"/>
      <c r="N33" s="118">
        <v>5</v>
      </c>
      <c r="O33" s="118">
        <v>0.8</v>
      </c>
      <c r="P33" s="118">
        <v>0.95</v>
      </c>
      <c r="Q33" s="120">
        <f t="shared" si="0"/>
        <v>0.875</v>
      </c>
      <c r="R33" s="118">
        <v>17.899999999999999</v>
      </c>
      <c r="S33" s="118">
        <v>75</v>
      </c>
      <c r="T33" s="121">
        <f t="shared" si="1"/>
        <v>42</v>
      </c>
      <c r="U33" s="118">
        <v>298</v>
      </c>
      <c r="V33" s="122">
        <f t="shared" si="2"/>
        <v>2503.2000000000003</v>
      </c>
      <c r="W33" s="118">
        <v>30</v>
      </c>
      <c r="X33" s="118" t="s">
        <v>46</v>
      </c>
      <c r="Y33" s="118" t="s">
        <v>55</v>
      </c>
      <c r="Z33" s="118" t="s">
        <v>90</v>
      </c>
      <c r="AA33" s="118" t="s">
        <v>69</v>
      </c>
      <c r="AB33" s="118" t="s">
        <v>158</v>
      </c>
    </row>
    <row r="34" spans="1:28" s="128" customFormat="1" x14ac:dyDescent="0.15">
      <c r="A34" s="118" t="s">
        <v>51</v>
      </c>
      <c r="B34" s="118" t="s">
        <v>157</v>
      </c>
      <c r="C34" s="118">
        <v>2019</v>
      </c>
      <c r="D34" s="119" t="s">
        <v>261</v>
      </c>
      <c r="E34" s="118" t="s">
        <v>272</v>
      </c>
      <c r="F34" s="118" t="s">
        <v>264</v>
      </c>
      <c r="G34" s="118" t="s">
        <v>42</v>
      </c>
      <c r="H34" s="118" t="s">
        <v>164</v>
      </c>
      <c r="I34" s="118" t="s">
        <v>159</v>
      </c>
      <c r="J34" s="118" t="s">
        <v>38</v>
      </c>
      <c r="K34" s="118"/>
      <c r="L34" s="118">
        <v>3</v>
      </c>
      <c r="M34" s="118"/>
      <c r="N34" s="118">
        <v>5</v>
      </c>
      <c r="O34" s="118">
        <v>0.65</v>
      </c>
      <c r="P34" s="118">
        <v>0.65</v>
      </c>
      <c r="Q34" s="120">
        <f t="shared" si="0"/>
        <v>0.65</v>
      </c>
      <c r="R34" s="118">
        <v>15.9</v>
      </c>
      <c r="S34" s="118">
        <v>74</v>
      </c>
      <c r="T34" s="121">
        <f t="shared" si="1"/>
        <v>42</v>
      </c>
      <c r="U34" s="118">
        <v>298</v>
      </c>
      <c r="V34" s="122">
        <f t="shared" si="2"/>
        <v>2503.2000000000003</v>
      </c>
      <c r="W34" s="118">
        <v>30</v>
      </c>
      <c r="X34" s="118" t="s">
        <v>46</v>
      </c>
      <c r="Y34" s="118" t="s">
        <v>55</v>
      </c>
      <c r="Z34" s="118" t="s">
        <v>90</v>
      </c>
      <c r="AA34" s="118" t="s">
        <v>69</v>
      </c>
      <c r="AB34" s="118" t="s">
        <v>158</v>
      </c>
    </row>
    <row r="35" spans="1:28" s="128" customFormat="1" x14ac:dyDescent="0.15">
      <c r="A35" s="118" t="s">
        <v>51</v>
      </c>
      <c r="B35" s="118" t="s">
        <v>157</v>
      </c>
      <c r="C35" s="118">
        <v>2019</v>
      </c>
      <c r="D35" s="119" t="s">
        <v>261</v>
      </c>
      <c r="E35" s="118" t="s">
        <v>272</v>
      </c>
      <c r="F35" s="118" t="s">
        <v>264</v>
      </c>
      <c r="G35" s="118" t="s">
        <v>42</v>
      </c>
      <c r="H35" s="118" t="s">
        <v>160</v>
      </c>
      <c r="I35" s="118" t="s">
        <v>159</v>
      </c>
      <c r="J35" s="118" t="s">
        <v>38</v>
      </c>
      <c r="K35" s="118"/>
      <c r="L35" s="118">
        <v>1</v>
      </c>
      <c r="M35" s="118"/>
      <c r="N35" s="118">
        <v>4</v>
      </c>
      <c r="O35" s="118">
        <v>0.65</v>
      </c>
      <c r="P35" s="118">
        <v>0.75</v>
      </c>
      <c r="Q35" s="120">
        <f t="shared" si="0"/>
        <v>0.7</v>
      </c>
      <c r="R35" s="118">
        <v>16.600000000000001</v>
      </c>
      <c r="S35" s="118">
        <v>100</v>
      </c>
      <c r="T35" s="121">
        <f t="shared" si="1"/>
        <v>33</v>
      </c>
      <c r="U35" s="118">
        <v>398</v>
      </c>
      <c r="V35" s="122">
        <f t="shared" si="2"/>
        <v>3283.5</v>
      </c>
      <c r="W35" s="118">
        <v>30</v>
      </c>
      <c r="X35" s="118" t="s">
        <v>46</v>
      </c>
      <c r="Y35" s="118" t="s">
        <v>55</v>
      </c>
      <c r="Z35" s="118" t="s">
        <v>90</v>
      </c>
      <c r="AA35" s="118" t="s">
        <v>69</v>
      </c>
      <c r="AB35" s="118" t="s">
        <v>158</v>
      </c>
    </row>
    <row r="36" spans="1:28" s="128" customFormat="1" x14ac:dyDescent="0.15">
      <c r="A36" s="118" t="s">
        <v>51</v>
      </c>
      <c r="B36" s="118" t="s">
        <v>157</v>
      </c>
      <c r="C36" s="118">
        <v>2019</v>
      </c>
      <c r="D36" s="119" t="s">
        <v>261</v>
      </c>
      <c r="E36" s="118" t="s">
        <v>272</v>
      </c>
      <c r="F36" s="118" t="s">
        <v>264</v>
      </c>
      <c r="G36" s="118" t="s">
        <v>42</v>
      </c>
      <c r="H36" s="118" t="s">
        <v>160</v>
      </c>
      <c r="I36" s="118" t="s">
        <v>159</v>
      </c>
      <c r="J36" s="118" t="s">
        <v>38</v>
      </c>
      <c r="K36" s="118"/>
      <c r="L36" s="118">
        <v>2</v>
      </c>
      <c r="M36" s="118"/>
      <c r="N36" s="118">
        <v>4</v>
      </c>
      <c r="O36" s="118">
        <v>0.8</v>
      </c>
      <c r="P36" s="118">
        <v>0.7</v>
      </c>
      <c r="Q36" s="120">
        <f t="shared" si="0"/>
        <v>0.75</v>
      </c>
      <c r="R36" s="118">
        <v>16.899999999999999</v>
      </c>
      <c r="S36" s="118">
        <v>100</v>
      </c>
      <c r="T36" s="121">
        <f t="shared" si="1"/>
        <v>33</v>
      </c>
      <c r="U36" s="118">
        <v>398</v>
      </c>
      <c r="V36" s="122">
        <f t="shared" si="2"/>
        <v>3283.5</v>
      </c>
      <c r="W36" s="118">
        <v>30</v>
      </c>
      <c r="X36" s="118" t="s">
        <v>46</v>
      </c>
      <c r="Y36" s="118" t="s">
        <v>55</v>
      </c>
      <c r="Z36" s="118" t="s">
        <v>90</v>
      </c>
      <c r="AA36" s="118" t="s">
        <v>69</v>
      </c>
      <c r="AB36" s="118" t="s">
        <v>158</v>
      </c>
    </row>
    <row r="37" spans="1:28" s="128" customFormat="1" x14ac:dyDescent="0.15">
      <c r="A37" s="118" t="s">
        <v>51</v>
      </c>
      <c r="B37" s="118" t="s">
        <v>157</v>
      </c>
      <c r="C37" s="118">
        <v>2019</v>
      </c>
      <c r="D37" s="119" t="s">
        <v>261</v>
      </c>
      <c r="E37" s="118" t="s">
        <v>272</v>
      </c>
      <c r="F37" s="118" t="s">
        <v>264</v>
      </c>
      <c r="G37" s="118" t="s">
        <v>42</v>
      </c>
      <c r="H37" s="118" t="s">
        <v>160</v>
      </c>
      <c r="I37" s="118" t="s">
        <v>159</v>
      </c>
      <c r="J37" s="118" t="s">
        <v>38</v>
      </c>
      <c r="K37" s="118"/>
      <c r="L37" s="118">
        <v>3</v>
      </c>
      <c r="M37" s="118"/>
      <c r="N37" s="118">
        <v>4</v>
      </c>
      <c r="O37" s="118">
        <v>0.75</v>
      </c>
      <c r="P37" s="118">
        <v>0.75</v>
      </c>
      <c r="Q37" s="120">
        <f t="shared" si="0"/>
        <v>0.75</v>
      </c>
      <c r="R37" s="118">
        <v>16.7</v>
      </c>
      <c r="S37" s="118">
        <v>97</v>
      </c>
      <c r="T37" s="121">
        <f t="shared" si="1"/>
        <v>36</v>
      </c>
      <c r="U37" s="118">
        <v>398</v>
      </c>
      <c r="V37" s="122">
        <f t="shared" si="2"/>
        <v>3582</v>
      </c>
      <c r="W37" s="118">
        <v>30</v>
      </c>
      <c r="X37" s="118" t="s">
        <v>46</v>
      </c>
      <c r="Y37" s="118" t="s">
        <v>55</v>
      </c>
      <c r="Z37" s="118" t="s">
        <v>90</v>
      </c>
      <c r="AA37" s="118" t="s">
        <v>69</v>
      </c>
      <c r="AB37" s="118" t="s">
        <v>158</v>
      </c>
    </row>
    <row r="38" spans="1:28" s="128" customFormat="1" x14ac:dyDescent="0.15">
      <c r="A38" s="118" t="s">
        <v>51</v>
      </c>
      <c r="B38" s="118" t="s">
        <v>157</v>
      </c>
      <c r="C38" s="118">
        <v>2019</v>
      </c>
      <c r="D38" s="119" t="s">
        <v>261</v>
      </c>
      <c r="E38" s="118" t="s">
        <v>267</v>
      </c>
      <c r="F38" s="118" t="s">
        <v>268</v>
      </c>
      <c r="G38" s="118" t="s">
        <v>42</v>
      </c>
      <c r="H38" s="118" t="s">
        <v>165</v>
      </c>
      <c r="I38" s="118" t="s">
        <v>159</v>
      </c>
      <c r="J38" s="118" t="s">
        <v>38</v>
      </c>
      <c r="K38" s="118"/>
      <c r="L38" s="118">
        <v>1</v>
      </c>
      <c r="M38" s="118"/>
      <c r="N38" s="118">
        <v>1</v>
      </c>
      <c r="O38" s="118">
        <v>0.8</v>
      </c>
      <c r="P38" s="118">
        <v>0.6</v>
      </c>
      <c r="Q38" s="120">
        <f t="shared" si="0"/>
        <v>0.7</v>
      </c>
      <c r="R38" s="118">
        <v>16.2</v>
      </c>
      <c r="S38" s="118">
        <v>132</v>
      </c>
      <c r="T38" s="121">
        <f t="shared" si="1"/>
        <v>25</v>
      </c>
      <c r="U38" s="118">
        <v>128</v>
      </c>
      <c r="V38" s="122">
        <f t="shared" si="2"/>
        <v>3200</v>
      </c>
      <c r="W38" s="118">
        <v>14</v>
      </c>
      <c r="X38" s="118" t="s">
        <v>46</v>
      </c>
      <c r="Y38" s="118" t="s">
        <v>69</v>
      </c>
      <c r="Z38" s="118" t="s">
        <v>55</v>
      </c>
      <c r="AA38" s="118" t="s">
        <v>106</v>
      </c>
      <c r="AB38" s="118" t="s">
        <v>158</v>
      </c>
    </row>
    <row r="39" spans="1:28" s="128" customFormat="1" x14ac:dyDescent="0.15">
      <c r="A39" s="118" t="s">
        <v>51</v>
      </c>
      <c r="B39" s="118" t="s">
        <v>157</v>
      </c>
      <c r="C39" s="118">
        <v>2019</v>
      </c>
      <c r="D39" s="119" t="s">
        <v>261</v>
      </c>
      <c r="E39" s="118" t="s">
        <v>267</v>
      </c>
      <c r="F39" s="118" t="s">
        <v>268</v>
      </c>
      <c r="G39" s="118" t="s">
        <v>42</v>
      </c>
      <c r="H39" s="118" t="s">
        <v>165</v>
      </c>
      <c r="I39" s="118" t="s">
        <v>159</v>
      </c>
      <c r="J39" s="118" t="s">
        <v>38</v>
      </c>
      <c r="K39" s="118"/>
      <c r="L39" s="118">
        <v>2</v>
      </c>
      <c r="M39" s="118"/>
      <c r="N39" s="118">
        <v>1</v>
      </c>
      <c r="O39" s="118">
        <v>0.7</v>
      </c>
      <c r="P39" s="118">
        <v>0.7</v>
      </c>
      <c r="Q39" s="120">
        <f t="shared" si="0"/>
        <v>0.7</v>
      </c>
      <c r="R39" s="118">
        <v>15.8</v>
      </c>
      <c r="S39" s="118">
        <v>128</v>
      </c>
      <c r="T39" s="121">
        <f t="shared" si="1"/>
        <v>27</v>
      </c>
      <c r="U39" s="118">
        <v>128</v>
      </c>
      <c r="V39" s="122">
        <f t="shared" si="2"/>
        <v>3456</v>
      </c>
      <c r="W39" s="118">
        <v>14</v>
      </c>
      <c r="X39" s="118" t="s">
        <v>46</v>
      </c>
      <c r="Y39" s="118" t="s">
        <v>69</v>
      </c>
      <c r="Z39" s="118" t="s">
        <v>55</v>
      </c>
      <c r="AA39" s="118" t="s">
        <v>106</v>
      </c>
      <c r="AB39" s="118" t="s">
        <v>158</v>
      </c>
    </row>
    <row r="40" spans="1:28" s="128" customFormat="1" x14ac:dyDescent="0.15">
      <c r="A40" s="118" t="s">
        <v>51</v>
      </c>
      <c r="B40" s="118" t="s">
        <v>157</v>
      </c>
      <c r="C40" s="118">
        <v>2019</v>
      </c>
      <c r="D40" s="119" t="s">
        <v>261</v>
      </c>
      <c r="E40" s="118" t="s">
        <v>267</v>
      </c>
      <c r="F40" s="118" t="s">
        <v>268</v>
      </c>
      <c r="G40" s="118" t="s">
        <v>42</v>
      </c>
      <c r="H40" s="118" t="s">
        <v>165</v>
      </c>
      <c r="I40" s="118" t="s">
        <v>159</v>
      </c>
      <c r="J40" s="118" t="s">
        <v>38</v>
      </c>
      <c r="K40" s="118"/>
      <c r="L40" s="118">
        <v>3</v>
      </c>
      <c r="M40" s="118"/>
      <c r="N40" s="118">
        <v>1</v>
      </c>
      <c r="O40" s="118">
        <v>0.65</v>
      </c>
      <c r="P40" s="118">
        <v>0.75</v>
      </c>
      <c r="Q40" s="120">
        <f t="shared" si="0"/>
        <v>0.7</v>
      </c>
      <c r="R40" s="118">
        <v>15.6</v>
      </c>
      <c r="S40" s="118">
        <v>126</v>
      </c>
      <c r="T40" s="121">
        <f t="shared" si="1"/>
        <v>27</v>
      </c>
      <c r="U40" s="118">
        <v>128</v>
      </c>
      <c r="V40" s="122">
        <f t="shared" si="2"/>
        <v>3456</v>
      </c>
      <c r="W40" s="118">
        <v>14</v>
      </c>
      <c r="X40" s="118" t="s">
        <v>46</v>
      </c>
      <c r="Y40" s="118" t="s">
        <v>69</v>
      </c>
      <c r="Z40" s="118" t="s">
        <v>55</v>
      </c>
      <c r="AA40" s="118" t="s">
        <v>106</v>
      </c>
      <c r="AB40" s="118" t="s">
        <v>158</v>
      </c>
    </row>
    <row r="41" spans="1:28" s="128" customFormat="1" x14ac:dyDescent="0.15">
      <c r="A41" s="118" t="s">
        <v>51</v>
      </c>
      <c r="B41" s="118" t="s">
        <v>157</v>
      </c>
      <c r="C41" s="118">
        <v>2019</v>
      </c>
      <c r="D41" s="119" t="s">
        <v>261</v>
      </c>
      <c r="E41" s="118" t="s">
        <v>267</v>
      </c>
      <c r="F41" s="118" t="s">
        <v>268</v>
      </c>
      <c r="G41" s="118" t="s">
        <v>42</v>
      </c>
      <c r="H41" s="118" t="s">
        <v>160</v>
      </c>
      <c r="I41" s="118" t="s">
        <v>159</v>
      </c>
      <c r="J41" s="118" t="s">
        <v>38</v>
      </c>
      <c r="K41" s="118"/>
      <c r="L41" s="118">
        <v>1</v>
      </c>
      <c r="M41" s="118"/>
      <c r="N41" s="118">
        <v>1</v>
      </c>
      <c r="O41" s="118">
        <v>0.5</v>
      </c>
      <c r="P41" s="118">
        <v>0.55000000000000004</v>
      </c>
      <c r="Q41" s="120">
        <f t="shared" si="0"/>
        <v>0.52500000000000002</v>
      </c>
      <c r="R41" s="118">
        <v>18</v>
      </c>
      <c r="S41" s="118">
        <v>128</v>
      </c>
      <c r="T41" s="121">
        <f t="shared" si="1"/>
        <v>27</v>
      </c>
      <c r="U41" s="118">
        <v>99</v>
      </c>
      <c r="V41" s="122">
        <f t="shared" si="2"/>
        <v>2673</v>
      </c>
      <c r="W41" s="118">
        <v>14</v>
      </c>
      <c r="X41" s="118" t="s">
        <v>46</v>
      </c>
      <c r="Y41" s="118" t="s">
        <v>69</v>
      </c>
      <c r="Z41" s="118" t="s">
        <v>55</v>
      </c>
      <c r="AA41" s="118" t="s">
        <v>106</v>
      </c>
      <c r="AB41" s="118" t="s">
        <v>158</v>
      </c>
    </row>
    <row r="42" spans="1:28" s="128" customFormat="1" x14ac:dyDescent="0.15">
      <c r="A42" s="118" t="s">
        <v>51</v>
      </c>
      <c r="B42" s="118" t="s">
        <v>157</v>
      </c>
      <c r="C42" s="118">
        <v>2019</v>
      </c>
      <c r="D42" s="119" t="s">
        <v>261</v>
      </c>
      <c r="E42" s="118" t="s">
        <v>267</v>
      </c>
      <c r="F42" s="118" t="s">
        <v>268</v>
      </c>
      <c r="G42" s="118" t="s">
        <v>42</v>
      </c>
      <c r="H42" s="118" t="s">
        <v>160</v>
      </c>
      <c r="I42" s="118" t="s">
        <v>159</v>
      </c>
      <c r="J42" s="118" t="s">
        <v>38</v>
      </c>
      <c r="K42" s="118"/>
      <c r="L42" s="118">
        <v>2</v>
      </c>
      <c r="M42" s="118"/>
      <c r="N42" s="118">
        <v>1</v>
      </c>
      <c r="O42" s="118">
        <v>0.7</v>
      </c>
      <c r="P42" s="118">
        <v>0.6</v>
      </c>
      <c r="Q42" s="120">
        <f t="shared" si="0"/>
        <v>0.64999999999999991</v>
      </c>
      <c r="R42" s="118">
        <v>17.8</v>
      </c>
      <c r="S42" s="118">
        <v>132</v>
      </c>
      <c r="T42" s="121">
        <f t="shared" si="1"/>
        <v>25</v>
      </c>
      <c r="U42" s="118">
        <v>99</v>
      </c>
      <c r="V42" s="122">
        <f t="shared" si="2"/>
        <v>2475</v>
      </c>
      <c r="W42" s="118">
        <v>14</v>
      </c>
      <c r="X42" s="118" t="s">
        <v>46</v>
      </c>
      <c r="Y42" s="118" t="s">
        <v>69</v>
      </c>
      <c r="Z42" s="118" t="s">
        <v>55</v>
      </c>
      <c r="AA42" s="118" t="s">
        <v>106</v>
      </c>
      <c r="AB42" s="118" t="s">
        <v>158</v>
      </c>
    </row>
    <row r="43" spans="1:28" s="128" customFormat="1" x14ac:dyDescent="0.15">
      <c r="A43" s="118" t="s">
        <v>51</v>
      </c>
      <c r="B43" s="118" t="s">
        <v>157</v>
      </c>
      <c r="C43" s="118">
        <v>2019</v>
      </c>
      <c r="D43" s="119" t="s">
        <v>261</v>
      </c>
      <c r="E43" s="118" t="s">
        <v>267</v>
      </c>
      <c r="F43" s="118" t="s">
        <v>268</v>
      </c>
      <c r="G43" s="118" t="s">
        <v>42</v>
      </c>
      <c r="H43" s="118" t="s">
        <v>160</v>
      </c>
      <c r="I43" s="118" t="s">
        <v>159</v>
      </c>
      <c r="J43" s="118" t="s">
        <v>38</v>
      </c>
      <c r="K43" s="118"/>
      <c r="L43" s="118">
        <v>3</v>
      </c>
      <c r="M43" s="118"/>
      <c r="N43" s="118">
        <v>1</v>
      </c>
      <c r="O43" s="118">
        <v>0.65</v>
      </c>
      <c r="P43" s="118">
        <v>0.7</v>
      </c>
      <c r="Q43" s="120">
        <f t="shared" si="0"/>
        <v>0.67500000000000004</v>
      </c>
      <c r="R43" s="118">
        <v>17.7</v>
      </c>
      <c r="S43" s="118">
        <v>130</v>
      </c>
      <c r="T43" s="121">
        <f t="shared" si="1"/>
        <v>25</v>
      </c>
      <c r="U43" s="118">
        <v>99</v>
      </c>
      <c r="V43" s="122">
        <f t="shared" si="2"/>
        <v>2475</v>
      </c>
      <c r="W43" s="118">
        <v>14</v>
      </c>
      <c r="X43" s="118" t="s">
        <v>46</v>
      </c>
      <c r="Y43" s="118" t="s">
        <v>69</v>
      </c>
      <c r="Z43" s="118" t="s">
        <v>55</v>
      </c>
      <c r="AA43" s="118" t="s">
        <v>106</v>
      </c>
      <c r="AB43" s="118" t="s">
        <v>158</v>
      </c>
    </row>
    <row r="44" spans="1:28" s="128" customFormat="1" x14ac:dyDescent="0.15">
      <c r="A44" s="118" t="s">
        <v>51</v>
      </c>
      <c r="B44" s="118" t="s">
        <v>157</v>
      </c>
      <c r="C44" s="118">
        <v>2019</v>
      </c>
      <c r="D44" s="119" t="s">
        <v>261</v>
      </c>
      <c r="E44" s="118" t="s">
        <v>269</v>
      </c>
      <c r="F44" s="118" t="s">
        <v>263</v>
      </c>
      <c r="G44" s="118" t="s">
        <v>36</v>
      </c>
      <c r="H44" s="118" t="s">
        <v>165</v>
      </c>
      <c r="I44" s="118" t="s">
        <v>159</v>
      </c>
      <c r="J44" s="118" t="s">
        <v>38</v>
      </c>
      <c r="K44" s="118"/>
      <c r="L44" s="118">
        <v>1</v>
      </c>
      <c r="M44" s="118"/>
      <c r="N44" s="118">
        <v>3</v>
      </c>
      <c r="O44" s="118">
        <v>1</v>
      </c>
      <c r="P44" s="118">
        <v>0.9</v>
      </c>
      <c r="Q44" s="120">
        <f t="shared" si="0"/>
        <v>0.95</v>
      </c>
      <c r="R44" s="118">
        <v>15.3</v>
      </c>
      <c r="S44" s="118">
        <v>134</v>
      </c>
      <c r="T44" s="121">
        <f t="shared" si="1"/>
        <v>25</v>
      </c>
      <c r="U44" s="118">
        <v>380</v>
      </c>
      <c r="V44" s="122">
        <f t="shared" si="2"/>
        <v>3166.666666666667</v>
      </c>
      <c r="W44" s="118">
        <v>10</v>
      </c>
      <c r="X44" s="118" t="s">
        <v>46</v>
      </c>
      <c r="Y44" s="118" t="s">
        <v>69</v>
      </c>
      <c r="Z44" s="118" t="s">
        <v>47</v>
      </c>
      <c r="AA44" s="118" t="s">
        <v>55</v>
      </c>
      <c r="AB44" s="118" t="s">
        <v>158</v>
      </c>
    </row>
    <row r="45" spans="1:28" s="128" customFormat="1" x14ac:dyDescent="0.15">
      <c r="A45" s="118" t="s">
        <v>51</v>
      </c>
      <c r="B45" s="118" t="s">
        <v>157</v>
      </c>
      <c r="C45" s="118">
        <v>2019</v>
      </c>
      <c r="D45" s="119" t="s">
        <v>261</v>
      </c>
      <c r="E45" s="118" t="s">
        <v>269</v>
      </c>
      <c r="F45" s="118" t="s">
        <v>263</v>
      </c>
      <c r="G45" s="118" t="s">
        <v>36</v>
      </c>
      <c r="H45" s="118" t="s">
        <v>165</v>
      </c>
      <c r="I45" s="118" t="s">
        <v>159</v>
      </c>
      <c r="J45" s="118" t="s">
        <v>38</v>
      </c>
      <c r="K45" s="118"/>
      <c r="L45" s="118">
        <v>2</v>
      </c>
      <c r="M45" s="118"/>
      <c r="N45" s="118">
        <v>3</v>
      </c>
      <c r="O45" s="118">
        <v>0.95</v>
      </c>
      <c r="P45" s="118">
        <v>0.95</v>
      </c>
      <c r="Q45" s="120">
        <f t="shared" si="0"/>
        <v>0.95</v>
      </c>
      <c r="R45" s="118">
        <v>15.6</v>
      </c>
      <c r="S45" s="118">
        <v>136</v>
      </c>
      <c r="T45" s="121">
        <f t="shared" si="1"/>
        <v>25</v>
      </c>
      <c r="U45" s="118">
        <v>380</v>
      </c>
      <c r="V45" s="122">
        <f t="shared" si="2"/>
        <v>3166.666666666667</v>
      </c>
      <c r="W45" s="118">
        <v>10</v>
      </c>
      <c r="X45" s="118" t="s">
        <v>46</v>
      </c>
      <c r="Y45" s="118" t="s">
        <v>69</v>
      </c>
      <c r="Z45" s="118" t="s">
        <v>47</v>
      </c>
      <c r="AA45" s="118" t="s">
        <v>55</v>
      </c>
      <c r="AB45" s="118" t="s">
        <v>158</v>
      </c>
    </row>
    <row r="46" spans="1:28" s="128" customFormat="1" x14ac:dyDescent="0.15">
      <c r="A46" s="118" t="s">
        <v>51</v>
      </c>
      <c r="B46" s="118" t="s">
        <v>157</v>
      </c>
      <c r="C46" s="118">
        <v>2019</v>
      </c>
      <c r="D46" s="119" t="s">
        <v>261</v>
      </c>
      <c r="E46" s="118" t="s">
        <v>269</v>
      </c>
      <c r="F46" s="118" t="s">
        <v>263</v>
      </c>
      <c r="G46" s="118" t="s">
        <v>36</v>
      </c>
      <c r="H46" s="118" t="s">
        <v>165</v>
      </c>
      <c r="I46" s="118" t="s">
        <v>159</v>
      </c>
      <c r="J46" s="118" t="s">
        <v>38</v>
      </c>
      <c r="K46" s="118"/>
      <c r="L46" s="118">
        <v>3</v>
      </c>
      <c r="M46" s="118"/>
      <c r="N46" s="118">
        <v>3</v>
      </c>
      <c r="O46" s="118">
        <v>1</v>
      </c>
      <c r="P46" s="118">
        <v>1</v>
      </c>
      <c r="Q46" s="120">
        <f t="shared" si="0"/>
        <v>1</v>
      </c>
      <c r="R46" s="118">
        <v>15.2</v>
      </c>
      <c r="S46" s="118">
        <v>136</v>
      </c>
      <c r="T46" s="121">
        <f t="shared" si="1"/>
        <v>25</v>
      </c>
      <c r="U46" s="118">
        <v>380</v>
      </c>
      <c r="V46" s="122">
        <f t="shared" si="2"/>
        <v>3166.666666666667</v>
      </c>
      <c r="W46" s="118">
        <v>10</v>
      </c>
      <c r="X46" s="118" t="s">
        <v>46</v>
      </c>
      <c r="Y46" s="118" t="s">
        <v>69</v>
      </c>
      <c r="Z46" s="118" t="s">
        <v>47</v>
      </c>
      <c r="AA46" s="118" t="s">
        <v>55</v>
      </c>
      <c r="AB46" s="118" t="s">
        <v>158</v>
      </c>
    </row>
    <row r="47" spans="1:28" s="128" customFormat="1" x14ac:dyDescent="0.15">
      <c r="A47" s="118" t="s">
        <v>51</v>
      </c>
      <c r="B47" s="118" t="s">
        <v>157</v>
      </c>
      <c r="C47" s="118">
        <v>2019</v>
      </c>
      <c r="D47" s="119" t="s">
        <v>261</v>
      </c>
      <c r="E47" s="118" t="s">
        <v>269</v>
      </c>
      <c r="F47" s="118" t="s">
        <v>263</v>
      </c>
      <c r="G47" s="118" t="s">
        <v>36</v>
      </c>
      <c r="H47" s="118" t="s">
        <v>160</v>
      </c>
      <c r="I47" s="118" t="s">
        <v>159</v>
      </c>
      <c r="J47" s="118" t="s">
        <v>38</v>
      </c>
      <c r="K47" s="118"/>
      <c r="L47" s="118">
        <v>1</v>
      </c>
      <c r="M47" s="118"/>
      <c r="N47" s="118">
        <v>3</v>
      </c>
      <c r="O47" s="118">
        <v>0.6</v>
      </c>
      <c r="P47" s="118">
        <v>0.55000000000000004</v>
      </c>
      <c r="Q47" s="120">
        <f t="shared" si="0"/>
        <v>0.57499999999999996</v>
      </c>
      <c r="R47" s="118">
        <v>16.5</v>
      </c>
      <c r="S47" s="118">
        <v>160</v>
      </c>
      <c r="T47" s="121">
        <f t="shared" si="1"/>
        <v>18</v>
      </c>
      <c r="U47" s="118">
        <v>398</v>
      </c>
      <c r="V47" s="122">
        <f t="shared" si="2"/>
        <v>2388</v>
      </c>
      <c r="W47" s="118">
        <v>10</v>
      </c>
      <c r="X47" s="118" t="s">
        <v>46</v>
      </c>
      <c r="Y47" s="118" t="s">
        <v>69</v>
      </c>
      <c r="Z47" s="118" t="s">
        <v>47</v>
      </c>
      <c r="AA47" s="118" t="s">
        <v>55</v>
      </c>
      <c r="AB47" s="118" t="s">
        <v>158</v>
      </c>
    </row>
    <row r="48" spans="1:28" s="128" customFormat="1" x14ac:dyDescent="0.15">
      <c r="A48" s="118" t="s">
        <v>51</v>
      </c>
      <c r="B48" s="118" t="s">
        <v>157</v>
      </c>
      <c r="C48" s="118">
        <v>2019</v>
      </c>
      <c r="D48" s="119" t="s">
        <v>261</v>
      </c>
      <c r="E48" s="118" t="s">
        <v>269</v>
      </c>
      <c r="F48" s="118" t="s">
        <v>263</v>
      </c>
      <c r="G48" s="118" t="s">
        <v>36</v>
      </c>
      <c r="H48" s="118" t="s">
        <v>160</v>
      </c>
      <c r="I48" s="118" t="s">
        <v>159</v>
      </c>
      <c r="J48" s="118" t="s">
        <v>38</v>
      </c>
      <c r="K48" s="118"/>
      <c r="L48" s="118">
        <v>2</v>
      </c>
      <c r="M48" s="118"/>
      <c r="N48" s="118">
        <v>3</v>
      </c>
      <c r="O48" s="118">
        <v>0.7</v>
      </c>
      <c r="P48" s="118">
        <v>0.65</v>
      </c>
      <c r="Q48" s="120">
        <f t="shared" si="0"/>
        <v>0.67500000000000004</v>
      </c>
      <c r="R48" s="118">
        <v>16.100000000000001</v>
      </c>
      <c r="S48" s="118">
        <v>148</v>
      </c>
      <c r="T48" s="121">
        <f t="shared" si="1"/>
        <v>22</v>
      </c>
      <c r="U48" s="118">
        <v>398</v>
      </c>
      <c r="V48" s="122">
        <f t="shared" si="2"/>
        <v>2918.6666666666665</v>
      </c>
      <c r="W48" s="118">
        <v>10</v>
      </c>
      <c r="X48" s="118" t="s">
        <v>46</v>
      </c>
      <c r="Y48" s="118" t="s">
        <v>69</v>
      </c>
      <c r="Z48" s="118" t="s">
        <v>47</v>
      </c>
      <c r="AA48" s="118" t="s">
        <v>55</v>
      </c>
      <c r="AB48" s="118" t="s">
        <v>158</v>
      </c>
    </row>
    <row r="49" spans="1:28" s="128" customFormat="1" x14ac:dyDescent="0.15">
      <c r="A49" s="118" t="s">
        <v>51</v>
      </c>
      <c r="B49" s="118" t="s">
        <v>157</v>
      </c>
      <c r="C49" s="118">
        <v>2019</v>
      </c>
      <c r="D49" s="119" t="s">
        <v>261</v>
      </c>
      <c r="E49" s="118" t="s">
        <v>269</v>
      </c>
      <c r="F49" s="118" t="s">
        <v>263</v>
      </c>
      <c r="G49" s="118" t="s">
        <v>36</v>
      </c>
      <c r="H49" s="118" t="s">
        <v>160</v>
      </c>
      <c r="I49" s="118" t="s">
        <v>159</v>
      </c>
      <c r="J49" s="118" t="s">
        <v>38</v>
      </c>
      <c r="K49" s="118"/>
      <c r="L49" s="118">
        <v>3</v>
      </c>
      <c r="M49" s="118"/>
      <c r="N49" s="118">
        <v>3</v>
      </c>
      <c r="O49" s="118">
        <v>0.6</v>
      </c>
      <c r="P49" s="118">
        <v>0.7</v>
      </c>
      <c r="Q49" s="120">
        <f t="shared" si="0"/>
        <v>0.64999999999999991</v>
      </c>
      <c r="R49" s="118">
        <v>15.9</v>
      </c>
      <c r="S49" s="118">
        <v>148</v>
      </c>
      <c r="T49" s="121">
        <f t="shared" si="1"/>
        <v>22</v>
      </c>
      <c r="U49" s="118">
        <v>398</v>
      </c>
      <c r="V49" s="122">
        <f t="shared" si="2"/>
        <v>2918.6666666666665</v>
      </c>
      <c r="W49" s="118">
        <v>10</v>
      </c>
      <c r="X49" s="118" t="s">
        <v>46</v>
      </c>
      <c r="Y49" s="118" t="s">
        <v>69</v>
      </c>
      <c r="Z49" s="118" t="s">
        <v>47</v>
      </c>
      <c r="AA49" s="118" t="s">
        <v>55</v>
      </c>
      <c r="AB49" s="118" t="s">
        <v>158</v>
      </c>
    </row>
    <row r="50" spans="1:28" s="128" customFormat="1" x14ac:dyDescent="0.15">
      <c r="A50" s="118" t="s">
        <v>51</v>
      </c>
      <c r="B50" s="118" t="s">
        <v>157</v>
      </c>
      <c r="C50" s="118">
        <v>2019</v>
      </c>
      <c r="D50" s="119" t="s">
        <v>261</v>
      </c>
      <c r="E50" s="118" t="s">
        <v>273</v>
      </c>
      <c r="F50" s="118" t="s">
        <v>274</v>
      </c>
      <c r="G50" s="118" t="s">
        <v>36</v>
      </c>
      <c r="H50" s="118" t="s">
        <v>165</v>
      </c>
      <c r="I50" s="118" t="s">
        <v>159</v>
      </c>
      <c r="J50" s="118" t="s">
        <v>38</v>
      </c>
      <c r="K50" s="118"/>
      <c r="L50" s="118">
        <v>1</v>
      </c>
      <c r="M50" s="118"/>
      <c r="N50" s="118">
        <v>3</v>
      </c>
      <c r="O50" s="118">
        <v>0.7</v>
      </c>
      <c r="P50" s="118">
        <v>0.75</v>
      </c>
      <c r="Q50" s="120">
        <f t="shared" si="0"/>
        <v>0.72499999999999998</v>
      </c>
      <c r="R50" s="118">
        <v>16.5</v>
      </c>
      <c r="S50" s="118">
        <v>138</v>
      </c>
      <c r="T50" s="121">
        <f t="shared" si="1"/>
        <v>22</v>
      </c>
      <c r="U50" s="118">
        <v>380</v>
      </c>
      <c r="V50" s="122">
        <f t="shared" si="2"/>
        <v>2786.666666666667</v>
      </c>
      <c r="W50" s="118">
        <v>12</v>
      </c>
      <c r="X50" s="118" t="s">
        <v>46</v>
      </c>
      <c r="Y50" s="118" t="s">
        <v>47</v>
      </c>
      <c r="Z50" s="118" t="s">
        <v>69</v>
      </c>
      <c r="AA50" s="118" t="s">
        <v>55</v>
      </c>
      <c r="AB50" s="118" t="s">
        <v>158</v>
      </c>
    </row>
    <row r="51" spans="1:28" s="128" customFormat="1" x14ac:dyDescent="0.15">
      <c r="A51" s="118" t="s">
        <v>51</v>
      </c>
      <c r="B51" s="118" t="s">
        <v>157</v>
      </c>
      <c r="C51" s="118">
        <v>2019</v>
      </c>
      <c r="D51" s="119" t="s">
        <v>261</v>
      </c>
      <c r="E51" s="118" t="s">
        <v>273</v>
      </c>
      <c r="F51" s="118" t="s">
        <v>274</v>
      </c>
      <c r="G51" s="118" t="s">
        <v>36</v>
      </c>
      <c r="H51" s="118" t="s">
        <v>165</v>
      </c>
      <c r="I51" s="118" t="s">
        <v>159</v>
      </c>
      <c r="J51" s="118" t="s">
        <v>38</v>
      </c>
      <c r="K51" s="118"/>
      <c r="L51" s="118">
        <v>2</v>
      </c>
      <c r="M51" s="118"/>
      <c r="N51" s="118">
        <v>3</v>
      </c>
      <c r="O51" s="118">
        <v>0.6</v>
      </c>
      <c r="P51" s="118">
        <v>0.8</v>
      </c>
      <c r="Q51" s="120">
        <f t="shared" si="0"/>
        <v>0.7</v>
      </c>
      <c r="R51" s="118">
        <v>16.8</v>
      </c>
      <c r="S51" s="118">
        <v>142</v>
      </c>
      <c r="T51" s="121">
        <f t="shared" si="1"/>
        <v>22</v>
      </c>
      <c r="U51" s="118">
        <v>380</v>
      </c>
      <c r="V51" s="122">
        <f t="shared" si="2"/>
        <v>2786.666666666667</v>
      </c>
      <c r="W51" s="118">
        <v>12</v>
      </c>
      <c r="X51" s="118" t="s">
        <v>46</v>
      </c>
      <c r="Y51" s="118" t="s">
        <v>47</v>
      </c>
      <c r="Z51" s="118" t="s">
        <v>69</v>
      </c>
      <c r="AA51" s="118" t="s">
        <v>55</v>
      </c>
      <c r="AB51" s="118" t="s">
        <v>158</v>
      </c>
    </row>
    <row r="52" spans="1:28" s="128" customFormat="1" x14ac:dyDescent="0.15">
      <c r="A52" s="118" t="s">
        <v>51</v>
      </c>
      <c r="B52" s="118" t="s">
        <v>157</v>
      </c>
      <c r="C52" s="118">
        <v>2019</v>
      </c>
      <c r="D52" s="119" t="s">
        <v>261</v>
      </c>
      <c r="E52" s="118" t="s">
        <v>273</v>
      </c>
      <c r="F52" s="118" t="s">
        <v>274</v>
      </c>
      <c r="G52" s="118" t="s">
        <v>36</v>
      </c>
      <c r="H52" s="118" t="s">
        <v>165</v>
      </c>
      <c r="I52" s="118" t="s">
        <v>159</v>
      </c>
      <c r="J52" s="118" t="s">
        <v>38</v>
      </c>
      <c r="K52" s="118"/>
      <c r="L52" s="118">
        <v>3</v>
      </c>
      <c r="M52" s="118"/>
      <c r="N52" s="118">
        <v>3</v>
      </c>
      <c r="O52" s="118">
        <v>0.7</v>
      </c>
      <c r="P52" s="118">
        <v>0.7</v>
      </c>
      <c r="Q52" s="120">
        <f t="shared" si="0"/>
        <v>0.7</v>
      </c>
      <c r="R52" s="118">
        <v>16.7</v>
      </c>
      <c r="S52" s="118">
        <v>142</v>
      </c>
      <c r="T52" s="121">
        <f t="shared" si="1"/>
        <v>22</v>
      </c>
      <c r="U52" s="118">
        <v>380</v>
      </c>
      <c r="V52" s="122">
        <f t="shared" si="2"/>
        <v>2786.666666666667</v>
      </c>
      <c r="W52" s="118">
        <v>12</v>
      </c>
      <c r="X52" s="118" t="s">
        <v>46</v>
      </c>
      <c r="Y52" s="118" t="s">
        <v>47</v>
      </c>
      <c r="Z52" s="118" t="s">
        <v>69</v>
      </c>
      <c r="AA52" s="118" t="s">
        <v>55</v>
      </c>
      <c r="AB52" s="118" t="s">
        <v>158</v>
      </c>
    </row>
    <row r="53" spans="1:28" s="128" customFormat="1" x14ac:dyDescent="0.15">
      <c r="A53" s="118" t="s">
        <v>51</v>
      </c>
      <c r="B53" s="118" t="s">
        <v>157</v>
      </c>
      <c r="C53" s="118">
        <v>2019</v>
      </c>
      <c r="D53" s="119" t="s">
        <v>261</v>
      </c>
      <c r="E53" s="118" t="s">
        <v>273</v>
      </c>
      <c r="F53" s="118" t="s">
        <v>274</v>
      </c>
      <c r="G53" s="118" t="s">
        <v>36</v>
      </c>
      <c r="H53" s="118" t="s">
        <v>160</v>
      </c>
      <c r="I53" s="118" t="s">
        <v>159</v>
      </c>
      <c r="J53" s="118" t="s">
        <v>38</v>
      </c>
      <c r="K53" s="118"/>
      <c r="L53" s="118">
        <v>1</v>
      </c>
      <c r="M53" s="118"/>
      <c r="N53" s="118">
        <v>3</v>
      </c>
      <c r="O53" s="118">
        <v>0.75</v>
      </c>
      <c r="P53" s="118">
        <v>0.65</v>
      </c>
      <c r="Q53" s="120">
        <f t="shared" si="0"/>
        <v>0.7</v>
      </c>
      <c r="R53" s="118">
        <v>17.100000000000001</v>
      </c>
      <c r="S53" s="118">
        <v>131</v>
      </c>
      <c r="T53" s="121">
        <f t="shared" si="1"/>
        <v>25</v>
      </c>
      <c r="U53" s="118">
        <v>380</v>
      </c>
      <c r="V53" s="122">
        <f t="shared" si="2"/>
        <v>3166.666666666667</v>
      </c>
      <c r="W53" s="118">
        <v>12</v>
      </c>
      <c r="X53" s="118" t="s">
        <v>46</v>
      </c>
      <c r="Y53" s="118" t="s">
        <v>47</v>
      </c>
      <c r="Z53" s="118" t="s">
        <v>69</v>
      </c>
      <c r="AA53" s="118" t="s">
        <v>55</v>
      </c>
      <c r="AB53" s="118" t="s">
        <v>158</v>
      </c>
    </row>
    <row r="54" spans="1:28" s="128" customFormat="1" x14ac:dyDescent="0.15">
      <c r="A54" s="118" t="s">
        <v>51</v>
      </c>
      <c r="B54" s="118" t="s">
        <v>157</v>
      </c>
      <c r="C54" s="118">
        <v>2019</v>
      </c>
      <c r="D54" s="119" t="s">
        <v>261</v>
      </c>
      <c r="E54" s="118" t="s">
        <v>273</v>
      </c>
      <c r="F54" s="118" t="s">
        <v>274</v>
      </c>
      <c r="G54" s="118" t="s">
        <v>36</v>
      </c>
      <c r="H54" s="118" t="s">
        <v>160</v>
      </c>
      <c r="I54" s="118" t="s">
        <v>159</v>
      </c>
      <c r="J54" s="118" t="s">
        <v>38</v>
      </c>
      <c r="K54" s="118"/>
      <c r="L54" s="118">
        <v>2</v>
      </c>
      <c r="M54" s="118"/>
      <c r="N54" s="118">
        <v>3</v>
      </c>
      <c r="O54" s="118">
        <v>0.7</v>
      </c>
      <c r="P54" s="118">
        <v>0.7</v>
      </c>
      <c r="Q54" s="120">
        <f t="shared" si="0"/>
        <v>0.7</v>
      </c>
      <c r="R54" s="118">
        <v>16.600000000000001</v>
      </c>
      <c r="S54" s="118">
        <v>120</v>
      </c>
      <c r="T54" s="121">
        <f t="shared" si="1"/>
        <v>30</v>
      </c>
      <c r="U54" s="118">
        <v>380</v>
      </c>
      <c r="V54" s="122">
        <f t="shared" si="2"/>
        <v>3800</v>
      </c>
      <c r="W54" s="118">
        <v>12</v>
      </c>
      <c r="X54" s="118" t="s">
        <v>46</v>
      </c>
      <c r="Y54" s="118" t="s">
        <v>47</v>
      </c>
      <c r="Z54" s="118" t="s">
        <v>69</v>
      </c>
      <c r="AA54" s="118" t="s">
        <v>55</v>
      </c>
      <c r="AB54" s="118" t="s">
        <v>158</v>
      </c>
    </row>
    <row r="55" spans="1:28" s="128" customFormat="1" x14ac:dyDescent="0.15">
      <c r="A55" s="118" t="s">
        <v>51</v>
      </c>
      <c r="B55" s="118" t="s">
        <v>157</v>
      </c>
      <c r="C55" s="118">
        <v>2019</v>
      </c>
      <c r="D55" s="119" t="s">
        <v>261</v>
      </c>
      <c r="E55" s="118" t="s">
        <v>273</v>
      </c>
      <c r="F55" s="118" t="s">
        <v>274</v>
      </c>
      <c r="G55" s="118" t="s">
        <v>36</v>
      </c>
      <c r="H55" s="118" t="s">
        <v>160</v>
      </c>
      <c r="I55" s="118" t="s">
        <v>159</v>
      </c>
      <c r="J55" s="118" t="s">
        <v>38</v>
      </c>
      <c r="K55" s="118"/>
      <c r="L55" s="118">
        <v>3</v>
      </c>
      <c r="M55" s="118"/>
      <c r="N55" s="118">
        <v>3</v>
      </c>
      <c r="O55" s="118">
        <v>0.75</v>
      </c>
      <c r="P55" s="118">
        <v>0.65</v>
      </c>
      <c r="Q55" s="120">
        <f t="shared" si="0"/>
        <v>0.7</v>
      </c>
      <c r="R55" s="118">
        <v>17.399999999999999</v>
      </c>
      <c r="S55" s="118">
        <v>132</v>
      </c>
      <c r="T55" s="121">
        <f t="shared" si="1"/>
        <v>25</v>
      </c>
      <c r="U55" s="118">
        <v>380</v>
      </c>
      <c r="V55" s="122">
        <f t="shared" si="2"/>
        <v>3166.666666666667</v>
      </c>
      <c r="W55" s="118">
        <v>12</v>
      </c>
      <c r="X55" s="118" t="s">
        <v>46</v>
      </c>
      <c r="Y55" s="118" t="s">
        <v>47</v>
      </c>
      <c r="Z55" s="118" t="s">
        <v>69</v>
      </c>
      <c r="AA55" s="118" t="s">
        <v>55</v>
      </c>
      <c r="AB55" s="118" t="s">
        <v>158</v>
      </c>
    </row>
    <row r="56" spans="1:28" s="128" customFormat="1" x14ac:dyDescent="0.15">
      <c r="A56" s="118" t="s">
        <v>51</v>
      </c>
      <c r="B56" s="118" t="s">
        <v>157</v>
      </c>
      <c r="C56" s="118">
        <v>2019</v>
      </c>
      <c r="D56" s="119" t="s">
        <v>261</v>
      </c>
      <c r="E56" s="118" t="s">
        <v>275</v>
      </c>
      <c r="F56" s="118" t="s">
        <v>263</v>
      </c>
      <c r="G56" s="118" t="s">
        <v>42</v>
      </c>
      <c r="H56" s="118" t="s">
        <v>165</v>
      </c>
      <c r="I56" s="118" t="s">
        <v>159</v>
      </c>
      <c r="J56" s="118" t="s">
        <v>38</v>
      </c>
      <c r="K56" s="118"/>
      <c r="L56" s="118">
        <v>1</v>
      </c>
      <c r="M56" s="118"/>
      <c r="N56" s="118">
        <v>1</v>
      </c>
      <c r="O56" s="118">
        <v>0.65</v>
      </c>
      <c r="P56" s="118">
        <v>0.75</v>
      </c>
      <c r="Q56" s="120">
        <f t="shared" si="0"/>
        <v>0.7</v>
      </c>
      <c r="R56" s="118">
        <v>15.5</v>
      </c>
      <c r="S56" s="118">
        <v>126</v>
      </c>
      <c r="T56" s="121">
        <f t="shared" si="1"/>
        <v>27</v>
      </c>
      <c r="U56" s="118">
        <v>98</v>
      </c>
      <c r="V56" s="122">
        <f t="shared" si="2"/>
        <v>2646</v>
      </c>
      <c r="W56" s="118">
        <v>7</v>
      </c>
      <c r="X56" s="118" t="s">
        <v>46</v>
      </c>
      <c r="Y56" s="118" t="s">
        <v>69</v>
      </c>
      <c r="Z56" s="118" t="s">
        <v>47</v>
      </c>
      <c r="AA56" s="118" t="s">
        <v>40</v>
      </c>
      <c r="AB56" s="118" t="s">
        <v>158</v>
      </c>
    </row>
    <row r="57" spans="1:28" s="128" customFormat="1" x14ac:dyDescent="0.15">
      <c r="A57" s="118" t="s">
        <v>51</v>
      </c>
      <c r="B57" s="118" t="s">
        <v>157</v>
      </c>
      <c r="C57" s="118">
        <v>2019</v>
      </c>
      <c r="D57" s="119" t="s">
        <v>261</v>
      </c>
      <c r="E57" s="118" t="s">
        <v>275</v>
      </c>
      <c r="F57" s="118" t="s">
        <v>263</v>
      </c>
      <c r="G57" s="118" t="s">
        <v>42</v>
      </c>
      <c r="H57" s="118" t="s">
        <v>165</v>
      </c>
      <c r="I57" s="118" t="s">
        <v>159</v>
      </c>
      <c r="J57" s="118" t="s">
        <v>38</v>
      </c>
      <c r="K57" s="118"/>
      <c r="L57" s="118">
        <v>2</v>
      </c>
      <c r="M57" s="118"/>
      <c r="N57" s="118">
        <v>1</v>
      </c>
      <c r="O57" s="118">
        <v>0.75</v>
      </c>
      <c r="P57" s="118">
        <v>0.7</v>
      </c>
      <c r="Q57" s="120">
        <f t="shared" si="0"/>
        <v>0.72499999999999998</v>
      </c>
      <c r="R57" s="118">
        <v>15.3</v>
      </c>
      <c r="S57" s="118">
        <v>126</v>
      </c>
      <c r="T57" s="121">
        <f t="shared" si="1"/>
        <v>27</v>
      </c>
      <c r="U57" s="118">
        <v>98</v>
      </c>
      <c r="V57" s="122">
        <f t="shared" si="2"/>
        <v>2646</v>
      </c>
      <c r="W57" s="118">
        <v>7</v>
      </c>
      <c r="X57" s="118" t="s">
        <v>46</v>
      </c>
      <c r="Y57" s="118" t="s">
        <v>69</v>
      </c>
      <c r="Z57" s="118" t="s">
        <v>47</v>
      </c>
      <c r="AA57" s="118" t="s">
        <v>40</v>
      </c>
      <c r="AB57" s="118" t="s">
        <v>158</v>
      </c>
    </row>
    <row r="58" spans="1:28" s="128" customFormat="1" x14ac:dyDescent="0.15">
      <c r="A58" s="118" t="s">
        <v>51</v>
      </c>
      <c r="B58" s="118" t="s">
        <v>157</v>
      </c>
      <c r="C58" s="118">
        <v>2019</v>
      </c>
      <c r="D58" s="119" t="s">
        <v>261</v>
      </c>
      <c r="E58" s="118" t="s">
        <v>275</v>
      </c>
      <c r="F58" s="118" t="s">
        <v>263</v>
      </c>
      <c r="G58" s="118" t="s">
        <v>42</v>
      </c>
      <c r="H58" s="118" t="s">
        <v>165</v>
      </c>
      <c r="I58" s="118" t="s">
        <v>159</v>
      </c>
      <c r="J58" s="118" t="s">
        <v>38</v>
      </c>
      <c r="K58" s="118"/>
      <c r="L58" s="118">
        <v>3</v>
      </c>
      <c r="M58" s="118"/>
      <c r="N58" s="118">
        <v>1</v>
      </c>
      <c r="O58" s="118">
        <v>0.7</v>
      </c>
      <c r="P58" s="118">
        <v>0.65</v>
      </c>
      <c r="Q58" s="120">
        <f t="shared" si="0"/>
        <v>0.67500000000000004</v>
      </c>
      <c r="R58" s="118">
        <v>15</v>
      </c>
      <c r="S58" s="118">
        <v>124</v>
      </c>
      <c r="T58" s="121">
        <f t="shared" si="1"/>
        <v>27</v>
      </c>
      <c r="U58" s="118">
        <v>98</v>
      </c>
      <c r="V58" s="122">
        <f t="shared" si="2"/>
        <v>2646</v>
      </c>
      <c r="W58" s="118">
        <v>7</v>
      </c>
      <c r="X58" s="118" t="s">
        <v>46</v>
      </c>
      <c r="Y58" s="118" t="s">
        <v>69</v>
      </c>
      <c r="Z58" s="118" t="s">
        <v>47</v>
      </c>
      <c r="AA58" s="118" t="s">
        <v>40</v>
      </c>
      <c r="AB58" s="118" t="s">
        <v>158</v>
      </c>
    </row>
    <row r="59" spans="1:28" s="128" customFormat="1" x14ac:dyDescent="0.15">
      <c r="A59" s="118" t="s">
        <v>51</v>
      </c>
      <c r="B59" s="118" t="s">
        <v>157</v>
      </c>
      <c r="C59" s="118">
        <v>2019</v>
      </c>
      <c r="D59" s="119" t="s">
        <v>261</v>
      </c>
      <c r="E59" s="118" t="s">
        <v>275</v>
      </c>
      <c r="F59" s="118" t="s">
        <v>263</v>
      </c>
      <c r="G59" s="118" t="s">
        <v>42</v>
      </c>
      <c r="H59" s="118" t="s">
        <v>160</v>
      </c>
      <c r="I59" s="118" t="s">
        <v>159</v>
      </c>
      <c r="J59" s="118" t="s">
        <v>38</v>
      </c>
      <c r="K59" s="118"/>
      <c r="L59" s="128">
        <v>1</v>
      </c>
      <c r="N59" s="118">
        <v>1</v>
      </c>
      <c r="O59" s="128">
        <v>1.1499999999999999</v>
      </c>
      <c r="P59" s="128">
        <v>1.2</v>
      </c>
      <c r="Q59" s="120">
        <f t="shared" si="0"/>
        <v>1.1749999999999998</v>
      </c>
      <c r="R59" s="128">
        <v>16</v>
      </c>
      <c r="S59" s="128">
        <v>132</v>
      </c>
      <c r="T59" s="121">
        <f t="shared" si="1"/>
        <v>25</v>
      </c>
      <c r="U59" s="118">
        <v>98</v>
      </c>
      <c r="V59" s="122">
        <f t="shared" si="2"/>
        <v>2450</v>
      </c>
      <c r="W59" s="118">
        <v>7</v>
      </c>
      <c r="X59" s="118" t="s">
        <v>46</v>
      </c>
      <c r="Y59" s="118" t="s">
        <v>69</v>
      </c>
      <c r="Z59" s="118" t="s">
        <v>47</v>
      </c>
      <c r="AA59" s="118" t="s">
        <v>40</v>
      </c>
      <c r="AB59" s="118" t="s">
        <v>158</v>
      </c>
    </row>
    <row r="60" spans="1:28" s="128" customFormat="1" x14ac:dyDescent="0.15">
      <c r="A60" s="118" t="s">
        <v>51</v>
      </c>
      <c r="B60" s="118" t="s">
        <v>157</v>
      </c>
      <c r="C60" s="118">
        <v>2019</v>
      </c>
      <c r="D60" s="119" t="s">
        <v>261</v>
      </c>
      <c r="E60" s="118" t="s">
        <v>275</v>
      </c>
      <c r="F60" s="118" t="s">
        <v>263</v>
      </c>
      <c r="G60" s="118" t="s">
        <v>42</v>
      </c>
      <c r="H60" s="118" t="s">
        <v>160</v>
      </c>
      <c r="I60" s="118" t="s">
        <v>159</v>
      </c>
      <c r="J60" s="118" t="s">
        <v>38</v>
      </c>
      <c r="K60" s="118"/>
      <c r="L60" s="128">
        <v>2</v>
      </c>
      <c r="N60" s="118">
        <v>1</v>
      </c>
      <c r="O60" s="128">
        <v>1</v>
      </c>
      <c r="P60" s="128">
        <v>1.1000000000000001</v>
      </c>
      <c r="Q60" s="120">
        <f t="shared" si="0"/>
        <v>1.05</v>
      </c>
      <c r="R60" s="128">
        <v>16.399999999999999</v>
      </c>
      <c r="S60" s="128">
        <v>134</v>
      </c>
      <c r="T60" s="121">
        <f t="shared" si="1"/>
        <v>25</v>
      </c>
      <c r="U60" s="118">
        <v>98</v>
      </c>
      <c r="V60" s="122">
        <f t="shared" si="2"/>
        <v>2450</v>
      </c>
      <c r="W60" s="118">
        <v>7</v>
      </c>
      <c r="X60" s="118" t="s">
        <v>46</v>
      </c>
      <c r="Y60" s="118" t="s">
        <v>69</v>
      </c>
      <c r="Z60" s="118" t="s">
        <v>47</v>
      </c>
      <c r="AA60" s="118" t="s">
        <v>40</v>
      </c>
      <c r="AB60" s="118" t="s">
        <v>158</v>
      </c>
    </row>
    <row r="61" spans="1:28" s="128" customFormat="1" x14ac:dyDescent="0.15">
      <c r="A61" s="118" t="s">
        <v>51</v>
      </c>
      <c r="B61" s="118" t="s">
        <v>157</v>
      </c>
      <c r="C61" s="118">
        <v>2019</v>
      </c>
      <c r="D61" s="119" t="s">
        <v>261</v>
      </c>
      <c r="E61" s="118" t="s">
        <v>275</v>
      </c>
      <c r="F61" s="118" t="s">
        <v>263</v>
      </c>
      <c r="G61" s="118" t="s">
        <v>42</v>
      </c>
      <c r="H61" s="118" t="s">
        <v>160</v>
      </c>
      <c r="I61" s="118" t="s">
        <v>159</v>
      </c>
      <c r="J61" s="118" t="s">
        <v>38</v>
      </c>
      <c r="K61" s="118"/>
      <c r="L61" s="128">
        <v>3</v>
      </c>
      <c r="N61" s="118">
        <v>1</v>
      </c>
      <c r="O61" s="128">
        <v>1.2</v>
      </c>
      <c r="P61" s="128">
        <v>1.25</v>
      </c>
      <c r="Q61" s="120">
        <f t="shared" si="0"/>
        <v>1.2250000000000001</v>
      </c>
      <c r="R61" s="128">
        <v>15.7</v>
      </c>
      <c r="S61" s="128">
        <v>126</v>
      </c>
      <c r="T61" s="121">
        <f t="shared" si="1"/>
        <v>27</v>
      </c>
      <c r="U61" s="118">
        <v>98</v>
      </c>
      <c r="V61" s="122">
        <f t="shared" si="2"/>
        <v>2646</v>
      </c>
      <c r="W61" s="118">
        <v>7</v>
      </c>
      <c r="X61" s="118" t="s">
        <v>46</v>
      </c>
      <c r="Y61" s="118" t="s">
        <v>69</v>
      </c>
      <c r="Z61" s="118" t="s">
        <v>47</v>
      </c>
      <c r="AA61" s="118" t="s">
        <v>40</v>
      </c>
      <c r="AB61" s="118" t="s">
        <v>158</v>
      </c>
    </row>
    <row r="62" spans="1:28" s="128" customFormat="1" x14ac:dyDescent="0.15">
      <c r="A62" s="118"/>
      <c r="B62" s="118"/>
      <c r="C62" s="118"/>
      <c r="D62" s="119"/>
      <c r="E62" s="118"/>
      <c r="F62" s="118"/>
      <c r="G62" s="118"/>
      <c r="H62" s="118"/>
      <c r="I62" s="118"/>
      <c r="J62" s="118"/>
      <c r="K62" s="118"/>
      <c r="N62" s="118"/>
      <c r="Q62" s="120" t="str">
        <f t="shared" si="0"/>
        <v/>
      </c>
      <c r="T62" s="121" t="str">
        <f t="shared" si="1"/>
        <v/>
      </c>
      <c r="U62" s="118"/>
      <c r="V62" s="122" t="str">
        <f t="shared" si="2"/>
        <v/>
      </c>
      <c r="W62" s="118"/>
      <c r="X62" s="118"/>
      <c r="Y62" s="118"/>
      <c r="Z62" s="118"/>
      <c r="AA62" s="118"/>
      <c r="AB62" s="118"/>
    </row>
    <row r="63" spans="1:28" s="128" customFormat="1" x14ac:dyDescent="0.15">
      <c r="A63" s="118"/>
      <c r="B63" s="118"/>
      <c r="C63" s="118"/>
      <c r="D63" s="119"/>
      <c r="E63" s="118"/>
      <c r="F63" s="118"/>
      <c r="G63" s="118"/>
      <c r="H63" s="118"/>
      <c r="I63" s="118"/>
      <c r="J63" s="118"/>
      <c r="K63" s="118"/>
      <c r="N63" s="118"/>
      <c r="Q63" s="120" t="str">
        <f t="shared" si="0"/>
        <v/>
      </c>
      <c r="T63" s="121" t="str">
        <f t="shared" si="1"/>
        <v/>
      </c>
      <c r="U63" s="118"/>
      <c r="V63" s="122" t="str">
        <f t="shared" si="2"/>
        <v/>
      </c>
      <c r="W63" s="118"/>
      <c r="X63" s="118"/>
      <c r="Y63" s="118"/>
      <c r="Z63" s="118"/>
      <c r="AA63" s="118"/>
      <c r="AB63" s="118"/>
    </row>
    <row r="64" spans="1:28" s="128" customFormat="1" x14ac:dyDescent="0.15">
      <c r="A64" s="118"/>
      <c r="B64" s="118"/>
      <c r="C64" s="118"/>
      <c r="D64" s="119"/>
      <c r="E64" s="118"/>
      <c r="F64" s="118"/>
      <c r="G64" s="118"/>
      <c r="H64" s="118"/>
      <c r="I64" s="118"/>
      <c r="J64" s="118"/>
      <c r="K64" s="118"/>
      <c r="N64" s="118"/>
      <c r="Q64" s="120" t="str">
        <f t="shared" si="0"/>
        <v/>
      </c>
      <c r="T64" s="121" t="str">
        <f t="shared" si="1"/>
        <v/>
      </c>
      <c r="U64" s="118"/>
      <c r="V64" s="122" t="str">
        <f t="shared" si="2"/>
        <v/>
      </c>
      <c r="W64" s="118"/>
      <c r="X64" s="118"/>
      <c r="Y64" s="118"/>
      <c r="Z64" s="118"/>
      <c r="AA64" s="118"/>
      <c r="AB64" s="118"/>
    </row>
    <row r="65" spans="1:28" s="128" customFormat="1" x14ac:dyDescent="0.15">
      <c r="A65" s="118"/>
      <c r="B65" s="118"/>
      <c r="C65" s="118"/>
      <c r="D65" s="119"/>
      <c r="E65" s="118"/>
      <c r="F65" s="118"/>
      <c r="G65" s="118"/>
      <c r="H65" s="118"/>
      <c r="I65" s="118"/>
      <c r="J65" s="118"/>
      <c r="K65" s="118"/>
      <c r="N65" s="118"/>
      <c r="Q65" s="121" t="str">
        <f t="shared" si="0"/>
        <v/>
      </c>
      <c r="T65" s="121" t="str">
        <f t="shared" si="1"/>
        <v/>
      </c>
      <c r="U65" s="118"/>
      <c r="V65" s="121" t="str">
        <f t="shared" si="2"/>
        <v/>
      </c>
      <c r="W65" s="118"/>
      <c r="X65" s="118"/>
      <c r="Y65" s="118"/>
      <c r="Z65" s="118"/>
      <c r="AA65" s="118"/>
      <c r="AB65" s="118"/>
    </row>
    <row r="66" spans="1:28" x14ac:dyDescent="0.15">
      <c r="A66" s="118"/>
      <c r="B66" s="118"/>
      <c r="C66" s="143"/>
      <c r="D66" s="144"/>
      <c r="E66" s="118"/>
      <c r="F66" s="118"/>
      <c r="G66" s="143"/>
      <c r="H66" s="143"/>
      <c r="I66" s="143"/>
      <c r="J66" s="143"/>
      <c r="K66" s="118"/>
      <c r="N66" s="143"/>
      <c r="Q66" s="145" t="str">
        <f t="shared" ref="Q66:Q85" si="3">IF(OR(O66="",P66=""),"",AVERAGE(O66,P66))</f>
        <v/>
      </c>
      <c r="T66" s="145" t="str">
        <f t="shared" ref="T66:T85" si="4">IF(H66="","",IF(OR(H66="GREEN",H66="GK"),IF(S66&gt;=$AX$2,VLOOKUP(S66,$AX$2:$AY$12,2,1),""),IF(S66&gt;=$AZ$2,VLOOKUP(S66,$AZ$2:$BA$12,2,1),"")))</f>
        <v/>
      </c>
      <c r="U66" s="143"/>
      <c r="V66" s="145" t="str">
        <f t="shared" ref="V66:V85" si="5">IF(OR(N66="",U66="",T66=""),"",U66/N66*T66)</f>
        <v/>
      </c>
      <c r="W66" s="143"/>
      <c r="X66" s="143"/>
      <c r="Y66" s="143"/>
      <c r="Z66" s="143"/>
      <c r="AA66" s="143"/>
      <c r="AB66" s="118"/>
    </row>
    <row r="67" spans="1:28" x14ac:dyDescent="0.15">
      <c r="A67" s="118"/>
      <c r="B67" s="118"/>
      <c r="C67" s="143"/>
      <c r="D67" s="144"/>
      <c r="E67" s="118"/>
      <c r="F67" s="118"/>
      <c r="G67" s="143"/>
      <c r="H67" s="143"/>
      <c r="I67" s="143"/>
      <c r="J67" s="143"/>
      <c r="K67" s="118"/>
      <c r="N67" s="143"/>
      <c r="O67" s="128"/>
      <c r="Q67" s="145" t="str">
        <f t="shared" si="3"/>
        <v/>
      </c>
      <c r="T67" s="145" t="str">
        <f t="shared" si="4"/>
        <v/>
      </c>
      <c r="U67" s="143"/>
      <c r="V67" s="145" t="str">
        <f t="shared" si="5"/>
        <v/>
      </c>
      <c r="W67" s="143"/>
      <c r="X67" s="143"/>
      <c r="Y67" s="143"/>
      <c r="Z67" s="143"/>
      <c r="AA67" s="143"/>
      <c r="AB67" s="118"/>
    </row>
    <row r="68" spans="1:28" x14ac:dyDescent="0.15">
      <c r="A68" s="118"/>
      <c r="B68" s="118"/>
      <c r="C68" s="143"/>
      <c r="D68" s="144"/>
      <c r="E68" s="118"/>
      <c r="F68" s="118"/>
      <c r="G68" s="143"/>
      <c r="H68" s="143"/>
      <c r="I68" s="143"/>
      <c r="J68" s="143"/>
      <c r="K68" s="118"/>
      <c r="N68" s="143"/>
      <c r="Q68" s="145" t="str">
        <f t="shared" si="3"/>
        <v/>
      </c>
      <c r="T68" s="145" t="str">
        <f t="shared" si="4"/>
        <v/>
      </c>
      <c r="V68" s="145" t="str">
        <f t="shared" si="5"/>
        <v/>
      </c>
      <c r="W68" s="143"/>
      <c r="X68" s="143"/>
      <c r="Y68" s="143"/>
      <c r="Z68" s="143"/>
      <c r="AA68" s="143"/>
      <c r="AB68" s="118"/>
    </row>
    <row r="69" spans="1:28" x14ac:dyDescent="0.15">
      <c r="A69" s="118"/>
      <c r="B69" s="118"/>
      <c r="C69" s="143"/>
      <c r="D69" s="144"/>
      <c r="E69" s="118"/>
      <c r="F69" s="118"/>
      <c r="G69" s="143"/>
      <c r="H69" s="143"/>
      <c r="I69" s="143"/>
      <c r="J69" s="143"/>
      <c r="K69" s="118"/>
      <c r="N69" s="143"/>
      <c r="O69" s="128"/>
      <c r="Q69" s="145" t="str">
        <f t="shared" si="3"/>
        <v/>
      </c>
      <c r="T69" s="145" t="str">
        <f t="shared" si="4"/>
        <v/>
      </c>
      <c r="V69" s="145" t="str">
        <f t="shared" si="5"/>
        <v/>
      </c>
      <c r="W69" s="143"/>
      <c r="X69" s="143"/>
      <c r="Y69" s="143"/>
      <c r="Z69" s="143"/>
      <c r="AA69" s="143"/>
      <c r="AB69" s="118"/>
    </row>
    <row r="70" spans="1:28" x14ac:dyDescent="0.15">
      <c r="A70" s="118"/>
      <c r="B70" s="118"/>
      <c r="C70" s="143"/>
      <c r="D70" s="144"/>
      <c r="E70" s="118"/>
      <c r="F70" s="118"/>
      <c r="G70" s="143"/>
      <c r="H70" s="143"/>
      <c r="I70" s="143"/>
      <c r="J70" s="143"/>
      <c r="K70" s="118"/>
      <c r="N70" s="143"/>
      <c r="Q70" s="145" t="str">
        <f t="shared" si="3"/>
        <v/>
      </c>
      <c r="T70" s="145" t="str">
        <f t="shared" si="4"/>
        <v/>
      </c>
      <c r="V70" s="145" t="str">
        <f t="shared" si="5"/>
        <v/>
      </c>
      <c r="W70" s="143"/>
      <c r="X70" s="143"/>
      <c r="Y70" s="143"/>
      <c r="Z70" s="143"/>
      <c r="AA70" s="143"/>
      <c r="AB70" s="118"/>
    </row>
    <row r="71" spans="1:28" x14ac:dyDescent="0.15">
      <c r="A71" s="118"/>
      <c r="B71" s="118"/>
      <c r="C71" s="143"/>
      <c r="D71" s="144"/>
      <c r="E71" s="118"/>
      <c r="F71" s="118"/>
      <c r="G71" s="143"/>
      <c r="H71" s="143"/>
      <c r="I71" s="143"/>
      <c r="J71" s="143"/>
      <c r="K71" s="118"/>
      <c r="N71" s="143"/>
      <c r="Q71" s="145" t="str">
        <f t="shared" si="3"/>
        <v/>
      </c>
      <c r="T71" s="145" t="str">
        <f t="shared" si="4"/>
        <v/>
      </c>
      <c r="V71" s="145" t="str">
        <f t="shared" si="5"/>
        <v/>
      </c>
      <c r="W71" s="143"/>
      <c r="X71" s="143"/>
      <c r="Y71" s="143"/>
      <c r="Z71" s="143"/>
      <c r="AA71" s="143"/>
      <c r="AB71" s="118"/>
    </row>
    <row r="72" spans="1:28" x14ac:dyDescent="0.15">
      <c r="A72" s="118"/>
      <c r="B72" s="118"/>
      <c r="C72" s="143"/>
      <c r="D72" s="144"/>
      <c r="E72" s="118"/>
      <c r="F72" s="118"/>
      <c r="G72" s="143"/>
      <c r="H72" s="143"/>
      <c r="I72" s="143"/>
      <c r="J72" s="143"/>
      <c r="K72" s="118"/>
      <c r="N72" s="143"/>
      <c r="Q72" s="145" t="str">
        <f t="shared" si="3"/>
        <v/>
      </c>
      <c r="T72" s="145" t="str">
        <f t="shared" si="4"/>
        <v/>
      </c>
      <c r="V72" s="145" t="str">
        <f t="shared" si="5"/>
        <v/>
      </c>
      <c r="W72" s="143"/>
      <c r="X72" s="143"/>
      <c r="Y72" s="143"/>
      <c r="Z72" s="143"/>
      <c r="AA72" s="143"/>
      <c r="AB72" s="118"/>
    </row>
    <row r="73" spans="1:28" x14ac:dyDescent="0.15">
      <c r="A73" s="118"/>
      <c r="B73" s="118"/>
      <c r="C73" s="143"/>
      <c r="D73" s="144"/>
      <c r="E73" s="118"/>
      <c r="F73" s="118"/>
      <c r="G73" s="143"/>
      <c r="H73" s="143"/>
      <c r="I73" s="143"/>
      <c r="J73" s="143"/>
      <c r="K73" s="118"/>
      <c r="N73" s="143"/>
      <c r="P73" s="128"/>
      <c r="Q73" s="145" t="str">
        <f t="shared" si="3"/>
        <v/>
      </c>
      <c r="T73" s="145" t="str">
        <f t="shared" si="4"/>
        <v/>
      </c>
      <c r="V73" s="145" t="str">
        <f t="shared" si="5"/>
        <v/>
      </c>
      <c r="W73" s="143"/>
      <c r="X73" s="143"/>
      <c r="Y73" s="143"/>
      <c r="Z73" s="143"/>
      <c r="AA73" s="143"/>
      <c r="AB73" s="118"/>
    </row>
    <row r="74" spans="1:28" x14ac:dyDescent="0.15">
      <c r="A74" s="118"/>
      <c r="B74" s="118"/>
      <c r="C74" s="143"/>
      <c r="D74" s="144"/>
      <c r="E74" s="118"/>
      <c r="F74" s="118"/>
      <c r="G74" s="143"/>
      <c r="H74" s="143"/>
      <c r="I74" s="143"/>
      <c r="J74" s="143"/>
      <c r="K74" s="118"/>
      <c r="N74" s="143"/>
      <c r="Q74" s="145" t="str">
        <f t="shared" si="3"/>
        <v/>
      </c>
      <c r="T74" s="145" t="str">
        <f t="shared" si="4"/>
        <v/>
      </c>
      <c r="V74" s="145" t="str">
        <f t="shared" si="5"/>
        <v/>
      </c>
      <c r="W74" s="143"/>
      <c r="X74" s="143"/>
      <c r="Y74" s="143"/>
      <c r="Z74" s="143"/>
      <c r="AA74" s="143"/>
      <c r="AB74" s="118"/>
    </row>
    <row r="75" spans="1:28" x14ac:dyDescent="0.15">
      <c r="A75" s="118"/>
      <c r="B75" s="118"/>
      <c r="C75" s="143"/>
      <c r="D75" s="144"/>
      <c r="E75" s="118"/>
      <c r="F75" s="118"/>
      <c r="G75" s="143"/>
      <c r="H75" s="143"/>
      <c r="I75" s="143"/>
      <c r="J75" s="143"/>
      <c r="K75" s="118"/>
      <c r="N75" s="143"/>
      <c r="Q75" s="145" t="str">
        <f t="shared" si="3"/>
        <v/>
      </c>
      <c r="T75" s="145" t="str">
        <f t="shared" si="4"/>
        <v/>
      </c>
      <c r="V75" s="145" t="str">
        <f t="shared" si="5"/>
        <v/>
      </c>
      <c r="W75" s="143"/>
      <c r="X75" s="143"/>
      <c r="Y75" s="143"/>
      <c r="Z75" s="143"/>
      <c r="AA75" s="143"/>
      <c r="AB75" s="118"/>
    </row>
    <row r="76" spans="1:28" x14ac:dyDescent="0.15">
      <c r="A76" s="118"/>
      <c r="B76" s="118"/>
      <c r="C76" s="143"/>
      <c r="D76" s="144"/>
      <c r="E76" s="118"/>
      <c r="F76" s="118"/>
      <c r="G76" s="143"/>
      <c r="H76" s="143"/>
      <c r="I76" s="143"/>
      <c r="J76" s="143"/>
      <c r="K76" s="118"/>
      <c r="N76" s="143"/>
      <c r="Q76" s="145" t="str">
        <f t="shared" si="3"/>
        <v/>
      </c>
      <c r="T76" s="145" t="str">
        <f t="shared" si="4"/>
        <v/>
      </c>
      <c r="V76" s="145" t="str">
        <f t="shared" si="5"/>
        <v/>
      </c>
      <c r="W76" s="143"/>
      <c r="X76" s="143"/>
      <c r="Y76" s="143"/>
      <c r="Z76" s="143"/>
      <c r="AA76" s="143"/>
      <c r="AB76" s="118"/>
    </row>
    <row r="77" spans="1:28" x14ac:dyDescent="0.15">
      <c r="A77" s="118"/>
      <c r="B77" s="118"/>
      <c r="C77" s="143"/>
      <c r="D77" s="144"/>
      <c r="E77" s="118"/>
      <c r="F77" s="118"/>
      <c r="G77" s="143"/>
      <c r="H77" s="143"/>
      <c r="I77" s="143"/>
      <c r="J77" s="143"/>
      <c r="K77" s="118"/>
      <c r="N77" s="143"/>
      <c r="Q77" s="145" t="str">
        <f t="shared" si="3"/>
        <v/>
      </c>
      <c r="T77" s="145" t="str">
        <f t="shared" si="4"/>
        <v/>
      </c>
      <c r="V77" s="145" t="str">
        <f t="shared" si="5"/>
        <v/>
      </c>
      <c r="W77" s="143"/>
      <c r="X77" s="143"/>
      <c r="Y77" s="143"/>
      <c r="Z77" s="143"/>
      <c r="AA77" s="143"/>
      <c r="AB77" s="118"/>
    </row>
    <row r="78" spans="1:28" x14ac:dyDescent="0.15">
      <c r="A78" s="118"/>
      <c r="B78" s="118"/>
      <c r="C78" s="143"/>
      <c r="D78" s="144"/>
      <c r="E78" s="118"/>
      <c r="F78" s="118"/>
      <c r="G78" s="143"/>
      <c r="H78" s="143"/>
      <c r="I78" s="143"/>
      <c r="J78" s="143"/>
      <c r="K78" s="118"/>
      <c r="N78" s="143"/>
      <c r="Q78" s="145" t="str">
        <f t="shared" si="3"/>
        <v/>
      </c>
      <c r="T78" s="145" t="str">
        <f t="shared" si="4"/>
        <v/>
      </c>
      <c r="V78" s="145" t="str">
        <f t="shared" si="5"/>
        <v/>
      </c>
      <c r="W78" s="143"/>
      <c r="X78" s="143"/>
      <c r="Y78" s="143"/>
      <c r="Z78" s="143"/>
      <c r="AA78" s="143"/>
      <c r="AB78" s="118"/>
    </row>
    <row r="79" spans="1:28" x14ac:dyDescent="0.15">
      <c r="A79" s="118"/>
      <c r="B79" s="118"/>
      <c r="C79" s="143"/>
      <c r="D79" s="144"/>
      <c r="E79" s="118"/>
      <c r="F79" s="118"/>
      <c r="G79" s="143"/>
      <c r="H79" s="143"/>
      <c r="I79" s="143"/>
      <c r="J79" s="143"/>
      <c r="K79" s="118"/>
      <c r="N79" s="143"/>
      <c r="Q79" s="145" t="str">
        <f t="shared" si="3"/>
        <v/>
      </c>
      <c r="R79" s="128"/>
      <c r="T79" s="145" t="str">
        <f t="shared" si="4"/>
        <v/>
      </c>
      <c r="V79" s="145" t="str">
        <f t="shared" si="5"/>
        <v/>
      </c>
      <c r="W79" s="143"/>
      <c r="X79" s="143"/>
      <c r="Y79" s="143"/>
      <c r="Z79" s="143"/>
      <c r="AA79" s="143"/>
      <c r="AB79" s="118"/>
    </row>
    <row r="80" spans="1:28" x14ac:dyDescent="0.15">
      <c r="A80" s="118"/>
      <c r="B80" s="118"/>
      <c r="C80" s="143"/>
      <c r="D80" s="144"/>
      <c r="E80" s="118"/>
      <c r="F80" s="118"/>
      <c r="G80" s="143"/>
      <c r="H80" s="143"/>
      <c r="I80" s="143"/>
      <c r="J80" s="143"/>
      <c r="K80" s="118"/>
      <c r="N80" s="143"/>
      <c r="Q80" s="145" t="str">
        <f t="shared" si="3"/>
        <v/>
      </c>
      <c r="T80" s="145" t="str">
        <f t="shared" si="4"/>
        <v/>
      </c>
      <c r="V80" s="145" t="str">
        <f t="shared" si="5"/>
        <v/>
      </c>
      <c r="W80" s="143"/>
      <c r="X80" s="143"/>
      <c r="Y80" s="143"/>
      <c r="Z80" s="143"/>
      <c r="AA80" s="143"/>
      <c r="AB80" s="118"/>
    </row>
    <row r="81" spans="1:28" x14ac:dyDescent="0.15">
      <c r="A81" s="118"/>
      <c r="B81" s="118"/>
      <c r="C81" s="143"/>
      <c r="D81" s="144"/>
      <c r="E81" s="118"/>
      <c r="F81" s="118"/>
      <c r="G81" s="143"/>
      <c r="H81" s="143"/>
      <c r="I81" s="143"/>
      <c r="J81" s="143"/>
      <c r="K81" s="118"/>
      <c r="N81" s="143"/>
      <c r="Q81" s="145" t="str">
        <f t="shared" si="3"/>
        <v/>
      </c>
      <c r="T81" s="145" t="str">
        <f t="shared" si="4"/>
        <v/>
      </c>
      <c r="V81" s="145" t="str">
        <f t="shared" si="5"/>
        <v/>
      </c>
      <c r="W81" s="143"/>
      <c r="X81" s="143"/>
      <c r="Y81" s="143"/>
      <c r="Z81" s="143"/>
      <c r="AA81" s="143"/>
      <c r="AB81" s="118"/>
    </row>
    <row r="82" spans="1:28" x14ac:dyDescent="0.15">
      <c r="A82" s="118"/>
      <c r="B82" s="118"/>
      <c r="C82" s="143"/>
      <c r="D82" s="144"/>
      <c r="E82" s="118"/>
      <c r="F82" s="118"/>
      <c r="G82" s="143"/>
      <c r="H82" s="143"/>
      <c r="I82" s="143"/>
      <c r="J82" s="143"/>
      <c r="K82" s="118"/>
      <c r="N82" s="143"/>
      <c r="Q82" s="145" t="str">
        <f t="shared" si="3"/>
        <v/>
      </c>
      <c r="T82" s="145" t="str">
        <f t="shared" si="4"/>
        <v/>
      </c>
      <c r="V82" s="145" t="str">
        <f t="shared" si="5"/>
        <v/>
      </c>
      <c r="W82" s="143"/>
      <c r="X82" s="143"/>
      <c r="Y82" s="143"/>
      <c r="Z82" s="143"/>
      <c r="AA82" s="143"/>
      <c r="AB82" s="118"/>
    </row>
    <row r="83" spans="1:28" x14ac:dyDescent="0.15">
      <c r="A83" s="118"/>
      <c r="B83" s="118"/>
      <c r="C83" s="143"/>
      <c r="D83" s="144"/>
      <c r="E83" s="118"/>
      <c r="F83" s="118"/>
      <c r="G83" s="143"/>
      <c r="H83" s="143"/>
      <c r="I83" s="143"/>
      <c r="J83" s="143"/>
      <c r="K83" s="118"/>
      <c r="N83" s="143"/>
      <c r="Q83" s="145" t="str">
        <f t="shared" si="3"/>
        <v/>
      </c>
      <c r="T83" s="145" t="str">
        <f t="shared" si="4"/>
        <v/>
      </c>
      <c r="V83" s="145" t="str">
        <f t="shared" si="5"/>
        <v/>
      </c>
      <c r="W83" s="143"/>
      <c r="X83" s="143"/>
      <c r="Y83" s="143"/>
      <c r="Z83" s="143"/>
      <c r="AA83" s="143"/>
      <c r="AB83" s="118"/>
    </row>
    <row r="84" spans="1:28" x14ac:dyDescent="0.15">
      <c r="A84" s="118"/>
      <c r="B84" s="118"/>
      <c r="C84" s="143"/>
      <c r="D84" s="144"/>
      <c r="E84" s="118"/>
      <c r="F84" s="118"/>
      <c r="G84" s="143"/>
      <c r="H84" s="143"/>
      <c r="I84" s="143"/>
      <c r="J84" s="143"/>
      <c r="K84" s="118"/>
      <c r="N84" s="143"/>
      <c r="Q84" s="145" t="str">
        <f t="shared" si="3"/>
        <v/>
      </c>
      <c r="T84" s="145" t="str">
        <f t="shared" si="4"/>
        <v/>
      </c>
      <c r="V84" s="145" t="str">
        <f t="shared" si="5"/>
        <v/>
      </c>
      <c r="W84" s="143"/>
      <c r="X84" s="143"/>
      <c r="Y84" s="143"/>
      <c r="Z84" s="143"/>
      <c r="AA84" s="143"/>
      <c r="AB84" s="118"/>
    </row>
    <row r="85" spans="1:28" x14ac:dyDescent="0.15">
      <c r="A85" s="118"/>
      <c r="B85" s="118"/>
      <c r="C85" s="143"/>
      <c r="D85" s="144"/>
      <c r="E85" s="118"/>
      <c r="F85" s="118"/>
      <c r="G85" s="143"/>
      <c r="H85" s="143"/>
      <c r="I85" s="143"/>
      <c r="J85" s="143"/>
      <c r="K85" s="118"/>
      <c r="N85" s="143"/>
      <c r="Q85" s="145" t="str">
        <f t="shared" si="3"/>
        <v/>
      </c>
      <c r="T85" s="145" t="str">
        <f t="shared" si="4"/>
        <v/>
      </c>
      <c r="V85" s="145" t="str">
        <f t="shared" si="5"/>
        <v/>
      </c>
      <c r="W85" s="143"/>
      <c r="X85" s="143"/>
      <c r="Y85" s="143"/>
      <c r="Z85" s="143"/>
      <c r="AA85" s="143"/>
      <c r="AB85" s="118"/>
    </row>
    <row r="86" spans="1:28" x14ac:dyDescent="0.15">
      <c r="A86" s="118"/>
      <c r="B86" s="118"/>
      <c r="C86" s="143"/>
      <c r="D86" s="144"/>
      <c r="E86" s="118"/>
      <c r="F86" s="118"/>
      <c r="G86" s="143"/>
      <c r="H86" s="143"/>
      <c r="I86" s="143"/>
      <c r="J86" s="143"/>
      <c r="K86" s="118"/>
      <c r="N86" s="143"/>
      <c r="W86" s="143"/>
      <c r="X86" s="143"/>
      <c r="Y86" s="143"/>
      <c r="Z86" s="143"/>
      <c r="AA86" s="143"/>
      <c r="AB86" s="118"/>
    </row>
    <row r="87" spans="1:28" x14ac:dyDescent="0.15">
      <c r="A87" s="118"/>
      <c r="B87" s="118"/>
      <c r="C87" s="143"/>
      <c r="D87" s="144"/>
      <c r="E87" s="118"/>
      <c r="F87" s="118"/>
      <c r="G87" s="143"/>
      <c r="H87" s="143"/>
      <c r="I87" s="143"/>
      <c r="J87" s="143"/>
      <c r="K87" s="118"/>
      <c r="N87" s="143"/>
      <c r="W87" s="143"/>
      <c r="X87" s="143"/>
      <c r="Y87" s="143"/>
      <c r="Z87" s="143"/>
      <c r="AA87" s="143"/>
      <c r="AB87" s="118"/>
    </row>
    <row r="88" spans="1:28" x14ac:dyDescent="0.15">
      <c r="A88" s="118"/>
      <c r="B88" s="118"/>
      <c r="C88" s="143"/>
      <c r="D88" s="144"/>
      <c r="E88" s="118"/>
      <c r="F88" s="118"/>
      <c r="G88" s="143"/>
      <c r="H88" s="143"/>
      <c r="I88" s="143"/>
      <c r="J88" s="143"/>
      <c r="K88" s="118"/>
      <c r="N88" s="143"/>
      <c r="W88" s="143"/>
      <c r="X88" s="143"/>
      <c r="Y88" s="143"/>
      <c r="Z88" s="143"/>
      <c r="AA88" s="143"/>
      <c r="AB88" s="118"/>
    </row>
    <row r="89" spans="1:28" x14ac:dyDescent="0.15">
      <c r="A89" s="118"/>
      <c r="B89" s="118"/>
      <c r="C89" s="143"/>
      <c r="D89" s="144"/>
      <c r="E89" s="118"/>
      <c r="F89" s="118"/>
      <c r="G89" s="143"/>
      <c r="H89" s="143"/>
      <c r="I89" s="143"/>
      <c r="J89" s="143"/>
      <c r="K89" s="118"/>
      <c r="N89" s="143"/>
      <c r="W89" s="143"/>
      <c r="X89" s="143"/>
      <c r="Y89" s="143"/>
      <c r="Z89" s="143"/>
      <c r="AA89" s="143"/>
      <c r="AB89" s="118"/>
    </row>
    <row r="90" spans="1:28" x14ac:dyDescent="0.15">
      <c r="A90" s="118"/>
      <c r="B90" s="118"/>
      <c r="C90" s="143"/>
      <c r="D90" s="144"/>
      <c r="E90" s="118"/>
      <c r="F90" s="118"/>
      <c r="G90" s="143"/>
      <c r="H90" s="143"/>
      <c r="I90" s="143"/>
      <c r="J90" s="143"/>
      <c r="K90" s="143"/>
      <c r="N90" s="143"/>
      <c r="W90" s="143"/>
      <c r="X90" s="143"/>
      <c r="Y90" s="143"/>
      <c r="Z90" s="143"/>
      <c r="AA90" s="143"/>
      <c r="AB90" s="118"/>
    </row>
    <row r="91" spans="1:28" x14ac:dyDescent="0.15">
      <c r="A91" s="118"/>
      <c r="B91" s="118"/>
      <c r="C91" s="143"/>
      <c r="D91" s="144"/>
      <c r="E91" s="118"/>
      <c r="F91" s="118"/>
      <c r="G91" s="143"/>
      <c r="H91" s="143"/>
      <c r="I91" s="143"/>
      <c r="J91" s="143"/>
      <c r="K91" s="143"/>
      <c r="N91" s="143"/>
      <c r="W91" s="143"/>
      <c r="X91" s="143"/>
      <c r="Y91" s="143"/>
      <c r="Z91" s="143"/>
      <c r="AA91" s="143"/>
      <c r="AB91" s="118"/>
    </row>
    <row r="92" spans="1:28" x14ac:dyDescent="0.15">
      <c r="E92" s="118"/>
      <c r="F92" s="118"/>
    </row>
    <row r="93" spans="1:28" x14ac:dyDescent="0.15">
      <c r="E93" s="118"/>
      <c r="F93" s="118"/>
    </row>
    <row r="94" spans="1:28" x14ac:dyDescent="0.15">
      <c r="E94" s="118"/>
      <c r="F94" s="118"/>
    </row>
    <row r="95" spans="1:28" x14ac:dyDescent="0.15">
      <c r="E95" s="118"/>
      <c r="F95" s="118"/>
    </row>
    <row r="96" spans="1:28" x14ac:dyDescent="0.15">
      <c r="E96" s="118"/>
      <c r="F96" s="118"/>
    </row>
    <row r="97" spans="5:6" x14ac:dyDescent="0.15">
      <c r="E97" s="118"/>
      <c r="F97" s="118"/>
    </row>
    <row r="98" spans="5:6" x14ac:dyDescent="0.15">
      <c r="E98" s="118"/>
      <c r="F98" s="118"/>
    </row>
    <row r="99" spans="5:6" x14ac:dyDescent="0.15">
      <c r="E99" s="118"/>
      <c r="F99" s="118"/>
    </row>
    <row r="100" spans="5:6" x14ac:dyDescent="0.15">
      <c r="E100" s="118"/>
      <c r="F100" s="118"/>
    </row>
    <row r="101" spans="5:6" x14ac:dyDescent="0.15">
      <c r="E101" s="118"/>
      <c r="F101" s="118"/>
    </row>
    <row r="102" spans="5:6" x14ac:dyDescent="0.15">
      <c r="E102" s="118"/>
      <c r="F102" s="118"/>
    </row>
    <row r="103" spans="5:6" x14ac:dyDescent="0.15">
      <c r="E103" s="118"/>
      <c r="F103" s="118"/>
    </row>
    <row r="104" spans="5:6" x14ac:dyDescent="0.15">
      <c r="E104" s="118"/>
      <c r="F104" s="118"/>
    </row>
    <row r="105" spans="5:6" x14ac:dyDescent="0.15">
      <c r="E105" s="118"/>
      <c r="F105" s="118"/>
    </row>
    <row r="106" spans="5:6" x14ac:dyDescent="0.15">
      <c r="E106" s="118"/>
      <c r="F106" s="118"/>
    </row>
    <row r="107" spans="5:6" x14ac:dyDescent="0.15">
      <c r="E107" s="118"/>
      <c r="F107" s="118"/>
    </row>
    <row r="108" spans="5:6" x14ac:dyDescent="0.15">
      <c r="E108" s="118"/>
      <c r="F108" s="118"/>
    </row>
    <row r="109" spans="5:6" x14ac:dyDescent="0.15">
      <c r="E109" s="118"/>
      <c r="F109" s="118"/>
    </row>
    <row r="110" spans="5:6" x14ac:dyDescent="0.15">
      <c r="E110" s="118"/>
      <c r="F110" s="118"/>
    </row>
    <row r="111" spans="5:6" x14ac:dyDescent="0.15">
      <c r="E111" s="118"/>
      <c r="F111" s="118"/>
    </row>
    <row r="112" spans="5:6" x14ac:dyDescent="0.15">
      <c r="E112" s="118"/>
      <c r="F112" s="118"/>
    </row>
    <row r="113" spans="5:6" x14ac:dyDescent="0.15">
      <c r="E113" s="118"/>
      <c r="F113" s="118"/>
    </row>
    <row r="114" spans="5:6" x14ac:dyDescent="0.15">
      <c r="E114" s="118"/>
      <c r="F114" s="118"/>
    </row>
    <row r="115" spans="5:6" x14ac:dyDescent="0.15">
      <c r="E115" s="118"/>
      <c r="F115" s="118"/>
    </row>
    <row r="116" spans="5:6" x14ac:dyDescent="0.15">
      <c r="E116" s="118"/>
      <c r="F116" s="118"/>
    </row>
    <row r="117" spans="5:6" x14ac:dyDescent="0.15">
      <c r="E117" s="118"/>
      <c r="F117" s="118"/>
    </row>
    <row r="118" spans="5:6" x14ac:dyDescent="0.15">
      <c r="E118" s="118"/>
      <c r="F118" s="118"/>
    </row>
    <row r="119" spans="5:6" x14ac:dyDescent="0.15">
      <c r="E119" s="118"/>
      <c r="F119" s="118"/>
    </row>
    <row r="120" spans="5:6" x14ac:dyDescent="0.15">
      <c r="E120" s="118"/>
      <c r="F120" s="118"/>
    </row>
    <row r="121" spans="5:6" x14ac:dyDescent="0.15">
      <c r="E121" s="118"/>
      <c r="F121" s="118"/>
    </row>
    <row r="122" spans="5:6" x14ac:dyDescent="0.15">
      <c r="E122" s="118"/>
      <c r="F122" s="118"/>
    </row>
    <row r="123" spans="5:6" x14ac:dyDescent="0.15">
      <c r="E123" s="118"/>
      <c r="F123" s="118"/>
    </row>
    <row r="124" spans="5:6" x14ac:dyDescent="0.15">
      <c r="E124" s="118"/>
      <c r="F124" s="118"/>
    </row>
    <row r="125" spans="5:6" x14ac:dyDescent="0.15">
      <c r="E125" s="118"/>
      <c r="F125" s="118"/>
    </row>
    <row r="126" spans="5:6" x14ac:dyDescent="0.15">
      <c r="E126" s="118"/>
      <c r="F126" s="118"/>
    </row>
    <row r="127" spans="5:6" x14ac:dyDescent="0.15">
      <c r="E127" s="118"/>
      <c r="F127" s="118"/>
    </row>
    <row r="128" spans="5:6" x14ac:dyDescent="0.15">
      <c r="E128" s="118"/>
      <c r="F128" s="118"/>
    </row>
    <row r="129" spans="5:6" x14ac:dyDescent="0.15">
      <c r="E129" s="118"/>
      <c r="F129" s="118"/>
    </row>
    <row r="130" spans="5:6" x14ac:dyDescent="0.15">
      <c r="E130" s="118"/>
      <c r="F130" s="118"/>
    </row>
    <row r="131" spans="5:6" x14ac:dyDescent="0.15">
      <c r="E131" s="118"/>
      <c r="F131" s="118"/>
    </row>
    <row r="132" spans="5:6" x14ac:dyDescent="0.15">
      <c r="E132" s="118"/>
      <c r="F132" s="118"/>
    </row>
    <row r="133" spans="5:6" x14ac:dyDescent="0.15">
      <c r="E133" s="118"/>
      <c r="F133" s="118"/>
    </row>
    <row r="134" spans="5:6" x14ac:dyDescent="0.15">
      <c r="E134" s="118"/>
      <c r="F134" s="118"/>
    </row>
    <row r="135" spans="5:6" x14ac:dyDescent="0.15">
      <c r="E135" s="118"/>
      <c r="F135" s="118"/>
    </row>
    <row r="136" spans="5:6" x14ac:dyDescent="0.15">
      <c r="E136" s="118"/>
      <c r="F136" s="118"/>
    </row>
    <row r="137" spans="5:6" x14ac:dyDescent="0.15">
      <c r="E137" s="118"/>
      <c r="F137" s="118"/>
    </row>
    <row r="138" spans="5:6" x14ac:dyDescent="0.15">
      <c r="E138" s="118"/>
      <c r="F138" s="118"/>
    </row>
    <row r="139" spans="5:6" x14ac:dyDescent="0.15">
      <c r="E139" s="118"/>
      <c r="F139" s="118"/>
    </row>
    <row r="140" spans="5:6" x14ac:dyDescent="0.15">
      <c r="E140" s="118"/>
      <c r="F140" s="118"/>
    </row>
    <row r="141" spans="5:6" x14ac:dyDescent="0.15">
      <c r="E141" s="118"/>
      <c r="F141" s="118"/>
    </row>
    <row r="142" spans="5:6" x14ac:dyDescent="0.15">
      <c r="E142" s="118"/>
      <c r="F142" s="118"/>
    </row>
    <row r="143" spans="5:6" x14ac:dyDescent="0.15">
      <c r="E143" s="118"/>
      <c r="F143" s="118"/>
    </row>
    <row r="144" spans="5:6" x14ac:dyDescent="0.15">
      <c r="E144" s="118"/>
      <c r="F144" s="118"/>
    </row>
    <row r="145" spans="5:6" x14ac:dyDescent="0.15">
      <c r="E145" s="118"/>
      <c r="F145" s="118"/>
    </row>
    <row r="146" spans="5:6" x14ac:dyDescent="0.15">
      <c r="E146" s="118"/>
      <c r="F146" s="118"/>
    </row>
    <row r="147" spans="5:6" x14ac:dyDescent="0.15">
      <c r="E147" s="118"/>
      <c r="F147" s="118"/>
    </row>
    <row r="148" spans="5:6" x14ac:dyDescent="0.15">
      <c r="E148" s="118"/>
      <c r="F148" s="118"/>
    </row>
    <row r="149" spans="5:6" x14ac:dyDescent="0.15">
      <c r="E149" s="118"/>
      <c r="F149" s="118"/>
    </row>
    <row r="150" spans="5:6" x14ac:dyDescent="0.15">
      <c r="E150" s="118"/>
      <c r="F150" s="118"/>
    </row>
    <row r="151" spans="5:6" x14ac:dyDescent="0.15">
      <c r="E151" s="118"/>
      <c r="F151" s="118"/>
    </row>
    <row r="152" spans="5:6" x14ac:dyDescent="0.15">
      <c r="E152" s="118"/>
      <c r="F152" s="118"/>
    </row>
    <row r="153" spans="5:6" x14ac:dyDescent="0.15">
      <c r="E153" s="118"/>
      <c r="F153" s="118"/>
    </row>
    <row r="154" spans="5:6" x14ac:dyDescent="0.15">
      <c r="E154" s="118"/>
      <c r="F154" s="118"/>
    </row>
    <row r="155" spans="5:6" x14ac:dyDescent="0.15">
      <c r="E155" s="118"/>
      <c r="F155" s="118"/>
    </row>
    <row r="156" spans="5:6" x14ac:dyDescent="0.15">
      <c r="E156" s="118"/>
      <c r="F156" s="118"/>
    </row>
    <row r="157" spans="5:6" x14ac:dyDescent="0.15">
      <c r="E157" s="118"/>
      <c r="F157" s="118"/>
    </row>
    <row r="158" spans="5:6" x14ac:dyDescent="0.15">
      <c r="E158" s="118"/>
      <c r="F158" s="118"/>
    </row>
    <row r="159" spans="5:6" x14ac:dyDescent="0.15">
      <c r="E159" s="118"/>
      <c r="F159" s="118"/>
    </row>
    <row r="160" spans="5:6" x14ac:dyDescent="0.15">
      <c r="E160" s="118"/>
      <c r="F160" s="118"/>
    </row>
    <row r="161" spans="5:6" x14ac:dyDescent="0.15">
      <c r="E161" s="118"/>
      <c r="F161" s="118"/>
    </row>
    <row r="162" spans="5:6" x14ac:dyDescent="0.15">
      <c r="E162" s="118"/>
      <c r="F162" s="118"/>
    </row>
    <row r="163" spans="5:6" x14ac:dyDescent="0.15">
      <c r="E163" s="118"/>
      <c r="F163" s="118"/>
    </row>
    <row r="164" spans="5:6" x14ac:dyDescent="0.15">
      <c r="E164" s="118"/>
      <c r="F164" s="118"/>
    </row>
    <row r="165" spans="5:6" x14ac:dyDescent="0.15">
      <c r="E165" s="118"/>
      <c r="F165" s="118"/>
    </row>
    <row r="166" spans="5:6" x14ac:dyDescent="0.15">
      <c r="E166" s="118"/>
      <c r="F166" s="118"/>
    </row>
    <row r="167" spans="5:6" x14ac:dyDescent="0.15">
      <c r="E167" s="118"/>
      <c r="F167" s="118"/>
    </row>
    <row r="168" spans="5:6" x14ac:dyDescent="0.15">
      <c r="E168" s="118"/>
      <c r="F168" s="118"/>
    </row>
    <row r="169" spans="5:6" x14ac:dyDescent="0.15">
      <c r="E169" s="118"/>
      <c r="F169" s="118"/>
    </row>
    <row r="170" spans="5:6" x14ac:dyDescent="0.15">
      <c r="E170" s="118"/>
      <c r="F170" s="118"/>
    </row>
    <row r="171" spans="5:6" x14ac:dyDescent="0.15">
      <c r="E171" s="118"/>
      <c r="F171" s="118"/>
    </row>
    <row r="172" spans="5:6" x14ac:dyDescent="0.15">
      <c r="E172" s="118"/>
      <c r="F172" s="118"/>
    </row>
    <row r="173" spans="5:6" x14ac:dyDescent="0.15">
      <c r="E173" s="118"/>
      <c r="F173" s="118"/>
    </row>
    <row r="174" spans="5:6" x14ac:dyDescent="0.15">
      <c r="E174" s="118"/>
      <c r="F174" s="118"/>
    </row>
    <row r="175" spans="5:6" x14ac:dyDescent="0.15">
      <c r="E175" s="118"/>
      <c r="F175" s="118"/>
    </row>
    <row r="176" spans="5:6" x14ac:dyDescent="0.15">
      <c r="E176" s="118"/>
      <c r="F176" s="118"/>
    </row>
    <row r="177" spans="5:6" x14ac:dyDescent="0.15">
      <c r="E177" s="118"/>
      <c r="F177" s="118"/>
    </row>
    <row r="178" spans="5:6" x14ac:dyDescent="0.15">
      <c r="E178" s="118"/>
      <c r="F178" s="118"/>
    </row>
    <row r="179" spans="5:6" x14ac:dyDescent="0.15">
      <c r="E179" s="118"/>
      <c r="F179" s="118"/>
    </row>
    <row r="180" spans="5:6" x14ac:dyDescent="0.15">
      <c r="E180" s="118"/>
      <c r="F180" s="118"/>
    </row>
    <row r="181" spans="5:6" x14ac:dyDescent="0.15">
      <c r="E181" s="118"/>
      <c r="F181" s="118"/>
    </row>
    <row r="182" spans="5:6" x14ac:dyDescent="0.15">
      <c r="E182" s="118"/>
      <c r="F182" s="118"/>
    </row>
    <row r="183" spans="5:6" x14ac:dyDescent="0.15">
      <c r="E183" s="118"/>
      <c r="F183" s="118"/>
    </row>
    <row r="184" spans="5:6" x14ac:dyDescent="0.15">
      <c r="E184" s="118"/>
      <c r="F184" s="118"/>
    </row>
    <row r="185" spans="5:6" x14ac:dyDescent="0.15">
      <c r="E185" s="118"/>
      <c r="F185" s="118"/>
    </row>
    <row r="186" spans="5:6" x14ac:dyDescent="0.15">
      <c r="E186" s="118"/>
      <c r="F186" s="118"/>
    </row>
    <row r="187" spans="5:6" x14ac:dyDescent="0.15">
      <c r="E187" s="118"/>
      <c r="F187" s="118"/>
    </row>
    <row r="188" spans="5:6" x14ac:dyDescent="0.15">
      <c r="E188" s="118"/>
      <c r="F188" s="118"/>
    </row>
    <row r="189" spans="5:6" x14ac:dyDescent="0.15">
      <c r="E189" s="118"/>
      <c r="F189" s="118"/>
    </row>
    <row r="190" spans="5:6" x14ac:dyDescent="0.15">
      <c r="E190" s="118"/>
      <c r="F190" s="118"/>
    </row>
    <row r="191" spans="5:6" x14ac:dyDescent="0.15">
      <c r="E191" s="118"/>
      <c r="F191" s="118"/>
    </row>
    <row r="192" spans="5:6" x14ac:dyDescent="0.15">
      <c r="E192" s="118"/>
      <c r="F192" s="118"/>
    </row>
    <row r="193" spans="5:6" x14ac:dyDescent="0.15">
      <c r="E193" s="118"/>
      <c r="F193" s="118"/>
    </row>
    <row r="194" spans="5:6" x14ac:dyDescent="0.15">
      <c r="E194" s="118"/>
      <c r="F194" s="118"/>
    </row>
    <row r="195" spans="5:6" x14ac:dyDescent="0.15">
      <c r="E195" s="118"/>
      <c r="F195" s="118"/>
    </row>
    <row r="196" spans="5:6" x14ac:dyDescent="0.15">
      <c r="E196" s="118"/>
      <c r="F196" s="118"/>
    </row>
    <row r="197" spans="5:6" x14ac:dyDescent="0.15">
      <c r="E197" s="118"/>
      <c r="F197" s="118"/>
    </row>
    <row r="198" spans="5:6" x14ac:dyDescent="0.15">
      <c r="E198" s="118"/>
      <c r="F198" s="118"/>
    </row>
    <row r="199" spans="5:6" x14ac:dyDescent="0.15">
      <c r="E199" s="118"/>
      <c r="F199" s="118"/>
    </row>
    <row r="200" spans="5:6" x14ac:dyDescent="0.15">
      <c r="E200" s="118"/>
      <c r="F200" s="118"/>
    </row>
    <row r="201" spans="5:6" x14ac:dyDescent="0.15">
      <c r="E201" s="118"/>
      <c r="F201" s="118"/>
    </row>
    <row r="202" spans="5:6" x14ac:dyDescent="0.15">
      <c r="E202" s="118"/>
      <c r="F202" s="118"/>
    </row>
    <row r="203" spans="5:6" x14ac:dyDescent="0.15">
      <c r="E203" s="118"/>
      <c r="F203" s="118"/>
    </row>
    <row r="204" spans="5:6" x14ac:dyDescent="0.15">
      <c r="E204" s="118"/>
      <c r="F204" s="118"/>
    </row>
    <row r="205" spans="5:6" x14ac:dyDescent="0.15">
      <c r="E205" s="118"/>
      <c r="F205" s="118"/>
    </row>
    <row r="206" spans="5:6" x14ac:dyDescent="0.15">
      <c r="E206" s="118"/>
      <c r="F206" s="118"/>
    </row>
    <row r="207" spans="5:6" x14ac:dyDescent="0.15">
      <c r="E207" s="118"/>
      <c r="F207" s="118"/>
    </row>
    <row r="208" spans="5:6" x14ac:dyDescent="0.15">
      <c r="E208" s="118"/>
      <c r="F208" s="118"/>
    </row>
    <row r="209" spans="5:6" x14ac:dyDescent="0.15">
      <c r="E209" s="118"/>
      <c r="F209" s="118"/>
    </row>
    <row r="210" spans="5:6" x14ac:dyDescent="0.15">
      <c r="E210" s="118"/>
      <c r="F210" s="118"/>
    </row>
    <row r="211" spans="5:6" x14ac:dyDescent="0.15">
      <c r="E211" s="118"/>
      <c r="F211" s="118"/>
    </row>
    <row r="212" spans="5:6" x14ac:dyDescent="0.15">
      <c r="E212" s="118"/>
      <c r="F212" s="118"/>
    </row>
    <row r="213" spans="5:6" x14ac:dyDescent="0.15">
      <c r="E213" s="118"/>
      <c r="F213" s="118"/>
    </row>
    <row r="214" spans="5:6" x14ac:dyDescent="0.15">
      <c r="E214" s="118"/>
      <c r="F214" s="118"/>
    </row>
    <row r="215" spans="5:6" x14ac:dyDescent="0.15">
      <c r="E215" s="118"/>
      <c r="F215" s="118"/>
    </row>
    <row r="216" spans="5:6" x14ac:dyDescent="0.15">
      <c r="E216" s="118"/>
      <c r="F216" s="118"/>
    </row>
    <row r="217" spans="5:6" x14ac:dyDescent="0.15">
      <c r="E217" s="118"/>
      <c r="F217" s="118"/>
    </row>
    <row r="218" spans="5:6" x14ac:dyDescent="0.15">
      <c r="E218" s="118"/>
      <c r="F218" s="118"/>
    </row>
    <row r="219" spans="5:6" x14ac:dyDescent="0.15">
      <c r="E219" s="118"/>
      <c r="F219" s="118"/>
    </row>
    <row r="220" spans="5:6" x14ac:dyDescent="0.15">
      <c r="E220" s="118"/>
      <c r="F220" s="118"/>
    </row>
    <row r="221" spans="5:6" x14ac:dyDescent="0.15">
      <c r="E221" s="118"/>
      <c r="F221" s="118"/>
    </row>
    <row r="222" spans="5:6" x14ac:dyDescent="0.15">
      <c r="E222" s="118"/>
      <c r="F222" s="118"/>
    </row>
    <row r="223" spans="5:6" x14ac:dyDescent="0.15">
      <c r="E223" s="118"/>
      <c r="F223" s="118"/>
    </row>
    <row r="224" spans="5:6" x14ac:dyDescent="0.15">
      <c r="E224" s="118"/>
      <c r="F224" s="118"/>
    </row>
    <row r="225" spans="5:6" x14ac:dyDescent="0.15">
      <c r="E225" s="118"/>
      <c r="F225" s="118"/>
    </row>
    <row r="226" spans="5:6" x14ac:dyDescent="0.15">
      <c r="E226" s="118"/>
      <c r="F226" s="118"/>
    </row>
    <row r="227" spans="5:6" x14ac:dyDescent="0.15">
      <c r="E227" s="118"/>
      <c r="F227" s="118"/>
    </row>
    <row r="228" spans="5:6" x14ac:dyDescent="0.15">
      <c r="E228" s="118"/>
      <c r="F228" s="118"/>
    </row>
    <row r="229" spans="5:6" x14ac:dyDescent="0.15">
      <c r="E229" s="118"/>
      <c r="F229" s="118"/>
    </row>
    <row r="230" spans="5:6" x14ac:dyDescent="0.15">
      <c r="E230" s="118"/>
      <c r="F230" s="118"/>
    </row>
    <row r="231" spans="5:6" x14ac:dyDescent="0.15">
      <c r="E231" s="118"/>
      <c r="F231" s="118"/>
    </row>
    <row r="232" spans="5:6" x14ac:dyDescent="0.15">
      <c r="E232" s="118"/>
      <c r="F232" s="118"/>
    </row>
    <row r="233" spans="5:6" x14ac:dyDescent="0.15">
      <c r="E233" s="118"/>
      <c r="F233" s="118"/>
    </row>
    <row r="234" spans="5:6" x14ac:dyDescent="0.15">
      <c r="E234" s="118"/>
      <c r="F234" s="118"/>
    </row>
    <row r="235" spans="5:6" x14ac:dyDescent="0.15">
      <c r="E235" s="118"/>
      <c r="F235" s="118"/>
    </row>
    <row r="236" spans="5:6" x14ac:dyDescent="0.15">
      <c r="E236" s="118"/>
      <c r="F236" s="118"/>
    </row>
    <row r="237" spans="5:6" x14ac:dyDescent="0.15">
      <c r="E237" s="118"/>
      <c r="F237" s="118"/>
    </row>
    <row r="238" spans="5:6" x14ac:dyDescent="0.15">
      <c r="E238" s="118"/>
      <c r="F238" s="118"/>
    </row>
    <row r="239" spans="5:6" x14ac:dyDescent="0.15">
      <c r="E239" s="118"/>
      <c r="F239" s="118"/>
    </row>
    <row r="240" spans="5:6" x14ac:dyDescent="0.15">
      <c r="E240" s="118"/>
      <c r="F240" s="118"/>
    </row>
    <row r="241" spans="5:6" x14ac:dyDescent="0.15">
      <c r="E241" s="118"/>
      <c r="F241" s="118"/>
    </row>
    <row r="242" spans="5:6" x14ac:dyDescent="0.15">
      <c r="E242" s="118"/>
      <c r="F242" s="118"/>
    </row>
    <row r="243" spans="5:6" x14ac:dyDescent="0.15">
      <c r="E243" s="118"/>
      <c r="F243" s="118"/>
    </row>
    <row r="244" spans="5:6" x14ac:dyDescent="0.15">
      <c r="E244" s="118"/>
      <c r="F244" s="118"/>
    </row>
    <row r="245" spans="5:6" x14ac:dyDescent="0.15">
      <c r="E245" s="118"/>
      <c r="F245" s="118"/>
    </row>
    <row r="246" spans="5:6" x14ac:dyDescent="0.15">
      <c r="E246" s="118"/>
      <c r="F246" s="118"/>
    </row>
    <row r="247" spans="5:6" x14ac:dyDescent="0.15">
      <c r="E247" s="118"/>
      <c r="F247" s="118"/>
    </row>
    <row r="248" spans="5:6" x14ac:dyDescent="0.15">
      <c r="E248" s="118"/>
      <c r="F248" s="118"/>
    </row>
    <row r="249" spans="5:6" x14ac:dyDescent="0.15">
      <c r="E249" s="118"/>
      <c r="F249" s="118"/>
    </row>
    <row r="250" spans="5:6" x14ac:dyDescent="0.15">
      <c r="E250" s="118"/>
      <c r="F250" s="118"/>
    </row>
    <row r="251" spans="5:6" x14ac:dyDescent="0.15">
      <c r="E251" s="118"/>
      <c r="F251" s="118"/>
    </row>
    <row r="252" spans="5:6" x14ac:dyDescent="0.15">
      <c r="E252" s="118"/>
      <c r="F252" s="118"/>
    </row>
    <row r="253" spans="5:6" x14ac:dyDescent="0.15">
      <c r="E253" s="118"/>
      <c r="F253" s="118"/>
    </row>
    <row r="254" spans="5:6" x14ac:dyDescent="0.15">
      <c r="E254" s="118"/>
      <c r="F254" s="118"/>
    </row>
    <row r="255" spans="5:6" x14ac:dyDescent="0.15">
      <c r="E255" s="118"/>
      <c r="F255" s="118"/>
    </row>
    <row r="256" spans="5:6" x14ac:dyDescent="0.15">
      <c r="E256" s="118"/>
      <c r="F256" s="118"/>
    </row>
    <row r="257" spans="5:6" x14ac:dyDescent="0.15">
      <c r="E257" s="118"/>
      <c r="F257" s="118"/>
    </row>
    <row r="258" spans="5:6" x14ac:dyDescent="0.15">
      <c r="E258" s="118"/>
      <c r="F258" s="118"/>
    </row>
    <row r="259" spans="5:6" x14ac:dyDescent="0.15">
      <c r="E259" s="118"/>
      <c r="F259" s="118"/>
    </row>
    <row r="260" spans="5:6" x14ac:dyDescent="0.15">
      <c r="E260" s="118"/>
      <c r="F260" s="118"/>
    </row>
    <row r="261" spans="5:6" x14ac:dyDescent="0.15">
      <c r="E261" s="118"/>
      <c r="F261" s="118"/>
    </row>
    <row r="262" spans="5:6" x14ac:dyDescent="0.15">
      <c r="E262" s="118"/>
      <c r="F262" s="118"/>
    </row>
    <row r="263" spans="5:6" x14ac:dyDescent="0.15">
      <c r="E263" s="118"/>
      <c r="F263" s="118"/>
    </row>
    <row r="264" spans="5:6" x14ac:dyDescent="0.15">
      <c r="E264" s="118"/>
      <c r="F264" s="118"/>
    </row>
    <row r="265" spans="5:6" x14ac:dyDescent="0.15">
      <c r="E265" s="118"/>
      <c r="F265" s="118"/>
    </row>
    <row r="266" spans="5:6" x14ac:dyDescent="0.15">
      <c r="E266" s="118"/>
      <c r="F266" s="118"/>
    </row>
    <row r="267" spans="5:6" x14ac:dyDescent="0.15">
      <c r="E267" s="118"/>
      <c r="F267" s="118"/>
    </row>
    <row r="268" spans="5:6" x14ac:dyDescent="0.15">
      <c r="E268" s="118"/>
      <c r="F268" s="118"/>
    </row>
    <row r="269" spans="5:6" x14ac:dyDescent="0.15">
      <c r="E269" s="118"/>
      <c r="F269" s="118"/>
    </row>
    <row r="270" spans="5:6" x14ac:dyDescent="0.15">
      <c r="E270" s="118"/>
      <c r="F270" s="118"/>
    </row>
    <row r="271" spans="5:6" x14ac:dyDescent="0.15">
      <c r="E271" s="118"/>
      <c r="F271" s="118"/>
    </row>
    <row r="272" spans="5:6" x14ac:dyDescent="0.15">
      <c r="E272" s="118"/>
      <c r="F272" s="118"/>
    </row>
    <row r="273" spans="5:6" x14ac:dyDescent="0.15">
      <c r="E273" s="118"/>
      <c r="F273" s="118"/>
    </row>
    <row r="274" spans="5:6" x14ac:dyDescent="0.15">
      <c r="E274" s="118"/>
      <c r="F274" s="118"/>
    </row>
    <row r="275" spans="5:6" x14ac:dyDescent="0.15">
      <c r="E275" s="118"/>
      <c r="F275" s="118"/>
    </row>
    <row r="276" spans="5:6" x14ac:dyDescent="0.15">
      <c r="E276" s="118"/>
      <c r="F276" s="118"/>
    </row>
    <row r="277" spans="5:6" x14ac:dyDescent="0.15">
      <c r="E277" s="118"/>
      <c r="F277" s="118"/>
    </row>
    <row r="278" spans="5:6" x14ac:dyDescent="0.15">
      <c r="E278" s="118"/>
      <c r="F278" s="118"/>
    </row>
    <row r="279" spans="5:6" x14ac:dyDescent="0.15">
      <c r="E279" s="118"/>
      <c r="F279" s="118"/>
    </row>
    <row r="280" spans="5:6" x14ac:dyDescent="0.15">
      <c r="E280" s="118"/>
      <c r="F280" s="118"/>
    </row>
    <row r="281" spans="5:6" x14ac:dyDescent="0.15">
      <c r="E281" s="118"/>
      <c r="F281" s="118"/>
    </row>
    <row r="282" spans="5:6" x14ac:dyDescent="0.15">
      <c r="E282" s="118"/>
      <c r="F282" s="118"/>
    </row>
    <row r="283" spans="5:6" x14ac:dyDescent="0.15">
      <c r="E283" s="118"/>
      <c r="F283" s="118"/>
    </row>
    <row r="284" spans="5:6" x14ac:dyDescent="0.15">
      <c r="E284" s="118"/>
      <c r="F284" s="118"/>
    </row>
    <row r="285" spans="5:6" x14ac:dyDescent="0.15">
      <c r="E285" s="118"/>
      <c r="F285" s="118"/>
    </row>
    <row r="286" spans="5:6" x14ac:dyDescent="0.15">
      <c r="E286" s="118"/>
      <c r="F286" s="118"/>
    </row>
    <row r="287" spans="5:6" x14ac:dyDescent="0.15">
      <c r="E287" s="118"/>
      <c r="F287" s="118"/>
    </row>
    <row r="288" spans="5:6" x14ac:dyDescent="0.15">
      <c r="E288" s="118"/>
      <c r="F288" s="118"/>
    </row>
    <row r="289" spans="5:6" x14ac:dyDescent="0.15">
      <c r="E289" s="118"/>
      <c r="F289" s="118"/>
    </row>
    <row r="290" spans="5:6" x14ac:dyDescent="0.15">
      <c r="E290" s="118"/>
      <c r="F290" s="118"/>
    </row>
    <row r="291" spans="5:6" x14ac:dyDescent="0.15">
      <c r="E291" s="118"/>
      <c r="F291" s="118"/>
    </row>
    <row r="292" spans="5:6" x14ac:dyDescent="0.15">
      <c r="E292" s="118"/>
      <c r="F292" s="118"/>
    </row>
    <row r="293" spans="5:6" x14ac:dyDescent="0.15">
      <c r="E293" s="118"/>
      <c r="F293" s="118"/>
    </row>
    <row r="294" spans="5:6" x14ac:dyDescent="0.15">
      <c r="E294" s="118"/>
      <c r="F294" s="118"/>
    </row>
    <row r="295" spans="5:6" x14ac:dyDescent="0.15">
      <c r="E295" s="118"/>
      <c r="F295" s="118"/>
    </row>
    <row r="296" spans="5:6" x14ac:dyDescent="0.15">
      <c r="E296" s="118"/>
      <c r="F296" s="118"/>
    </row>
    <row r="297" spans="5:6" x14ac:dyDescent="0.15">
      <c r="E297" s="118"/>
      <c r="F297" s="118"/>
    </row>
    <row r="298" spans="5:6" x14ac:dyDescent="0.15">
      <c r="E298" s="118"/>
      <c r="F298" s="118"/>
    </row>
    <row r="299" spans="5:6" x14ac:dyDescent="0.15">
      <c r="E299" s="118"/>
      <c r="F299" s="118"/>
    </row>
    <row r="300" spans="5:6" x14ac:dyDescent="0.15">
      <c r="E300" s="118"/>
      <c r="F300" s="118"/>
    </row>
    <row r="301" spans="5:6" x14ac:dyDescent="0.15">
      <c r="E301" s="118"/>
      <c r="F301" s="118"/>
    </row>
    <row r="302" spans="5:6" x14ac:dyDescent="0.15">
      <c r="E302" s="118"/>
      <c r="F302" s="118"/>
    </row>
    <row r="303" spans="5:6" x14ac:dyDescent="0.15">
      <c r="E303" s="118"/>
      <c r="F303" s="118"/>
    </row>
    <row r="304" spans="5:6" x14ac:dyDescent="0.15">
      <c r="E304" s="118"/>
      <c r="F304" s="118"/>
    </row>
    <row r="305" spans="5:6" x14ac:dyDescent="0.15">
      <c r="E305" s="118"/>
      <c r="F305" s="118"/>
    </row>
    <row r="306" spans="5:6" x14ac:dyDescent="0.15">
      <c r="E306" s="118"/>
      <c r="F306" s="118"/>
    </row>
    <row r="307" spans="5:6" x14ac:dyDescent="0.15">
      <c r="E307" s="118"/>
      <c r="F307" s="118"/>
    </row>
    <row r="308" spans="5:6" x14ac:dyDescent="0.15">
      <c r="E308" s="118"/>
      <c r="F308" s="118"/>
    </row>
    <row r="309" spans="5:6" x14ac:dyDescent="0.15">
      <c r="E309" s="118"/>
      <c r="F309" s="118"/>
    </row>
    <row r="310" spans="5:6" x14ac:dyDescent="0.15">
      <c r="E310" s="118"/>
      <c r="F310" s="118"/>
    </row>
    <row r="311" spans="5:6" x14ac:dyDescent="0.15">
      <c r="E311" s="118"/>
      <c r="F311" s="118"/>
    </row>
    <row r="312" spans="5:6" x14ac:dyDescent="0.15">
      <c r="E312" s="118"/>
      <c r="F312" s="118"/>
    </row>
    <row r="313" spans="5:6" x14ac:dyDescent="0.15">
      <c r="E313" s="118"/>
      <c r="F313" s="118"/>
    </row>
    <row r="314" spans="5:6" x14ac:dyDescent="0.15">
      <c r="E314" s="118"/>
      <c r="F314" s="118"/>
    </row>
    <row r="315" spans="5:6" x14ac:dyDescent="0.15">
      <c r="E315" s="118"/>
      <c r="F315" s="118"/>
    </row>
    <row r="316" spans="5:6" x14ac:dyDescent="0.15">
      <c r="E316" s="118"/>
      <c r="F316" s="118"/>
    </row>
    <row r="317" spans="5:6" x14ac:dyDescent="0.15">
      <c r="E317" s="118"/>
      <c r="F317" s="118"/>
    </row>
    <row r="318" spans="5:6" x14ac:dyDescent="0.15">
      <c r="E318" s="118"/>
      <c r="F318" s="118"/>
    </row>
    <row r="319" spans="5:6" x14ac:dyDescent="0.15">
      <c r="E319" s="118"/>
      <c r="F319" s="118"/>
    </row>
    <row r="320" spans="5:6" x14ac:dyDescent="0.15">
      <c r="E320" s="118"/>
      <c r="F320" s="118"/>
    </row>
    <row r="321" spans="5:6" x14ac:dyDescent="0.15">
      <c r="E321" s="118"/>
      <c r="F321" s="118"/>
    </row>
    <row r="322" spans="5:6" x14ac:dyDescent="0.15">
      <c r="E322" s="118"/>
      <c r="F322" s="118"/>
    </row>
    <row r="323" spans="5:6" x14ac:dyDescent="0.15">
      <c r="E323" s="118"/>
      <c r="F323" s="118"/>
    </row>
    <row r="324" spans="5:6" x14ac:dyDescent="0.15">
      <c r="E324" s="118"/>
      <c r="F324" s="118"/>
    </row>
    <row r="325" spans="5:6" x14ac:dyDescent="0.15">
      <c r="E325" s="118"/>
      <c r="F325" s="118"/>
    </row>
    <row r="326" spans="5:6" x14ac:dyDescent="0.15">
      <c r="E326" s="118"/>
      <c r="F326" s="118"/>
    </row>
    <row r="327" spans="5:6" x14ac:dyDescent="0.15">
      <c r="E327" s="118"/>
      <c r="F327" s="118"/>
    </row>
    <row r="328" spans="5:6" x14ac:dyDescent="0.15">
      <c r="E328" s="118"/>
      <c r="F328" s="118"/>
    </row>
    <row r="329" spans="5:6" x14ac:dyDescent="0.15">
      <c r="E329" s="118"/>
      <c r="F329" s="118"/>
    </row>
    <row r="330" spans="5:6" x14ac:dyDescent="0.15">
      <c r="E330" s="118"/>
      <c r="F330" s="118"/>
    </row>
    <row r="331" spans="5:6" x14ac:dyDescent="0.15">
      <c r="E331" s="118"/>
      <c r="F331" s="118"/>
    </row>
    <row r="332" spans="5:6" x14ac:dyDescent="0.15">
      <c r="E332" s="118"/>
      <c r="F332" s="118"/>
    </row>
    <row r="333" spans="5:6" x14ac:dyDescent="0.15">
      <c r="E333" s="118"/>
      <c r="F333" s="118"/>
    </row>
    <row r="334" spans="5:6" x14ac:dyDescent="0.15">
      <c r="E334" s="118"/>
      <c r="F334" s="118"/>
    </row>
    <row r="335" spans="5:6" x14ac:dyDescent="0.15">
      <c r="E335" s="118"/>
      <c r="F335" s="118"/>
    </row>
    <row r="336" spans="5:6" x14ac:dyDescent="0.15">
      <c r="E336" s="118"/>
      <c r="F336" s="118"/>
    </row>
    <row r="337" spans="5:6" x14ac:dyDescent="0.15">
      <c r="E337" s="118"/>
      <c r="F337" s="118"/>
    </row>
    <row r="338" spans="5:6" x14ac:dyDescent="0.15">
      <c r="E338" s="118"/>
      <c r="F338" s="118"/>
    </row>
    <row r="339" spans="5:6" x14ac:dyDescent="0.15">
      <c r="E339" s="118"/>
      <c r="F339" s="118"/>
    </row>
    <row r="340" spans="5:6" x14ac:dyDescent="0.15">
      <c r="E340" s="118"/>
      <c r="F340" s="118"/>
    </row>
    <row r="341" spans="5:6" x14ac:dyDescent="0.15">
      <c r="E341" s="118"/>
      <c r="F341" s="118"/>
    </row>
    <row r="342" spans="5:6" x14ac:dyDescent="0.15">
      <c r="E342" s="118"/>
      <c r="F342" s="118"/>
    </row>
    <row r="343" spans="5:6" x14ac:dyDescent="0.15">
      <c r="E343" s="118"/>
      <c r="F343" s="118"/>
    </row>
    <row r="344" spans="5:6" x14ac:dyDescent="0.15">
      <c r="E344" s="118"/>
      <c r="F344" s="118"/>
    </row>
    <row r="345" spans="5:6" x14ac:dyDescent="0.15">
      <c r="E345" s="118"/>
      <c r="F345" s="118"/>
    </row>
    <row r="346" spans="5:6" x14ac:dyDescent="0.15">
      <c r="E346" s="118"/>
      <c r="F346" s="118"/>
    </row>
    <row r="347" spans="5:6" x14ac:dyDescent="0.15">
      <c r="E347" s="118"/>
      <c r="F347" s="118"/>
    </row>
    <row r="348" spans="5:6" x14ac:dyDescent="0.15">
      <c r="E348" s="118"/>
      <c r="F348" s="118"/>
    </row>
    <row r="349" spans="5:6" x14ac:dyDescent="0.15">
      <c r="E349" s="118"/>
      <c r="F349" s="118"/>
    </row>
    <row r="350" spans="5:6" x14ac:dyDescent="0.15">
      <c r="E350" s="118"/>
      <c r="F350" s="118"/>
    </row>
    <row r="351" spans="5:6" x14ac:dyDescent="0.15">
      <c r="E351" s="118"/>
      <c r="F351" s="118"/>
    </row>
    <row r="352" spans="5:6" x14ac:dyDescent="0.15">
      <c r="E352" s="118"/>
      <c r="F352" s="118"/>
    </row>
    <row r="353" spans="5:6" x14ac:dyDescent="0.15">
      <c r="E353" s="118"/>
      <c r="F353" s="118"/>
    </row>
    <row r="354" spans="5:6" x14ac:dyDescent="0.15">
      <c r="E354" s="118"/>
      <c r="F354" s="118"/>
    </row>
    <row r="355" spans="5:6" x14ac:dyDescent="0.15">
      <c r="E355" s="118"/>
      <c r="F355" s="118"/>
    </row>
    <row r="356" spans="5:6" x14ac:dyDescent="0.15">
      <c r="E356" s="118"/>
      <c r="F356" s="118"/>
    </row>
    <row r="357" spans="5:6" x14ac:dyDescent="0.15">
      <c r="E357" s="118"/>
      <c r="F357" s="118"/>
    </row>
    <row r="358" spans="5:6" x14ac:dyDescent="0.15">
      <c r="E358" s="118"/>
      <c r="F358" s="118"/>
    </row>
    <row r="359" spans="5:6" x14ac:dyDescent="0.15">
      <c r="E359" s="118"/>
      <c r="F359" s="118"/>
    </row>
    <row r="360" spans="5:6" x14ac:dyDescent="0.15">
      <c r="E360" s="118"/>
      <c r="F360" s="118"/>
    </row>
    <row r="361" spans="5:6" x14ac:dyDescent="0.15">
      <c r="E361" s="118"/>
      <c r="F361" s="118"/>
    </row>
    <row r="362" spans="5:6" x14ac:dyDescent="0.15">
      <c r="E362" s="118"/>
      <c r="F362" s="118"/>
    </row>
    <row r="363" spans="5:6" x14ac:dyDescent="0.15">
      <c r="E363" s="118"/>
      <c r="F363" s="118"/>
    </row>
    <row r="364" spans="5:6" x14ac:dyDescent="0.15">
      <c r="E364" s="118"/>
      <c r="F364" s="118"/>
    </row>
    <row r="365" spans="5:6" x14ac:dyDescent="0.15">
      <c r="E365" s="118"/>
      <c r="F365" s="118"/>
    </row>
    <row r="366" spans="5:6" x14ac:dyDescent="0.15">
      <c r="E366" s="118"/>
      <c r="F366" s="118"/>
    </row>
    <row r="367" spans="5:6" x14ac:dyDescent="0.15">
      <c r="E367" s="118"/>
      <c r="F367" s="118"/>
    </row>
    <row r="368" spans="5:6" x14ac:dyDescent="0.15">
      <c r="E368" s="118"/>
      <c r="F368" s="118"/>
    </row>
    <row r="369" spans="5:6" x14ac:dyDescent="0.15">
      <c r="E369" s="118"/>
      <c r="F369" s="118"/>
    </row>
    <row r="370" spans="5:6" x14ac:dyDescent="0.15">
      <c r="E370" s="118"/>
      <c r="F370" s="118"/>
    </row>
    <row r="371" spans="5:6" x14ac:dyDescent="0.15">
      <c r="E371" s="118"/>
      <c r="F371" s="118"/>
    </row>
    <row r="372" spans="5:6" x14ac:dyDescent="0.15">
      <c r="E372" s="118"/>
      <c r="F372" s="118"/>
    </row>
    <row r="373" spans="5:6" x14ac:dyDescent="0.15">
      <c r="E373" s="118"/>
      <c r="F373" s="118"/>
    </row>
    <row r="374" spans="5:6" x14ac:dyDescent="0.15">
      <c r="E374" s="118"/>
      <c r="F374" s="118"/>
    </row>
    <row r="375" spans="5:6" x14ac:dyDescent="0.15">
      <c r="E375" s="118"/>
      <c r="F375" s="118"/>
    </row>
    <row r="376" spans="5:6" x14ac:dyDescent="0.15">
      <c r="E376" s="118"/>
      <c r="F376" s="118"/>
    </row>
    <row r="377" spans="5:6" x14ac:dyDescent="0.15">
      <c r="E377" s="118"/>
      <c r="F377" s="118"/>
    </row>
    <row r="378" spans="5:6" x14ac:dyDescent="0.15">
      <c r="E378" s="118"/>
      <c r="F378" s="118"/>
    </row>
    <row r="379" spans="5:6" x14ac:dyDescent="0.15">
      <c r="E379" s="118"/>
      <c r="F379" s="118"/>
    </row>
    <row r="380" spans="5:6" x14ac:dyDescent="0.15">
      <c r="E380" s="118"/>
      <c r="F380" s="118"/>
    </row>
    <row r="381" spans="5:6" x14ac:dyDescent="0.15">
      <c r="E381" s="118"/>
      <c r="F381" s="118"/>
    </row>
    <row r="382" spans="5:6" x14ac:dyDescent="0.15">
      <c r="E382" s="118"/>
      <c r="F382" s="118"/>
    </row>
    <row r="383" spans="5:6" x14ac:dyDescent="0.15">
      <c r="E383" s="118"/>
      <c r="F383" s="118"/>
    </row>
    <row r="384" spans="5:6" x14ac:dyDescent="0.15">
      <c r="E384" s="118"/>
      <c r="F384" s="118"/>
    </row>
    <row r="385" spans="5:6" x14ac:dyDescent="0.15">
      <c r="E385" s="118"/>
      <c r="F385" s="118"/>
    </row>
    <row r="386" spans="5:6" x14ac:dyDescent="0.15">
      <c r="E386" s="118"/>
      <c r="F386" s="118"/>
    </row>
    <row r="387" spans="5:6" x14ac:dyDescent="0.15">
      <c r="E387" s="118"/>
      <c r="F387" s="118"/>
    </row>
    <row r="388" spans="5:6" x14ac:dyDescent="0.15">
      <c r="E388" s="118"/>
      <c r="F388" s="118"/>
    </row>
    <row r="389" spans="5:6" x14ac:dyDescent="0.15">
      <c r="E389" s="118"/>
      <c r="F389" s="118"/>
    </row>
    <row r="390" spans="5:6" x14ac:dyDescent="0.15">
      <c r="E390" s="118"/>
      <c r="F390" s="118"/>
    </row>
    <row r="391" spans="5:6" x14ac:dyDescent="0.15">
      <c r="E391" s="118"/>
      <c r="F391" s="118"/>
    </row>
    <row r="392" spans="5:6" x14ac:dyDescent="0.15">
      <c r="E392" s="118"/>
      <c r="F392" s="118"/>
    </row>
    <row r="393" spans="5:6" x14ac:dyDescent="0.15">
      <c r="E393" s="118"/>
      <c r="F393" s="118"/>
    </row>
    <row r="394" spans="5:6" x14ac:dyDescent="0.15">
      <c r="E394" s="118"/>
      <c r="F394" s="118"/>
    </row>
    <row r="395" spans="5:6" x14ac:dyDescent="0.15">
      <c r="E395" s="118"/>
      <c r="F395" s="118"/>
    </row>
    <row r="396" spans="5:6" x14ac:dyDescent="0.15">
      <c r="E396" s="118"/>
      <c r="F396" s="118"/>
    </row>
    <row r="397" spans="5:6" x14ac:dyDescent="0.15">
      <c r="E397" s="118"/>
      <c r="F397" s="118"/>
    </row>
    <row r="398" spans="5:6" x14ac:dyDescent="0.15">
      <c r="E398" s="118"/>
      <c r="F398" s="118"/>
    </row>
    <row r="399" spans="5:6" x14ac:dyDescent="0.15">
      <c r="E399" s="118"/>
      <c r="F399" s="118"/>
    </row>
    <row r="400" spans="5:6" x14ac:dyDescent="0.15">
      <c r="E400" s="118"/>
      <c r="F400" s="118"/>
    </row>
    <row r="401" spans="5:6" x14ac:dyDescent="0.15">
      <c r="E401" s="118"/>
      <c r="F401" s="118"/>
    </row>
    <row r="402" spans="5:6" x14ac:dyDescent="0.15">
      <c r="E402" s="118"/>
      <c r="F402" s="118"/>
    </row>
    <row r="403" spans="5:6" x14ac:dyDescent="0.15">
      <c r="E403" s="118"/>
      <c r="F403" s="118"/>
    </row>
    <row r="404" spans="5:6" x14ac:dyDescent="0.15">
      <c r="E404" s="118"/>
      <c r="F404" s="118"/>
    </row>
    <row r="405" spans="5:6" x14ac:dyDescent="0.15">
      <c r="E405" s="118"/>
      <c r="F405" s="118"/>
    </row>
    <row r="406" spans="5:6" x14ac:dyDescent="0.15">
      <c r="E406" s="118"/>
      <c r="F406" s="118"/>
    </row>
    <row r="407" spans="5:6" x14ac:dyDescent="0.15">
      <c r="E407" s="118"/>
      <c r="F407" s="118"/>
    </row>
    <row r="408" spans="5:6" x14ac:dyDescent="0.15">
      <c r="E408" s="118"/>
      <c r="F408" s="118"/>
    </row>
    <row r="409" spans="5:6" x14ac:dyDescent="0.15">
      <c r="E409" s="118"/>
      <c r="F409" s="118"/>
    </row>
    <row r="410" spans="5:6" x14ac:dyDescent="0.15">
      <c r="E410" s="118"/>
      <c r="F410" s="118"/>
    </row>
    <row r="411" spans="5:6" x14ac:dyDescent="0.15">
      <c r="E411" s="118"/>
      <c r="F411" s="118"/>
    </row>
    <row r="412" spans="5:6" x14ac:dyDescent="0.15">
      <c r="E412" s="118"/>
      <c r="F412" s="118"/>
    </row>
    <row r="413" spans="5:6" x14ac:dyDescent="0.15">
      <c r="E413" s="118"/>
      <c r="F413" s="118"/>
    </row>
    <row r="414" spans="5:6" x14ac:dyDescent="0.15">
      <c r="E414" s="118"/>
      <c r="F414" s="118"/>
    </row>
    <row r="415" spans="5:6" x14ac:dyDescent="0.15">
      <c r="E415" s="118"/>
      <c r="F415" s="118"/>
    </row>
    <row r="416" spans="5:6" x14ac:dyDescent="0.15">
      <c r="E416" s="118"/>
      <c r="F416" s="118"/>
    </row>
    <row r="417" spans="5:6" x14ac:dyDescent="0.15">
      <c r="E417" s="118"/>
      <c r="F417" s="118"/>
    </row>
    <row r="418" spans="5:6" x14ac:dyDescent="0.15">
      <c r="E418" s="118"/>
      <c r="F418" s="118"/>
    </row>
    <row r="419" spans="5:6" x14ac:dyDescent="0.15">
      <c r="E419" s="118"/>
      <c r="F419" s="118"/>
    </row>
    <row r="420" spans="5:6" x14ac:dyDescent="0.15">
      <c r="E420" s="118"/>
      <c r="F420" s="118"/>
    </row>
    <row r="421" spans="5:6" x14ac:dyDescent="0.15">
      <c r="E421" s="118"/>
      <c r="F421" s="118"/>
    </row>
    <row r="422" spans="5:6" x14ac:dyDescent="0.15">
      <c r="E422" s="118"/>
      <c r="F422" s="118"/>
    </row>
    <row r="423" spans="5:6" x14ac:dyDescent="0.15">
      <c r="E423" s="118"/>
      <c r="F423" s="118"/>
    </row>
    <row r="424" spans="5:6" x14ac:dyDescent="0.15">
      <c r="E424" s="118"/>
      <c r="F424" s="118"/>
    </row>
    <row r="425" spans="5:6" x14ac:dyDescent="0.15">
      <c r="E425" s="118"/>
      <c r="F425" s="118"/>
    </row>
    <row r="426" spans="5:6" x14ac:dyDescent="0.15">
      <c r="E426" s="118"/>
      <c r="F426" s="118"/>
    </row>
    <row r="427" spans="5:6" x14ac:dyDescent="0.15">
      <c r="E427" s="118"/>
      <c r="F427" s="118"/>
    </row>
    <row r="428" spans="5:6" x14ac:dyDescent="0.15">
      <c r="E428" s="118"/>
      <c r="F428" s="118"/>
    </row>
    <row r="429" spans="5:6" x14ac:dyDescent="0.15">
      <c r="E429" s="118"/>
      <c r="F429" s="118"/>
    </row>
    <row r="430" spans="5:6" x14ac:dyDescent="0.15">
      <c r="E430" s="118"/>
      <c r="F430" s="118"/>
    </row>
    <row r="431" spans="5:6" x14ac:dyDescent="0.15">
      <c r="E431" s="118"/>
      <c r="F431" s="118"/>
    </row>
    <row r="432" spans="5:6" x14ac:dyDescent="0.15">
      <c r="E432" s="118"/>
      <c r="F432" s="118"/>
    </row>
    <row r="433" spans="5:6" x14ac:dyDescent="0.15">
      <c r="E433" s="118"/>
      <c r="F433" s="118"/>
    </row>
    <row r="434" spans="5:6" x14ac:dyDescent="0.15">
      <c r="E434" s="118"/>
      <c r="F434" s="118"/>
    </row>
    <row r="435" spans="5:6" x14ac:dyDescent="0.15">
      <c r="E435" s="118"/>
      <c r="F435" s="118"/>
    </row>
    <row r="436" spans="5:6" x14ac:dyDescent="0.15">
      <c r="E436" s="118"/>
      <c r="F436" s="118"/>
    </row>
    <row r="437" spans="5:6" x14ac:dyDescent="0.15">
      <c r="E437" s="118"/>
      <c r="F437" s="118"/>
    </row>
    <row r="438" spans="5:6" x14ac:dyDescent="0.15">
      <c r="E438" s="118"/>
      <c r="F438" s="118"/>
    </row>
    <row r="439" spans="5:6" x14ac:dyDescent="0.15">
      <c r="E439" s="118"/>
      <c r="F439" s="118"/>
    </row>
    <row r="440" spans="5:6" x14ac:dyDescent="0.15">
      <c r="E440" s="118"/>
      <c r="F440" s="118"/>
    </row>
    <row r="441" spans="5:6" x14ac:dyDescent="0.15">
      <c r="E441" s="118"/>
      <c r="F441" s="118"/>
    </row>
    <row r="442" spans="5:6" x14ac:dyDescent="0.15">
      <c r="E442" s="118"/>
      <c r="F442" s="118"/>
    </row>
    <row r="443" spans="5:6" x14ac:dyDescent="0.15">
      <c r="E443" s="118"/>
      <c r="F443" s="118"/>
    </row>
    <row r="444" spans="5:6" x14ac:dyDescent="0.15">
      <c r="E444" s="118"/>
      <c r="F444" s="118"/>
    </row>
    <row r="445" spans="5:6" x14ac:dyDescent="0.15">
      <c r="E445" s="118"/>
      <c r="F445" s="118"/>
    </row>
    <row r="446" spans="5:6" x14ac:dyDescent="0.15">
      <c r="E446" s="118"/>
      <c r="F446" s="118"/>
    </row>
    <row r="447" spans="5:6" x14ac:dyDescent="0.15">
      <c r="E447" s="118"/>
      <c r="F447" s="118"/>
    </row>
    <row r="448" spans="5:6" x14ac:dyDescent="0.15">
      <c r="E448" s="118"/>
      <c r="F448" s="118"/>
    </row>
    <row r="449" spans="5:6" x14ac:dyDescent="0.15">
      <c r="E449" s="118"/>
      <c r="F449" s="118"/>
    </row>
    <row r="450" spans="5:6" x14ac:dyDescent="0.15">
      <c r="E450" s="118"/>
      <c r="F450" s="118"/>
    </row>
    <row r="451" spans="5:6" x14ac:dyDescent="0.15">
      <c r="E451" s="118"/>
      <c r="F451" s="118"/>
    </row>
    <row r="452" spans="5:6" x14ac:dyDescent="0.15">
      <c r="E452" s="118"/>
      <c r="F452" s="118"/>
    </row>
    <row r="453" spans="5:6" x14ac:dyDescent="0.15">
      <c r="E453" s="118"/>
      <c r="F453" s="118"/>
    </row>
    <row r="454" spans="5:6" x14ac:dyDescent="0.15">
      <c r="E454" s="118"/>
      <c r="F454" s="118"/>
    </row>
    <row r="455" spans="5:6" x14ac:dyDescent="0.15">
      <c r="E455" s="118"/>
      <c r="F455" s="118"/>
    </row>
    <row r="456" spans="5:6" x14ac:dyDescent="0.15">
      <c r="E456" s="118"/>
      <c r="F456" s="118"/>
    </row>
    <row r="457" spans="5:6" x14ac:dyDescent="0.15">
      <c r="E457" s="118"/>
      <c r="F457" s="118"/>
    </row>
    <row r="458" spans="5:6" x14ac:dyDescent="0.15">
      <c r="E458" s="118"/>
      <c r="F458" s="118"/>
    </row>
    <row r="459" spans="5:6" x14ac:dyDescent="0.15">
      <c r="E459" s="118"/>
      <c r="F459" s="118"/>
    </row>
    <row r="460" spans="5:6" x14ac:dyDescent="0.15">
      <c r="E460" s="118"/>
      <c r="F460" s="118"/>
    </row>
    <row r="461" spans="5:6" x14ac:dyDescent="0.15">
      <c r="E461" s="118"/>
      <c r="F461" s="118"/>
    </row>
    <row r="462" spans="5:6" x14ac:dyDescent="0.15">
      <c r="E462" s="118"/>
      <c r="F462" s="118"/>
    </row>
    <row r="463" spans="5:6" x14ac:dyDescent="0.15">
      <c r="E463" s="118"/>
      <c r="F463" s="118"/>
    </row>
    <row r="464" spans="5:6" x14ac:dyDescent="0.15">
      <c r="E464" s="118"/>
      <c r="F464" s="118"/>
    </row>
    <row r="465" spans="5:6" x14ac:dyDescent="0.15">
      <c r="E465" s="118"/>
      <c r="F465" s="118"/>
    </row>
    <row r="466" spans="5:6" x14ac:dyDescent="0.15">
      <c r="E466" s="118"/>
      <c r="F466" s="118"/>
    </row>
    <row r="467" spans="5:6" x14ac:dyDescent="0.15">
      <c r="E467" s="118"/>
      <c r="F467" s="118"/>
    </row>
    <row r="468" spans="5:6" x14ac:dyDescent="0.15">
      <c r="E468" s="118"/>
      <c r="F468" s="118"/>
    </row>
    <row r="469" spans="5:6" x14ac:dyDescent="0.15">
      <c r="E469" s="118"/>
      <c r="F469" s="118"/>
    </row>
    <row r="470" spans="5:6" x14ac:dyDescent="0.15">
      <c r="E470" s="118"/>
      <c r="F470" s="118"/>
    </row>
    <row r="471" spans="5:6" x14ac:dyDescent="0.15">
      <c r="E471" s="118"/>
      <c r="F471" s="118"/>
    </row>
    <row r="472" spans="5:6" x14ac:dyDescent="0.15">
      <c r="E472" s="118"/>
      <c r="F472" s="118"/>
    </row>
    <row r="473" spans="5:6" x14ac:dyDescent="0.15">
      <c r="E473" s="118"/>
      <c r="F473" s="118"/>
    </row>
    <row r="474" spans="5:6" x14ac:dyDescent="0.15">
      <c r="E474" s="118"/>
      <c r="F474" s="118"/>
    </row>
    <row r="475" spans="5:6" x14ac:dyDescent="0.15">
      <c r="E475" s="118"/>
      <c r="F475" s="118"/>
    </row>
    <row r="476" spans="5:6" x14ac:dyDescent="0.15">
      <c r="E476" s="118"/>
      <c r="F476" s="118"/>
    </row>
    <row r="477" spans="5:6" x14ac:dyDescent="0.15">
      <c r="E477" s="118"/>
      <c r="F477" s="118"/>
    </row>
    <row r="478" spans="5:6" x14ac:dyDescent="0.15">
      <c r="E478" s="118"/>
      <c r="F478" s="118"/>
    </row>
    <row r="479" spans="5:6" x14ac:dyDescent="0.15">
      <c r="E479" s="118"/>
      <c r="F479" s="118"/>
    </row>
    <row r="480" spans="5:6" x14ac:dyDescent="0.15">
      <c r="E480" s="118"/>
      <c r="F480" s="118"/>
    </row>
    <row r="481" spans="5:6" x14ac:dyDescent="0.15">
      <c r="E481" s="118"/>
      <c r="F481" s="118"/>
    </row>
    <row r="482" spans="5:6" x14ac:dyDescent="0.15">
      <c r="E482" s="118"/>
      <c r="F482" s="118"/>
    </row>
    <row r="483" spans="5:6" x14ac:dyDescent="0.15">
      <c r="E483" s="118"/>
      <c r="F483" s="118"/>
    </row>
    <row r="484" spans="5:6" x14ac:dyDescent="0.15">
      <c r="E484" s="118"/>
      <c r="F484" s="118"/>
    </row>
    <row r="485" spans="5:6" x14ac:dyDescent="0.15">
      <c r="E485" s="118"/>
      <c r="F485" s="118"/>
    </row>
    <row r="486" spans="5:6" x14ac:dyDescent="0.15">
      <c r="E486" s="118"/>
      <c r="F486" s="118"/>
    </row>
    <row r="487" spans="5:6" x14ac:dyDescent="0.15">
      <c r="E487" s="118"/>
      <c r="F487" s="118"/>
    </row>
    <row r="488" spans="5:6" x14ac:dyDescent="0.15">
      <c r="E488" s="118"/>
      <c r="F488" s="118"/>
    </row>
    <row r="489" spans="5:6" x14ac:dyDescent="0.15">
      <c r="E489" s="118"/>
      <c r="F489" s="118"/>
    </row>
    <row r="490" spans="5:6" x14ac:dyDescent="0.15">
      <c r="E490" s="118"/>
      <c r="F490" s="118"/>
    </row>
    <row r="491" spans="5:6" x14ac:dyDescent="0.15">
      <c r="E491" s="118"/>
      <c r="F491" s="118"/>
    </row>
    <row r="492" spans="5:6" x14ac:dyDescent="0.15">
      <c r="E492" s="118"/>
      <c r="F492" s="118"/>
    </row>
    <row r="493" spans="5:6" x14ac:dyDescent="0.15">
      <c r="E493" s="118"/>
      <c r="F493" s="118"/>
    </row>
    <row r="494" spans="5:6" x14ac:dyDescent="0.15">
      <c r="E494" s="118"/>
      <c r="F494" s="118"/>
    </row>
    <row r="495" spans="5:6" x14ac:dyDescent="0.15">
      <c r="E495" s="118"/>
      <c r="F495" s="118"/>
    </row>
    <row r="496" spans="5:6" x14ac:dyDescent="0.15">
      <c r="E496" s="118"/>
      <c r="F496" s="118"/>
    </row>
    <row r="497" spans="5:6" x14ac:dyDescent="0.15">
      <c r="E497" s="118"/>
      <c r="F497" s="118"/>
    </row>
    <row r="498" spans="5:6" x14ac:dyDescent="0.15">
      <c r="E498" s="118"/>
      <c r="F498" s="118"/>
    </row>
    <row r="499" spans="5:6" x14ac:dyDescent="0.15">
      <c r="E499" s="118"/>
      <c r="F499" s="118"/>
    </row>
    <row r="500" spans="5:6" x14ac:dyDescent="0.15">
      <c r="E500" s="118"/>
      <c r="F500" s="118"/>
    </row>
    <row r="501" spans="5:6" x14ac:dyDescent="0.15">
      <c r="E501" s="118"/>
      <c r="F501" s="118"/>
    </row>
    <row r="502" spans="5:6" x14ac:dyDescent="0.15">
      <c r="E502" s="118"/>
      <c r="F502" s="118"/>
    </row>
    <row r="503" spans="5:6" x14ac:dyDescent="0.15">
      <c r="E503" s="118"/>
      <c r="F503" s="118"/>
    </row>
    <row r="504" spans="5:6" x14ac:dyDescent="0.15">
      <c r="E504" s="118"/>
      <c r="F504" s="118"/>
    </row>
    <row r="505" spans="5:6" x14ac:dyDescent="0.15">
      <c r="E505" s="118"/>
      <c r="F505" s="118"/>
    </row>
    <row r="506" spans="5:6" x14ac:dyDescent="0.15">
      <c r="E506" s="118"/>
      <c r="F506" s="118"/>
    </row>
    <row r="507" spans="5:6" x14ac:dyDescent="0.15">
      <c r="E507" s="118"/>
      <c r="F507" s="118"/>
    </row>
    <row r="508" spans="5:6" x14ac:dyDescent="0.15">
      <c r="E508" s="118"/>
      <c r="F508" s="118"/>
    </row>
    <row r="509" spans="5:6" x14ac:dyDescent="0.15">
      <c r="E509" s="118"/>
      <c r="F509" s="118"/>
    </row>
    <row r="510" spans="5:6" x14ac:dyDescent="0.15">
      <c r="E510" s="118"/>
      <c r="F510" s="118"/>
    </row>
    <row r="511" spans="5:6" x14ac:dyDescent="0.15">
      <c r="E511" s="118"/>
      <c r="F511" s="118"/>
    </row>
    <row r="512" spans="5:6" x14ac:dyDescent="0.15">
      <c r="E512" s="118"/>
      <c r="F512" s="118"/>
    </row>
    <row r="513" spans="5:6" x14ac:dyDescent="0.15">
      <c r="E513" s="118"/>
      <c r="F513" s="118"/>
    </row>
    <row r="514" spans="5:6" x14ac:dyDescent="0.15">
      <c r="E514" s="118"/>
      <c r="F514" s="118"/>
    </row>
    <row r="515" spans="5:6" x14ac:dyDescent="0.15">
      <c r="E515" s="118"/>
      <c r="F515" s="118"/>
    </row>
    <row r="516" spans="5:6" x14ac:dyDescent="0.15">
      <c r="E516" s="118"/>
      <c r="F516" s="118"/>
    </row>
    <row r="517" spans="5:6" x14ac:dyDescent="0.15">
      <c r="E517" s="118"/>
      <c r="F517" s="118"/>
    </row>
    <row r="518" spans="5:6" x14ac:dyDescent="0.15">
      <c r="E518" s="118"/>
      <c r="F518" s="118"/>
    </row>
    <row r="519" spans="5:6" x14ac:dyDescent="0.15">
      <c r="E519" s="118"/>
      <c r="F519" s="118"/>
    </row>
    <row r="520" spans="5:6" x14ac:dyDescent="0.15">
      <c r="E520" s="118"/>
      <c r="F520" s="118"/>
    </row>
    <row r="521" spans="5:6" x14ac:dyDescent="0.15">
      <c r="E521" s="118"/>
      <c r="F521" s="118"/>
    </row>
    <row r="522" spans="5:6" x14ac:dyDescent="0.15">
      <c r="E522" s="118"/>
      <c r="F522" s="118"/>
    </row>
    <row r="523" spans="5:6" x14ac:dyDescent="0.15">
      <c r="E523" s="118"/>
      <c r="F523" s="118"/>
    </row>
    <row r="524" spans="5:6" x14ac:dyDescent="0.15">
      <c r="E524" s="118"/>
      <c r="F524" s="118"/>
    </row>
    <row r="525" spans="5:6" x14ac:dyDescent="0.15">
      <c r="E525" s="118"/>
      <c r="F525" s="118"/>
    </row>
    <row r="526" spans="5:6" x14ac:dyDescent="0.15">
      <c r="E526" s="118"/>
      <c r="F526" s="118"/>
    </row>
    <row r="527" spans="5:6" x14ac:dyDescent="0.15">
      <c r="E527" s="118"/>
      <c r="F527" s="118"/>
    </row>
    <row r="528" spans="5:6" x14ac:dyDescent="0.15">
      <c r="E528" s="118"/>
      <c r="F528" s="118"/>
    </row>
    <row r="529" spans="5:6" x14ac:dyDescent="0.15">
      <c r="E529" s="118"/>
      <c r="F529" s="118"/>
    </row>
    <row r="530" spans="5:6" x14ac:dyDescent="0.15">
      <c r="E530" s="118"/>
      <c r="F530" s="118"/>
    </row>
    <row r="531" spans="5:6" x14ac:dyDescent="0.15">
      <c r="E531" s="118"/>
      <c r="F531" s="118"/>
    </row>
    <row r="532" spans="5:6" x14ac:dyDescent="0.15">
      <c r="E532" s="118"/>
      <c r="F532" s="118"/>
    </row>
    <row r="533" spans="5:6" x14ac:dyDescent="0.15">
      <c r="E533" s="118"/>
      <c r="F533" s="118"/>
    </row>
    <row r="534" spans="5:6" x14ac:dyDescent="0.15">
      <c r="E534" s="118"/>
      <c r="F534" s="118"/>
    </row>
    <row r="535" spans="5:6" x14ac:dyDescent="0.15">
      <c r="E535" s="118"/>
      <c r="F535" s="118"/>
    </row>
    <row r="536" spans="5:6" x14ac:dyDescent="0.15">
      <c r="E536" s="118"/>
      <c r="F536" s="118"/>
    </row>
    <row r="537" spans="5:6" x14ac:dyDescent="0.15">
      <c r="E537" s="118"/>
      <c r="F537" s="118"/>
    </row>
    <row r="538" spans="5:6" x14ac:dyDescent="0.15">
      <c r="E538" s="118"/>
      <c r="F538" s="118"/>
    </row>
    <row r="539" spans="5:6" x14ac:dyDescent="0.15">
      <c r="E539" s="118"/>
      <c r="F539" s="118"/>
    </row>
    <row r="540" spans="5:6" x14ac:dyDescent="0.15">
      <c r="E540" s="118"/>
      <c r="F540" s="118"/>
    </row>
    <row r="541" spans="5:6" x14ac:dyDescent="0.15">
      <c r="E541" s="118"/>
      <c r="F541" s="118"/>
    </row>
    <row r="542" spans="5:6" x14ac:dyDescent="0.15">
      <c r="E542" s="118"/>
      <c r="F542" s="118"/>
    </row>
    <row r="543" spans="5:6" x14ac:dyDescent="0.15">
      <c r="E543" s="118"/>
      <c r="F543" s="118"/>
    </row>
    <row r="544" spans="5:6" x14ac:dyDescent="0.15">
      <c r="E544" s="118"/>
      <c r="F544" s="118"/>
    </row>
    <row r="545" spans="5:6" x14ac:dyDescent="0.15">
      <c r="E545" s="118"/>
      <c r="F545" s="118"/>
    </row>
    <row r="546" spans="5:6" x14ac:dyDescent="0.15">
      <c r="E546" s="118"/>
      <c r="F546" s="118"/>
    </row>
    <row r="547" spans="5:6" x14ac:dyDescent="0.15">
      <c r="E547" s="118"/>
      <c r="F547" s="118"/>
    </row>
    <row r="548" spans="5:6" x14ac:dyDescent="0.15">
      <c r="E548" s="118"/>
      <c r="F548" s="118"/>
    </row>
    <row r="549" spans="5:6" x14ac:dyDescent="0.15">
      <c r="E549" s="118"/>
      <c r="F549" s="118"/>
    </row>
    <row r="550" spans="5:6" x14ac:dyDescent="0.15">
      <c r="E550" s="118"/>
      <c r="F550" s="118"/>
    </row>
    <row r="551" spans="5:6" x14ac:dyDescent="0.15">
      <c r="E551" s="118"/>
      <c r="F551" s="118"/>
    </row>
    <row r="552" spans="5:6" x14ac:dyDescent="0.15">
      <c r="E552" s="118"/>
      <c r="F552" s="118"/>
    </row>
    <row r="553" spans="5:6" x14ac:dyDescent="0.15">
      <c r="E553" s="118"/>
      <c r="F553" s="118"/>
    </row>
    <row r="554" spans="5:6" x14ac:dyDescent="0.15">
      <c r="E554" s="118"/>
      <c r="F554" s="118"/>
    </row>
    <row r="555" spans="5:6" x14ac:dyDescent="0.15">
      <c r="E555" s="118"/>
      <c r="F555" s="118"/>
    </row>
    <row r="556" spans="5:6" x14ac:dyDescent="0.15">
      <c r="E556" s="118"/>
      <c r="F556" s="118"/>
    </row>
    <row r="557" spans="5:6" x14ac:dyDescent="0.15">
      <c r="E557" s="118"/>
      <c r="F557" s="118"/>
    </row>
    <row r="558" spans="5:6" x14ac:dyDescent="0.15">
      <c r="E558" s="118"/>
      <c r="F558" s="118"/>
    </row>
    <row r="559" spans="5:6" x14ac:dyDescent="0.15">
      <c r="E559" s="118"/>
      <c r="F559" s="118"/>
    </row>
    <row r="560" spans="5:6" x14ac:dyDescent="0.15">
      <c r="E560" s="118"/>
      <c r="F560" s="118"/>
    </row>
    <row r="561" spans="5:6" x14ac:dyDescent="0.15">
      <c r="E561" s="118"/>
      <c r="F561" s="118"/>
    </row>
    <row r="562" spans="5:6" x14ac:dyDescent="0.15">
      <c r="E562" s="118"/>
      <c r="F562" s="118"/>
    </row>
    <row r="563" spans="5:6" x14ac:dyDescent="0.15">
      <c r="E563" s="118"/>
      <c r="F563" s="118"/>
    </row>
    <row r="564" spans="5:6" x14ac:dyDescent="0.15">
      <c r="E564" s="118"/>
      <c r="F564" s="118"/>
    </row>
    <row r="565" spans="5:6" x14ac:dyDescent="0.15">
      <c r="E565" s="118"/>
      <c r="F565" s="118"/>
    </row>
    <row r="566" spans="5:6" x14ac:dyDescent="0.15">
      <c r="E566" s="118"/>
      <c r="F566" s="118"/>
    </row>
    <row r="567" spans="5:6" x14ac:dyDescent="0.15">
      <c r="E567" s="118"/>
      <c r="F567" s="118"/>
    </row>
    <row r="568" spans="5:6" x14ac:dyDescent="0.15">
      <c r="E568" s="118"/>
      <c r="F568" s="118"/>
    </row>
    <row r="569" spans="5:6" x14ac:dyDescent="0.15">
      <c r="E569" s="118"/>
      <c r="F569" s="118"/>
    </row>
    <row r="570" spans="5:6" x14ac:dyDescent="0.15">
      <c r="E570" s="118"/>
      <c r="F570" s="118"/>
    </row>
    <row r="571" spans="5:6" x14ac:dyDescent="0.15">
      <c r="E571" s="118"/>
      <c r="F571" s="118"/>
    </row>
    <row r="572" spans="5:6" x14ac:dyDescent="0.15">
      <c r="E572" s="118"/>
      <c r="F572" s="118"/>
    </row>
    <row r="573" spans="5:6" x14ac:dyDescent="0.15">
      <c r="E573" s="118"/>
      <c r="F573" s="118"/>
    </row>
    <row r="574" spans="5:6" x14ac:dyDescent="0.15">
      <c r="E574" s="118"/>
      <c r="F574" s="118"/>
    </row>
    <row r="575" spans="5:6" x14ac:dyDescent="0.15">
      <c r="E575" s="118"/>
      <c r="F575" s="118"/>
    </row>
    <row r="576" spans="5:6" x14ac:dyDescent="0.15">
      <c r="E576" s="118"/>
      <c r="F576" s="118"/>
    </row>
    <row r="577" spans="5:6" x14ac:dyDescent="0.15">
      <c r="E577" s="118"/>
      <c r="F577" s="118"/>
    </row>
    <row r="578" spans="5:6" x14ac:dyDescent="0.15">
      <c r="E578" s="118"/>
      <c r="F578" s="118"/>
    </row>
    <row r="579" spans="5:6" x14ac:dyDescent="0.15">
      <c r="E579" s="118"/>
      <c r="F579" s="118"/>
    </row>
    <row r="580" spans="5:6" x14ac:dyDescent="0.15">
      <c r="E580" s="118"/>
      <c r="F580" s="118"/>
    </row>
    <row r="581" spans="5:6" x14ac:dyDescent="0.15">
      <c r="E581" s="118"/>
      <c r="F581" s="118"/>
    </row>
    <row r="582" spans="5:6" x14ac:dyDescent="0.15">
      <c r="E582" s="118"/>
      <c r="F582" s="118"/>
    </row>
    <row r="583" spans="5:6" x14ac:dyDescent="0.15">
      <c r="E583" s="118"/>
      <c r="F583" s="118"/>
    </row>
    <row r="584" spans="5:6" x14ac:dyDescent="0.15">
      <c r="E584" s="118"/>
      <c r="F584" s="118"/>
    </row>
    <row r="585" spans="5:6" x14ac:dyDescent="0.15">
      <c r="E585" s="118"/>
      <c r="F585" s="118"/>
    </row>
    <row r="586" spans="5:6" x14ac:dyDescent="0.15">
      <c r="E586" s="118"/>
      <c r="F586" s="118"/>
    </row>
    <row r="587" spans="5:6" x14ac:dyDescent="0.15">
      <c r="E587" s="118"/>
      <c r="F587" s="118"/>
    </row>
    <row r="588" spans="5:6" x14ac:dyDescent="0.15">
      <c r="E588" s="118"/>
      <c r="F588" s="118"/>
    </row>
    <row r="589" spans="5:6" x14ac:dyDescent="0.15">
      <c r="E589" s="118"/>
      <c r="F589" s="118"/>
    </row>
    <row r="590" spans="5:6" x14ac:dyDescent="0.15">
      <c r="E590" s="118"/>
      <c r="F590" s="118"/>
    </row>
    <row r="591" spans="5:6" x14ac:dyDescent="0.15">
      <c r="E591" s="118"/>
      <c r="F591" s="118"/>
    </row>
    <row r="592" spans="5:6" x14ac:dyDescent="0.15">
      <c r="E592" s="118"/>
      <c r="F592" s="118"/>
    </row>
    <row r="593" spans="5:6" x14ac:dyDescent="0.15">
      <c r="E593" s="118"/>
      <c r="F593" s="118"/>
    </row>
    <row r="594" spans="5:6" x14ac:dyDescent="0.15">
      <c r="E594" s="118"/>
      <c r="F594" s="118"/>
    </row>
    <row r="595" spans="5:6" x14ac:dyDescent="0.15">
      <c r="E595" s="118"/>
      <c r="F595" s="118"/>
    </row>
    <row r="596" spans="5:6" x14ac:dyDescent="0.15">
      <c r="E596" s="118"/>
      <c r="F596" s="118"/>
    </row>
    <row r="597" spans="5:6" x14ac:dyDescent="0.15">
      <c r="E597" s="118"/>
      <c r="F597" s="118"/>
    </row>
    <row r="598" spans="5:6" x14ac:dyDescent="0.15">
      <c r="E598" s="118"/>
      <c r="F598" s="118"/>
    </row>
    <row r="599" spans="5:6" x14ac:dyDescent="0.15">
      <c r="E599" s="118"/>
      <c r="F599" s="118"/>
    </row>
    <row r="600" spans="5:6" x14ac:dyDescent="0.15">
      <c r="E600" s="118"/>
      <c r="F600" s="118"/>
    </row>
    <row r="601" spans="5:6" x14ac:dyDescent="0.15">
      <c r="E601" s="118"/>
      <c r="F601" s="118"/>
    </row>
    <row r="602" spans="5:6" x14ac:dyDescent="0.15">
      <c r="E602" s="118"/>
      <c r="F602" s="118"/>
    </row>
    <row r="603" spans="5:6" x14ac:dyDescent="0.15">
      <c r="E603" s="118"/>
      <c r="F603" s="118"/>
    </row>
    <row r="604" spans="5:6" x14ac:dyDescent="0.15">
      <c r="E604" s="118"/>
      <c r="F604" s="118"/>
    </row>
    <row r="605" spans="5:6" x14ac:dyDescent="0.15">
      <c r="E605" s="118"/>
      <c r="F605" s="118"/>
    </row>
    <row r="606" spans="5:6" x14ac:dyDescent="0.15">
      <c r="E606" s="118"/>
      <c r="F606" s="118"/>
    </row>
    <row r="607" spans="5:6" x14ac:dyDescent="0.15">
      <c r="E607" s="118"/>
      <c r="F607" s="118"/>
    </row>
    <row r="608" spans="5:6" x14ac:dyDescent="0.15">
      <c r="E608" s="118"/>
      <c r="F608" s="118"/>
    </row>
    <row r="609" spans="5:6" x14ac:dyDescent="0.15">
      <c r="E609" s="118"/>
      <c r="F609" s="118"/>
    </row>
    <row r="610" spans="5:6" x14ac:dyDescent="0.15">
      <c r="E610" s="118"/>
      <c r="F610" s="118"/>
    </row>
    <row r="611" spans="5:6" x14ac:dyDescent="0.15">
      <c r="E611" s="118"/>
      <c r="F611" s="118"/>
    </row>
    <row r="612" spans="5:6" x14ac:dyDescent="0.15">
      <c r="E612" s="118"/>
      <c r="F612" s="118"/>
    </row>
    <row r="613" spans="5:6" x14ac:dyDescent="0.15">
      <c r="E613" s="118"/>
      <c r="F613" s="118"/>
    </row>
    <row r="614" spans="5:6" x14ac:dyDescent="0.15">
      <c r="E614" s="118"/>
      <c r="F614" s="118"/>
    </row>
    <row r="615" spans="5:6" x14ac:dyDescent="0.15">
      <c r="E615" s="118"/>
      <c r="F615" s="118"/>
    </row>
    <row r="616" spans="5:6" x14ac:dyDescent="0.15">
      <c r="E616" s="118"/>
      <c r="F616" s="118"/>
    </row>
    <row r="617" spans="5:6" x14ac:dyDescent="0.15">
      <c r="E617" s="118"/>
      <c r="F617" s="118"/>
    </row>
    <row r="618" spans="5:6" x14ac:dyDescent="0.15">
      <c r="E618" s="118"/>
      <c r="F618" s="118"/>
    </row>
    <row r="619" spans="5:6" x14ac:dyDescent="0.15">
      <c r="E619" s="118"/>
      <c r="F619" s="118"/>
    </row>
    <row r="620" spans="5:6" x14ac:dyDescent="0.15">
      <c r="E620" s="118"/>
      <c r="F620" s="118"/>
    </row>
    <row r="621" spans="5:6" x14ac:dyDescent="0.15">
      <c r="E621" s="118"/>
      <c r="F621" s="118"/>
    </row>
    <row r="622" spans="5:6" x14ac:dyDescent="0.15">
      <c r="E622" s="118"/>
      <c r="F622" s="118"/>
    </row>
    <row r="623" spans="5:6" x14ac:dyDescent="0.15">
      <c r="E623" s="118"/>
      <c r="F623" s="118"/>
    </row>
    <row r="624" spans="5:6" x14ac:dyDescent="0.15">
      <c r="E624" s="118"/>
      <c r="F624" s="118"/>
    </row>
    <row r="625" spans="5:6" x14ac:dyDescent="0.15">
      <c r="E625" s="118"/>
      <c r="F625" s="118"/>
    </row>
    <row r="626" spans="5:6" x14ac:dyDescent="0.15">
      <c r="E626" s="118"/>
      <c r="F626" s="118"/>
    </row>
    <row r="627" spans="5:6" x14ac:dyDescent="0.15">
      <c r="E627" s="118"/>
      <c r="F627" s="118"/>
    </row>
    <row r="628" spans="5:6" x14ac:dyDescent="0.15">
      <c r="E628" s="118"/>
      <c r="F628" s="118"/>
    </row>
    <row r="629" spans="5:6" x14ac:dyDescent="0.15">
      <c r="E629" s="118"/>
      <c r="F629" s="118"/>
    </row>
    <row r="630" spans="5:6" x14ac:dyDescent="0.15">
      <c r="E630" s="118"/>
      <c r="F630" s="118"/>
    </row>
    <row r="631" spans="5:6" x14ac:dyDescent="0.15">
      <c r="E631" s="118"/>
      <c r="F631" s="118"/>
    </row>
    <row r="632" spans="5:6" x14ac:dyDescent="0.15">
      <c r="E632" s="118"/>
      <c r="F632" s="118"/>
    </row>
    <row r="633" spans="5:6" x14ac:dyDescent="0.15">
      <c r="E633" s="118"/>
      <c r="F633" s="118"/>
    </row>
    <row r="634" spans="5:6" x14ac:dyDescent="0.15">
      <c r="E634" s="118"/>
      <c r="F634" s="118"/>
    </row>
    <row r="635" spans="5:6" x14ac:dyDescent="0.15">
      <c r="E635" s="118"/>
      <c r="F635" s="118"/>
    </row>
    <row r="636" spans="5:6" x14ac:dyDescent="0.15">
      <c r="E636" s="118"/>
      <c r="F636" s="118"/>
    </row>
    <row r="637" spans="5:6" x14ac:dyDescent="0.15">
      <c r="E637" s="118"/>
      <c r="F637" s="118"/>
    </row>
    <row r="638" spans="5:6" x14ac:dyDescent="0.15">
      <c r="E638" s="118"/>
      <c r="F638" s="118"/>
    </row>
    <row r="639" spans="5:6" x14ac:dyDescent="0.15">
      <c r="E639" s="118"/>
      <c r="F639" s="118"/>
    </row>
    <row r="640" spans="5:6" x14ac:dyDescent="0.15">
      <c r="E640" s="118"/>
      <c r="F640" s="118"/>
    </row>
    <row r="641" spans="5:6" x14ac:dyDescent="0.15">
      <c r="E641" s="118"/>
      <c r="F641" s="118"/>
    </row>
    <row r="642" spans="5:6" x14ac:dyDescent="0.15">
      <c r="E642" s="118"/>
      <c r="F642" s="118"/>
    </row>
    <row r="643" spans="5:6" x14ac:dyDescent="0.15">
      <c r="E643" s="118"/>
      <c r="F643" s="118"/>
    </row>
    <row r="644" spans="5:6" x14ac:dyDescent="0.15">
      <c r="E644" s="118"/>
      <c r="F644" s="118"/>
    </row>
    <row r="645" spans="5:6" x14ac:dyDescent="0.15">
      <c r="E645" s="118"/>
      <c r="F645" s="118"/>
    </row>
    <row r="646" spans="5:6" x14ac:dyDescent="0.15">
      <c r="E646" s="118"/>
      <c r="F646" s="118"/>
    </row>
    <row r="647" spans="5:6" x14ac:dyDescent="0.15">
      <c r="E647" s="118"/>
      <c r="F647" s="118"/>
    </row>
    <row r="648" spans="5:6" x14ac:dyDescent="0.15">
      <c r="E648" s="118"/>
      <c r="F648" s="118"/>
    </row>
    <row r="649" spans="5:6" x14ac:dyDescent="0.15">
      <c r="E649" s="118"/>
      <c r="F649" s="118"/>
    </row>
    <row r="650" spans="5:6" x14ac:dyDescent="0.15">
      <c r="E650" s="118"/>
      <c r="F650" s="118"/>
    </row>
    <row r="651" spans="5:6" x14ac:dyDescent="0.15">
      <c r="E651" s="118"/>
      <c r="F651" s="118"/>
    </row>
    <row r="652" spans="5:6" x14ac:dyDescent="0.15">
      <c r="E652" s="118"/>
      <c r="F652" s="118"/>
    </row>
    <row r="653" spans="5:6" x14ac:dyDescent="0.15">
      <c r="E653" s="118"/>
      <c r="F653" s="118"/>
    </row>
    <row r="654" spans="5:6" x14ac:dyDescent="0.15">
      <c r="E654" s="118"/>
      <c r="F654" s="118"/>
    </row>
    <row r="655" spans="5:6" x14ac:dyDescent="0.15">
      <c r="E655" s="118"/>
      <c r="F655" s="118"/>
    </row>
    <row r="656" spans="5:6" x14ac:dyDescent="0.15">
      <c r="E656" s="118"/>
      <c r="F656" s="118"/>
    </row>
    <row r="657" spans="5:6" x14ac:dyDescent="0.15">
      <c r="E657" s="118"/>
      <c r="F657" s="118"/>
    </row>
    <row r="658" spans="5:6" x14ac:dyDescent="0.15">
      <c r="E658" s="118"/>
      <c r="F658" s="118"/>
    </row>
    <row r="659" spans="5:6" x14ac:dyDescent="0.15">
      <c r="E659" s="118"/>
      <c r="F659" s="118"/>
    </row>
    <row r="660" spans="5:6" x14ac:dyDescent="0.15">
      <c r="E660" s="118"/>
      <c r="F660" s="118"/>
    </row>
    <row r="661" spans="5:6" x14ac:dyDescent="0.15">
      <c r="E661" s="118"/>
      <c r="F661" s="118"/>
    </row>
    <row r="662" spans="5:6" x14ac:dyDescent="0.15">
      <c r="E662" s="118"/>
      <c r="F662" s="118"/>
    </row>
    <row r="663" spans="5:6" x14ac:dyDescent="0.15">
      <c r="E663" s="118"/>
      <c r="F663" s="118"/>
    </row>
    <row r="664" spans="5:6" x14ac:dyDescent="0.15">
      <c r="E664" s="118"/>
      <c r="F664" s="118"/>
    </row>
    <row r="665" spans="5:6" x14ac:dyDescent="0.15">
      <c r="E665" s="118"/>
      <c r="F665" s="118"/>
    </row>
    <row r="666" spans="5:6" x14ac:dyDescent="0.15">
      <c r="E666" s="118"/>
      <c r="F666" s="118"/>
    </row>
    <row r="667" spans="5:6" x14ac:dyDescent="0.15">
      <c r="E667" s="118"/>
      <c r="F667" s="118"/>
    </row>
    <row r="668" spans="5:6" x14ac:dyDescent="0.15">
      <c r="E668" s="118"/>
      <c r="F668" s="118"/>
    </row>
    <row r="669" spans="5:6" x14ac:dyDescent="0.15">
      <c r="E669" s="118"/>
      <c r="F669" s="118"/>
    </row>
    <row r="670" spans="5:6" x14ac:dyDescent="0.15">
      <c r="E670" s="118"/>
      <c r="F670" s="118"/>
    </row>
    <row r="671" spans="5:6" x14ac:dyDescent="0.15">
      <c r="E671" s="118"/>
      <c r="F671" s="118"/>
    </row>
    <row r="672" spans="5:6" x14ac:dyDescent="0.15">
      <c r="E672" s="118"/>
      <c r="F672" s="118"/>
    </row>
    <row r="673" spans="5:6" x14ac:dyDescent="0.15">
      <c r="E673" s="118"/>
      <c r="F673" s="118"/>
    </row>
    <row r="674" spans="5:6" x14ac:dyDescent="0.15">
      <c r="E674" s="118"/>
      <c r="F674" s="118"/>
    </row>
    <row r="675" spans="5:6" x14ac:dyDescent="0.15">
      <c r="E675" s="118"/>
      <c r="F675" s="118"/>
    </row>
    <row r="676" spans="5:6" x14ac:dyDescent="0.15">
      <c r="E676" s="118"/>
      <c r="F676" s="118"/>
    </row>
    <row r="677" spans="5:6" x14ac:dyDescent="0.15">
      <c r="E677" s="118"/>
      <c r="F677" s="118"/>
    </row>
    <row r="678" spans="5:6" x14ac:dyDescent="0.15">
      <c r="E678" s="118"/>
      <c r="F678" s="118"/>
    </row>
    <row r="679" spans="5:6" x14ac:dyDescent="0.15">
      <c r="E679" s="118"/>
      <c r="F679" s="118"/>
    </row>
    <row r="680" spans="5:6" x14ac:dyDescent="0.15">
      <c r="E680" s="118"/>
      <c r="F680" s="118"/>
    </row>
    <row r="681" spans="5:6" x14ac:dyDescent="0.15">
      <c r="E681" s="118"/>
      <c r="F681" s="118"/>
    </row>
    <row r="682" spans="5:6" x14ac:dyDescent="0.15">
      <c r="E682" s="118"/>
      <c r="F682" s="118"/>
    </row>
    <row r="683" spans="5:6" x14ac:dyDescent="0.15">
      <c r="E683" s="118"/>
      <c r="F683" s="118"/>
    </row>
    <row r="684" spans="5:6" x14ac:dyDescent="0.15">
      <c r="E684" s="118"/>
      <c r="F684" s="118"/>
    </row>
    <row r="685" spans="5:6" x14ac:dyDescent="0.15">
      <c r="E685" s="118"/>
      <c r="F685" s="118"/>
    </row>
    <row r="686" spans="5:6" x14ac:dyDescent="0.15">
      <c r="E686" s="118"/>
      <c r="F686" s="118"/>
    </row>
    <row r="687" spans="5:6" x14ac:dyDescent="0.15">
      <c r="E687" s="118"/>
      <c r="F687" s="118"/>
    </row>
    <row r="688" spans="5:6" x14ac:dyDescent="0.15">
      <c r="E688" s="118"/>
      <c r="F688" s="118"/>
    </row>
    <row r="689" spans="5:6" x14ac:dyDescent="0.15">
      <c r="E689" s="118"/>
      <c r="F689" s="118"/>
    </row>
    <row r="690" spans="5:6" x14ac:dyDescent="0.15">
      <c r="E690" s="118"/>
      <c r="F690" s="118"/>
    </row>
    <row r="691" spans="5:6" x14ac:dyDescent="0.15">
      <c r="E691" s="118"/>
      <c r="F691" s="118"/>
    </row>
    <row r="692" spans="5:6" x14ac:dyDescent="0.15">
      <c r="E692" s="118"/>
      <c r="F692" s="118"/>
    </row>
    <row r="693" spans="5:6" x14ac:dyDescent="0.15">
      <c r="E693" s="118"/>
      <c r="F693" s="118"/>
    </row>
    <row r="694" spans="5:6" x14ac:dyDescent="0.15">
      <c r="E694" s="118"/>
      <c r="F694" s="118"/>
    </row>
    <row r="695" spans="5:6" x14ac:dyDescent="0.15">
      <c r="E695" s="118"/>
      <c r="F695" s="118"/>
    </row>
    <row r="696" spans="5:6" x14ac:dyDescent="0.15">
      <c r="E696" s="118"/>
      <c r="F696" s="118"/>
    </row>
    <row r="697" spans="5:6" x14ac:dyDescent="0.15">
      <c r="E697" s="118"/>
      <c r="F697" s="118"/>
    </row>
    <row r="698" spans="5:6" x14ac:dyDescent="0.15">
      <c r="E698" s="118"/>
      <c r="F698" s="118"/>
    </row>
    <row r="699" spans="5:6" x14ac:dyDescent="0.15">
      <c r="E699" s="118"/>
      <c r="F699" s="118"/>
    </row>
    <row r="700" spans="5:6" x14ac:dyDescent="0.15">
      <c r="E700" s="118"/>
      <c r="F700" s="118"/>
    </row>
    <row r="701" spans="5:6" x14ac:dyDescent="0.15">
      <c r="E701" s="118"/>
      <c r="F701" s="118"/>
    </row>
    <row r="702" spans="5:6" x14ac:dyDescent="0.15">
      <c r="E702" s="118"/>
      <c r="F702" s="118"/>
    </row>
    <row r="703" spans="5:6" x14ac:dyDescent="0.15">
      <c r="E703" s="118"/>
      <c r="F703" s="118"/>
    </row>
    <row r="704" spans="5:6" x14ac:dyDescent="0.15">
      <c r="E704" s="118"/>
      <c r="F704" s="118"/>
    </row>
    <row r="705" spans="5:6" x14ac:dyDescent="0.15">
      <c r="E705" s="118"/>
      <c r="F705" s="118"/>
    </row>
    <row r="706" spans="5:6" x14ac:dyDescent="0.15">
      <c r="E706" s="118"/>
      <c r="F706" s="118"/>
    </row>
    <row r="707" spans="5:6" x14ac:dyDescent="0.15">
      <c r="E707" s="118"/>
      <c r="F707" s="118"/>
    </row>
    <row r="708" spans="5:6" x14ac:dyDescent="0.15">
      <c r="E708" s="118"/>
      <c r="F708" s="118"/>
    </row>
    <row r="709" spans="5:6" x14ac:dyDescent="0.15">
      <c r="E709" s="118"/>
      <c r="F709" s="118"/>
    </row>
    <row r="710" spans="5:6" x14ac:dyDescent="0.15">
      <c r="E710" s="118"/>
      <c r="F710" s="118"/>
    </row>
    <row r="711" spans="5:6" x14ac:dyDescent="0.15">
      <c r="E711" s="118"/>
      <c r="F711" s="118"/>
    </row>
    <row r="712" spans="5:6" x14ac:dyDescent="0.15">
      <c r="E712" s="118"/>
      <c r="F712" s="118"/>
    </row>
    <row r="713" spans="5:6" x14ac:dyDescent="0.15">
      <c r="E713" s="118"/>
      <c r="F713" s="118"/>
    </row>
    <row r="714" spans="5:6" x14ac:dyDescent="0.15">
      <c r="E714" s="118"/>
      <c r="F714" s="118"/>
    </row>
    <row r="715" spans="5:6" x14ac:dyDescent="0.15">
      <c r="E715" s="118"/>
      <c r="F715" s="118"/>
    </row>
    <row r="716" spans="5:6" x14ac:dyDescent="0.15">
      <c r="E716" s="118"/>
      <c r="F716" s="118"/>
    </row>
    <row r="717" spans="5:6" x14ac:dyDescent="0.15">
      <c r="E717" s="118"/>
      <c r="F717" s="118"/>
    </row>
    <row r="718" spans="5:6" x14ac:dyDescent="0.15">
      <c r="E718" s="118"/>
      <c r="F718" s="118"/>
    </row>
    <row r="719" spans="5:6" x14ac:dyDescent="0.15">
      <c r="E719" s="118"/>
      <c r="F719" s="118"/>
    </row>
    <row r="720" spans="5:6" x14ac:dyDescent="0.15">
      <c r="E720" s="118"/>
      <c r="F720" s="118"/>
    </row>
    <row r="721" spans="5:6" x14ac:dyDescent="0.15">
      <c r="E721" s="118"/>
      <c r="F721" s="118"/>
    </row>
    <row r="722" spans="5:6" x14ac:dyDescent="0.15">
      <c r="E722" s="118"/>
      <c r="F722" s="118"/>
    </row>
    <row r="723" spans="5:6" x14ac:dyDescent="0.15">
      <c r="E723" s="118"/>
      <c r="F723" s="118"/>
    </row>
    <row r="724" spans="5:6" x14ac:dyDescent="0.15">
      <c r="E724" s="118"/>
      <c r="F724" s="118"/>
    </row>
    <row r="725" spans="5:6" x14ac:dyDescent="0.15">
      <c r="E725" s="118"/>
      <c r="F725" s="118"/>
    </row>
    <row r="726" spans="5:6" x14ac:dyDescent="0.15">
      <c r="E726" s="118"/>
      <c r="F726" s="118"/>
    </row>
    <row r="727" spans="5:6" x14ac:dyDescent="0.15">
      <c r="E727" s="118"/>
      <c r="F727" s="118"/>
    </row>
    <row r="728" spans="5:6" x14ac:dyDescent="0.15">
      <c r="E728" s="118"/>
      <c r="F728" s="118"/>
    </row>
    <row r="729" spans="5:6" x14ac:dyDescent="0.15">
      <c r="E729" s="118"/>
      <c r="F729" s="118"/>
    </row>
    <row r="730" spans="5:6" x14ac:dyDescent="0.15">
      <c r="E730" s="118"/>
      <c r="F730" s="118"/>
    </row>
    <row r="731" spans="5:6" x14ac:dyDescent="0.15">
      <c r="E731" s="118"/>
      <c r="F731" s="118"/>
    </row>
    <row r="732" spans="5:6" x14ac:dyDescent="0.15">
      <c r="E732" s="118"/>
    </row>
  </sheetData>
  <autoFilter ref="A1:BA85" xr:uid="{00000000-0009-0000-0000-000000000000}"/>
  <phoneticPr fontId="3"/>
  <dataValidations count="15">
    <dataValidation type="decimal" allowBlank="1" showInputMessage="1" showErrorMessage="1" error="硬度を正しく入力して下さい。" sqref="O2:P500" xr:uid="{A1615C8A-D6B6-4C3A-8DFE-D92738A36F2D}">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E31C7A3F-FF46-4CC6-9404-6644D2780489}">
      <formula1>$AV$2:$AV$20</formula1>
    </dataValidation>
    <dataValidation type="list" allowBlank="1" showInputMessage="1" showErrorMessage="1" sqref="K2:K89" xr:uid="{F633206C-02BA-433E-A4E2-7308B90DE3C8}">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FA5CB30D-E4C6-4428-B0A5-67085107C339}">
      <formula1>$AR$2:$AR$25</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792B09E5-A64A-44DE-9669-10D23E03949B}">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A995117F-1C13-43F6-B21F-14C3780D4445}">
      <formula1>$AL$4:$AL$12</formula1>
    </dataValidation>
    <dataValidation type="list" allowBlank="1" showInputMessage="1" showErrorMessage="1" sqref="Y2:AA500" xr:uid="{03AA1261-62E8-48D6-8E71-B64D95E14C72}">
      <formula1>$AV$2:$AV$21</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A7B41723-3074-4051-A7DD-E8F04DA66F98}">
      <formula1>$AT$2:$AT$3</formula1>
    </dataValidation>
    <dataValidation type="list" allowBlank="1" showInputMessage="1" showErrorMessage="1" sqref="H2:H500" xr:uid="{4769DB34-6300-4C8A-ADCC-2A164F94BE7B}">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6E8C9C97-400F-466C-BE4A-57847517E136}">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45358389-1B05-4B0A-A88A-6EB318559EA5}">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3B2C5B6F-03CE-4A21-83A0-A0A67745B6A1}"/>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14D542ED-3552-46E2-B1CE-F3C171231837}">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115F5C65-A11D-46D5-9B9F-89055C7F3DA6}">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672B537-AB7F-47EF-B4B6-966A51883C2F}">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F95D-8F22-4D61-8FBB-F0B7E504B797}">
  <sheetPr>
    <pageSetUpPr fitToPage="1"/>
  </sheetPr>
  <dimension ref="A1:BA120"/>
  <sheetViews>
    <sheetView zoomScale="70" zoomScaleNormal="70" workbookViewId="0">
      <selection activeCell="AC28" sqref="AC28"/>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46" t="s">
        <v>280</v>
      </c>
      <c r="B1" s="1" t="s">
        <v>1</v>
      </c>
      <c r="C1" s="1" t="s">
        <v>2</v>
      </c>
      <c r="D1" s="2" t="s">
        <v>3</v>
      </c>
      <c r="E1" s="2" t="s">
        <v>281</v>
      </c>
      <c r="F1" s="2" t="s">
        <v>5</v>
      </c>
      <c r="G1" s="2" t="s">
        <v>6</v>
      </c>
      <c r="H1" s="2" t="s">
        <v>282</v>
      </c>
      <c r="I1" s="2" t="s">
        <v>8</v>
      </c>
      <c r="J1" s="2" t="s">
        <v>9</v>
      </c>
      <c r="K1" s="2" t="s">
        <v>10</v>
      </c>
      <c r="L1" s="2" t="s">
        <v>11</v>
      </c>
      <c r="M1" s="2" t="s">
        <v>12</v>
      </c>
      <c r="N1" s="2" t="s">
        <v>13</v>
      </c>
      <c r="O1" s="2" t="s">
        <v>14</v>
      </c>
      <c r="P1" s="2" t="s">
        <v>15</v>
      </c>
      <c r="Q1" s="3" t="s">
        <v>16</v>
      </c>
      <c r="R1" s="2" t="s">
        <v>17</v>
      </c>
      <c r="S1" s="2" t="s">
        <v>18</v>
      </c>
      <c r="T1" s="3" t="s">
        <v>19</v>
      </c>
      <c r="U1" s="4" t="s">
        <v>108</v>
      </c>
      <c r="V1" s="5" t="s">
        <v>20</v>
      </c>
      <c r="W1" s="2" t="s">
        <v>21</v>
      </c>
      <c r="X1" s="2" t="s">
        <v>22</v>
      </c>
      <c r="Y1" s="2" t="s">
        <v>23</v>
      </c>
      <c r="Z1" s="2" t="s">
        <v>24</v>
      </c>
      <c r="AA1" s="147" t="s">
        <v>25</v>
      </c>
      <c r="AB1" s="148" t="s">
        <v>26</v>
      </c>
      <c r="AC1" s="149"/>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7" customFormat="1" x14ac:dyDescent="0.15">
      <c r="A2" s="150" t="s">
        <v>61</v>
      </c>
      <c r="B2" s="150" t="s">
        <v>232</v>
      </c>
      <c r="C2" s="150">
        <v>2019</v>
      </c>
      <c r="D2" s="151" t="s">
        <v>283</v>
      </c>
      <c r="E2" s="150" t="s">
        <v>284</v>
      </c>
      <c r="F2" s="150" t="s">
        <v>285</v>
      </c>
      <c r="G2" s="150" t="s">
        <v>42</v>
      </c>
      <c r="H2" s="152" t="s">
        <v>165</v>
      </c>
      <c r="I2" s="152" t="s">
        <v>159</v>
      </c>
      <c r="J2" s="150" t="s">
        <v>38</v>
      </c>
      <c r="K2" s="152" t="s">
        <v>161</v>
      </c>
      <c r="L2" s="152">
        <v>1</v>
      </c>
      <c r="M2" s="152"/>
      <c r="N2" s="152">
        <v>1</v>
      </c>
      <c r="O2" s="152">
        <v>0.7</v>
      </c>
      <c r="P2" s="152">
        <v>0.75</v>
      </c>
      <c r="Q2" s="153">
        <f t="shared" ref="Q2:Q65" si="0">IF(OR(O2="",P2=""),"",AVERAGE(O2,P2))</f>
        <v>0.72499999999999998</v>
      </c>
      <c r="R2" s="152">
        <v>15.6</v>
      </c>
      <c r="S2" s="152">
        <v>112</v>
      </c>
      <c r="T2" s="154">
        <f t="shared" ref="T2:T65" si="1">IF(H2="","",IF(OR(H2="GREEN",H2="GK"),IF(S2&gt;=$AX$2,VLOOKUP(S2,$AX$2:$AY$15,2,1),""),IF(S2&gt;=$AZ$2,VLOOKUP(S2,$AZ$2:$BA$15,2,1),"")))</f>
        <v>33</v>
      </c>
      <c r="U2" s="152">
        <v>118</v>
      </c>
      <c r="V2" s="155">
        <f t="shared" ref="V2:V65" si="2">IF(OR(N2="",U2="",T2=""),"",U2/N2*T2)</f>
        <v>3894</v>
      </c>
      <c r="W2" s="152">
        <v>2</v>
      </c>
      <c r="X2" s="150" t="s">
        <v>39</v>
      </c>
      <c r="Y2" s="152" t="s">
        <v>90</v>
      </c>
      <c r="Z2" s="152" t="s">
        <v>97</v>
      </c>
      <c r="AA2" s="152" t="s">
        <v>69</v>
      </c>
      <c r="AB2" s="150" t="s">
        <v>258</v>
      </c>
      <c r="AC2" s="156"/>
      <c r="AE2" s="17" t="s">
        <v>35</v>
      </c>
      <c r="AG2" s="49" t="s">
        <v>284</v>
      </c>
      <c r="AH2" s="49" t="s">
        <v>285</v>
      </c>
      <c r="AJ2" s="158" t="s">
        <v>36</v>
      </c>
      <c r="AL2" s="18" t="s">
        <v>127</v>
      </c>
      <c r="AN2" s="158" t="s">
        <v>37</v>
      </c>
      <c r="AP2" s="18" t="s">
        <v>38</v>
      </c>
      <c r="AR2" s="18" t="s">
        <v>120</v>
      </c>
      <c r="AT2" s="158" t="s">
        <v>39</v>
      </c>
      <c r="AV2" s="18" t="s">
        <v>40</v>
      </c>
      <c r="AX2" s="159">
        <v>1</v>
      </c>
      <c r="AY2" s="160">
        <v>50</v>
      </c>
      <c r="AZ2" s="160">
        <v>1</v>
      </c>
      <c r="BA2" s="161">
        <v>50</v>
      </c>
    </row>
    <row r="3" spans="1:53" x14ac:dyDescent="0.15">
      <c r="A3" s="150" t="s">
        <v>61</v>
      </c>
      <c r="B3" s="150" t="s">
        <v>232</v>
      </c>
      <c r="C3" s="150">
        <v>2019</v>
      </c>
      <c r="D3" s="151" t="s">
        <v>283</v>
      </c>
      <c r="E3" s="150" t="s">
        <v>284</v>
      </c>
      <c r="F3" s="150" t="s">
        <v>285</v>
      </c>
      <c r="G3" s="150" t="s">
        <v>42</v>
      </c>
      <c r="H3" s="152" t="s">
        <v>165</v>
      </c>
      <c r="I3" s="152" t="s">
        <v>159</v>
      </c>
      <c r="J3" s="150" t="s">
        <v>38</v>
      </c>
      <c r="K3" s="152" t="s">
        <v>161</v>
      </c>
      <c r="L3" s="152">
        <v>2</v>
      </c>
      <c r="M3" s="152"/>
      <c r="N3" s="152">
        <v>1</v>
      </c>
      <c r="O3" s="152">
        <v>0.75</v>
      </c>
      <c r="P3" s="152">
        <v>0.75</v>
      </c>
      <c r="Q3" s="153">
        <f t="shared" si="0"/>
        <v>0.75</v>
      </c>
      <c r="R3" s="152">
        <v>16.100000000000001</v>
      </c>
      <c r="S3" s="152">
        <v>109</v>
      </c>
      <c r="T3" s="154">
        <f t="shared" si="1"/>
        <v>33</v>
      </c>
      <c r="U3" s="152">
        <v>118</v>
      </c>
      <c r="V3" s="155">
        <f t="shared" si="2"/>
        <v>3894</v>
      </c>
      <c r="W3" s="152">
        <v>2</v>
      </c>
      <c r="X3" s="150" t="s">
        <v>39</v>
      </c>
      <c r="Y3" s="152" t="s">
        <v>90</v>
      </c>
      <c r="Z3" s="152" t="s">
        <v>97</v>
      </c>
      <c r="AA3" s="152" t="s">
        <v>69</v>
      </c>
      <c r="AB3" s="150" t="s">
        <v>258</v>
      </c>
      <c r="AC3" s="156"/>
      <c r="AE3" s="22" t="s">
        <v>41</v>
      </c>
      <c r="AG3" s="49" t="s">
        <v>286</v>
      </c>
      <c r="AH3" s="49" t="s">
        <v>287</v>
      </c>
      <c r="AJ3" s="23" t="s">
        <v>42</v>
      </c>
      <c r="AL3" s="23" t="s">
        <v>128</v>
      </c>
      <c r="AN3" s="23" t="s">
        <v>43</v>
      </c>
      <c r="AP3" s="23" t="s">
        <v>44</v>
      </c>
      <c r="AR3" s="41" t="s">
        <v>45</v>
      </c>
      <c r="AT3" s="23" t="s">
        <v>46</v>
      </c>
      <c r="AV3" s="41" t="s">
        <v>47</v>
      </c>
      <c r="AX3" s="24">
        <v>72</v>
      </c>
      <c r="AY3" s="25">
        <v>46</v>
      </c>
      <c r="AZ3" s="25">
        <v>71</v>
      </c>
      <c r="BA3" s="26">
        <v>42</v>
      </c>
    </row>
    <row r="4" spans="1:53" x14ac:dyDescent="0.15">
      <c r="A4" s="150" t="s">
        <v>61</v>
      </c>
      <c r="B4" s="150" t="s">
        <v>232</v>
      </c>
      <c r="C4" s="150">
        <v>2019</v>
      </c>
      <c r="D4" s="151" t="s">
        <v>283</v>
      </c>
      <c r="E4" s="150" t="s">
        <v>284</v>
      </c>
      <c r="F4" s="150" t="s">
        <v>285</v>
      </c>
      <c r="G4" s="150" t="s">
        <v>42</v>
      </c>
      <c r="H4" s="152" t="s">
        <v>165</v>
      </c>
      <c r="I4" s="152" t="s">
        <v>159</v>
      </c>
      <c r="J4" s="150" t="s">
        <v>38</v>
      </c>
      <c r="K4" s="152" t="s">
        <v>161</v>
      </c>
      <c r="L4" s="152">
        <v>3</v>
      </c>
      <c r="M4" s="152"/>
      <c r="N4" s="152">
        <v>1</v>
      </c>
      <c r="O4" s="152">
        <v>0.7</v>
      </c>
      <c r="P4" s="152">
        <v>0.7</v>
      </c>
      <c r="Q4" s="153">
        <f t="shared" si="0"/>
        <v>0.7</v>
      </c>
      <c r="R4" s="152">
        <v>15.9</v>
      </c>
      <c r="S4" s="152">
        <v>115</v>
      </c>
      <c r="T4" s="154">
        <f t="shared" si="1"/>
        <v>30</v>
      </c>
      <c r="U4" s="152">
        <v>118</v>
      </c>
      <c r="V4" s="155">
        <f t="shared" si="2"/>
        <v>3540</v>
      </c>
      <c r="W4" s="152">
        <v>2</v>
      </c>
      <c r="X4" s="150" t="s">
        <v>39</v>
      </c>
      <c r="Y4" s="152" t="s">
        <v>90</v>
      </c>
      <c r="Z4" s="152" t="s">
        <v>97</v>
      </c>
      <c r="AA4" s="152" t="s">
        <v>69</v>
      </c>
      <c r="AB4" s="150" t="s">
        <v>258</v>
      </c>
      <c r="AC4" s="156"/>
      <c r="AE4" s="22" t="s">
        <v>34</v>
      </c>
      <c r="AG4" s="49" t="s">
        <v>288</v>
      </c>
      <c r="AH4" s="49" t="s">
        <v>289</v>
      </c>
      <c r="AJ4" s="27" t="s">
        <v>48</v>
      </c>
      <c r="AL4" s="27" t="s">
        <v>129</v>
      </c>
      <c r="AN4" s="28" t="s">
        <v>49</v>
      </c>
      <c r="AP4" s="23" t="s">
        <v>93</v>
      </c>
      <c r="AR4" s="41" t="s">
        <v>121</v>
      </c>
      <c r="AT4" s="28"/>
      <c r="AV4" s="41" t="s">
        <v>50</v>
      </c>
      <c r="AX4" s="24">
        <v>75</v>
      </c>
      <c r="AY4" s="25">
        <v>42</v>
      </c>
      <c r="AZ4" s="25">
        <v>76</v>
      </c>
      <c r="BA4" s="26">
        <v>39</v>
      </c>
    </row>
    <row r="5" spans="1:53" x14ac:dyDescent="0.15">
      <c r="A5" s="150" t="s">
        <v>61</v>
      </c>
      <c r="B5" s="150" t="s">
        <v>232</v>
      </c>
      <c r="C5" s="150">
        <v>2019</v>
      </c>
      <c r="D5" s="151" t="s">
        <v>283</v>
      </c>
      <c r="E5" s="150" t="s">
        <v>284</v>
      </c>
      <c r="F5" s="150" t="s">
        <v>285</v>
      </c>
      <c r="G5" s="150" t="s">
        <v>42</v>
      </c>
      <c r="H5" s="152" t="s">
        <v>160</v>
      </c>
      <c r="I5" s="152" t="s">
        <v>159</v>
      </c>
      <c r="J5" s="150" t="s">
        <v>38</v>
      </c>
      <c r="K5" s="152" t="s">
        <v>161</v>
      </c>
      <c r="L5" s="152">
        <v>1</v>
      </c>
      <c r="M5" s="152"/>
      <c r="N5" s="152">
        <v>1</v>
      </c>
      <c r="O5" s="152">
        <v>0.5</v>
      </c>
      <c r="P5" s="152">
        <v>0.5</v>
      </c>
      <c r="Q5" s="153">
        <f t="shared" si="0"/>
        <v>0.5</v>
      </c>
      <c r="R5" s="152">
        <v>18.2</v>
      </c>
      <c r="S5" s="152">
        <v>139</v>
      </c>
      <c r="T5" s="154">
        <f t="shared" si="1"/>
        <v>22</v>
      </c>
      <c r="U5" s="152">
        <v>118</v>
      </c>
      <c r="V5" s="155">
        <f t="shared" si="2"/>
        <v>2596</v>
      </c>
      <c r="W5" s="152">
        <v>2</v>
      </c>
      <c r="X5" s="150" t="s">
        <v>39</v>
      </c>
      <c r="Y5" s="152" t="s">
        <v>90</v>
      </c>
      <c r="Z5" s="152" t="s">
        <v>97</v>
      </c>
      <c r="AA5" s="152" t="s">
        <v>69</v>
      </c>
      <c r="AB5" s="150" t="s">
        <v>258</v>
      </c>
      <c r="AC5" s="156"/>
      <c r="AE5" s="22" t="s">
        <v>51</v>
      </c>
      <c r="AG5" s="49" t="s">
        <v>290</v>
      </c>
      <c r="AH5" s="49" t="s">
        <v>291</v>
      </c>
      <c r="AJ5" s="27"/>
      <c r="AL5" s="29" t="s">
        <v>66</v>
      </c>
      <c r="AN5" s="29" t="s">
        <v>52</v>
      </c>
      <c r="AP5" s="23" t="s">
        <v>119</v>
      </c>
      <c r="AR5" s="41" t="s">
        <v>54</v>
      </c>
      <c r="AT5" s="152"/>
      <c r="AV5" s="41" t="s">
        <v>55</v>
      </c>
      <c r="AX5" s="24">
        <v>84</v>
      </c>
      <c r="AY5" s="25">
        <v>39</v>
      </c>
      <c r="AZ5" s="25">
        <v>84</v>
      </c>
      <c r="BA5" s="26">
        <v>36</v>
      </c>
    </row>
    <row r="6" spans="1:53" x14ac:dyDescent="0.15">
      <c r="A6" s="150" t="s">
        <v>61</v>
      </c>
      <c r="B6" s="150" t="s">
        <v>232</v>
      </c>
      <c r="C6" s="150">
        <v>2019</v>
      </c>
      <c r="D6" s="151" t="s">
        <v>283</v>
      </c>
      <c r="E6" s="150" t="s">
        <v>284</v>
      </c>
      <c r="F6" s="150" t="s">
        <v>285</v>
      </c>
      <c r="G6" s="150" t="s">
        <v>42</v>
      </c>
      <c r="H6" s="152" t="s">
        <v>160</v>
      </c>
      <c r="I6" s="152" t="s">
        <v>159</v>
      </c>
      <c r="J6" s="150" t="s">
        <v>38</v>
      </c>
      <c r="K6" s="152" t="s">
        <v>161</v>
      </c>
      <c r="L6" s="152">
        <v>2</v>
      </c>
      <c r="M6" s="152"/>
      <c r="N6" s="152">
        <v>1</v>
      </c>
      <c r="O6" s="152">
        <v>0.55000000000000004</v>
      </c>
      <c r="P6" s="152">
        <v>0.5</v>
      </c>
      <c r="Q6" s="153">
        <f t="shared" si="0"/>
        <v>0.52500000000000002</v>
      </c>
      <c r="R6" s="152">
        <v>17.8</v>
      </c>
      <c r="S6" s="152">
        <v>134</v>
      </c>
      <c r="T6" s="154">
        <f t="shared" si="1"/>
        <v>25</v>
      </c>
      <c r="U6" s="152">
        <v>118</v>
      </c>
      <c r="V6" s="155">
        <f t="shared" si="2"/>
        <v>2950</v>
      </c>
      <c r="W6" s="152">
        <v>2</v>
      </c>
      <c r="X6" s="150" t="s">
        <v>39</v>
      </c>
      <c r="Y6" s="152" t="s">
        <v>90</v>
      </c>
      <c r="Z6" s="152" t="s">
        <v>97</v>
      </c>
      <c r="AA6" s="152" t="s">
        <v>69</v>
      </c>
      <c r="AB6" s="150" t="s">
        <v>258</v>
      </c>
      <c r="AC6" s="156"/>
      <c r="AE6" s="22" t="s">
        <v>56</v>
      </c>
      <c r="AG6" s="49" t="s">
        <v>292</v>
      </c>
      <c r="AH6" s="49" t="s">
        <v>293</v>
      </c>
      <c r="AJ6" s="27"/>
      <c r="AL6" s="29" t="s">
        <v>99</v>
      </c>
      <c r="AN6" s="29" t="s">
        <v>57</v>
      </c>
      <c r="AP6" s="23" t="s">
        <v>53</v>
      </c>
      <c r="AR6" s="41" t="s">
        <v>59</v>
      </c>
      <c r="AT6" s="152"/>
      <c r="AV6" s="41" t="s">
        <v>60</v>
      </c>
      <c r="AX6" s="24">
        <v>97</v>
      </c>
      <c r="AY6" s="25">
        <v>36</v>
      </c>
      <c r="AZ6" s="25">
        <v>99</v>
      </c>
      <c r="BA6" s="26">
        <v>33</v>
      </c>
    </row>
    <row r="7" spans="1:53" x14ac:dyDescent="0.15">
      <c r="A7" s="150" t="s">
        <v>61</v>
      </c>
      <c r="B7" s="150" t="s">
        <v>232</v>
      </c>
      <c r="C7" s="150">
        <v>2019</v>
      </c>
      <c r="D7" s="151" t="s">
        <v>283</v>
      </c>
      <c r="E7" s="150" t="s">
        <v>284</v>
      </c>
      <c r="F7" s="150" t="s">
        <v>285</v>
      </c>
      <c r="G7" s="150" t="s">
        <v>42</v>
      </c>
      <c r="H7" s="152" t="s">
        <v>160</v>
      </c>
      <c r="I7" s="152" t="s">
        <v>159</v>
      </c>
      <c r="J7" s="150" t="s">
        <v>38</v>
      </c>
      <c r="K7" s="152" t="s">
        <v>161</v>
      </c>
      <c r="L7" s="152">
        <v>3</v>
      </c>
      <c r="M7" s="152"/>
      <c r="N7" s="152">
        <v>1</v>
      </c>
      <c r="O7" s="152">
        <v>0.5</v>
      </c>
      <c r="P7" s="152">
        <v>0.5</v>
      </c>
      <c r="Q7" s="153">
        <f t="shared" si="0"/>
        <v>0.5</v>
      </c>
      <c r="R7" s="152">
        <v>17.5</v>
      </c>
      <c r="S7" s="152">
        <v>140</v>
      </c>
      <c r="T7" s="154">
        <f t="shared" si="1"/>
        <v>22</v>
      </c>
      <c r="U7" s="152">
        <v>118</v>
      </c>
      <c r="V7" s="155">
        <f t="shared" si="2"/>
        <v>2596</v>
      </c>
      <c r="W7" s="152">
        <v>2</v>
      </c>
      <c r="X7" s="150" t="s">
        <v>39</v>
      </c>
      <c r="Y7" s="152" t="s">
        <v>90</v>
      </c>
      <c r="Z7" s="152" t="s">
        <v>97</v>
      </c>
      <c r="AA7" s="152" t="s">
        <v>69</v>
      </c>
      <c r="AB7" s="150" t="s">
        <v>258</v>
      </c>
      <c r="AC7" s="156"/>
      <c r="AE7" s="22" t="s">
        <v>61</v>
      </c>
      <c r="AG7" s="49" t="s">
        <v>294</v>
      </c>
      <c r="AH7" s="49" t="s">
        <v>295</v>
      </c>
      <c r="AJ7" s="27"/>
      <c r="AL7" s="34" t="s">
        <v>109</v>
      </c>
      <c r="AN7" s="162"/>
      <c r="AP7" s="23" t="s">
        <v>58</v>
      </c>
      <c r="AR7" s="30" t="s">
        <v>122</v>
      </c>
      <c r="AT7" s="152"/>
      <c r="AV7" s="41" t="s">
        <v>64</v>
      </c>
      <c r="AX7" s="24">
        <v>109</v>
      </c>
      <c r="AY7" s="25">
        <v>33</v>
      </c>
      <c r="AZ7" s="25">
        <v>113</v>
      </c>
      <c r="BA7" s="26">
        <v>30</v>
      </c>
    </row>
    <row r="8" spans="1:53" x14ac:dyDescent="0.15">
      <c r="A8" s="150" t="s">
        <v>61</v>
      </c>
      <c r="B8" s="150" t="s">
        <v>232</v>
      </c>
      <c r="C8" s="150">
        <v>2019</v>
      </c>
      <c r="D8" s="151" t="s">
        <v>283</v>
      </c>
      <c r="E8" s="150" t="s">
        <v>286</v>
      </c>
      <c r="F8" s="150" t="s">
        <v>287</v>
      </c>
      <c r="G8" s="150" t="s">
        <v>42</v>
      </c>
      <c r="H8" s="152" t="s">
        <v>165</v>
      </c>
      <c r="I8" s="152" t="s">
        <v>159</v>
      </c>
      <c r="J8" s="150" t="s">
        <v>38</v>
      </c>
      <c r="K8" s="152" t="s">
        <v>161</v>
      </c>
      <c r="L8" s="152">
        <v>1</v>
      </c>
      <c r="M8" s="152"/>
      <c r="N8" s="152">
        <v>4</v>
      </c>
      <c r="O8" s="152">
        <v>0.6</v>
      </c>
      <c r="P8" s="152">
        <v>0.6</v>
      </c>
      <c r="Q8" s="153">
        <f t="shared" si="0"/>
        <v>0.6</v>
      </c>
      <c r="R8" s="152">
        <v>15.6</v>
      </c>
      <c r="S8" s="152">
        <v>98</v>
      </c>
      <c r="T8" s="154">
        <f t="shared" si="1"/>
        <v>36</v>
      </c>
      <c r="U8" s="152">
        <v>398</v>
      </c>
      <c r="V8" s="155">
        <f t="shared" si="2"/>
        <v>3582</v>
      </c>
      <c r="W8" s="152">
        <v>6</v>
      </c>
      <c r="X8" s="150" t="s">
        <v>46</v>
      </c>
      <c r="Y8" s="152" t="s">
        <v>47</v>
      </c>
      <c r="Z8" s="152" t="s">
        <v>97</v>
      </c>
      <c r="AA8" s="152" t="s">
        <v>69</v>
      </c>
      <c r="AB8" s="150" t="s">
        <v>258</v>
      </c>
      <c r="AC8" s="156"/>
      <c r="AE8" s="22" t="s">
        <v>59</v>
      </c>
      <c r="AG8" s="49" t="s">
        <v>296</v>
      </c>
      <c r="AH8" s="49" t="s">
        <v>297</v>
      </c>
      <c r="AJ8" s="28"/>
      <c r="AL8" s="34" t="s">
        <v>134</v>
      </c>
      <c r="AN8" s="29"/>
      <c r="AP8" s="23" t="s">
        <v>62</v>
      </c>
      <c r="AR8" s="41" t="s">
        <v>81</v>
      </c>
      <c r="AV8" s="41" t="s">
        <v>97</v>
      </c>
      <c r="AX8" s="24">
        <v>119</v>
      </c>
      <c r="AY8" s="25">
        <v>30</v>
      </c>
      <c r="AZ8" s="25">
        <v>121</v>
      </c>
      <c r="BA8" s="26">
        <v>27</v>
      </c>
    </row>
    <row r="9" spans="1:53" x14ac:dyDescent="0.15">
      <c r="A9" s="150" t="s">
        <v>61</v>
      </c>
      <c r="B9" s="150" t="s">
        <v>232</v>
      </c>
      <c r="C9" s="150">
        <v>2019</v>
      </c>
      <c r="D9" s="151" t="s">
        <v>283</v>
      </c>
      <c r="E9" s="150" t="s">
        <v>286</v>
      </c>
      <c r="F9" s="150" t="s">
        <v>287</v>
      </c>
      <c r="G9" s="150" t="s">
        <v>42</v>
      </c>
      <c r="H9" s="152" t="s">
        <v>165</v>
      </c>
      <c r="I9" s="152" t="s">
        <v>159</v>
      </c>
      <c r="J9" s="150" t="s">
        <v>38</v>
      </c>
      <c r="K9" s="152" t="s">
        <v>161</v>
      </c>
      <c r="L9" s="152">
        <v>2</v>
      </c>
      <c r="M9" s="152"/>
      <c r="N9" s="152">
        <v>4</v>
      </c>
      <c r="O9" s="152">
        <v>0.65</v>
      </c>
      <c r="P9" s="152">
        <v>0.55000000000000004</v>
      </c>
      <c r="Q9" s="153">
        <f t="shared" si="0"/>
        <v>0.60000000000000009</v>
      </c>
      <c r="R9" s="156">
        <v>14.2</v>
      </c>
      <c r="S9" s="152">
        <v>104</v>
      </c>
      <c r="T9" s="154">
        <f t="shared" si="1"/>
        <v>33</v>
      </c>
      <c r="U9" s="152">
        <v>398</v>
      </c>
      <c r="V9" s="155">
        <f t="shared" si="2"/>
        <v>3283.5</v>
      </c>
      <c r="W9" s="152">
        <v>6</v>
      </c>
      <c r="X9" s="150" t="s">
        <v>46</v>
      </c>
      <c r="Y9" s="152" t="s">
        <v>47</v>
      </c>
      <c r="Z9" s="152" t="s">
        <v>97</v>
      </c>
      <c r="AA9" s="152" t="s">
        <v>69</v>
      </c>
      <c r="AB9" s="150" t="s">
        <v>258</v>
      </c>
      <c r="AC9" s="156"/>
      <c r="AE9" s="22" t="s">
        <v>98</v>
      </c>
      <c r="AG9" s="49" t="s">
        <v>133</v>
      </c>
      <c r="AH9" s="49" t="s">
        <v>298</v>
      </c>
      <c r="AL9" s="29"/>
      <c r="AN9" s="29"/>
      <c r="AP9" s="23" t="s">
        <v>95</v>
      </c>
      <c r="AR9" s="30" t="s">
        <v>89</v>
      </c>
      <c r="AV9" s="41" t="s">
        <v>102</v>
      </c>
      <c r="AX9" s="24">
        <v>128</v>
      </c>
      <c r="AY9" s="25">
        <v>27</v>
      </c>
      <c r="AZ9" s="25">
        <v>129</v>
      </c>
      <c r="BA9" s="26">
        <v>25</v>
      </c>
    </row>
    <row r="10" spans="1:53" x14ac:dyDescent="0.15">
      <c r="A10" s="150" t="s">
        <v>61</v>
      </c>
      <c r="B10" s="150" t="s">
        <v>232</v>
      </c>
      <c r="C10" s="150">
        <v>2019</v>
      </c>
      <c r="D10" s="151" t="s">
        <v>283</v>
      </c>
      <c r="E10" s="150" t="s">
        <v>286</v>
      </c>
      <c r="F10" s="150" t="s">
        <v>287</v>
      </c>
      <c r="G10" s="150" t="s">
        <v>42</v>
      </c>
      <c r="H10" s="152" t="s">
        <v>165</v>
      </c>
      <c r="I10" s="152" t="s">
        <v>159</v>
      </c>
      <c r="J10" s="150" t="s">
        <v>38</v>
      </c>
      <c r="K10" s="152" t="s">
        <v>161</v>
      </c>
      <c r="L10" s="152">
        <v>3</v>
      </c>
      <c r="M10" s="152"/>
      <c r="N10" s="152">
        <v>4</v>
      </c>
      <c r="O10" s="152">
        <v>0.65</v>
      </c>
      <c r="P10" s="152">
        <v>0.65</v>
      </c>
      <c r="Q10" s="153">
        <f t="shared" si="0"/>
        <v>0.65</v>
      </c>
      <c r="R10" s="152">
        <v>15.8</v>
      </c>
      <c r="S10" s="152">
        <v>99</v>
      </c>
      <c r="T10" s="154">
        <f t="shared" si="1"/>
        <v>33</v>
      </c>
      <c r="U10" s="152">
        <v>398</v>
      </c>
      <c r="V10" s="155">
        <f t="shared" si="2"/>
        <v>3283.5</v>
      </c>
      <c r="W10" s="152">
        <v>6</v>
      </c>
      <c r="X10" s="150" t="s">
        <v>46</v>
      </c>
      <c r="Y10" s="152" t="s">
        <v>47</v>
      </c>
      <c r="Z10" s="152" t="s">
        <v>97</v>
      </c>
      <c r="AA10" s="152" t="s">
        <v>69</v>
      </c>
      <c r="AB10" s="150" t="s">
        <v>258</v>
      </c>
      <c r="AC10" s="156"/>
      <c r="AE10" s="22" t="s">
        <v>103</v>
      </c>
      <c r="AG10" s="49" t="s">
        <v>299</v>
      </c>
      <c r="AH10" s="49" t="s">
        <v>300</v>
      </c>
      <c r="AL10" s="27"/>
      <c r="AP10" s="23" t="s">
        <v>100</v>
      </c>
      <c r="AR10" s="30" t="s">
        <v>123</v>
      </c>
      <c r="AV10" s="41" t="s">
        <v>106</v>
      </c>
      <c r="AX10" s="24">
        <v>138</v>
      </c>
      <c r="AY10" s="25">
        <v>25</v>
      </c>
      <c r="AZ10" s="25">
        <v>138</v>
      </c>
      <c r="BA10" s="26">
        <v>22</v>
      </c>
    </row>
    <row r="11" spans="1:53" x14ac:dyDescent="0.15">
      <c r="A11" s="150" t="s">
        <v>61</v>
      </c>
      <c r="B11" s="150" t="s">
        <v>232</v>
      </c>
      <c r="C11" s="150">
        <v>2019</v>
      </c>
      <c r="D11" s="151" t="s">
        <v>283</v>
      </c>
      <c r="E11" s="150" t="s">
        <v>286</v>
      </c>
      <c r="F11" s="150" t="s">
        <v>287</v>
      </c>
      <c r="G11" s="150" t="s">
        <v>42</v>
      </c>
      <c r="H11" s="152" t="s">
        <v>160</v>
      </c>
      <c r="I11" s="152" t="s">
        <v>159</v>
      </c>
      <c r="J11" s="150" t="s">
        <v>38</v>
      </c>
      <c r="K11" s="152" t="s">
        <v>161</v>
      </c>
      <c r="L11" s="152">
        <v>1</v>
      </c>
      <c r="M11" s="152"/>
      <c r="N11" s="152">
        <v>3</v>
      </c>
      <c r="O11" s="152">
        <v>0.5</v>
      </c>
      <c r="P11" s="152">
        <v>0.5</v>
      </c>
      <c r="Q11" s="153">
        <f t="shared" si="0"/>
        <v>0.5</v>
      </c>
      <c r="R11" s="152">
        <v>16.600000000000001</v>
      </c>
      <c r="S11" s="152">
        <v>135</v>
      </c>
      <c r="T11" s="154">
        <f t="shared" si="1"/>
        <v>25</v>
      </c>
      <c r="U11" s="152">
        <v>458</v>
      </c>
      <c r="V11" s="155">
        <f t="shared" si="2"/>
        <v>3816.6666666666665</v>
      </c>
      <c r="W11" s="152">
        <v>6</v>
      </c>
      <c r="X11" s="150" t="s">
        <v>46</v>
      </c>
      <c r="Y11" s="152" t="s">
        <v>47</v>
      </c>
      <c r="Z11" s="152" t="s">
        <v>97</v>
      </c>
      <c r="AA11" s="152" t="s">
        <v>69</v>
      </c>
      <c r="AB11" s="150" t="s">
        <v>258</v>
      </c>
      <c r="AC11" s="156"/>
      <c r="AE11" s="22" t="s">
        <v>65</v>
      </c>
      <c r="AG11" s="49" t="s">
        <v>301</v>
      </c>
      <c r="AH11" s="49" t="s">
        <v>300</v>
      </c>
      <c r="AL11" s="163"/>
      <c r="AP11" s="23" t="s">
        <v>104</v>
      </c>
      <c r="AR11" s="30" t="s">
        <v>87</v>
      </c>
      <c r="AV11" s="164" t="s">
        <v>302</v>
      </c>
      <c r="AX11" s="24">
        <v>151</v>
      </c>
      <c r="AY11" s="25">
        <v>22</v>
      </c>
      <c r="AZ11" s="25">
        <v>152</v>
      </c>
      <c r="BA11" s="26">
        <v>18</v>
      </c>
    </row>
    <row r="12" spans="1:53" x14ac:dyDescent="0.15">
      <c r="A12" s="150" t="s">
        <v>61</v>
      </c>
      <c r="B12" s="150" t="s">
        <v>232</v>
      </c>
      <c r="C12" s="150">
        <v>2019</v>
      </c>
      <c r="D12" s="151" t="s">
        <v>283</v>
      </c>
      <c r="E12" s="150" t="s">
        <v>286</v>
      </c>
      <c r="F12" s="150" t="s">
        <v>287</v>
      </c>
      <c r="G12" s="150" t="s">
        <v>42</v>
      </c>
      <c r="H12" s="152" t="s">
        <v>160</v>
      </c>
      <c r="I12" s="152" t="s">
        <v>159</v>
      </c>
      <c r="J12" s="150" t="s">
        <v>38</v>
      </c>
      <c r="K12" s="152" t="s">
        <v>161</v>
      </c>
      <c r="L12" s="152">
        <v>2</v>
      </c>
      <c r="M12" s="152"/>
      <c r="N12" s="152">
        <v>3</v>
      </c>
      <c r="O12" s="152">
        <v>0.5</v>
      </c>
      <c r="P12" s="152">
        <v>0.5</v>
      </c>
      <c r="Q12" s="153">
        <f t="shared" si="0"/>
        <v>0.5</v>
      </c>
      <c r="R12" s="156">
        <v>17.600000000000001</v>
      </c>
      <c r="S12" s="152">
        <v>134</v>
      </c>
      <c r="T12" s="154">
        <f t="shared" si="1"/>
        <v>25</v>
      </c>
      <c r="U12" s="152">
        <v>458</v>
      </c>
      <c r="V12" s="155">
        <f t="shared" si="2"/>
        <v>3816.6666666666665</v>
      </c>
      <c r="W12" s="152">
        <v>6</v>
      </c>
      <c r="X12" s="150" t="s">
        <v>46</v>
      </c>
      <c r="Y12" s="152" t="s">
        <v>47</v>
      </c>
      <c r="Z12" s="152" t="s">
        <v>97</v>
      </c>
      <c r="AA12" s="152" t="s">
        <v>69</v>
      </c>
      <c r="AB12" s="150" t="s">
        <v>258</v>
      </c>
      <c r="AC12" s="156"/>
      <c r="AE12" s="22" t="s">
        <v>70</v>
      </c>
      <c r="AG12" s="23"/>
      <c r="AH12" s="22"/>
      <c r="AL12" s="163"/>
      <c r="AP12" s="23" t="s">
        <v>67</v>
      </c>
      <c r="AR12" s="30" t="s">
        <v>124</v>
      </c>
      <c r="AV12" s="164" t="s">
        <v>303</v>
      </c>
      <c r="AX12" s="24">
        <v>180</v>
      </c>
      <c r="AY12" s="25">
        <v>18</v>
      </c>
      <c r="AZ12" s="25">
        <v>181</v>
      </c>
      <c r="BA12" s="26">
        <v>16</v>
      </c>
    </row>
    <row r="13" spans="1:53" x14ac:dyDescent="0.15">
      <c r="A13" s="150" t="s">
        <v>61</v>
      </c>
      <c r="B13" s="150" t="s">
        <v>232</v>
      </c>
      <c r="C13" s="150">
        <v>2019</v>
      </c>
      <c r="D13" s="151" t="s">
        <v>283</v>
      </c>
      <c r="E13" s="150" t="s">
        <v>286</v>
      </c>
      <c r="F13" s="150" t="s">
        <v>287</v>
      </c>
      <c r="G13" s="150" t="s">
        <v>42</v>
      </c>
      <c r="H13" s="152" t="s">
        <v>160</v>
      </c>
      <c r="I13" s="152" t="s">
        <v>159</v>
      </c>
      <c r="J13" s="150" t="s">
        <v>38</v>
      </c>
      <c r="K13" s="152" t="s">
        <v>161</v>
      </c>
      <c r="L13" s="152">
        <v>3</v>
      </c>
      <c r="M13" s="152"/>
      <c r="N13" s="152">
        <v>3</v>
      </c>
      <c r="O13" s="152">
        <v>0.5</v>
      </c>
      <c r="P13" s="152">
        <v>0.5</v>
      </c>
      <c r="Q13" s="153">
        <f t="shared" si="0"/>
        <v>0.5</v>
      </c>
      <c r="R13" s="152">
        <v>17.2</v>
      </c>
      <c r="S13" s="152">
        <v>128</v>
      </c>
      <c r="T13" s="154">
        <f t="shared" si="1"/>
        <v>27</v>
      </c>
      <c r="U13" s="152">
        <v>458</v>
      </c>
      <c r="V13" s="155">
        <f t="shared" si="2"/>
        <v>4122</v>
      </c>
      <c r="W13" s="152">
        <v>6</v>
      </c>
      <c r="X13" s="150" t="s">
        <v>46</v>
      </c>
      <c r="Y13" s="152" t="s">
        <v>47</v>
      </c>
      <c r="Z13" s="152" t="s">
        <v>97</v>
      </c>
      <c r="AA13" s="152" t="s">
        <v>69</v>
      </c>
      <c r="AB13" s="150" t="s">
        <v>258</v>
      </c>
      <c r="AC13" s="156"/>
      <c r="AE13" s="22" t="s">
        <v>73</v>
      </c>
      <c r="AG13" s="23"/>
      <c r="AH13" s="22"/>
      <c r="AL13" s="165"/>
      <c r="AP13" s="23" t="s">
        <v>71</v>
      </c>
      <c r="AR13" s="30" t="s">
        <v>103</v>
      </c>
      <c r="AV13" s="164" t="s">
        <v>304</v>
      </c>
      <c r="AX13" s="24"/>
      <c r="AY13" s="25"/>
      <c r="AZ13" s="25"/>
      <c r="BA13" s="26"/>
    </row>
    <row r="14" spans="1:53" x14ac:dyDescent="0.15">
      <c r="A14" s="150" t="s">
        <v>61</v>
      </c>
      <c r="B14" s="150" t="s">
        <v>232</v>
      </c>
      <c r="C14" s="150">
        <v>2019</v>
      </c>
      <c r="D14" s="151" t="s">
        <v>283</v>
      </c>
      <c r="E14" s="150" t="s">
        <v>288</v>
      </c>
      <c r="F14" s="150" t="s">
        <v>289</v>
      </c>
      <c r="G14" s="150" t="s">
        <v>42</v>
      </c>
      <c r="H14" s="152" t="s">
        <v>165</v>
      </c>
      <c r="I14" s="152" t="s">
        <v>159</v>
      </c>
      <c r="J14" s="150" t="s">
        <v>38</v>
      </c>
      <c r="K14" s="152" t="s">
        <v>161</v>
      </c>
      <c r="L14" s="152">
        <v>1</v>
      </c>
      <c r="M14" s="152"/>
      <c r="N14" s="152">
        <v>1</v>
      </c>
      <c r="O14" s="152">
        <v>0.55000000000000004</v>
      </c>
      <c r="P14" s="152">
        <v>0.6</v>
      </c>
      <c r="Q14" s="153">
        <f t="shared" si="0"/>
        <v>0.57499999999999996</v>
      </c>
      <c r="R14" s="152">
        <v>17</v>
      </c>
      <c r="S14" s="152">
        <v>102</v>
      </c>
      <c r="T14" s="154">
        <f t="shared" si="1"/>
        <v>33</v>
      </c>
      <c r="U14" s="152">
        <v>128</v>
      </c>
      <c r="V14" s="155">
        <f t="shared" si="2"/>
        <v>4224</v>
      </c>
      <c r="W14" s="152">
        <v>14</v>
      </c>
      <c r="X14" s="150" t="s">
        <v>46</v>
      </c>
      <c r="Y14" s="152" t="s">
        <v>69</v>
      </c>
      <c r="Z14" s="152" t="s">
        <v>55</v>
      </c>
      <c r="AA14" s="152" t="s">
        <v>47</v>
      </c>
      <c r="AB14" s="150" t="s">
        <v>258</v>
      </c>
      <c r="AC14" s="156"/>
      <c r="AE14" s="22" t="s">
        <v>76</v>
      </c>
      <c r="AG14" s="23"/>
      <c r="AH14" s="22"/>
      <c r="AL14" s="34"/>
      <c r="AP14" s="23" t="s">
        <v>74</v>
      </c>
      <c r="AR14" s="30" t="s">
        <v>125</v>
      </c>
      <c r="AV14" s="164" t="s">
        <v>305</v>
      </c>
      <c r="AX14" s="24"/>
      <c r="AY14" s="25"/>
      <c r="AZ14" s="25"/>
      <c r="BA14" s="26"/>
    </row>
    <row r="15" spans="1:53" x14ac:dyDescent="0.15">
      <c r="A15" s="150" t="s">
        <v>61</v>
      </c>
      <c r="B15" s="150" t="s">
        <v>232</v>
      </c>
      <c r="C15" s="150">
        <v>2019</v>
      </c>
      <c r="D15" s="151" t="s">
        <v>283</v>
      </c>
      <c r="E15" s="150" t="s">
        <v>288</v>
      </c>
      <c r="F15" s="150" t="s">
        <v>289</v>
      </c>
      <c r="G15" s="150" t="s">
        <v>42</v>
      </c>
      <c r="H15" s="152" t="s">
        <v>165</v>
      </c>
      <c r="I15" s="152" t="s">
        <v>159</v>
      </c>
      <c r="J15" s="150" t="s">
        <v>38</v>
      </c>
      <c r="K15" s="152" t="s">
        <v>161</v>
      </c>
      <c r="L15" s="152">
        <v>2</v>
      </c>
      <c r="M15" s="152"/>
      <c r="N15" s="152">
        <v>1</v>
      </c>
      <c r="O15" s="152">
        <v>0.6</v>
      </c>
      <c r="P15" s="152">
        <v>0.55000000000000004</v>
      </c>
      <c r="Q15" s="153">
        <f t="shared" si="0"/>
        <v>0.57499999999999996</v>
      </c>
      <c r="R15" s="156">
        <v>15.1</v>
      </c>
      <c r="S15" s="152">
        <v>110</v>
      </c>
      <c r="T15" s="154">
        <f t="shared" si="1"/>
        <v>33</v>
      </c>
      <c r="U15" s="152">
        <v>128</v>
      </c>
      <c r="V15" s="155">
        <f t="shared" si="2"/>
        <v>4224</v>
      </c>
      <c r="W15" s="152">
        <v>14</v>
      </c>
      <c r="X15" s="150" t="s">
        <v>46</v>
      </c>
      <c r="Y15" s="152" t="s">
        <v>69</v>
      </c>
      <c r="Z15" s="152" t="s">
        <v>55</v>
      </c>
      <c r="AA15" s="152" t="s">
        <v>47</v>
      </c>
      <c r="AB15" s="150" t="s">
        <v>258</v>
      </c>
      <c r="AC15" s="156"/>
      <c r="AE15" s="22" t="s">
        <v>79</v>
      </c>
      <c r="AG15" s="23"/>
      <c r="AH15" s="23"/>
      <c r="AL15" s="34"/>
      <c r="AP15" s="23" t="s">
        <v>77</v>
      </c>
      <c r="AR15" s="30" t="s">
        <v>94</v>
      </c>
      <c r="AV15" s="164" t="s">
        <v>306</v>
      </c>
      <c r="AX15" s="31"/>
      <c r="AY15" s="32"/>
      <c r="AZ15" s="32"/>
      <c r="BA15" s="33"/>
    </row>
    <row r="16" spans="1:53" x14ac:dyDescent="0.15">
      <c r="A16" s="150" t="s">
        <v>61</v>
      </c>
      <c r="B16" s="150" t="s">
        <v>232</v>
      </c>
      <c r="C16" s="150">
        <v>2019</v>
      </c>
      <c r="D16" s="151" t="s">
        <v>283</v>
      </c>
      <c r="E16" s="150" t="s">
        <v>288</v>
      </c>
      <c r="F16" s="150" t="s">
        <v>289</v>
      </c>
      <c r="G16" s="150" t="s">
        <v>42</v>
      </c>
      <c r="H16" s="152" t="s">
        <v>165</v>
      </c>
      <c r="I16" s="152" t="s">
        <v>159</v>
      </c>
      <c r="J16" s="150" t="s">
        <v>38</v>
      </c>
      <c r="K16" s="152" t="s">
        <v>161</v>
      </c>
      <c r="L16" s="152">
        <v>3</v>
      </c>
      <c r="M16" s="152"/>
      <c r="N16" s="152">
        <v>1</v>
      </c>
      <c r="O16" s="152">
        <v>0.6</v>
      </c>
      <c r="P16" s="152">
        <v>0.6</v>
      </c>
      <c r="Q16" s="153">
        <f t="shared" si="0"/>
        <v>0.6</v>
      </c>
      <c r="R16" s="152">
        <v>15.9</v>
      </c>
      <c r="S16" s="152">
        <v>108</v>
      </c>
      <c r="T16" s="154">
        <f t="shared" si="1"/>
        <v>33</v>
      </c>
      <c r="U16" s="152">
        <v>128</v>
      </c>
      <c r="V16" s="155">
        <f t="shared" si="2"/>
        <v>4224</v>
      </c>
      <c r="W16" s="152">
        <v>14</v>
      </c>
      <c r="X16" s="150" t="s">
        <v>46</v>
      </c>
      <c r="Y16" s="152" t="s">
        <v>69</v>
      </c>
      <c r="Z16" s="152" t="s">
        <v>55</v>
      </c>
      <c r="AA16" s="152" t="s">
        <v>47</v>
      </c>
      <c r="AB16" s="150" t="s">
        <v>258</v>
      </c>
      <c r="AC16" s="156"/>
      <c r="AE16" s="22" t="s">
        <v>82</v>
      </c>
      <c r="AG16" s="23"/>
      <c r="AH16" s="23"/>
      <c r="AP16" s="23" t="s">
        <v>80</v>
      </c>
      <c r="AR16" s="41" t="s">
        <v>63</v>
      </c>
      <c r="AV16" s="164" t="s">
        <v>307</v>
      </c>
    </row>
    <row r="17" spans="1:48" x14ac:dyDescent="0.15">
      <c r="A17" s="150" t="s">
        <v>61</v>
      </c>
      <c r="B17" s="150" t="s">
        <v>232</v>
      </c>
      <c r="C17" s="150">
        <v>2019</v>
      </c>
      <c r="D17" s="151" t="s">
        <v>283</v>
      </c>
      <c r="E17" s="150" t="s">
        <v>288</v>
      </c>
      <c r="F17" s="150" t="s">
        <v>289</v>
      </c>
      <c r="G17" s="150" t="s">
        <v>42</v>
      </c>
      <c r="H17" s="152" t="s">
        <v>160</v>
      </c>
      <c r="I17" s="152" t="s">
        <v>159</v>
      </c>
      <c r="J17" s="150" t="s">
        <v>38</v>
      </c>
      <c r="K17" s="152" t="s">
        <v>161</v>
      </c>
      <c r="L17" s="152">
        <v>1</v>
      </c>
      <c r="M17" s="152"/>
      <c r="N17" s="152">
        <v>1</v>
      </c>
      <c r="O17" s="152">
        <v>0.5</v>
      </c>
      <c r="P17" s="152">
        <v>0.5</v>
      </c>
      <c r="Q17" s="153">
        <f t="shared" si="0"/>
        <v>0.5</v>
      </c>
      <c r="R17" s="152">
        <v>16.899999999999999</v>
      </c>
      <c r="S17" s="152">
        <v>127</v>
      </c>
      <c r="T17" s="154">
        <f t="shared" si="1"/>
        <v>27</v>
      </c>
      <c r="U17" s="152">
        <v>128</v>
      </c>
      <c r="V17" s="155">
        <f t="shared" si="2"/>
        <v>3456</v>
      </c>
      <c r="W17" s="152">
        <v>14</v>
      </c>
      <c r="X17" s="150" t="s">
        <v>46</v>
      </c>
      <c r="Y17" s="152" t="s">
        <v>69</v>
      </c>
      <c r="Z17" s="152" t="s">
        <v>55</v>
      </c>
      <c r="AA17" s="152" t="s">
        <v>47</v>
      </c>
      <c r="AB17" s="150" t="s">
        <v>258</v>
      </c>
      <c r="AC17" s="156"/>
      <c r="AE17" s="22" t="s">
        <v>85</v>
      </c>
      <c r="AP17" s="43" t="s">
        <v>110</v>
      </c>
      <c r="AR17" s="41" t="s">
        <v>96</v>
      </c>
      <c r="AV17" s="164" t="s">
        <v>253</v>
      </c>
    </row>
    <row r="18" spans="1:48" x14ac:dyDescent="0.15">
      <c r="A18" s="150" t="s">
        <v>61</v>
      </c>
      <c r="B18" s="150" t="s">
        <v>232</v>
      </c>
      <c r="C18" s="150">
        <v>2019</v>
      </c>
      <c r="D18" s="151" t="s">
        <v>283</v>
      </c>
      <c r="E18" s="150" t="s">
        <v>288</v>
      </c>
      <c r="F18" s="150" t="s">
        <v>289</v>
      </c>
      <c r="G18" s="150" t="s">
        <v>42</v>
      </c>
      <c r="H18" s="152" t="s">
        <v>160</v>
      </c>
      <c r="I18" s="152" t="s">
        <v>159</v>
      </c>
      <c r="J18" s="150" t="s">
        <v>38</v>
      </c>
      <c r="K18" s="152" t="s">
        <v>161</v>
      </c>
      <c r="L18" s="152">
        <v>2</v>
      </c>
      <c r="M18" s="152"/>
      <c r="N18" s="152">
        <v>1</v>
      </c>
      <c r="O18" s="152">
        <v>0.5</v>
      </c>
      <c r="P18" s="152">
        <v>0.5</v>
      </c>
      <c r="Q18" s="153">
        <f t="shared" si="0"/>
        <v>0.5</v>
      </c>
      <c r="R18" s="156">
        <v>16.2</v>
      </c>
      <c r="S18" s="152">
        <v>125</v>
      </c>
      <c r="T18" s="154">
        <f t="shared" si="1"/>
        <v>27</v>
      </c>
      <c r="U18" s="152">
        <v>128</v>
      </c>
      <c r="V18" s="155">
        <f t="shared" si="2"/>
        <v>3456</v>
      </c>
      <c r="W18" s="152">
        <v>14</v>
      </c>
      <c r="X18" s="150" t="s">
        <v>46</v>
      </c>
      <c r="Y18" s="152" t="s">
        <v>69</v>
      </c>
      <c r="Z18" s="152" t="s">
        <v>55</v>
      </c>
      <c r="AA18" s="152" t="s">
        <v>47</v>
      </c>
      <c r="AB18" s="150" t="s">
        <v>258</v>
      </c>
      <c r="AC18" s="156"/>
      <c r="AE18" s="22" t="s">
        <v>87</v>
      </c>
      <c r="AP18" s="43" t="s">
        <v>111</v>
      </c>
      <c r="AR18" s="41" t="s">
        <v>101</v>
      </c>
      <c r="AV18" s="164" t="s">
        <v>135</v>
      </c>
    </row>
    <row r="19" spans="1:48" x14ac:dyDescent="0.15">
      <c r="A19" s="150" t="s">
        <v>61</v>
      </c>
      <c r="B19" s="150" t="s">
        <v>232</v>
      </c>
      <c r="C19" s="150">
        <v>2019</v>
      </c>
      <c r="D19" s="151" t="s">
        <v>283</v>
      </c>
      <c r="E19" s="150" t="s">
        <v>288</v>
      </c>
      <c r="F19" s="150" t="s">
        <v>289</v>
      </c>
      <c r="G19" s="150" t="s">
        <v>42</v>
      </c>
      <c r="H19" s="152" t="s">
        <v>160</v>
      </c>
      <c r="I19" s="152" t="s">
        <v>159</v>
      </c>
      <c r="J19" s="150" t="s">
        <v>38</v>
      </c>
      <c r="K19" s="152" t="s">
        <v>161</v>
      </c>
      <c r="L19" s="152">
        <v>3</v>
      </c>
      <c r="M19" s="152"/>
      <c r="N19" s="152">
        <v>1</v>
      </c>
      <c r="O19" s="156">
        <v>0.5</v>
      </c>
      <c r="P19" s="152">
        <v>0.5</v>
      </c>
      <c r="Q19" s="153">
        <f t="shared" si="0"/>
        <v>0.5</v>
      </c>
      <c r="R19" s="152">
        <v>17.3</v>
      </c>
      <c r="S19" s="152">
        <v>125</v>
      </c>
      <c r="T19" s="154">
        <f t="shared" si="1"/>
        <v>27</v>
      </c>
      <c r="U19" s="152">
        <v>128</v>
      </c>
      <c r="V19" s="155">
        <f t="shared" si="2"/>
        <v>3456</v>
      </c>
      <c r="W19" s="152">
        <v>14</v>
      </c>
      <c r="X19" s="150" t="s">
        <v>46</v>
      </c>
      <c r="Y19" s="152" t="s">
        <v>69</v>
      </c>
      <c r="Z19" s="152" t="s">
        <v>55</v>
      </c>
      <c r="AA19" s="152" t="s">
        <v>47</v>
      </c>
      <c r="AB19" s="150" t="s">
        <v>258</v>
      </c>
      <c r="AC19" s="156"/>
      <c r="AE19" s="35" t="s">
        <v>89</v>
      </c>
      <c r="AP19" s="43" t="s">
        <v>112</v>
      </c>
      <c r="AR19" s="30" t="s">
        <v>126</v>
      </c>
      <c r="AV19" s="164" t="s">
        <v>308</v>
      </c>
    </row>
    <row r="20" spans="1:48" x14ac:dyDescent="0.15">
      <c r="A20" s="150" t="s">
        <v>61</v>
      </c>
      <c r="B20" s="150" t="s">
        <v>232</v>
      </c>
      <c r="C20" s="150">
        <v>2019</v>
      </c>
      <c r="D20" s="151" t="s">
        <v>283</v>
      </c>
      <c r="E20" s="150" t="s">
        <v>290</v>
      </c>
      <c r="F20" s="150" t="s">
        <v>291</v>
      </c>
      <c r="G20" s="150" t="s">
        <v>42</v>
      </c>
      <c r="H20" s="152" t="s">
        <v>165</v>
      </c>
      <c r="I20" s="152" t="s">
        <v>159</v>
      </c>
      <c r="J20" s="150" t="s">
        <v>38</v>
      </c>
      <c r="K20" s="152" t="s">
        <v>161</v>
      </c>
      <c r="L20" s="152">
        <v>1</v>
      </c>
      <c r="M20" s="152"/>
      <c r="N20" s="152">
        <v>1</v>
      </c>
      <c r="O20" s="152">
        <v>0.6</v>
      </c>
      <c r="P20" s="152">
        <v>0.6</v>
      </c>
      <c r="Q20" s="153">
        <f t="shared" si="0"/>
        <v>0.6</v>
      </c>
      <c r="R20" s="152">
        <v>14.3</v>
      </c>
      <c r="S20" s="152">
        <v>120</v>
      </c>
      <c r="T20" s="154">
        <f t="shared" si="1"/>
        <v>30</v>
      </c>
      <c r="U20" s="152">
        <v>128</v>
      </c>
      <c r="V20" s="155">
        <f t="shared" si="2"/>
        <v>3840</v>
      </c>
      <c r="W20" s="152">
        <v>18</v>
      </c>
      <c r="X20" s="150" t="s">
        <v>46</v>
      </c>
      <c r="Y20" s="152" t="s">
        <v>97</v>
      </c>
      <c r="Z20" s="152" t="s">
        <v>55</v>
      </c>
      <c r="AA20" s="152" t="s">
        <v>78</v>
      </c>
      <c r="AB20" s="150" t="s">
        <v>258</v>
      </c>
      <c r="AC20" s="156"/>
      <c r="AE20" s="22"/>
      <c r="AG20" s="152"/>
      <c r="AH20" s="152"/>
      <c r="AJ20" s="152"/>
      <c r="AL20" s="152"/>
      <c r="AN20" s="152"/>
      <c r="AP20" s="43" t="s">
        <v>113</v>
      </c>
      <c r="AR20" s="41" t="s">
        <v>105</v>
      </c>
      <c r="AT20" s="152"/>
      <c r="AV20" s="164" t="s">
        <v>309</v>
      </c>
    </row>
    <row r="21" spans="1:48" x14ac:dyDescent="0.15">
      <c r="A21" s="150" t="s">
        <v>61</v>
      </c>
      <c r="B21" s="150" t="s">
        <v>232</v>
      </c>
      <c r="C21" s="150">
        <v>2019</v>
      </c>
      <c r="D21" s="151" t="s">
        <v>283</v>
      </c>
      <c r="E21" s="150" t="s">
        <v>290</v>
      </c>
      <c r="F21" s="150" t="s">
        <v>291</v>
      </c>
      <c r="G21" s="150" t="s">
        <v>42</v>
      </c>
      <c r="H21" s="152" t="s">
        <v>165</v>
      </c>
      <c r="I21" s="152" t="s">
        <v>159</v>
      </c>
      <c r="J21" s="150" t="s">
        <v>38</v>
      </c>
      <c r="K21" s="152" t="s">
        <v>161</v>
      </c>
      <c r="L21" s="152">
        <v>2</v>
      </c>
      <c r="M21" s="152"/>
      <c r="N21" s="152">
        <v>1</v>
      </c>
      <c r="O21" s="152">
        <v>0.6</v>
      </c>
      <c r="P21" s="152">
        <v>0.6</v>
      </c>
      <c r="Q21" s="153">
        <f t="shared" si="0"/>
        <v>0.6</v>
      </c>
      <c r="R21" s="152">
        <v>15.7</v>
      </c>
      <c r="S21" s="152">
        <v>116</v>
      </c>
      <c r="T21" s="154">
        <f t="shared" si="1"/>
        <v>30</v>
      </c>
      <c r="U21" s="152">
        <v>128</v>
      </c>
      <c r="V21" s="155">
        <f t="shared" si="2"/>
        <v>3840</v>
      </c>
      <c r="W21" s="152">
        <v>18</v>
      </c>
      <c r="X21" s="150" t="s">
        <v>46</v>
      </c>
      <c r="Y21" s="152" t="s">
        <v>97</v>
      </c>
      <c r="Z21" s="152" t="s">
        <v>55</v>
      </c>
      <c r="AA21" s="152" t="s">
        <v>78</v>
      </c>
      <c r="AB21" s="150" t="s">
        <v>258</v>
      </c>
      <c r="AC21" s="156"/>
      <c r="AE21" s="22"/>
      <c r="AG21" s="152"/>
      <c r="AH21" s="152"/>
      <c r="AJ21" s="152"/>
      <c r="AL21" s="152"/>
      <c r="AN21" s="152"/>
      <c r="AP21" s="43" t="s">
        <v>114</v>
      </c>
      <c r="AR21" s="41" t="s">
        <v>68</v>
      </c>
      <c r="AT21" s="152"/>
      <c r="AV21" s="164" t="s">
        <v>310</v>
      </c>
    </row>
    <row r="22" spans="1:48" x14ac:dyDescent="0.15">
      <c r="A22" s="150" t="s">
        <v>61</v>
      </c>
      <c r="B22" s="150" t="s">
        <v>232</v>
      </c>
      <c r="C22" s="150">
        <v>2019</v>
      </c>
      <c r="D22" s="151" t="s">
        <v>283</v>
      </c>
      <c r="E22" s="150" t="s">
        <v>290</v>
      </c>
      <c r="F22" s="150" t="s">
        <v>291</v>
      </c>
      <c r="G22" s="150" t="s">
        <v>42</v>
      </c>
      <c r="H22" s="152" t="s">
        <v>165</v>
      </c>
      <c r="I22" s="152" t="s">
        <v>159</v>
      </c>
      <c r="J22" s="150" t="s">
        <v>38</v>
      </c>
      <c r="K22" s="152" t="s">
        <v>161</v>
      </c>
      <c r="L22" s="152">
        <v>3</v>
      </c>
      <c r="M22" s="152"/>
      <c r="N22" s="152">
        <v>1</v>
      </c>
      <c r="O22" s="152">
        <v>0.65</v>
      </c>
      <c r="P22" s="152">
        <v>0.65</v>
      </c>
      <c r="Q22" s="153">
        <f t="shared" si="0"/>
        <v>0.65</v>
      </c>
      <c r="R22" s="152">
        <v>14.9</v>
      </c>
      <c r="S22" s="152">
        <v>119</v>
      </c>
      <c r="T22" s="154">
        <f t="shared" si="1"/>
        <v>30</v>
      </c>
      <c r="U22" s="152">
        <v>128</v>
      </c>
      <c r="V22" s="155">
        <f t="shared" si="2"/>
        <v>3840</v>
      </c>
      <c r="W22" s="152">
        <v>18</v>
      </c>
      <c r="X22" s="150" t="s">
        <v>46</v>
      </c>
      <c r="Y22" s="152" t="s">
        <v>97</v>
      </c>
      <c r="Z22" s="152" t="s">
        <v>55</v>
      </c>
      <c r="AA22" s="152" t="s">
        <v>78</v>
      </c>
      <c r="AB22" s="150" t="s">
        <v>258</v>
      </c>
      <c r="AC22" s="156"/>
      <c r="AE22" s="35"/>
      <c r="AG22" s="152"/>
      <c r="AH22" s="152"/>
      <c r="AJ22" s="152"/>
      <c r="AL22" s="152"/>
      <c r="AN22" s="152"/>
      <c r="AP22" s="43" t="s">
        <v>115</v>
      </c>
      <c r="AR22" s="41" t="s">
        <v>83</v>
      </c>
      <c r="AT22" s="152"/>
      <c r="AV22" s="23"/>
    </row>
    <row r="23" spans="1:48" x14ac:dyDescent="0.15">
      <c r="A23" s="150" t="s">
        <v>61</v>
      </c>
      <c r="B23" s="150" t="s">
        <v>232</v>
      </c>
      <c r="C23" s="150">
        <v>2019</v>
      </c>
      <c r="D23" s="151" t="s">
        <v>283</v>
      </c>
      <c r="E23" s="150" t="s">
        <v>290</v>
      </c>
      <c r="F23" s="150" t="s">
        <v>291</v>
      </c>
      <c r="G23" s="150" t="s">
        <v>42</v>
      </c>
      <c r="H23" s="152" t="s">
        <v>160</v>
      </c>
      <c r="I23" s="152" t="s">
        <v>159</v>
      </c>
      <c r="J23" s="150" t="s">
        <v>38</v>
      </c>
      <c r="K23" s="152" t="s">
        <v>161</v>
      </c>
      <c r="L23" s="152">
        <v>1</v>
      </c>
      <c r="M23" s="152"/>
      <c r="N23" s="152">
        <v>1</v>
      </c>
      <c r="O23" s="152">
        <v>0.5</v>
      </c>
      <c r="P23" s="152">
        <v>0.5</v>
      </c>
      <c r="Q23" s="153">
        <f t="shared" si="0"/>
        <v>0.5</v>
      </c>
      <c r="R23" s="152">
        <v>17.399999999999999</v>
      </c>
      <c r="S23" s="152">
        <v>139</v>
      </c>
      <c r="T23" s="154">
        <f t="shared" si="1"/>
        <v>22</v>
      </c>
      <c r="U23" s="152">
        <v>138</v>
      </c>
      <c r="V23" s="155">
        <f t="shared" si="2"/>
        <v>3036</v>
      </c>
      <c r="W23" s="152">
        <v>18</v>
      </c>
      <c r="X23" s="150" t="s">
        <v>46</v>
      </c>
      <c r="Y23" s="152" t="s">
        <v>97</v>
      </c>
      <c r="Z23" s="152" t="s">
        <v>55</v>
      </c>
      <c r="AA23" s="152" t="s">
        <v>78</v>
      </c>
      <c r="AB23" s="150" t="s">
        <v>258</v>
      </c>
      <c r="AC23" s="156"/>
      <c r="AE23" s="22"/>
      <c r="AG23" s="152"/>
      <c r="AH23" s="152"/>
      <c r="AJ23" s="152"/>
      <c r="AL23" s="152"/>
      <c r="AN23" s="152"/>
      <c r="AP23" s="43" t="s">
        <v>137</v>
      </c>
      <c r="AR23" s="41" t="s">
        <v>61</v>
      </c>
      <c r="AV23" s="152"/>
    </row>
    <row r="24" spans="1:48" x14ac:dyDescent="0.15">
      <c r="A24" s="150" t="s">
        <v>61</v>
      </c>
      <c r="B24" s="150" t="s">
        <v>232</v>
      </c>
      <c r="C24" s="150">
        <v>2019</v>
      </c>
      <c r="D24" s="151" t="s">
        <v>283</v>
      </c>
      <c r="E24" s="150" t="s">
        <v>290</v>
      </c>
      <c r="F24" s="150" t="s">
        <v>291</v>
      </c>
      <c r="G24" s="150" t="s">
        <v>42</v>
      </c>
      <c r="H24" s="152" t="s">
        <v>160</v>
      </c>
      <c r="I24" s="152" t="s">
        <v>159</v>
      </c>
      <c r="J24" s="150" t="s">
        <v>38</v>
      </c>
      <c r="K24" s="152" t="s">
        <v>161</v>
      </c>
      <c r="L24" s="152">
        <v>2</v>
      </c>
      <c r="M24" s="152"/>
      <c r="N24" s="152">
        <v>1</v>
      </c>
      <c r="O24" s="152">
        <v>0.5</v>
      </c>
      <c r="P24" s="152">
        <v>0.5</v>
      </c>
      <c r="Q24" s="153">
        <f t="shared" si="0"/>
        <v>0.5</v>
      </c>
      <c r="R24" s="152">
        <v>17.600000000000001</v>
      </c>
      <c r="S24" s="152">
        <v>136</v>
      </c>
      <c r="T24" s="154">
        <f t="shared" si="1"/>
        <v>25</v>
      </c>
      <c r="U24" s="152">
        <v>138</v>
      </c>
      <c r="V24" s="155">
        <f t="shared" si="2"/>
        <v>3450</v>
      </c>
      <c r="W24" s="152">
        <v>18</v>
      </c>
      <c r="X24" s="150" t="s">
        <v>46</v>
      </c>
      <c r="Y24" s="152" t="s">
        <v>97</v>
      </c>
      <c r="Z24" s="152" t="s">
        <v>55</v>
      </c>
      <c r="AA24" s="152" t="s">
        <v>78</v>
      </c>
      <c r="AB24" s="150" t="s">
        <v>258</v>
      </c>
      <c r="AC24" s="156"/>
      <c r="AE24" s="22"/>
      <c r="AG24" s="152"/>
      <c r="AH24" s="152"/>
      <c r="AJ24" s="152"/>
      <c r="AL24" s="152"/>
      <c r="AN24" s="152"/>
      <c r="AP24" s="43" t="s">
        <v>138</v>
      </c>
      <c r="AR24" s="41" t="s">
        <v>91</v>
      </c>
      <c r="AV24" s="152"/>
    </row>
    <row r="25" spans="1:48" x14ac:dyDescent="0.15">
      <c r="A25" s="150" t="s">
        <v>61</v>
      </c>
      <c r="B25" s="150" t="s">
        <v>232</v>
      </c>
      <c r="C25" s="150">
        <v>2019</v>
      </c>
      <c r="D25" s="151" t="s">
        <v>283</v>
      </c>
      <c r="E25" s="150" t="s">
        <v>290</v>
      </c>
      <c r="F25" s="150" t="s">
        <v>291</v>
      </c>
      <c r="G25" s="150" t="s">
        <v>42</v>
      </c>
      <c r="H25" s="152" t="s">
        <v>160</v>
      </c>
      <c r="I25" s="152" t="s">
        <v>159</v>
      </c>
      <c r="J25" s="150" t="s">
        <v>38</v>
      </c>
      <c r="K25" s="152" t="s">
        <v>161</v>
      </c>
      <c r="L25" s="152">
        <v>3</v>
      </c>
      <c r="M25" s="152"/>
      <c r="N25" s="152">
        <v>1</v>
      </c>
      <c r="O25" s="156">
        <v>0.5</v>
      </c>
      <c r="P25" s="152">
        <v>0.5</v>
      </c>
      <c r="Q25" s="153">
        <f t="shared" si="0"/>
        <v>0.5</v>
      </c>
      <c r="R25" s="152">
        <v>17.600000000000001</v>
      </c>
      <c r="S25" s="152">
        <v>136</v>
      </c>
      <c r="T25" s="154">
        <f t="shared" si="1"/>
        <v>25</v>
      </c>
      <c r="U25" s="152">
        <v>138</v>
      </c>
      <c r="V25" s="155">
        <f t="shared" si="2"/>
        <v>3450</v>
      </c>
      <c r="W25" s="152">
        <v>18</v>
      </c>
      <c r="X25" s="150" t="s">
        <v>46</v>
      </c>
      <c r="Y25" s="152" t="s">
        <v>97</v>
      </c>
      <c r="Z25" s="152" t="s">
        <v>55</v>
      </c>
      <c r="AA25" s="152" t="s">
        <v>78</v>
      </c>
      <c r="AB25" s="150" t="s">
        <v>258</v>
      </c>
      <c r="AC25" s="156"/>
      <c r="AE25" s="35"/>
      <c r="AG25" s="152"/>
      <c r="AH25" s="152"/>
      <c r="AJ25" s="152"/>
      <c r="AN25" s="152"/>
      <c r="AP25" s="43" t="s">
        <v>116</v>
      </c>
      <c r="AR25" s="42" t="s">
        <v>92</v>
      </c>
      <c r="AV25" s="152"/>
    </row>
    <row r="26" spans="1:48" x14ac:dyDescent="0.15">
      <c r="A26" s="150" t="s">
        <v>61</v>
      </c>
      <c r="B26" s="150" t="s">
        <v>232</v>
      </c>
      <c r="C26" s="150">
        <v>2019</v>
      </c>
      <c r="D26" s="151" t="s">
        <v>283</v>
      </c>
      <c r="E26" s="150" t="s">
        <v>292</v>
      </c>
      <c r="F26" s="150" t="s">
        <v>293</v>
      </c>
      <c r="G26" s="150" t="s">
        <v>42</v>
      </c>
      <c r="H26" s="152" t="s">
        <v>165</v>
      </c>
      <c r="I26" s="152" t="s">
        <v>159</v>
      </c>
      <c r="J26" s="150" t="s">
        <v>38</v>
      </c>
      <c r="K26" s="152" t="s">
        <v>161</v>
      </c>
      <c r="L26" s="152">
        <v>1</v>
      </c>
      <c r="M26" s="152"/>
      <c r="N26" s="152">
        <v>1</v>
      </c>
      <c r="O26" s="152">
        <v>0.75</v>
      </c>
      <c r="P26" s="152">
        <v>0.75</v>
      </c>
      <c r="Q26" s="153">
        <f t="shared" si="0"/>
        <v>0.75</v>
      </c>
      <c r="R26" s="152">
        <v>15.9</v>
      </c>
      <c r="S26" s="152">
        <v>117</v>
      </c>
      <c r="T26" s="154">
        <f t="shared" si="1"/>
        <v>30</v>
      </c>
      <c r="U26" s="152">
        <v>138</v>
      </c>
      <c r="V26" s="155">
        <f t="shared" si="2"/>
        <v>4140</v>
      </c>
      <c r="W26" s="152">
        <v>12</v>
      </c>
      <c r="X26" s="150" t="s">
        <v>46</v>
      </c>
      <c r="Y26" s="152" t="s">
        <v>55</v>
      </c>
      <c r="Z26" s="152" t="s">
        <v>47</v>
      </c>
      <c r="AA26" s="152" t="s">
        <v>97</v>
      </c>
      <c r="AB26" s="150" t="s">
        <v>258</v>
      </c>
      <c r="AC26" s="156"/>
      <c r="AD26" s="34"/>
      <c r="AE26" s="35"/>
      <c r="AG26" s="152"/>
      <c r="AH26" s="152"/>
      <c r="AP26" s="43" t="s">
        <v>117</v>
      </c>
      <c r="AR26" s="23" t="s">
        <v>153</v>
      </c>
      <c r="AV26" s="152"/>
    </row>
    <row r="27" spans="1:48" x14ac:dyDescent="0.15">
      <c r="A27" s="150" t="s">
        <v>61</v>
      </c>
      <c r="B27" s="150" t="s">
        <v>232</v>
      </c>
      <c r="C27" s="150">
        <v>2019</v>
      </c>
      <c r="D27" s="151" t="s">
        <v>283</v>
      </c>
      <c r="E27" s="150" t="s">
        <v>292</v>
      </c>
      <c r="F27" s="150" t="s">
        <v>293</v>
      </c>
      <c r="G27" s="150" t="s">
        <v>42</v>
      </c>
      <c r="H27" s="152" t="s">
        <v>165</v>
      </c>
      <c r="I27" s="152" t="s">
        <v>159</v>
      </c>
      <c r="J27" s="150" t="s">
        <v>38</v>
      </c>
      <c r="K27" s="152" t="s">
        <v>161</v>
      </c>
      <c r="L27" s="152">
        <v>2</v>
      </c>
      <c r="M27" s="152"/>
      <c r="N27" s="152">
        <v>1</v>
      </c>
      <c r="O27" s="152">
        <v>0.75</v>
      </c>
      <c r="P27" s="152">
        <v>0.8</v>
      </c>
      <c r="Q27" s="153">
        <f t="shared" si="0"/>
        <v>0.77500000000000002</v>
      </c>
      <c r="R27" s="152">
        <v>16.100000000000001</v>
      </c>
      <c r="S27" s="152">
        <v>114</v>
      </c>
      <c r="T27" s="154">
        <f t="shared" si="1"/>
        <v>30</v>
      </c>
      <c r="U27" s="152">
        <v>138</v>
      </c>
      <c r="V27" s="155">
        <f t="shared" si="2"/>
        <v>4140</v>
      </c>
      <c r="W27" s="152">
        <v>12</v>
      </c>
      <c r="X27" s="150" t="s">
        <v>46</v>
      </c>
      <c r="Y27" s="152" t="s">
        <v>55</v>
      </c>
      <c r="Z27" s="152" t="s">
        <v>47</v>
      </c>
      <c r="AA27" s="152" t="s">
        <v>97</v>
      </c>
      <c r="AB27" s="150" t="s">
        <v>258</v>
      </c>
      <c r="AC27" s="156"/>
      <c r="AD27" s="34"/>
      <c r="AE27" s="28"/>
      <c r="AG27" s="152"/>
      <c r="AH27" s="152"/>
      <c r="AP27" s="43" t="s">
        <v>118</v>
      </c>
      <c r="AR27" s="23"/>
      <c r="AV27" s="152"/>
    </row>
    <row r="28" spans="1:48" x14ac:dyDescent="0.15">
      <c r="A28" s="150" t="s">
        <v>61</v>
      </c>
      <c r="B28" s="150" t="s">
        <v>232</v>
      </c>
      <c r="C28" s="150">
        <v>2019</v>
      </c>
      <c r="D28" s="151" t="s">
        <v>283</v>
      </c>
      <c r="E28" s="150" t="s">
        <v>292</v>
      </c>
      <c r="F28" s="150" t="s">
        <v>293</v>
      </c>
      <c r="G28" s="150" t="s">
        <v>42</v>
      </c>
      <c r="H28" s="152" t="s">
        <v>165</v>
      </c>
      <c r="I28" s="152" t="s">
        <v>159</v>
      </c>
      <c r="J28" s="150" t="s">
        <v>38</v>
      </c>
      <c r="K28" s="152" t="s">
        <v>161</v>
      </c>
      <c r="L28" s="152">
        <v>3</v>
      </c>
      <c r="M28" s="152"/>
      <c r="N28" s="152">
        <v>1</v>
      </c>
      <c r="O28" s="152">
        <v>0.7</v>
      </c>
      <c r="P28" s="156">
        <v>0.7</v>
      </c>
      <c r="Q28" s="153">
        <f t="shared" si="0"/>
        <v>0.7</v>
      </c>
      <c r="R28" s="152">
        <v>15.9</v>
      </c>
      <c r="S28" s="152">
        <v>110</v>
      </c>
      <c r="T28" s="154">
        <f t="shared" si="1"/>
        <v>33</v>
      </c>
      <c r="U28" s="152">
        <v>138</v>
      </c>
      <c r="V28" s="155">
        <f t="shared" si="2"/>
        <v>4554</v>
      </c>
      <c r="W28" s="152">
        <v>12</v>
      </c>
      <c r="X28" s="150" t="s">
        <v>46</v>
      </c>
      <c r="Y28" s="152" t="s">
        <v>55</v>
      </c>
      <c r="Z28" s="152" t="s">
        <v>47</v>
      </c>
      <c r="AA28" s="152" t="s">
        <v>97</v>
      </c>
      <c r="AB28" s="150" t="s">
        <v>258</v>
      </c>
      <c r="AC28" s="156"/>
      <c r="AD28" s="34"/>
      <c r="AE28" s="152"/>
      <c r="AG28" s="152"/>
      <c r="AH28" s="152"/>
      <c r="AP28" s="27"/>
      <c r="AR28" s="23"/>
      <c r="AV28" s="152"/>
    </row>
    <row r="29" spans="1:48" x14ac:dyDescent="0.15">
      <c r="A29" s="150" t="s">
        <v>61</v>
      </c>
      <c r="B29" s="150" t="s">
        <v>232</v>
      </c>
      <c r="C29" s="150">
        <v>2019</v>
      </c>
      <c r="D29" s="151" t="s">
        <v>283</v>
      </c>
      <c r="E29" s="150" t="s">
        <v>292</v>
      </c>
      <c r="F29" s="150" t="s">
        <v>293</v>
      </c>
      <c r="G29" s="150" t="s">
        <v>42</v>
      </c>
      <c r="H29" s="152" t="s">
        <v>160</v>
      </c>
      <c r="I29" s="152" t="s">
        <v>159</v>
      </c>
      <c r="J29" s="150" t="s">
        <v>38</v>
      </c>
      <c r="K29" s="152" t="s">
        <v>161</v>
      </c>
      <c r="L29" s="152">
        <v>1</v>
      </c>
      <c r="M29" s="152"/>
      <c r="N29" s="152">
        <v>1</v>
      </c>
      <c r="O29" s="152">
        <v>0.5</v>
      </c>
      <c r="P29" s="152">
        <v>0.5</v>
      </c>
      <c r="Q29" s="153">
        <f t="shared" si="0"/>
        <v>0.5</v>
      </c>
      <c r="R29" s="152">
        <v>18.100000000000001</v>
      </c>
      <c r="S29" s="152">
        <v>125</v>
      </c>
      <c r="T29" s="154">
        <f t="shared" si="1"/>
        <v>27</v>
      </c>
      <c r="U29" s="152">
        <v>138</v>
      </c>
      <c r="V29" s="155">
        <f t="shared" si="2"/>
        <v>3726</v>
      </c>
      <c r="W29" s="152">
        <v>12</v>
      </c>
      <c r="X29" s="150" t="s">
        <v>46</v>
      </c>
      <c r="Y29" s="152" t="s">
        <v>55</v>
      </c>
      <c r="Z29" s="152" t="s">
        <v>47</v>
      </c>
      <c r="AA29" s="152" t="s">
        <v>97</v>
      </c>
      <c r="AB29" s="150" t="s">
        <v>258</v>
      </c>
      <c r="AC29" s="156"/>
      <c r="AE29" s="152"/>
      <c r="AG29" s="152"/>
      <c r="AH29" s="152"/>
      <c r="AJ29" s="152"/>
      <c r="AN29" s="152"/>
      <c r="AP29" s="152"/>
      <c r="AR29" s="152"/>
      <c r="AV29" s="152"/>
    </row>
    <row r="30" spans="1:48" x14ac:dyDescent="0.15">
      <c r="A30" s="150" t="s">
        <v>61</v>
      </c>
      <c r="B30" s="150" t="s">
        <v>232</v>
      </c>
      <c r="C30" s="150">
        <v>2019</v>
      </c>
      <c r="D30" s="151" t="s">
        <v>283</v>
      </c>
      <c r="E30" s="150" t="s">
        <v>292</v>
      </c>
      <c r="F30" s="150" t="s">
        <v>293</v>
      </c>
      <c r="G30" s="150" t="s">
        <v>42</v>
      </c>
      <c r="H30" s="152" t="s">
        <v>160</v>
      </c>
      <c r="I30" s="152" t="s">
        <v>159</v>
      </c>
      <c r="J30" s="150" t="s">
        <v>38</v>
      </c>
      <c r="K30" s="152" t="s">
        <v>161</v>
      </c>
      <c r="L30" s="152">
        <v>2</v>
      </c>
      <c r="M30" s="152"/>
      <c r="N30" s="152">
        <v>1</v>
      </c>
      <c r="O30" s="152">
        <v>0.5</v>
      </c>
      <c r="P30" s="152">
        <v>0.5</v>
      </c>
      <c r="Q30" s="153">
        <f t="shared" si="0"/>
        <v>0.5</v>
      </c>
      <c r="R30" s="152">
        <v>18.7</v>
      </c>
      <c r="S30" s="152">
        <v>127</v>
      </c>
      <c r="T30" s="154">
        <f t="shared" si="1"/>
        <v>27</v>
      </c>
      <c r="U30" s="152">
        <v>138</v>
      </c>
      <c r="V30" s="155">
        <f t="shared" si="2"/>
        <v>3726</v>
      </c>
      <c r="W30" s="152">
        <v>12</v>
      </c>
      <c r="X30" s="150" t="s">
        <v>46</v>
      </c>
      <c r="Y30" s="152" t="s">
        <v>55</v>
      </c>
      <c r="Z30" s="152" t="s">
        <v>47</v>
      </c>
      <c r="AA30" s="152" t="s">
        <v>97</v>
      </c>
      <c r="AB30" s="150" t="s">
        <v>258</v>
      </c>
      <c r="AC30" s="156"/>
      <c r="AE30" s="152"/>
      <c r="AG30" s="152"/>
      <c r="AH30" s="152"/>
      <c r="AL30" s="152"/>
      <c r="AN30" s="152"/>
      <c r="AP30" s="152"/>
      <c r="AR30" s="152"/>
      <c r="AV30" s="152"/>
    </row>
    <row r="31" spans="1:48" x14ac:dyDescent="0.15">
      <c r="A31" s="150" t="s">
        <v>61</v>
      </c>
      <c r="B31" s="150" t="s">
        <v>232</v>
      </c>
      <c r="C31" s="150">
        <v>2019</v>
      </c>
      <c r="D31" s="151" t="s">
        <v>283</v>
      </c>
      <c r="E31" s="150" t="s">
        <v>292</v>
      </c>
      <c r="F31" s="150" t="s">
        <v>293</v>
      </c>
      <c r="G31" s="150" t="s">
        <v>42</v>
      </c>
      <c r="H31" s="152" t="s">
        <v>160</v>
      </c>
      <c r="I31" s="152" t="s">
        <v>159</v>
      </c>
      <c r="J31" s="150" t="s">
        <v>38</v>
      </c>
      <c r="K31" s="152" t="s">
        <v>161</v>
      </c>
      <c r="L31" s="152">
        <v>3</v>
      </c>
      <c r="M31" s="152"/>
      <c r="N31" s="152">
        <v>1</v>
      </c>
      <c r="O31" s="152">
        <v>0.55000000000000004</v>
      </c>
      <c r="P31" s="152">
        <v>0.5</v>
      </c>
      <c r="Q31" s="153">
        <f t="shared" si="0"/>
        <v>0.52500000000000002</v>
      </c>
      <c r="R31" s="152">
        <v>16</v>
      </c>
      <c r="S31" s="152">
        <v>125</v>
      </c>
      <c r="T31" s="154">
        <f t="shared" si="1"/>
        <v>27</v>
      </c>
      <c r="U31" s="152">
        <v>138</v>
      </c>
      <c r="V31" s="155">
        <f t="shared" si="2"/>
        <v>3726</v>
      </c>
      <c r="W31" s="152">
        <v>12</v>
      </c>
      <c r="X31" s="150" t="s">
        <v>46</v>
      </c>
      <c r="Y31" s="152" t="s">
        <v>55</v>
      </c>
      <c r="Z31" s="152" t="s">
        <v>47</v>
      </c>
      <c r="AA31" s="152" t="s">
        <v>97</v>
      </c>
      <c r="AB31" s="150" t="s">
        <v>258</v>
      </c>
      <c r="AC31" s="156"/>
      <c r="AE31" s="152"/>
      <c r="AG31" s="152"/>
      <c r="AH31" s="152"/>
      <c r="AL31" s="152"/>
      <c r="AP31" s="152"/>
      <c r="AR31" s="152"/>
      <c r="AV31" s="152"/>
    </row>
    <row r="32" spans="1:48" x14ac:dyDescent="0.15">
      <c r="A32" s="150" t="s">
        <v>61</v>
      </c>
      <c r="B32" s="150" t="s">
        <v>232</v>
      </c>
      <c r="C32" s="150">
        <v>2019</v>
      </c>
      <c r="D32" s="151" t="s">
        <v>283</v>
      </c>
      <c r="E32" s="150" t="s">
        <v>294</v>
      </c>
      <c r="F32" s="150" t="s">
        <v>295</v>
      </c>
      <c r="G32" s="150" t="s">
        <v>42</v>
      </c>
      <c r="H32" s="152" t="s">
        <v>165</v>
      </c>
      <c r="I32" s="152" t="s">
        <v>159</v>
      </c>
      <c r="J32" s="150" t="s">
        <v>38</v>
      </c>
      <c r="K32" s="152" t="s">
        <v>161</v>
      </c>
      <c r="L32" s="152">
        <v>1</v>
      </c>
      <c r="M32" s="152"/>
      <c r="N32" s="152">
        <v>1</v>
      </c>
      <c r="O32" s="152">
        <v>0.8</v>
      </c>
      <c r="P32" s="152">
        <v>0.8</v>
      </c>
      <c r="Q32" s="153">
        <f t="shared" si="0"/>
        <v>0.8</v>
      </c>
      <c r="R32" s="152">
        <v>13.2</v>
      </c>
      <c r="S32" s="152">
        <v>109</v>
      </c>
      <c r="T32" s="154">
        <f t="shared" si="1"/>
        <v>33</v>
      </c>
      <c r="U32" s="152">
        <v>98</v>
      </c>
      <c r="V32" s="155">
        <f t="shared" si="2"/>
        <v>3234</v>
      </c>
      <c r="W32" s="152">
        <v>10</v>
      </c>
      <c r="X32" s="150" t="s">
        <v>46</v>
      </c>
      <c r="Y32" s="152" t="s">
        <v>47</v>
      </c>
      <c r="Z32" s="152" t="s">
        <v>55</v>
      </c>
      <c r="AA32" s="152" t="s">
        <v>90</v>
      </c>
      <c r="AB32" s="150" t="s">
        <v>258</v>
      </c>
      <c r="AC32" s="156"/>
      <c r="AE32" s="152"/>
      <c r="AG32" s="152"/>
      <c r="AH32" s="152"/>
      <c r="AL32" s="152"/>
      <c r="AP32" s="152"/>
      <c r="AR32" s="152"/>
      <c r="AV32" s="152"/>
    </row>
    <row r="33" spans="1:29" x14ac:dyDescent="0.15">
      <c r="A33" s="150" t="s">
        <v>61</v>
      </c>
      <c r="B33" s="150" t="s">
        <v>232</v>
      </c>
      <c r="C33" s="150">
        <v>2019</v>
      </c>
      <c r="D33" s="151" t="s">
        <v>283</v>
      </c>
      <c r="E33" s="150" t="s">
        <v>294</v>
      </c>
      <c r="F33" s="150" t="s">
        <v>295</v>
      </c>
      <c r="G33" s="150" t="s">
        <v>42</v>
      </c>
      <c r="H33" s="152" t="s">
        <v>165</v>
      </c>
      <c r="I33" s="152" t="s">
        <v>159</v>
      </c>
      <c r="J33" s="150" t="s">
        <v>38</v>
      </c>
      <c r="K33" s="152" t="s">
        <v>161</v>
      </c>
      <c r="L33" s="152">
        <v>2</v>
      </c>
      <c r="M33" s="152"/>
      <c r="N33" s="152">
        <v>1</v>
      </c>
      <c r="O33" s="152">
        <v>0.8</v>
      </c>
      <c r="P33" s="152">
        <v>0.7</v>
      </c>
      <c r="Q33" s="153">
        <f t="shared" si="0"/>
        <v>0.75</v>
      </c>
      <c r="R33" s="152">
        <v>14.8</v>
      </c>
      <c r="S33" s="152">
        <v>111</v>
      </c>
      <c r="T33" s="154">
        <f t="shared" si="1"/>
        <v>33</v>
      </c>
      <c r="U33" s="152">
        <v>98</v>
      </c>
      <c r="V33" s="155">
        <f t="shared" si="2"/>
        <v>3234</v>
      </c>
      <c r="W33" s="152">
        <v>10</v>
      </c>
      <c r="X33" s="150" t="s">
        <v>46</v>
      </c>
      <c r="Y33" s="152" t="s">
        <v>47</v>
      </c>
      <c r="Z33" s="152" t="s">
        <v>55</v>
      </c>
      <c r="AA33" s="152" t="s">
        <v>90</v>
      </c>
      <c r="AB33" s="150" t="s">
        <v>258</v>
      </c>
      <c r="AC33" s="156"/>
    </row>
    <row r="34" spans="1:29" x14ac:dyDescent="0.15">
      <c r="A34" s="150" t="s">
        <v>61</v>
      </c>
      <c r="B34" s="150" t="s">
        <v>232</v>
      </c>
      <c r="C34" s="150">
        <v>2019</v>
      </c>
      <c r="D34" s="151" t="s">
        <v>283</v>
      </c>
      <c r="E34" s="150" t="s">
        <v>294</v>
      </c>
      <c r="F34" s="150" t="s">
        <v>295</v>
      </c>
      <c r="G34" s="150" t="s">
        <v>42</v>
      </c>
      <c r="H34" s="152" t="s">
        <v>165</v>
      </c>
      <c r="I34" s="152" t="s">
        <v>159</v>
      </c>
      <c r="J34" s="150" t="s">
        <v>38</v>
      </c>
      <c r="K34" s="152" t="s">
        <v>161</v>
      </c>
      <c r="L34" s="152">
        <v>3</v>
      </c>
      <c r="M34" s="152"/>
      <c r="N34" s="152">
        <v>1</v>
      </c>
      <c r="O34" s="152">
        <v>0.65</v>
      </c>
      <c r="P34" s="152">
        <v>0.75</v>
      </c>
      <c r="Q34" s="153">
        <f t="shared" si="0"/>
        <v>0.7</v>
      </c>
      <c r="R34" s="152">
        <v>14.9</v>
      </c>
      <c r="S34" s="152">
        <v>118</v>
      </c>
      <c r="T34" s="154">
        <f t="shared" si="1"/>
        <v>30</v>
      </c>
      <c r="U34" s="152">
        <v>98</v>
      </c>
      <c r="V34" s="155">
        <f t="shared" si="2"/>
        <v>2940</v>
      </c>
      <c r="W34" s="152">
        <v>10</v>
      </c>
      <c r="X34" s="150" t="s">
        <v>46</v>
      </c>
      <c r="Y34" s="152" t="s">
        <v>47</v>
      </c>
      <c r="Z34" s="152" t="s">
        <v>55</v>
      </c>
      <c r="AA34" s="152" t="s">
        <v>90</v>
      </c>
      <c r="AB34" s="150" t="s">
        <v>258</v>
      </c>
      <c r="AC34" s="156"/>
    </row>
    <row r="35" spans="1:29" x14ac:dyDescent="0.15">
      <c r="A35" s="150" t="s">
        <v>61</v>
      </c>
      <c r="B35" s="150" t="s">
        <v>232</v>
      </c>
      <c r="C35" s="150">
        <v>2019</v>
      </c>
      <c r="D35" s="151" t="s">
        <v>283</v>
      </c>
      <c r="E35" s="150" t="s">
        <v>294</v>
      </c>
      <c r="F35" s="150" t="s">
        <v>295</v>
      </c>
      <c r="G35" s="150" t="s">
        <v>42</v>
      </c>
      <c r="H35" s="152" t="s">
        <v>160</v>
      </c>
      <c r="I35" s="152" t="s">
        <v>159</v>
      </c>
      <c r="J35" s="150" t="s">
        <v>38</v>
      </c>
      <c r="K35" s="152" t="s">
        <v>161</v>
      </c>
      <c r="L35" s="152">
        <v>1</v>
      </c>
      <c r="M35" s="152"/>
      <c r="N35" s="152">
        <v>1</v>
      </c>
      <c r="O35" s="152">
        <v>0.6</v>
      </c>
      <c r="P35" s="152">
        <v>0.5</v>
      </c>
      <c r="Q35" s="153">
        <f t="shared" si="0"/>
        <v>0.55000000000000004</v>
      </c>
      <c r="R35" s="152">
        <v>17.3</v>
      </c>
      <c r="S35" s="152">
        <v>136</v>
      </c>
      <c r="T35" s="154">
        <f t="shared" si="1"/>
        <v>25</v>
      </c>
      <c r="U35" s="152">
        <v>128</v>
      </c>
      <c r="V35" s="155">
        <f t="shared" si="2"/>
        <v>3200</v>
      </c>
      <c r="W35" s="152">
        <v>10</v>
      </c>
      <c r="X35" s="150" t="s">
        <v>46</v>
      </c>
      <c r="Y35" s="152" t="s">
        <v>47</v>
      </c>
      <c r="Z35" s="152" t="s">
        <v>55</v>
      </c>
      <c r="AA35" s="152" t="s">
        <v>90</v>
      </c>
      <c r="AB35" s="150" t="s">
        <v>258</v>
      </c>
      <c r="AC35" s="156"/>
    </row>
    <row r="36" spans="1:29" x14ac:dyDescent="0.15">
      <c r="A36" s="150" t="s">
        <v>61</v>
      </c>
      <c r="B36" s="150" t="s">
        <v>232</v>
      </c>
      <c r="C36" s="150">
        <v>2019</v>
      </c>
      <c r="D36" s="151" t="s">
        <v>283</v>
      </c>
      <c r="E36" s="150" t="s">
        <v>294</v>
      </c>
      <c r="F36" s="150" t="s">
        <v>295</v>
      </c>
      <c r="G36" s="150" t="s">
        <v>42</v>
      </c>
      <c r="H36" s="152" t="s">
        <v>160</v>
      </c>
      <c r="I36" s="152" t="s">
        <v>159</v>
      </c>
      <c r="J36" s="150" t="s">
        <v>38</v>
      </c>
      <c r="K36" s="152" t="s">
        <v>161</v>
      </c>
      <c r="L36" s="152">
        <v>2</v>
      </c>
      <c r="M36" s="152"/>
      <c r="N36" s="152">
        <v>1</v>
      </c>
      <c r="O36" s="152">
        <v>0.55000000000000004</v>
      </c>
      <c r="P36" s="152">
        <v>0.6</v>
      </c>
      <c r="Q36" s="153">
        <f t="shared" si="0"/>
        <v>0.57499999999999996</v>
      </c>
      <c r="R36" s="152">
        <v>17.5</v>
      </c>
      <c r="S36" s="152">
        <v>137</v>
      </c>
      <c r="T36" s="154">
        <f t="shared" si="1"/>
        <v>25</v>
      </c>
      <c r="U36" s="152">
        <v>128</v>
      </c>
      <c r="V36" s="155">
        <f t="shared" si="2"/>
        <v>3200</v>
      </c>
      <c r="W36" s="152">
        <v>10</v>
      </c>
      <c r="X36" s="150" t="s">
        <v>46</v>
      </c>
      <c r="Y36" s="152" t="s">
        <v>47</v>
      </c>
      <c r="Z36" s="152" t="s">
        <v>55</v>
      </c>
      <c r="AA36" s="152" t="s">
        <v>90</v>
      </c>
      <c r="AB36" s="150" t="s">
        <v>258</v>
      </c>
      <c r="AC36" s="156"/>
    </row>
    <row r="37" spans="1:29" x14ac:dyDescent="0.15">
      <c r="A37" s="150" t="s">
        <v>61</v>
      </c>
      <c r="B37" s="150" t="s">
        <v>232</v>
      </c>
      <c r="C37" s="150">
        <v>2019</v>
      </c>
      <c r="D37" s="151" t="s">
        <v>283</v>
      </c>
      <c r="E37" s="150" t="s">
        <v>294</v>
      </c>
      <c r="F37" s="150" t="s">
        <v>295</v>
      </c>
      <c r="G37" s="150" t="s">
        <v>42</v>
      </c>
      <c r="H37" s="152" t="s">
        <v>160</v>
      </c>
      <c r="I37" s="152" t="s">
        <v>159</v>
      </c>
      <c r="J37" s="150" t="s">
        <v>38</v>
      </c>
      <c r="K37" s="152" t="s">
        <v>161</v>
      </c>
      <c r="L37" s="152">
        <v>3</v>
      </c>
      <c r="M37" s="152"/>
      <c r="N37" s="152">
        <v>1</v>
      </c>
      <c r="O37" s="152">
        <v>0.5</v>
      </c>
      <c r="P37" s="152">
        <v>0.55000000000000004</v>
      </c>
      <c r="Q37" s="153">
        <f t="shared" si="0"/>
        <v>0.52500000000000002</v>
      </c>
      <c r="R37" s="152">
        <v>17.399999999999999</v>
      </c>
      <c r="S37" s="152">
        <v>132</v>
      </c>
      <c r="T37" s="154">
        <f t="shared" si="1"/>
        <v>25</v>
      </c>
      <c r="U37" s="152">
        <v>128</v>
      </c>
      <c r="V37" s="155">
        <f t="shared" si="2"/>
        <v>3200</v>
      </c>
      <c r="W37" s="152">
        <v>10</v>
      </c>
      <c r="X37" s="150" t="s">
        <v>46</v>
      </c>
      <c r="Y37" s="152" t="s">
        <v>47</v>
      </c>
      <c r="Z37" s="152" t="s">
        <v>55</v>
      </c>
      <c r="AA37" s="152" t="s">
        <v>90</v>
      </c>
      <c r="AB37" s="150" t="s">
        <v>258</v>
      </c>
      <c r="AC37" s="156"/>
    </row>
    <row r="38" spans="1:29" x14ac:dyDescent="0.15">
      <c r="A38" s="150" t="s">
        <v>61</v>
      </c>
      <c r="B38" s="150" t="s">
        <v>232</v>
      </c>
      <c r="C38" s="150">
        <v>2019</v>
      </c>
      <c r="D38" s="151" t="s">
        <v>283</v>
      </c>
      <c r="E38" s="150" t="s">
        <v>133</v>
      </c>
      <c r="F38" s="150" t="s">
        <v>298</v>
      </c>
      <c r="G38" s="150" t="s">
        <v>42</v>
      </c>
      <c r="H38" s="152" t="s">
        <v>165</v>
      </c>
      <c r="I38" s="152" t="s">
        <v>159</v>
      </c>
      <c r="J38" s="150" t="s">
        <v>38</v>
      </c>
      <c r="K38" s="152" t="s">
        <v>161</v>
      </c>
      <c r="L38" s="152">
        <v>1</v>
      </c>
      <c r="M38" s="152"/>
      <c r="N38" s="152">
        <v>1</v>
      </c>
      <c r="O38" s="152">
        <v>1</v>
      </c>
      <c r="P38" s="152">
        <v>1.25</v>
      </c>
      <c r="Q38" s="153">
        <f t="shared" si="0"/>
        <v>1.125</v>
      </c>
      <c r="R38" s="152">
        <v>14.2</v>
      </c>
      <c r="S38" s="152">
        <v>118</v>
      </c>
      <c r="T38" s="154">
        <f t="shared" si="1"/>
        <v>30</v>
      </c>
      <c r="U38" s="152">
        <v>98</v>
      </c>
      <c r="V38" s="155">
        <f t="shared" si="2"/>
        <v>2940</v>
      </c>
      <c r="W38" s="152">
        <v>14</v>
      </c>
      <c r="X38" s="150" t="s">
        <v>46</v>
      </c>
      <c r="Y38" s="152" t="s">
        <v>97</v>
      </c>
      <c r="Z38" s="152" t="s">
        <v>69</v>
      </c>
      <c r="AA38" s="152" t="s">
        <v>47</v>
      </c>
      <c r="AB38" s="150" t="s">
        <v>258</v>
      </c>
      <c r="AC38" s="156"/>
    </row>
    <row r="39" spans="1:29" x14ac:dyDescent="0.15">
      <c r="A39" s="150" t="s">
        <v>61</v>
      </c>
      <c r="B39" s="150" t="s">
        <v>232</v>
      </c>
      <c r="C39" s="150">
        <v>2019</v>
      </c>
      <c r="D39" s="151" t="s">
        <v>283</v>
      </c>
      <c r="E39" s="150" t="s">
        <v>133</v>
      </c>
      <c r="F39" s="150" t="s">
        <v>298</v>
      </c>
      <c r="G39" s="150" t="s">
        <v>42</v>
      </c>
      <c r="H39" s="152" t="s">
        <v>165</v>
      </c>
      <c r="I39" s="152" t="s">
        <v>159</v>
      </c>
      <c r="J39" s="150" t="s">
        <v>38</v>
      </c>
      <c r="K39" s="152" t="s">
        <v>161</v>
      </c>
      <c r="L39" s="152">
        <v>2</v>
      </c>
      <c r="M39" s="152"/>
      <c r="N39" s="152">
        <v>1</v>
      </c>
      <c r="O39" s="152">
        <v>0.95</v>
      </c>
      <c r="P39" s="152">
        <v>0.8</v>
      </c>
      <c r="Q39" s="153">
        <f t="shared" si="0"/>
        <v>0.875</v>
      </c>
      <c r="R39" s="152">
        <v>14.8</v>
      </c>
      <c r="S39" s="152">
        <v>110</v>
      </c>
      <c r="T39" s="154">
        <f t="shared" si="1"/>
        <v>33</v>
      </c>
      <c r="U39" s="152">
        <v>98</v>
      </c>
      <c r="V39" s="155">
        <f t="shared" si="2"/>
        <v>3234</v>
      </c>
      <c r="W39" s="152">
        <v>14</v>
      </c>
      <c r="X39" s="150" t="s">
        <v>46</v>
      </c>
      <c r="Y39" s="152" t="s">
        <v>97</v>
      </c>
      <c r="Z39" s="152" t="s">
        <v>69</v>
      </c>
      <c r="AA39" s="152" t="s">
        <v>47</v>
      </c>
      <c r="AB39" s="150" t="s">
        <v>258</v>
      </c>
      <c r="AC39" s="156"/>
    </row>
    <row r="40" spans="1:29" x14ac:dyDescent="0.15">
      <c r="A40" s="150" t="s">
        <v>61</v>
      </c>
      <c r="B40" s="150" t="s">
        <v>232</v>
      </c>
      <c r="C40" s="150">
        <v>2019</v>
      </c>
      <c r="D40" s="151" t="s">
        <v>283</v>
      </c>
      <c r="E40" s="150" t="s">
        <v>133</v>
      </c>
      <c r="F40" s="150" t="s">
        <v>298</v>
      </c>
      <c r="G40" s="150" t="s">
        <v>42</v>
      </c>
      <c r="H40" s="152" t="s">
        <v>165</v>
      </c>
      <c r="I40" s="152" t="s">
        <v>159</v>
      </c>
      <c r="J40" s="150" t="s">
        <v>38</v>
      </c>
      <c r="K40" s="152" t="s">
        <v>161</v>
      </c>
      <c r="L40" s="152">
        <v>3</v>
      </c>
      <c r="M40" s="152"/>
      <c r="N40" s="152">
        <v>1</v>
      </c>
      <c r="O40" s="152">
        <v>0.95</v>
      </c>
      <c r="P40" s="152">
        <v>0.75</v>
      </c>
      <c r="Q40" s="153">
        <f t="shared" si="0"/>
        <v>0.85</v>
      </c>
      <c r="R40" s="152">
        <v>15.1</v>
      </c>
      <c r="S40" s="152">
        <v>112</v>
      </c>
      <c r="T40" s="154">
        <f t="shared" si="1"/>
        <v>33</v>
      </c>
      <c r="U40" s="152">
        <v>98</v>
      </c>
      <c r="V40" s="155">
        <f t="shared" si="2"/>
        <v>3234</v>
      </c>
      <c r="W40" s="152">
        <v>14</v>
      </c>
      <c r="X40" s="150" t="s">
        <v>46</v>
      </c>
      <c r="Y40" s="152" t="s">
        <v>97</v>
      </c>
      <c r="Z40" s="152" t="s">
        <v>69</v>
      </c>
      <c r="AA40" s="152" t="s">
        <v>47</v>
      </c>
      <c r="AB40" s="150" t="s">
        <v>258</v>
      </c>
      <c r="AC40" s="156"/>
    </row>
    <row r="41" spans="1:29" x14ac:dyDescent="0.15">
      <c r="A41" s="150" t="s">
        <v>61</v>
      </c>
      <c r="B41" s="150" t="s">
        <v>232</v>
      </c>
      <c r="C41" s="150">
        <v>2019</v>
      </c>
      <c r="D41" s="151" t="s">
        <v>283</v>
      </c>
      <c r="E41" s="150" t="s">
        <v>133</v>
      </c>
      <c r="F41" s="150" t="s">
        <v>298</v>
      </c>
      <c r="G41" s="150" t="s">
        <v>42</v>
      </c>
      <c r="H41" s="152" t="s">
        <v>160</v>
      </c>
      <c r="I41" s="152" t="s">
        <v>159</v>
      </c>
      <c r="J41" s="150" t="s">
        <v>38</v>
      </c>
      <c r="K41" s="152" t="s">
        <v>161</v>
      </c>
      <c r="L41" s="152">
        <v>1</v>
      </c>
      <c r="M41" s="152"/>
      <c r="N41" s="152">
        <v>1</v>
      </c>
      <c r="O41" s="152">
        <v>0.5</v>
      </c>
      <c r="P41" s="152">
        <v>0.6</v>
      </c>
      <c r="Q41" s="153">
        <f t="shared" si="0"/>
        <v>0.55000000000000004</v>
      </c>
      <c r="R41" s="152">
        <v>17.2</v>
      </c>
      <c r="S41" s="152">
        <v>158</v>
      </c>
      <c r="T41" s="154">
        <f t="shared" si="1"/>
        <v>18</v>
      </c>
      <c r="U41" s="152">
        <v>138</v>
      </c>
      <c r="V41" s="155">
        <f t="shared" si="2"/>
        <v>2484</v>
      </c>
      <c r="W41" s="152">
        <v>14</v>
      </c>
      <c r="X41" s="150" t="s">
        <v>46</v>
      </c>
      <c r="Y41" s="152" t="s">
        <v>97</v>
      </c>
      <c r="Z41" s="152" t="s">
        <v>69</v>
      </c>
      <c r="AA41" s="152" t="s">
        <v>47</v>
      </c>
      <c r="AB41" s="150" t="s">
        <v>258</v>
      </c>
      <c r="AC41" s="156"/>
    </row>
    <row r="42" spans="1:29" x14ac:dyDescent="0.15">
      <c r="A42" s="150" t="s">
        <v>61</v>
      </c>
      <c r="B42" s="150" t="s">
        <v>232</v>
      </c>
      <c r="C42" s="150">
        <v>2019</v>
      </c>
      <c r="D42" s="151" t="s">
        <v>283</v>
      </c>
      <c r="E42" s="150" t="s">
        <v>133</v>
      </c>
      <c r="F42" s="150" t="s">
        <v>298</v>
      </c>
      <c r="G42" s="150" t="s">
        <v>42</v>
      </c>
      <c r="H42" s="152" t="s">
        <v>160</v>
      </c>
      <c r="I42" s="152" t="s">
        <v>159</v>
      </c>
      <c r="J42" s="150" t="s">
        <v>38</v>
      </c>
      <c r="K42" s="152" t="s">
        <v>161</v>
      </c>
      <c r="L42" s="152">
        <v>2</v>
      </c>
      <c r="M42" s="152"/>
      <c r="N42" s="152">
        <v>1</v>
      </c>
      <c r="O42" s="152">
        <v>0.65</v>
      </c>
      <c r="P42" s="152">
        <v>0.55000000000000004</v>
      </c>
      <c r="Q42" s="153">
        <f t="shared" si="0"/>
        <v>0.60000000000000009</v>
      </c>
      <c r="R42" s="152">
        <v>17.399999999999999</v>
      </c>
      <c r="S42" s="152">
        <v>149</v>
      </c>
      <c r="T42" s="154">
        <f t="shared" si="1"/>
        <v>22</v>
      </c>
      <c r="U42" s="152">
        <v>138</v>
      </c>
      <c r="V42" s="155">
        <f t="shared" si="2"/>
        <v>3036</v>
      </c>
      <c r="W42" s="152">
        <v>14</v>
      </c>
      <c r="X42" s="150" t="s">
        <v>46</v>
      </c>
      <c r="Y42" s="152" t="s">
        <v>97</v>
      </c>
      <c r="Z42" s="152" t="s">
        <v>69</v>
      </c>
      <c r="AA42" s="152" t="s">
        <v>47</v>
      </c>
      <c r="AB42" s="150" t="s">
        <v>258</v>
      </c>
      <c r="AC42" s="156"/>
    </row>
    <row r="43" spans="1:29" x14ac:dyDescent="0.15">
      <c r="A43" s="150" t="s">
        <v>61</v>
      </c>
      <c r="B43" s="150" t="s">
        <v>232</v>
      </c>
      <c r="C43" s="150">
        <v>2019</v>
      </c>
      <c r="D43" s="151" t="s">
        <v>283</v>
      </c>
      <c r="E43" s="150" t="s">
        <v>133</v>
      </c>
      <c r="F43" s="150" t="s">
        <v>298</v>
      </c>
      <c r="G43" s="150" t="s">
        <v>42</v>
      </c>
      <c r="H43" s="152" t="s">
        <v>160</v>
      </c>
      <c r="I43" s="152" t="s">
        <v>159</v>
      </c>
      <c r="J43" s="150" t="s">
        <v>38</v>
      </c>
      <c r="K43" s="152" t="s">
        <v>161</v>
      </c>
      <c r="L43" s="152">
        <v>3</v>
      </c>
      <c r="M43" s="152"/>
      <c r="N43" s="152">
        <v>1</v>
      </c>
      <c r="O43" s="152">
        <v>0.75</v>
      </c>
      <c r="P43" s="152">
        <v>0.75</v>
      </c>
      <c r="Q43" s="153">
        <f t="shared" si="0"/>
        <v>0.75</v>
      </c>
      <c r="R43" s="152">
        <v>17.100000000000001</v>
      </c>
      <c r="S43" s="152">
        <v>156</v>
      </c>
      <c r="T43" s="154">
        <f t="shared" si="1"/>
        <v>18</v>
      </c>
      <c r="U43" s="152">
        <v>138</v>
      </c>
      <c r="V43" s="155">
        <f t="shared" si="2"/>
        <v>2484</v>
      </c>
      <c r="W43" s="152">
        <v>14</v>
      </c>
      <c r="X43" s="150" t="s">
        <v>46</v>
      </c>
      <c r="Y43" s="152" t="s">
        <v>97</v>
      </c>
      <c r="Z43" s="152" t="s">
        <v>69</v>
      </c>
      <c r="AA43" s="152" t="s">
        <v>47</v>
      </c>
      <c r="AB43" s="150" t="s">
        <v>258</v>
      </c>
      <c r="AC43" s="156"/>
    </row>
    <row r="44" spans="1:29" x14ac:dyDescent="0.15">
      <c r="A44" s="150" t="s">
        <v>61</v>
      </c>
      <c r="B44" s="150" t="s">
        <v>232</v>
      </c>
      <c r="C44" s="150">
        <v>2019</v>
      </c>
      <c r="D44" s="151" t="s">
        <v>283</v>
      </c>
      <c r="E44" s="150" t="s">
        <v>299</v>
      </c>
      <c r="F44" s="150" t="s">
        <v>300</v>
      </c>
      <c r="G44" s="150" t="s">
        <v>42</v>
      </c>
      <c r="H44" s="152" t="s">
        <v>165</v>
      </c>
      <c r="I44" s="152" t="s">
        <v>159</v>
      </c>
      <c r="J44" s="150" t="s">
        <v>38</v>
      </c>
      <c r="K44" s="152" t="s">
        <v>161</v>
      </c>
      <c r="L44" s="152">
        <v>1</v>
      </c>
      <c r="M44" s="152"/>
      <c r="N44" s="152">
        <v>1</v>
      </c>
      <c r="O44" s="152">
        <v>0.75</v>
      </c>
      <c r="P44" s="152">
        <v>0.75</v>
      </c>
      <c r="Q44" s="153">
        <f t="shared" si="0"/>
        <v>0.75</v>
      </c>
      <c r="R44" s="152">
        <v>15.1</v>
      </c>
      <c r="S44" s="152">
        <v>124</v>
      </c>
      <c r="T44" s="154">
        <f t="shared" si="1"/>
        <v>27</v>
      </c>
      <c r="U44" s="152">
        <v>138</v>
      </c>
      <c r="V44" s="155">
        <f t="shared" si="2"/>
        <v>3726</v>
      </c>
      <c r="W44" s="152">
        <v>16</v>
      </c>
      <c r="X44" s="150" t="s">
        <v>46</v>
      </c>
      <c r="Y44" s="152" t="s">
        <v>97</v>
      </c>
      <c r="Z44" s="152" t="s">
        <v>69</v>
      </c>
      <c r="AA44" s="152" t="s">
        <v>55</v>
      </c>
      <c r="AB44" s="150" t="s">
        <v>258</v>
      </c>
      <c r="AC44" s="152"/>
    </row>
    <row r="45" spans="1:29" x14ac:dyDescent="0.15">
      <c r="A45" s="150" t="s">
        <v>61</v>
      </c>
      <c r="B45" s="150" t="s">
        <v>232</v>
      </c>
      <c r="C45" s="150">
        <v>2019</v>
      </c>
      <c r="D45" s="151" t="s">
        <v>283</v>
      </c>
      <c r="E45" s="150" t="s">
        <v>299</v>
      </c>
      <c r="F45" s="150" t="s">
        <v>300</v>
      </c>
      <c r="G45" s="150" t="s">
        <v>42</v>
      </c>
      <c r="H45" s="152" t="s">
        <v>165</v>
      </c>
      <c r="I45" s="152" t="s">
        <v>159</v>
      </c>
      <c r="J45" s="150" t="s">
        <v>38</v>
      </c>
      <c r="K45" s="152" t="s">
        <v>161</v>
      </c>
      <c r="L45" s="152">
        <v>2</v>
      </c>
      <c r="M45" s="152"/>
      <c r="N45" s="152">
        <v>1</v>
      </c>
      <c r="O45" s="152">
        <v>0.75</v>
      </c>
      <c r="P45" s="152">
        <v>0.7</v>
      </c>
      <c r="Q45" s="153">
        <f t="shared" si="0"/>
        <v>0.72499999999999998</v>
      </c>
      <c r="R45" s="152">
        <v>15.1</v>
      </c>
      <c r="S45" s="152">
        <v>116</v>
      </c>
      <c r="T45" s="154">
        <f t="shared" si="1"/>
        <v>30</v>
      </c>
      <c r="U45" s="152">
        <v>138</v>
      </c>
      <c r="V45" s="155">
        <f t="shared" si="2"/>
        <v>4140</v>
      </c>
      <c r="W45" s="152">
        <v>16</v>
      </c>
      <c r="X45" s="150" t="s">
        <v>46</v>
      </c>
      <c r="Y45" s="152" t="s">
        <v>97</v>
      </c>
      <c r="Z45" s="152" t="s">
        <v>69</v>
      </c>
      <c r="AA45" s="152" t="s">
        <v>55</v>
      </c>
      <c r="AB45" s="150" t="s">
        <v>258</v>
      </c>
      <c r="AC45" s="152"/>
    </row>
    <row r="46" spans="1:29" x14ac:dyDescent="0.15">
      <c r="A46" s="150" t="s">
        <v>61</v>
      </c>
      <c r="B46" s="150" t="s">
        <v>232</v>
      </c>
      <c r="C46" s="150">
        <v>2019</v>
      </c>
      <c r="D46" s="151" t="s">
        <v>283</v>
      </c>
      <c r="E46" s="150" t="s">
        <v>299</v>
      </c>
      <c r="F46" s="150" t="s">
        <v>300</v>
      </c>
      <c r="G46" s="150" t="s">
        <v>42</v>
      </c>
      <c r="H46" s="152" t="s">
        <v>165</v>
      </c>
      <c r="I46" s="152" t="s">
        <v>159</v>
      </c>
      <c r="J46" s="150" t="s">
        <v>38</v>
      </c>
      <c r="K46" s="152" t="s">
        <v>161</v>
      </c>
      <c r="L46" s="152">
        <v>3</v>
      </c>
      <c r="M46" s="152"/>
      <c r="N46" s="152">
        <v>1</v>
      </c>
      <c r="O46" s="152">
        <v>0.65</v>
      </c>
      <c r="P46" s="152">
        <v>0.75</v>
      </c>
      <c r="Q46" s="153">
        <f t="shared" si="0"/>
        <v>0.7</v>
      </c>
      <c r="R46" s="152">
        <v>14.9</v>
      </c>
      <c r="S46" s="152">
        <v>120</v>
      </c>
      <c r="T46" s="154">
        <f t="shared" si="1"/>
        <v>30</v>
      </c>
      <c r="U46" s="152">
        <v>138</v>
      </c>
      <c r="V46" s="155">
        <f t="shared" si="2"/>
        <v>4140</v>
      </c>
      <c r="W46" s="152">
        <v>16</v>
      </c>
      <c r="X46" s="150" t="s">
        <v>46</v>
      </c>
      <c r="Y46" s="152" t="s">
        <v>97</v>
      </c>
      <c r="Z46" s="152" t="s">
        <v>69</v>
      </c>
      <c r="AA46" s="152" t="s">
        <v>55</v>
      </c>
      <c r="AB46" s="150" t="s">
        <v>258</v>
      </c>
      <c r="AC46" s="152"/>
    </row>
    <row r="47" spans="1:29" x14ac:dyDescent="0.15">
      <c r="A47" s="150" t="s">
        <v>61</v>
      </c>
      <c r="B47" s="150" t="s">
        <v>232</v>
      </c>
      <c r="C47" s="150">
        <v>2019</v>
      </c>
      <c r="D47" s="151" t="s">
        <v>283</v>
      </c>
      <c r="E47" s="150" t="s">
        <v>299</v>
      </c>
      <c r="F47" s="150" t="s">
        <v>300</v>
      </c>
      <c r="G47" s="150" t="s">
        <v>42</v>
      </c>
      <c r="H47" s="152" t="s">
        <v>160</v>
      </c>
      <c r="I47" s="152" t="s">
        <v>159</v>
      </c>
      <c r="J47" s="150" t="s">
        <v>38</v>
      </c>
      <c r="K47" s="152" t="s">
        <v>161</v>
      </c>
      <c r="L47" s="152">
        <v>1</v>
      </c>
      <c r="M47" s="152"/>
      <c r="N47" s="152">
        <v>1</v>
      </c>
      <c r="O47" s="152">
        <v>0.5</v>
      </c>
      <c r="P47" s="152">
        <v>0.5</v>
      </c>
      <c r="Q47" s="153">
        <f t="shared" si="0"/>
        <v>0.5</v>
      </c>
      <c r="R47" s="152">
        <v>17.2</v>
      </c>
      <c r="S47" s="152">
        <v>112</v>
      </c>
      <c r="T47" s="154">
        <f t="shared" si="1"/>
        <v>33</v>
      </c>
      <c r="U47" s="152">
        <v>138</v>
      </c>
      <c r="V47" s="155">
        <f t="shared" si="2"/>
        <v>4554</v>
      </c>
      <c r="W47" s="152">
        <v>16</v>
      </c>
      <c r="X47" s="150" t="s">
        <v>46</v>
      </c>
      <c r="Y47" s="152" t="s">
        <v>97</v>
      </c>
      <c r="Z47" s="152" t="s">
        <v>69</v>
      </c>
      <c r="AA47" s="152" t="s">
        <v>55</v>
      </c>
      <c r="AB47" s="150" t="s">
        <v>258</v>
      </c>
      <c r="AC47" s="156"/>
    </row>
    <row r="48" spans="1:29" x14ac:dyDescent="0.15">
      <c r="A48" s="150" t="s">
        <v>61</v>
      </c>
      <c r="B48" s="150" t="s">
        <v>232</v>
      </c>
      <c r="C48" s="150">
        <v>2019</v>
      </c>
      <c r="D48" s="151" t="s">
        <v>283</v>
      </c>
      <c r="E48" s="150" t="s">
        <v>299</v>
      </c>
      <c r="F48" s="150" t="s">
        <v>300</v>
      </c>
      <c r="G48" s="150" t="s">
        <v>42</v>
      </c>
      <c r="H48" s="152" t="s">
        <v>160</v>
      </c>
      <c r="I48" s="152" t="s">
        <v>159</v>
      </c>
      <c r="J48" s="150" t="s">
        <v>38</v>
      </c>
      <c r="K48" s="152" t="s">
        <v>161</v>
      </c>
      <c r="L48" s="152">
        <v>2</v>
      </c>
      <c r="M48" s="152"/>
      <c r="N48" s="152">
        <v>1</v>
      </c>
      <c r="O48" s="152">
        <v>0.5</v>
      </c>
      <c r="P48" s="152">
        <v>0.5</v>
      </c>
      <c r="Q48" s="153">
        <f t="shared" si="0"/>
        <v>0.5</v>
      </c>
      <c r="R48" s="152">
        <v>17.600000000000001</v>
      </c>
      <c r="S48" s="152">
        <v>118</v>
      </c>
      <c r="T48" s="154">
        <f t="shared" si="1"/>
        <v>30</v>
      </c>
      <c r="U48" s="152">
        <v>138</v>
      </c>
      <c r="V48" s="155">
        <f t="shared" si="2"/>
        <v>4140</v>
      </c>
      <c r="W48" s="152">
        <v>16</v>
      </c>
      <c r="X48" s="150" t="s">
        <v>46</v>
      </c>
      <c r="Y48" s="152" t="s">
        <v>97</v>
      </c>
      <c r="Z48" s="152" t="s">
        <v>69</v>
      </c>
      <c r="AA48" s="152" t="s">
        <v>55</v>
      </c>
      <c r="AB48" s="150" t="s">
        <v>258</v>
      </c>
      <c r="AC48" s="156"/>
    </row>
    <row r="49" spans="1:29" x14ac:dyDescent="0.15">
      <c r="A49" s="150" t="s">
        <v>61</v>
      </c>
      <c r="B49" s="150" t="s">
        <v>232</v>
      </c>
      <c r="C49" s="150">
        <v>2019</v>
      </c>
      <c r="D49" s="151" t="s">
        <v>283</v>
      </c>
      <c r="E49" s="150" t="s">
        <v>299</v>
      </c>
      <c r="F49" s="150" t="s">
        <v>300</v>
      </c>
      <c r="G49" s="150" t="s">
        <v>42</v>
      </c>
      <c r="H49" s="152" t="s">
        <v>160</v>
      </c>
      <c r="I49" s="152" t="s">
        <v>159</v>
      </c>
      <c r="J49" s="150" t="s">
        <v>38</v>
      </c>
      <c r="K49" s="152" t="s">
        <v>161</v>
      </c>
      <c r="L49" s="152">
        <v>3</v>
      </c>
      <c r="M49" s="152"/>
      <c r="N49" s="152">
        <v>1</v>
      </c>
      <c r="O49" s="152">
        <v>0.5</v>
      </c>
      <c r="P49" s="152">
        <v>0.5</v>
      </c>
      <c r="Q49" s="153">
        <f t="shared" si="0"/>
        <v>0.5</v>
      </c>
      <c r="R49" s="152">
        <v>17.100000000000001</v>
      </c>
      <c r="S49" s="152">
        <v>113</v>
      </c>
      <c r="T49" s="154">
        <f t="shared" si="1"/>
        <v>30</v>
      </c>
      <c r="U49" s="152">
        <v>138</v>
      </c>
      <c r="V49" s="155">
        <f t="shared" si="2"/>
        <v>4140</v>
      </c>
      <c r="W49" s="152">
        <v>16</v>
      </c>
      <c r="X49" s="150" t="s">
        <v>46</v>
      </c>
      <c r="Y49" s="152" t="s">
        <v>97</v>
      </c>
      <c r="Z49" s="152" t="s">
        <v>69</v>
      </c>
      <c r="AA49" s="152" t="s">
        <v>55</v>
      </c>
      <c r="AB49" s="150" t="s">
        <v>258</v>
      </c>
      <c r="AC49" s="156"/>
    </row>
    <row r="50" spans="1:29" x14ac:dyDescent="0.15">
      <c r="A50" s="150" t="s">
        <v>61</v>
      </c>
      <c r="B50" s="150" t="s">
        <v>232</v>
      </c>
      <c r="C50" s="150">
        <v>2019</v>
      </c>
      <c r="D50" s="151" t="s">
        <v>283</v>
      </c>
      <c r="E50" s="150" t="s">
        <v>299</v>
      </c>
      <c r="F50" s="150" t="s">
        <v>300</v>
      </c>
      <c r="G50" s="150" t="s">
        <v>42</v>
      </c>
      <c r="H50" s="152" t="s">
        <v>127</v>
      </c>
      <c r="I50" s="152" t="s">
        <v>159</v>
      </c>
      <c r="J50" s="150" t="s">
        <v>58</v>
      </c>
      <c r="K50" s="152" t="s">
        <v>59</v>
      </c>
      <c r="L50" s="152">
        <v>1</v>
      </c>
      <c r="M50" s="152"/>
      <c r="N50" s="152">
        <v>1</v>
      </c>
      <c r="O50" s="152">
        <v>0.8</v>
      </c>
      <c r="P50" s="152">
        <v>0.8</v>
      </c>
      <c r="Q50" s="153">
        <f t="shared" si="0"/>
        <v>0.8</v>
      </c>
      <c r="R50" s="152">
        <v>14.8</v>
      </c>
      <c r="S50" s="152">
        <v>102</v>
      </c>
      <c r="T50" s="154">
        <f t="shared" si="1"/>
        <v>33</v>
      </c>
      <c r="U50" s="152">
        <v>138</v>
      </c>
      <c r="V50" s="155">
        <f t="shared" si="2"/>
        <v>4554</v>
      </c>
      <c r="W50" s="152">
        <v>16</v>
      </c>
      <c r="X50" s="150" t="s">
        <v>46</v>
      </c>
      <c r="Y50" s="152" t="s">
        <v>97</v>
      </c>
      <c r="Z50" s="152" t="s">
        <v>69</v>
      </c>
      <c r="AA50" s="152" t="s">
        <v>55</v>
      </c>
      <c r="AB50" s="150" t="s">
        <v>258</v>
      </c>
      <c r="AC50" s="156"/>
    </row>
    <row r="51" spans="1:29" x14ac:dyDescent="0.15">
      <c r="A51" s="150" t="s">
        <v>61</v>
      </c>
      <c r="B51" s="150" t="s">
        <v>232</v>
      </c>
      <c r="C51" s="150">
        <v>2019</v>
      </c>
      <c r="D51" s="151" t="s">
        <v>283</v>
      </c>
      <c r="E51" s="150" t="s">
        <v>299</v>
      </c>
      <c r="F51" s="150" t="s">
        <v>300</v>
      </c>
      <c r="G51" s="150" t="s">
        <v>42</v>
      </c>
      <c r="H51" s="152" t="s">
        <v>127</v>
      </c>
      <c r="I51" s="152" t="s">
        <v>159</v>
      </c>
      <c r="J51" s="150" t="s">
        <v>58</v>
      </c>
      <c r="K51" s="152" t="s">
        <v>59</v>
      </c>
      <c r="L51" s="152">
        <v>2</v>
      </c>
      <c r="M51" s="152"/>
      <c r="N51" s="152">
        <v>1</v>
      </c>
      <c r="O51" s="152">
        <v>0.85</v>
      </c>
      <c r="P51" s="152">
        <v>0.85</v>
      </c>
      <c r="Q51" s="153">
        <f t="shared" si="0"/>
        <v>0.85</v>
      </c>
      <c r="R51" s="152">
        <v>17.2</v>
      </c>
      <c r="S51" s="152">
        <v>110</v>
      </c>
      <c r="T51" s="154">
        <f t="shared" si="1"/>
        <v>33</v>
      </c>
      <c r="U51" s="152">
        <v>138</v>
      </c>
      <c r="V51" s="155">
        <f t="shared" si="2"/>
        <v>4554</v>
      </c>
      <c r="W51" s="152">
        <v>16</v>
      </c>
      <c r="X51" s="150" t="s">
        <v>46</v>
      </c>
      <c r="Y51" s="152" t="s">
        <v>97</v>
      </c>
      <c r="Z51" s="152" t="s">
        <v>69</v>
      </c>
      <c r="AA51" s="152" t="s">
        <v>55</v>
      </c>
      <c r="AB51" s="150" t="s">
        <v>258</v>
      </c>
      <c r="AC51" s="156"/>
    </row>
    <row r="52" spans="1:29" x14ac:dyDescent="0.15">
      <c r="A52" s="150" t="s">
        <v>61</v>
      </c>
      <c r="B52" s="150" t="s">
        <v>232</v>
      </c>
      <c r="C52" s="150">
        <v>2019</v>
      </c>
      <c r="D52" s="151" t="s">
        <v>283</v>
      </c>
      <c r="E52" s="150" t="s">
        <v>299</v>
      </c>
      <c r="F52" s="150" t="s">
        <v>300</v>
      </c>
      <c r="G52" s="150" t="s">
        <v>42</v>
      </c>
      <c r="H52" s="152" t="s">
        <v>127</v>
      </c>
      <c r="I52" s="152" t="s">
        <v>159</v>
      </c>
      <c r="J52" s="150" t="s">
        <v>58</v>
      </c>
      <c r="K52" s="152" t="s">
        <v>59</v>
      </c>
      <c r="L52" s="152">
        <v>3</v>
      </c>
      <c r="M52" s="152"/>
      <c r="N52" s="152">
        <v>1</v>
      </c>
      <c r="O52" s="152">
        <v>0.8</v>
      </c>
      <c r="P52" s="152">
        <v>0.75</v>
      </c>
      <c r="Q52" s="153">
        <f t="shared" si="0"/>
        <v>0.77500000000000002</v>
      </c>
      <c r="R52" s="152">
        <v>15.6</v>
      </c>
      <c r="S52" s="152">
        <v>108</v>
      </c>
      <c r="T52" s="154">
        <f t="shared" si="1"/>
        <v>33</v>
      </c>
      <c r="U52" s="152">
        <v>138</v>
      </c>
      <c r="V52" s="155">
        <f t="shared" si="2"/>
        <v>4554</v>
      </c>
      <c r="W52" s="152">
        <v>16</v>
      </c>
      <c r="X52" s="150" t="s">
        <v>46</v>
      </c>
      <c r="Y52" s="152" t="s">
        <v>97</v>
      </c>
      <c r="Z52" s="152" t="s">
        <v>69</v>
      </c>
      <c r="AA52" s="152" t="s">
        <v>55</v>
      </c>
      <c r="AB52" s="150" t="s">
        <v>258</v>
      </c>
      <c r="AC52" s="156"/>
    </row>
    <row r="53" spans="1:29" x14ac:dyDescent="0.15">
      <c r="A53" s="150" t="s">
        <v>61</v>
      </c>
      <c r="B53" s="150" t="s">
        <v>232</v>
      </c>
      <c r="C53" s="150">
        <v>2019</v>
      </c>
      <c r="D53" s="151" t="s">
        <v>283</v>
      </c>
      <c r="E53" s="150" t="s">
        <v>301</v>
      </c>
      <c r="F53" s="150" t="s">
        <v>300</v>
      </c>
      <c r="G53" s="150" t="s">
        <v>42</v>
      </c>
      <c r="H53" s="152" t="s">
        <v>165</v>
      </c>
      <c r="I53" s="152" t="s">
        <v>159</v>
      </c>
      <c r="J53" s="150" t="s">
        <v>38</v>
      </c>
      <c r="K53" s="152" t="s">
        <v>161</v>
      </c>
      <c r="L53" s="152">
        <v>1</v>
      </c>
      <c r="M53" s="152"/>
      <c r="N53" s="152">
        <v>4</v>
      </c>
      <c r="O53" s="152">
        <v>0.65</v>
      </c>
      <c r="P53" s="152">
        <v>0.65</v>
      </c>
      <c r="Q53" s="153">
        <f t="shared" si="0"/>
        <v>0.65</v>
      </c>
      <c r="R53" s="152">
        <v>15.4</v>
      </c>
      <c r="S53" s="152">
        <v>98</v>
      </c>
      <c r="T53" s="154">
        <f t="shared" si="1"/>
        <v>36</v>
      </c>
      <c r="U53" s="152">
        <v>321</v>
      </c>
      <c r="V53" s="155">
        <f t="shared" si="2"/>
        <v>2889</v>
      </c>
      <c r="W53" s="152">
        <v>22</v>
      </c>
      <c r="X53" s="150" t="s">
        <v>46</v>
      </c>
      <c r="Y53" s="152" t="s">
        <v>55</v>
      </c>
      <c r="Z53" s="152" t="s">
        <v>97</v>
      </c>
      <c r="AA53" s="152" t="s">
        <v>69</v>
      </c>
      <c r="AB53" s="150" t="s">
        <v>258</v>
      </c>
      <c r="AC53" s="156"/>
    </row>
    <row r="54" spans="1:29" x14ac:dyDescent="0.15">
      <c r="A54" s="150" t="s">
        <v>61</v>
      </c>
      <c r="B54" s="150" t="s">
        <v>232</v>
      </c>
      <c r="C54" s="150">
        <v>2019</v>
      </c>
      <c r="D54" s="151" t="s">
        <v>283</v>
      </c>
      <c r="E54" s="150" t="s">
        <v>301</v>
      </c>
      <c r="F54" s="150" t="s">
        <v>300</v>
      </c>
      <c r="G54" s="150" t="s">
        <v>42</v>
      </c>
      <c r="H54" s="152" t="s">
        <v>165</v>
      </c>
      <c r="I54" s="152" t="s">
        <v>159</v>
      </c>
      <c r="J54" s="150" t="s">
        <v>38</v>
      </c>
      <c r="K54" s="152" t="s">
        <v>161</v>
      </c>
      <c r="L54" s="152">
        <v>2</v>
      </c>
      <c r="M54" s="152"/>
      <c r="N54" s="152">
        <v>4</v>
      </c>
      <c r="O54" s="152">
        <v>0.65</v>
      </c>
      <c r="P54" s="152">
        <v>0.6</v>
      </c>
      <c r="Q54" s="153">
        <f t="shared" si="0"/>
        <v>0.625</v>
      </c>
      <c r="R54" s="152">
        <v>15.9</v>
      </c>
      <c r="S54" s="152">
        <v>110</v>
      </c>
      <c r="T54" s="154">
        <f t="shared" si="1"/>
        <v>33</v>
      </c>
      <c r="U54" s="152">
        <v>321</v>
      </c>
      <c r="V54" s="155">
        <f t="shared" si="2"/>
        <v>2648.25</v>
      </c>
      <c r="W54" s="152">
        <v>22</v>
      </c>
      <c r="X54" s="150" t="s">
        <v>46</v>
      </c>
      <c r="Y54" s="152" t="s">
        <v>55</v>
      </c>
      <c r="Z54" s="152" t="s">
        <v>97</v>
      </c>
      <c r="AA54" s="152" t="s">
        <v>69</v>
      </c>
      <c r="AB54" s="150" t="s">
        <v>258</v>
      </c>
      <c r="AC54" s="156"/>
    </row>
    <row r="55" spans="1:29" x14ac:dyDescent="0.15">
      <c r="A55" s="150" t="s">
        <v>61</v>
      </c>
      <c r="B55" s="150" t="s">
        <v>232</v>
      </c>
      <c r="C55" s="150">
        <v>2019</v>
      </c>
      <c r="D55" s="151" t="s">
        <v>283</v>
      </c>
      <c r="E55" s="150" t="s">
        <v>301</v>
      </c>
      <c r="F55" s="150" t="s">
        <v>300</v>
      </c>
      <c r="G55" s="150" t="s">
        <v>42</v>
      </c>
      <c r="H55" s="152" t="s">
        <v>165</v>
      </c>
      <c r="I55" s="152" t="s">
        <v>159</v>
      </c>
      <c r="J55" s="150" t="s">
        <v>38</v>
      </c>
      <c r="K55" s="152" t="s">
        <v>161</v>
      </c>
      <c r="L55" s="152">
        <v>3</v>
      </c>
      <c r="M55" s="152"/>
      <c r="N55" s="152">
        <v>4</v>
      </c>
      <c r="O55" s="152">
        <v>0.6</v>
      </c>
      <c r="P55" s="152">
        <v>0.65</v>
      </c>
      <c r="Q55" s="153">
        <f t="shared" si="0"/>
        <v>0.625</v>
      </c>
      <c r="R55" s="152">
        <v>17.2</v>
      </c>
      <c r="S55" s="152">
        <v>107</v>
      </c>
      <c r="T55" s="154">
        <f t="shared" si="1"/>
        <v>33</v>
      </c>
      <c r="U55" s="152">
        <v>321</v>
      </c>
      <c r="V55" s="155">
        <f t="shared" si="2"/>
        <v>2648.25</v>
      </c>
      <c r="W55" s="152">
        <v>22</v>
      </c>
      <c r="X55" s="150" t="s">
        <v>46</v>
      </c>
      <c r="Y55" s="152" t="s">
        <v>55</v>
      </c>
      <c r="Z55" s="152" t="s">
        <v>97</v>
      </c>
      <c r="AA55" s="152" t="s">
        <v>69</v>
      </c>
      <c r="AB55" s="150" t="s">
        <v>258</v>
      </c>
      <c r="AC55" s="156"/>
    </row>
    <row r="56" spans="1:29" x14ac:dyDescent="0.15">
      <c r="A56" s="150" t="s">
        <v>61</v>
      </c>
      <c r="B56" s="150" t="s">
        <v>232</v>
      </c>
      <c r="C56" s="150">
        <v>2019</v>
      </c>
      <c r="D56" s="151" t="s">
        <v>283</v>
      </c>
      <c r="E56" s="150" t="s">
        <v>301</v>
      </c>
      <c r="F56" s="150" t="s">
        <v>300</v>
      </c>
      <c r="G56" s="150" t="s">
        <v>42</v>
      </c>
      <c r="H56" s="152" t="s">
        <v>160</v>
      </c>
      <c r="I56" s="152" t="s">
        <v>159</v>
      </c>
      <c r="J56" s="150" t="s">
        <v>38</v>
      </c>
      <c r="K56" s="152" t="s">
        <v>161</v>
      </c>
      <c r="L56" s="152">
        <v>1</v>
      </c>
      <c r="M56" s="152"/>
      <c r="N56" s="152">
        <v>4</v>
      </c>
      <c r="O56" s="152">
        <v>0.5</v>
      </c>
      <c r="P56" s="152">
        <v>0.5</v>
      </c>
      <c r="Q56" s="153">
        <f t="shared" si="0"/>
        <v>0.5</v>
      </c>
      <c r="R56" s="152">
        <v>16.399999999999999</v>
      </c>
      <c r="S56" s="152">
        <v>136</v>
      </c>
      <c r="T56" s="154">
        <f t="shared" si="1"/>
        <v>25</v>
      </c>
      <c r="U56" s="152">
        <v>429</v>
      </c>
      <c r="V56" s="155">
        <f t="shared" si="2"/>
        <v>2681.25</v>
      </c>
      <c r="W56" s="152">
        <v>22</v>
      </c>
      <c r="X56" s="150" t="s">
        <v>46</v>
      </c>
      <c r="Y56" s="152" t="s">
        <v>55</v>
      </c>
      <c r="Z56" s="152" t="s">
        <v>97</v>
      </c>
      <c r="AA56" s="152" t="s">
        <v>69</v>
      </c>
      <c r="AB56" s="150" t="s">
        <v>258</v>
      </c>
      <c r="AC56" s="156"/>
    </row>
    <row r="57" spans="1:29" x14ac:dyDescent="0.15">
      <c r="A57" s="150" t="s">
        <v>61</v>
      </c>
      <c r="B57" s="150" t="s">
        <v>232</v>
      </c>
      <c r="C57" s="150">
        <v>2019</v>
      </c>
      <c r="D57" s="151" t="s">
        <v>283</v>
      </c>
      <c r="E57" s="150" t="s">
        <v>301</v>
      </c>
      <c r="F57" s="150" t="s">
        <v>300</v>
      </c>
      <c r="G57" s="150" t="s">
        <v>42</v>
      </c>
      <c r="H57" s="152" t="s">
        <v>160</v>
      </c>
      <c r="I57" s="152" t="s">
        <v>159</v>
      </c>
      <c r="J57" s="150" t="s">
        <v>38</v>
      </c>
      <c r="K57" s="152" t="s">
        <v>161</v>
      </c>
      <c r="L57" s="152">
        <v>2</v>
      </c>
      <c r="M57" s="152"/>
      <c r="N57" s="152">
        <v>4</v>
      </c>
      <c r="O57" s="152">
        <v>0.5</v>
      </c>
      <c r="P57" s="152">
        <v>0.5</v>
      </c>
      <c r="Q57" s="153">
        <f t="shared" si="0"/>
        <v>0.5</v>
      </c>
      <c r="R57" s="152">
        <v>17.2</v>
      </c>
      <c r="S57" s="152">
        <v>134</v>
      </c>
      <c r="T57" s="154">
        <f t="shared" si="1"/>
        <v>25</v>
      </c>
      <c r="U57" s="152">
        <v>429</v>
      </c>
      <c r="V57" s="155">
        <f t="shared" si="2"/>
        <v>2681.25</v>
      </c>
      <c r="W57" s="152">
        <v>22</v>
      </c>
      <c r="X57" s="150" t="s">
        <v>46</v>
      </c>
      <c r="Y57" s="152" t="s">
        <v>55</v>
      </c>
      <c r="Z57" s="152" t="s">
        <v>97</v>
      </c>
      <c r="AA57" s="152" t="s">
        <v>69</v>
      </c>
      <c r="AB57" s="150" t="s">
        <v>258</v>
      </c>
      <c r="AC57" s="156"/>
    </row>
    <row r="58" spans="1:29" x14ac:dyDescent="0.15">
      <c r="A58" s="150" t="s">
        <v>61</v>
      </c>
      <c r="B58" s="150" t="s">
        <v>232</v>
      </c>
      <c r="C58" s="150">
        <v>2019</v>
      </c>
      <c r="D58" s="151" t="s">
        <v>283</v>
      </c>
      <c r="E58" s="150" t="s">
        <v>301</v>
      </c>
      <c r="F58" s="150" t="s">
        <v>300</v>
      </c>
      <c r="G58" s="150" t="s">
        <v>42</v>
      </c>
      <c r="H58" s="152" t="s">
        <v>160</v>
      </c>
      <c r="I58" s="152" t="s">
        <v>159</v>
      </c>
      <c r="J58" s="150" t="s">
        <v>38</v>
      </c>
      <c r="K58" s="152" t="s">
        <v>161</v>
      </c>
      <c r="L58" s="152">
        <v>3</v>
      </c>
      <c r="M58" s="152"/>
      <c r="N58" s="152">
        <v>4</v>
      </c>
      <c r="O58" s="152">
        <v>0.5</v>
      </c>
      <c r="P58" s="152">
        <v>0.5</v>
      </c>
      <c r="Q58" s="153">
        <f t="shared" si="0"/>
        <v>0.5</v>
      </c>
      <c r="R58" s="152">
        <v>16.899999999999999</v>
      </c>
      <c r="S58" s="152">
        <v>129</v>
      </c>
      <c r="T58" s="154">
        <f t="shared" si="1"/>
        <v>25</v>
      </c>
      <c r="U58" s="152">
        <v>429</v>
      </c>
      <c r="V58" s="155">
        <f t="shared" si="2"/>
        <v>2681.25</v>
      </c>
      <c r="W58" s="152">
        <v>22</v>
      </c>
      <c r="X58" s="150" t="s">
        <v>46</v>
      </c>
      <c r="Y58" s="152" t="s">
        <v>55</v>
      </c>
      <c r="Z58" s="152" t="s">
        <v>97</v>
      </c>
      <c r="AA58" s="152" t="s">
        <v>69</v>
      </c>
      <c r="AB58" s="150" t="s">
        <v>258</v>
      </c>
      <c r="AC58" s="156"/>
    </row>
    <row r="59" spans="1:29" x14ac:dyDescent="0.15">
      <c r="A59" s="150" t="s">
        <v>61</v>
      </c>
      <c r="B59" s="150" t="s">
        <v>232</v>
      </c>
      <c r="C59" s="150">
        <v>2019</v>
      </c>
      <c r="D59" s="151" t="s">
        <v>283</v>
      </c>
      <c r="E59" s="150" t="s">
        <v>301</v>
      </c>
      <c r="F59" s="150" t="s">
        <v>300</v>
      </c>
      <c r="G59" s="150" t="s">
        <v>42</v>
      </c>
      <c r="H59" s="152" t="s">
        <v>127</v>
      </c>
      <c r="I59" s="152" t="s">
        <v>159</v>
      </c>
      <c r="J59" s="150" t="s">
        <v>53</v>
      </c>
      <c r="K59" s="152" t="s">
        <v>54</v>
      </c>
      <c r="L59" s="152">
        <v>1</v>
      </c>
      <c r="M59" s="152"/>
      <c r="N59" s="152">
        <v>4</v>
      </c>
      <c r="O59" s="152">
        <v>0.75</v>
      </c>
      <c r="P59" s="152">
        <v>0.75</v>
      </c>
      <c r="Q59" s="153">
        <f t="shared" si="0"/>
        <v>0.75</v>
      </c>
      <c r="R59" s="152">
        <v>17.100000000000001</v>
      </c>
      <c r="S59" s="152">
        <v>120</v>
      </c>
      <c r="T59" s="154">
        <f t="shared" si="1"/>
        <v>30</v>
      </c>
      <c r="U59" s="152">
        <v>321</v>
      </c>
      <c r="V59" s="155">
        <f t="shared" si="2"/>
        <v>2407.5</v>
      </c>
      <c r="W59" s="152">
        <v>22</v>
      </c>
      <c r="X59" s="150" t="s">
        <v>46</v>
      </c>
      <c r="Y59" s="152" t="s">
        <v>55</v>
      </c>
      <c r="Z59" s="152" t="s">
        <v>97</v>
      </c>
      <c r="AA59" s="152" t="s">
        <v>69</v>
      </c>
      <c r="AB59" s="150" t="s">
        <v>258</v>
      </c>
      <c r="AC59" s="152"/>
    </row>
    <row r="60" spans="1:29" x14ac:dyDescent="0.15">
      <c r="A60" s="150" t="s">
        <v>61</v>
      </c>
      <c r="B60" s="150" t="s">
        <v>232</v>
      </c>
      <c r="C60" s="150">
        <v>2019</v>
      </c>
      <c r="D60" s="151" t="s">
        <v>283</v>
      </c>
      <c r="E60" s="150" t="s">
        <v>301</v>
      </c>
      <c r="F60" s="150" t="s">
        <v>300</v>
      </c>
      <c r="G60" s="150" t="s">
        <v>42</v>
      </c>
      <c r="H60" s="152" t="s">
        <v>127</v>
      </c>
      <c r="I60" s="152" t="s">
        <v>159</v>
      </c>
      <c r="J60" s="150" t="s">
        <v>53</v>
      </c>
      <c r="K60" s="152" t="s">
        <v>54</v>
      </c>
      <c r="L60" s="152">
        <v>2</v>
      </c>
      <c r="M60" s="152"/>
      <c r="N60" s="152">
        <v>4</v>
      </c>
      <c r="O60" s="152">
        <v>0.65</v>
      </c>
      <c r="P60" s="152">
        <v>0.6</v>
      </c>
      <c r="Q60" s="153">
        <f t="shared" si="0"/>
        <v>0.625</v>
      </c>
      <c r="R60" s="152">
        <v>15.3</v>
      </c>
      <c r="S60" s="152">
        <v>117</v>
      </c>
      <c r="T60" s="154">
        <f t="shared" si="1"/>
        <v>30</v>
      </c>
      <c r="U60" s="152">
        <v>321</v>
      </c>
      <c r="V60" s="155">
        <f t="shared" si="2"/>
        <v>2407.5</v>
      </c>
      <c r="W60" s="152">
        <v>22</v>
      </c>
      <c r="X60" s="150" t="s">
        <v>46</v>
      </c>
      <c r="Y60" s="152" t="s">
        <v>55</v>
      </c>
      <c r="Z60" s="152" t="s">
        <v>97</v>
      </c>
      <c r="AA60" s="152" t="s">
        <v>69</v>
      </c>
      <c r="AB60" s="150" t="s">
        <v>258</v>
      </c>
      <c r="AC60" s="152"/>
    </row>
    <row r="61" spans="1:29" x14ac:dyDescent="0.15">
      <c r="A61" s="150" t="s">
        <v>61</v>
      </c>
      <c r="B61" s="150" t="s">
        <v>232</v>
      </c>
      <c r="C61" s="150">
        <v>2019</v>
      </c>
      <c r="D61" s="151" t="s">
        <v>283</v>
      </c>
      <c r="E61" s="150" t="s">
        <v>301</v>
      </c>
      <c r="F61" s="150" t="s">
        <v>300</v>
      </c>
      <c r="G61" s="150" t="s">
        <v>42</v>
      </c>
      <c r="H61" s="152" t="s">
        <v>127</v>
      </c>
      <c r="I61" s="152" t="s">
        <v>159</v>
      </c>
      <c r="J61" s="150" t="s">
        <v>53</v>
      </c>
      <c r="K61" s="152" t="s">
        <v>54</v>
      </c>
      <c r="L61" s="152">
        <v>3</v>
      </c>
      <c r="M61" s="152"/>
      <c r="N61" s="152">
        <v>4</v>
      </c>
      <c r="O61" s="152">
        <v>0.65</v>
      </c>
      <c r="P61" s="152">
        <v>0.65</v>
      </c>
      <c r="Q61" s="153">
        <f t="shared" si="0"/>
        <v>0.65</v>
      </c>
      <c r="R61" s="152">
        <v>16.8</v>
      </c>
      <c r="S61" s="152">
        <v>114</v>
      </c>
      <c r="T61" s="154">
        <f t="shared" si="1"/>
        <v>30</v>
      </c>
      <c r="U61" s="152">
        <v>321</v>
      </c>
      <c r="V61" s="155">
        <f t="shared" si="2"/>
        <v>2407.5</v>
      </c>
      <c r="W61" s="152">
        <v>22</v>
      </c>
      <c r="X61" s="150" t="s">
        <v>46</v>
      </c>
      <c r="Y61" s="152" t="s">
        <v>55</v>
      </c>
      <c r="Z61" s="152" t="s">
        <v>97</v>
      </c>
      <c r="AA61" s="152" t="s">
        <v>69</v>
      </c>
      <c r="AB61" s="150" t="s">
        <v>258</v>
      </c>
      <c r="AC61" s="152"/>
    </row>
    <row r="62" spans="1:29" x14ac:dyDescent="0.15">
      <c r="A62" s="150"/>
      <c r="B62" s="150"/>
      <c r="C62" s="150"/>
      <c r="D62" s="151"/>
      <c r="E62" s="150"/>
      <c r="F62" s="150"/>
      <c r="G62" s="150"/>
      <c r="H62" s="152"/>
      <c r="I62" s="152"/>
      <c r="J62" s="150"/>
      <c r="K62" s="152"/>
      <c r="L62" s="152"/>
      <c r="M62" s="152"/>
      <c r="N62" s="152"/>
      <c r="O62" s="152"/>
      <c r="P62" s="152"/>
      <c r="Q62" s="153" t="str">
        <f t="shared" si="0"/>
        <v/>
      </c>
      <c r="R62" s="152"/>
      <c r="S62" s="152"/>
      <c r="T62" s="154" t="str">
        <f t="shared" si="1"/>
        <v/>
      </c>
      <c r="U62" s="152"/>
      <c r="V62" s="155" t="str">
        <f t="shared" si="2"/>
        <v/>
      </c>
      <c r="W62" s="152"/>
      <c r="X62" s="150"/>
      <c r="Y62" s="152"/>
      <c r="Z62" s="152"/>
      <c r="AA62" s="152"/>
      <c r="AB62" s="150"/>
      <c r="AC62" s="152"/>
    </row>
    <row r="63" spans="1:29" x14ac:dyDescent="0.15">
      <c r="A63" s="150"/>
      <c r="B63" s="150"/>
      <c r="C63" s="150"/>
      <c r="D63" s="151"/>
      <c r="E63" s="150"/>
      <c r="F63" s="150"/>
      <c r="G63" s="150"/>
      <c r="H63" s="152"/>
      <c r="I63" s="152"/>
      <c r="J63" s="150"/>
      <c r="K63" s="152"/>
      <c r="L63" s="152"/>
      <c r="M63" s="152"/>
      <c r="N63" s="152"/>
      <c r="O63" s="152"/>
      <c r="P63" s="152"/>
      <c r="Q63" s="153" t="str">
        <f t="shared" si="0"/>
        <v/>
      </c>
      <c r="R63" s="152"/>
      <c r="S63" s="152"/>
      <c r="T63" s="154" t="str">
        <f t="shared" si="1"/>
        <v/>
      </c>
      <c r="U63" s="152"/>
      <c r="V63" s="155" t="str">
        <f t="shared" si="2"/>
        <v/>
      </c>
      <c r="W63" s="152"/>
      <c r="X63" s="150"/>
      <c r="Y63" s="152"/>
      <c r="Z63" s="152"/>
      <c r="AA63" s="152"/>
      <c r="AB63" s="150"/>
      <c r="AC63" s="152"/>
    </row>
    <row r="64" spans="1:29" x14ac:dyDescent="0.15">
      <c r="A64" s="150"/>
      <c r="B64" s="150"/>
      <c r="C64" s="150"/>
      <c r="D64" s="151"/>
      <c r="E64" s="150"/>
      <c r="F64" s="150"/>
      <c r="G64" s="150"/>
      <c r="H64" s="152"/>
      <c r="I64" s="152"/>
      <c r="J64" s="150"/>
      <c r="K64" s="152"/>
      <c r="L64" s="152"/>
      <c r="M64" s="152"/>
      <c r="N64" s="152"/>
      <c r="O64" s="152"/>
      <c r="P64" s="152"/>
      <c r="Q64" s="153" t="str">
        <f t="shared" si="0"/>
        <v/>
      </c>
      <c r="R64" s="152"/>
      <c r="S64" s="152"/>
      <c r="T64" s="154" t="str">
        <f t="shared" si="1"/>
        <v/>
      </c>
      <c r="U64" s="152"/>
      <c r="V64" s="155" t="str">
        <f t="shared" si="2"/>
        <v/>
      </c>
      <c r="W64" s="152"/>
      <c r="X64" s="150"/>
      <c r="Y64" s="152"/>
      <c r="Z64" s="152"/>
      <c r="AA64" s="152"/>
      <c r="AB64" s="150"/>
      <c r="AC64" s="152"/>
    </row>
    <row r="65" spans="1:29" x14ac:dyDescent="0.15">
      <c r="A65" s="150"/>
      <c r="B65" s="150"/>
      <c r="C65" s="150"/>
      <c r="D65" s="151"/>
      <c r="E65" s="150"/>
      <c r="F65" s="150"/>
      <c r="G65" s="150"/>
      <c r="H65" s="152"/>
      <c r="I65" s="152"/>
      <c r="J65" s="150"/>
      <c r="K65" s="152"/>
      <c r="L65" s="152"/>
      <c r="M65" s="152"/>
      <c r="N65" s="152"/>
      <c r="O65" s="152"/>
      <c r="P65" s="152"/>
      <c r="Q65" s="153" t="str">
        <f t="shared" si="0"/>
        <v/>
      </c>
      <c r="R65" s="152"/>
      <c r="S65" s="152"/>
      <c r="T65" s="154" t="str">
        <f t="shared" si="1"/>
        <v/>
      </c>
      <c r="U65" s="152"/>
      <c r="V65" s="155" t="str">
        <f t="shared" si="2"/>
        <v/>
      </c>
      <c r="W65" s="152"/>
      <c r="X65" s="150"/>
      <c r="Y65" s="152"/>
      <c r="Z65" s="152"/>
      <c r="AA65" s="152"/>
      <c r="AB65" s="150"/>
      <c r="AC65" s="156"/>
    </row>
    <row r="66" spans="1:29" x14ac:dyDescent="0.15">
      <c r="A66" s="150"/>
      <c r="B66" s="150"/>
      <c r="C66" s="150"/>
      <c r="D66" s="151"/>
      <c r="E66" s="150"/>
      <c r="F66" s="150"/>
      <c r="G66" s="150"/>
      <c r="H66" s="152"/>
      <c r="I66" s="152"/>
      <c r="J66" s="150"/>
      <c r="K66" s="152"/>
      <c r="L66" s="152"/>
      <c r="M66" s="152"/>
      <c r="N66" s="152"/>
      <c r="O66" s="152"/>
      <c r="P66" s="152"/>
      <c r="Q66" s="153" t="str">
        <f t="shared" ref="Q66:Q73" si="3">IF(OR(O66="",P66=""),"",AVERAGE(O66,P66))</f>
        <v/>
      </c>
      <c r="R66" s="152"/>
      <c r="S66" s="152"/>
      <c r="T66" s="154" t="str">
        <f t="shared" ref="T66:T73" si="4">IF(H66="","",IF(OR(H66="GREEN",H66="GK"),IF(S66&gt;=$AX$2,VLOOKUP(S66,$AX$2:$AY$15,2,1),""),IF(S66&gt;=$AZ$2,VLOOKUP(S66,$AZ$2:$BA$15,2,1),"")))</f>
        <v/>
      </c>
      <c r="U66" s="152"/>
      <c r="V66" s="155" t="str">
        <f t="shared" ref="V66:V73" si="5">IF(OR(N66="",U66="",T66=""),"",U66/N66*T66)</f>
        <v/>
      </c>
      <c r="W66" s="152"/>
      <c r="X66" s="150"/>
      <c r="Y66" s="152"/>
      <c r="Z66" s="152"/>
      <c r="AA66" s="152"/>
      <c r="AB66" s="150"/>
      <c r="AC66" s="156"/>
    </row>
    <row r="67" spans="1:29" x14ac:dyDescent="0.15">
      <c r="A67" s="150"/>
      <c r="B67" s="150"/>
      <c r="C67" s="150"/>
      <c r="D67" s="151"/>
      <c r="E67" s="150"/>
      <c r="F67" s="150"/>
      <c r="G67" s="150"/>
      <c r="H67" s="152"/>
      <c r="I67" s="152"/>
      <c r="J67" s="150"/>
      <c r="K67" s="152"/>
      <c r="L67" s="152"/>
      <c r="M67" s="152"/>
      <c r="N67" s="152"/>
      <c r="O67" s="152"/>
      <c r="P67" s="152"/>
      <c r="Q67" s="153" t="str">
        <f t="shared" si="3"/>
        <v/>
      </c>
      <c r="R67" s="156"/>
      <c r="S67" s="152"/>
      <c r="T67" s="154" t="str">
        <f t="shared" si="4"/>
        <v/>
      </c>
      <c r="U67" s="152"/>
      <c r="V67" s="155" t="str">
        <f t="shared" si="5"/>
        <v/>
      </c>
      <c r="W67" s="152"/>
      <c r="X67" s="150"/>
      <c r="Y67" s="152"/>
      <c r="Z67" s="152"/>
      <c r="AA67" s="152"/>
      <c r="AB67" s="150"/>
      <c r="AC67" s="156"/>
    </row>
    <row r="68" spans="1:29" x14ac:dyDescent="0.15">
      <c r="A68" s="150"/>
      <c r="B68" s="150"/>
      <c r="C68" s="150"/>
      <c r="D68" s="151"/>
      <c r="E68" s="150"/>
      <c r="F68" s="150"/>
      <c r="G68" s="150"/>
      <c r="H68" s="152"/>
      <c r="I68" s="152"/>
      <c r="J68" s="150"/>
      <c r="K68" s="152"/>
      <c r="L68" s="152"/>
      <c r="M68" s="152"/>
      <c r="N68" s="152"/>
      <c r="O68" s="152"/>
      <c r="P68" s="152"/>
      <c r="Q68" s="153" t="str">
        <f t="shared" si="3"/>
        <v/>
      </c>
      <c r="R68" s="152"/>
      <c r="S68" s="152"/>
      <c r="T68" s="154" t="str">
        <f t="shared" si="4"/>
        <v/>
      </c>
      <c r="U68" s="152"/>
      <c r="V68" s="155" t="str">
        <f t="shared" si="5"/>
        <v/>
      </c>
      <c r="W68" s="152"/>
      <c r="X68" s="150"/>
      <c r="Y68" s="152"/>
      <c r="Z68" s="152"/>
      <c r="AA68" s="152"/>
      <c r="AB68" s="150"/>
      <c r="AC68" s="156"/>
    </row>
    <row r="69" spans="1:29" x14ac:dyDescent="0.15">
      <c r="A69" s="150"/>
      <c r="B69" s="150"/>
      <c r="C69" s="150"/>
      <c r="D69" s="151"/>
      <c r="E69" s="150"/>
      <c r="F69" s="150"/>
      <c r="G69" s="150"/>
      <c r="H69" s="152"/>
      <c r="I69" s="152"/>
      <c r="J69" s="150"/>
      <c r="K69" s="152"/>
      <c r="L69" s="152"/>
      <c r="M69" s="152"/>
      <c r="N69" s="152"/>
      <c r="O69" s="152"/>
      <c r="P69" s="152"/>
      <c r="Q69" s="153" t="str">
        <f t="shared" si="3"/>
        <v/>
      </c>
      <c r="R69" s="156"/>
      <c r="S69" s="152"/>
      <c r="T69" s="154" t="str">
        <f t="shared" si="4"/>
        <v/>
      </c>
      <c r="U69" s="152"/>
      <c r="V69" s="155" t="str">
        <f t="shared" si="5"/>
        <v/>
      </c>
      <c r="W69" s="152"/>
      <c r="X69" s="150"/>
      <c r="Y69" s="152"/>
      <c r="Z69" s="152"/>
      <c r="AA69" s="152"/>
      <c r="AB69" s="150"/>
      <c r="AC69" s="156"/>
    </row>
    <row r="70" spans="1:29" x14ac:dyDescent="0.15">
      <c r="A70" s="150"/>
      <c r="B70" s="150"/>
      <c r="C70" s="150"/>
      <c r="D70" s="151"/>
      <c r="E70" s="152"/>
      <c r="F70" s="150"/>
      <c r="G70" s="150"/>
      <c r="H70" s="152"/>
      <c r="I70" s="152"/>
      <c r="J70" s="150"/>
      <c r="K70" s="152"/>
      <c r="L70" s="152"/>
      <c r="M70" s="152"/>
      <c r="N70" s="152"/>
      <c r="O70" s="152"/>
      <c r="P70" s="152"/>
      <c r="Q70" s="153" t="str">
        <f t="shared" si="3"/>
        <v/>
      </c>
      <c r="R70" s="156"/>
      <c r="S70" s="152"/>
      <c r="T70" s="154" t="str">
        <f t="shared" si="4"/>
        <v/>
      </c>
      <c r="U70" s="152"/>
      <c r="V70" s="155" t="str">
        <f t="shared" si="5"/>
        <v/>
      </c>
      <c r="W70" s="152"/>
      <c r="X70" s="150"/>
      <c r="Y70" s="152"/>
      <c r="Z70" s="152"/>
      <c r="AA70" s="152"/>
      <c r="AB70" s="150"/>
      <c r="AC70" s="156"/>
    </row>
    <row r="71" spans="1:29" x14ac:dyDescent="0.15">
      <c r="A71" s="150"/>
      <c r="B71" s="150"/>
      <c r="C71" s="150"/>
      <c r="D71" s="151"/>
      <c r="E71" s="152"/>
      <c r="F71" s="150"/>
      <c r="G71" s="150"/>
      <c r="H71" s="152"/>
      <c r="I71" s="152"/>
      <c r="J71" s="150"/>
      <c r="K71" s="152"/>
      <c r="L71" s="152"/>
      <c r="M71" s="152"/>
      <c r="N71" s="152"/>
      <c r="O71" s="152"/>
      <c r="P71" s="152"/>
      <c r="Q71" s="153" t="str">
        <f t="shared" si="3"/>
        <v/>
      </c>
      <c r="R71" s="152"/>
      <c r="S71" s="152"/>
      <c r="T71" s="154" t="str">
        <f t="shared" si="4"/>
        <v/>
      </c>
      <c r="U71" s="152"/>
      <c r="V71" s="155" t="str">
        <f t="shared" si="5"/>
        <v/>
      </c>
      <c r="W71" s="152"/>
      <c r="X71" s="150"/>
      <c r="Y71" s="152"/>
      <c r="Z71" s="152"/>
      <c r="AA71" s="152"/>
      <c r="AB71" s="150"/>
      <c r="AC71" s="156"/>
    </row>
    <row r="72" spans="1:29" x14ac:dyDescent="0.15">
      <c r="A72" s="150"/>
      <c r="B72" s="150"/>
      <c r="C72" s="150"/>
      <c r="D72" s="151"/>
      <c r="E72" s="152"/>
      <c r="F72" s="150"/>
      <c r="G72" s="150"/>
      <c r="H72" s="152"/>
      <c r="I72" s="152"/>
      <c r="J72" s="150"/>
      <c r="K72" s="152"/>
      <c r="L72" s="152"/>
      <c r="M72" s="152"/>
      <c r="N72" s="152"/>
      <c r="O72" s="152"/>
      <c r="P72" s="152"/>
      <c r="Q72" s="153" t="str">
        <f t="shared" si="3"/>
        <v/>
      </c>
      <c r="R72" s="152"/>
      <c r="S72" s="152"/>
      <c r="T72" s="154" t="str">
        <f t="shared" si="4"/>
        <v/>
      </c>
      <c r="U72" s="152"/>
      <c r="V72" s="155" t="str">
        <f t="shared" si="5"/>
        <v/>
      </c>
      <c r="W72" s="152"/>
      <c r="X72" s="150"/>
      <c r="Y72" s="152"/>
      <c r="Z72" s="152"/>
      <c r="AA72" s="152"/>
      <c r="AB72" s="150"/>
      <c r="AC72" s="156"/>
    </row>
    <row r="73" spans="1:29" x14ac:dyDescent="0.15">
      <c r="A73" s="150"/>
      <c r="B73" s="150"/>
      <c r="C73" s="150"/>
      <c r="D73" s="151"/>
      <c r="E73" s="152"/>
      <c r="F73" s="152"/>
      <c r="G73" s="150"/>
      <c r="H73" s="152"/>
      <c r="I73" s="152"/>
      <c r="J73" s="150"/>
      <c r="K73" s="152"/>
      <c r="L73" s="152"/>
      <c r="M73" s="152"/>
      <c r="N73" s="152"/>
      <c r="O73" s="152"/>
      <c r="P73" s="152"/>
      <c r="Q73" s="153" t="str">
        <f t="shared" si="3"/>
        <v/>
      </c>
      <c r="R73" s="152"/>
      <c r="S73" s="152"/>
      <c r="T73" s="154" t="str">
        <f t="shared" si="4"/>
        <v/>
      </c>
      <c r="U73" s="152"/>
      <c r="V73" s="155" t="str">
        <f t="shared" si="5"/>
        <v/>
      </c>
      <c r="W73" s="152"/>
      <c r="X73" s="150"/>
      <c r="Y73" s="152"/>
      <c r="Z73" s="152"/>
      <c r="AA73" s="152"/>
      <c r="AB73" s="150"/>
      <c r="AC73" s="156"/>
    </row>
    <row r="74" spans="1:29" x14ac:dyDescent="0.15">
      <c r="A74" s="150"/>
      <c r="B74" s="150"/>
      <c r="C74" s="150"/>
      <c r="D74" s="151"/>
      <c r="E74" s="152"/>
      <c r="F74" s="152"/>
      <c r="G74" s="150"/>
      <c r="H74" s="152"/>
      <c r="I74" s="152"/>
      <c r="J74" s="150"/>
      <c r="K74" s="152"/>
      <c r="L74" s="152"/>
      <c r="M74" s="152"/>
      <c r="N74" s="152"/>
      <c r="O74" s="152"/>
      <c r="P74" s="152"/>
      <c r="Q74" s="153"/>
      <c r="R74" s="152"/>
      <c r="S74" s="152"/>
      <c r="T74" s="154"/>
      <c r="U74" s="152"/>
      <c r="V74" s="155"/>
      <c r="W74" s="152"/>
      <c r="X74" s="150"/>
      <c r="Y74" s="152"/>
      <c r="Z74" s="152"/>
      <c r="AA74" s="152"/>
      <c r="AB74" s="150"/>
      <c r="AC74" s="152"/>
    </row>
    <row r="75" spans="1:29" x14ac:dyDescent="0.15">
      <c r="A75" s="150"/>
      <c r="B75" s="150"/>
      <c r="C75" s="150"/>
      <c r="D75" s="151"/>
      <c r="E75" s="152"/>
      <c r="F75" s="152"/>
      <c r="G75" s="150"/>
      <c r="H75" s="152"/>
      <c r="I75" s="152"/>
      <c r="J75" s="150"/>
      <c r="K75" s="152"/>
      <c r="L75" s="152"/>
      <c r="M75" s="152"/>
      <c r="N75" s="152"/>
      <c r="O75" s="152"/>
      <c r="P75" s="152"/>
      <c r="Q75" s="153"/>
      <c r="R75" s="152"/>
      <c r="S75" s="152"/>
      <c r="T75" s="154"/>
      <c r="U75" s="152"/>
      <c r="V75" s="155"/>
      <c r="W75" s="152"/>
      <c r="X75" s="150"/>
      <c r="Y75" s="152"/>
      <c r="Z75" s="152"/>
      <c r="AA75" s="152"/>
      <c r="AB75" s="150"/>
      <c r="AC75" s="152"/>
    </row>
    <row r="76" spans="1:29" x14ac:dyDescent="0.15">
      <c r="A76" s="150"/>
      <c r="B76" s="150"/>
      <c r="C76" s="150"/>
      <c r="D76" s="151"/>
      <c r="E76" s="152"/>
      <c r="F76" s="152"/>
      <c r="G76" s="150"/>
      <c r="H76" s="152"/>
      <c r="I76" s="152"/>
      <c r="J76" s="150"/>
      <c r="K76" s="152"/>
      <c r="L76" s="152"/>
      <c r="M76" s="152"/>
      <c r="N76" s="152"/>
      <c r="O76" s="152"/>
      <c r="P76" s="152"/>
      <c r="Q76" s="153"/>
      <c r="R76" s="152"/>
      <c r="S76" s="152"/>
      <c r="T76" s="154"/>
      <c r="U76" s="152"/>
      <c r="V76" s="155"/>
      <c r="W76" s="152"/>
      <c r="X76" s="150"/>
      <c r="Y76" s="152"/>
      <c r="Z76" s="152"/>
      <c r="AA76" s="152"/>
      <c r="AB76" s="150"/>
      <c r="AC76" s="152"/>
    </row>
    <row r="77" spans="1:29" x14ac:dyDescent="0.15">
      <c r="A77" s="150"/>
      <c r="B77" s="150"/>
      <c r="C77" s="150"/>
      <c r="D77" s="151"/>
      <c r="E77" s="152"/>
      <c r="F77" s="152"/>
      <c r="G77" s="150"/>
      <c r="H77" s="152"/>
      <c r="I77" s="152"/>
      <c r="J77" s="150"/>
      <c r="K77" s="152"/>
      <c r="L77" s="152"/>
      <c r="M77" s="152"/>
      <c r="N77" s="152"/>
      <c r="O77" s="152"/>
      <c r="P77" s="152"/>
      <c r="Q77" s="153" t="str">
        <f t="shared" ref="Q77:Q79" si="6">IF(OR(O77="",P77=""),"",AVERAGE(O77,P77))</f>
        <v/>
      </c>
      <c r="R77" s="152"/>
      <c r="S77" s="152"/>
      <c r="T77" s="154" t="str">
        <f t="shared" ref="T77:T79" si="7">IF(H77="","",IF(OR(H77="GREEN",H77="GK"),IF(S77&gt;=$AX$2,VLOOKUP(S77,$AX$2:$AY$15,2,1),""),IF(S77&gt;=$AZ$2,VLOOKUP(S77,$AZ$2:$BA$15,2,1),"")))</f>
        <v/>
      </c>
      <c r="U77" s="152"/>
      <c r="V77" s="155" t="str">
        <f t="shared" ref="V77:V79" si="8">IF(OR(N77="",U77="",T77=""),"",U77/N77*T77)</f>
        <v/>
      </c>
      <c r="W77" s="152"/>
      <c r="X77" s="150"/>
      <c r="Y77" s="152"/>
      <c r="Z77" s="152"/>
      <c r="AA77" s="152"/>
      <c r="AB77" s="150"/>
      <c r="AC77" s="152"/>
    </row>
    <row r="78" spans="1:29" x14ac:dyDescent="0.15">
      <c r="A78" s="150"/>
      <c r="B78" s="150"/>
      <c r="C78" s="150"/>
      <c r="D78" s="151"/>
      <c r="E78" s="152"/>
      <c r="F78" s="152"/>
      <c r="G78" s="150"/>
      <c r="H78" s="152"/>
      <c r="I78" s="152"/>
      <c r="J78" s="150"/>
      <c r="K78" s="152"/>
      <c r="L78" s="152"/>
      <c r="M78" s="152"/>
      <c r="N78" s="152"/>
      <c r="O78" s="152"/>
      <c r="P78" s="152"/>
      <c r="Q78" s="153" t="str">
        <f t="shared" si="6"/>
        <v/>
      </c>
      <c r="R78" s="152"/>
      <c r="S78" s="152"/>
      <c r="T78" s="154" t="str">
        <f t="shared" si="7"/>
        <v/>
      </c>
      <c r="U78" s="152"/>
      <c r="V78" s="155" t="str">
        <f t="shared" si="8"/>
        <v/>
      </c>
      <c r="W78" s="152"/>
      <c r="X78" s="150"/>
      <c r="Y78" s="152"/>
      <c r="Z78" s="152"/>
      <c r="AA78" s="152"/>
      <c r="AB78" s="150"/>
      <c r="AC78" s="152"/>
    </row>
    <row r="79" spans="1:29" x14ac:dyDescent="0.15">
      <c r="A79" s="150"/>
      <c r="B79" s="150"/>
      <c r="C79" s="150"/>
      <c r="D79" s="151"/>
      <c r="E79" s="152"/>
      <c r="F79" s="152"/>
      <c r="G79" s="150"/>
      <c r="H79" s="152"/>
      <c r="I79" s="152"/>
      <c r="J79" s="150"/>
      <c r="K79" s="152"/>
      <c r="L79" s="152"/>
      <c r="M79" s="152"/>
      <c r="N79" s="152"/>
      <c r="O79" s="152"/>
      <c r="P79" s="152"/>
      <c r="Q79" s="153" t="str">
        <f t="shared" si="6"/>
        <v/>
      </c>
      <c r="R79" s="152"/>
      <c r="S79" s="152"/>
      <c r="T79" s="154" t="str">
        <f t="shared" si="7"/>
        <v/>
      </c>
      <c r="U79" s="152"/>
      <c r="V79" s="155" t="str">
        <f t="shared" si="8"/>
        <v/>
      </c>
      <c r="W79" s="152"/>
      <c r="X79" s="150"/>
      <c r="Y79" s="152"/>
      <c r="Z79" s="152"/>
      <c r="AA79" s="152"/>
      <c r="AB79" s="150"/>
      <c r="AC79" s="152"/>
    </row>
    <row r="80" spans="1:29" x14ac:dyDescent="0.15">
      <c r="A80" s="150"/>
      <c r="B80" s="150"/>
      <c r="C80" s="150"/>
      <c r="D80" s="151"/>
      <c r="E80" s="152"/>
      <c r="F80" s="152"/>
      <c r="G80" s="150"/>
      <c r="H80" s="152"/>
      <c r="I80" s="152"/>
      <c r="J80" s="150"/>
      <c r="K80" s="152"/>
      <c r="L80" s="152"/>
      <c r="M80" s="152"/>
      <c r="N80" s="152"/>
      <c r="O80" s="152"/>
      <c r="P80" s="152"/>
      <c r="Q80" s="153"/>
      <c r="R80" s="152"/>
      <c r="S80" s="152"/>
      <c r="T80" s="154"/>
      <c r="U80" s="152"/>
      <c r="V80" s="155"/>
      <c r="W80" s="152"/>
      <c r="X80" s="150"/>
      <c r="Y80" s="152"/>
      <c r="Z80" s="152"/>
      <c r="AA80" s="152"/>
      <c r="AB80" s="150"/>
      <c r="AC80" s="152"/>
    </row>
    <row r="81" spans="1:29" x14ac:dyDescent="0.15">
      <c r="A81" s="150"/>
      <c r="B81" s="150"/>
      <c r="C81" s="150"/>
      <c r="D81" s="151"/>
      <c r="E81" s="152"/>
      <c r="F81" s="152"/>
      <c r="G81" s="150"/>
      <c r="H81" s="152"/>
      <c r="I81" s="152"/>
      <c r="J81" s="150"/>
      <c r="K81" s="152"/>
      <c r="L81" s="152"/>
      <c r="M81" s="152"/>
      <c r="N81" s="152"/>
      <c r="O81" s="152"/>
      <c r="P81" s="152"/>
      <c r="Q81" s="153"/>
      <c r="R81" s="152"/>
      <c r="S81" s="152"/>
      <c r="T81" s="154"/>
      <c r="U81" s="152"/>
      <c r="V81" s="155"/>
      <c r="W81" s="152"/>
      <c r="X81" s="150"/>
      <c r="Y81" s="152"/>
      <c r="Z81" s="152"/>
      <c r="AA81" s="152"/>
      <c r="AB81" s="150"/>
      <c r="AC81" s="152"/>
    </row>
    <row r="82" spans="1:29" x14ac:dyDescent="0.15">
      <c r="A82" s="150"/>
      <c r="B82" s="150"/>
      <c r="C82" s="150"/>
      <c r="D82" s="151"/>
      <c r="E82" s="152"/>
      <c r="F82" s="152"/>
      <c r="G82" s="150"/>
      <c r="H82" s="152"/>
      <c r="I82" s="152"/>
      <c r="J82" s="150"/>
      <c r="K82" s="152"/>
      <c r="L82" s="152"/>
      <c r="M82" s="152"/>
      <c r="N82" s="152"/>
      <c r="O82" s="152"/>
      <c r="P82" s="152"/>
      <c r="Q82" s="153"/>
      <c r="R82" s="152"/>
      <c r="S82" s="152"/>
      <c r="T82" s="154"/>
      <c r="U82" s="152"/>
      <c r="V82" s="155"/>
      <c r="W82" s="152"/>
      <c r="X82" s="150"/>
      <c r="Y82" s="152"/>
      <c r="Z82" s="152"/>
      <c r="AA82" s="152"/>
      <c r="AB82" s="150"/>
      <c r="AC82" s="152"/>
    </row>
    <row r="83" spans="1:29" x14ac:dyDescent="0.15">
      <c r="A83" s="150"/>
      <c r="B83" s="150"/>
      <c r="C83" s="150"/>
      <c r="D83" s="151"/>
      <c r="E83" s="152"/>
      <c r="F83" s="152"/>
      <c r="G83" s="150"/>
      <c r="H83" s="152"/>
      <c r="I83" s="152"/>
      <c r="J83" s="150"/>
      <c r="K83" s="152"/>
      <c r="L83" s="152"/>
      <c r="M83" s="152"/>
      <c r="N83" s="152"/>
      <c r="O83" s="152"/>
      <c r="P83" s="152"/>
      <c r="Q83" s="153"/>
      <c r="R83" s="152"/>
      <c r="S83" s="152"/>
      <c r="T83" s="154"/>
      <c r="U83" s="152"/>
      <c r="V83" s="155"/>
      <c r="W83" s="152"/>
      <c r="X83" s="150"/>
      <c r="Y83" s="152"/>
      <c r="Z83" s="152"/>
      <c r="AA83" s="152"/>
      <c r="AB83" s="150"/>
      <c r="AC83" s="152"/>
    </row>
    <row r="84" spans="1:29" x14ac:dyDescent="0.15">
      <c r="A84" s="150"/>
      <c r="B84" s="150"/>
      <c r="C84" s="150"/>
      <c r="D84" s="151"/>
      <c r="E84" s="152"/>
      <c r="F84" s="152"/>
      <c r="G84" s="150"/>
      <c r="H84" s="152"/>
      <c r="I84" s="152"/>
      <c r="J84" s="150"/>
      <c r="K84" s="152"/>
      <c r="L84" s="152"/>
      <c r="M84" s="152"/>
      <c r="N84" s="152"/>
      <c r="O84" s="152"/>
      <c r="P84" s="152"/>
      <c r="Q84" s="153"/>
      <c r="R84" s="152"/>
      <c r="S84" s="152"/>
      <c r="T84" s="154"/>
      <c r="U84" s="152"/>
      <c r="V84" s="155"/>
      <c r="W84" s="152"/>
      <c r="X84" s="150"/>
      <c r="Y84" s="152"/>
      <c r="Z84" s="152"/>
      <c r="AA84" s="152"/>
      <c r="AB84" s="150"/>
      <c r="AC84" s="152"/>
    </row>
    <row r="85" spans="1:29" x14ac:dyDescent="0.15">
      <c r="A85" s="150"/>
      <c r="B85" s="150"/>
      <c r="C85" s="150"/>
      <c r="D85" s="151"/>
      <c r="E85" s="152"/>
      <c r="F85" s="152"/>
      <c r="G85" s="150"/>
      <c r="H85" s="152"/>
      <c r="I85" s="152"/>
      <c r="J85" s="150"/>
      <c r="K85" s="152"/>
      <c r="L85" s="152"/>
      <c r="M85" s="152"/>
      <c r="N85" s="152"/>
      <c r="O85" s="152"/>
      <c r="P85" s="152"/>
      <c r="Q85" s="153"/>
      <c r="R85" s="152"/>
      <c r="S85" s="152"/>
      <c r="T85" s="154"/>
      <c r="U85" s="152"/>
      <c r="V85" s="155"/>
      <c r="W85" s="152"/>
      <c r="X85" s="150"/>
      <c r="Y85" s="152"/>
      <c r="Z85" s="152"/>
      <c r="AA85" s="152"/>
      <c r="AB85" s="150"/>
      <c r="AC85" s="152"/>
    </row>
    <row r="86" spans="1:29" x14ac:dyDescent="0.15">
      <c r="A86" s="150"/>
      <c r="B86" s="150"/>
      <c r="C86" s="150"/>
      <c r="D86" s="151"/>
      <c r="E86" s="152"/>
      <c r="F86" s="152"/>
      <c r="G86" s="150"/>
      <c r="H86" s="152"/>
      <c r="I86" s="152"/>
      <c r="J86" s="150"/>
      <c r="K86" s="152"/>
      <c r="L86" s="152"/>
      <c r="M86" s="152"/>
      <c r="N86" s="152"/>
      <c r="O86" s="152"/>
      <c r="P86" s="152"/>
      <c r="Q86" s="153"/>
      <c r="R86" s="152"/>
      <c r="S86" s="152"/>
      <c r="T86" s="154"/>
      <c r="U86" s="152"/>
      <c r="V86" s="155"/>
      <c r="W86" s="152"/>
      <c r="X86" s="150"/>
      <c r="Y86" s="152"/>
      <c r="Z86" s="152"/>
      <c r="AA86" s="152"/>
      <c r="AB86" s="150"/>
      <c r="AC86" s="152"/>
    </row>
    <row r="87" spans="1:29" x14ac:dyDescent="0.15">
      <c r="A87" s="150"/>
      <c r="B87" s="150"/>
      <c r="C87" s="150"/>
      <c r="D87" s="151"/>
      <c r="E87" s="152"/>
      <c r="F87" s="152"/>
      <c r="G87" s="150"/>
      <c r="H87" s="152"/>
      <c r="I87" s="152"/>
      <c r="J87" s="150"/>
      <c r="K87" s="152"/>
      <c r="L87" s="152"/>
      <c r="M87" s="152"/>
      <c r="N87" s="152"/>
      <c r="O87" s="152"/>
      <c r="P87" s="152"/>
      <c r="Q87" s="153"/>
      <c r="R87" s="152"/>
      <c r="S87" s="152"/>
      <c r="T87" s="154"/>
      <c r="U87" s="152"/>
      <c r="V87" s="155"/>
      <c r="W87" s="152"/>
      <c r="X87" s="150"/>
      <c r="Y87" s="152"/>
      <c r="Z87" s="152"/>
      <c r="AA87" s="152"/>
      <c r="AB87" s="150"/>
      <c r="AC87" s="152"/>
    </row>
    <row r="88" spans="1:29" x14ac:dyDescent="0.15">
      <c r="A88" s="150"/>
      <c r="B88" s="150"/>
      <c r="C88" s="150"/>
      <c r="D88" s="151"/>
      <c r="E88" s="152"/>
      <c r="F88" s="152"/>
      <c r="G88" s="150"/>
      <c r="H88" s="152"/>
      <c r="I88" s="152"/>
      <c r="J88" s="150"/>
      <c r="K88" s="152"/>
      <c r="L88" s="152"/>
      <c r="M88" s="152"/>
      <c r="N88" s="152"/>
      <c r="O88" s="152"/>
      <c r="P88" s="152"/>
      <c r="Q88" s="153"/>
      <c r="R88" s="152"/>
      <c r="S88" s="152"/>
      <c r="T88" s="154"/>
      <c r="U88" s="152"/>
      <c r="V88" s="155"/>
      <c r="W88" s="152"/>
      <c r="X88" s="150"/>
      <c r="Y88" s="152"/>
      <c r="Z88" s="152"/>
      <c r="AA88" s="152"/>
      <c r="AB88" s="150"/>
      <c r="AC88" s="152"/>
    </row>
    <row r="89" spans="1:29" x14ac:dyDescent="0.15">
      <c r="A89" s="150"/>
      <c r="B89" s="150"/>
      <c r="C89" s="150"/>
      <c r="D89" s="151"/>
      <c r="E89" s="152"/>
      <c r="F89" s="152"/>
      <c r="G89" s="150"/>
      <c r="H89" s="152"/>
      <c r="I89" s="152"/>
      <c r="J89" s="150"/>
      <c r="K89" s="152"/>
      <c r="L89" s="152"/>
      <c r="M89" s="152"/>
      <c r="N89" s="152"/>
      <c r="O89" s="152"/>
      <c r="P89" s="152"/>
      <c r="Q89" s="153"/>
      <c r="R89" s="152"/>
      <c r="S89" s="152"/>
      <c r="T89" s="154"/>
      <c r="U89" s="152"/>
      <c r="V89" s="155"/>
      <c r="W89" s="152"/>
      <c r="X89" s="150"/>
      <c r="Y89" s="152"/>
      <c r="Z89" s="152"/>
      <c r="AA89" s="152"/>
      <c r="AB89" s="150"/>
      <c r="AC89" s="152"/>
    </row>
    <row r="90" spans="1:29" x14ac:dyDescent="0.15">
      <c r="A90" s="150"/>
      <c r="B90" s="150"/>
      <c r="C90" s="150"/>
      <c r="D90" s="151"/>
      <c r="E90" s="152"/>
      <c r="F90" s="152"/>
      <c r="G90" s="150"/>
      <c r="H90" s="152"/>
      <c r="I90" s="152"/>
      <c r="J90" s="150"/>
      <c r="K90" s="152"/>
      <c r="L90" s="152"/>
      <c r="M90" s="152"/>
      <c r="N90" s="152"/>
      <c r="O90" s="152"/>
      <c r="P90" s="152"/>
      <c r="Q90" s="153"/>
      <c r="R90" s="152"/>
      <c r="S90" s="152"/>
      <c r="T90" s="154"/>
      <c r="U90" s="152"/>
      <c r="V90" s="155"/>
      <c r="W90" s="152"/>
      <c r="X90" s="150"/>
      <c r="Y90" s="152"/>
      <c r="Z90" s="152"/>
      <c r="AA90" s="152"/>
      <c r="AB90" s="150"/>
      <c r="AC90" s="152"/>
    </row>
    <row r="91" spans="1:29" x14ac:dyDescent="0.15">
      <c r="A91" s="150"/>
      <c r="B91" s="150"/>
      <c r="C91" s="150"/>
      <c r="D91" s="151"/>
      <c r="E91" s="152"/>
      <c r="F91" s="152"/>
      <c r="G91" s="150"/>
      <c r="H91" s="152"/>
      <c r="I91" s="152"/>
      <c r="J91" s="150"/>
      <c r="K91" s="152"/>
      <c r="L91" s="152"/>
      <c r="M91" s="152"/>
      <c r="N91" s="152"/>
      <c r="O91" s="152"/>
      <c r="P91" s="152"/>
      <c r="Q91" s="153"/>
      <c r="R91" s="152"/>
      <c r="S91" s="152"/>
      <c r="T91" s="154"/>
      <c r="U91" s="152"/>
      <c r="V91" s="155"/>
      <c r="W91" s="152"/>
      <c r="X91" s="150"/>
      <c r="Y91" s="152"/>
      <c r="Z91" s="152"/>
      <c r="AA91" s="152"/>
      <c r="AB91" s="150"/>
      <c r="AC91" s="152"/>
    </row>
    <row r="92" spans="1:29" x14ac:dyDescent="0.15">
      <c r="A92" s="150"/>
      <c r="B92" s="150"/>
      <c r="C92" s="150"/>
      <c r="D92" s="151"/>
      <c r="E92" s="152"/>
      <c r="F92" s="152"/>
      <c r="G92" s="150"/>
      <c r="H92" s="152"/>
      <c r="I92" s="152"/>
      <c r="J92" s="150"/>
      <c r="K92" s="152"/>
      <c r="L92" s="152"/>
      <c r="M92" s="152"/>
      <c r="N92" s="152"/>
      <c r="O92" s="152"/>
      <c r="P92" s="152"/>
      <c r="Q92" s="153"/>
      <c r="R92" s="152"/>
      <c r="S92" s="152"/>
      <c r="T92" s="154"/>
      <c r="U92" s="152"/>
      <c r="V92" s="155"/>
      <c r="W92" s="152"/>
      <c r="X92" s="150"/>
      <c r="Y92" s="152"/>
      <c r="Z92" s="152"/>
      <c r="AA92" s="152"/>
      <c r="AB92" s="150"/>
      <c r="AC92" s="152"/>
    </row>
    <row r="93" spans="1:29" x14ac:dyDescent="0.15">
      <c r="A93" s="150"/>
      <c r="B93" s="150"/>
      <c r="C93" s="150"/>
      <c r="D93" s="151"/>
      <c r="E93" s="152"/>
      <c r="F93" s="152"/>
      <c r="G93" s="150"/>
      <c r="H93" s="152"/>
      <c r="I93" s="152"/>
      <c r="J93" s="150"/>
      <c r="K93" s="152"/>
      <c r="L93" s="152"/>
      <c r="M93" s="152"/>
      <c r="N93" s="152"/>
      <c r="O93" s="152"/>
      <c r="P93" s="152"/>
      <c r="Q93" s="153"/>
      <c r="R93" s="152"/>
      <c r="S93" s="152"/>
      <c r="T93" s="154"/>
      <c r="U93" s="152"/>
      <c r="V93" s="155"/>
      <c r="W93" s="152"/>
      <c r="X93" s="150"/>
      <c r="Y93" s="152"/>
      <c r="Z93" s="152"/>
      <c r="AA93" s="152"/>
      <c r="AB93" s="150"/>
      <c r="AC93" s="152"/>
    </row>
    <row r="94" spans="1:29" x14ac:dyDescent="0.15">
      <c r="A94" s="150"/>
      <c r="B94" s="150"/>
      <c r="C94" s="150"/>
      <c r="D94" s="151"/>
      <c r="E94" s="152"/>
      <c r="F94" s="152"/>
      <c r="G94" s="150"/>
      <c r="H94" s="152"/>
      <c r="I94" s="152"/>
      <c r="J94" s="150"/>
      <c r="K94" s="152"/>
      <c r="L94" s="152"/>
      <c r="M94" s="152"/>
      <c r="N94" s="152"/>
      <c r="O94" s="152"/>
      <c r="P94" s="152"/>
      <c r="Q94" s="153"/>
      <c r="R94" s="152"/>
      <c r="S94" s="152"/>
      <c r="T94" s="154"/>
      <c r="U94" s="152"/>
      <c r="V94" s="155"/>
      <c r="W94" s="152"/>
      <c r="X94" s="150"/>
      <c r="Y94" s="152"/>
      <c r="Z94" s="152"/>
      <c r="AA94" s="152"/>
      <c r="AB94" s="150"/>
      <c r="AC94" s="152"/>
    </row>
    <row r="95" spans="1:29" x14ac:dyDescent="0.15">
      <c r="D95" s="151"/>
      <c r="E95" s="152"/>
      <c r="F95" s="152"/>
      <c r="K95" s="152"/>
      <c r="AC95" s="152"/>
    </row>
    <row r="96" spans="1:29" x14ac:dyDescent="0.15">
      <c r="A96" s="150"/>
      <c r="B96" s="150"/>
      <c r="C96" s="150"/>
      <c r="D96" s="151"/>
      <c r="E96" s="152"/>
      <c r="F96" s="152"/>
      <c r="G96" s="150"/>
      <c r="H96" s="152"/>
      <c r="I96" s="152"/>
      <c r="J96" s="150"/>
      <c r="K96" s="152"/>
      <c r="L96" s="152"/>
      <c r="M96" s="152"/>
      <c r="N96" s="152"/>
      <c r="O96" s="152"/>
      <c r="P96" s="152"/>
      <c r="Q96" s="153"/>
      <c r="R96" s="152"/>
      <c r="S96" s="152"/>
      <c r="T96" s="154"/>
      <c r="U96" s="152"/>
      <c r="V96" s="155"/>
      <c r="W96" s="152"/>
      <c r="X96" s="150"/>
      <c r="Y96" s="152"/>
      <c r="Z96" s="152"/>
      <c r="AA96" s="152"/>
      <c r="AB96" s="150"/>
      <c r="AC96" s="152"/>
    </row>
    <row r="97" spans="1:29" x14ac:dyDescent="0.15">
      <c r="A97" s="150"/>
      <c r="B97" s="150"/>
      <c r="C97" s="150"/>
      <c r="G97" s="150"/>
      <c r="H97" s="152"/>
      <c r="I97" s="152"/>
      <c r="J97" s="150"/>
      <c r="K97" s="152"/>
      <c r="L97" s="152"/>
      <c r="M97" s="152"/>
      <c r="N97" s="152"/>
      <c r="O97" s="152"/>
      <c r="P97" s="152"/>
      <c r="Q97" s="153"/>
      <c r="R97" s="152"/>
      <c r="S97" s="152"/>
      <c r="T97" s="154"/>
      <c r="U97" s="152"/>
      <c r="V97" s="155"/>
      <c r="W97" s="152"/>
      <c r="X97" s="150"/>
      <c r="Y97" s="152"/>
      <c r="Z97" s="152"/>
      <c r="AA97" s="152"/>
      <c r="AB97" s="150"/>
      <c r="AC97" s="152"/>
    </row>
    <row r="98" spans="1:29" x14ac:dyDescent="0.15">
      <c r="A98" s="150"/>
      <c r="B98" s="150"/>
      <c r="C98" s="150"/>
      <c r="D98" s="151"/>
      <c r="E98" s="152"/>
      <c r="F98" s="152"/>
      <c r="G98" s="150"/>
      <c r="H98" s="152"/>
      <c r="I98" s="152"/>
      <c r="J98" s="150"/>
      <c r="K98" s="152"/>
      <c r="L98" s="152"/>
      <c r="M98" s="152"/>
      <c r="N98" s="152"/>
      <c r="O98" s="152"/>
      <c r="P98" s="152"/>
      <c r="Q98" s="153"/>
      <c r="R98" s="152"/>
      <c r="S98" s="152"/>
      <c r="T98" s="154"/>
      <c r="U98" s="152"/>
      <c r="V98" s="155"/>
      <c r="W98" s="152"/>
      <c r="X98" s="150"/>
      <c r="Y98" s="152"/>
      <c r="Z98" s="152"/>
      <c r="AA98" s="152"/>
      <c r="AB98" s="150"/>
      <c r="AC98" s="152"/>
    </row>
    <row r="99" spans="1:29" x14ac:dyDescent="0.15">
      <c r="A99" s="150"/>
      <c r="B99" s="150"/>
      <c r="C99" s="150"/>
      <c r="D99" s="151"/>
      <c r="E99" s="152"/>
      <c r="F99" s="152"/>
      <c r="G99" s="150"/>
      <c r="H99" s="152"/>
      <c r="I99" s="152"/>
      <c r="J99" s="150"/>
      <c r="K99" s="152"/>
      <c r="L99" s="152"/>
      <c r="M99" s="152"/>
      <c r="N99" s="152"/>
      <c r="O99" s="152"/>
      <c r="P99" s="152"/>
      <c r="Q99" s="153"/>
      <c r="R99" s="152"/>
      <c r="S99" s="152"/>
      <c r="T99" s="154"/>
      <c r="U99" s="152"/>
      <c r="V99" s="155"/>
      <c r="W99" s="152"/>
      <c r="X99" s="150"/>
      <c r="Y99" s="152"/>
      <c r="Z99" s="152"/>
      <c r="AA99" s="152"/>
      <c r="AB99" s="150"/>
      <c r="AC99" s="152"/>
    </row>
    <row r="100" spans="1:29" x14ac:dyDescent="0.15">
      <c r="A100" s="150"/>
      <c r="B100" s="150"/>
      <c r="C100" s="150"/>
      <c r="D100" s="151"/>
      <c r="E100" s="152"/>
      <c r="F100" s="152"/>
      <c r="G100" s="150"/>
      <c r="H100" s="152"/>
      <c r="I100" s="152"/>
      <c r="J100" s="150"/>
      <c r="K100" s="152"/>
      <c r="L100" s="152"/>
      <c r="M100" s="152"/>
      <c r="N100" s="152"/>
      <c r="O100" s="152"/>
      <c r="P100" s="152"/>
      <c r="Q100" s="153"/>
      <c r="R100" s="152"/>
      <c r="S100" s="152"/>
      <c r="T100" s="154"/>
      <c r="U100" s="152"/>
      <c r="V100" s="155"/>
      <c r="W100" s="152"/>
      <c r="X100" s="150"/>
      <c r="Y100" s="152"/>
      <c r="Z100" s="152"/>
      <c r="AA100" s="152"/>
      <c r="AB100" s="150"/>
      <c r="AC100" s="152"/>
    </row>
    <row r="101" spans="1:29" x14ac:dyDescent="0.15">
      <c r="A101" s="150"/>
      <c r="B101" s="150"/>
      <c r="C101" s="150"/>
      <c r="D101" s="151"/>
      <c r="E101" s="152"/>
      <c r="F101" s="152"/>
      <c r="G101" s="150"/>
      <c r="H101" s="152"/>
      <c r="I101" s="152"/>
      <c r="J101" s="150"/>
      <c r="K101" s="152"/>
      <c r="L101" s="152"/>
      <c r="M101" s="152"/>
      <c r="N101" s="152"/>
      <c r="O101" s="152"/>
      <c r="P101" s="152"/>
      <c r="Q101" s="153"/>
      <c r="R101" s="152"/>
      <c r="S101" s="152"/>
      <c r="T101" s="154"/>
      <c r="U101" s="152"/>
      <c r="V101" s="155"/>
      <c r="W101" s="152"/>
      <c r="X101" s="150"/>
      <c r="Y101" s="152"/>
      <c r="Z101" s="152"/>
      <c r="AA101" s="152"/>
      <c r="AB101" s="150"/>
      <c r="AC101" s="152"/>
    </row>
    <row r="102" spans="1:29" x14ac:dyDescent="0.15">
      <c r="A102" s="150"/>
      <c r="B102" s="150"/>
      <c r="C102" s="150"/>
      <c r="D102" s="151"/>
      <c r="E102" s="152"/>
      <c r="F102" s="152"/>
      <c r="G102" s="150"/>
      <c r="H102" s="152"/>
      <c r="I102" s="152"/>
      <c r="J102" s="150"/>
      <c r="K102" s="152"/>
      <c r="L102" s="152"/>
      <c r="M102" s="152"/>
      <c r="N102" s="152"/>
      <c r="O102" s="152"/>
      <c r="P102" s="152"/>
      <c r="Q102" s="153"/>
      <c r="R102" s="152"/>
      <c r="S102" s="152"/>
      <c r="T102" s="154"/>
      <c r="U102" s="152"/>
      <c r="V102" s="155"/>
      <c r="W102" s="152"/>
      <c r="X102" s="150"/>
      <c r="Y102" s="152"/>
      <c r="Z102" s="152"/>
      <c r="AA102" s="152"/>
      <c r="AB102" s="150"/>
      <c r="AC102" s="152"/>
    </row>
    <row r="103" spans="1:29" x14ac:dyDescent="0.15">
      <c r="A103" s="150"/>
      <c r="B103" s="150"/>
      <c r="C103" s="150"/>
      <c r="D103" s="151"/>
      <c r="E103" s="152"/>
      <c r="F103" s="152"/>
      <c r="G103" s="150"/>
      <c r="H103" s="152"/>
      <c r="I103" s="152"/>
      <c r="J103" s="150"/>
      <c r="K103" s="152"/>
      <c r="L103" s="152"/>
      <c r="M103" s="152"/>
      <c r="N103" s="152"/>
      <c r="O103" s="152"/>
      <c r="P103" s="152"/>
      <c r="Q103" s="153"/>
      <c r="R103" s="152"/>
      <c r="S103" s="152"/>
      <c r="T103" s="154"/>
      <c r="U103" s="152"/>
      <c r="V103" s="155"/>
      <c r="W103" s="152"/>
      <c r="X103" s="150"/>
      <c r="Y103" s="152"/>
      <c r="Z103" s="152"/>
      <c r="AA103" s="152"/>
      <c r="AB103" s="150"/>
      <c r="AC103" s="152"/>
    </row>
    <row r="104" spans="1:29" x14ac:dyDescent="0.15">
      <c r="A104" s="150"/>
      <c r="B104" s="150"/>
      <c r="C104" s="150"/>
      <c r="D104" s="151"/>
      <c r="E104" s="152"/>
      <c r="F104" s="152"/>
      <c r="G104" s="150"/>
      <c r="H104" s="152"/>
      <c r="I104" s="152"/>
      <c r="J104" s="150"/>
      <c r="K104" s="152"/>
      <c r="L104" s="152"/>
      <c r="M104" s="152"/>
      <c r="N104" s="152"/>
      <c r="O104" s="152"/>
      <c r="P104" s="152"/>
      <c r="Q104" s="153"/>
      <c r="R104" s="152"/>
      <c r="S104" s="152"/>
      <c r="T104" s="154"/>
      <c r="U104" s="152"/>
      <c r="V104" s="155"/>
      <c r="W104" s="152"/>
      <c r="X104" s="150"/>
      <c r="Y104" s="152"/>
      <c r="Z104" s="152"/>
      <c r="AA104" s="152"/>
      <c r="AB104" s="150"/>
      <c r="AC104" s="152"/>
    </row>
    <row r="105" spans="1:29" x14ac:dyDescent="0.15">
      <c r="A105" s="150"/>
      <c r="B105" s="150"/>
      <c r="C105" s="150"/>
      <c r="D105" s="151"/>
      <c r="E105" s="152"/>
      <c r="F105" s="152"/>
      <c r="G105" s="150"/>
      <c r="H105" s="152"/>
      <c r="I105" s="152"/>
      <c r="J105" s="150"/>
      <c r="K105" s="152"/>
      <c r="L105" s="152"/>
      <c r="M105" s="152"/>
      <c r="N105" s="152"/>
      <c r="O105" s="152"/>
      <c r="P105" s="152"/>
      <c r="Q105" s="153"/>
      <c r="R105" s="152"/>
      <c r="S105" s="152"/>
      <c r="T105" s="154"/>
      <c r="U105" s="152"/>
      <c r="V105" s="155"/>
      <c r="W105" s="152"/>
      <c r="X105" s="150"/>
      <c r="Y105" s="152"/>
      <c r="Z105" s="152"/>
      <c r="AA105" s="152"/>
      <c r="AB105" s="150"/>
      <c r="AC105" s="152"/>
    </row>
    <row r="106" spans="1:29" x14ac:dyDescent="0.15">
      <c r="A106" s="150"/>
      <c r="B106" s="150"/>
      <c r="C106" s="150"/>
      <c r="D106" s="151"/>
      <c r="E106" s="152"/>
      <c r="F106" s="152"/>
      <c r="G106" s="150"/>
      <c r="H106" s="152"/>
      <c r="I106" s="152"/>
      <c r="J106" s="150"/>
      <c r="K106" s="152"/>
      <c r="L106" s="152"/>
      <c r="M106" s="152"/>
      <c r="N106" s="152"/>
      <c r="O106" s="152"/>
      <c r="P106" s="152"/>
      <c r="Q106" s="153"/>
      <c r="R106" s="152"/>
      <c r="S106" s="152"/>
      <c r="T106" s="154"/>
      <c r="U106" s="152"/>
      <c r="V106" s="155"/>
      <c r="W106" s="152"/>
      <c r="X106" s="150"/>
      <c r="Y106" s="152"/>
      <c r="Z106" s="152"/>
      <c r="AA106" s="152"/>
      <c r="AB106" s="150"/>
      <c r="AC106" s="152"/>
    </row>
    <row r="107" spans="1:29" x14ac:dyDescent="0.15">
      <c r="A107" s="150"/>
      <c r="B107" s="150"/>
      <c r="C107" s="150"/>
      <c r="D107" s="151"/>
      <c r="E107" s="152"/>
      <c r="F107" s="152"/>
      <c r="G107" s="150"/>
      <c r="H107" s="152"/>
      <c r="I107" s="152"/>
      <c r="J107" s="150"/>
      <c r="K107" s="152"/>
      <c r="L107" s="152"/>
      <c r="M107" s="152"/>
      <c r="N107" s="152"/>
      <c r="O107" s="152"/>
      <c r="P107" s="152"/>
      <c r="Q107" s="153"/>
      <c r="R107" s="152"/>
      <c r="S107" s="152"/>
      <c r="T107" s="154"/>
      <c r="U107" s="152"/>
      <c r="V107" s="155"/>
      <c r="W107" s="152"/>
      <c r="X107" s="150"/>
      <c r="Y107" s="152"/>
      <c r="Z107" s="152"/>
      <c r="AA107" s="152"/>
      <c r="AB107" s="150"/>
      <c r="AC107" s="152"/>
    </row>
    <row r="108" spans="1:29" x14ac:dyDescent="0.15">
      <c r="A108" s="150"/>
      <c r="B108" s="150"/>
      <c r="C108" s="150"/>
      <c r="D108" s="151"/>
      <c r="E108" s="152"/>
      <c r="F108" s="152"/>
      <c r="G108" s="150"/>
      <c r="H108" s="152"/>
      <c r="I108" s="152"/>
      <c r="J108" s="150"/>
      <c r="K108" s="152"/>
      <c r="L108" s="152"/>
      <c r="M108" s="152"/>
      <c r="N108" s="152"/>
      <c r="O108" s="152"/>
      <c r="P108" s="152"/>
      <c r="Q108" s="153"/>
      <c r="R108" s="152"/>
      <c r="S108" s="152"/>
      <c r="T108" s="154"/>
      <c r="U108" s="152"/>
      <c r="V108" s="155"/>
      <c r="W108" s="152"/>
      <c r="X108" s="150"/>
      <c r="Y108" s="152"/>
      <c r="Z108" s="152"/>
      <c r="AA108" s="152"/>
      <c r="AB108" s="150"/>
      <c r="AC108" s="152"/>
    </row>
    <row r="109" spans="1:29" x14ac:dyDescent="0.15">
      <c r="A109" s="150"/>
      <c r="B109" s="150"/>
      <c r="C109" s="150"/>
      <c r="D109" s="151"/>
      <c r="E109" s="152"/>
      <c r="F109" s="152"/>
      <c r="G109" s="150"/>
      <c r="H109" s="152"/>
      <c r="I109" s="152"/>
      <c r="J109" s="150"/>
      <c r="K109" s="152"/>
      <c r="L109" s="152"/>
      <c r="M109" s="152"/>
      <c r="N109" s="152"/>
      <c r="O109" s="152"/>
      <c r="P109" s="152"/>
      <c r="Q109" s="153"/>
      <c r="R109" s="152"/>
      <c r="S109" s="152"/>
      <c r="T109" s="154"/>
      <c r="U109" s="152"/>
      <c r="V109" s="155"/>
      <c r="W109" s="152"/>
      <c r="X109" s="150"/>
      <c r="Y109" s="152"/>
      <c r="Z109" s="152"/>
      <c r="AA109" s="152"/>
      <c r="AB109" s="150"/>
      <c r="AC109" s="152"/>
    </row>
    <row r="110" spans="1:29" x14ac:dyDescent="0.15">
      <c r="A110" s="150"/>
      <c r="B110" s="150"/>
      <c r="C110" s="150"/>
      <c r="D110" s="151"/>
      <c r="E110" s="152"/>
      <c r="F110" s="152"/>
      <c r="G110" s="150"/>
      <c r="H110" s="152"/>
      <c r="I110" s="152"/>
      <c r="J110" s="150"/>
      <c r="K110" s="152"/>
      <c r="L110" s="152"/>
      <c r="M110" s="152"/>
      <c r="N110" s="152"/>
      <c r="O110" s="152"/>
      <c r="P110" s="152"/>
      <c r="Q110" s="153"/>
      <c r="R110" s="152"/>
      <c r="S110" s="152"/>
      <c r="T110" s="154"/>
      <c r="U110" s="152"/>
      <c r="V110" s="155"/>
      <c r="W110" s="152"/>
      <c r="X110" s="150"/>
      <c r="Y110" s="152"/>
      <c r="Z110" s="152"/>
      <c r="AA110" s="152"/>
      <c r="AB110" s="150"/>
      <c r="AC110" s="152"/>
    </row>
    <row r="111" spans="1:29" x14ac:dyDescent="0.15">
      <c r="A111" s="150"/>
      <c r="B111" s="150"/>
      <c r="C111" s="150"/>
      <c r="D111" s="151"/>
      <c r="E111" s="152"/>
      <c r="F111" s="152"/>
      <c r="G111" s="150"/>
      <c r="H111" s="152"/>
      <c r="I111" s="152"/>
      <c r="J111" s="150"/>
      <c r="K111" s="152"/>
      <c r="L111" s="152"/>
      <c r="M111" s="152"/>
      <c r="N111" s="152"/>
      <c r="O111" s="152"/>
      <c r="P111" s="152"/>
      <c r="Q111" s="153"/>
      <c r="R111" s="152"/>
      <c r="S111" s="152"/>
      <c r="T111" s="154"/>
      <c r="U111" s="152"/>
      <c r="V111" s="155"/>
      <c r="W111" s="152"/>
      <c r="X111" s="150"/>
      <c r="Y111" s="152"/>
      <c r="Z111" s="152"/>
      <c r="AA111" s="152"/>
      <c r="AB111" s="150"/>
      <c r="AC111" s="152"/>
    </row>
    <row r="112" spans="1:29" x14ac:dyDescent="0.15">
      <c r="A112" s="150"/>
      <c r="B112" s="150"/>
      <c r="C112" s="150"/>
      <c r="D112" s="151"/>
      <c r="E112" s="152"/>
      <c r="F112" s="152"/>
      <c r="G112" s="150"/>
      <c r="H112" s="152"/>
      <c r="I112" s="152"/>
      <c r="J112" s="150"/>
      <c r="K112" s="152"/>
      <c r="L112" s="152"/>
      <c r="M112" s="152"/>
      <c r="N112" s="152"/>
      <c r="O112" s="152"/>
      <c r="P112" s="152"/>
      <c r="Q112" s="153"/>
      <c r="R112" s="152"/>
      <c r="S112" s="152"/>
      <c r="T112" s="154"/>
      <c r="U112" s="152"/>
      <c r="V112" s="155"/>
      <c r="W112" s="152"/>
      <c r="X112" s="150"/>
      <c r="Y112" s="152"/>
      <c r="Z112" s="152"/>
      <c r="AA112" s="152"/>
      <c r="AB112" s="150"/>
      <c r="AC112" s="152"/>
    </row>
    <row r="113" spans="1:29" x14ac:dyDescent="0.15">
      <c r="A113" s="152"/>
      <c r="B113" s="152"/>
      <c r="C113" s="152"/>
      <c r="D113" s="151"/>
      <c r="E113" s="152"/>
      <c r="F113" s="152"/>
      <c r="G113" s="152"/>
      <c r="H113" s="152"/>
      <c r="I113" s="152"/>
      <c r="J113" s="152"/>
      <c r="K113" s="152"/>
      <c r="L113" s="152"/>
      <c r="M113" s="152"/>
      <c r="N113" s="152"/>
      <c r="O113" s="152"/>
      <c r="P113" s="152"/>
      <c r="Q113" s="154"/>
      <c r="R113" s="152"/>
      <c r="S113" s="152"/>
      <c r="T113" s="154"/>
      <c r="U113" s="152"/>
      <c r="V113" s="154"/>
      <c r="W113" s="152"/>
      <c r="X113" s="152"/>
      <c r="Y113" s="152"/>
      <c r="Z113" s="152"/>
      <c r="AA113" s="152"/>
      <c r="AB113" s="152"/>
      <c r="AC113" s="152"/>
    </row>
    <row r="114" spans="1:29" x14ac:dyDescent="0.15">
      <c r="A114" s="152"/>
      <c r="B114" s="152"/>
      <c r="C114" s="152"/>
      <c r="D114" s="151"/>
      <c r="E114" s="152"/>
      <c r="F114" s="152"/>
      <c r="G114" s="152"/>
      <c r="H114" s="152"/>
      <c r="I114" s="152"/>
      <c r="J114" s="152"/>
      <c r="K114" s="152"/>
      <c r="L114" s="152"/>
      <c r="M114" s="152"/>
      <c r="N114" s="152"/>
      <c r="O114" s="152"/>
      <c r="P114" s="152"/>
      <c r="Q114" s="154"/>
      <c r="R114" s="152"/>
      <c r="S114" s="152"/>
      <c r="T114" s="154"/>
      <c r="U114" s="152"/>
      <c r="V114" s="154"/>
      <c r="W114" s="152"/>
      <c r="X114" s="152"/>
      <c r="Y114" s="152"/>
      <c r="Z114" s="152"/>
      <c r="AA114" s="152"/>
      <c r="AB114" s="152"/>
      <c r="AC114" s="152"/>
    </row>
    <row r="115" spans="1:29" x14ac:dyDescent="0.15">
      <c r="D115" s="152"/>
      <c r="E115" s="152"/>
      <c r="F115" s="152"/>
      <c r="K115" s="152"/>
    </row>
    <row r="116" spans="1:29" x14ac:dyDescent="0.15">
      <c r="D116" s="152"/>
      <c r="E116" s="152"/>
      <c r="F116" s="152"/>
      <c r="K116" s="152"/>
    </row>
    <row r="117" spans="1:29" x14ac:dyDescent="0.15">
      <c r="K117" s="152"/>
    </row>
    <row r="118" spans="1:29" x14ac:dyDescent="0.15">
      <c r="K118" s="152"/>
    </row>
    <row r="119" spans="1:29" x14ac:dyDescent="0.15">
      <c r="K119" s="152"/>
    </row>
    <row r="120" spans="1:29" x14ac:dyDescent="0.15">
      <c r="K120" s="152"/>
    </row>
  </sheetData>
  <autoFilter ref="A1:BA1" xr:uid="{00000000-0009-0000-0000-000004000000}"/>
  <phoneticPr fontId="3"/>
  <dataValidations count="21">
    <dataValidation type="list" allowBlank="1" showInputMessage="1" showErrorMessage="1" sqref="K2:K120" xr:uid="{51A87E3C-F6F0-4088-A833-8E59B955CBAB}">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F6E9AEAD-B072-4B58-982E-126FD2C13877}">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CF9ADF95-32BC-4BCE-AEAD-093A0AFFABBD}">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6EDFB394-73A1-4082-8164-CBBF5C26F4AB}">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CF9F0344-263D-4AA1-ACDD-6994422F39A5}">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9B86F7E2-2A40-47C8-A0BF-B21DC224EC46}">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B7FA0BE2-57F6-4C73-AEBB-9CB2180EA1D9}">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42A8C8C5-B3C6-49F4-BE8C-DF09BB53F0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D02CBEF8-8E1D-4155-B80E-4B188CF0B37F}">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D2747476-D502-4F5D-9404-17A14A43E5A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EE1350FA-4237-401D-B347-64B458C33AE9}">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6122AE45-56A2-4D6E-B1A4-4AB6EAC1190B}">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DF250FD7-CE94-47BA-AF1A-876D37EE7AA5}">
      <formula1>$AV$2:$AV$22</formula1>
    </dataValidation>
    <dataValidation type="list" allowBlank="1" showInputMessage="1" showErrorMessage="1" sqref="K121:K500" xr:uid="{B88F6E09-09E1-4E34-8709-C1BAA183C7B2}">
      <formula1>$AR$2:$AR$25</formula1>
    </dataValidation>
    <dataValidation type="list" allowBlank="1" showInputMessage="1" showErrorMessage="1" sqref="J96:J500 J2:J94" xr:uid="{64FC915D-5878-44AF-869C-DA1D7D5A752F}">
      <formula1>$AP$2:$AP$27</formula1>
    </dataValidation>
    <dataValidation type="list" allowBlank="1" showInputMessage="1" showErrorMessage="1" sqref="F98:F502 F2:F96" xr:uid="{005D0FA4-29A3-4FC1-9CE3-9B6B8142CF64}">
      <formula1>$AH$2:$AH$10</formula1>
    </dataValidation>
    <dataValidation type="list" allowBlank="1" showInputMessage="1" showErrorMessage="1" sqref="E98:E502 E2:E96" xr:uid="{C2DB9EB5-E540-435F-8770-E98A2B1DDF20}">
      <formula1>$AG$2:$AG$11</formula1>
    </dataValidation>
    <dataValidation type="list" allowBlank="1" showInputMessage="1" showErrorMessage="1" sqref="A96:A500 A2:A94" xr:uid="{12EBB147-4618-449B-A01C-E698788FF88F}">
      <formula1>$AE$2:$AE$19</formula1>
    </dataValidation>
    <dataValidation type="list" allowBlank="1" showInputMessage="1" showErrorMessage="1" sqref="H96:H500 H2:H94" xr:uid="{7F863E2A-A0FB-4457-B0E9-9CA71BA2A3B4}">
      <formula1>$AL$2:$AL$8</formula1>
    </dataValidation>
    <dataValidation type="list" allowBlank="1" showInputMessage="1" showErrorMessage="1" sqref="Y96:AA500 Y2:AA94" xr:uid="{A5CAA658-59C0-498F-98E6-BC28E807E1B3}">
      <formula1>$AV$2:$AV$21</formula1>
    </dataValidation>
    <dataValidation type="decimal" allowBlank="1" showInputMessage="1" showErrorMessage="1" error="硬度を正しく入力して下さい。" sqref="O96:P500 O28:P28 P15 O44 O50:P94 P13 O18:P19 O23:P25 P35:P37 P44:P46" xr:uid="{7D819E27-608C-447D-AE70-68666C2513C3}">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7F09-0DE7-41AE-A66F-AD7C91F04E22}">
  <dimension ref="A1:BA152"/>
  <sheetViews>
    <sheetView topLeftCell="B1" zoomScale="85" zoomScaleNormal="85" workbookViewId="0">
      <selection activeCell="W47" sqref="W47"/>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311</v>
      </c>
      <c r="O1" s="2" t="s">
        <v>14</v>
      </c>
      <c r="P1" s="2" t="s">
        <v>15</v>
      </c>
      <c r="Q1" s="3" t="s">
        <v>16</v>
      </c>
      <c r="R1" s="2" t="s">
        <v>17</v>
      </c>
      <c r="S1" s="2" t="s">
        <v>18</v>
      </c>
      <c r="T1" s="3" t="s">
        <v>19</v>
      </c>
      <c r="U1" s="4" t="s">
        <v>312</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x14ac:dyDescent="0.15">
      <c r="A2" s="53" t="s">
        <v>59</v>
      </c>
      <c r="B2" s="36" t="s">
        <v>232</v>
      </c>
      <c r="C2" s="166">
        <v>2019</v>
      </c>
      <c r="D2" s="167" t="s">
        <v>167</v>
      </c>
      <c r="E2" s="53" t="s">
        <v>313</v>
      </c>
      <c r="F2" s="53" t="s">
        <v>314</v>
      </c>
      <c r="G2" s="53" t="s">
        <v>36</v>
      </c>
      <c r="H2" s="53" t="s">
        <v>160</v>
      </c>
      <c r="I2" s="53" t="s">
        <v>159</v>
      </c>
      <c r="J2" s="53" t="s">
        <v>38</v>
      </c>
      <c r="K2" s="53" t="s">
        <v>161</v>
      </c>
      <c r="L2" s="53">
        <v>1</v>
      </c>
      <c r="N2" s="53">
        <v>4</v>
      </c>
      <c r="O2" s="53">
        <v>0.55000000000000004</v>
      </c>
      <c r="P2" s="53">
        <v>0.48</v>
      </c>
      <c r="Q2" s="98">
        <f>IF(OR(O2="",P2=""),"",AVERAGE(O2,P2))</f>
        <v>0.51500000000000001</v>
      </c>
      <c r="R2" s="53">
        <v>15.2</v>
      </c>
      <c r="S2" s="53">
        <v>114</v>
      </c>
      <c r="T2" s="16">
        <f t="shared" ref="T2:T49" si="0">IF(H2="","",IF(OR(H2="GREEN",H2="GK"),IF(S2&gt;=$AX$2,VLOOKUP(S2,$AX$2:$AY$12,2,1),""),IF(S2&gt;=$AZ$2,VLOOKUP(S2,$AZ$2:$BA$12,2,1),"")))</f>
        <v>30</v>
      </c>
      <c r="U2" s="53">
        <v>480</v>
      </c>
      <c r="V2" s="16">
        <f t="shared" ref="V2:V49" si="1">IF(J2="","",IF(OR(J2="GREEN",J2="GK"),IF(U2&gt;=$AX$2,VLOOKUP(U2,$AX$2:$AY$12,2,1),""),IF(U2&gt;=$AZ$2,VLOOKUP(U2,$AZ$2:$BA$12,2,1),"")))</f>
        <v>16</v>
      </c>
      <c r="W2" s="53">
        <v>5</v>
      </c>
      <c r="X2" s="53" t="s">
        <v>39</v>
      </c>
      <c r="Y2" s="53" t="s">
        <v>315</v>
      </c>
      <c r="Z2" s="53" t="s">
        <v>47</v>
      </c>
      <c r="AA2" s="53" t="s">
        <v>78</v>
      </c>
      <c r="AB2" s="36" t="s">
        <v>316</v>
      </c>
      <c r="AE2" s="17" t="s">
        <v>35</v>
      </c>
      <c r="AG2" s="168" t="s">
        <v>317</v>
      </c>
      <c r="AH2" s="169" t="s">
        <v>318</v>
      </c>
      <c r="AJ2" s="170" t="s">
        <v>36</v>
      </c>
      <c r="AL2" s="18" t="s">
        <v>127</v>
      </c>
      <c r="AN2" s="171" t="s">
        <v>319</v>
      </c>
      <c r="AP2" s="18" t="s">
        <v>38</v>
      </c>
      <c r="AR2" s="18" t="s">
        <v>120</v>
      </c>
      <c r="AT2" s="170" t="s">
        <v>39</v>
      </c>
      <c r="AV2" s="23" t="s">
        <v>55</v>
      </c>
      <c r="AX2" s="172">
        <v>1</v>
      </c>
      <c r="AY2" s="173">
        <v>50</v>
      </c>
      <c r="AZ2" s="173">
        <v>1</v>
      </c>
      <c r="BA2" s="174">
        <v>50</v>
      </c>
    </row>
    <row r="3" spans="1:53" x14ac:dyDescent="0.15">
      <c r="A3" s="53" t="s">
        <v>59</v>
      </c>
      <c r="B3" s="36" t="s">
        <v>232</v>
      </c>
      <c r="C3" s="166">
        <v>2019</v>
      </c>
      <c r="D3" s="167" t="s">
        <v>167</v>
      </c>
      <c r="E3" s="53" t="s">
        <v>313</v>
      </c>
      <c r="F3" s="53" t="s">
        <v>314</v>
      </c>
      <c r="G3" s="53" t="s">
        <v>36</v>
      </c>
      <c r="H3" s="53" t="s">
        <v>160</v>
      </c>
      <c r="I3" s="53" t="s">
        <v>159</v>
      </c>
      <c r="J3" s="53" t="s">
        <v>38</v>
      </c>
      <c r="K3" s="53" t="s">
        <v>161</v>
      </c>
      <c r="L3" s="53">
        <v>2</v>
      </c>
      <c r="N3" s="53">
        <v>4</v>
      </c>
      <c r="O3" s="53">
        <v>0.48</v>
      </c>
      <c r="P3" s="53">
        <v>0.49</v>
      </c>
      <c r="Q3" s="98">
        <f t="shared" ref="Q3:Q49" si="2">IF(OR(O3="",P3=""),"",AVERAGE(O3,P3))</f>
        <v>0.48499999999999999</v>
      </c>
      <c r="R3" s="53">
        <v>14.3</v>
      </c>
      <c r="S3" s="53">
        <v>115</v>
      </c>
      <c r="T3" s="16">
        <f t="shared" si="0"/>
        <v>30</v>
      </c>
      <c r="U3" s="53">
        <v>480</v>
      </c>
      <c r="V3" s="16">
        <f t="shared" si="1"/>
        <v>16</v>
      </c>
      <c r="W3" s="53">
        <v>5</v>
      </c>
      <c r="X3" s="53" t="s">
        <v>39</v>
      </c>
      <c r="Y3" s="53" t="s">
        <v>315</v>
      </c>
      <c r="Z3" s="53" t="s">
        <v>47</v>
      </c>
      <c r="AA3" s="53" t="s">
        <v>78</v>
      </c>
      <c r="AB3" s="36" t="s">
        <v>316</v>
      </c>
      <c r="AE3" s="22" t="s">
        <v>41</v>
      </c>
      <c r="AG3" s="168" t="s">
        <v>320</v>
      </c>
      <c r="AH3" s="169" t="s">
        <v>314</v>
      </c>
      <c r="AJ3" s="23" t="s">
        <v>42</v>
      </c>
      <c r="AL3" s="23" t="s">
        <v>128</v>
      </c>
      <c r="AN3" s="23" t="s">
        <v>43</v>
      </c>
      <c r="AP3" s="23" t="s">
        <v>44</v>
      </c>
      <c r="AR3" s="41" t="s">
        <v>45</v>
      </c>
      <c r="AT3" s="23" t="s">
        <v>46</v>
      </c>
      <c r="AV3" s="23" t="s">
        <v>321</v>
      </c>
      <c r="AX3" s="24">
        <v>72</v>
      </c>
      <c r="AY3" s="25">
        <v>46</v>
      </c>
      <c r="AZ3" s="25">
        <v>71</v>
      </c>
      <c r="BA3" s="26">
        <v>42</v>
      </c>
    </row>
    <row r="4" spans="1:53" x14ac:dyDescent="0.15">
      <c r="A4" s="53" t="s">
        <v>59</v>
      </c>
      <c r="B4" s="36" t="s">
        <v>232</v>
      </c>
      <c r="C4" s="166">
        <v>2019</v>
      </c>
      <c r="D4" s="167" t="s">
        <v>167</v>
      </c>
      <c r="E4" s="53" t="s">
        <v>313</v>
      </c>
      <c r="F4" s="53" t="s">
        <v>314</v>
      </c>
      <c r="G4" s="53" t="s">
        <v>36</v>
      </c>
      <c r="H4" s="53" t="s">
        <v>160</v>
      </c>
      <c r="I4" s="53" t="s">
        <v>322</v>
      </c>
      <c r="J4" s="53" t="s">
        <v>38</v>
      </c>
      <c r="K4" s="53" t="s">
        <v>161</v>
      </c>
      <c r="L4" s="53">
        <v>3</v>
      </c>
      <c r="N4" s="53">
        <v>4</v>
      </c>
      <c r="O4" s="53">
        <v>0.47</v>
      </c>
      <c r="P4" s="53">
        <v>0.46</v>
      </c>
      <c r="Q4" s="98">
        <f t="shared" si="2"/>
        <v>0.46499999999999997</v>
      </c>
      <c r="R4" s="53">
        <v>15.4</v>
      </c>
      <c r="S4" s="53">
        <v>111</v>
      </c>
      <c r="T4" s="16">
        <f t="shared" si="0"/>
        <v>33</v>
      </c>
      <c r="U4" s="53">
        <v>480</v>
      </c>
      <c r="V4" s="16">
        <f t="shared" si="1"/>
        <v>16</v>
      </c>
      <c r="W4" s="53">
        <v>5</v>
      </c>
      <c r="X4" s="53" t="s">
        <v>39</v>
      </c>
      <c r="Y4" s="53" t="s">
        <v>315</v>
      </c>
      <c r="Z4" s="53" t="s">
        <v>47</v>
      </c>
      <c r="AA4" s="53" t="s">
        <v>78</v>
      </c>
      <c r="AB4" s="36" t="s">
        <v>316</v>
      </c>
      <c r="AE4" s="22" t="s">
        <v>34</v>
      </c>
      <c r="AG4" s="168" t="s">
        <v>323</v>
      </c>
      <c r="AH4" s="169" t="s">
        <v>324</v>
      </c>
      <c r="AJ4" s="27" t="s">
        <v>48</v>
      </c>
      <c r="AL4" s="27" t="s">
        <v>129</v>
      </c>
      <c r="AN4" s="28" t="s">
        <v>49</v>
      </c>
      <c r="AP4" s="23" t="s">
        <v>93</v>
      </c>
      <c r="AR4" s="41" t="s">
        <v>325</v>
      </c>
      <c r="AT4" s="28"/>
      <c r="AV4" s="23" t="s">
        <v>315</v>
      </c>
      <c r="AX4" s="24">
        <v>75</v>
      </c>
      <c r="AY4" s="25">
        <v>42</v>
      </c>
      <c r="AZ4" s="25">
        <v>76</v>
      </c>
      <c r="BA4" s="26">
        <v>39</v>
      </c>
    </row>
    <row r="5" spans="1:53" x14ac:dyDescent="0.15">
      <c r="A5" s="53" t="s">
        <v>59</v>
      </c>
      <c r="B5" s="36" t="s">
        <v>232</v>
      </c>
      <c r="C5" s="166">
        <v>2019</v>
      </c>
      <c r="D5" s="167" t="s">
        <v>167</v>
      </c>
      <c r="E5" s="53" t="s">
        <v>317</v>
      </c>
      <c r="F5" s="53" t="s">
        <v>318</v>
      </c>
      <c r="G5" s="53" t="s">
        <v>36</v>
      </c>
      <c r="H5" s="53" t="s">
        <v>160</v>
      </c>
      <c r="I5" s="53" t="s">
        <v>159</v>
      </c>
      <c r="J5" s="53" t="s">
        <v>38</v>
      </c>
      <c r="K5" s="53" t="s">
        <v>161</v>
      </c>
      <c r="L5" s="53">
        <v>1</v>
      </c>
      <c r="N5" s="53">
        <v>4</v>
      </c>
      <c r="O5" s="53">
        <v>0.41</v>
      </c>
      <c r="P5" s="53">
        <v>0.53</v>
      </c>
      <c r="Q5" s="98">
        <f t="shared" si="2"/>
        <v>0.47</v>
      </c>
      <c r="R5" s="53">
        <v>15.3</v>
      </c>
      <c r="S5" s="53">
        <v>92</v>
      </c>
      <c r="T5" s="16">
        <f t="shared" si="0"/>
        <v>36</v>
      </c>
      <c r="U5" s="53">
        <v>397</v>
      </c>
      <c r="V5" s="16">
        <f t="shared" si="1"/>
        <v>16</v>
      </c>
      <c r="W5" s="53">
        <v>5</v>
      </c>
      <c r="X5" s="53" t="s">
        <v>39</v>
      </c>
      <c r="Y5" s="53" t="s">
        <v>315</v>
      </c>
      <c r="Z5" s="53" t="s">
        <v>40</v>
      </c>
      <c r="AA5" s="53" t="s">
        <v>321</v>
      </c>
      <c r="AB5" s="36" t="s">
        <v>316</v>
      </c>
      <c r="AE5" s="22" t="s">
        <v>51</v>
      </c>
      <c r="AG5" s="168" t="s">
        <v>326</v>
      </c>
      <c r="AH5" s="169" t="s">
        <v>327</v>
      </c>
      <c r="AJ5" s="28"/>
      <c r="AL5" s="29" t="s">
        <v>66</v>
      </c>
      <c r="AN5" s="80" t="s">
        <v>52</v>
      </c>
      <c r="AP5" s="23" t="s">
        <v>244</v>
      </c>
      <c r="AR5" s="41" t="s">
        <v>54</v>
      </c>
      <c r="AV5" s="23" t="s">
        <v>328</v>
      </c>
      <c r="AX5" s="24">
        <v>84</v>
      </c>
      <c r="AY5" s="25">
        <v>39</v>
      </c>
      <c r="AZ5" s="25">
        <v>84</v>
      </c>
      <c r="BA5" s="26">
        <v>36</v>
      </c>
    </row>
    <row r="6" spans="1:53" x14ac:dyDescent="0.15">
      <c r="A6" s="53" t="s">
        <v>59</v>
      </c>
      <c r="B6" s="36" t="s">
        <v>232</v>
      </c>
      <c r="C6" s="166">
        <v>2019</v>
      </c>
      <c r="D6" s="167" t="s">
        <v>167</v>
      </c>
      <c r="E6" s="53" t="s">
        <v>317</v>
      </c>
      <c r="F6" s="53" t="s">
        <v>318</v>
      </c>
      <c r="G6" s="53" t="s">
        <v>36</v>
      </c>
      <c r="H6" s="53" t="s">
        <v>160</v>
      </c>
      <c r="I6" s="53" t="s">
        <v>159</v>
      </c>
      <c r="J6" s="53" t="s">
        <v>38</v>
      </c>
      <c r="K6" s="53" t="s">
        <v>161</v>
      </c>
      <c r="L6" s="53">
        <v>2</v>
      </c>
      <c r="N6" s="53">
        <v>4</v>
      </c>
      <c r="O6" s="53">
        <v>0.34</v>
      </c>
      <c r="P6" s="53">
        <v>0.4</v>
      </c>
      <c r="Q6" s="98">
        <f t="shared" si="2"/>
        <v>0.37</v>
      </c>
      <c r="R6" s="53">
        <v>16.600000000000001</v>
      </c>
      <c r="S6" s="53">
        <v>89</v>
      </c>
      <c r="T6" s="16">
        <f t="shared" si="0"/>
        <v>36</v>
      </c>
      <c r="U6" s="53">
        <v>397</v>
      </c>
      <c r="V6" s="16">
        <f t="shared" si="1"/>
        <v>16</v>
      </c>
      <c r="W6" s="53">
        <v>5</v>
      </c>
      <c r="X6" s="53" t="s">
        <v>39</v>
      </c>
      <c r="Y6" s="53" t="s">
        <v>315</v>
      </c>
      <c r="Z6" s="53" t="s">
        <v>40</v>
      </c>
      <c r="AA6" s="53" t="s">
        <v>321</v>
      </c>
      <c r="AB6" s="36" t="s">
        <v>316</v>
      </c>
      <c r="AE6" s="22" t="s">
        <v>56</v>
      </c>
      <c r="AG6" s="168" t="s">
        <v>329</v>
      </c>
      <c r="AH6" s="169" t="s">
        <v>330</v>
      </c>
      <c r="AL6" s="29" t="s">
        <v>99</v>
      </c>
      <c r="AN6" s="29" t="s">
        <v>57</v>
      </c>
      <c r="AP6" s="23" t="s">
        <v>53</v>
      </c>
      <c r="AR6" s="41" t="s">
        <v>331</v>
      </c>
      <c r="AV6" s="23" t="s">
        <v>60</v>
      </c>
      <c r="AX6" s="24">
        <v>97</v>
      </c>
      <c r="AY6" s="25">
        <v>36</v>
      </c>
      <c r="AZ6" s="25">
        <v>99</v>
      </c>
      <c r="BA6" s="26">
        <v>33</v>
      </c>
    </row>
    <row r="7" spans="1:53" x14ac:dyDescent="0.15">
      <c r="A7" s="53" t="s">
        <v>59</v>
      </c>
      <c r="B7" s="36" t="s">
        <v>232</v>
      </c>
      <c r="C7" s="166">
        <v>2019</v>
      </c>
      <c r="D7" s="167" t="s">
        <v>167</v>
      </c>
      <c r="E7" s="53" t="s">
        <v>317</v>
      </c>
      <c r="F7" s="53" t="s">
        <v>318</v>
      </c>
      <c r="G7" s="53" t="s">
        <v>36</v>
      </c>
      <c r="H7" s="53" t="s">
        <v>160</v>
      </c>
      <c r="I7" s="53" t="s">
        <v>159</v>
      </c>
      <c r="J7" s="53" t="s">
        <v>38</v>
      </c>
      <c r="K7" s="53" t="s">
        <v>161</v>
      </c>
      <c r="L7" s="53">
        <v>3</v>
      </c>
      <c r="N7" s="53">
        <v>4</v>
      </c>
      <c r="O7" s="53">
        <v>0.39</v>
      </c>
      <c r="P7" s="53">
        <v>0.45</v>
      </c>
      <c r="Q7" s="98">
        <f t="shared" si="2"/>
        <v>0.42000000000000004</v>
      </c>
      <c r="R7" s="53">
        <v>16</v>
      </c>
      <c r="S7" s="53">
        <v>90</v>
      </c>
      <c r="T7" s="16">
        <f t="shared" si="0"/>
        <v>36</v>
      </c>
      <c r="U7" s="53">
        <v>397</v>
      </c>
      <c r="V7" s="16">
        <f t="shared" si="1"/>
        <v>16</v>
      </c>
      <c r="W7" s="53">
        <v>5</v>
      </c>
      <c r="X7" s="53" t="s">
        <v>39</v>
      </c>
      <c r="Y7" s="53" t="s">
        <v>315</v>
      </c>
      <c r="Z7" s="53" t="s">
        <v>40</v>
      </c>
      <c r="AA7" s="53" t="s">
        <v>321</v>
      </c>
      <c r="AB7" s="36" t="s">
        <v>316</v>
      </c>
      <c r="AE7" s="22" t="s">
        <v>61</v>
      </c>
      <c r="AG7" s="168" t="s">
        <v>332</v>
      </c>
      <c r="AH7" s="169" t="s">
        <v>333</v>
      </c>
      <c r="AL7" s="34" t="s">
        <v>109</v>
      </c>
      <c r="AP7" s="23" t="s">
        <v>58</v>
      </c>
      <c r="AR7" s="30" t="s">
        <v>334</v>
      </c>
      <c r="AV7" s="23" t="s">
        <v>64</v>
      </c>
      <c r="AX7" s="24">
        <v>109</v>
      </c>
      <c r="AY7" s="25">
        <v>33</v>
      </c>
      <c r="AZ7" s="25">
        <v>113</v>
      </c>
      <c r="BA7" s="26">
        <v>30</v>
      </c>
    </row>
    <row r="8" spans="1:53" x14ac:dyDescent="0.15">
      <c r="A8" s="53" t="s">
        <v>59</v>
      </c>
      <c r="B8" s="36" t="s">
        <v>232</v>
      </c>
      <c r="C8" s="166">
        <v>2019</v>
      </c>
      <c r="D8" s="167" t="s">
        <v>167</v>
      </c>
      <c r="E8" s="53" t="s">
        <v>317</v>
      </c>
      <c r="F8" s="53" t="s">
        <v>318</v>
      </c>
      <c r="G8" s="53" t="s">
        <v>36</v>
      </c>
      <c r="H8" s="53" t="s">
        <v>165</v>
      </c>
      <c r="I8" s="53" t="s">
        <v>159</v>
      </c>
      <c r="J8" s="53" t="s">
        <v>38</v>
      </c>
      <c r="K8" s="53" t="s">
        <v>161</v>
      </c>
      <c r="L8" s="53">
        <v>1</v>
      </c>
      <c r="N8" s="53">
        <v>1</v>
      </c>
      <c r="O8" s="53">
        <v>0.67</v>
      </c>
      <c r="P8" s="53">
        <v>0.78</v>
      </c>
      <c r="Q8" s="98">
        <f t="shared" si="2"/>
        <v>0.72500000000000009</v>
      </c>
      <c r="R8" s="53">
        <v>14.5</v>
      </c>
      <c r="S8" s="53">
        <v>132</v>
      </c>
      <c r="T8" s="16">
        <f t="shared" si="0"/>
        <v>25</v>
      </c>
      <c r="U8" s="53">
        <v>127</v>
      </c>
      <c r="V8" s="16">
        <f t="shared" si="1"/>
        <v>27</v>
      </c>
      <c r="W8" s="53">
        <v>1</v>
      </c>
      <c r="X8" s="53" t="s">
        <v>46</v>
      </c>
      <c r="Y8" s="53" t="s">
        <v>315</v>
      </c>
      <c r="Z8" s="53" t="s">
        <v>40</v>
      </c>
      <c r="AA8" s="53" t="s">
        <v>321</v>
      </c>
      <c r="AB8" s="36" t="s">
        <v>316</v>
      </c>
      <c r="AE8" s="22" t="s">
        <v>59</v>
      </c>
      <c r="AG8" s="175" t="s">
        <v>162</v>
      </c>
      <c r="AH8" s="169" t="s">
        <v>335</v>
      </c>
      <c r="AL8" s="34" t="s">
        <v>134</v>
      </c>
      <c r="AP8" s="23" t="s">
        <v>62</v>
      </c>
      <c r="AR8" s="41" t="s">
        <v>81</v>
      </c>
      <c r="AV8" s="23" t="s">
        <v>97</v>
      </c>
      <c r="AX8" s="24">
        <v>119</v>
      </c>
      <c r="AY8" s="25">
        <v>30</v>
      </c>
      <c r="AZ8" s="25">
        <v>121</v>
      </c>
      <c r="BA8" s="26">
        <v>27</v>
      </c>
    </row>
    <row r="9" spans="1:53" x14ac:dyDescent="0.15">
      <c r="A9" s="53" t="s">
        <v>59</v>
      </c>
      <c r="B9" s="36" t="s">
        <v>232</v>
      </c>
      <c r="C9" s="166">
        <v>2019</v>
      </c>
      <c r="D9" s="167" t="s">
        <v>167</v>
      </c>
      <c r="E9" s="53" t="s">
        <v>317</v>
      </c>
      <c r="F9" s="53" t="s">
        <v>318</v>
      </c>
      <c r="G9" s="53" t="s">
        <v>36</v>
      </c>
      <c r="H9" s="53" t="s">
        <v>165</v>
      </c>
      <c r="I9" s="53" t="s">
        <v>159</v>
      </c>
      <c r="J9" s="53" t="s">
        <v>38</v>
      </c>
      <c r="K9" s="53" t="s">
        <v>161</v>
      </c>
      <c r="L9" s="53">
        <v>2</v>
      </c>
      <c r="N9" s="53">
        <v>1</v>
      </c>
      <c r="O9" s="53">
        <v>0.45</v>
      </c>
      <c r="P9" s="53">
        <v>0.6</v>
      </c>
      <c r="Q9" s="98">
        <f t="shared" si="2"/>
        <v>0.52500000000000002</v>
      </c>
      <c r="R9" s="53">
        <v>15.4</v>
      </c>
      <c r="S9" s="53">
        <v>134</v>
      </c>
      <c r="T9" s="16">
        <f t="shared" si="0"/>
        <v>25</v>
      </c>
      <c r="U9" s="53">
        <v>127</v>
      </c>
      <c r="V9" s="16">
        <f t="shared" si="1"/>
        <v>27</v>
      </c>
      <c r="W9" s="53">
        <v>1</v>
      </c>
      <c r="X9" s="53" t="s">
        <v>46</v>
      </c>
      <c r="Y9" s="53" t="s">
        <v>315</v>
      </c>
      <c r="Z9" s="53" t="s">
        <v>40</v>
      </c>
      <c r="AA9" s="53" t="s">
        <v>321</v>
      </c>
      <c r="AB9" s="36" t="s">
        <v>316</v>
      </c>
      <c r="AE9" s="22" t="s">
        <v>98</v>
      </c>
      <c r="AG9" s="175" t="s">
        <v>336</v>
      </c>
      <c r="AH9" s="169" t="s">
        <v>335</v>
      </c>
      <c r="AL9" s="29"/>
      <c r="AP9" s="23" t="s">
        <v>337</v>
      </c>
      <c r="AR9" s="30" t="s">
        <v>89</v>
      </c>
      <c r="AV9" s="23" t="s">
        <v>102</v>
      </c>
      <c r="AX9" s="24">
        <v>128</v>
      </c>
      <c r="AY9" s="25">
        <v>27</v>
      </c>
      <c r="AZ9" s="25">
        <v>129</v>
      </c>
      <c r="BA9" s="26">
        <v>25</v>
      </c>
    </row>
    <row r="10" spans="1:53" x14ac:dyDescent="0.15">
      <c r="A10" s="53" t="s">
        <v>59</v>
      </c>
      <c r="B10" s="36" t="s">
        <v>232</v>
      </c>
      <c r="C10" s="166">
        <v>2019</v>
      </c>
      <c r="D10" s="167" t="s">
        <v>167</v>
      </c>
      <c r="E10" s="53" t="s">
        <v>317</v>
      </c>
      <c r="F10" s="53" t="s">
        <v>318</v>
      </c>
      <c r="G10" s="53" t="s">
        <v>36</v>
      </c>
      <c r="H10" s="53" t="s">
        <v>165</v>
      </c>
      <c r="I10" s="53" t="s">
        <v>159</v>
      </c>
      <c r="J10" s="53" t="s">
        <v>38</v>
      </c>
      <c r="K10" s="53" t="s">
        <v>161</v>
      </c>
      <c r="L10" s="53">
        <v>3</v>
      </c>
      <c r="N10" s="53">
        <v>1</v>
      </c>
      <c r="O10" s="53">
        <v>0.63</v>
      </c>
      <c r="P10" s="53">
        <v>0.6</v>
      </c>
      <c r="Q10" s="98">
        <f t="shared" si="2"/>
        <v>0.61499999999999999</v>
      </c>
      <c r="R10" s="53">
        <v>14.2</v>
      </c>
      <c r="S10" s="53">
        <v>135</v>
      </c>
      <c r="T10" s="16">
        <f t="shared" si="0"/>
        <v>25</v>
      </c>
      <c r="U10" s="53">
        <v>127</v>
      </c>
      <c r="V10" s="16">
        <f t="shared" si="1"/>
        <v>27</v>
      </c>
      <c r="W10" s="53">
        <v>1</v>
      </c>
      <c r="X10" s="53" t="s">
        <v>46</v>
      </c>
      <c r="Y10" s="53" t="s">
        <v>315</v>
      </c>
      <c r="Z10" s="53" t="s">
        <v>40</v>
      </c>
      <c r="AA10" s="53" t="s">
        <v>321</v>
      </c>
      <c r="AB10" s="36" t="s">
        <v>316</v>
      </c>
      <c r="AE10" s="22" t="s">
        <v>103</v>
      </c>
      <c r="AG10" s="168" t="s">
        <v>338</v>
      </c>
      <c r="AH10" s="169" t="s">
        <v>327</v>
      </c>
      <c r="AL10" s="100"/>
      <c r="AP10" s="23" t="s">
        <v>100</v>
      </c>
      <c r="AR10" s="30" t="s">
        <v>123</v>
      </c>
      <c r="AV10" s="23" t="s">
        <v>106</v>
      </c>
      <c r="AX10" s="24">
        <v>138</v>
      </c>
      <c r="AY10" s="25">
        <v>25</v>
      </c>
      <c r="AZ10" s="25">
        <v>138</v>
      </c>
      <c r="BA10" s="26">
        <v>22</v>
      </c>
    </row>
    <row r="11" spans="1:53" x14ac:dyDescent="0.15">
      <c r="A11" s="53" t="s">
        <v>59</v>
      </c>
      <c r="B11" s="36" t="s">
        <v>232</v>
      </c>
      <c r="C11" s="166">
        <v>2019</v>
      </c>
      <c r="D11" s="167" t="s">
        <v>167</v>
      </c>
      <c r="E11" s="53" t="s">
        <v>326</v>
      </c>
      <c r="F11" s="53" t="s">
        <v>327</v>
      </c>
      <c r="G11" s="53" t="s">
        <v>36</v>
      </c>
      <c r="H11" s="53" t="s">
        <v>160</v>
      </c>
      <c r="I11" s="53" t="s">
        <v>159</v>
      </c>
      <c r="J11" s="53" t="s">
        <v>38</v>
      </c>
      <c r="K11" s="53" t="s">
        <v>161</v>
      </c>
      <c r="L11" s="53">
        <v>1</v>
      </c>
      <c r="N11" s="53">
        <v>2</v>
      </c>
      <c r="O11" s="53">
        <v>0.45</v>
      </c>
      <c r="P11" s="53">
        <v>0.46</v>
      </c>
      <c r="Q11" s="98">
        <f t="shared" si="2"/>
        <v>0.45500000000000002</v>
      </c>
      <c r="R11" s="53">
        <v>17.7</v>
      </c>
      <c r="S11" s="53">
        <v>155</v>
      </c>
      <c r="T11" s="16">
        <f t="shared" si="0"/>
        <v>18</v>
      </c>
      <c r="U11" s="53">
        <v>299</v>
      </c>
      <c r="V11" s="16">
        <f t="shared" si="1"/>
        <v>16</v>
      </c>
      <c r="W11" s="53">
        <v>5</v>
      </c>
      <c r="X11" s="53" t="s">
        <v>46</v>
      </c>
      <c r="Y11" s="53" t="s">
        <v>47</v>
      </c>
      <c r="Z11" s="53" t="s">
        <v>55</v>
      </c>
      <c r="AA11" s="53" t="s">
        <v>90</v>
      </c>
      <c r="AB11" s="36" t="s">
        <v>316</v>
      </c>
      <c r="AE11" s="22" t="s">
        <v>65</v>
      </c>
      <c r="AG11" s="175" t="s">
        <v>339</v>
      </c>
      <c r="AH11" s="169" t="s">
        <v>340</v>
      </c>
      <c r="AL11" s="100"/>
      <c r="AP11" s="23" t="s">
        <v>341</v>
      </c>
      <c r="AR11" s="30" t="s">
        <v>342</v>
      </c>
      <c r="AV11" s="23" t="s">
        <v>343</v>
      </c>
      <c r="AX11" s="24">
        <v>151</v>
      </c>
      <c r="AY11" s="25">
        <v>22</v>
      </c>
      <c r="AZ11" s="25">
        <v>152</v>
      </c>
      <c r="BA11" s="26">
        <v>18</v>
      </c>
    </row>
    <row r="12" spans="1:53" x14ac:dyDescent="0.15">
      <c r="A12" s="53" t="s">
        <v>59</v>
      </c>
      <c r="B12" s="36" t="s">
        <v>232</v>
      </c>
      <c r="C12" s="166">
        <v>2019</v>
      </c>
      <c r="D12" s="167" t="s">
        <v>167</v>
      </c>
      <c r="E12" s="53" t="s">
        <v>326</v>
      </c>
      <c r="F12" s="53" t="s">
        <v>327</v>
      </c>
      <c r="G12" s="53" t="s">
        <v>36</v>
      </c>
      <c r="H12" s="53" t="s">
        <v>160</v>
      </c>
      <c r="I12" s="53" t="s">
        <v>159</v>
      </c>
      <c r="J12" s="53" t="s">
        <v>38</v>
      </c>
      <c r="K12" s="53" t="s">
        <v>161</v>
      </c>
      <c r="L12" s="53">
        <v>2</v>
      </c>
      <c r="N12" s="53">
        <v>2</v>
      </c>
      <c r="O12" s="53">
        <v>0.25</v>
      </c>
      <c r="P12" s="53">
        <v>0.3</v>
      </c>
      <c r="Q12" s="98">
        <f t="shared" si="2"/>
        <v>0.27500000000000002</v>
      </c>
      <c r="R12" s="53">
        <v>17.5</v>
      </c>
      <c r="S12" s="53">
        <v>155</v>
      </c>
      <c r="T12" s="16">
        <f t="shared" si="0"/>
        <v>18</v>
      </c>
      <c r="U12" s="53">
        <v>299</v>
      </c>
      <c r="V12" s="16">
        <f t="shared" si="1"/>
        <v>16</v>
      </c>
      <c r="W12" s="53">
        <v>5</v>
      </c>
      <c r="X12" s="53" t="s">
        <v>46</v>
      </c>
      <c r="Y12" s="53" t="s">
        <v>47</v>
      </c>
      <c r="Z12" s="53" t="s">
        <v>55</v>
      </c>
      <c r="AA12" s="53" t="s">
        <v>90</v>
      </c>
      <c r="AB12" s="36" t="s">
        <v>316</v>
      </c>
      <c r="AE12" s="22" t="s">
        <v>70</v>
      </c>
      <c r="AG12" s="30"/>
      <c r="AH12" s="176"/>
      <c r="AL12" s="100"/>
      <c r="AP12" s="23" t="s">
        <v>67</v>
      </c>
      <c r="AR12" s="30" t="s">
        <v>124</v>
      </c>
      <c r="AV12" s="23" t="s">
        <v>72</v>
      </c>
      <c r="AX12" s="31">
        <v>180</v>
      </c>
      <c r="AY12" s="32">
        <v>18</v>
      </c>
      <c r="AZ12" s="32">
        <v>181</v>
      </c>
      <c r="BA12" s="33">
        <v>16</v>
      </c>
    </row>
    <row r="13" spans="1:53" x14ac:dyDescent="0.15">
      <c r="A13" s="53" t="s">
        <v>59</v>
      </c>
      <c r="B13" s="36" t="s">
        <v>232</v>
      </c>
      <c r="C13" s="166">
        <v>2019</v>
      </c>
      <c r="D13" s="167" t="s">
        <v>167</v>
      </c>
      <c r="E13" s="53" t="s">
        <v>326</v>
      </c>
      <c r="F13" s="53" t="s">
        <v>327</v>
      </c>
      <c r="G13" s="53" t="s">
        <v>36</v>
      </c>
      <c r="H13" s="53" t="s">
        <v>160</v>
      </c>
      <c r="I13" s="53" t="s">
        <v>159</v>
      </c>
      <c r="J13" s="53" t="s">
        <v>38</v>
      </c>
      <c r="K13" s="53" t="s">
        <v>161</v>
      </c>
      <c r="L13" s="53">
        <v>3</v>
      </c>
      <c r="N13" s="53">
        <v>2</v>
      </c>
      <c r="O13" s="53">
        <v>0.42</v>
      </c>
      <c r="P13" s="53">
        <v>0.45</v>
      </c>
      <c r="Q13" s="98">
        <f t="shared" si="2"/>
        <v>0.435</v>
      </c>
      <c r="R13" s="53">
        <v>18.8</v>
      </c>
      <c r="S13" s="53">
        <v>156</v>
      </c>
      <c r="T13" s="16">
        <f t="shared" si="0"/>
        <v>18</v>
      </c>
      <c r="U13" s="53">
        <v>299</v>
      </c>
      <c r="V13" s="16">
        <f t="shared" si="1"/>
        <v>16</v>
      </c>
      <c r="W13" s="53">
        <v>5</v>
      </c>
      <c r="X13" s="53" t="s">
        <v>46</v>
      </c>
      <c r="Y13" s="53" t="s">
        <v>47</v>
      </c>
      <c r="Z13" s="53" t="s">
        <v>55</v>
      </c>
      <c r="AA13" s="53" t="s">
        <v>90</v>
      </c>
      <c r="AB13" s="36" t="s">
        <v>316</v>
      </c>
      <c r="AE13" s="22" t="s">
        <v>73</v>
      </c>
      <c r="AG13" s="23"/>
      <c r="AH13" s="23"/>
      <c r="AP13" s="23" t="s">
        <v>71</v>
      </c>
      <c r="AR13" s="30" t="s">
        <v>103</v>
      </c>
      <c r="AV13" s="23" t="s">
        <v>75</v>
      </c>
    </row>
    <row r="14" spans="1:53" x14ac:dyDescent="0.15">
      <c r="A14" s="53" t="s">
        <v>59</v>
      </c>
      <c r="B14" s="36" t="s">
        <v>232</v>
      </c>
      <c r="C14" s="166">
        <v>2019</v>
      </c>
      <c r="D14" s="167" t="s">
        <v>167</v>
      </c>
      <c r="E14" s="53" t="s">
        <v>326</v>
      </c>
      <c r="F14" s="53" t="s">
        <v>327</v>
      </c>
      <c r="G14" s="53" t="s">
        <v>36</v>
      </c>
      <c r="H14" s="53" t="s">
        <v>165</v>
      </c>
      <c r="I14" s="53" t="s">
        <v>159</v>
      </c>
      <c r="J14" s="53" t="s">
        <v>38</v>
      </c>
      <c r="K14" s="53" t="s">
        <v>161</v>
      </c>
      <c r="L14" s="53">
        <v>1</v>
      </c>
      <c r="N14" s="53">
        <v>1</v>
      </c>
      <c r="O14" s="53">
        <v>0.32</v>
      </c>
      <c r="P14" s="53">
        <v>0.44</v>
      </c>
      <c r="Q14" s="98">
        <f t="shared" si="2"/>
        <v>0.38</v>
      </c>
      <c r="R14" s="53">
        <v>14.7</v>
      </c>
      <c r="S14" s="53">
        <v>149</v>
      </c>
      <c r="T14" s="16">
        <f t="shared" si="0"/>
        <v>22</v>
      </c>
      <c r="U14" s="53">
        <v>139</v>
      </c>
      <c r="V14" s="16">
        <f t="shared" si="1"/>
        <v>22</v>
      </c>
      <c r="W14" s="53">
        <v>1</v>
      </c>
      <c r="X14" s="53" t="s">
        <v>46</v>
      </c>
      <c r="Y14" s="53" t="s">
        <v>47</v>
      </c>
      <c r="Z14" s="53" t="s">
        <v>55</v>
      </c>
      <c r="AA14" s="53" t="s">
        <v>90</v>
      </c>
      <c r="AB14" s="36" t="s">
        <v>316</v>
      </c>
      <c r="AE14" s="22" t="s">
        <v>76</v>
      </c>
      <c r="AG14" s="23"/>
      <c r="AH14" s="23"/>
      <c r="AP14" s="23" t="s">
        <v>344</v>
      </c>
      <c r="AR14" s="30" t="s">
        <v>125</v>
      </c>
      <c r="AV14" s="23" t="s">
        <v>78</v>
      </c>
    </row>
    <row r="15" spans="1:53" x14ac:dyDescent="0.15">
      <c r="A15" s="53" t="s">
        <v>59</v>
      </c>
      <c r="B15" s="36" t="s">
        <v>232</v>
      </c>
      <c r="C15" s="166">
        <v>2019</v>
      </c>
      <c r="D15" s="167" t="s">
        <v>167</v>
      </c>
      <c r="E15" s="53" t="s">
        <v>326</v>
      </c>
      <c r="F15" s="53" t="s">
        <v>327</v>
      </c>
      <c r="G15" s="53" t="s">
        <v>36</v>
      </c>
      <c r="H15" s="53" t="s">
        <v>165</v>
      </c>
      <c r="I15" s="53" t="s">
        <v>159</v>
      </c>
      <c r="J15" s="53" t="s">
        <v>38</v>
      </c>
      <c r="K15" s="53" t="s">
        <v>161</v>
      </c>
      <c r="L15" s="53">
        <v>2</v>
      </c>
      <c r="N15" s="53">
        <v>1</v>
      </c>
      <c r="O15" s="53">
        <v>0.32</v>
      </c>
      <c r="P15" s="53">
        <v>0.35</v>
      </c>
      <c r="Q15" s="98">
        <f t="shared" si="2"/>
        <v>0.33499999999999996</v>
      </c>
      <c r="R15" s="53">
        <v>14.3</v>
      </c>
      <c r="S15" s="53">
        <v>144</v>
      </c>
      <c r="T15" s="16">
        <f t="shared" si="0"/>
        <v>22</v>
      </c>
      <c r="U15" s="53">
        <v>139</v>
      </c>
      <c r="V15" s="16">
        <f t="shared" si="1"/>
        <v>22</v>
      </c>
      <c r="W15" s="53">
        <v>1</v>
      </c>
      <c r="X15" s="53" t="s">
        <v>46</v>
      </c>
      <c r="Y15" s="53" t="s">
        <v>47</v>
      </c>
      <c r="Z15" s="53" t="s">
        <v>55</v>
      </c>
      <c r="AA15" s="53" t="s">
        <v>90</v>
      </c>
      <c r="AB15" s="36" t="s">
        <v>316</v>
      </c>
      <c r="AE15" s="22" t="s">
        <v>79</v>
      </c>
      <c r="AG15" s="23"/>
      <c r="AH15" s="23"/>
      <c r="AP15" s="23" t="s">
        <v>345</v>
      </c>
      <c r="AR15" s="30" t="s">
        <v>94</v>
      </c>
      <c r="AV15" s="23" t="s">
        <v>107</v>
      </c>
    </row>
    <row r="16" spans="1:53" x14ac:dyDescent="0.15">
      <c r="A16" s="53" t="s">
        <v>59</v>
      </c>
      <c r="B16" s="36" t="s">
        <v>232</v>
      </c>
      <c r="C16" s="166">
        <v>2019</v>
      </c>
      <c r="D16" s="167" t="s">
        <v>167</v>
      </c>
      <c r="E16" s="53" t="s">
        <v>326</v>
      </c>
      <c r="F16" s="53" t="s">
        <v>327</v>
      </c>
      <c r="G16" s="53" t="s">
        <v>36</v>
      </c>
      <c r="H16" s="53" t="s">
        <v>165</v>
      </c>
      <c r="I16" s="53" t="s">
        <v>159</v>
      </c>
      <c r="J16" s="53" t="s">
        <v>38</v>
      </c>
      <c r="K16" s="53" t="s">
        <v>161</v>
      </c>
      <c r="L16" s="53">
        <v>3</v>
      </c>
      <c r="N16" s="53">
        <v>1</v>
      </c>
      <c r="O16" s="53">
        <v>0.4</v>
      </c>
      <c r="P16" s="53">
        <v>0.35</v>
      </c>
      <c r="Q16" s="98">
        <f t="shared" si="2"/>
        <v>0.375</v>
      </c>
      <c r="R16" s="53">
        <v>14.2</v>
      </c>
      <c r="S16" s="53">
        <v>155</v>
      </c>
      <c r="T16" s="16">
        <f t="shared" si="0"/>
        <v>18</v>
      </c>
      <c r="U16" s="53">
        <v>139</v>
      </c>
      <c r="V16" s="16">
        <f t="shared" si="1"/>
        <v>22</v>
      </c>
      <c r="W16" s="53">
        <v>1</v>
      </c>
      <c r="X16" s="53" t="s">
        <v>46</v>
      </c>
      <c r="Y16" s="53" t="s">
        <v>47</v>
      </c>
      <c r="Z16" s="53" t="s">
        <v>55</v>
      </c>
      <c r="AA16" s="53" t="s">
        <v>90</v>
      </c>
      <c r="AB16" s="36" t="s">
        <v>316</v>
      </c>
      <c r="AE16" s="22" t="s">
        <v>82</v>
      </c>
      <c r="AG16" s="28"/>
      <c r="AH16" s="28"/>
      <c r="AP16" s="23" t="s">
        <v>80</v>
      </c>
      <c r="AR16" s="41" t="s">
        <v>63</v>
      </c>
      <c r="AV16" s="23" t="s">
        <v>84</v>
      </c>
    </row>
    <row r="17" spans="1:48" x14ac:dyDescent="0.15">
      <c r="A17" s="53" t="s">
        <v>59</v>
      </c>
      <c r="B17" s="36" t="s">
        <v>232</v>
      </c>
      <c r="C17" s="166">
        <v>2019</v>
      </c>
      <c r="D17" s="167" t="s">
        <v>167</v>
      </c>
      <c r="E17" s="53" t="s">
        <v>338</v>
      </c>
      <c r="F17" s="53" t="s">
        <v>327</v>
      </c>
      <c r="G17" s="53" t="s">
        <v>36</v>
      </c>
      <c r="H17" s="53" t="s">
        <v>160</v>
      </c>
      <c r="I17" s="53" t="s">
        <v>159</v>
      </c>
      <c r="J17" s="53" t="s">
        <v>38</v>
      </c>
      <c r="K17" s="53" t="s">
        <v>161</v>
      </c>
      <c r="L17" s="53">
        <v>1</v>
      </c>
      <c r="N17" s="53">
        <v>2</v>
      </c>
      <c r="O17" s="53">
        <v>0.63</v>
      </c>
      <c r="P17" s="53">
        <v>0.54</v>
      </c>
      <c r="Q17" s="98">
        <f t="shared" si="2"/>
        <v>0.58499999999999996</v>
      </c>
      <c r="R17" s="53">
        <v>15.8</v>
      </c>
      <c r="S17" s="53">
        <v>156</v>
      </c>
      <c r="T17" s="16">
        <f t="shared" si="0"/>
        <v>18</v>
      </c>
      <c r="U17" s="53">
        <v>429</v>
      </c>
      <c r="V17" s="16">
        <f t="shared" si="1"/>
        <v>16</v>
      </c>
      <c r="W17" s="53">
        <v>6</v>
      </c>
      <c r="X17" s="53" t="s">
        <v>46</v>
      </c>
      <c r="Y17" s="53" t="s">
        <v>90</v>
      </c>
      <c r="Z17" s="53" t="s">
        <v>47</v>
      </c>
      <c r="AA17" s="53" t="s">
        <v>78</v>
      </c>
      <c r="AB17" s="36" t="s">
        <v>316</v>
      </c>
      <c r="AE17" s="22" t="s">
        <v>85</v>
      </c>
      <c r="AP17" s="43" t="s">
        <v>110</v>
      </c>
      <c r="AR17" s="41" t="s">
        <v>96</v>
      </c>
      <c r="AV17" s="23" t="s">
        <v>86</v>
      </c>
    </row>
    <row r="18" spans="1:48" x14ac:dyDescent="0.15">
      <c r="A18" s="53" t="s">
        <v>59</v>
      </c>
      <c r="B18" s="36" t="s">
        <v>232</v>
      </c>
      <c r="C18" s="166">
        <v>2019</v>
      </c>
      <c r="D18" s="167" t="s">
        <v>167</v>
      </c>
      <c r="E18" s="53" t="s">
        <v>338</v>
      </c>
      <c r="F18" s="53" t="s">
        <v>327</v>
      </c>
      <c r="G18" s="53" t="s">
        <v>36</v>
      </c>
      <c r="H18" s="53" t="s">
        <v>160</v>
      </c>
      <c r="I18" s="53" t="s">
        <v>159</v>
      </c>
      <c r="J18" s="53" t="s">
        <v>38</v>
      </c>
      <c r="K18" s="53" t="s">
        <v>161</v>
      </c>
      <c r="L18" s="53">
        <v>2</v>
      </c>
      <c r="N18" s="53">
        <v>2</v>
      </c>
      <c r="O18" s="53">
        <v>0.69</v>
      </c>
      <c r="P18" s="53">
        <v>0.63</v>
      </c>
      <c r="Q18" s="98">
        <f t="shared" si="2"/>
        <v>0.65999999999999992</v>
      </c>
      <c r="R18" s="53">
        <v>17</v>
      </c>
      <c r="S18" s="53">
        <v>159</v>
      </c>
      <c r="T18" s="16">
        <f t="shared" si="0"/>
        <v>18</v>
      </c>
      <c r="U18" s="53">
        <v>429</v>
      </c>
      <c r="V18" s="16">
        <f t="shared" si="1"/>
        <v>16</v>
      </c>
      <c r="W18" s="53">
        <v>6</v>
      </c>
      <c r="X18" s="53" t="s">
        <v>46</v>
      </c>
      <c r="Y18" s="53" t="s">
        <v>90</v>
      </c>
      <c r="Z18" s="53" t="s">
        <v>47</v>
      </c>
      <c r="AA18" s="53" t="s">
        <v>78</v>
      </c>
      <c r="AB18" s="36" t="s">
        <v>316</v>
      </c>
      <c r="AE18" s="22" t="s">
        <v>87</v>
      </c>
      <c r="AP18" s="43" t="s">
        <v>346</v>
      </c>
      <c r="AR18" s="41" t="s">
        <v>101</v>
      </c>
      <c r="AV18" s="23" t="s">
        <v>88</v>
      </c>
    </row>
    <row r="19" spans="1:48" x14ac:dyDescent="0.15">
      <c r="A19" s="53" t="s">
        <v>59</v>
      </c>
      <c r="B19" s="36" t="s">
        <v>232</v>
      </c>
      <c r="C19" s="166">
        <v>2019</v>
      </c>
      <c r="D19" s="167" t="s">
        <v>167</v>
      </c>
      <c r="E19" s="53" t="s">
        <v>338</v>
      </c>
      <c r="F19" s="53" t="s">
        <v>327</v>
      </c>
      <c r="G19" s="53" t="s">
        <v>36</v>
      </c>
      <c r="H19" s="53" t="s">
        <v>160</v>
      </c>
      <c r="I19" s="53" t="s">
        <v>159</v>
      </c>
      <c r="J19" s="53" t="s">
        <v>38</v>
      </c>
      <c r="K19" s="53" t="s">
        <v>161</v>
      </c>
      <c r="L19" s="53">
        <v>3</v>
      </c>
      <c r="N19" s="53">
        <v>2</v>
      </c>
      <c r="O19" s="53">
        <v>0.66</v>
      </c>
      <c r="P19" s="53">
        <v>0.6</v>
      </c>
      <c r="Q19" s="98">
        <f t="shared" si="2"/>
        <v>0.63</v>
      </c>
      <c r="R19" s="53">
        <v>16.8</v>
      </c>
      <c r="S19" s="53">
        <v>156</v>
      </c>
      <c r="T19" s="16">
        <f t="shared" si="0"/>
        <v>18</v>
      </c>
      <c r="U19" s="53">
        <v>429</v>
      </c>
      <c r="V19" s="16">
        <f t="shared" si="1"/>
        <v>16</v>
      </c>
      <c r="W19" s="53">
        <v>6</v>
      </c>
      <c r="X19" s="53" t="s">
        <v>46</v>
      </c>
      <c r="Y19" s="53" t="s">
        <v>90</v>
      </c>
      <c r="Z19" s="53" t="s">
        <v>47</v>
      </c>
      <c r="AA19" s="53" t="s">
        <v>78</v>
      </c>
      <c r="AB19" s="36" t="s">
        <v>316</v>
      </c>
      <c r="AD19" s="36"/>
      <c r="AE19" s="35" t="s">
        <v>89</v>
      </c>
      <c r="AP19" s="43" t="s">
        <v>112</v>
      </c>
      <c r="AR19" s="30" t="s">
        <v>126</v>
      </c>
      <c r="AV19" s="23" t="s">
        <v>347</v>
      </c>
    </row>
    <row r="20" spans="1:48" x14ac:dyDescent="0.15">
      <c r="A20" s="53" t="s">
        <v>59</v>
      </c>
      <c r="B20" s="36" t="s">
        <v>232</v>
      </c>
      <c r="C20" s="166">
        <v>2019</v>
      </c>
      <c r="D20" s="167" t="s">
        <v>167</v>
      </c>
      <c r="E20" s="53" t="s">
        <v>336</v>
      </c>
      <c r="F20" s="53" t="s">
        <v>335</v>
      </c>
      <c r="G20" s="53" t="s">
        <v>36</v>
      </c>
      <c r="H20" s="53" t="s">
        <v>160</v>
      </c>
      <c r="I20" s="53" t="s">
        <v>159</v>
      </c>
      <c r="J20" s="53" t="s">
        <v>38</v>
      </c>
      <c r="K20" s="53" t="s">
        <v>161</v>
      </c>
      <c r="L20" s="53">
        <v>1</v>
      </c>
      <c r="N20" s="53">
        <v>4</v>
      </c>
      <c r="O20" s="53">
        <v>0.47</v>
      </c>
      <c r="P20" s="53">
        <v>0.45</v>
      </c>
      <c r="Q20" s="98">
        <f t="shared" si="2"/>
        <v>0.45999999999999996</v>
      </c>
      <c r="R20" s="53">
        <v>16.2</v>
      </c>
      <c r="S20" s="53">
        <v>116</v>
      </c>
      <c r="T20" s="16">
        <f t="shared" si="0"/>
        <v>30</v>
      </c>
      <c r="U20" s="53">
        <v>398</v>
      </c>
      <c r="V20" s="16">
        <f t="shared" si="1"/>
        <v>16</v>
      </c>
      <c r="W20" s="53">
        <v>12</v>
      </c>
      <c r="X20" s="53" t="s">
        <v>46</v>
      </c>
      <c r="Y20" s="53" t="s">
        <v>55</v>
      </c>
      <c r="Z20" s="53" t="s">
        <v>86</v>
      </c>
      <c r="AA20" s="53" t="s">
        <v>47</v>
      </c>
      <c r="AB20" s="36" t="s">
        <v>316</v>
      </c>
      <c r="AD20" s="36"/>
      <c r="AE20" s="35"/>
      <c r="AP20" s="43" t="s">
        <v>113</v>
      </c>
      <c r="AR20" s="41" t="s">
        <v>105</v>
      </c>
      <c r="AV20" s="27" t="s">
        <v>135</v>
      </c>
    </row>
    <row r="21" spans="1:48" x14ac:dyDescent="0.15">
      <c r="A21" s="53" t="s">
        <v>59</v>
      </c>
      <c r="B21" s="36" t="s">
        <v>232</v>
      </c>
      <c r="C21" s="166">
        <v>2019</v>
      </c>
      <c r="D21" s="167" t="s">
        <v>167</v>
      </c>
      <c r="E21" s="53" t="s">
        <v>336</v>
      </c>
      <c r="F21" s="53" t="s">
        <v>335</v>
      </c>
      <c r="G21" s="53" t="s">
        <v>36</v>
      </c>
      <c r="H21" s="53" t="s">
        <v>160</v>
      </c>
      <c r="I21" s="53" t="s">
        <v>159</v>
      </c>
      <c r="J21" s="53" t="s">
        <v>38</v>
      </c>
      <c r="K21" s="53" t="s">
        <v>161</v>
      </c>
      <c r="L21" s="53">
        <v>2</v>
      </c>
      <c r="N21" s="53">
        <v>4</v>
      </c>
      <c r="O21" s="53">
        <v>0.4</v>
      </c>
      <c r="P21" s="53">
        <v>0.43</v>
      </c>
      <c r="Q21" s="98">
        <f t="shared" si="2"/>
        <v>0.41500000000000004</v>
      </c>
      <c r="R21" s="53">
        <v>17.8</v>
      </c>
      <c r="S21" s="53">
        <v>106</v>
      </c>
      <c r="T21" s="16">
        <f t="shared" si="0"/>
        <v>33</v>
      </c>
      <c r="U21" s="53">
        <v>398</v>
      </c>
      <c r="V21" s="16">
        <f t="shared" si="1"/>
        <v>16</v>
      </c>
      <c r="W21" s="53">
        <v>12</v>
      </c>
      <c r="X21" s="53" t="s">
        <v>46</v>
      </c>
      <c r="Y21" s="53" t="s">
        <v>55</v>
      </c>
      <c r="Z21" s="53" t="s">
        <v>86</v>
      </c>
      <c r="AA21" s="53" t="s">
        <v>47</v>
      </c>
      <c r="AB21" s="36" t="s">
        <v>316</v>
      </c>
      <c r="AD21" s="36"/>
      <c r="AE21" s="28"/>
      <c r="AP21" s="43" t="s">
        <v>348</v>
      </c>
      <c r="AR21" s="41" t="s">
        <v>68</v>
      </c>
      <c r="AV21" s="27" t="s">
        <v>136</v>
      </c>
    </row>
    <row r="22" spans="1:48" x14ac:dyDescent="0.15">
      <c r="A22" s="53" t="s">
        <v>59</v>
      </c>
      <c r="B22" s="36" t="s">
        <v>232</v>
      </c>
      <c r="C22" s="166">
        <v>2019</v>
      </c>
      <c r="D22" s="167" t="s">
        <v>167</v>
      </c>
      <c r="E22" s="53" t="s">
        <v>336</v>
      </c>
      <c r="F22" s="53" t="s">
        <v>335</v>
      </c>
      <c r="G22" s="53" t="s">
        <v>36</v>
      </c>
      <c r="H22" s="53" t="s">
        <v>160</v>
      </c>
      <c r="I22" s="53" t="s">
        <v>159</v>
      </c>
      <c r="J22" s="53" t="s">
        <v>38</v>
      </c>
      <c r="K22" s="53" t="s">
        <v>161</v>
      </c>
      <c r="L22" s="53">
        <v>3</v>
      </c>
      <c r="N22" s="53">
        <v>4</v>
      </c>
      <c r="O22" s="53">
        <v>0.44</v>
      </c>
      <c r="P22" s="53">
        <v>0.49</v>
      </c>
      <c r="Q22" s="98">
        <f t="shared" si="2"/>
        <v>0.46499999999999997</v>
      </c>
      <c r="R22" s="53">
        <v>16.5</v>
      </c>
      <c r="S22" s="53">
        <v>115</v>
      </c>
      <c r="T22" s="16">
        <f t="shared" si="0"/>
        <v>30</v>
      </c>
      <c r="U22" s="53">
        <v>398</v>
      </c>
      <c r="V22" s="16">
        <f t="shared" si="1"/>
        <v>16</v>
      </c>
      <c r="W22" s="53">
        <v>12</v>
      </c>
      <c r="X22" s="53" t="s">
        <v>46</v>
      </c>
      <c r="Y22" s="53" t="s">
        <v>55</v>
      </c>
      <c r="Z22" s="53" t="s">
        <v>86</v>
      </c>
      <c r="AA22" s="53" t="s">
        <v>47</v>
      </c>
      <c r="AB22" s="36" t="s">
        <v>316</v>
      </c>
      <c r="AD22" s="36"/>
      <c r="AP22" s="43" t="s">
        <v>349</v>
      </c>
      <c r="AR22" s="41" t="s">
        <v>83</v>
      </c>
      <c r="AV22" s="27" t="s">
        <v>350</v>
      </c>
    </row>
    <row r="23" spans="1:48" x14ac:dyDescent="0.15">
      <c r="A23" s="53" t="s">
        <v>59</v>
      </c>
      <c r="B23" s="36" t="s">
        <v>232</v>
      </c>
      <c r="C23" s="166">
        <v>2019</v>
      </c>
      <c r="D23" s="167" t="s">
        <v>167</v>
      </c>
      <c r="E23" s="53" t="s">
        <v>162</v>
      </c>
      <c r="F23" s="53" t="s">
        <v>335</v>
      </c>
      <c r="G23" s="53" t="s">
        <v>36</v>
      </c>
      <c r="H23" s="53" t="s">
        <v>160</v>
      </c>
      <c r="I23" s="53" t="s">
        <v>159</v>
      </c>
      <c r="J23" s="53" t="s">
        <v>38</v>
      </c>
      <c r="K23" s="53" t="s">
        <v>161</v>
      </c>
      <c r="L23" s="53">
        <v>1</v>
      </c>
      <c r="N23" s="53">
        <v>4</v>
      </c>
      <c r="O23" s="53">
        <v>0.33</v>
      </c>
      <c r="P23" s="53">
        <v>0.25</v>
      </c>
      <c r="Q23" s="98">
        <f t="shared" si="2"/>
        <v>0.29000000000000004</v>
      </c>
      <c r="R23" s="53">
        <v>14.7</v>
      </c>
      <c r="S23" s="53">
        <v>104</v>
      </c>
      <c r="T23" s="16">
        <f t="shared" si="0"/>
        <v>33</v>
      </c>
      <c r="U23" s="53">
        <v>498</v>
      </c>
      <c r="V23" s="16">
        <f t="shared" si="1"/>
        <v>16</v>
      </c>
      <c r="W23" s="53">
        <v>11</v>
      </c>
      <c r="X23" s="53" t="s">
        <v>46</v>
      </c>
      <c r="Y23" s="53" t="s">
        <v>55</v>
      </c>
      <c r="Z23" s="53" t="s">
        <v>78</v>
      </c>
      <c r="AA23" s="53" t="s">
        <v>47</v>
      </c>
      <c r="AB23" s="36" t="s">
        <v>316</v>
      </c>
      <c r="AP23" s="43" t="s">
        <v>137</v>
      </c>
      <c r="AR23" s="41" t="s">
        <v>61</v>
      </c>
      <c r="AV23" s="27" t="s">
        <v>351</v>
      </c>
    </row>
    <row r="24" spans="1:48" x14ac:dyDescent="0.15">
      <c r="A24" s="53" t="s">
        <v>59</v>
      </c>
      <c r="B24" s="36" t="s">
        <v>232</v>
      </c>
      <c r="C24" s="166">
        <v>2019</v>
      </c>
      <c r="D24" s="167" t="s">
        <v>167</v>
      </c>
      <c r="E24" s="53" t="s">
        <v>162</v>
      </c>
      <c r="F24" s="53" t="s">
        <v>335</v>
      </c>
      <c r="G24" s="53" t="s">
        <v>36</v>
      </c>
      <c r="H24" s="53" t="s">
        <v>160</v>
      </c>
      <c r="I24" s="53" t="s">
        <v>159</v>
      </c>
      <c r="J24" s="53" t="s">
        <v>38</v>
      </c>
      <c r="K24" s="53" t="s">
        <v>161</v>
      </c>
      <c r="L24" s="53">
        <v>2</v>
      </c>
      <c r="N24" s="53">
        <v>4</v>
      </c>
      <c r="O24" s="53">
        <v>0.32</v>
      </c>
      <c r="P24" s="53">
        <v>0.32</v>
      </c>
      <c r="Q24" s="98">
        <f t="shared" si="2"/>
        <v>0.32</v>
      </c>
      <c r="R24" s="53">
        <v>15.2</v>
      </c>
      <c r="S24" s="53">
        <v>100</v>
      </c>
      <c r="T24" s="16">
        <f t="shared" si="0"/>
        <v>33</v>
      </c>
      <c r="U24" s="53">
        <v>498</v>
      </c>
      <c r="V24" s="16">
        <f t="shared" si="1"/>
        <v>16</v>
      </c>
      <c r="W24" s="53">
        <v>11</v>
      </c>
      <c r="X24" s="53" t="s">
        <v>46</v>
      </c>
      <c r="Y24" s="53" t="s">
        <v>55</v>
      </c>
      <c r="Z24" s="53" t="s">
        <v>78</v>
      </c>
      <c r="AA24" s="53" t="s">
        <v>47</v>
      </c>
      <c r="AB24" s="36" t="s">
        <v>316</v>
      </c>
      <c r="AP24" s="43" t="s">
        <v>138</v>
      </c>
      <c r="AR24" s="41" t="s">
        <v>91</v>
      </c>
      <c r="AV24" s="27" t="s">
        <v>352</v>
      </c>
    </row>
    <row r="25" spans="1:48" x14ac:dyDescent="0.15">
      <c r="A25" s="53" t="s">
        <v>59</v>
      </c>
      <c r="B25" s="36" t="s">
        <v>232</v>
      </c>
      <c r="C25" s="166">
        <v>2019</v>
      </c>
      <c r="D25" s="167" t="s">
        <v>167</v>
      </c>
      <c r="E25" s="53" t="s">
        <v>162</v>
      </c>
      <c r="F25" s="53" t="s">
        <v>335</v>
      </c>
      <c r="G25" s="53" t="s">
        <v>36</v>
      </c>
      <c r="H25" s="53" t="s">
        <v>160</v>
      </c>
      <c r="I25" s="53" t="s">
        <v>159</v>
      </c>
      <c r="J25" s="53" t="s">
        <v>38</v>
      </c>
      <c r="K25" s="53" t="s">
        <v>161</v>
      </c>
      <c r="L25" s="53">
        <v>3</v>
      </c>
      <c r="N25" s="53">
        <v>4</v>
      </c>
      <c r="O25" s="53">
        <v>0.33</v>
      </c>
      <c r="P25" s="53">
        <v>0.3</v>
      </c>
      <c r="Q25" s="98">
        <f t="shared" si="2"/>
        <v>0.315</v>
      </c>
      <c r="R25" s="53">
        <v>14.6</v>
      </c>
      <c r="S25" s="53">
        <v>100</v>
      </c>
      <c r="T25" s="16">
        <f t="shared" si="0"/>
        <v>33</v>
      </c>
      <c r="U25" s="53">
        <v>498</v>
      </c>
      <c r="V25" s="16">
        <f t="shared" si="1"/>
        <v>16</v>
      </c>
      <c r="W25" s="53">
        <v>11</v>
      </c>
      <c r="X25" s="53" t="s">
        <v>46</v>
      </c>
      <c r="Y25" s="53" t="s">
        <v>55</v>
      </c>
      <c r="Z25" s="53" t="s">
        <v>78</v>
      </c>
      <c r="AA25" s="53" t="s">
        <v>47</v>
      </c>
      <c r="AB25" s="36" t="s">
        <v>316</v>
      </c>
      <c r="AD25" s="36"/>
      <c r="AP25" s="43" t="s">
        <v>116</v>
      </c>
      <c r="AR25" s="42" t="s">
        <v>92</v>
      </c>
      <c r="AV25" s="27" t="s">
        <v>353</v>
      </c>
    </row>
    <row r="26" spans="1:48" x14ac:dyDescent="0.15">
      <c r="A26" s="53" t="s">
        <v>59</v>
      </c>
      <c r="B26" s="36" t="s">
        <v>232</v>
      </c>
      <c r="C26" s="166">
        <v>2019</v>
      </c>
      <c r="D26" s="167" t="s">
        <v>167</v>
      </c>
      <c r="E26" s="53" t="s">
        <v>162</v>
      </c>
      <c r="F26" s="53" t="s">
        <v>335</v>
      </c>
      <c r="G26" s="53" t="s">
        <v>36</v>
      </c>
      <c r="H26" s="53" t="s">
        <v>165</v>
      </c>
      <c r="I26" s="53" t="s">
        <v>159</v>
      </c>
      <c r="J26" s="53" t="s">
        <v>38</v>
      </c>
      <c r="K26" s="53" t="s">
        <v>161</v>
      </c>
      <c r="L26" s="53">
        <v>1</v>
      </c>
      <c r="N26" s="53">
        <v>4</v>
      </c>
      <c r="O26" s="53">
        <v>0.28000000000000003</v>
      </c>
      <c r="P26" s="53">
        <v>0.31</v>
      </c>
      <c r="Q26" s="98">
        <f t="shared" si="2"/>
        <v>0.29500000000000004</v>
      </c>
      <c r="R26" s="53">
        <v>15.1</v>
      </c>
      <c r="S26" s="53">
        <v>96</v>
      </c>
      <c r="T26" s="16">
        <f t="shared" si="0"/>
        <v>36</v>
      </c>
      <c r="U26" s="53">
        <v>298</v>
      </c>
      <c r="V26" s="16">
        <f t="shared" si="1"/>
        <v>16</v>
      </c>
      <c r="W26" s="53">
        <v>1</v>
      </c>
      <c r="X26" s="53" t="s">
        <v>46</v>
      </c>
      <c r="Y26" s="53" t="s">
        <v>55</v>
      </c>
      <c r="Z26" s="53" t="s">
        <v>78</v>
      </c>
      <c r="AA26" s="53" t="s">
        <v>47</v>
      </c>
      <c r="AB26" s="36" t="s">
        <v>316</v>
      </c>
      <c r="AD26" s="36"/>
      <c r="AP26" s="43" t="s">
        <v>117</v>
      </c>
      <c r="AR26" s="27" t="s">
        <v>354</v>
      </c>
      <c r="AV26" s="27"/>
    </row>
    <row r="27" spans="1:48" x14ac:dyDescent="0.15">
      <c r="A27" s="53" t="s">
        <v>59</v>
      </c>
      <c r="B27" s="36" t="s">
        <v>232</v>
      </c>
      <c r="C27" s="166">
        <v>2019</v>
      </c>
      <c r="D27" s="167" t="s">
        <v>167</v>
      </c>
      <c r="E27" s="53" t="s">
        <v>162</v>
      </c>
      <c r="F27" s="53" t="s">
        <v>335</v>
      </c>
      <c r="G27" s="53" t="s">
        <v>36</v>
      </c>
      <c r="H27" s="53" t="s">
        <v>165</v>
      </c>
      <c r="I27" s="53" t="s">
        <v>159</v>
      </c>
      <c r="J27" s="53" t="s">
        <v>38</v>
      </c>
      <c r="K27" s="53" t="s">
        <v>161</v>
      </c>
      <c r="L27" s="53">
        <v>2</v>
      </c>
      <c r="N27" s="53">
        <v>4</v>
      </c>
      <c r="O27" s="53">
        <v>0.27</v>
      </c>
      <c r="P27" s="53">
        <v>0.3</v>
      </c>
      <c r="Q27" s="98">
        <f t="shared" si="2"/>
        <v>0.28500000000000003</v>
      </c>
      <c r="R27" s="53">
        <v>14.3</v>
      </c>
      <c r="S27" s="53">
        <v>100</v>
      </c>
      <c r="T27" s="16">
        <f t="shared" si="0"/>
        <v>33</v>
      </c>
      <c r="U27" s="53">
        <v>298</v>
      </c>
      <c r="V27" s="16">
        <f t="shared" si="1"/>
        <v>16</v>
      </c>
      <c r="W27" s="53">
        <v>1</v>
      </c>
      <c r="X27" s="53" t="s">
        <v>46</v>
      </c>
      <c r="Y27" s="53" t="s">
        <v>55</v>
      </c>
      <c r="Z27" s="53" t="s">
        <v>78</v>
      </c>
      <c r="AA27" s="53" t="s">
        <v>47</v>
      </c>
      <c r="AB27" s="36" t="s">
        <v>316</v>
      </c>
      <c r="AD27" s="36"/>
      <c r="AP27" s="43" t="s">
        <v>118</v>
      </c>
      <c r="AR27" s="28" t="s">
        <v>153</v>
      </c>
      <c r="AV27" s="27"/>
    </row>
    <row r="28" spans="1:48" x14ac:dyDescent="0.15">
      <c r="A28" s="53" t="s">
        <v>59</v>
      </c>
      <c r="B28" s="36" t="s">
        <v>232</v>
      </c>
      <c r="C28" s="166">
        <v>2019</v>
      </c>
      <c r="D28" s="167" t="s">
        <v>167</v>
      </c>
      <c r="E28" s="53" t="s">
        <v>162</v>
      </c>
      <c r="F28" s="53" t="s">
        <v>335</v>
      </c>
      <c r="G28" s="53" t="s">
        <v>36</v>
      </c>
      <c r="H28" s="53" t="s">
        <v>165</v>
      </c>
      <c r="I28" s="53" t="s">
        <v>159</v>
      </c>
      <c r="J28" s="53" t="s">
        <v>38</v>
      </c>
      <c r="K28" s="53" t="s">
        <v>161</v>
      </c>
      <c r="L28" s="53">
        <v>3</v>
      </c>
      <c r="N28" s="53">
        <v>4</v>
      </c>
      <c r="O28" s="53">
        <v>0.33</v>
      </c>
      <c r="P28" s="53">
        <v>0.35</v>
      </c>
      <c r="Q28" s="98">
        <f t="shared" si="2"/>
        <v>0.33999999999999997</v>
      </c>
      <c r="R28" s="53">
        <v>15.2</v>
      </c>
      <c r="S28" s="53">
        <v>104</v>
      </c>
      <c r="T28" s="16">
        <f t="shared" si="0"/>
        <v>33</v>
      </c>
      <c r="U28" s="53">
        <v>298</v>
      </c>
      <c r="V28" s="16">
        <f t="shared" si="1"/>
        <v>16</v>
      </c>
      <c r="W28" s="53">
        <v>1</v>
      </c>
      <c r="X28" s="53" t="s">
        <v>46</v>
      </c>
      <c r="Y28" s="53" t="s">
        <v>55</v>
      </c>
      <c r="Z28" s="53" t="s">
        <v>78</v>
      </c>
      <c r="AA28" s="53" t="s">
        <v>47</v>
      </c>
      <c r="AB28" s="36" t="s">
        <v>316</v>
      </c>
      <c r="AD28" s="36"/>
      <c r="AV28" s="27"/>
    </row>
    <row r="29" spans="1:48" x14ac:dyDescent="0.15">
      <c r="A29" s="53" t="s">
        <v>59</v>
      </c>
      <c r="B29" s="36" t="s">
        <v>232</v>
      </c>
      <c r="C29" s="166">
        <v>2019</v>
      </c>
      <c r="D29" s="167" t="s">
        <v>167</v>
      </c>
      <c r="E29" s="53" t="s">
        <v>332</v>
      </c>
      <c r="F29" s="53" t="s">
        <v>333</v>
      </c>
      <c r="G29" s="53" t="s">
        <v>36</v>
      </c>
      <c r="H29" s="53" t="s">
        <v>160</v>
      </c>
      <c r="I29" s="53" t="s">
        <v>159</v>
      </c>
      <c r="J29" s="53" t="s">
        <v>38</v>
      </c>
      <c r="K29" s="53" t="s">
        <v>161</v>
      </c>
      <c r="L29" s="53">
        <v>1</v>
      </c>
      <c r="N29" s="53">
        <v>4</v>
      </c>
      <c r="O29" s="53">
        <v>0.4</v>
      </c>
      <c r="P29" s="53">
        <v>0.35</v>
      </c>
      <c r="Q29" s="98">
        <f t="shared" si="2"/>
        <v>0.375</v>
      </c>
      <c r="R29" s="53">
        <v>19.2</v>
      </c>
      <c r="S29" s="53">
        <v>115</v>
      </c>
      <c r="T29" s="16">
        <f t="shared" si="0"/>
        <v>30</v>
      </c>
      <c r="U29" s="53">
        <v>450</v>
      </c>
      <c r="V29" s="16">
        <f t="shared" si="1"/>
        <v>16</v>
      </c>
      <c r="W29" s="53">
        <v>10</v>
      </c>
      <c r="X29" s="53" t="s">
        <v>46</v>
      </c>
      <c r="Y29" s="53" t="s">
        <v>69</v>
      </c>
      <c r="Z29" s="53" t="s">
        <v>350</v>
      </c>
      <c r="AA29" s="53" t="s">
        <v>40</v>
      </c>
      <c r="AB29" s="36" t="s">
        <v>316</v>
      </c>
      <c r="AV29" s="27"/>
    </row>
    <row r="30" spans="1:48" x14ac:dyDescent="0.15">
      <c r="A30" s="53" t="s">
        <v>59</v>
      </c>
      <c r="B30" s="36" t="s">
        <v>232</v>
      </c>
      <c r="C30" s="166">
        <v>2019</v>
      </c>
      <c r="D30" s="167" t="s">
        <v>167</v>
      </c>
      <c r="E30" s="53" t="s">
        <v>332</v>
      </c>
      <c r="F30" s="53" t="s">
        <v>333</v>
      </c>
      <c r="G30" s="53" t="s">
        <v>36</v>
      </c>
      <c r="H30" s="53" t="s">
        <v>160</v>
      </c>
      <c r="I30" s="53" t="s">
        <v>159</v>
      </c>
      <c r="J30" s="53" t="s">
        <v>38</v>
      </c>
      <c r="K30" s="53" t="s">
        <v>161</v>
      </c>
      <c r="L30" s="53">
        <v>2</v>
      </c>
      <c r="N30" s="53">
        <v>4</v>
      </c>
      <c r="O30" s="53">
        <v>0.36</v>
      </c>
      <c r="P30" s="53">
        <v>0.39</v>
      </c>
      <c r="Q30" s="98">
        <f t="shared" si="2"/>
        <v>0.375</v>
      </c>
      <c r="R30" s="53">
        <v>18.100000000000001</v>
      </c>
      <c r="S30" s="53">
        <v>113</v>
      </c>
      <c r="T30" s="16">
        <f t="shared" si="0"/>
        <v>30</v>
      </c>
      <c r="U30" s="53">
        <v>450</v>
      </c>
      <c r="V30" s="16">
        <f t="shared" si="1"/>
        <v>16</v>
      </c>
      <c r="W30" s="53">
        <v>10</v>
      </c>
      <c r="X30" s="53" t="s">
        <v>46</v>
      </c>
      <c r="Y30" s="53" t="s">
        <v>69</v>
      </c>
      <c r="Z30" s="53" t="s">
        <v>350</v>
      </c>
      <c r="AA30" s="53" t="s">
        <v>40</v>
      </c>
      <c r="AB30" s="36" t="s">
        <v>316</v>
      </c>
      <c r="AV30" s="27"/>
    </row>
    <row r="31" spans="1:48" x14ac:dyDescent="0.15">
      <c r="A31" s="53" t="s">
        <v>59</v>
      </c>
      <c r="B31" s="36" t="s">
        <v>232</v>
      </c>
      <c r="C31" s="166">
        <v>2019</v>
      </c>
      <c r="D31" s="167" t="s">
        <v>167</v>
      </c>
      <c r="E31" s="53" t="s">
        <v>332</v>
      </c>
      <c r="F31" s="53" t="s">
        <v>333</v>
      </c>
      <c r="G31" s="53" t="s">
        <v>36</v>
      </c>
      <c r="H31" s="53" t="s">
        <v>160</v>
      </c>
      <c r="I31" s="53" t="s">
        <v>159</v>
      </c>
      <c r="J31" s="53" t="s">
        <v>38</v>
      </c>
      <c r="K31" s="53" t="s">
        <v>161</v>
      </c>
      <c r="L31" s="53">
        <v>3</v>
      </c>
      <c r="N31" s="53">
        <v>4</v>
      </c>
      <c r="O31" s="53">
        <v>0.38</v>
      </c>
      <c r="P31" s="53">
        <v>0.4</v>
      </c>
      <c r="Q31" s="98">
        <f t="shared" si="2"/>
        <v>0.39</v>
      </c>
      <c r="R31" s="53">
        <v>18.8</v>
      </c>
      <c r="S31" s="53">
        <v>115</v>
      </c>
      <c r="T31" s="16">
        <f t="shared" si="0"/>
        <v>30</v>
      </c>
      <c r="U31" s="53">
        <v>450</v>
      </c>
      <c r="V31" s="16">
        <f t="shared" si="1"/>
        <v>16</v>
      </c>
      <c r="W31" s="53">
        <v>10</v>
      </c>
      <c r="X31" s="53" t="s">
        <v>46</v>
      </c>
      <c r="Y31" s="53" t="s">
        <v>69</v>
      </c>
      <c r="Z31" s="53" t="s">
        <v>350</v>
      </c>
      <c r="AA31" s="53" t="s">
        <v>40</v>
      </c>
      <c r="AB31" s="36" t="s">
        <v>316</v>
      </c>
      <c r="AV31" s="27"/>
    </row>
    <row r="32" spans="1:48" x14ac:dyDescent="0.15">
      <c r="A32" s="53" t="s">
        <v>59</v>
      </c>
      <c r="B32" s="36" t="s">
        <v>232</v>
      </c>
      <c r="C32" s="166">
        <v>2019</v>
      </c>
      <c r="D32" s="167" t="s">
        <v>167</v>
      </c>
      <c r="E32" s="53" t="s">
        <v>323</v>
      </c>
      <c r="F32" s="53" t="s">
        <v>324</v>
      </c>
      <c r="G32" s="53" t="s">
        <v>36</v>
      </c>
      <c r="H32" s="53" t="s">
        <v>160</v>
      </c>
      <c r="I32" s="53" t="s">
        <v>159</v>
      </c>
      <c r="J32" s="53" t="s">
        <v>38</v>
      </c>
      <c r="K32" s="53" t="s">
        <v>161</v>
      </c>
      <c r="L32" s="53">
        <v>1</v>
      </c>
      <c r="N32" s="53">
        <v>4</v>
      </c>
      <c r="O32" s="53">
        <v>0.47</v>
      </c>
      <c r="P32" s="53">
        <v>0.52</v>
      </c>
      <c r="Q32" s="98">
        <f t="shared" si="2"/>
        <v>0.495</v>
      </c>
      <c r="R32" s="53">
        <v>16.899999999999999</v>
      </c>
      <c r="S32" s="53">
        <v>100</v>
      </c>
      <c r="T32" s="16">
        <f t="shared" si="0"/>
        <v>33</v>
      </c>
      <c r="U32" s="53">
        <v>486</v>
      </c>
      <c r="V32" s="16">
        <f t="shared" si="1"/>
        <v>16</v>
      </c>
      <c r="W32" s="53">
        <v>1</v>
      </c>
      <c r="X32" s="53" t="s">
        <v>39</v>
      </c>
      <c r="Y32" s="53" t="s">
        <v>69</v>
      </c>
      <c r="Z32" s="53" t="s">
        <v>40</v>
      </c>
      <c r="AA32" s="53" t="s">
        <v>90</v>
      </c>
      <c r="AB32" s="36" t="s">
        <v>316</v>
      </c>
      <c r="AV32" s="27"/>
    </row>
    <row r="33" spans="1:48" x14ac:dyDescent="0.15">
      <c r="A33" s="53" t="s">
        <v>59</v>
      </c>
      <c r="B33" s="36" t="s">
        <v>232</v>
      </c>
      <c r="C33" s="166">
        <v>2019</v>
      </c>
      <c r="D33" s="167" t="s">
        <v>167</v>
      </c>
      <c r="E33" s="53" t="s">
        <v>323</v>
      </c>
      <c r="F33" s="53" t="s">
        <v>324</v>
      </c>
      <c r="G33" s="53" t="s">
        <v>36</v>
      </c>
      <c r="H33" s="53" t="s">
        <v>160</v>
      </c>
      <c r="I33" s="53" t="s">
        <v>159</v>
      </c>
      <c r="J33" s="53" t="s">
        <v>38</v>
      </c>
      <c r="K33" s="53" t="s">
        <v>161</v>
      </c>
      <c r="L33" s="53">
        <v>2</v>
      </c>
      <c r="N33" s="53">
        <v>4</v>
      </c>
      <c r="O33" s="53">
        <v>0.37</v>
      </c>
      <c r="P33" s="53">
        <v>0.4</v>
      </c>
      <c r="Q33" s="98">
        <f t="shared" si="2"/>
        <v>0.38500000000000001</v>
      </c>
      <c r="R33" s="53">
        <v>17.899999999999999</v>
      </c>
      <c r="S33" s="53">
        <v>102</v>
      </c>
      <c r="T33" s="16">
        <f t="shared" si="0"/>
        <v>33</v>
      </c>
      <c r="U33" s="53">
        <v>486</v>
      </c>
      <c r="V33" s="16">
        <f t="shared" si="1"/>
        <v>16</v>
      </c>
      <c r="W33" s="53">
        <v>1</v>
      </c>
      <c r="X33" s="53" t="s">
        <v>39</v>
      </c>
      <c r="Y33" s="53" t="s">
        <v>69</v>
      </c>
      <c r="Z33" s="53" t="s">
        <v>40</v>
      </c>
      <c r="AA33" s="53" t="s">
        <v>90</v>
      </c>
      <c r="AB33" s="36" t="s">
        <v>316</v>
      </c>
      <c r="AV33" s="27"/>
    </row>
    <row r="34" spans="1:48" x14ac:dyDescent="0.15">
      <c r="A34" s="53" t="s">
        <v>59</v>
      </c>
      <c r="B34" s="36" t="s">
        <v>232</v>
      </c>
      <c r="C34" s="166">
        <v>2019</v>
      </c>
      <c r="D34" s="167" t="s">
        <v>167</v>
      </c>
      <c r="E34" s="53" t="s">
        <v>323</v>
      </c>
      <c r="F34" s="53" t="s">
        <v>324</v>
      </c>
      <c r="G34" s="53" t="s">
        <v>36</v>
      </c>
      <c r="H34" s="53" t="s">
        <v>160</v>
      </c>
      <c r="I34" s="53" t="s">
        <v>159</v>
      </c>
      <c r="J34" s="53" t="s">
        <v>38</v>
      </c>
      <c r="K34" s="53" t="s">
        <v>161</v>
      </c>
      <c r="L34" s="53">
        <v>3</v>
      </c>
      <c r="N34" s="53">
        <v>4</v>
      </c>
      <c r="O34" s="53">
        <v>0.48</v>
      </c>
      <c r="P34" s="53">
        <v>0.42</v>
      </c>
      <c r="Q34" s="98">
        <f t="shared" si="2"/>
        <v>0.44999999999999996</v>
      </c>
      <c r="R34" s="53">
        <v>18</v>
      </c>
      <c r="S34" s="53">
        <v>101</v>
      </c>
      <c r="T34" s="16">
        <f t="shared" si="0"/>
        <v>33</v>
      </c>
      <c r="U34" s="53">
        <v>486</v>
      </c>
      <c r="V34" s="16">
        <f t="shared" si="1"/>
        <v>16</v>
      </c>
      <c r="W34" s="53">
        <v>1</v>
      </c>
      <c r="X34" s="53" t="s">
        <v>39</v>
      </c>
      <c r="Y34" s="53" t="s">
        <v>69</v>
      </c>
      <c r="Z34" s="53" t="s">
        <v>40</v>
      </c>
      <c r="AA34" s="53" t="s">
        <v>90</v>
      </c>
      <c r="AB34" s="36" t="s">
        <v>316</v>
      </c>
      <c r="AV34" s="27"/>
    </row>
    <row r="35" spans="1:48" x14ac:dyDescent="0.15">
      <c r="A35" s="53" t="s">
        <v>59</v>
      </c>
      <c r="B35" s="36" t="s">
        <v>232</v>
      </c>
      <c r="C35" s="166">
        <v>2019</v>
      </c>
      <c r="D35" s="167" t="s">
        <v>167</v>
      </c>
      <c r="E35" s="53" t="s">
        <v>339</v>
      </c>
      <c r="F35" s="53" t="s">
        <v>340</v>
      </c>
      <c r="G35" s="53" t="s">
        <v>36</v>
      </c>
      <c r="H35" s="53" t="s">
        <v>160</v>
      </c>
      <c r="I35" s="53" t="s">
        <v>159</v>
      </c>
      <c r="J35" s="53" t="s">
        <v>38</v>
      </c>
      <c r="K35" s="53" t="s">
        <v>161</v>
      </c>
      <c r="L35" s="53">
        <v>1</v>
      </c>
      <c r="N35" s="53">
        <v>4</v>
      </c>
      <c r="O35" s="53">
        <v>0.3</v>
      </c>
      <c r="P35" s="53">
        <v>0.35</v>
      </c>
      <c r="Q35" s="98">
        <f t="shared" si="2"/>
        <v>0.32499999999999996</v>
      </c>
      <c r="R35" s="53">
        <v>20</v>
      </c>
      <c r="S35" s="53">
        <v>148</v>
      </c>
      <c r="T35" s="16">
        <f t="shared" si="0"/>
        <v>22</v>
      </c>
      <c r="U35" s="53">
        <v>458</v>
      </c>
      <c r="V35" s="16">
        <f t="shared" si="1"/>
        <v>16</v>
      </c>
      <c r="W35" s="53">
        <v>6</v>
      </c>
      <c r="X35" s="53" t="s">
        <v>46</v>
      </c>
      <c r="Y35" s="53" t="s">
        <v>55</v>
      </c>
      <c r="Z35" s="53" t="s">
        <v>90</v>
      </c>
      <c r="AA35" s="53" t="s">
        <v>97</v>
      </c>
      <c r="AB35" s="36" t="s">
        <v>316</v>
      </c>
      <c r="AV35" s="27"/>
    </row>
    <row r="36" spans="1:48" x14ac:dyDescent="0.15">
      <c r="A36" s="53" t="s">
        <v>59</v>
      </c>
      <c r="B36" s="36" t="s">
        <v>232</v>
      </c>
      <c r="C36" s="166">
        <v>2019</v>
      </c>
      <c r="D36" s="167" t="s">
        <v>167</v>
      </c>
      <c r="E36" s="53" t="s">
        <v>339</v>
      </c>
      <c r="F36" s="53" t="s">
        <v>340</v>
      </c>
      <c r="G36" s="53" t="s">
        <v>36</v>
      </c>
      <c r="H36" s="53" t="s">
        <v>160</v>
      </c>
      <c r="I36" s="53" t="s">
        <v>159</v>
      </c>
      <c r="J36" s="53" t="s">
        <v>38</v>
      </c>
      <c r="K36" s="53" t="s">
        <v>161</v>
      </c>
      <c r="L36" s="53">
        <v>2</v>
      </c>
      <c r="N36" s="53">
        <v>4</v>
      </c>
      <c r="O36" s="53">
        <v>0.43</v>
      </c>
      <c r="P36" s="53">
        <v>0.47</v>
      </c>
      <c r="Q36" s="98">
        <f t="shared" si="2"/>
        <v>0.44999999999999996</v>
      </c>
      <c r="R36" s="53">
        <v>20</v>
      </c>
      <c r="S36" s="53">
        <v>144</v>
      </c>
      <c r="T36" s="16">
        <f t="shared" si="0"/>
        <v>22</v>
      </c>
      <c r="U36" s="53">
        <v>458</v>
      </c>
      <c r="V36" s="16">
        <f t="shared" si="1"/>
        <v>16</v>
      </c>
      <c r="W36" s="53">
        <v>6</v>
      </c>
      <c r="X36" s="53" t="s">
        <v>46</v>
      </c>
      <c r="Y36" s="53" t="s">
        <v>55</v>
      </c>
      <c r="Z36" s="53" t="s">
        <v>90</v>
      </c>
      <c r="AA36" s="53" t="s">
        <v>97</v>
      </c>
      <c r="AB36" s="36" t="s">
        <v>316</v>
      </c>
      <c r="AV36" s="27"/>
    </row>
    <row r="37" spans="1:48" x14ac:dyDescent="0.15">
      <c r="A37" s="53" t="s">
        <v>59</v>
      </c>
      <c r="B37" s="36" t="s">
        <v>232</v>
      </c>
      <c r="C37" s="166">
        <v>2019</v>
      </c>
      <c r="D37" s="167" t="s">
        <v>167</v>
      </c>
      <c r="E37" s="53" t="s">
        <v>339</v>
      </c>
      <c r="F37" s="53" t="s">
        <v>340</v>
      </c>
      <c r="G37" s="53" t="s">
        <v>36</v>
      </c>
      <c r="H37" s="53" t="s">
        <v>160</v>
      </c>
      <c r="I37" s="53" t="s">
        <v>159</v>
      </c>
      <c r="J37" s="53" t="s">
        <v>38</v>
      </c>
      <c r="K37" s="53" t="s">
        <v>161</v>
      </c>
      <c r="L37" s="53">
        <v>3</v>
      </c>
      <c r="N37" s="53">
        <v>4</v>
      </c>
      <c r="O37" s="53">
        <v>0.41</v>
      </c>
      <c r="P37" s="53">
        <v>0.37</v>
      </c>
      <c r="Q37" s="98">
        <f t="shared" si="2"/>
        <v>0.39</v>
      </c>
      <c r="R37" s="53">
        <v>18.5</v>
      </c>
      <c r="S37" s="53">
        <v>136</v>
      </c>
      <c r="T37" s="16">
        <f t="shared" si="0"/>
        <v>25</v>
      </c>
      <c r="U37" s="53">
        <v>458</v>
      </c>
      <c r="V37" s="16">
        <f t="shared" si="1"/>
        <v>16</v>
      </c>
      <c r="W37" s="53">
        <v>6</v>
      </c>
      <c r="X37" s="53" t="s">
        <v>46</v>
      </c>
      <c r="Y37" s="53" t="s">
        <v>55</v>
      </c>
      <c r="Z37" s="53" t="s">
        <v>90</v>
      </c>
      <c r="AA37" s="53" t="s">
        <v>97</v>
      </c>
      <c r="AB37" s="36" t="s">
        <v>316</v>
      </c>
      <c r="AV37" s="27"/>
    </row>
    <row r="38" spans="1:48" x14ac:dyDescent="0.15">
      <c r="A38" s="53" t="s">
        <v>59</v>
      </c>
      <c r="B38" s="36" t="s">
        <v>232</v>
      </c>
      <c r="C38" s="166">
        <v>2019</v>
      </c>
      <c r="D38" s="167" t="s">
        <v>167</v>
      </c>
      <c r="E38" s="53" t="s">
        <v>339</v>
      </c>
      <c r="F38" s="53" t="s">
        <v>340</v>
      </c>
      <c r="G38" s="53" t="s">
        <v>36</v>
      </c>
      <c r="H38" s="53" t="s">
        <v>165</v>
      </c>
      <c r="I38" s="53" t="s">
        <v>159</v>
      </c>
      <c r="J38" s="53" t="s">
        <v>38</v>
      </c>
      <c r="K38" s="53" t="s">
        <v>161</v>
      </c>
      <c r="L38" s="53">
        <v>1</v>
      </c>
      <c r="N38" s="53">
        <v>4</v>
      </c>
      <c r="O38" s="53">
        <v>0.5</v>
      </c>
      <c r="P38" s="53">
        <v>0.56000000000000005</v>
      </c>
      <c r="Q38" s="98">
        <f t="shared" si="2"/>
        <v>0.53</v>
      </c>
      <c r="R38" s="53">
        <v>15.4</v>
      </c>
      <c r="S38" s="53">
        <v>136</v>
      </c>
      <c r="T38" s="16">
        <f t="shared" si="0"/>
        <v>25</v>
      </c>
      <c r="U38" s="53">
        <v>398</v>
      </c>
      <c r="V38" s="16">
        <f t="shared" si="1"/>
        <v>16</v>
      </c>
      <c r="W38" s="53">
        <v>6</v>
      </c>
      <c r="X38" s="53" t="s">
        <v>46</v>
      </c>
      <c r="Y38" s="53" t="s">
        <v>55</v>
      </c>
      <c r="Z38" s="53" t="s">
        <v>90</v>
      </c>
      <c r="AA38" s="53" t="s">
        <v>97</v>
      </c>
      <c r="AB38" s="36" t="s">
        <v>316</v>
      </c>
      <c r="AV38" s="27"/>
    </row>
    <row r="39" spans="1:48" x14ac:dyDescent="0.15">
      <c r="A39" s="53" t="s">
        <v>59</v>
      </c>
      <c r="B39" s="36" t="s">
        <v>232</v>
      </c>
      <c r="C39" s="166">
        <v>2019</v>
      </c>
      <c r="D39" s="167" t="s">
        <v>167</v>
      </c>
      <c r="E39" s="53" t="s">
        <v>339</v>
      </c>
      <c r="F39" s="53" t="s">
        <v>340</v>
      </c>
      <c r="G39" s="53" t="s">
        <v>36</v>
      </c>
      <c r="H39" s="53" t="s">
        <v>165</v>
      </c>
      <c r="I39" s="53" t="s">
        <v>159</v>
      </c>
      <c r="J39" s="53" t="s">
        <v>38</v>
      </c>
      <c r="K39" s="53" t="s">
        <v>161</v>
      </c>
      <c r="L39" s="53">
        <v>2</v>
      </c>
      <c r="N39" s="53">
        <v>4</v>
      </c>
      <c r="O39" s="53">
        <v>0.42</v>
      </c>
      <c r="P39" s="53">
        <v>0.5</v>
      </c>
      <c r="Q39" s="98">
        <f t="shared" si="2"/>
        <v>0.45999999999999996</v>
      </c>
      <c r="R39" s="53">
        <v>15.8</v>
      </c>
      <c r="S39" s="53">
        <v>140</v>
      </c>
      <c r="T39" s="16">
        <f t="shared" si="0"/>
        <v>22</v>
      </c>
      <c r="U39" s="53">
        <v>398</v>
      </c>
      <c r="V39" s="16">
        <f t="shared" si="1"/>
        <v>16</v>
      </c>
      <c r="W39" s="53">
        <v>6</v>
      </c>
      <c r="X39" s="53" t="s">
        <v>46</v>
      </c>
      <c r="Y39" s="53" t="s">
        <v>55</v>
      </c>
      <c r="Z39" s="53" t="s">
        <v>90</v>
      </c>
      <c r="AA39" s="53" t="s">
        <v>97</v>
      </c>
      <c r="AB39" s="36" t="s">
        <v>316</v>
      </c>
      <c r="AV39" s="27"/>
    </row>
    <row r="40" spans="1:48" x14ac:dyDescent="0.15">
      <c r="A40" s="53" t="s">
        <v>59</v>
      </c>
      <c r="B40" s="36" t="s">
        <v>232</v>
      </c>
      <c r="C40" s="166">
        <v>2019</v>
      </c>
      <c r="D40" s="167" t="s">
        <v>167</v>
      </c>
      <c r="E40" s="53" t="s">
        <v>339</v>
      </c>
      <c r="F40" s="53" t="s">
        <v>340</v>
      </c>
      <c r="G40" s="53" t="s">
        <v>36</v>
      </c>
      <c r="H40" s="53" t="s">
        <v>165</v>
      </c>
      <c r="I40" s="53" t="s">
        <v>159</v>
      </c>
      <c r="J40" s="53" t="s">
        <v>38</v>
      </c>
      <c r="K40" s="53" t="s">
        <v>161</v>
      </c>
      <c r="L40" s="53">
        <v>3</v>
      </c>
      <c r="N40" s="53">
        <v>4</v>
      </c>
      <c r="O40" s="53">
        <v>0.55000000000000004</v>
      </c>
      <c r="P40" s="53">
        <v>0.49</v>
      </c>
      <c r="Q40" s="98">
        <f t="shared" si="2"/>
        <v>0.52</v>
      </c>
      <c r="R40" s="53">
        <v>15.3</v>
      </c>
      <c r="S40" s="53">
        <v>135</v>
      </c>
      <c r="T40" s="16">
        <f t="shared" si="0"/>
        <v>25</v>
      </c>
      <c r="U40" s="53">
        <v>398</v>
      </c>
      <c r="V40" s="16">
        <f t="shared" si="1"/>
        <v>16</v>
      </c>
      <c r="W40" s="53">
        <v>6</v>
      </c>
      <c r="X40" s="53" t="s">
        <v>46</v>
      </c>
      <c r="Y40" s="53" t="s">
        <v>55</v>
      </c>
      <c r="Z40" s="53" t="s">
        <v>90</v>
      </c>
      <c r="AA40" s="53" t="s">
        <v>97</v>
      </c>
      <c r="AB40" s="36" t="s">
        <v>316</v>
      </c>
      <c r="AV40" s="27"/>
    </row>
    <row r="41" spans="1:48" x14ac:dyDescent="0.15">
      <c r="A41" s="53" t="s">
        <v>59</v>
      </c>
      <c r="B41" s="36" t="s">
        <v>232</v>
      </c>
      <c r="C41" s="166">
        <v>2019</v>
      </c>
      <c r="D41" s="167" t="s">
        <v>167</v>
      </c>
      <c r="E41" s="53" t="s">
        <v>329</v>
      </c>
      <c r="F41" s="53" t="s">
        <v>330</v>
      </c>
      <c r="G41" s="53" t="s">
        <v>36</v>
      </c>
      <c r="H41" s="53" t="s">
        <v>160</v>
      </c>
      <c r="I41" s="53" t="s">
        <v>159</v>
      </c>
      <c r="J41" s="53" t="s">
        <v>38</v>
      </c>
      <c r="K41" s="53" t="s">
        <v>161</v>
      </c>
      <c r="L41" s="53">
        <v>1</v>
      </c>
      <c r="N41" s="53">
        <v>4</v>
      </c>
      <c r="O41" s="53">
        <v>0.51</v>
      </c>
      <c r="P41" s="53">
        <v>0.45</v>
      </c>
      <c r="Q41" s="98">
        <f t="shared" si="2"/>
        <v>0.48</v>
      </c>
      <c r="R41" s="53">
        <v>17.8</v>
      </c>
      <c r="S41" s="53">
        <v>105</v>
      </c>
      <c r="T41" s="16">
        <f t="shared" si="0"/>
        <v>33</v>
      </c>
      <c r="U41" s="53">
        <v>518</v>
      </c>
      <c r="V41" s="16">
        <f t="shared" si="1"/>
        <v>16</v>
      </c>
      <c r="W41" s="53">
        <v>10</v>
      </c>
      <c r="X41" s="53" t="s">
        <v>46</v>
      </c>
      <c r="Y41" s="53" t="s">
        <v>90</v>
      </c>
      <c r="Z41" s="53" t="s">
        <v>55</v>
      </c>
      <c r="AA41" s="53" t="s">
        <v>69</v>
      </c>
      <c r="AB41" s="36" t="s">
        <v>316</v>
      </c>
      <c r="AV41" s="27"/>
    </row>
    <row r="42" spans="1:48" x14ac:dyDescent="0.15">
      <c r="A42" s="53" t="s">
        <v>59</v>
      </c>
      <c r="B42" s="36" t="s">
        <v>232</v>
      </c>
      <c r="C42" s="166">
        <v>2019</v>
      </c>
      <c r="D42" s="167" t="s">
        <v>167</v>
      </c>
      <c r="E42" s="53" t="s">
        <v>329</v>
      </c>
      <c r="F42" s="53" t="s">
        <v>330</v>
      </c>
      <c r="G42" s="53" t="s">
        <v>36</v>
      </c>
      <c r="H42" s="53" t="s">
        <v>160</v>
      </c>
      <c r="I42" s="53" t="s">
        <v>159</v>
      </c>
      <c r="J42" s="53" t="s">
        <v>38</v>
      </c>
      <c r="K42" s="53" t="s">
        <v>161</v>
      </c>
      <c r="L42" s="53">
        <v>2</v>
      </c>
      <c r="N42" s="53">
        <v>4</v>
      </c>
      <c r="O42" s="53">
        <v>0.6</v>
      </c>
      <c r="P42" s="53">
        <v>0.52</v>
      </c>
      <c r="Q42" s="98">
        <f t="shared" si="2"/>
        <v>0.56000000000000005</v>
      </c>
      <c r="R42" s="53">
        <v>18</v>
      </c>
      <c r="S42" s="53">
        <v>110</v>
      </c>
      <c r="T42" s="16">
        <f t="shared" si="0"/>
        <v>33</v>
      </c>
      <c r="U42" s="53">
        <v>518</v>
      </c>
      <c r="V42" s="16">
        <f t="shared" si="1"/>
        <v>16</v>
      </c>
      <c r="W42" s="53">
        <v>10</v>
      </c>
      <c r="X42" s="53" t="s">
        <v>46</v>
      </c>
      <c r="Y42" s="53" t="s">
        <v>90</v>
      </c>
      <c r="Z42" s="53" t="s">
        <v>55</v>
      </c>
      <c r="AA42" s="53" t="s">
        <v>69</v>
      </c>
      <c r="AB42" s="36" t="s">
        <v>316</v>
      </c>
      <c r="AV42" s="27"/>
    </row>
    <row r="43" spans="1:48" x14ac:dyDescent="0.15">
      <c r="A43" s="53" t="s">
        <v>59</v>
      </c>
      <c r="B43" s="36" t="s">
        <v>232</v>
      </c>
      <c r="C43" s="166">
        <v>2019</v>
      </c>
      <c r="D43" s="167" t="s">
        <v>167</v>
      </c>
      <c r="E43" s="53" t="s">
        <v>329</v>
      </c>
      <c r="F43" s="53" t="s">
        <v>330</v>
      </c>
      <c r="G43" s="53" t="s">
        <v>36</v>
      </c>
      <c r="H43" s="53" t="s">
        <v>160</v>
      </c>
      <c r="I43" s="53" t="s">
        <v>159</v>
      </c>
      <c r="J43" s="53" t="s">
        <v>38</v>
      </c>
      <c r="K43" s="53" t="s">
        <v>161</v>
      </c>
      <c r="L43" s="53">
        <v>3</v>
      </c>
      <c r="N43" s="53">
        <v>4</v>
      </c>
      <c r="O43" s="53">
        <v>0.54</v>
      </c>
      <c r="P43" s="53">
        <v>0.5</v>
      </c>
      <c r="Q43" s="98">
        <f t="shared" si="2"/>
        <v>0.52</v>
      </c>
      <c r="R43" s="53">
        <v>17.7</v>
      </c>
      <c r="S43" s="53">
        <v>111</v>
      </c>
      <c r="T43" s="16">
        <f t="shared" si="0"/>
        <v>33</v>
      </c>
      <c r="U43" s="53">
        <v>518</v>
      </c>
      <c r="V43" s="16">
        <f t="shared" si="1"/>
        <v>16</v>
      </c>
      <c r="W43" s="53">
        <v>10</v>
      </c>
      <c r="X43" s="53" t="s">
        <v>46</v>
      </c>
      <c r="Y43" s="53" t="s">
        <v>90</v>
      </c>
      <c r="Z43" s="53" t="s">
        <v>55</v>
      </c>
      <c r="AA43" s="53" t="s">
        <v>69</v>
      </c>
      <c r="AB43" s="36" t="s">
        <v>316</v>
      </c>
      <c r="AV43" s="27"/>
    </row>
    <row r="44" spans="1:48" x14ac:dyDescent="0.15">
      <c r="A44" s="53" t="s">
        <v>59</v>
      </c>
      <c r="B44" s="36" t="s">
        <v>232</v>
      </c>
      <c r="C44" s="166">
        <v>2019</v>
      </c>
      <c r="D44" s="167" t="s">
        <v>167</v>
      </c>
      <c r="E44" s="53" t="s">
        <v>329</v>
      </c>
      <c r="F44" s="53" t="s">
        <v>330</v>
      </c>
      <c r="G44" s="53" t="s">
        <v>36</v>
      </c>
      <c r="H44" s="53" t="s">
        <v>165</v>
      </c>
      <c r="I44" s="53" t="s">
        <v>159</v>
      </c>
      <c r="J44" s="53" t="s">
        <v>38</v>
      </c>
      <c r="K44" s="53" t="s">
        <v>161</v>
      </c>
      <c r="L44" s="53">
        <v>1</v>
      </c>
      <c r="N44" s="53">
        <v>1</v>
      </c>
      <c r="O44" s="53">
        <v>0.44</v>
      </c>
      <c r="P44" s="53">
        <v>0.52</v>
      </c>
      <c r="Q44" s="98">
        <f t="shared" si="2"/>
        <v>0.48</v>
      </c>
      <c r="R44" s="53">
        <v>15.3</v>
      </c>
      <c r="S44" s="53">
        <v>145</v>
      </c>
      <c r="T44" s="16">
        <f t="shared" si="0"/>
        <v>22</v>
      </c>
      <c r="U44" s="53">
        <v>138</v>
      </c>
      <c r="V44" s="16">
        <f t="shared" si="1"/>
        <v>22</v>
      </c>
      <c r="W44" s="53">
        <v>2</v>
      </c>
      <c r="X44" s="53" t="s">
        <v>39</v>
      </c>
      <c r="Y44" s="53" t="s">
        <v>90</v>
      </c>
      <c r="Z44" s="53" t="s">
        <v>55</v>
      </c>
      <c r="AA44" s="53" t="s">
        <v>69</v>
      </c>
      <c r="AB44" s="36" t="s">
        <v>316</v>
      </c>
      <c r="AV44" s="27"/>
    </row>
    <row r="45" spans="1:48" x14ac:dyDescent="0.15">
      <c r="A45" s="53" t="s">
        <v>59</v>
      </c>
      <c r="B45" s="36" t="s">
        <v>232</v>
      </c>
      <c r="C45" s="166">
        <v>2019</v>
      </c>
      <c r="D45" s="167" t="s">
        <v>167</v>
      </c>
      <c r="E45" s="53" t="s">
        <v>329</v>
      </c>
      <c r="F45" s="53" t="s">
        <v>330</v>
      </c>
      <c r="G45" s="53" t="s">
        <v>36</v>
      </c>
      <c r="H45" s="53" t="s">
        <v>165</v>
      </c>
      <c r="I45" s="53" t="s">
        <v>159</v>
      </c>
      <c r="J45" s="53" t="s">
        <v>38</v>
      </c>
      <c r="K45" s="53" t="s">
        <v>161</v>
      </c>
      <c r="L45" s="53">
        <v>2</v>
      </c>
      <c r="N45" s="53">
        <v>1</v>
      </c>
      <c r="O45" s="53">
        <v>0.47</v>
      </c>
      <c r="P45" s="53">
        <v>0.44</v>
      </c>
      <c r="Q45" s="98">
        <f t="shared" si="2"/>
        <v>0.45499999999999996</v>
      </c>
      <c r="R45" s="53">
        <v>15.8</v>
      </c>
      <c r="S45" s="53">
        <v>136</v>
      </c>
      <c r="T45" s="16">
        <f t="shared" si="0"/>
        <v>25</v>
      </c>
      <c r="U45" s="53">
        <v>138</v>
      </c>
      <c r="V45" s="16">
        <f t="shared" si="1"/>
        <v>22</v>
      </c>
      <c r="W45" s="53">
        <v>2</v>
      </c>
      <c r="X45" s="53" t="s">
        <v>39</v>
      </c>
      <c r="Y45" s="53" t="s">
        <v>90</v>
      </c>
      <c r="Z45" s="53" t="s">
        <v>55</v>
      </c>
      <c r="AA45" s="53" t="s">
        <v>69</v>
      </c>
      <c r="AB45" s="36" t="s">
        <v>316</v>
      </c>
      <c r="AV45" s="27"/>
    </row>
    <row r="46" spans="1:48" x14ac:dyDescent="0.15">
      <c r="A46" s="53" t="s">
        <v>59</v>
      </c>
      <c r="B46" s="36" t="s">
        <v>232</v>
      </c>
      <c r="C46" s="166">
        <v>2019</v>
      </c>
      <c r="D46" s="167" t="s">
        <v>167</v>
      </c>
      <c r="E46" s="53" t="s">
        <v>329</v>
      </c>
      <c r="F46" s="53" t="s">
        <v>330</v>
      </c>
      <c r="G46" s="53" t="s">
        <v>36</v>
      </c>
      <c r="H46" s="53" t="s">
        <v>165</v>
      </c>
      <c r="I46" s="53" t="s">
        <v>159</v>
      </c>
      <c r="J46" s="53" t="s">
        <v>38</v>
      </c>
      <c r="K46" s="53" t="s">
        <v>161</v>
      </c>
      <c r="L46" s="53">
        <v>3</v>
      </c>
      <c r="N46" s="53">
        <v>1</v>
      </c>
      <c r="O46" s="53">
        <v>0.5</v>
      </c>
      <c r="P46" s="53">
        <v>0.43</v>
      </c>
      <c r="Q46" s="98">
        <f t="shared" si="2"/>
        <v>0.46499999999999997</v>
      </c>
      <c r="R46" s="53">
        <v>15.2</v>
      </c>
      <c r="S46" s="53">
        <v>143</v>
      </c>
      <c r="T46" s="16">
        <f t="shared" si="0"/>
        <v>22</v>
      </c>
      <c r="U46" s="53">
        <v>138</v>
      </c>
      <c r="V46" s="16">
        <f t="shared" si="1"/>
        <v>22</v>
      </c>
      <c r="W46" s="53">
        <v>2</v>
      </c>
      <c r="X46" s="53" t="s">
        <v>39</v>
      </c>
      <c r="Y46" s="53" t="s">
        <v>90</v>
      </c>
      <c r="Z46" s="53" t="s">
        <v>55</v>
      </c>
      <c r="AA46" s="53" t="s">
        <v>69</v>
      </c>
      <c r="AB46" s="36" t="s">
        <v>316</v>
      </c>
      <c r="AV46" s="27"/>
    </row>
    <row r="47" spans="1:48" x14ac:dyDescent="0.15">
      <c r="B47" s="36"/>
      <c r="C47" s="166"/>
      <c r="D47" s="167"/>
      <c r="Q47" s="98" t="str">
        <f t="shared" si="2"/>
        <v/>
      </c>
      <c r="T47" s="16" t="str">
        <f t="shared" si="0"/>
        <v/>
      </c>
      <c r="V47" s="16" t="str">
        <f t="shared" si="1"/>
        <v/>
      </c>
      <c r="AB47" s="36"/>
    </row>
    <row r="48" spans="1:48" x14ac:dyDescent="0.15">
      <c r="B48" s="36"/>
      <c r="C48" s="166"/>
      <c r="D48" s="167"/>
      <c r="Q48" s="98" t="str">
        <f t="shared" si="2"/>
        <v/>
      </c>
      <c r="T48" s="16" t="str">
        <f t="shared" si="0"/>
        <v/>
      </c>
      <c r="V48" s="16" t="str">
        <f t="shared" si="1"/>
        <v/>
      </c>
      <c r="AB48" s="36"/>
    </row>
    <row r="49" spans="2:28" x14ac:dyDescent="0.15">
      <c r="B49" s="36"/>
      <c r="C49" s="166"/>
      <c r="D49" s="167"/>
      <c r="Q49" s="98" t="str">
        <f t="shared" si="2"/>
        <v/>
      </c>
      <c r="T49" s="16" t="str">
        <f t="shared" si="0"/>
        <v/>
      </c>
      <c r="V49" s="16" t="str">
        <f t="shared" si="1"/>
        <v/>
      </c>
      <c r="AB49" s="36"/>
    </row>
    <row r="50" spans="2:28" x14ac:dyDescent="0.15">
      <c r="B50" s="36"/>
      <c r="C50" s="166"/>
      <c r="D50" s="167"/>
      <c r="Q50" s="98"/>
      <c r="AB50" s="36"/>
    </row>
    <row r="51" spans="2:28" x14ac:dyDescent="0.15">
      <c r="B51" s="36"/>
      <c r="C51" s="166"/>
      <c r="D51" s="167"/>
      <c r="Q51" s="98"/>
      <c r="AB51" s="36"/>
    </row>
    <row r="52" spans="2:28" x14ac:dyDescent="0.15">
      <c r="B52" s="36"/>
      <c r="C52" s="166"/>
      <c r="D52" s="167"/>
      <c r="Q52" s="98"/>
      <c r="AB52" s="36"/>
    </row>
    <row r="53" spans="2:28" x14ac:dyDescent="0.15">
      <c r="B53" s="36"/>
      <c r="C53" s="166"/>
      <c r="D53" s="167"/>
      <c r="Q53" s="98"/>
      <c r="AB53" s="36"/>
    </row>
    <row r="54" spans="2:28" x14ac:dyDescent="0.15">
      <c r="B54" s="36"/>
      <c r="C54" s="166"/>
      <c r="D54" s="167"/>
      <c r="Q54" s="98"/>
      <c r="AB54" s="36"/>
    </row>
    <row r="55" spans="2:28" x14ac:dyDescent="0.15">
      <c r="B55" s="36"/>
      <c r="C55" s="166"/>
      <c r="D55" s="167"/>
      <c r="Q55" s="98"/>
      <c r="AB55" s="36"/>
    </row>
    <row r="56" spans="2:28" x14ac:dyDescent="0.15">
      <c r="B56" s="36"/>
      <c r="C56" s="166"/>
      <c r="D56" s="167"/>
      <c r="Q56" s="98"/>
      <c r="AB56" s="36"/>
    </row>
    <row r="57" spans="2:28" x14ac:dyDescent="0.15">
      <c r="B57" s="36"/>
      <c r="C57" s="166"/>
      <c r="D57" s="167"/>
      <c r="Q57" s="98"/>
      <c r="AB57" s="36"/>
    </row>
    <row r="58" spans="2:28" x14ac:dyDescent="0.15">
      <c r="B58" s="36"/>
      <c r="C58" s="166"/>
      <c r="D58" s="167"/>
      <c r="Q58" s="98"/>
      <c r="AB58" s="36"/>
    </row>
    <row r="59" spans="2:28" x14ac:dyDescent="0.15">
      <c r="B59" s="36"/>
      <c r="C59" s="166"/>
      <c r="D59" s="167"/>
      <c r="Q59" s="98"/>
      <c r="AB59" s="36"/>
    </row>
    <row r="60" spans="2:28" x14ac:dyDescent="0.15">
      <c r="B60" s="36"/>
      <c r="C60" s="166"/>
      <c r="D60" s="167"/>
      <c r="Q60" s="98"/>
      <c r="AB60" s="36"/>
    </row>
    <row r="61" spans="2:28" x14ac:dyDescent="0.15">
      <c r="B61" s="36"/>
      <c r="C61" s="166"/>
      <c r="D61" s="167"/>
      <c r="Q61" s="98"/>
      <c r="AB61" s="36"/>
    </row>
    <row r="62" spans="2:28" x14ac:dyDescent="0.15">
      <c r="B62" s="36"/>
      <c r="C62" s="166"/>
      <c r="D62" s="167"/>
      <c r="Q62" s="98"/>
      <c r="AB62" s="36"/>
    </row>
    <row r="63" spans="2:28" x14ac:dyDescent="0.15">
      <c r="B63" s="36"/>
      <c r="C63" s="166"/>
      <c r="D63" s="167"/>
      <c r="Q63" s="98"/>
      <c r="AB63" s="36"/>
    </row>
    <row r="64" spans="2:28" x14ac:dyDescent="0.15">
      <c r="B64" s="36"/>
      <c r="C64" s="166"/>
      <c r="D64" s="167"/>
      <c r="Q64" s="98"/>
      <c r="AB64" s="36"/>
    </row>
    <row r="65" spans="2:28" x14ac:dyDescent="0.15">
      <c r="B65" s="36"/>
      <c r="C65" s="166"/>
      <c r="D65" s="167"/>
      <c r="Q65" s="98"/>
      <c r="AB65" s="36"/>
    </row>
    <row r="66" spans="2:28" x14ac:dyDescent="0.15">
      <c r="B66" s="36"/>
      <c r="C66" s="166"/>
      <c r="D66" s="167"/>
      <c r="Q66" s="98"/>
      <c r="AB66" s="36"/>
    </row>
    <row r="67" spans="2:28" x14ac:dyDescent="0.15">
      <c r="B67" s="36"/>
      <c r="C67" s="166"/>
      <c r="D67" s="167"/>
      <c r="Q67" s="98"/>
      <c r="AB67" s="36"/>
    </row>
    <row r="68" spans="2:28" x14ac:dyDescent="0.15">
      <c r="B68" s="36"/>
      <c r="C68" s="166"/>
      <c r="D68" s="167"/>
      <c r="Q68" s="98"/>
      <c r="AB68" s="36"/>
    </row>
    <row r="69" spans="2:28" x14ac:dyDescent="0.15">
      <c r="B69" s="36"/>
      <c r="C69" s="166"/>
      <c r="D69" s="167"/>
      <c r="Q69" s="98"/>
      <c r="AB69" s="36"/>
    </row>
    <row r="70" spans="2:28" x14ac:dyDescent="0.15">
      <c r="B70" s="36"/>
      <c r="C70" s="166"/>
      <c r="D70" s="167"/>
      <c r="Q70" s="98"/>
      <c r="AB70" s="36"/>
    </row>
    <row r="71" spans="2:28" x14ac:dyDescent="0.15">
      <c r="B71" s="36"/>
      <c r="C71" s="166"/>
      <c r="D71" s="167"/>
      <c r="Q71" s="98"/>
      <c r="AB71" s="36"/>
    </row>
    <row r="72" spans="2:28" x14ac:dyDescent="0.15">
      <c r="B72" s="36"/>
      <c r="C72" s="166"/>
      <c r="D72" s="167"/>
      <c r="Q72" s="98"/>
      <c r="AB72" s="36"/>
    </row>
    <row r="73" spans="2:28" x14ac:dyDescent="0.15">
      <c r="B73" s="36"/>
      <c r="C73" s="166"/>
      <c r="D73" s="167"/>
      <c r="Q73" s="98"/>
      <c r="AB73" s="36"/>
    </row>
    <row r="74" spans="2:28" x14ac:dyDescent="0.15">
      <c r="B74" s="36"/>
      <c r="C74" s="166"/>
      <c r="D74" s="167"/>
      <c r="Q74" s="98"/>
      <c r="AB74" s="36"/>
    </row>
    <row r="75" spans="2:28" x14ac:dyDescent="0.15">
      <c r="B75" s="36"/>
      <c r="C75" s="166"/>
      <c r="D75" s="167"/>
      <c r="Q75" s="98"/>
      <c r="AB75" s="36"/>
    </row>
    <row r="76" spans="2:28" x14ac:dyDescent="0.15">
      <c r="B76" s="36"/>
      <c r="C76" s="166"/>
      <c r="D76" s="167"/>
      <c r="Q76" s="98"/>
      <c r="AB76" s="36"/>
    </row>
    <row r="77" spans="2:28" x14ac:dyDescent="0.15">
      <c r="B77" s="36"/>
      <c r="C77" s="166"/>
      <c r="D77" s="167"/>
      <c r="Q77" s="98"/>
      <c r="AB77" s="36"/>
    </row>
    <row r="78" spans="2:28" x14ac:dyDescent="0.15">
      <c r="B78" s="36"/>
      <c r="C78" s="166"/>
      <c r="D78" s="167"/>
      <c r="Q78" s="98"/>
      <c r="AB78" s="36"/>
    </row>
    <row r="79" spans="2:28" x14ac:dyDescent="0.15">
      <c r="B79" s="36"/>
      <c r="C79" s="166"/>
      <c r="D79" s="167"/>
      <c r="Q79" s="98"/>
      <c r="AB79" s="36"/>
    </row>
    <row r="80" spans="2:28" x14ac:dyDescent="0.15">
      <c r="B80" s="36"/>
      <c r="C80" s="166"/>
      <c r="D80" s="167"/>
      <c r="Q80" s="98"/>
      <c r="AB80" s="36"/>
    </row>
    <row r="81" spans="2:28" x14ac:dyDescent="0.15">
      <c r="B81" s="36"/>
      <c r="C81" s="166"/>
      <c r="D81" s="167"/>
      <c r="Q81" s="98"/>
      <c r="AB81" s="36"/>
    </row>
    <row r="82" spans="2:28" x14ac:dyDescent="0.15">
      <c r="B82" s="36"/>
      <c r="C82" s="166"/>
      <c r="D82" s="167"/>
      <c r="Q82" s="98"/>
      <c r="AB82" s="36"/>
    </row>
    <row r="83" spans="2:28" x14ac:dyDescent="0.15">
      <c r="B83" s="36"/>
      <c r="C83" s="166"/>
      <c r="Q83" s="98"/>
      <c r="AB83" s="36"/>
    </row>
    <row r="84" spans="2:28" x14ac:dyDescent="0.15">
      <c r="B84" s="36"/>
      <c r="C84" s="166"/>
      <c r="Q84" s="98"/>
      <c r="AB84" s="36"/>
    </row>
    <row r="85" spans="2:28" x14ac:dyDescent="0.15">
      <c r="B85" s="36"/>
      <c r="C85" s="166"/>
      <c r="Q85" s="98"/>
      <c r="AB85" s="36"/>
    </row>
    <row r="86" spans="2:28" x14ac:dyDescent="0.15">
      <c r="B86" s="36"/>
      <c r="C86" s="166"/>
      <c r="Q86" s="98"/>
      <c r="AB86" s="36"/>
    </row>
    <row r="87" spans="2:28" x14ac:dyDescent="0.15">
      <c r="B87" s="36"/>
      <c r="C87" s="166"/>
      <c r="Q87" s="98"/>
      <c r="AB87" s="36"/>
    </row>
    <row r="88" spans="2:28" x14ac:dyDescent="0.15">
      <c r="B88" s="36"/>
      <c r="C88" s="166"/>
      <c r="Q88" s="98"/>
      <c r="AB88" s="36"/>
    </row>
    <row r="89" spans="2:28" x14ac:dyDescent="0.15">
      <c r="B89" s="36"/>
      <c r="C89" s="166"/>
      <c r="Q89" s="98"/>
      <c r="AB89" s="36"/>
    </row>
    <row r="90" spans="2:28" x14ac:dyDescent="0.15">
      <c r="B90" s="36"/>
      <c r="C90" s="166"/>
      <c r="Q90" s="98"/>
      <c r="AB90" s="36"/>
    </row>
    <row r="91" spans="2:28" x14ac:dyDescent="0.15">
      <c r="B91" s="36"/>
      <c r="C91" s="166"/>
      <c r="Q91" s="98"/>
      <c r="AB91" s="36"/>
    </row>
    <row r="92" spans="2:28" x14ac:dyDescent="0.15">
      <c r="B92" s="36"/>
      <c r="C92" s="166"/>
      <c r="Q92" s="98"/>
      <c r="AB92" s="36"/>
    </row>
    <row r="93" spans="2:28" x14ac:dyDescent="0.15">
      <c r="B93" s="36"/>
      <c r="C93" s="166"/>
      <c r="Q93" s="98"/>
      <c r="AB93" s="36"/>
    </row>
    <row r="94" spans="2:28" x14ac:dyDescent="0.15">
      <c r="B94" s="36"/>
      <c r="C94" s="166"/>
      <c r="Q94" s="98"/>
      <c r="AB94" s="36"/>
    </row>
    <row r="95" spans="2:28" x14ac:dyDescent="0.15">
      <c r="B95" s="36"/>
      <c r="C95" s="166"/>
      <c r="Q95" s="98"/>
      <c r="AB95" s="36"/>
    </row>
    <row r="96" spans="2:28" x14ac:dyDescent="0.15">
      <c r="B96" s="36"/>
      <c r="C96" s="166"/>
      <c r="Q96" s="98"/>
      <c r="AB96" s="36"/>
    </row>
    <row r="97" spans="2:28" x14ac:dyDescent="0.15">
      <c r="B97" s="36"/>
      <c r="C97" s="166"/>
      <c r="Q97" s="98"/>
      <c r="AB97" s="36"/>
    </row>
    <row r="98" spans="2:28" x14ac:dyDescent="0.15">
      <c r="B98" s="36"/>
      <c r="C98" s="166"/>
      <c r="Q98" s="98"/>
      <c r="AB98" s="36"/>
    </row>
    <row r="99" spans="2:28" x14ac:dyDescent="0.15">
      <c r="B99" s="36"/>
      <c r="C99" s="166"/>
      <c r="AB99" s="36"/>
    </row>
    <row r="100" spans="2:28" x14ac:dyDescent="0.15">
      <c r="B100" s="36"/>
      <c r="C100" s="166"/>
      <c r="AB100" s="36"/>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36"/>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9393FBAD-1A45-4EBD-83E6-67AA89325B4D}">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xr:uid="{DD7C599D-FC71-4D32-8467-4D612E5981AC}">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7:J492" xr:uid="{EBDB9DE2-B03E-494B-8A33-9AB490FDAA00}">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E3CD6620-224C-4E89-867D-A5A3CAE7E1CB}">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25DE0751-AB11-4C12-95DA-8E977E41E00F}">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0F76C8B7-FAB2-4143-BEF7-0DEBBF6EE621}">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C29D86EA-E0AA-4448-A63E-5CCED66195AA}">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964C8AC9-D14C-4379-897F-3C6A08522D59}">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36D62885-7206-4859-B3BA-66DC37CF6BF1}">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98295340-E33A-4822-9F73-9AF56CA422D8}">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890765ED-3721-4E8A-9CEC-0CA062BEC747}">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B1029524-59F2-4A2F-B33A-DD35E61F738F}">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ED7A9D56-5A2E-4382-9390-CD270B08BB63}">
      <formula1>#REF!</formula1>
    </dataValidation>
    <dataValidation type="list" allowBlank="1" showInputMessage="1" showErrorMessage="1" sqref="E2:E492" xr:uid="{587790AD-1969-4F1E-B9C6-18E6955E2AD5}">
      <formula1>$AG$2:$AG$11</formula1>
    </dataValidation>
    <dataValidation type="list" allowBlank="1" showInputMessage="1" showErrorMessage="1" sqref="H2:H492" xr:uid="{C5B62527-5730-4E35-8EC0-7D755EFC5B13}">
      <formula1>$AL$2:$AL$8</formula1>
    </dataValidation>
    <dataValidation type="decimal" allowBlank="1" showInputMessage="1" showErrorMessage="1" error="硬度を正しく入力して下さい。" sqref="O2:P492" xr:uid="{8E5E1429-A0A6-4FD0-8BF7-59056D8603A1}">
      <formula1>0</formula1>
      <formula2>7</formula2>
    </dataValidation>
    <dataValidation type="list" allowBlank="1" showInputMessage="1" showErrorMessage="1" sqref="F2:F1446" xr:uid="{31ABBD8B-7F04-46B6-AD09-F33B01C619F2}">
      <formula1>$AH$2:$AH$11</formula1>
    </dataValidation>
    <dataValidation type="list" allowBlank="1" showInputMessage="1" showErrorMessage="1" sqref="Y2:AA583" xr:uid="{FBCB9B6A-2273-469C-AD30-B765F9641A37}">
      <formula1>$AV$2:$AV$38</formula1>
    </dataValidation>
    <dataValidation type="list" allowBlank="1" showInputMessage="1" showErrorMessage="1" sqref="J2:J46" xr:uid="{9701620C-6127-49B3-93E3-29210E7B4086}">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C3211-50F1-4CD5-9C51-E532085A5207}">
  <dimension ref="A1:BA443"/>
  <sheetViews>
    <sheetView tabSelected="1" topLeftCell="A13" zoomScale="70" zoomScaleNormal="70" zoomScaleSheetLayoutView="100" workbookViewId="0">
      <selection activeCell="AH37" sqref="AH37"/>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57"/>
    <col min="40" max="16384" width="9" style="53"/>
  </cols>
  <sheetData>
    <row r="1" spans="1:53" ht="45" x14ac:dyDescent="0.15">
      <c r="A1" s="44" t="s">
        <v>0</v>
      </c>
      <c r="B1" s="1" t="s">
        <v>1</v>
      </c>
      <c r="C1" s="1" t="s">
        <v>2</v>
      </c>
      <c r="D1" s="2" t="s">
        <v>3</v>
      </c>
      <c r="E1" s="45" t="s">
        <v>4</v>
      </c>
      <c r="F1" s="45" t="s">
        <v>5</v>
      </c>
      <c r="G1" s="45" t="s">
        <v>6</v>
      </c>
      <c r="H1" s="45" t="s">
        <v>7</v>
      </c>
      <c r="I1" s="45" t="s">
        <v>8</v>
      </c>
      <c r="J1" s="45" t="s">
        <v>9</v>
      </c>
      <c r="K1" s="184"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185"/>
      <c r="AJ1" s="186" t="s">
        <v>6</v>
      </c>
      <c r="AK1" s="185"/>
      <c r="AL1" s="187" t="s">
        <v>7</v>
      </c>
      <c r="AM1" s="185"/>
      <c r="AN1" s="10" t="s">
        <v>8</v>
      </c>
      <c r="AO1" s="9"/>
      <c r="AP1" s="10" t="s">
        <v>27</v>
      </c>
      <c r="AQ1" s="9"/>
      <c r="AR1" s="10" t="s">
        <v>10</v>
      </c>
      <c r="AS1" s="9"/>
      <c r="AT1" s="11" t="s">
        <v>28</v>
      </c>
      <c r="AU1" s="9"/>
      <c r="AV1" s="10" t="s">
        <v>29</v>
      </c>
      <c r="AX1" s="12" t="s">
        <v>30</v>
      </c>
      <c r="AY1" s="13" t="s">
        <v>31</v>
      </c>
      <c r="AZ1" s="13" t="s">
        <v>32</v>
      </c>
      <c r="BA1" s="14" t="s">
        <v>33</v>
      </c>
    </row>
    <row r="2" spans="1:53" x14ac:dyDescent="0.15">
      <c r="A2" s="188" t="s">
        <v>34</v>
      </c>
      <c r="B2" s="188" t="s">
        <v>232</v>
      </c>
      <c r="C2" s="188">
        <v>2019</v>
      </c>
      <c r="D2" s="189" t="s">
        <v>373</v>
      </c>
      <c r="E2" s="188" t="s">
        <v>374</v>
      </c>
      <c r="F2" s="188" t="s">
        <v>375</v>
      </c>
      <c r="G2" s="190" t="s">
        <v>36</v>
      </c>
      <c r="H2" s="191" t="s">
        <v>165</v>
      </c>
      <c r="I2" s="150" t="s">
        <v>159</v>
      </c>
      <c r="J2" s="192" t="s">
        <v>38</v>
      </c>
      <c r="K2" s="150" t="s">
        <v>161</v>
      </c>
      <c r="L2" s="193">
        <v>1</v>
      </c>
      <c r="M2" s="194"/>
      <c r="N2" s="194">
        <v>4</v>
      </c>
      <c r="O2" s="194">
        <v>0.55000000000000004</v>
      </c>
      <c r="P2" s="194">
        <v>0.6</v>
      </c>
      <c r="Q2" s="195">
        <f t="shared" ref="Q2:Q65" si="0">IF(OR(O2="",P2=""),"",AVERAGE(O2,P2))</f>
        <v>0.57499999999999996</v>
      </c>
      <c r="R2" s="196">
        <v>13.8</v>
      </c>
      <c r="S2" s="191">
        <v>89</v>
      </c>
      <c r="T2" s="197">
        <f t="shared" ref="T2:T65" si="1">IF(H2="","",IF(OR(H2="GREEN",H2="GK"),IF(S2&gt;=$AX$2,VLOOKUP(S2,$AX$2:$AY$7,2,1),""),IF(S2&gt;=$AZ$2,VLOOKUP(S2,$AZ$2:$BA$7,2,1),"")))</f>
        <v>36</v>
      </c>
      <c r="U2" s="150">
        <v>398</v>
      </c>
      <c r="V2" s="197">
        <f t="shared" ref="V2:V65" si="2">IF(OR(N2="",U2="",T2=""),"",U2/N2*T2)</f>
        <v>3582</v>
      </c>
      <c r="W2" s="198">
        <v>6</v>
      </c>
      <c r="X2" s="199" t="s">
        <v>46</v>
      </c>
      <c r="Y2" s="199" t="s">
        <v>97</v>
      </c>
      <c r="Z2" s="199" t="s">
        <v>86</v>
      </c>
      <c r="AA2" s="200" t="s">
        <v>107</v>
      </c>
      <c r="AB2" s="57" t="s">
        <v>258</v>
      </c>
      <c r="AE2" s="17" t="s">
        <v>35</v>
      </c>
      <c r="AG2" s="65" t="s">
        <v>374</v>
      </c>
      <c r="AH2" s="65" t="s">
        <v>375</v>
      </c>
      <c r="AJ2" s="158" t="s">
        <v>36</v>
      </c>
      <c r="AL2" s="18" t="s">
        <v>127</v>
      </c>
      <c r="AN2" s="18" t="s">
        <v>37</v>
      </c>
      <c r="AO2" s="54"/>
      <c r="AP2" s="18" t="s">
        <v>38</v>
      </c>
      <c r="AQ2" s="54"/>
      <c r="AR2" s="18" t="s">
        <v>120</v>
      </c>
      <c r="AS2" s="54"/>
      <c r="AT2" s="18" t="s">
        <v>39</v>
      </c>
      <c r="AU2" s="54"/>
      <c r="AV2" s="170" t="s">
        <v>40</v>
      </c>
      <c r="AW2" s="54"/>
      <c r="AX2" s="19">
        <v>1</v>
      </c>
      <c r="AY2" s="20">
        <v>50</v>
      </c>
      <c r="AZ2" s="20">
        <v>1</v>
      </c>
      <c r="BA2" s="21">
        <v>50</v>
      </c>
    </row>
    <row r="3" spans="1:53" x14ac:dyDescent="0.15">
      <c r="A3" s="201" t="s">
        <v>34</v>
      </c>
      <c r="B3" s="201" t="s">
        <v>157</v>
      </c>
      <c r="C3" s="202">
        <v>2019</v>
      </c>
      <c r="D3" s="203" t="s">
        <v>376</v>
      </c>
      <c r="E3" s="201" t="s">
        <v>374</v>
      </c>
      <c r="F3" s="201" t="s">
        <v>375</v>
      </c>
      <c r="G3" s="204" t="s">
        <v>36</v>
      </c>
      <c r="H3" s="150" t="s">
        <v>165</v>
      </c>
      <c r="I3" s="150" t="s">
        <v>159</v>
      </c>
      <c r="J3" s="150" t="s">
        <v>38</v>
      </c>
      <c r="K3" s="150" t="s">
        <v>161</v>
      </c>
      <c r="L3" s="53">
        <v>2</v>
      </c>
      <c r="N3" s="53">
        <v>4</v>
      </c>
      <c r="O3" s="53">
        <v>0.7</v>
      </c>
      <c r="P3" s="34">
        <v>0.65</v>
      </c>
      <c r="Q3" s="205">
        <f t="shared" si="0"/>
        <v>0.67500000000000004</v>
      </c>
      <c r="R3" s="206">
        <v>14.2</v>
      </c>
      <c r="S3" s="206">
        <v>86</v>
      </c>
      <c r="T3" s="16">
        <f t="shared" si="1"/>
        <v>36</v>
      </c>
      <c r="U3" s="207">
        <v>398</v>
      </c>
      <c r="V3" s="208">
        <f t="shared" si="2"/>
        <v>3582</v>
      </c>
      <c r="W3" s="209">
        <v>6</v>
      </c>
      <c r="X3" s="210" t="s">
        <v>46</v>
      </c>
      <c r="Y3" s="210" t="s">
        <v>97</v>
      </c>
      <c r="Z3" s="210" t="s">
        <v>86</v>
      </c>
      <c r="AA3" s="200" t="s">
        <v>107</v>
      </c>
      <c r="AB3" s="57" t="s">
        <v>158</v>
      </c>
      <c r="AE3" s="22" t="s">
        <v>41</v>
      </c>
      <c r="AG3" s="65" t="s">
        <v>377</v>
      </c>
      <c r="AH3" s="65" t="s">
        <v>378</v>
      </c>
      <c r="AJ3" s="211" t="s">
        <v>42</v>
      </c>
      <c r="AL3" s="23" t="s">
        <v>128</v>
      </c>
      <c r="AN3" s="23" t="s">
        <v>43</v>
      </c>
      <c r="AP3" s="23" t="s">
        <v>44</v>
      </c>
      <c r="AR3" s="41" t="s">
        <v>45</v>
      </c>
      <c r="AT3" s="23" t="s">
        <v>46</v>
      </c>
      <c r="AV3" s="23" t="s">
        <v>47</v>
      </c>
      <c r="AX3" s="24">
        <v>72</v>
      </c>
      <c r="AY3" s="25">
        <v>46</v>
      </c>
      <c r="AZ3" s="25">
        <v>71</v>
      </c>
      <c r="BA3" s="26">
        <v>42</v>
      </c>
    </row>
    <row r="4" spans="1:53" x14ac:dyDescent="0.15">
      <c r="A4" s="201" t="s">
        <v>34</v>
      </c>
      <c r="B4" s="201" t="s">
        <v>157</v>
      </c>
      <c r="C4" s="201">
        <v>2019</v>
      </c>
      <c r="D4" s="203" t="s">
        <v>376</v>
      </c>
      <c r="E4" s="201" t="s">
        <v>374</v>
      </c>
      <c r="F4" s="201" t="s">
        <v>375</v>
      </c>
      <c r="G4" s="204" t="s">
        <v>36</v>
      </c>
      <c r="H4" s="150" t="s">
        <v>165</v>
      </c>
      <c r="I4" s="150" t="s">
        <v>159</v>
      </c>
      <c r="J4" s="150" t="s">
        <v>38</v>
      </c>
      <c r="K4" s="150" t="s">
        <v>161</v>
      </c>
      <c r="L4" s="53">
        <v>3</v>
      </c>
      <c r="N4" s="53">
        <v>4</v>
      </c>
      <c r="O4" s="53">
        <v>0.6</v>
      </c>
      <c r="P4" s="34">
        <v>0.65</v>
      </c>
      <c r="Q4" s="98">
        <f t="shared" si="0"/>
        <v>0.625</v>
      </c>
      <c r="R4" s="212">
        <v>14.4</v>
      </c>
      <c r="S4" s="212">
        <v>85</v>
      </c>
      <c r="T4" s="16">
        <f t="shared" si="1"/>
        <v>36</v>
      </c>
      <c r="U4" s="213">
        <v>398</v>
      </c>
      <c r="V4" s="208">
        <f t="shared" si="2"/>
        <v>3582</v>
      </c>
      <c r="W4" s="214">
        <v>6</v>
      </c>
      <c r="X4" s="210" t="s">
        <v>46</v>
      </c>
      <c r="Y4" s="210" t="s">
        <v>97</v>
      </c>
      <c r="Z4" s="210" t="s">
        <v>86</v>
      </c>
      <c r="AA4" s="200" t="s">
        <v>107</v>
      </c>
      <c r="AB4" s="57" t="s">
        <v>158</v>
      </c>
      <c r="AE4" s="22" t="s">
        <v>34</v>
      </c>
      <c r="AG4" s="65" t="s">
        <v>355</v>
      </c>
      <c r="AH4" s="65" t="s">
        <v>378</v>
      </c>
      <c r="AJ4" s="215" t="s">
        <v>48</v>
      </c>
      <c r="AL4" s="27" t="s">
        <v>129</v>
      </c>
      <c r="AN4" s="28" t="s">
        <v>49</v>
      </c>
      <c r="AP4" s="23" t="s">
        <v>93</v>
      </c>
      <c r="AR4" s="41" t="s">
        <v>121</v>
      </c>
      <c r="AT4" s="28"/>
      <c r="AV4" s="23" t="s">
        <v>50</v>
      </c>
      <c r="AX4" s="24">
        <v>75</v>
      </c>
      <c r="AY4" s="25">
        <v>42</v>
      </c>
      <c r="AZ4" s="25">
        <v>76</v>
      </c>
      <c r="BA4" s="26">
        <v>39</v>
      </c>
    </row>
    <row r="5" spans="1:53" x14ac:dyDescent="0.15">
      <c r="A5" s="201" t="s">
        <v>34</v>
      </c>
      <c r="B5" s="201" t="s">
        <v>157</v>
      </c>
      <c r="C5" s="202">
        <v>2019</v>
      </c>
      <c r="D5" s="203" t="s">
        <v>376</v>
      </c>
      <c r="E5" s="201" t="s">
        <v>374</v>
      </c>
      <c r="F5" s="201" t="s">
        <v>375</v>
      </c>
      <c r="G5" s="204" t="s">
        <v>36</v>
      </c>
      <c r="H5" s="150" t="s">
        <v>160</v>
      </c>
      <c r="I5" s="150" t="s">
        <v>159</v>
      </c>
      <c r="J5" s="150" t="s">
        <v>38</v>
      </c>
      <c r="K5" s="150" t="s">
        <v>161</v>
      </c>
      <c r="L5" s="53">
        <v>1</v>
      </c>
      <c r="N5" s="53">
        <v>1</v>
      </c>
      <c r="O5" s="53">
        <v>0.45</v>
      </c>
      <c r="P5" s="36">
        <v>0.5</v>
      </c>
      <c r="Q5" s="98">
        <f t="shared" si="0"/>
        <v>0.47499999999999998</v>
      </c>
      <c r="R5" s="212">
        <v>16.3</v>
      </c>
      <c r="S5" s="212">
        <v>111</v>
      </c>
      <c r="T5" s="16">
        <f t="shared" si="1"/>
        <v>33</v>
      </c>
      <c r="U5" s="213">
        <v>98</v>
      </c>
      <c r="V5" s="208">
        <f t="shared" si="2"/>
        <v>3234</v>
      </c>
      <c r="W5" s="214">
        <v>6</v>
      </c>
      <c r="X5" s="210" t="s">
        <v>46</v>
      </c>
      <c r="Y5" s="210" t="s">
        <v>97</v>
      </c>
      <c r="Z5" s="210" t="s">
        <v>86</v>
      </c>
      <c r="AA5" s="200" t="s">
        <v>107</v>
      </c>
      <c r="AB5" s="57" t="s">
        <v>158</v>
      </c>
      <c r="AE5" s="22" t="s">
        <v>51</v>
      </c>
      <c r="AG5" s="65" t="s">
        <v>374</v>
      </c>
      <c r="AH5" s="65" t="s">
        <v>379</v>
      </c>
      <c r="AJ5" s="216"/>
      <c r="AL5" s="29" t="s">
        <v>66</v>
      </c>
      <c r="AN5" s="29" t="s">
        <v>52</v>
      </c>
      <c r="AP5" s="23" t="s">
        <v>119</v>
      </c>
      <c r="AR5" s="41" t="s">
        <v>54</v>
      </c>
      <c r="AT5" s="152"/>
      <c r="AV5" s="23" t="s">
        <v>55</v>
      </c>
      <c r="AX5" s="24">
        <v>84</v>
      </c>
      <c r="AY5" s="25">
        <v>39</v>
      </c>
      <c r="AZ5" s="25">
        <v>84</v>
      </c>
      <c r="BA5" s="26">
        <v>36</v>
      </c>
    </row>
    <row r="6" spans="1:53" x14ac:dyDescent="0.15">
      <c r="A6" s="201" t="s">
        <v>34</v>
      </c>
      <c r="B6" s="201" t="s">
        <v>157</v>
      </c>
      <c r="C6" s="201">
        <v>2019</v>
      </c>
      <c r="D6" s="203" t="s">
        <v>376</v>
      </c>
      <c r="E6" s="201" t="s">
        <v>374</v>
      </c>
      <c r="F6" s="201" t="s">
        <v>375</v>
      </c>
      <c r="G6" s="204" t="s">
        <v>36</v>
      </c>
      <c r="H6" s="150" t="s">
        <v>160</v>
      </c>
      <c r="I6" s="150" t="s">
        <v>159</v>
      </c>
      <c r="J6" s="150" t="s">
        <v>38</v>
      </c>
      <c r="K6" s="150" t="s">
        <v>161</v>
      </c>
      <c r="L6" s="53">
        <v>2</v>
      </c>
      <c r="N6" s="53">
        <v>1</v>
      </c>
      <c r="O6" s="53">
        <v>0.45</v>
      </c>
      <c r="P6" s="36">
        <v>0.5</v>
      </c>
      <c r="Q6" s="98">
        <f t="shared" si="0"/>
        <v>0.47499999999999998</v>
      </c>
      <c r="R6" s="212">
        <v>16.600000000000001</v>
      </c>
      <c r="S6" s="212">
        <v>114</v>
      </c>
      <c r="T6" s="16">
        <f t="shared" si="1"/>
        <v>30</v>
      </c>
      <c r="U6" s="213">
        <v>98</v>
      </c>
      <c r="V6" s="208">
        <f t="shared" si="2"/>
        <v>2940</v>
      </c>
      <c r="W6" s="214">
        <v>6</v>
      </c>
      <c r="X6" s="210" t="s">
        <v>46</v>
      </c>
      <c r="Y6" s="210" t="s">
        <v>97</v>
      </c>
      <c r="Z6" s="210" t="s">
        <v>86</v>
      </c>
      <c r="AA6" s="200" t="s">
        <v>107</v>
      </c>
      <c r="AB6" s="57" t="s">
        <v>158</v>
      </c>
      <c r="AE6" s="22" t="s">
        <v>56</v>
      </c>
      <c r="AG6" s="65" t="s">
        <v>210</v>
      </c>
      <c r="AH6" s="65" t="s">
        <v>380</v>
      </c>
      <c r="AL6" s="29" t="s">
        <v>99</v>
      </c>
      <c r="AN6" s="29" t="s">
        <v>57</v>
      </c>
      <c r="AP6" s="23" t="s">
        <v>53</v>
      </c>
      <c r="AR6" s="41" t="s">
        <v>59</v>
      </c>
      <c r="AV6" s="23" t="s">
        <v>60</v>
      </c>
      <c r="AX6" s="24">
        <v>97</v>
      </c>
      <c r="AY6" s="25">
        <v>36</v>
      </c>
      <c r="AZ6" s="25">
        <v>99</v>
      </c>
      <c r="BA6" s="26">
        <v>33</v>
      </c>
    </row>
    <row r="7" spans="1:53" x14ac:dyDescent="0.15">
      <c r="A7" s="201" t="s">
        <v>34</v>
      </c>
      <c r="B7" s="201" t="s">
        <v>157</v>
      </c>
      <c r="C7" s="202">
        <v>2019</v>
      </c>
      <c r="D7" s="203" t="s">
        <v>376</v>
      </c>
      <c r="E7" s="201" t="s">
        <v>374</v>
      </c>
      <c r="F7" s="201" t="s">
        <v>375</v>
      </c>
      <c r="G7" s="204" t="s">
        <v>36</v>
      </c>
      <c r="H7" s="150" t="s">
        <v>160</v>
      </c>
      <c r="I7" s="150" t="s">
        <v>159</v>
      </c>
      <c r="J7" s="150" t="s">
        <v>38</v>
      </c>
      <c r="K7" s="150" t="s">
        <v>161</v>
      </c>
      <c r="L7" s="53">
        <v>3</v>
      </c>
      <c r="N7" s="53">
        <v>1</v>
      </c>
      <c r="O7" s="53">
        <v>0.5</v>
      </c>
      <c r="P7" s="36">
        <v>0.45</v>
      </c>
      <c r="Q7" s="98">
        <f t="shared" si="0"/>
        <v>0.47499999999999998</v>
      </c>
      <c r="R7" s="212">
        <v>16.399999999999999</v>
      </c>
      <c r="S7" s="212">
        <v>107</v>
      </c>
      <c r="T7" s="16">
        <f t="shared" si="1"/>
        <v>33</v>
      </c>
      <c r="U7" s="213">
        <v>98</v>
      </c>
      <c r="V7" s="208">
        <f t="shared" si="2"/>
        <v>3234</v>
      </c>
      <c r="W7" s="214">
        <v>6</v>
      </c>
      <c r="X7" s="210" t="s">
        <v>46</v>
      </c>
      <c r="Y7" s="210" t="s">
        <v>97</v>
      </c>
      <c r="Z7" s="210" t="s">
        <v>86</v>
      </c>
      <c r="AA7" s="200" t="s">
        <v>107</v>
      </c>
      <c r="AB7" s="57" t="s">
        <v>158</v>
      </c>
      <c r="AE7" s="22" t="s">
        <v>61</v>
      </c>
      <c r="AG7" s="65" t="s">
        <v>381</v>
      </c>
      <c r="AH7" s="65" t="s">
        <v>380</v>
      </c>
      <c r="AL7" s="34" t="s">
        <v>109</v>
      </c>
      <c r="AP7" s="23" t="s">
        <v>58</v>
      </c>
      <c r="AR7" s="30" t="s">
        <v>122</v>
      </c>
      <c r="AV7" s="23" t="s">
        <v>64</v>
      </c>
      <c r="AX7" s="24">
        <v>109</v>
      </c>
      <c r="AY7" s="25">
        <v>33</v>
      </c>
      <c r="AZ7" s="25">
        <v>113</v>
      </c>
      <c r="BA7" s="26">
        <v>30</v>
      </c>
    </row>
    <row r="8" spans="1:53" x14ac:dyDescent="0.15">
      <c r="A8" s="201" t="s">
        <v>34</v>
      </c>
      <c r="B8" s="201" t="s">
        <v>157</v>
      </c>
      <c r="C8" s="201">
        <v>2019</v>
      </c>
      <c r="D8" s="203" t="s">
        <v>376</v>
      </c>
      <c r="E8" s="202" t="s">
        <v>377</v>
      </c>
      <c r="F8" s="201" t="s">
        <v>378</v>
      </c>
      <c r="G8" s="204" t="s">
        <v>36</v>
      </c>
      <c r="H8" s="150" t="s">
        <v>164</v>
      </c>
      <c r="I8" s="150" t="s">
        <v>159</v>
      </c>
      <c r="J8" s="150" t="s">
        <v>38</v>
      </c>
      <c r="K8" s="150" t="s">
        <v>161</v>
      </c>
      <c r="L8" s="53">
        <v>1</v>
      </c>
      <c r="N8" s="53">
        <v>5</v>
      </c>
      <c r="O8" s="53">
        <v>0.7</v>
      </c>
      <c r="P8" s="53">
        <v>0.75</v>
      </c>
      <c r="Q8" s="98">
        <f t="shared" si="0"/>
        <v>0.72499999999999998</v>
      </c>
      <c r="R8" s="212">
        <v>16.8</v>
      </c>
      <c r="S8" s="212">
        <v>102</v>
      </c>
      <c r="T8" s="16">
        <f t="shared" si="1"/>
        <v>33</v>
      </c>
      <c r="U8" s="217">
        <v>398</v>
      </c>
      <c r="V8" s="208">
        <f t="shared" si="2"/>
        <v>2626.7999999999997</v>
      </c>
      <c r="W8" s="214">
        <v>4</v>
      </c>
      <c r="X8" s="210" t="s">
        <v>46</v>
      </c>
      <c r="Y8" s="218" t="s">
        <v>55</v>
      </c>
      <c r="Z8" s="210" t="s">
        <v>69</v>
      </c>
      <c r="AA8" s="200" t="s">
        <v>40</v>
      </c>
      <c r="AB8" s="57" t="s">
        <v>158</v>
      </c>
      <c r="AE8" s="22" t="s">
        <v>59</v>
      </c>
      <c r="AG8" s="65" t="s">
        <v>210</v>
      </c>
      <c r="AH8" s="65" t="s">
        <v>382</v>
      </c>
      <c r="AL8" s="34" t="s">
        <v>134</v>
      </c>
      <c r="AP8" s="23" t="s">
        <v>62</v>
      </c>
      <c r="AR8" s="41" t="s">
        <v>81</v>
      </c>
      <c r="AV8" s="23" t="s">
        <v>97</v>
      </c>
      <c r="AX8" s="24">
        <v>151</v>
      </c>
      <c r="AY8" s="25">
        <v>22</v>
      </c>
      <c r="AZ8" s="25">
        <v>152</v>
      </c>
      <c r="BA8" s="26">
        <v>18</v>
      </c>
    </row>
    <row r="9" spans="1:53" x14ac:dyDescent="0.15">
      <c r="A9" s="201" t="s">
        <v>34</v>
      </c>
      <c r="B9" s="201" t="s">
        <v>157</v>
      </c>
      <c r="C9" s="202">
        <v>2019</v>
      </c>
      <c r="D9" s="203" t="s">
        <v>376</v>
      </c>
      <c r="E9" s="202" t="s">
        <v>377</v>
      </c>
      <c r="F9" s="201" t="s">
        <v>378</v>
      </c>
      <c r="G9" s="204" t="s">
        <v>36</v>
      </c>
      <c r="H9" s="150" t="s">
        <v>164</v>
      </c>
      <c r="I9" s="150" t="s">
        <v>159</v>
      </c>
      <c r="J9" s="150" t="s">
        <v>38</v>
      </c>
      <c r="K9" s="150" t="s">
        <v>161</v>
      </c>
      <c r="L9" s="53">
        <v>2</v>
      </c>
      <c r="N9" s="53">
        <v>5</v>
      </c>
      <c r="O9" s="53">
        <v>0.55000000000000004</v>
      </c>
      <c r="P9" s="53">
        <v>0.6</v>
      </c>
      <c r="Q9" s="98">
        <f t="shared" si="0"/>
        <v>0.57499999999999996</v>
      </c>
      <c r="R9" s="212">
        <v>18.100000000000001</v>
      </c>
      <c r="S9" s="212">
        <v>105</v>
      </c>
      <c r="T9" s="16">
        <f t="shared" si="1"/>
        <v>33</v>
      </c>
      <c r="U9" s="217">
        <v>398</v>
      </c>
      <c r="V9" s="208">
        <f t="shared" si="2"/>
        <v>2626.7999999999997</v>
      </c>
      <c r="W9" s="214">
        <v>4</v>
      </c>
      <c r="X9" s="210" t="s">
        <v>46</v>
      </c>
      <c r="Y9" s="218" t="s">
        <v>55</v>
      </c>
      <c r="Z9" s="210" t="s">
        <v>69</v>
      </c>
      <c r="AA9" s="200" t="s">
        <v>40</v>
      </c>
      <c r="AB9" s="57" t="s">
        <v>158</v>
      </c>
      <c r="AE9" s="22" t="s">
        <v>98</v>
      </c>
      <c r="AG9" s="65" t="s">
        <v>139</v>
      </c>
      <c r="AH9" s="65" t="s">
        <v>382</v>
      </c>
      <c r="AL9" s="29"/>
      <c r="AP9" s="23" t="s">
        <v>95</v>
      </c>
      <c r="AR9" s="30" t="s">
        <v>89</v>
      </c>
      <c r="AV9" s="23" t="s">
        <v>102</v>
      </c>
      <c r="AX9" s="31">
        <v>180</v>
      </c>
      <c r="AY9" s="32">
        <v>18</v>
      </c>
      <c r="AZ9" s="32">
        <v>181</v>
      </c>
      <c r="BA9" s="33">
        <v>16</v>
      </c>
    </row>
    <row r="10" spans="1:53" x14ac:dyDescent="0.15">
      <c r="A10" s="201" t="s">
        <v>34</v>
      </c>
      <c r="B10" s="201" t="s">
        <v>157</v>
      </c>
      <c r="C10" s="201">
        <v>2019</v>
      </c>
      <c r="D10" s="203" t="s">
        <v>376</v>
      </c>
      <c r="E10" s="202" t="s">
        <v>377</v>
      </c>
      <c r="F10" s="201" t="s">
        <v>378</v>
      </c>
      <c r="G10" s="204" t="s">
        <v>36</v>
      </c>
      <c r="H10" s="150" t="s">
        <v>164</v>
      </c>
      <c r="I10" s="150" t="s">
        <v>159</v>
      </c>
      <c r="J10" s="150" t="s">
        <v>38</v>
      </c>
      <c r="K10" s="150" t="s">
        <v>161</v>
      </c>
      <c r="L10" s="53">
        <v>3</v>
      </c>
      <c r="N10" s="53">
        <v>5</v>
      </c>
      <c r="O10" s="53">
        <v>0.6</v>
      </c>
      <c r="P10" s="53">
        <v>0.55000000000000004</v>
      </c>
      <c r="Q10" s="98">
        <f t="shared" si="0"/>
        <v>0.57499999999999996</v>
      </c>
      <c r="R10" s="212">
        <v>17.399999999999999</v>
      </c>
      <c r="S10" s="212">
        <v>88</v>
      </c>
      <c r="T10" s="16">
        <f t="shared" si="1"/>
        <v>36</v>
      </c>
      <c r="U10" s="217">
        <v>398</v>
      </c>
      <c r="V10" s="208">
        <f t="shared" si="2"/>
        <v>2865.6</v>
      </c>
      <c r="W10" s="214">
        <v>4</v>
      </c>
      <c r="X10" s="210" t="s">
        <v>46</v>
      </c>
      <c r="Y10" s="218" t="s">
        <v>55</v>
      </c>
      <c r="Z10" s="210" t="s">
        <v>69</v>
      </c>
      <c r="AA10" s="200" t="s">
        <v>40</v>
      </c>
      <c r="AB10" s="57" t="s">
        <v>158</v>
      </c>
      <c r="AE10" s="22" t="s">
        <v>103</v>
      </c>
      <c r="AG10" s="65" t="s">
        <v>133</v>
      </c>
      <c r="AH10" s="65" t="s">
        <v>383</v>
      </c>
      <c r="AL10" s="34"/>
      <c r="AP10" s="23" t="s">
        <v>100</v>
      </c>
      <c r="AR10" s="30" t="s">
        <v>123</v>
      </c>
      <c r="AV10" s="23" t="s">
        <v>106</v>
      </c>
    </row>
    <row r="11" spans="1:53" x14ac:dyDescent="0.15">
      <c r="A11" s="201" t="s">
        <v>34</v>
      </c>
      <c r="B11" s="201" t="s">
        <v>157</v>
      </c>
      <c r="C11" s="202">
        <v>2019</v>
      </c>
      <c r="D11" s="203" t="s">
        <v>376</v>
      </c>
      <c r="E11" s="202" t="s">
        <v>377</v>
      </c>
      <c r="F11" s="201" t="s">
        <v>378</v>
      </c>
      <c r="G11" s="204" t="s">
        <v>36</v>
      </c>
      <c r="H11" s="150" t="s">
        <v>160</v>
      </c>
      <c r="I11" s="150" t="s">
        <v>159</v>
      </c>
      <c r="J11" s="150" t="s">
        <v>38</v>
      </c>
      <c r="K11" s="150" t="s">
        <v>161</v>
      </c>
      <c r="L11" s="53">
        <v>1</v>
      </c>
      <c r="N11" s="53">
        <v>1</v>
      </c>
      <c r="O11" s="53">
        <v>0.6</v>
      </c>
      <c r="P11" s="53">
        <v>0.5</v>
      </c>
      <c r="Q11" s="98">
        <f t="shared" si="0"/>
        <v>0.55000000000000004</v>
      </c>
      <c r="R11" s="212">
        <v>14.8</v>
      </c>
      <c r="S11" s="212">
        <v>122</v>
      </c>
      <c r="T11" s="16">
        <f t="shared" si="1"/>
        <v>30</v>
      </c>
      <c r="U11" s="217">
        <v>128</v>
      </c>
      <c r="V11" s="208">
        <f t="shared" si="2"/>
        <v>3840</v>
      </c>
      <c r="W11" s="214">
        <v>4</v>
      </c>
      <c r="X11" s="210" t="s">
        <v>46</v>
      </c>
      <c r="Y11" s="218" t="s">
        <v>55</v>
      </c>
      <c r="Z11" s="210" t="s">
        <v>69</v>
      </c>
      <c r="AA11" s="219" t="s">
        <v>40</v>
      </c>
      <c r="AB11" s="57" t="s">
        <v>158</v>
      </c>
      <c r="AE11" s="22" t="s">
        <v>65</v>
      </c>
      <c r="AG11" s="41" t="s">
        <v>269</v>
      </c>
      <c r="AH11" s="41" t="s">
        <v>384</v>
      </c>
      <c r="AL11" s="34"/>
      <c r="AP11" s="23" t="s">
        <v>104</v>
      </c>
      <c r="AR11" s="30" t="s">
        <v>87</v>
      </c>
      <c r="AV11" s="23" t="s">
        <v>69</v>
      </c>
    </row>
    <row r="12" spans="1:53" x14ac:dyDescent="0.15">
      <c r="A12" s="201" t="s">
        <v>34</v>
      </c>
      <c r="B12" s="201" t="s">
        <v>157</v>
      </c>
      <c r="C12" s="201">
        <v>2019</v>
      </c>
      <c r="D12" s="203" t="s">
        <v>376</v>
      </c>
      <c r="E12" s="202" t="s">
        <v>377</v>
      </c>
      <c r="F12" s="201" t="s">
        <v>378</v>
      </c>
      <c r="G12" s="204" t="s">
        <v>36</v>
      </c>
      <c r="H12" s="150" t="s">
        <v>160</v>
      </c>
      <c r="I12" s="150" t="s">
        <v>159</v>
      </c>
      <c r="J12" s="150" t="s">
        <v>38</v>
      </c>
      <c r="K12" s="150" t="s">
        <v>161</v>
      </c>
      <c r="L12" s="53">
        <v>2</v>
      </c>
      <c r="N12" s="53">
        <v>1</v>
      </c>
      <c r="O12" s="53">
        <v>0.6</v>
      </c>
      <c r="P12" s="53">
        <v>0.5</v>
      </c>
      <c r="Q12" s="98">
        <f t="shared" si="0"/>
        <v>0.55000000000000004</v>
      </c>
      <c r="R12" s="212">
        <v>14.5</v>
      </c>
      <c r="S12" s="212">
        <v>127</v>
      </c>
      <c r="T12" s="16">
        <f t="shared" si="1"/>
        <v>30</v>
      </c>
      <c r="U12" s="217">
        <v>128</v>
      </c>
      <c r="V12" s="208">
        <f t="shared" si="2"/>
        <v>3840</v>
      </c>
      <c r="W12" s="214">
        <v>4</v>
      </c>
      <c r="X12" s="210" t="s">
        <v>46</v>
      </c>
      <c r="Y12" s="218" t="s">
        <v>55</v>
      </c>
      <c r="Z12" s="210" t="s">
        <v>69</v>
      </c>
      <c r="AA12" s="219" t="s">
        <v>40</v>
      </c>
      <c r="AB12" s="57" t="s">
        <v>158</v>
      </c>
      <c r="AE12" s="22" t="s">
        <v>70</v>
      </c>
      <c r="AG12" s="41"/>
      <c r="AH12" s="41"/>
      <c r="AL12" s="34"/>
      <c r="AP12" s="23" t="s">
        <v>67</v>
      </c>
      <c r="AR12" s="30" t="s">
        <v>124</v>
      </c>
      <c r="AV12" s="23" t="s">
        <v>72</v>
      </c>
    </row>
    <row r="13" spans="1:53" x14ac:dyDescent="0.15">
      <c r="A13" s="201" t="s">
        <v>34</v>
      </c>
      <c r="B13" s="201" t="s">
        <v>157</v>
      </c>
      <c r="C13" s="202">
        <v>2019</v>
      </c>
      <c r="D13" s="203" t="s">
        <v>376</v>
      </c>
      <c r="E13" s="202" t="s">
        <v>377</v>
      </c>
      <c r="F13" s="201" t="s">
        <v>378</v>
      </c>
      <c r="G13" s="204" t="s">
        <v>36</v>
      </c>
      <c r="H13" s="150" t="s">
        <v>160</v>
      </c>
      <c r="I13" s="150" t="s">
        <v>159</v>
      </c>
      <c r="J13" s="150" t="s">
        <v>38</v>
      </c>
      <c r="K13" s="150" t="s">
        <v>161</v>
      </c>
      <c r="L13" s="53">
        <v>3</v>
      </c>
      <c r="N13" s="53">
        <v>1</v>
      </c>
      <c r="O13" s="53">
        <v>0.65</v>
      </c>
      <c r="P13" s="53">
        <v>0.6</v>
      </c>
      <c r="Q13" s="98">
        <f t="shared" si="0"/>
        <v>0.625</v>
      </c>
      <c r="R13" s="212">
        <v>14.4</v>
      </c>
      <c r="S13" s="212">
        <v>123</v>
      </c>
      <c r="T13" s="16">
        <f t="shared" si="1"/>
        <v>30</v>
      </c>
      <c r="U13" s="217">
        <v>128</v>
      </c>
      <c r="V13" s="208">
        <f t="shared" si="2"/>
        <v>3840</v>
      </c>
      <c r="W13" s="214">
        <v>4</v>
      </c>
      <c r="X13" s="210" t="s">
        <v>46</v>
      </c>
      <c r="Y13" s="218" t="s">
        <v>55</v>
      </c>
      <c r="Z13" s="210" t="s">
        <v>69</v>
      </c>
      <c r="AA13" s="219" t="s">
        <v>40</v>
      </c>
      <c r="AB13" s="57" t="s">
        <v>158</v>
      </c>
      <c r="AE13" s="22" t="s">
        <v>73</v>
      </c>
      <c r="AG13" s="220"/>
      <c r="AH13" s="220"/>
      <c r="AP13" s="23" t="s">
        <v>71</v>
      </c>
      <c r="AR13" s="30" t="s">
        <v>103</v>
      </c>
      <c r="AV13" s="23" t="s">
        <v>75</v>
      </c>
    </row>
    <row r="14" spans="1:53" x14ac:dyDescent="0.15">
      <c r="A14" s="201" t="s">
        <v>34</v>
      </c>
      <c r="B14" s="201" t="s">
        <v>157</v>
      </c>
      <c r="C14" s="201">
        <v>2019</v>
      </c>
      <c r="D14" s="203" t="s">
        <v>376</v>
      </c>
      <c r="E14" s="202" t="s">
        <v>355</v>
      </c>
      <c r="F14" s="201" t="s">
        <v>378</v>
      </c>
      <c r="G14" s="204" t="s">
        <v>36</v>
      </c>
      <c r="H14" s="150" t="s">
        <v>165</v>
      </c>
      <c r="I14" s="150" t="s">
        <v>159</v>
      </c>
      <c r="J14" s="150" t="s">
        <v>38</v>
      </c>
      <c r="K14" s="150" t="s">
        <v>161</v>
      </c>
      <c r="L14" s="53">
        <v>1</v>
      </c>
      <c r="N14" s="53">
        <v>1</v>
      </c>
      <c r="O14" s="53">
        <v>1.1000000000000001</v>
      </c>
      <c r="P14" s="53">
        <v>0.95</v>
      </c>
      <c r="Q14" s="98">
        <f t="shared" si="0"/>
        <v>1.0249999999999999</v>
      </c>
      <c r="R14" s="212">
        <v>13.5</v>
      </c>
      <c r="S14" s="212">
        <v>129</v>
      </c>
      <c r="T14" s="16">
        <f t="shared" si="1"/>
        <v>30</v>
      </c>
      <c r="U14" s="217">
        <v>98</v>
      </c>
      <c r="V14" s="208">
        <f t="shared" si="2"/>
        <v>2940</v>
      </c>
      <c r="W14" s="214">
        <v>6</v>
      </c>
      <c r="X14" s="210" t="s">
        <v>46</v>
      </c>
      <c r="Y14" s="218" t="s">
        <v>97</v>
      </c>
      <c r="Z14" s="218" t="s">
        <v>75</v>
      </c>
      <c r="AA14" s="219" t="s">
        <v>40</v>
      </c>
      <c r="AB14" s="57" t="s">
        <v>158</v>
      </c>
      <c r="AC14" s="34"/>
      <c r="AE14" s="22" t="s">
        <v>76</v>
      </c>
      <c r="AG14" s="152"/>
      <c r="AH14" s="152"/>
      <c r="AP14" s="23" t="s">
        <v>74</v>
      </c>
      <c r="AR14" s="30" t="s">
        <v>125</v>
      </c>
      <c r="AV14" s="23" t="s">
        <v>78</v>
      </c>
    </row>
    <row r="15" spans="1:53" x14ac:dyDescent="0.15">
      <c r="A15" s="201" t="s">
        <v>34</v>
      </c>
      <c r="B15" s="201" t="s">
        <v>157</v>
      </c>
      <c r="C15" s="202">
        <v>2019</v>
      </c>
      <c r="D15" s="203" t="s">
        <v>376</v>
      </c>
      <c r="E15" s="202" t="s">
        <v>355</v>
      </c>
      <c r="F15" s="201" t="s">
        <v>378</v>
      </c>
      <c r="G15" s="204" t="s">
        <v>36</v>
      </c>
      <c r="H15" s="150" t="s">
        <v>165</v>
      </c>
      <c r="I15" s="150" t="s">
        <v>159</v>
      </c>
      <c r="J15" s="150" t="s">
        <v>38</v>
      </c>
      <c r="K15" s="150" t="s">
        <v>161</v>
      </c>
      <c r="L15" s="53">
        <v>2</v>
      </c>
      <c r="N15" s="53">
        <v>1</v>
      </c>
      <c r="O15" s="53">
        <v>0.95</v>
      </c>
      <c r="P15" s="53">
        <v>0.9</v>
      </c>
      <c r="Q15" s="98">
        <f t="shared" si="0"/>
        <v>0.92500000000000004</v>
      </c>
      <c r="R15" s="212">
        <v>14</v>
      </c>
      <c r="S15" s="212">
        <v>134</v>
      </c>
      <c r="T15" s="16">
        <f t="shared" si="1"/>
        <v>30</v>
      </c>
      <c r="U15" s="217">
        <v>98</v>
      </c>
      <c r="V15" s="208">
        <f t="shared" si="2"/>
        <v>2940</v>
      </c>
      <c r="W15" s="214">
        <v>6</v>
      </c>
      <c r="X15" s="210" t="s">
        <v>46</v>
      </c>
      <c r="Y15" s="218" t="s">
        <v>97</v>
      </c>
      <c r="Z15" s="218" t="s">
        <v>75</v>
      </c>
      <c r="AA15" s="219" t="s">
        <v>40</v>
      </c>
      <c r="AB15" s="57" t="s">
        <v>158</v>
      </c>
      <c r="AC15" s="34"/>
      <c r="AE15" s="22" t="s">
        <v>79</v>
      </c>
      <c r="AP15" s="23" t="s">
        <v>77</v>
      </c>
      <c r="AR15" s="30" t="s">
        <v>94</v>
      </c>
      <c r="AV15" s="23" t="s">
        <v>107</v>
      </c>
    </row>
    <row r="16" spans="1:53" x14ac:dyDescent="0.15">
      <c r="A16" s="201" t="s">
        <v>34</v>
      </c>
      <c r="B16" s="201" t="s">
        <v>157</v>
      </c>
      <c r="C16" s="201">
        <v>2019</v>
      </c>
      <c r="D16" s="203" t="s">
        <v>376</v>
      </c>
      <c r="E16" s="202" t="s">
        <v>355</v>
      </c>
      <c r="F16" s="201" t="s">
        <v>378</v>
      </c>
      <c r="G16" s="204" t="s">
        <v>36</v>
      </c>
      <c r="H16" s="150" t="s">
        <v>165</v>
      </c>
      <c r="I16" s="150" t="s">
        <v>159</v>
      </c>
      <c r="J16" s="150" t="s">
        <v>38</v>
      </c>
      <c r="K16" s="150" t="s">
        <v>161</v>
      </c>
      <c r="L16" s="53">
        <v>3</v>
      </c>
      <c r="N16" s="53">
        <v>1</v>
      </c>
      <c r="O16" s="53">
        <v>1</v>
      </c>
      <c r="P16" s="53">
        <v>0.95</v>
      </c>
      <c r="Q16" s="98">
        <f t="shared" si="0"/>
        <v>0.97499999999999998</v>
      </c>
      <c r="R16" s="212">
        <v>14.2</v>
      </c>
      <c r="S16" s="212">
        <v>129</v>
      </c>
      <c r="T16" s="16">
        <f t="shared" si="1"/>
        <v>30</v>
      </c>
      <c r="U16" s="217">
        <v>98</v>
      </c>
      <c r="V16" s="208">
        <f t="shared" si="2"/>
        <v>2940</v>
      </c>
      <c r="W16" s="214">
        <v>6</v>
      </c>
      <c r="X16" s="210" t="s">
        <v>46</v>
      </c>
      <c r="Y16" s="218" t="s">
        <v>97</v>
      </c>
      <c r="Z16" s="218" t="s">
        <v>75</v>
      </c>
      <c r="AA16" s="219" t="s">
        <v>40</v>
      </c>
      <c r="AB16" s="57" t="s">
        <v>158</v>
      </c>
      <c r="AC16" s="34"/>
      <c r="AE16" s="22" t="s">
        <v>82</v>
      </c>
      <c r="AP16" s="23" t="s">
        <v>80</v>
      </c>
      <c r="AR16" s="41" t="s">
        <v>63</v>
      </c>
      <c r="AV16" s="23" t="s">
        <v>84</v>
      </c>
    </row>
    <row r="17" spans="1:48" x14ac:dyDescent="0.15">
      <c r="A17" s="201" t="s">
        <v>34</v>
      </c>
      <c r="B17" s="201" t="s">
        <v>157</v>
      </c>
      <c r="C17" s="202">
        <v>2019</v>
      </c>
      <c r="D17" s="203" t="s">
        <v>376</v>
      </c>
      <c r="E17" s="202" t="s">
        <v>355</v>
      </c>
      <c r="F17" s="201" t="s">
        <v>378</v>
      </c>
      <c r="G17" s="204" t="s">
        <v>36</v>
      </c>
      <c r="H17" s="150" t="s">
        <v>160</v>
      </c>
      <c r="I17" s="150" t="s">
        <v>159</v>
      </c>
      <c r="J17" s="150" t="s">
        <v>38</v>
      </c>
      <c r="K17" s="150" t="s">
        <v>161</v>
      </c>
      <c r="L17" s="53">
        <v>1</v>
      </c>
      <c r="N17" s="53">
        <v>1</v>
      </c>
      <c r="O17" s="53">
        <v>0.9</v>
      </c>
      <c r="P17" s="53">
        <v>1</v>
      </c>
      <c r="Q17" s="98">
        <f t="shared" si="0"/>
        <v>0.95</v>
      </c>
      <c r="R17" s="212">
        <v>17.600000000000001</v>
      </c>
      <c r="S17" s="212">
        <v>107</v>
      </c>
      <c r="T17" s="16">
        <f t="shared" si="1"/>
        <v>33</v>
      </c>
      <c r="U17" s="217">
        <v>98</v>
      </c>
      <c r="V17" s="208">
        <f t="shared" si="2"/>
        <v>3234</v>
      </c>
      <c r="W17" s="214">
        <v>6</v>
      </c>
      <c r="X17" s="210" t="s">
        <v>46</v>
      </c>
      <c r="Y17" s="218" t="s">
        <v>97</v>
      </c>
      <c r="Z17" s="218" t="s">
        <v>75</v>
      </c>
      <c r="AA17" s="219" t="s">
        <v>40</v>
      </c>
      <c r="AB17" s="57" t="s">
        <v>158</v>
      </c>
      <c r="AC17" s="34"/>
      <c r="AE17" s="22" t="s">
        <v>85</v>
      </c>
      <c r="AP17" s="43" t="s">
        <v>110</v>
      </c>
      <c r="AR17" s="41" t="s">
        <v>96</v>
      </c>
      <c r="AV17" s="23" t="s">
        <v>86</v>
      </c>
    </row>
    <row r="18" spans="1:48" x14ac:dyDescent="0.15">
      <c r="A18" s="201" t="s">
        <v>34</v>
      </c>
      <c r="B18" s="201" t="s">
        <v>157</v>
      </c>
      <c r="C18" s="201">
        <v>2019</v>
      </c>
      <c r="D18" s="203" t="s">
        <v>376</v>
      </c>
      <c r="E18" s="202" t="s">
        <v>355</v>
      </c>
      <c r="F18" s="201" t="s">
        <v>378</v>
      </c>
      <c r="G18" s="204" t="s">
        <v>36</v>
      </c>
      <c r="H18" s="150" t="s">
        <v>160</v>
      </c>
      <c r="I18" s="150" t="s">
        <v>159</v>
      </c>
      <c r="J18" s="150" t="s">
        <v>38</v>
      </c>
      <c r="K18" s="150" t="s">
        <v>161</v>
      </c>
      <c r="L18" s="53">
        <v>2</v>
      </c>
      <c r="N18" s="53">
        <v>1</v>
      </c>
      <c r="O18" s="53">
        <v>0.85</v>
      </c>
      <c r="P18" s="53">
        <v>0.8</v>
      </c>
      <c r="Q18" s="98">
        <f t="shared" si="0"/>
        <v>0.82499999999999996</v>
      </c>
      <c r="R18" s="212">
        <v>16.8</v>
      </c>
      <c r="S18" s="212">
        <v>116</v>
      </c>
      <c r="T18" s="16">
        <f t="shared" si="1"/>
        <v>30</v>
      </c>
      <c r="U18" s="217">
        <v>98</v>
      </c>
      <c r="V18" s="208">
        <f t="shared" si="2"/>
        <v>2940</v>
      </c>
      <c r="W18" s="214">
        <v>6</v>
      </c>
      <c r="X18" s="210" t="s">
        <v>46</v>
      </c>
      <c r="Y18" s="218" t="s">
        <v>97</v>
      </c>
      <c r="Z18" s="218" t="s">
        <v>75</v>
      </c>
      <c r="AA18" s="219" t="s">
        <v>40</v>
      </c>
      <c r="AB18" s="57" t="s">
        <v>158</v>
      </c>
      <c r="AC18" s="34"/>
      <c r="AE18" s="22" t="s">
        <v>87</v>
      </c>
      <c r="AP18" s="43" t="s">
        <v>111</v>
      </c>
      <c r="AR18" s="41" t="s">
        <v>101</v>
      </c>
      <c r="AV18" s="23" t="s">
        <v>88</v>
      </c>
    </row>
    <row r="19" spans="1:48" x14ac:dyDescent="0.15">
      <c r="A19" s="201" t="s">
        <v>34</v>
      </c>
      <c r="B19" s="201" t="s">
        <v>157</v>
      </c>
      <c r="C19" s="202">
        <v>2019</v>
      </c>
      <c r="D19" s="203" t="s">
        <v>376</v>
      </c>
      <c r="E19" s="202" t="s">
        <v>355</v>
      </c>
      <c r="F19" s="201" t="s">
        <v>378</v>
      </c>
      <c r="G19" s="204" t="s">
        <v>36</v>
      </c>
      <c r="H19" s="150" t="s">
        <v>160</v>
      </c>
      <c r="I19" s="150" t="s">
        <v>159</v>
      </c>
      <c r="J19" s="150" t="s">
        <v>38</v>
      </c>
      <c r="K19" s="150" t="s">
        <v>161</v>
      </c>
      <c r="L19" s="53">
        <v>3</v>
      </c>
      <c r="N19" s="53">
        <v>1</v>
      </c>
      <c r="O19" s="53">
        <v>0.85</v>
      </c>
      <c r="P19" s="53">
        <v>0.9</v>
      </c>
      <c r="Q19" s="98">
        <f t="shared" si="0"/>
        <v>0.875</v>
      </c>
      <c r="R19" s="212">
        <v>16.5</v>
      </c>
      <c r="S19" s="212">
        <v>121</v>
      </c>
      <c r="T19" s="16">
        <f t="shared" si="1"/>
        <v>30</v>
      </c>
      <c r="U19" s="217">
        <v>98</v>
      </c>
      <c r="V19" s="208">
        <f t="shared" si="2"/>
        <v>2940</v>
      </c>
      <c r="W19" s="214">
        <v>6</v>
      </c>
      <c r="X19" s="210" t="s">
        <v>46</v>
      </c>
      <c r="Y19" s="218" t="s">
        <v>97</v>
      </c>
      <c r="Z19" s="218" t="s">
        <v>75</v>
      </c>
      <c r="AA19" s="219" t="s">
        <v>40</v>
      </c>
      <c r="AB19" s="57" t="s">
        <v>158</v>
      </c>
      <c r="AC19" s="34"/>
      <c r="AE19" s="35" t="s">
        <v>89</v>
      </c>
      <c r="AP19" s="43" t="s">
        <v>112</v>
      </c>
      <c r="AR19" s="30" t="s">
        <v>126</v>
      </c>
      <c r="AV19" s="23" t="s">
        <v>90</v>
      </c>
    </row>
    <row r="20" spans="1:48" x14ac:dyDescent="0.15">
      <c r="A20" s="201" t="s">
        <v>34</v>
      </c>
      <c r="B20" s="201" t="s">
        <v>157</v>
      </c>
      <c r="C20" s="201">
        <v>2019</v>
      </c>
      <c r="D20" s="203" t="s">
        <v>376</v>
      </c>
      <c r="E20" s="202" t="s">
        <v>374</v>
      </c>
      <c r="F20" s="201" t="s">
        <v>379</v>
      </c>
      <c r="G20" s="204" t="s">
        <v>36</v>
      </c>
      <c r="H20" s="150" t="s">
        <v>165</v>
      </c>
      <c r="I20" s="150" t="s">
        <v>159</v>
      </c>
      <c r="J20" s="150" t="s">
        <v>38</v>
      </c>
      <c r="K20" s="150" t="s">
        <v>161</v>
      </c>
      <c r="L20" s="53">
        <v>1</v>
      </c>
      <c r="N20" s="53">
        <v>4</v>
      </c>
      <c r="O20" s="53">
        <v>0.65</v>
      </c>
      <c r="P20" s="53">
        <v>0.6</v>
      </c>
      <c r="Q20" s="98">
        <f t="shared" si="0"/>
        <v>0.625</v>
      </c>
      <c r="R20" s="212">
        <v>14.1</v>
      </c>
      <c r="S20" s="221">
        <v>92</v>
      </c>
      <c r="T20" s="16">
        <f t="shared" si="1"/>
        <v>36</v>
      </c>
      <c r="U20" s="217">
        <v>398</v>
      </c>
      <c r="V20" s="208">
        <f t="shared" si="2"/>
        <v>3582</v>
      </c>
      <c r="W20" s="214">
        <v>12</v>
      </c>
      <c r="X20" s="210" t="s">
        <v>46</v>
      </c>
      <c r="Y20" s="218" t="s">
        <v>55</v>
      </c>
      <c r="Z20" s="218" t="s">
        <v>97</v>
      </c>
      <c r="AA20" s="219" t="s">
        <v>78</v>
      </c>
      <c r="AB20" s="57" t="s">
        <v>158</v>
      </c>
      <c r="AE20" s="35"/>
      <c r="AP20" s="43" t="s">
        <v>113</v>
      </c>
      <c r="AR20" s="41" t="s">
        <v>105</v>
      </c>
      <c r="AV20" s="27" t="s">
        <v>135</v>
      </c>
    </row>
    <row r="21" spans="1:48" x14ac:dyDescent="0.15">
      <c r="A21" s="201" t="s">
        <v>34</v>
      </c>
      <c r="B21" s="201" t="s">
        <v>157</v>
      </c>
      <c r="C21" s="202">
        <v>2019</v>
      </c>
      <c r="D21" s="203" t="s">
        <v>376</v>
      </c>
      <c r="E21" s="202" t="s">
        <v>374</v>
      </c>
      <c r="F21" s="201" t="s">
        <v>379</v>
      </c>
      <c r="G21" s="204" t="s">
        <v>36</v>
      </c>
      <c r="H21" s="150" t="s">
        <v>165</v>
      </c>
      <c r="I21" s="150" t="s">
        <v>159</v>
      </c>
      <c r="J21" s="150" t="s">
        <v>38</v>
      </c>
      <c r="K21" s="150" t="s">
        <v>161</v>
      </c>
      <c r="L21" s="53">
        <v>2</v>
      </c>
      <c r="N21" s="53">
        <v>4</v>
      </c>
      <c r="O21" s="53">
        <v>0.6</v>
      </c>
      <c r="P21" s="53">
        <v>0.65</v>
      </c>
      <c r="Q21" s="98">
        <f t="shared" si="0"/>
        <v>0.625</v>
      </c>
      <c r="R21" s="221">
        <v>14.3</v>
      </c>
      <c r="S21" s="212">
        <v>88</v>
      </c>
      <c r="T21" s="16">
        <f t="shared" si="1"/>
        <v>36</v>
      </c>
      <c r="U21" s="217">
        <v>398</v>
      </c>
      <c r="V21" s="208">
        <f t="shared" si="2"/>
        <v>3582</v>
      </c>
      <c r="W21" s="214">
        <v>12</v>
      </c>
      <c r="X21" s="210" t="s">
        <v>46</v>
      </c>
      <c r="Y21" s="218" t="s">
        <v>55</v>
      </c>
      <c r="Z21" s="218" t="s">
        <v>97</v>
      </c>
      <c r="AA21" s="219" t="s">
        <v>78</v>
      </c>
      <c r="AB21" s="57" t="s">
        <v>158</v>
      </c>
      <c r="AE21" s="28"/>
      <c r="AP21" s="43" t="s">
        <v>114</v>
      </c>
      <c r="AR21" s="41" t="s">
        <v>68</v>
      </c>
      <c r="AV21" s="27" t="s">
        <v>136</v>
      </c>
    </row>
    <row r="22" spans="1:48" x14ac:dyDescent="0.15">
      <c r="A22" s="201" t="s">
        <v>34</v>
      </c>
      <c r="B22" s="201" t="s">
        <v>157</v>
      </c>
      <c r="C22" s="201">
        <v>2019</v>
      </c>
      <c r="D22" s="203" t="s">
        <v>376</v>
      </c>
      <c r="E22" s="202" t="s">
        <v>374</v>
      </c>
      <c r="F22" s="201" t="s">
        <v>379</v>
      </c>
      <c r="G22" s="204" t="s">
        <v>36</v>
      </c>
      <c r="H22" s="150" t="s">
        <v>165</v>
      </c>
      <c r="I22" s="150" t="s">
        <v>159</v>
      </c>
      <c r="J22" s="150" t="s">
        <v>38</v>
      </c>
      <c r="K22" s="150" t="s">
        <v>161</v>
      </c>
      <c r="L22" s="53">
        <v>3</v>
      </c>
      <c r="N22" s="53">
        <v>4</v>
      </c>
      <c r="O22" s="53">
        <v>0.65</v>
      </c>
      <c r="P22" s="34">
        <v>0.6</v>
      </c>
      <c r="Q22" s="98">
        <f t="shared" si="0"/>
        <v>0.625</v>
      </c>
      <c r="R22" s="212">
        <v>14.5</v>
      </c>
      <c r="S22" s="212">
        <v>88</v>
      </c>
      <c r="T22" s="16">
        <f t="shared" si="1"/>
        <v>36</v>
      </c>
      <c r="U22" s="217">
        <v>398</v>
      </c>
      <c r="V22" s="208">
        <f t="shared" si="2"/>
        <v>3582</v>
      </c>
      <c r="W22" s="214">
        <v>12</v>
      </c>
      <c r="X22" s="210" t="s">
        <v>46</v>
      </c>
      <c r="Y22" s="218" t="s">
        <v>55</v>
      </c>
      <c r="Z22" s="218" t="s">
        <v>97</v>
      </c>
      <c r="AA22" s="219" t="s">
        <v>78</v>
      </c>
      <c r="AB22" s="57" t="s">
        <v>158</v>
      </c>
      <c r="AP22" s="43" t="s">
        <v>115</v>
      </c>
      <c r="AR22" s="41" t="s">
        <v>83</v>
      </c>
      <c r="AV22" s="23"/>
    </row>
    <row r="23" spans="1:48" x14ac:dyDescent="0.15">
      <c r="A23" s="201" t="s">
        <v>34</v>
      </c>
      <c r="B23" s="201" t="s">
        <v>157</v>
      </c>
      <c r="C23" s="202">
        <v>2019</v>
      </c>
      <c r="D23" s="203" t="s">
        <v>376</v>
      </c>
      <c r="E23" s="202" t="s">
        <v>374</v>
      </c>
      <c r="F23" s="201" t="s">
        <v>379</v>
      </c>
      <c r="G23" s="204" t="s">
        <v>36</v>
      </c>
      <c r="H23" s="150" t="s">
        <v>160</v>
      </c>
      <c r="I23" s="150" t="s">
        <v>159</v>
      </c>
      <c r="J23" s="150" t="s">
        <v>38</v>
      </c>
      <c r="K23" s="150" t="s">
        <v>161</v>
      </c>
      <c r="L23" s="53">
        <v>1</v>
      </c>
      <c r="N23" s="53">
        <v>1</v>
      </c>
      <c r="O23" s="53">
        <v>0.5</v>
      </c>
      <c r="P23" s="34">
        <v>0.45</v>
      </c>
      <c r="Q23" s="98">
        <f t="shared" si="0"/>
        <v>0.47499999999999998</v>
      </c>
      <c r="R23" s="212">
        <v>16.8</v>
      </c>
      <c r="S23" s="212">
        <v>116</v>
      </c>
      <c r="T23" s="16">
        <f t="shared" si="1"/>
        <v>30</v>
      </c>
      <c r="U23" s="217">
        <v>98</v>
      </c>
      <c r="V23" s="208">
        <f t="shared" si="2"/>
        <v>2940</v>
      </c>
      <c r="W23" s="214">
        <v>12</v>
      </c>
      <c r="X23" s="210" t="s">
        <v>46</v>
      </c>
      <c r="Y23" s="218" t="s">
        <v>55</v>
      </c>
      <c r="Z23" s="218" t="s">
        <v>97</v>
      </c>
      <c r="AA23" s="219" t="s">
        <v>78</v>
      </c>
      <c r="AB23" s="57" t="s">
        <v>158</v>
      </c>
      <c r="AP23" s="43" t="s">
        <v>137</v>
      </c>
      <c r="AR23" s="41" t="s">
        <v>61</v>
      </c>
      <c r="AV23" s="23"/>
    </row>
    <row r="24" spans="1:48" x14ac:dyDescent="0.15">
      <c r="A24" s="201" t="s">
        <v>34</v>
      </c>
      <c r="B24" s="201" t="s">
        <v>157</v>
      </c>
      <c r="C24" s="201">
        <v>2019</v>
      </c>
      <c r="D24" s="203" t="s">
        <v>376</v>
      </c>
      <c r="E24" s="202" t="s">
        <v>374</v>
      </c>
      <c r="F24" s="201" t="s">
        <v>379</v>
      </c>
      <c r="G24" s="204" t="s">
        <v>36</v>
      </c>
      <c r="H24" s="150" t="s">
        <v>160</v>
      </c>
      <c r="I24" s="150" t="s">
        <v>159</v>
      </c>
      <c r="J24" s="150" t="s">
        <v>38</v>
      </c>
      <c r="K24" s="150" t="s">
        <v>161</v>
      </c>
      <c r="L24" s="53">
        <v>2</v>
      </c>
      <c r="N24" s="53">
        <v>1</v>
      </c>
      <c r="O24" s="53">
        <v>0.5</v>
      </c>
      <c r="P24" s="34">
        <v>0.6</v>
      </c>
      <c r="Q24" s="98">
        <f t="shared" si="0"/>
        <v>0.55000000000000004</v>
      </c>
      <c r="R24" s="212">
        <v>16.100000000000001</v>
      </c>
      <c r="S24" s="212">
        <v>111</v>
      </c>
      <c r="T24" s="16">
        <f t="shared" si="1"/>
        <v>33</v>
      </c>
      <c r="U24" s="217">
        <v>98</v>
      </c>
      <c r="V24" s="208">
        <f t="shared" si="2"/>
        <v>3234</v>
      </c>
      <c r="W24" s="214">
        <v>12</v>
      </c>
      <c r="X24" s="210" t="s">
        <v>46</v>
      </c>
      <c r="Y24" s="218" t="s">
        <v>55</v>
      </c>
      <c r="Z24" s="218" t="s">
        <v>97</v>
      </c>
      <c r="AA24" s="219" t="s">
        <v>78</v>
      </c>
      <c r="AB24" s="57" t="s">
        <v>158</v>
      </c>
      <c r="AP24" s="43" t="s">
        <v>138</v>
      </c>
      <c r="AR24" s="41" t="s">
        <v>91</v>
      </c>
      <c r="AV24" s="23"/>
    </row>
    <row r="25" spans="1:48" x14ac:dyDescent="0.15">
      <c r="A25" s="201" t="s">
        <v>34</v>
      </c>
      <c r="B25" s="201" t="s">
        <v>157</v>
      </c>
      <c r="C25" s="202">
        <v>2019</v>
      </c>
      <c r="D25" s="203" t="s">
        <v>376</v>
      </c>
      <c r="E25" s="202" t="s">
        <v>374</v>
      </c>
      <c r="F25" s="201" t="s">
        <v>379</v>
      </c>
      <c r="G25" s="204" t="s">
        <v>36</v>
      </c>
      <c r="H25" s="150" t="s">
        <v>160</v>
      </c>
      <c r="I25" s="150" t="s">
        <v>159</v>
      </c>
      <c r="J25" s="150" t="s">
        <v>38</v>
      </c>
      <c r="K25" s="150" t="s">
        <v>161</v>
      </c>
      <c r="L25" s="53">
        <v>3</v>
      </c>
      <c r="N25" s="53">
        <v>1</v>
      </c>
      <c r="O25" s="53">
        <v>0.4</v>
      </c>
      <c r="P25" s="34">
        <v>0.4</v>
      </c>
      <c r="Q25" s="98">
        <f t="shared" si="0"/>
        <v>0.4</v>
      </c>
      <c r="R25" s="212">
        <v>16.399999999999999</v>
      </c>
      <c r="S25" s="212">
        <v>116</v>
      </c>
      <c r="T25" s="16">
        <f t="shared" si="1"/>
        <v>30</v>
      </c>
      <c r="U25" s="217">
        <v>98</v>
      </c>
      <c r="V25" s="208">
        <f t="shared" si="2"/>
        <v>2940</v>
      </c>
      <c r="W25" s="214">
        <v>12</v>
      </c>
      <c r="X25" s="210" t="s">
        <v>46</v>
      </c>
      <c r="Y25" s="218" t="s">
        <v>55</v>
      </c>
      <c r="Z25" s="218" t="s">
        <v>97</v>
      </c>
      <c r="AA25" s="219" t="s">
        <v>78</v>
      </c>
      <c r="AB25" s="57" t="s">
        <v>158</v>
      </c>
      <c r="AP25" s="43" t="s">
        <v>116</v>
      </c>
      <c r="AR25" s="42" t="s">
        <v>92</v>
      </c>
      <c r="AV25" s="23"/>
    </row>
    <row r="26" spans="1:48" x14ac:dyDescent="0.15">
      <c r="A26" s="201" t="s">
        <v>34</v>
      </c>
      <c r="B26" s="201" t="s">
        <v>157</v>
      </c>
      <c r="C26" s="201">
        <v>2019</v>
      </c>
      <c r="D26" s="203" t="s">
        <v>376</v>
      </c>
      <c r="E26" s="202" t="s">
        <v>210</v>
      </c>
      <c r="F26" s="201" t="s">
        <v>380</v>
      </c>
      <c r="G26" s="204" t="s">
        <v>42</v>
      </c>
      <c r="H26" s="150" t="s">
        <v>165</v>
      </c>
      <c r="I26" s="150" t="s">
        <v>159</v>
      </c>
      <c r="J26" s="150" t="s">
        <v>38</v>
      </c>
      <c r="K26" s="150" t="s">
        <v>161</v>
      </c>
      <c r="L26" s="53">
        <v>1</v>
      </c>
      <c r="N26" s="53">
        <v>4</v>
      </c>
      <c r="O26" s="53">
        <v>0.5</v>
      </c>
      <c r="P26" s="36">
        <v>0.5</v>
      </c>
      <c r="Q26" s="98">
        <f t="shared" si="0"/>
        <v>0.5</v>
      </c>
      <c r="R26" s="212">
        <v>14.6</v>
      </c>
      <c r="S26" s="212">
        <v>85</v>
      </c>
      <c r="T26" s="16">
        <f t="shared" si="1"/>
        <v>36</v>
      </c>
      <c r="U26" s="217">
        <v>397</v>
      </c>
      <c r="V26" s="208">
        <f t="shared" si="2"/>
        <v>3573</v>
      </c>
      <c r="W26" s="214">
        <v>10</v>
      </c>
      <c r="X26" s="210" t="s">
        <v>46</v>
      </c>
      <c r="Y26" s="219" t="s">
        <v>40</v>
      </c>
      <c r="Z26" s="218" t="s">
        <v>55</v>
      </c>
      <c r="AA26" s="218" t="s">
        <v>47</v>
      </c>
      <c r="AB26" s="57" t="s">
        <v>158</v>
      </c>
      <c r="AP26" s="43" t="s">
        <v>117</v>
      </c>
      <c r="AR26" s="23" t="s">
        <v>153</v>
      </c>
      <c r="AV26" s="27"/>
    </row>
    <row r="27" spans="1:48" x14ac:dyDescent="0.15">
      <c r="A27" s="201" t="s">
        <v>34</v>
      </c>
      <c r="B27" s="201" t="s">
        <v>157</v>
      </c>
      <c r="C27" s="202">
        <v>2019</v>
      </c>
      <c r="D27" s="203" t="s">
        <v>376</v>
      </c>
      <c r="E27" s="202" t="s">
        <v>210</v>
      </c>
      <c r="F27" s="201" t="s">
        <v>380</v>
      </c>
      <c r="G27" s="204" t="s">
        <v>42</v>
      </c>
      <c r="H27" s="150" t="s">
        <v>165</v>
      </c>
      <c r="I27" s="150" t="s">
        <v>159</v>
      </c>
      <c r="J27" s="150" t="s">
        <v>38</v>
      </c>
      <c r="K27" s="150" t="s">
        <v>161</v>
      </c>
      <c r="L27" s="53">
        <v>2</v>
      </c>
      <c r="N27" s="53">
        <v>4</v>
      </c>
      <c r="O27" s="34">
        <v>0.5</v>
      </c>
      <c r="P27" s="36">
        <v>0.5</v>
      </c>
      <c r="Q27" s="98">
        <f t="shared" si="0"/>
        <v>0.5</v>
      </c>
      <c r="R27" s="212">
        <v>14.4</v>
      </c>
      <c r="S27" s="212">
        <v>86</v>
      </c>
      <c r="T27" s="16">
        <f t="shared" si="1"/>
        <v>36</v>
      </c>
      <c r="U27" s="217">
        <v>397</v>
      </c>
      <c r="V27" s="208">
        <f t="shared" si="2"/>
        <v>3573</v>
      </c>
      <c r="W27" s="214">
        <v>10</v>
      </c>
      <c r="X27" s="210" t="s">
        <v>46</v>
      </c>
      <c r="Y27" s="219" t="s">
        <v>40</v>
      </c>
      <c r="Z27" s="218" t="s">
        <v>55</v>
      </c>
      <c r="AA27" s="218" t="s">
        <v>47</v>
      </c>
      <c r="AB27" s="57" t="s">
        <v>158</v>
      </c>
      <c r="AP27" s="43" t="s">
        <v>118</v>
      </c>
      <c r="AR27" s="23"/>
    </row>
    <row r="28" spans="1:48" x14ac:dyDescent="0.15">
      <c r="A28" s="201" t="s">
        <v>34</v>
      </c>
      <c r="B28" s="201" t="s">
        <v>157</v>
      </c>
      <c r="C28" s="201">
        <v>2019</v>
      </c>
      <c r="D28" s="203" t="s">
        <v>376</v>
      </c>
      <c r="E28" s="202" t="s">
        <v>210</v>
      </c>
      <c r="F28" s="201" t="s">
        <v>380</v>
      </c>
      <c r="G28" s="204" t="s">
        <v>42</v>
      </c>
      <c r="H28" s="150" t="s">
        <v>165</v>
      </c>
      <c r="I28" s="150" t="s">
        <v>159</v>
      </c>
      <c r="J28" s="150" t="s">
        <v>38</v>
      </c>
      <c r="K28" s="150" t="s">
        <v>161</v>
      </c>
      <c r="L28" s="53">
        <v>3</v>
      </c>
      <c r="N28" s="53">
        <v>4</v>
      </c>
      <c r="O28" s="34">
        <v>0.45</v>
      </c>
      <c r="P28" s="53">
        <v>0.5</v>
      </c>
      <c r="Q28" s="98">
        <f t="shared" si="0"/>
        <v>0.47499999999999998</v>
      </c>
      <c r="R28" s="212">
        <v>14.6</v>
      </c>
      <c r="S28" s="212">
        <v>87</v>
      </c>
      <c r="T28" s="16">
        <f t="shared" si="1"/>
        <v>36</v>
      </c>
      <c r="U28" s="217">
        <v>397</v>
      </c>
      <c r="V28" s="208">
        <f t="shared" si="2"/>
        <v>3573</v>
      </c>
      <c r="W28" s="214">
        <v>10</v>
      </c>
      <c r="X28" s="210" t="s">
        <v>46</v>
      </c>
      <c r="Y28" s="219" t="s">
        <v>40</v>
      </c>
      <c r="Z28" s="218" t="s">
        <v>55</v>
      </c>
      <c r="AA28" s="218" t="s">
        <v>47</v>
      </c>
      <c r="AB28" s="57" t="s">
        <v>158</v>
      </c>
      <c r="AR28" s="23"/>
    </row>
    <row r="29" spans="1:48" x14ac:dyDescent="0.15">
      <c r="A29" s="201" t="s">
        <v>34</v>
      </c>
      <c r="B29" s="201" t="s">
        <v>157</v>
      </c>
      <c r="C29" s="201">
        <v>2019</v>
      </c>
      <c r="D29" s="203" t="s">
        <v>376</v>
      </c>
      <c r="E29" s="202" t="s">
        <v>210</v>
      </c>
      <c r="F29" s="201" t="s">
        <v>380</v>
      </c>
      <c r="G29" s="204" t="s">
        <v>42</v>
      </c>
      <c r="H29" s="150" t="s">
        <v>160</v>
      </c>
      <c r="I29" s="150" t="s">
        <v>159</v>
      </c>
      <c r="J29" s="150" t="s">
        <v>38</v>
      </c>
      <c r="K29" s="150" t="s">
        <v>161</v>
      </c>
      <c r="L29" s="53">
        <v>1</v>
      </c>
      <c r="N29" s="53">
        <v>4</v>
      </c>
      <c r="O29" s="53">
        <v>0.8</v>
      </c>
      <c r="P29" s="53">
        <v>0.7</v>
      </c>
      <c r="Q29" s="98">
        <f t="shared" si="0"/>
        <v>0.75</v>
      </c>
      <c r="R29" s="212">
        <v>16.100000000000001</v>
      </c>
      <c r="S29" s="212">
        <v>101</v>
      </c>
      <c r="T29" s="16">
        <f t="shared" si="1"/>
        <v>33</v>
      </c>
      <c r="U29" s="217">
        <v>397</v>
      </c>
      <c r="V29" s="208">
        <f t="shared" si="2"/>
        <v>3275.25</v>
      </c>
      <c r="W29" s="214">
        <v>10</v>
      </c>
      <c r="X29" s="210" t="s">
        <v>39</v>
      </c>
      <c r="Y29" s="219" t="s">
        <v>40</v>
      </c>
      <c r="Z29" s="218" t="s">
        <v>55</v>
      </c>
      <c r="AA29" s="218" t="s">
        <v>47</v>
      </c>
      <c r="AB29" s="57" t="s">
        <v>158</v>
      </c>
      <c r="AR29" s="28"/>
    </row>
    <row r="30" spans="1:48" x14ac:dyDescent="0.15">
      <c r="A30" s="201" t="s">
        <v>34</v>
      </c>
      <c r="B30" s="201" t="s">
        <v>157</v>
      </c>
      <c r="C30" s="202">
        <v>2019</v>
      </c>
      <c r="D30" s="203" t="s">
        <v>376</v>
      </c>
      <c r="E30" s="202" t="s">
        <v>210</v>
      </c>
      <c r="F30" s="201" t="s">
        <v>380</v>
      </c>
      <c r="G30" s="204" t="s">
        <v>42</v>
      </c>
      <c r="H30" s="150" t="s">
        <v>160</v>
      </c>
      <c r="I30" s="150" t="s">
        <v>159</v>
      </c>
      <c r="J30" s="150" t="s">
        <v>38</v>
      </c>
      <c r="K30" s="150" t="s">
        <v>161</v>
      </c>
      <c r="L30" s="53">
        <v>2</v>
      </c>
      <c r="N30" s="53">
        <v>4</v>
      </c>
      <c r="O30" s="53">
        <v>0.65</v>
      </c>
      <c r="P30" s="53">
        <v>0.7</v>
      </c>
      <c r="Q30" s="98">
        <f t="shared" si="0"/>
        <v>0.67500000000000004</v>
      </c>
      <c r="R30" s="212">
        <v>16.8</v>
      </c>
      <c r="S30" s="212">
        <v>101</v>
      </c>
      <c r="T30" s="16">
        <f t="shared" si="1"/>
        <v>33</v>
      </c>
      <c r="U30" s="217">
        <v>397</v>
      </c>
      <c r="V30" s="208">
        <f t="shared" si="2"/>
        <v>3275.25</v>
      </c>
      <c r="W30" s="214">
        <v>10</v>
      </c>
      <c r="X30" s="210" t="s">
        <v>39</v>
      </c>
      <c r="Y30" s="219" t="s">
        <v>40</v>
      </c>
      <c r="Z30" s="218" t="s">
        <v>55</v>
      </c>
      <c r="AA30" s="218" t="s">
        <v>47</v>
      </c>
      <c r="AB30" s="57" t="s">
        <v>158</v>
      </c>
    </row>
    <row r="31" spans="1:48" x14ac:dyDescent="0.15">
      <c r="A31" s="201" t="s">
        <v>34</v>
      </c>
      <c r="B31" s="201" t="s">
        <v>157</v>
      </c>
      <c r="C31" s="201">
        <v>2019</v>
      </c>
      <c r="D31" s="203" t="s">
        <v>376</v>
      </c>
      <c r="E31" s="202" t="s">
        <v>210</v>
      </c>
      <c r="F31" s="201" t="s">
        <v>380</v>
      </c>
      <c r="G31" s="204" t="s">
        <v>42</v>
      </c>
      <c r="H31" s="150" t="s">
        <v>160</v>
      </c>
      <c r="I31" s="150" t="s">
        <v>159</v>
      </c>
      <c r="J31" s="150" t="s">
        <v>38</v>
      </c>
      <c r="K31" s="150" t="s">
        <v>161</v>
      </c>
      <c r="L31" s="53">
        <v>3</v>
      </c>
      <c r="N31" s="53">
        <v>4</v>
      </c>
      <c r="O31" s="53">
        <v>0.7</v>
      </c>
      <c r="P31" s="53">
        <v>0.65</v>
      </c>
      <c r="Q31" s="98">
        <f t="shared" si="0"/>
        <v>0.67500000000000004</v>
      </c>
      <c r="R31" s="212">
        <v>16.600000000000001</v>
      </c>
      <c r="S31" s="212">
        <v>100</v>
      </c>
      <c r="T31" s="16">
        <f t="shared" si="1"/>
        <v>33</v>
      </c>
      <c r="U31" s="217">
        <v>397</v>
      </c>
      <c r="V31" s="208">
        <f t="shared" si="2"/>
        <v>3275.25</v>
      </c>
      <c r="W31" s="214">
        <v>10</v>
      </c>
      <c r="X31" s="210" t="s">
        <v>39</v>
      </c>
      <c r="Y31" s="219" t="s">
        <v>40</v>
      </c>
      <c r="Z31" s="218" t="s">
        <v>55</v>
      </c>
      <c r="AA31" s="218" t="s">
        <v>47</v>
      </c>
      <c r="AB31" s="57" t="s">
        <v>158</v>
      </c>
    </row>
    <row r="32" spans="1:48" ht="14.25" customHeight="1" x14ac:dyDescent="0.15">
      <c r="A32" s="201" t="s">
        <v>34</v>
      </c>
      <c r="B32" s="201" t="s">
        <v>157</v>
      </c>
      <c r="C32" s="202">
        <v>2019</v>
      </c>
      <c r="D32" s="203" t="s">
        <v>376</v>
      </c>
      <c r="E32" s="202" t="s">
        <v>381</v>
      </c>
      <c r="F32" s="201" t="s">
        <v>380</v>
      </c>
      <c r="G32" s="204" t="s">
        <v>42</v>
      </c>
      <c r="H32" s="150" t="s">
        <v>165</v>
      </c>
      <c r="I32" s="150" t="s">
        <v>159</v>
      </c>
      <c r="J32" s="150" t="s">
        <v>38</v>
      </c>
      <c r="K32" s="150" t="s">
        <v>161</v>
      </c>
      <c r="L32" s="53">
        <v>1</v>
      </c>
      <c r="N32" s="53">
        <v>1</v>
      </c>
      <c r="O32" s="53">
        <v>0.9</v>
      </c>
      <c r="P32" s="53">
        <v>1</v>
      </c>
      <c r="Q32" s="98">
        <f t="shared" si="0"/>
        <v>0.95</v>
      </c>
      <c r="R32" s="212">
        <v>14.2</v>
      </c>
      <c r="S32" s="212">
        <v>126</v>
      </c>
      <c r="T32" s="16">
        <f t="shared" si="1"/>
        <v>30</v>
      </c>
      <c r="U32" s="217">
        <v>139</v>
      </c>
      <c r="V32" s="208">
        <f t="shared" si="2"/>
        <v>4170</v>
      </c>
      <c r="W32" s="214">
        <v>2</v>
      </c>
      <c r="X32" s="210" t="s">
        <v>39</v>
      </c>
      <c r="Y32" s="219" t="s">
        <v>86</v>
      </c>
      <c r="Z32" s="218" t="s">
        <v>69</v>
      </c>
      <c r="AA32" s="218" t="s">
        <v>97</v>
      </c>
      <c r="AB32" s="57" t="s">
        <v>158</v>
      </c>
    </row>
    <row r="33" spans="1:28" x14ac:dyDescent="0.15">
      <c r="A33" s="201" t="s">
        <v>34</v>
      </c>
      <c r="B33" s="201" t="s">
        <v>157</v>
      </c>
      <c r="C33" s="201">
        <v>2019</v>
      </c>
      <c r="D33" s="203" t="s">
        <v>376</v>
      </c>
      <c r="E33" s="202" t="s">
        <v>381</v>
      </c>
      <c r="F33" s="201" t="s">
        <v>380</v>
      </c>
      <c r="G33" s="204" t="s">
        <v>42</v>
      </c>
      <c r="H33" s="150" t="s">
        <v>165</v>
      </c>
      <c r="I33" s="150" t="s">
        <v>159</v>
      </c>
      <c r="J33" s="150" t="s">
        <v>38</v>
      </c>
      <c r="K33" s="150" t="s">
        <v>161</v>
      </c>
      <c r="L33" s="53">
        <v>2</v>
      </c>
      <c r="N33" s="53">
        <v>1</v>
      </c>
      <c r="O33" s="53">
        <v>1.1000000000000001</v>
      </c>
      <c r="P33" s="53">
        <v>0.95</v>
      </c>
      <c r="Q33" s="98">
        <f t="shared" si="0"/>
        <v>1.0249999999999999</v>
      </c>
      <c r="R33" s="212">
        <v>13.8</v>
      </c>
      <c r="S33" s="212">
        <v>129</v>
      </c>
      <c r="T33" s="16">
        <f t="shared" si="1"/>
        <v>30</v>
      </c>
      <c r="U33" s="217">
        <v>139</v>
      </c>
      <c r="V33" s="208">
        <f t="shared" si="2"/>
        <v>4170</v>
      </c>
      <c r="W33" s="214">
        <v>2</v>
      </c>
      <c r="X33" s="210" t="s">
        <v>39</v>
      </c>
      <c r="Y33" s="219" t="s">
        <v>86</v>
      </c>
      <c r="Z33" s="218" t="s">
        <v>69</v>
      </c>
      <c r="AA33" s="218" t="s">
        <v>97</v>
      </c>
      <c r="AB33" s="57" t="s">
        <v>158</v>
      </c>
    </row>
    <row r="34" spans="1:28" x14ac:dyDescent="0.15">
      <c r="A34" s="201" t="s">
        <v>34</v>
      </c>
      <c r="B34" s="201" t="s">
        <v>157</v>
      </c>
      <c r="C34" s="202">
        <v>2019</v>
      </c>
      <c r="D34" s="203" t="s">
        <v>376</v>
      </c>
      <c r="E34" s="202" t="s">
        <v>381</v>
      </c>
      <c r="F34" s="201" t="s">
        <v>380</v>
      </c>
      <c r="G34" s="204" t="s">
        <v>42</v>
      </c>
      <c r="H34" s="150" t="s">
        <v>165</v>
      </c>
      <c r="I34" s="150" t="s">
        <v>159</v>
      </c>
      <c r="J34" s="150" t="s">
        <v>38</v>
      </c>
      <c r="K34" s="150" t="s">
        <v>161</v>
      </c>
      <c r="L34" s="53">
        <v>3</v>
      </c>
      <c r="N34" s="53">
        <v>1</v>
      </c>
      <c r="O34" s="53">
        <v>0.85</v>
      </c>
      <c r="P34" s="34">
        <v>0.8</v>
      </c>
      <c r="Q34" s="98">
        <f t="shared" si="0"/>
        <v>0.82499999999999996</v>
      </c>
      <c r="R34" s="212">
        <v>14.4</v>
      </c>
      <c r="S34" s="212">
        <v>129</v>
      </c>
      <c r="T34" s="16">
        <f t="shared" si="1"/>
        <v>30</v>
      </c>
      <c r="U34" s="217">
        <v>139</v>
      </c>
      <c r="V34" s="208">
        <f t="shared" si="2"/>
        <v>4170</v>
      </c>
      <c r="W34" s="214">
        <v>2</v>
      </c>
      <c r="X34" s="210" t="s">
        <v>39</v>
      </c>
      <c r="Y34" s="219" t="s">
        <v>86</v>
      </c>
      <c r="Z34" s="218" t="s">
        <v>69</v>
      </c>
      <c r="AA34" s="218" t="s">
        <v>97</v>
      </c>
      <c r="AB34" s="57" t="s">
        <v>158</v>
      </c>
    </row>
    <row r="35" spans="1:28" x14ac:dyDescent="0.15">
      <c r="A35" s="201" t="s">
        <v>34</v>
      </c>
      <c r="B35" s="201" t="s">
        <v>157</v>
      </c>
      <c r="C35" s="201">
        <v>2019</v>
      </c>
      <c r="D35" s="203" t="s">
        <v>376</v>
      </c>
      <c r="E35" s="202" t="s">
        <v>381</v>
      </c>
      <c r="F35" s="201" t="s">
        <v>380</v>
      </c>
      <c r="G35" s="204" t="s">
        <v>42</v>
      </c>
      <c r="H35" s="150" t="s">
        <v>160</v>
      </c>
      <c r="I35" s="150" t="s">
        <v>159</v>
      </c>
      <c r="J35" s="150" t="s">
        <v>38</v>
      </c>
      <c r="K35" s="150" t="s">
        <v>161</v>
      </c>
      <c r="L35" s="53">
        <v>1</v>
      </c>
      <c r="N35" s="53">
        <v>1</v>
      </c>
      <c r="O35" s="53">
        <v>0.75</v>
      </c>
      <c r="P35" s="53">
        <v>0.8</v>
      </c>
      <c r="Q35" s="98">
        <f t="shared" si="0"/>
        <v>0.77500000000000002</v>
      </c>
      <c r="R35" s="212">
        <v>15.6</v>
      </c>
      <c r="S35" s="212">
        <v>133</v>
      </c>
      <c r="T35" s="16">
        <f t="shared" si="1"/>
        <v>30</v>
      </c>
      <c r="U35" s="217">
        <v>139</v>
      </c>
      <c r="V35" s="208">
        <f t="shared" si="2"/>
        <v>4170</v>
      </c>
      <c r="W35" s="214">
        <v>2</v>
      </c>
      <c r="X35" s="210" t="s">
        <v>39</v>
      </c>
      <c r="Y35" s="218" t="s">
        <v>86</v>
      </c>
      <c r="Z35" s="218" t="s">
        <v>69</v>
      </c>
      <c r="AA35" s="218" t="s">
        <v>97</v>
      </c>
      <c r="AB35" s="57" t="s">
        <v>158</v>
      </c>
    </row>
    <row r="36" spans="1:28" x14ac:dyDescent="0.15">
      <c r="A36" s="201" t="s">
        <v>34</v>
      </c>
      <c r="B36" s="201" t="s">
        <v>157</v>
      </c>
      <c r="C36" s="202">
        <v>2019</v>
      </c>
      <c r="D36" s="203" t="s">
        <v>376</v>
      </c>
      <c r="E36" s="202" t="s">
        <v>381</v>
      </c>
      <c r="F36" s="201" t="s">
        <v>380</v>
      </c>
      <c r="G36" s="204" t="s">
        <v>42</v>
      </c>
      <c r="H36" s="150" t="s">
        <v>160</v>
      </c>
      <c r="I36" s="150" t="s">
        <v>159</v>
      </c>
      <c r="J36" s="150" t="s">
        <v>38</v>
      </c>
      <c r="K36" s="150" t="s">
        <v>161</v>
      </c>
      <c r="L36" s="53">
        <v>2</v>
      </c>
      <c r="N36" s="53">
        <v>1</v>
      </c>
      <c r="O36" s="53">
        <v>0.7</v>
      </c>
      <c r="P36" s="53">
        <v>0.75</v>
      </c>
      <c r="Q36" s="98">
        <f t="shared" si="0"/>
        <v>0.72499999999999998</v>
      </c>
      <c r="R36" s="212">
        <v>15.8</v>
      </c>
      <c r="S36" s="212">
        <v>126</v>
      </c>
      <c r="T36" s="16">
        <f t="shared" si="1"/>
        <v>30</v>
      </c>
      <c r="U36" s="217">
        <v>139</v>
      </c>
      <c r="V36" s="208">
        <f t="shared" si="2"/>
        <v>4170</v>
      </c>
      <c r="W36" s="214">
        <v>2</v>
      </c>
      <c r="X36" s="210" t="s">
        <v>39</v>
      </c>
      <c r="Y36" s="218" t="s">
        <v>86</v>
      </c>
      <c r="Z36" s="218" t="s">
        <v>69</v>
      </c>
      <c r="AA36" s="218" t="s">
        <v>97</v>
      </c>
      <c r="AB36" s="57" t="s">
        <v>158</v>
      </c>
    </row>
    <row r="37" spans="1:28" x14ac:dyDescent="0.15">
      <c r="A37" s="201" t="s">
        <v>34</v>
      </c>
      <c r="B37" s="201" t="s">
        <v>157</v>
      </c>
      <c r="C37" s="201">
        <v>2019</v>
      </c>
      <c r="D37" s="203" t="s">
        <v>376</v>
      </c>
      <c r="E37" s="202" t="s">
        <v>381</v>
      </c>
      <c r="F37" s="201" t="s">
        <v>380</v>
      </c>
      <c r="G37" s="204" t="s">
        <v>42</v>
      </c>
      <c r="H37" s="150" t="s">
        <v>160</v>
      </c>
      <c r="I37" s="150" t="s">
        <v>159</v>
      </c>
      <c r="J37" s="150" t="s">
        <v>38</v>
      </c>
      <c r="K37" s="150" t="s">
        <v>161</v>
      </c>
      <c r="L37" s="53">
        <v>3</v>
      </c>
      <c r="N37" s="53">
        <v>1</v>
      </c>
      <c r="O37" s="53">
        <v>0.65</v>
      </c>
      <c r="P37" s="53">
        <v>0.6</v>
      </c>
      <c r="Q37" s="98">
        <f t="shared" si="0"/>
        <v>0.625</v>
      </c>
      <c r="R37" s="212">
        <v>15.2</v>
      </c>
      <c r="S37" s="212">
        <v>129</v>
      </c>
      <c r="T37" s="16">
        <f t="shared" si="1"/>
        <v>30</v>
      </c>
      <c r="U37" s="217">
        <v>139</v>
      </c>
      <c r="V37" s="208">
        <f t="shared" si="2"/>
        <v>4170</v>
      </c>
      <c r="W37" s="214">
        <v>2</v>
      </c>
      <c r="X37" s="210" t="s">
        <v>39</v>
      </c>
      <c r="Y37" s="218" t="s">
        <v>86</v>
      </c>
      <c r="Z37" s="218" t="s">
        <v>69</v>
      </c>
      <c r="AA37" s="218" t="s">
        <v>97</v>
      </c>
      <c r="AB37" s="57" t="s">
        <v>158</v>
      </c>
    </row>
    <row r="38" spans="1:28" x14ac:dyDescent="0.15">
      <c r="A38" s="201" t="s">
        <v>34</v>
      </c>
      <c r="B38" s="201" t="s">
        <v>157</v>
      </c>
      <c r="C38" s="202">
        <v>2019</v>
      </c>
      <c r="D38" s="203" t="s">
        <v>376</v>
      </c>
      <c r="E38" s="202" t="s">
        <v>210</v>
      </c>
      <c r="F38" s="201" t="s">
        <v>382</v>
      </c>
      <c r="G38" s="204" t="s">
        <v>42</v>
      </c>
      <c r="H38" s="150" t="s">
        <v>165</v>
      </c>
      <c r="I38" s="150" t="s">
        <v>159</v>
      </c>
      <c r="J38" s="150" t="s">
        <v>38</v>
      </c>
      <c r="K38" s="150" t="s">
        <v>161</v>
      </c>
      <c r="L38" s="53">
        <v>1</v>
      </c>
      <c r="N38" s="53">
        <v>4</v>
      </c>
      <c r="O38" s="53">
        <v>0.5</v>
      </c>
      <c r="P38" s="53">
        <v>0.5</v>
      </c>
      <c r="Q38" s="98">
        <f t="shared" si="0"/>
        <v>0.5</v>
      </c>
      <c r="R38" s="212">
        <v>15</v>
      </c>
      <c r="S38" s="212">
        <v>87</v>
      </c>
      <c r="T38" s="16">
        <f t="shared" si="1"/>
        <v>36</v>
      </c>
      <c r="U38" s="217">
        <v>397</v>
      </c>
      <c r="V38" s="208">
        <f t="shared" si="2"/>
        <v>3573</v>
      </c>
      <c r="W38" s="214">
        <v>10</v>
      </c>
      <c r="X38" s="210" t="s">
        <v>46</v>
      </c>
      <c r="Y38" s="218" t="s">
        <v>40</v>
      </c>
      <c r="Z38" s="218" t="s">
        <v>69</v>
      </c>
      <c r="AA38" s="218" t="s">
        <v>47</v>
      </c>
      <c r="AB38" s="57" t="s">
        <v>158</v>
      </c>
    </row>
    <row r="39" spans="1:28" x14ac:dyDescent="0.15">
      <c r="A39" s="201" t="s">
        <v>34</v>
      </c>
      <c r="B39" s="201" t="s">
        <v>157</v>
      </c>
      <c r="C39" s="201">
        <v>2019</v>
      </c>
      <c r="D39" s="203" t="s">
        <v>376</v>
      </c>
      <c r="E39" s="202" t="s">
        <v>210</v>
      </c>
      <c r="F39" s="201" t="s">
        <v>382</v>
      </c>
      <c r="G39" s="204" t="s">
        <v>42</v>
      </c>
      <c r="H39" s="150" t="s">
        <v>165</v>
      </c>
      <c r="I39" s="150" t="s">
        <v>159</v>
      </c>
      <c r="J39" s="150" t="s">
        <v>38</v>
      </c>
      <c r="K39" s="150" t="s">
        <v>161</v>
      </c>
      <c r="L39" s="53">
        <v>2</v>
      </c>
      <c r="N39" s="53">
        <v>4</v>
      </c>
      <c r="O39" s="53">
        <v>0.55000000000000004</v>
      </c>
      <c r="P39" s="53">
        <v>0.5</v>
      </c>
      <c r="Q39" s="98">
        <f t="shared" si="0"/>
        <v>0.52500000000000002</v>
      </c>
      <c r="R39" s="212">
        <v>14.5</v>
      </c>
      <c r="S39" s="212">
        <v>92</v>
      </c>
      <c r="T39" s="16">
        <f t="shared" si="1"/>
        <v>36</v>
      </c>
      <c r="U39" s="217">
        <v>397</v>
      </c>
      <c r="V39" s="208">
        <f t="shared" si="2"/>
        <v>3573</v>
      </c>
      <c r="W39" s="214">
        <v>10</v>
      </c>
      <c r="X39" s="210" t="s">
        <v>46</v>
      </c>
      <c r="Y39" s="218" t="s">
        <v>40</v>
      </c>
      <c r="Z39" s="218" t="s">
        <v>69</v>
      </c>
      <c r="AA39" s="218" t="s">
        <v>47</v>
      </c>
      <c r="AB39" s="57" t="s">
        <v>158</v>
      </c>
    </row>
    <row r="40" spans="1:28" ht="12.75" customHeight="1" x14ac:dyDescent="0.15">
      <c r="A40" s="201" t="s">
        <v>34</v>
      </c>
      <c r="B40" s="201" t="s">
        <v>157</v>
      </c>
      <c r="C40" s="202">
        <v>2019</v>
      </c>
      <c r="D40" s="203" t="s">
        <v>376</v>
      </c>
      <c r="E40" s="202" t="s">
        <v>210</v>
      </c>
      <c r="F40" s="201" t="s">
        <v>382</v>
      </c>
      <c r="G40" s="204" t="s">
        <v>42</v>
      </c>
      <c r="H40" s="150" t="s">
        <v>165</v>
      </c>
      <c r="I40" s="150" t="s">
        <v>159</v>
      </c>
      <c r="J40" s="150" t="s">
        <v>38</v>
      </c>
      <c r="K40" s="150" t="s">
        <v>161</v>
      </c>
      <c r="L40" s="53">
        <v>3</v>
      </c>
      <c r="N40" s="53">
        <v>4</v>
      </c>
      <c r="O40" s="53">
        <v>0.45</v>
      </c>
      <c r="P40" s="53">
        <v>0.5</v>
      </c>
      <c r="Q40" s="98">
        <f t="shared" si="0"/>
        <v>0.47499999999999998</v>
      </c>
      <c r="R40" s="212">
        <v>14.7</v>
      </c>
      <c r="S40" s="212">
        <v>90</v>
      </c>
      <c r="T40" s="16">
        <f t="shared" si="1"/>
        <v>36</v>
      </c>
      <c r="U40" s="217">
        <v>397</v>
      </c>
      <c r="V40" s="208">
        <f t="shared" si="2"/>
        <v>3573</v>
      </c>
      <c r="W40" s="214">
        <v>10</v>
      </c>
      <c r="X40" s="210" t="s">
        <v>46</v>
      </c>
      <c r="Y40" s="218" t="s">
        <v>40</v>
      </c>
      <c r="Z40" s="218" t="s">
        <v>69</v>
      </c>
      <c r="AA40" s="218" t="s">
        <v>47</v>
      </c>
      <c r="AB40" s="57" t="s">
        <v>158</v>
      </c>
    </row>
    <row r="41" spans="1:28" ht="12.75" customHeight="1" x14ac:dyDescent="0.15">
      <c r="A41" s="150" t="s">
        <v>34</v>
      </c>
      <c r="B41" s="201" t="s">
        <v>157</v>
      </c>
      <c r="C41" s="202">
        <v>2019</v>
      </c>
      <c r="D41" s="203" t="s">
        <v>376</v>
      </c>
      <c r="E41" s="202" t="s">
        <v>210</v>
      </c>
      <c r="F41" s="201" t="s">
        <v>382</v>
      </c>
      <c r="G41" s="204" t="s">
        <v>42</v>
      </c>
      <c r="H41" s="150" t="s">
        <v>160</v>
      </c>
      <c r="I41" s="150" t="s">
        <v>159</v>
      </c>
      <c r="J41" s="150" t="s">
        <v>38</v>
      </c>
      <c r="K41" s="150" t="s">
        <v>161</v>
      </c>
      <c r="L41" s="53">
        <v>1</v>
      </c>
      <c r="N41" s="53">
        <v>4</v>
      </c>
      <c r="O41" s="53">
        <v>0.7</v>
      </c>
      <c r="P41" s="53">
        <v>0.65</v>
      </c>
      <c r="Q41" s="98">
        <f t="shared" si="0"/>
        <v>0.67500000000000004</v>
      </c>
      <c r="R41" s="212">
        <v>16.2</v>
      </c>
      <c r="S41" s="212">
        <v>83</v>
      </c>
      <c r="T41" s="16">
        <f t="shared" si="1"/>
        <v>39</v>
      </c>
      <c r="U41" s="217">
        <v>397</v>
      </c>
      <c r="V41" s="208">
        <f t="shared" si="2"/>
        <v>3870.75</v>
      </c>
      <c r="W41" s="152">
        <v>10</v>
      </c>
      <c r="X41" s="210" t="s">
        <v>46</v>
      </c>
      <c r="Y41" s="222" t="s">
        <v>40</v>
      </c>
      <c r="Z41" s="222" t="s">
        <v>69</v>
      </c>
      <c r="AA41" s="222" t="s">
        <v>47</v>
      </c>
      <c r="AB41" s="57" t="s">
        <v>158</v>
      </c>
    </row>
    <row r="42" spans="1:28" ht="12.75" customHeight="1" x14ac:dyDescent="0.15">
      <c r="A42" s="150" t="s">
        <v>34</v>
      </c>
      <c r="B42" s="201" t="s">
        <v>157</v>
      </c>
      <c r="C42" s="202">
        <v>2019</v>
      </c>
      <c r="D42" s="203" t="s">
        <v>376</v>
      </c>
      <c r="E42" s="202" t="s">
        <v>210</v>
      </c>
      <c r="F42" s="201" t="s">
        <v>382</v>
      </c>
      <c r="G42" s="204" t="s">
        <v>42</v>
      </c>
      <c r="H42" s="150" t="s">
        <v>160</v>
      </c>
      <c r="I42" s="150" t="s">
        <v>159</v>
      </c>
      <c r="J42" s="150" t="s">
        <v>38</v>
      </c>
      <c r="K42" s="150" t="s">
        <v>161</v>
      </c>
      <c r="L42" s="53">
        <v>2</v>
      </c>
      <c r="N42" s="53">
        <v>4</v>
      </c>
      <c r="O42" s="53">
        <v>0.6</v>
      </c>
      <c r="P42" s="53">
        <v>0.65</v>
      </c>
      <c r="Q42" s="98">
        <f t="shared" si="0"/>
        <v>0.625</v>
      </c>
      <c r="R42" s="212">
        <v>16.600000000000001</v>
      </c>
      <c r="S42" s="212">
        <v>82</v>
      </c>
      <c r="T42" s="16">
        <f t="shared" si="1"/>
        <v>39</v>
      </c>
      <c r="U42" s="217">
        <v>397</v>
      </c>
      <c r="V42" s="208">
        <f t="shared" si="2"/>
        <v>3870.75</v>
      </c>
      <c r="W42" s="152">
        <v>10</v>
      </c>
      <c r="X42" s="210" t="s">
        <v>46</v>
      </c>
      <c r="Y42" s="222" t="s">
        <v>40</v>
      </c>
      <c r="Z42" s="222" t="s">
        <v>69</v>
      </c>
      <c r="AA42" s="222" t="s">
        <v>47</v>
      </c>
      <c r="AB42" s="57" t="s">
        <v>158</v>
      </c>
    </row>
    <row r="43" spans="1:28" ht="12.75" customHeight="1" x14ac:dyDescent="0.15">
      <c r="A43" s="150" t="s">
        <v>34</v>
      </c>
      <c r="B43" s="201" t="s">
        <v>157</v>
      </c>
      <c r="C43" s="202">
        <v>2019</v>
      </c>
      <c r="D43" s="203" t="s">
        <v>376</v>
      </c>
      <c r="E43" s="202" t="s">
        <v>210</v>
      </c>
      <c r="F43" s="201" t="s">
        <v>382</v>
      </c>
      <c r="G43" s="204" t="s">
        <v>42</v>
      </c>
      <c r="H43" s="150" t="s">
        <v>160</v>
      </c>
      <c r="I43" s="150" t="s">
        <v>159</v>
      </c>
      <c r="J43" s="150" t="s">
        <v>38</v>
      </c>
      <c r="K43" s="150" t="s">
        <v>161</v>
      </c>
      <c r="L43" s="53">
        <v>3</v>
      </c>
      <c r="N43" s="53">
        <v>4</v>
      </c>
      <c r="O43" s="53">
        <v>0.75</v>
      </c>
      <c r="P43" s="53">
        <v>0.7</v>
      </c>
      <c r="Q43" s="98">
        <f t="shared" si="0"/>
        <v>0.72499999999999998</v>
      </c>
      <c r="R43" s="212">
        <v>16.100000000000001</v>
      </c>
      <c r="S43" s="212">
        <v>85</v>
      </c>
      <c r="T43" s="16">
        <f t="shared" si="1"/>
        <v>36</v>
      </c>
      <c r="U43" s="217">
        <v>397</v>
      </c>
      <c r="V43" s="208">
        <f t="shared" si="2"/>
        <v>3573</v>
      </c>
      <c r="W43" s="152">
        <v>10</v>
      </c>
      <c r="X43" s="210" t="s">
        <v>46</v>
      </c>
      <c r="Y43" s="222" t="s">
        <v>40</v>
      </c>
      <c r="Z43" s="222" t="s">
        <v>69</v>
      </c>
      <c r="AA43" s="222" t="s">
        <v>47</v>
      </c>
      <c r="AB43" s="57" t="s">
        <v>158</v>
      </c>
    </row>
    <row r="44" spans="1:28" x14ac:dyDescent="0.15">
      <c r="A44" s="53" t="s">
        <v>34</v>
      </c>
      <c r="B44" s="201" t="s">
        <v>157</v>
      </c>
      <c r="C44" s="202">
        <v>2019</v>
      </c>
      <c r="D44" s="203" t="s">
        <v>376</v>
      </c>
      <c r="E44" s="202" t="s">
        <v>139</v>
      </c>
      <c r="F44" s="201" t="s">
        <v>382</v>
      </c>
      <c r="G44" s="204" t="s">
        <v>36</v>
      </c>
      <c r="H44" s="150" t="s">
        <v>164</v>
      </c>
      <c r="I44" s="150" t="s">
        <v>159</v>
      </c>
      <c r="J44" s="152" t="s">
        <v>38</v>
      </c>
      <c r="K44" s="150" t="s">
        <v>161</v>
      </c>
      <c r="L44" s="53">
        <v>1</v>
      </c>
      <c r="N44" s="53">
        <v>5</v>
      </c>
      <c r="O44" s="53">
        <v>0.55000000000000004</v>
      </c>
      <c r="P44" s="53">
        <v>0.6</v>
      </c>
      <c r="Q44" s="98">
        <f t="shared" si="0"/>
        <v>0.57499999999999996</v>
      </c>
      <c r="R44" s="212">
        <v>17.8</v>
      </c>
      <c r="S44" s="212">
        <v>85</v>
      </c>
      <c r="T44" s="16">
        <f t="shared" si="1"/>
        <v>36</v>
      </c>
      <c r="U44" s="217">
        <v>499</v>
      </c>
      <c r="V44" s="16">
        <f t="shared" si="2"/>
        <v>3592.7999999999997</v>
      </c>
      <c r="W44" s="53">
        <v>12</v>
      </c>
      <c r="X44" s="210" t="s">
        <v>46</v>
      </c>
      <c r="Y44" s="222" t="s">
        <v>90</v>
      </c>
      <c r="Z44" s="222" t="s">
        <v>40</v>
      </c>
      <c r="AA44" s="222" t="s">
        <v>55</v>
      </c>
      <c r="AB44" s="57" t="s">
        <v>158</v>
      </c>
    </row>
    <row r="45" spans="1:28" x14ac:dyDescent="0.15">
      <c r="A45" s="53" t="s">
        <v>34</v>
      </c>
      <c r="B45" s="201" t="s">
        <v>157</v>
      </c>
      <c r="C45" s="201">
        <v>2019</v>
      </c>
      <c r="D45" s="203" t="s">
        <v>376</v>
      </c>
      <c r="E45" s="202" t="s">
        <v>139</v>
      </c>
      <c r="F45" s="201" t="s">
        <v>382</v>
      </c>
      <c r="G45" s="204" t="s">
        <v>36</v>
      </c>
      <c r="H45" s="150" t="s">
        <v>164</v>
      </c>
      <c r="I45" s="150" t="s">
        <v>159</v>
      </c>
      <c r="J45" s="152" t="s">
        <v>38</v>
      </c>
      <c r="K45" s="150" t="s">
        <v>161</v>
      </c>
      <c r="L45" s="53">
        <v>2</v>
      </c>
      <c r="N45" s="53">
        <v>5</v>
      </c>
      <c r="O45" s="53">
        <v>0.6</v>
      </c>
      <c r="P45" s="53">
        <v>0.55000000000000004</v>
      </c>
      <c r="Q45" s="98">
        <f t="shared" si="0"/>
        <v>0.57499999999999996</v>
      </c>
      <c r="R45" s="212">
        <v>18.100000000000001</v>
      </c>
      <c r="S45" s="212">
        <v>86</v>
      </c>
      <c r="T45" s="16">
        <f t="shared" si="1"/>
        <v>36</v>
      </c>
      <c r="U45" s="217">
        <v>499</v>
      </c>
      <c r="V45" s="16">
        <f t="shared" si="2"/>
        <v>3592.7999999999997</v>
      </c>
      <c r="W45" s="53">
        <v>12</v>
      </c>
      <c r="X45" s="210" t="s">
        <v>46</v>
      </c>
      <c r="Y45" s="222" t="s">
        <v>90</v>
      </c>
      <c r="Z45" s="222" t="s">
        <v>40</v>
      </c>
      <c r="AA45" s="222" t="s">
        <v>55</v>
      </c>
      <c r="AB45" s="57" t="s">
        <v>158</v>
      </c>
    </row>
    <row r="46" spans="1:28" x14ac:dyDescent="0.15">
      <c r="A46" s="53" t="s">
        <v>34</v>
      </c>
      <c r="B46" s="201" t="s">
        <v>157</v>
      </c>
      <c r="C46" s="202">
        <v>2019</v>
      </c>
      <c r="D46" s="203" t="s">
        <v>376</v>
      </c>
      <c r="E46" s="202" t="s">
        <v>139</v>
      </c>
      <c r="F46" s="201" t="s">
        <v>382</v>
      </c>
      <c r="G46" s="204" t="s">
        <v>36</v>
      </c>
      <c r="H46" s="150" t="s">
        <v>164</v>
      </c>
      <c r="I46" s="150" t="s">
        <v>159</v>
      </c>
      <c r="J46" s="152" t="s">
        <v>38</v>
      </c>
      <c r="K46" s="150" t="s">
        <v>161</v>
      </c>
      <c r="L46" s="53">
        <v>3</v>
      </c>
      <c r="N46" s="53">
        <v>5</v>
      </c>
      <c r="O46" s="53">
        <v>0.6</v>
      </c>
      <c r="P46" s="53">
        <v>0.5</v>
      </c>
      <c r="Q46" s="98">
        <f t="shared" si="0"/>
        <v>0.55000000000000004</v>
      </c>
      <c r="R46" s="212">
        <v>18.3</v>
      </c>
      <c r="S46" s="212">
        <v>83</v>
      </c>
      <c r="T46" s="16">
        <f t="shared" si="1"/>
        <v>39</v>
      </c>
      <c r="U46" s="217">
        <v>499</v>
      </c>
      <c r="V46" s="16">
        <f t="shared" si="2"/>
        <v>3892.2</v>
      </c>
      <c r="W46" s="53">
        <v>12</v>
      </c>
      <c r="X46" s="210" t="s">
        <v>46</v>
      </c>
      <c r="Y46" s="222" t="s">
        <v>90</v>
      </c>
      <c r="Z46" s="222" t="s">
        <v>40</v>
      </c>
      <c r="AA46" s="222" t="s">
        <v>55</v>
      </c>
      <c r="AB46" s="57" t="s">
        <v>158</v>
      </c>
    </row>
    <row r="47" spans="1:28" x14ac:dyDescent="0.15">
      <c r="A47" s="53" t="s">
        <v>34</v>
      </c>
      <c r="B47" s="34" t="s">
        <v>157</v>
      </c>
      <c r="C47" s="53">
        <v>2019</v>
      </c>
      <c r="D47" s="223" t="s">
        <v>376</v>
      </c>
      <c r="E47" s="53" t="s">
        <v>139</v>
      </c>
      <c r="F47" s="201" t="s">
        <v>382</v>
      </c>
      <c r="G47" s="204" t="s">
        <v>36</v>
      </c>
      <c r="H47" s="150" t="s">
        <v>160</v>
      </c>
      <c r="I47" s="150" t="s">
        <v>159</v>
      </c>
      <c r="J47" s="152" t="s">
        <v>38</v>
      </c>
      <c r="K47" s="150" t="s">
        <v>161</v>
      </c>
      <c r="L47" s="53">
        <v>1</v>
      </c>
      <c r="N47" s="53">
        <v>1</v>
      </c>
      <c r="O47" s="53">
        <v>0.45</v>
      </c>
      <c r="P47" s="53">
        <v>0.5</v>
      </c>
      <c r="Q47" s="98">
        <f t="shared" si="0"/>
        <v>0.47499999999999998</v>
      </c>
      <c r="R47" s="212">
        <v>15.6</v>
      </c>
      <c r="S47" s="212">
        <v>137</v>
      </c>
      <c r="T47" s="16">
        <f t="shared" si="1"/>
        <v>30</v>
      </c>
      <c r="U47" s="53">
        <v>160</v>
      </c>
      <c r="V47" s="16">
        <f t="shared" si="2"/>
        <v>4800</v>
      </c>
      <c r="W47" s="53">
        <v>12</v>
      </c>
      <c r="X47" s="210" t="s">
        <v>46</v>
      </c>
      <c r="Y47" s="53" t="s">
        <v>90</v>
      </c>
      <c r="Z47" s="53" t="s">
        <v>40</v>
      </c>
      <c r="AA47" s="53" t="s">
        <v>55</v>
      </c>
      <c r="AB47" s="57" t="s">
        <v>158</v>
      </c>
    </row>
    <row r="48" spans="1:28" x14ac:dyDescent="0.15">
      <c r="A48" s="53" t="s">
        <v>34</v>
      </c>
      <c r="B48" s="34" t="s">
        <v>157</v>
      </c>
      <c r="C48" s="53">
        <v>2019</v>
      </c>
      <c r="D48" s="223" t="s">
        <v>376</v>
      </c>
      <c r="E48" s="53" t="s">
        <v>139</v>
      </c>
      <c r="F48" s="201" t="s">
        <v>382</v>
      </c>
      <c r="G48" s="204" t="s">
        <v>36</v>
      </c>
      <c r="H48" s="150" t="s">
        <v>160</v>
      </c>
      <c r="I48" s="150" t="s">
        <v>159</v>
      </c>
      <c r="J48" s="152" t="s">
        <v>38</v>
      </c>
      <c r="K48" s="150" t="s">
        <v>161</v>
      </c>
      <c r="L48" s="53">
        <v>2</v>
      </c>
      <c r="N48" s="53">
        <v>1</v>
      </c>
      <c r="O48" s="53">
        <v>0.5</v>
      </c>
      <c r="P48" s="53">
        <v>0.55000000000000004</v>
      </c>
      <c r="Q48" s="98">
        <f t="shared" si="0"/>
        <v>0.52500000000000002</v>
      </c>
      <c r="R48" s="212">
        <v>16.2</v>
      </c>
      <c r="S48" s="212">
        <v>138</v>
      </c>
      <c r="T48" s="16">
        <f t="shared" si="1"/>
        <v>30</v>
      </c>
      <c r="U48" s="53">
        <v>160</v>
      </c>
      <c r="V48" s="16">
        <f t="shared" si="2"/>
        <v>4800</v>
      </c>
      <c r="W48" s="53">
        <v>12</v>
      </c>
      <c r="X48" s="210" t="s">
        <v>46</v>
      </c>
      <c r="Y48" s="53" t="s">
        <v>90</v>
      </c>
      <c r="Z48" s="53" t="s">
        <v>40</v>
      </c>
      <c r="AA48" s="53" t="s">
        <v>55</v>
      </c>
      <c r="AB48" s="57" t="s">
        <v>158</v>
      </c>
    </row>
    <row r="49" spans="1:28" x14ac:dyDescent="0.15">
      <c r="A49" s="53" t="s">
        <v>34</v>
      </c>
      <c r="B49" s="34" t="s">
        <v>157</v>
      </c>
      <c r="C49" s="53">
        <v>2019</v>
      </c>
      <c r="D49" s="223" t="s">
        <v>376</v>
      </c>
      <c r="E49" s="53" t="s">
        <v>139</v>
      </c>
      <c r="F49" s="201" t="s">
        <v>382</v>
      </c>
      <c r="G49" s="204" t="s">
        <v>36</v>
      </c>
      <c r="H49" s="150" t="s">
        <v>160</v>
      </c>
      <c r="I49" s="150" t="s">
        <v>159</v>
      </c>
      <c r="J49" s="152" t="s">
        <v>38</v>
      </c>
      <c r="K49" s="150" t="s">
        <v>161</v>
      </c>
      <c r="L49" s="53">
        <v>3</v>
      </c>
      <c r="N49" s="53">
        <v>1</v>
      </c>
      <c r="O49" s="53">
        <v>0.5</v>
      </c>
      <c r="P49" s="53">
        <v>0.4</v>
      </c>
      <c r="Q49" s="98">
        <f t="shared" si="0"/>
        <v>0.45</v>
      </c>
      <c r="R49" s="212">
        <v>15.9</v>
      </c>
      <c r="S49" s="212">
        <v>148</v>
      </c>
      <c r="T49" s="16">
        <f t="shared" si="1"/>
        <v>30</v>
      </c>
      <c r="U49" s="53">
        <v>160</v>
      </c>
      <c r="V49" s="16">
        <f t="shared" si="2"/>
        <v>4800</v>
      </c>
      <c r="W49" s="53">
        <v>12</v>
      </c>
      <c r="X49" s="210" t="s">
        <v>46</v>
      </c>
      <c r="Y49" s="53" t="s">
        <v>90</v>
      </c>
      <c r="Z49" s="53" t="s">
        <v>40</v>
      </c>
      <c r="AA49" s="53" t="s">
        <v>55</v>
      </c>
      <c r="AB49" s="57" t="s">
        <v>158</v>
      </c>
    </row>
    <row r="50" spans="1:28" x14ac:dyDescent="0.15">
      <c r="A50" s="53" t="s">
        <v>34</v>
      </c>
      <c r="B50" s="53" t="s">
        <v>157</v>
      </c>
      <c r="C50" s="53">
        <v>2019</v>
      </c>
      <c r="D50" s="223" t="s">
        <v>376</v>
      </c>
      <c r="E50" s="53" t="s">
        <v>133</v>
      </c>
      <c r="F50" s="201" t="s">
        <v>383</v>
      </c>
      <c r="G50" s="204" t="s">
        <v>36</v>
      </c>
      <c r="H50" s="152" t="s">
        <v>164</v>
      </c>
      <c r="I50" s="152" t="s">
        <v>159</v>
      </c>
      <c r="J50" s="152" t="s">
        <v>38</v>
      </c>
      <c r="K50" s="150" t="s">
        <v>161</v>
      </c>
      <c r="L50" s="53">
        <v>1</v>
      </c>
      <c r="N50" s="53">
        <v>1</v>
      </c>
      <c r="O50" s="53">
        <v>0.6</v>
      </c>
      <c r="P50" s="53">
        <v>0.55000000000000004</v>
      </c>
      <c r="Q50" s="98">
        <f t="shared" si="0"/>
        <v>0.57499999999999996</v>
      </c>
      <c r="R50" s="53">
        <v>18.3</v>
      </c>
      <c r="S50" s="53">
        <v>109</v>
      </c>
      <c r="T50" s="16">
        <f t="shared" si="1"/>
        <v>33</v>
      </c>
      <c r="U50" s="53">
        <v>98</v>
      </c>
      <c r="V50" s="16">
        <f t="shared" si="2"/>
        <v>3234</v>
      </c>
      <c r="W50" s="53">
        <v>22</v>
      </c>
      <c r="X50" s="210" t="s">
        <v>46</v>
      </c>
      <c r="Y50" s="53" t="s">
        <v>86</v>
      </c>
      <c r="Z50" s="53" t="s">
        <v>47</v>
      </c>
      <c r="AA50" s="53" t="s">
        <v>97</v>
      </c>
      <c r="AB50" s="53" t="s">
        <v>158</v>
      </c>
    </row>
    <row r="51" spans="1:28" x14ac:dyDescent="0.15">
      <c r="A51" s="53" t="s">
        <v>34</v>
      </c>
      <c r="B51" s="53" t="s">
        <v>157</v>
      </c>
      <c r="C51" s="53">
        <v>2019</v>
      </c>
      <c r="D51" s="223" t="s">
        <v>376</v>
      </c>
      <c r="E51" s="53" t="s">
        <v>133</v>
      </c>
      <c r="F51" s="201" t="s">
        <v>383</v>
      </c>
      <c r="G51" s="204" t="s">
        <v>36</v>
      </c>
      <c r="H51" s="152" t="s">
        <v>164</v>
      </c>
      <c r="I51" s="152" t="s">
        <v>159</v>
      </c>
      <c r="J51" s="152" t="s">
        <v>38</v>
      </c>
      <c r="K51" s="150" t="s">
        <v>161</v>
      </c>
      <c r="L51" s="53">
        <v>2</v>
      </c>
      <c r="N51" s="53">
        <v>1</v>
      </c>
      <c r="O51" s="53">
        <v>0.6</v>
      </c>
      <c r="P51" s="53">
        <v>0.55000000000000004</v>
      </c>
      <c r="Q51" s="98">
        <f t="shared" si="0"/>
        <v>0.57499999999999996</v>
      </c>
      <c r="R51" s="53">
        <v>18.5</v>
      </c>
      <c r="S51" s="53">
        <v>115</v>
      </c>
      <c r="T51" s="16">
        <f t="shared" si="1"/>
        <v>30</v>
      </c>
      <c r="U51" s="53">
        <v>98</v>
      </c>
      <c r="V51" s="16">
        <f t="shared" si="2"/>
        <v>2940</v>
      </c>
      <c r="W51" s="53">
        <v>22</v>
      </c>
      <c r="X51" s="210" t="s">
        <v>46</v>
      </c>
      <c r="Y51" s="53" t="s">
        <v>86</v>
      </c>
      <c r="Z51" s="53" t="s">
        <v>47</v>
      </c>
      <c r="AA51" s="53" t="s">
        <v>97</v>
      </c>
      <c r="AB51" s="53" t="s">
        <v>158</v>
      </c>
    </row>
    <row r="52" spans="1:28" x14ac:dyDescent="0.15">
      <c r="A52" s="53" t="s">
        <v>34</v>
      </c>
      <c r="B52" s="53" t="s">
        <v>157</v>
      </c>
      <c r="C52" s="53">
        <v>2019</v>
      </c>
      <c r="D52" s="223" t="s">
        <v>376</v>
      </c>
      <c r="E52" s="53" t="s">
        <v>133</v>
      </c>
      <c r="F52" s="201" t="s">
        <v>383</v>
      </c>
      <c r="G52" s="204" t="s">
        <v>36</v>
      </c>
      <c r="H52" s="152" t="s">
        <v>164</v>
      </c>
      <c r="I52" s="152" t="s">
        <v>159</v>
      </c>
      <c r="J52" s="152" t="s">
        <v>38</v>
      </c>
      <c r="K52" s="150" t="s">
        <v>161</v>
      </c>
      <c r="L52" s="53">
        <v>3</v>
      </c>
      <c r="N52" s="53">
        <v>1</v>
      </c>
      <c r="O52" s="53">
        <v>0.55000000000000004</v>
      </c>
      <c r="P52" s="53">
        <v>0.6</v>
      </c>
      <c r="Q52" s="98">
        <f t="shared" si="0"/>
        <v>0.57499999999999996</v>
      </c>
      <c r="R52" s="53">
        <v>18.100000000000001</v>
      </c>
      <c r="S52" s="53">
        <v>115</v>
      </c>
      <c r="T52" s="16">
        <f t="shared" si="1"/>
        <v>30</v>
      </c>
      <c r="U52" s="53">
        <v>98</v>
      </c>
      <c r="V52" s="16">
        <f t="shared" si="2"/>
        <v>2940</v>
      </c>
      <c r="W52" s="53">
        <v>22</v>
      </c>
      <c r="X52" s="210" t="s">
        <v>46</v>
      </c>
      <c r="Y52" s="53" t="s">
        <v>86</v>
      </c>
      <c r="Z52" s="53" t="s">
        <v>47</v>
      </c>
      <c r="AA52" s="53" t="s">
        <v>97</v>
      </c>
      <c r="AB52" s="53" t="s">
        <v>158</v>
      </c>
    </row>
    <row r="53" spans="1:28" x14ac:dyDescent="0.15">
      <c r="A53" s="53" t="s">
        <v>34</v>
      </c>
      <c r="B53" s="53" t="s">
        <v>157</v>
      </c>
      <c r="C53" s="53">
        <v>2019</v>
      </c>
      <c r="D53" s="223" t="s">
        <v>376</v>
      </c>
      <c r="E53" s="53" t="s">
        <v>133</v>
      </c>
      <c r="F53" s="201" t="s">
        <v>383</v>
      </c>
      <c r="G53" s="204" t="s">
        <v>36</v>
      </c>
      <c r="H53" s="152" t="s">
        <v>160</v>
      </c>
      <c r="I53" s="152" t="s">
        <v>159</v>
      </c>
      <c r="J53" s="152" t="s">
        <v>38</v>
      </c>
      <c r="K53" s="150" t="s">
        <v>161</v>
      </c>
      <c r="L53" s="53">
        <v>1</v>
      </c>
      <c r="N53" s="53">
        <v>1</v>
      </c>
      <c r="O53" s="53">
        <v>0.7</v>
      </c>
      <c r="P53" s="53">
        <v>0.6</v>
      </c>
      <c r="Q53" s="98">
        <f t="shared" si="0"/>
        <v>0.64999999999999991</v>
      </c>
      <c r="R53" s="53">
        <v>17.2</v>
      </c>
      <c r="S53" s="53">
        <v>143</v>
      </c>
      <c r="T53" s="16">
        <f t="shared" si="1"/>
        <v>30</v>
      </c>
      <c r="U53" s="53">
        <v>138</v>
      </c>
      <c r="V53" s="16">
        <f t="shared" si="2"/>
        <v>4140</v>
      </c>
      <c r="W53" s="53">
        <v>22</v>
      </c>
      <c r="X53" s="210" t="s">
        <v>46</v>
      </c>
      <c r="Y53" s="53" t="s">
        <v>86</v>
      </c>
      <c r="Z53" s="53" t="s">
        <v>47</v>
      </c>
      <c r="AA53" s="53" t="s">
        <v>97</v>
      </c>
      <c r="AB53" s="53" t="s">
        <v>158</v>
      </c>
    </row>
    <row r="54" spans="1:28" x14ac:dyDescent="0.15">
      <c r="A54" s="53" t="s">
        <v>34</v>
      </c>
      <c r="B54" s="53" t="s">
        <v>157</v>
      </c>
      <c r="C54" s="53">
        <v>2019</v>
      </c>
      <c r="D54" s="223" t="s">
        <v>376</v>
      </c>
      <c r="E54" s="53" t="s">
        <v>133</v>
      </c>
      <c r="F54" s="201" t="s">
        <v>383</v>
      </c>
      <c r="G54" s="204" t="s">
        <v>36</v>
      </c>
      <c r="H54" s="152" t="s">
        <v>160</v>
      </c>
      <c r="I54" s="152" t="s">
        <v>159</v>
      </c>
      <c r="J54" s="152" t="s">
        <v>38</v>
      </c>
      <c r="K54" s="150" t="s">
        <v>161</v>
      </c>
      <c r="L54" s="53">
        <v>2</v>
      </c>
      <c r="N54" s="53">
        <v>1</v>
      </c>
      <c r="O54" s="53">
        <v>0.6</v>
      </c>
      <c r="P54" s="53">
        <v>0.65</v>
      </c>
      <c r="Q54" s="98">
        <f t="shared" si="0"/>
        <v>0.625</v>
      </c>
      <c r="R54" s="53">
        <v>17.399999999999999</v>
      </c>
      <c r="S54" s="53">
        <v>134</v>
      </c>
      <c r="T54" s="16">
        <f t="shared" si="1"/>
        <v>30</v>
      </c>
      <c r="U54" s="53">
        <v>138</v>
      </c>
      <c r="V54" s="16">
        <f t="shared" si="2"/>
        <v>4140</v>
      </c>
      <c r="W54" s="53">
        <v>22</v>
      </c>
      <c r="X54" s="210" t="s">
        <v>46</v>
      </c>
      <c r="Y54" s="53" t="s">
        <v>86</v>
      </c>
      <c r="Z54" s="53" t="s">
        <v>47</v>
      </c>
      <c r="AA54" s="53" t="s">
        <v>97</v>
      </c>
      <c r="AB54" s="53" t="s">
        <v>158</v>
      </c>
    </row>
    <row r="55" spans="1:28" x14ac:dyDescent="0.15">
      <c r="A55" s="53" t="s">
        <v>34</v>
      </c>
      <c r="B55" s="53" t="s">
        <v>157</v>
      </c>
      <c r="C55" s="53">
        <v>2019</v>
      </c>
      <c r="D55" s="223" t="s">
        <v>376</v>
      </c>
      <c r="E55" s="53" t="s">
        <v>133</v>
      </c>
      <c r="F55" s="201" t="s">
        <v>383</v>
      </c>
      <c r="G55" s="204" t="s">
        <v>36</v>
      </c>
      <c r="H55" s="152" t="s">
        <v>160</v>
      </c>
      <c r="I55" s="152" t="s">
        <v>159</v>
      </c>
      <c r="J55" s="152" t="s">
        <v>38</v>
      </c>
      <c r="K55" s="150" t="s">
        <v>161</v>
      </c>
      <c r="L55" s="53">
        <v>3</v>
      </c>
      <c r="N55" s="53">
        <v>1</v>
      </c>
      <c r="O55" s="53">
        <v>0.7</v>
      </c>
      <c r="P55" s="53">
        <v>0.6</v>
      </c>
      <c r="Q55" s="98">
        <f t="shared" si="0"/>
        <v>0.64999999999999991</v>
      </c>
      <c r="R55" s="53">
        <v>16.600000000000001</v>
      </c>
      <c r="S55" s="53">
        <v>138</v>
      </c>
      <c r="T55" s="16">
        <f t="shared" si="1"/>
        <v>30</v>
      </c>
      <c r="U55" s="53">
        <v>138</v>
      </c>
      <c r="V55" s="16">
        <f t="shared" si="2"/>
        <v>4140</v>
      </c>
      <c r="W55" s="53">
        <v>22</v>
      </c>
      <c r="X55" s="210" t="s">
        <v>46</v>
      </c>
      <c r="Y55" s="53" t="s">
        <v>86</v>
      </c>
      <c r="Z55" s="53" t="s">
        <v>47</v>
      </c>
      <c r="AA55" s="53" t="s">
        <v>97</v>
      </c>
      <c r="AB55" s="53" t="s">
        <v>158</v>
      </c>
    </row>
    <row r="56" spans="1:28" x14ac:dyDescent="0.15">
      <c r="A56" s="53" t="s">
        <v>34</v>
      </c>
      <c r="B56" s="53" t="s">
        <v>157</v>
      </c>
      <c r="C56" s="53">
        <v>2019</v>
      </c>
      <c r="D56" s="223" t="s">
        <v>376</v>
      </c>
      <c r="E56" s="53" t="s">
        <v>269</v>
      </c>
      <c r="F56" s="201" t="s">
        <v>384</v>
      </c>
      <c r="G56" s="204" t="s">
        <v>36</v>
      </c>
      <c r="H56" s="152" t="s">
        <v>165</v>
      </c>
      <c r="I56" s="152" t="s">
        <v>159</v>
      </c>
      <c r="J56" s="152" t="s">
        <v>38</v>
      </c>
      <c r="K56" s="150" t="s">
        <v>161</v>
      </c>
      <c r="L56" s="53">
        <v>1</v>
      </c>
      <c r="N56" s="53">
        <v>1</v>
      </c>
      <c r="O56" s="53">
        <v>0.45</v>
      </c>
      <c r="P56" s="53">
        <v>0.5</v>
      </c>
      <c r="Q56" s="98">
        <f t="shared" si="0"/>
        <v>0.47499999999999998</v>
      </c>
      <c r="R56" s="53">
        <v>14.6</v>
      </c>
      <c r="S56" s="53">
        <v>121</v>
      </c>
      <c r="T56" s="16">
        <f t="shared" si="1"/>
        <v>30</v>
      </c>
      <c r="U56" s="53">
        <v>138</v>
      </c>
      <c r="V56" s="16">
        <f t="shared" si="2"/>
        <v>4140</v>
      </c>
      <c r="W56" s="53">
        <v>14</v>
      </c>
      <c r="X56" s="210" t="s">
        <v>46</v>
      </c>
      <c r="Y56" s="53" t="s">
        <v>69</v>
      </c>
      <c r="Z56" s="53" t="s">
        <v>47</v>
      </c>
      <c r="AA56" s="53" t="s">
        <v>78</v>
      </c>
      <c r="AB56" s="53" t="s">
        <v>158</v>
      </c>
    </row>
    <row r="57" spans="1:28" x14ac:dyDescent="0.15">
      <c r="A57" s="53" t="s">
        <v>34</v>
      </c>
      <c r="B57" s="53" t="s">
        <v>157</v>
      </c>
      <c r="C57" s="53">
        <v>2019</v>
      </c>
      <c r="D57" s="223" t="s">
        <v>376</v>
      </c>
      <c r="E57" s="53" t="s">
        <v>269</v>
      </c>
      <c r="F57" s="201" t="s">
        <v>384</v>
      </c>
      <c r="G57" s="204" t="s">
        <v>36</v>
      </c>
      <c r="H57" s="152" t="s">
        <v>165</v>
      </c>
      <c r="I57" s="152" t="s">
        <v>159</v>
      </c>
      <c r="J57" s="152" t="s">
        <v>38</v>
      </c>
      <c r="K57" s="150" t="s">
        <v>161</v>
      </c>
      <c r="L57" s="53">
        <v>2</v>
      </c>
      <c r="N57" s="53">
        <v>1</v>
      </c>
      <c r="O57" s="53">
        <v>0.5</v>
      </c>
      <c r="P57" s="53">
        <v>0.55000000000000004</v>
      </c>
      <c r="Q57" s="98">
        <f t="shared" si="0"/>
        <v>0.52500000000000002</v>
      </c>
      <c r="R57" s="53">
        <v>14.2</v>
      </c>
      <c r="S57" s="53">
        <v>117</v>
      </c>
      <c r="T57" s="16">
        <f t="shared" si="1"/>
        <v>30</v>
      </c>
      <c r="U57" s="53">
        <v>138</v>
      </c>
      <c r="V57" s="16">
        <f t="shared" si="2"/>
        <v>4140</v>
      </c>
      <c r="W57" s="53">
        <v>14</v>
      </c>
      <c r="X57" s="210" t="s">
        <v>46</v>
      </c>
      <c r="Y57" s="53" t="s">
        <v>69</v>
      </c>
      <c r="Z57" s="53" t="s">
        <v>47</v>
      </c>
      <c r="AA57" s="53" t="s">
        <v>78</v>
      </c>
      <c r="AB57" s="53" t="s">
        <v>158</v>
      </c>
    </row>
    <row r="58" spans="1:28" x14ac:dyDescent="0.15">
      <c r="A58" s="53" t="s">
        <v>34</v>
      </c>
      <c r="B58" s="53" t="s">
        <v>157</v>
      </c>
      <c r="C58" s="53">
        <v>2019</v>
      </c>
      <c r="D58" s="223" t="s">
        <v>376</v>
      </c>
      <c r="E58" s="53" t="s">
        <v>269</v>
      </c>
      <c r="F58" s="201" t="s">
        <v>384</v>
      </c>
      <c r="G58" s="204" t="s">
        <v>36</v>
      </c>
      <c r="H58" s="152" t="s">
        <v>165</v>
      </c>
      <c r="I58" s="152" t="s">
        <v>159</v>
      </c>
      <c r="J58" s="152" t="s">
        <v>38</v>
      </c>
      <c r="K58" s="150" t="s">
        <v>161</v>
      </c>
      <c r="L58" s="53">
        <v>3</v>
      </c>
      <c r="N58" s="53">
        <v>1</v>
      </c>
      <c r="O58" s="53">
        <v>0.4</v>
      </c>
      <c r="P58" s="53">
        <v>0.5</v>
      </c>
      <c r="Q58" s="98">
        <f t="shared" si="0"/>
        <v>0.45</v>
      </c>
      <c r="R58" s="53">
        <v>15.2</v>
      </c>
      <c r="S58" s="53">
        <v>124</v>
      </c>
      <c r="T58" s="16">
        <f t="shared" si="1"/>
        <v>30</v>
      </c>
      <c r="U58" s="53">
        <v>138</v>
      </c>
      <c r="V58" s="16">
        <f t="shared" si="2"/>
        <v>4140</v>
      </c>
      <c r="W58" s="53">
        <v>14</v>
      </c>
      <c r="X58" s="210" t="s">
        <v>46</v>
      </c>
      <c r="Y58" s="53" t="s">
        <v>69</v>
      </c>
      <c r="Z58" s="53" t="s">
        <v>47</v>
      </c>
      <c r="AA58" s="53" t="s">
        <v>78</v>
      </c>
      <c r="AB58" s="53" t="s">
        <v>158</v>
      </c>
    </row>
    <row r="59" spans="1:28" x14ac:dyDescent="0.15">
      <c r="A59" s="53" t="s">
        <v>34</v>
      </c>
      <c r="B59" s="53" t="s">
        <v>157</v>
      </c>
      <c r="C59" s="53">
        <v>2019</v>
      </c>
      <c r="D59" s="223" t="s">
        <v>376</v>
      </c>
      <c r="E59" s="53" t="s">
        <v>269</v>
      </c>
      <c r="F59" s="201" t="s">
        <v>384</v>
      </c>
      <c r="G59" s="204" t="s">
        <v>36</v>
      </c>
      <c r="H59" s="152" t="s">
        <v>160</v>
      </c>
      <c r="I59" s="152" t="s">
        <v>159</v>
      </c>
      <c r="J59" s="152" t="s">
        <v>38</v>
      </c>
      <c r="K59" s="150" t="s">
        <v>161</v>
      </c>
      <c r="L59" s="53">
        <v>1</v>
      </c>
      <c r="N59" s="53">
        <v>1</v>
      </c>
      <c r="O59" s="53">
        <v>0.65</v>
      </c>
      <c r="P59" s="53">
        <v>0.6</v>
      </c>
      <c r="Q59" s="98">
        <f t="shared" si="0"/>
        <v>0.625</v>
      </c>
      <c r="R59" s="53">
        <v>15.5</v>
      </c>
      <c r="S59" s="53">
        <v>129</v>
      </c>
      <c r="T59" s="16">
        <f t="shared" si="1"/>
        <v>30</v>
      </c>
      <c r="U59" s="53">
        <v>138</v>
      </c>
      <c r="V59" s="16">
        <f t="shared" si="2"/>
        <v>4140</v>
      </c>
      <c r="W59" s="53">
        <v>14</v>
      </c>
      <c r="X59" s="210" t="s">
        <v>46</v>
      </c>
      <c r="Y59" s="53" t="s">
        <v>69</v>
      </c>
      <c r="Z59" s="53" t="s">
        <v>47</v>
      </c>
      <c r="AA59" s="53" t="s">
        <v>78</v>
      </c>
      <c r="AB59" s="53" t="s">
        <v>158</v>
      </c>
    </row>
    <row r="60" spans="1:28" x14ac:dyDescent="0.15">
      <c r="A60" s="53" t="s">
        <v>34</v>
      </c>
      <c r="B60" s="53" t="s">
        <v>157</v>
      </c>
      <c r="C60" s="53">
        <v>2019</v>
      </c>
      <c r="D60" s="223" t="s">
        <v>376</v>
      </c>
      <c r="E60" s="53" t="s">
        <v>269</v>
      </c>
      <c r="F60" s="201" t="s">
        <v>384</v>
      </c>
      <c r="G60" s="204" t="s">
        <v>36</v>
      </c>
      <c r="H60" s="152" t="s">
        <v>160</v>
      </c>
      <c r="I60" s="152" t="s">
        <v>159</v>
      </c>
      <c r="J60" s="152" t="s">
        <v>38</v>
      </c>
      <c r="K60" s="150" t="s">
        <v>161</v>
      </c>
      <c r="L60" s="53">
        <v>2</v>
      </c>
      <c r="N60" s="53">
        <v>1</v>
      </c>
      <c r="O60" s="53">
        <v>0.7</v>
      </c>
      <c r="P60" s="53">
        <v>0.55000000000000004</v>
      </c>
      <c r="Q60" s="98">
        <f t="shared" si="0"/>
        <v>0.625</v>
      </c>
      <c r="R60" s="53">
        <v>15.7</v>
      </c>
      <c r="S60" s="53">
        <v>132</v>
      </c>
      <c r="T60" s="16">
        <f t="shared" si="1"/>
        <v>30</v>
      </c>
      <c r="U60" s="53">
        <v>138</v>
      </c>
      <c r="V60" s="16">
        <f t="shared" si="2"/>
        <v>4140</v>
      </c>
      <c r="W60" s="53">
        <v>14</v>
      </c>
      <c r="X60" s="210" t="s">
        <v>46</v>
      </c>
      <c r="Y60" s="53" t="s">
        <v>69</v>
      </c>
      <c r="Z60" s="53" t="s">
        <v>47</v>
      </c>
      <c r="AA60" s="53" t="s">
        <v>78</v>
      </c>
      <c r="AB60" s="53" t="s">
        <v>158</v>
      </c>
    </row>
    <row r="61" spans="1:28" x14ac:dyDescent="0.15">
      <c r="A61" s="53" t="s">
        <v>34</v>
      </c>
      <c r="B61" s="53" t="s">
        <v>157</v>
      </c>
      <c r="C61" s="53">
        <v>2019</v>
      </c>
      <c r="D61" s="223" t="s">
        <v>376</v>
      </c>
      <c r="E61" s="53" t="s">
        <v>269</v>
      </c>
      <c r="F61" s="201" t="s">
        <v>384</v>
      </c>
      <c r="G61" s="204" t="s">
        <v>36</v>
      </c>
      <c r="H61" s="152" t="s">
        <v>160</v>
      </c>
      <c r="I61" s="152" t="s">
        <v>159</v>
      </c>
      <c r="J61" s="152" t="s">
        <v>38</v>
      </c>
      <c r="K61" s="150" t="s">
        <v>161</v>
      </c>
      <c r="L61" s="53">
        <v>3</v>
      </c>
      <c r="N61" s="53">
        <v>1</v>
      </c>
      <c r="O61" s="53">
        <v>0.6</v>
      </c>
      <c r="P61" s="53">
        <v>0.55000000000000004</v>
      </c>
      <c r="Q61" s="98">
        <f t="shared" si="0"/>
        <v>0.57499999999999996</v>
      </c>
      <c r="R61" s="53">
        <v>16.2</v>
      </c>
      <c r="S61" s="53">
        <v>126</v>
      </c>
      <c r="T61" s="16">
        <f t="shared" si="1"/>
        <v>30</v>
      </c>
      <c r="U61" s="53">
        <v>138</v>
      </c>
      <c r="V61" s="16">
        <f t="shared" si="2"/>
        <v>4140</v>
      </c>
      <c r="W61" s="53">
        <v>14</v>
      </c>
      <c r="X61" s="210" t="s">
        <v>46</v>
      </c>
      <c r="Y61" s="53" t="s">
        <v>69</v>
      </c>
      <c r="Z61" s="53" t="s">
        <v>47</v>
      </c>
      <c r="AA61" s="53" t="s">
        <v>78</v>
      </c>
      <c r="AB61" s="53" t="s">
        <v>158</v>
      </c>
    </row>
    <row r="62" spans="1:28" x14ac:dyDescent="0.15">
      <c r="D62" s="223"/>
      <c r="F62" s="201"/>
      <c r="G62" s="204"/>
      <c r="H62" s="152"/>
      <c r="I62" s="152"/>
      <c r="J62" s="152"/>
      <c r="K62" s="150"/>
      <c r="Q62" s="98" t="str">
        <f t="shared" si="0"/>
        <v/>
      </c>
      <c r="T62" s="16" t="str">
        <f t="shared" si="1"/>
        <v/>
      </c>
      <c r="V62" s="16" t="str">
        <f t="shared" si="2"/>
        <v/>
      </c>
      <c r="X62" s="210"/>
    </row>
    <row r="63" spans="1:28" x14ac:dyDescent="0.15">
      <c r="D63" s="223"/>
      <c r="F63" s="201"/>
      <c r="G63" s="204"/>
      <c r="H63" s="152"/>
      <c r="I63" s="152"/>
      <c r="J63" s="152"/>
      <c r="K63" s="150"/>
      <c r="Q63" s="98" t="str">
        <f t="shared" si="0"/>
        <v/>
      </c>
      <c r="T63" s="16" t="str">
        <f t="shared" si="1"/>
        <v/>
      </c>
      <c r="V63" s="16" t="str">
        <f t="shared" si="2"/>
        <v/>
      </c>
      <c r="X63" s="210"/>
    </row>
    <row r="64" spans="1:28" x14ac:dyDescent="0.15">
      <c r="D64" s="223"/>
      <c r="F64" s="201"/>
      <c r="G64" s="204"/>
      <c r="H64" s="152"/>
      <c r="I64" s="152"/>
      <c r="J64" s="152"/>
      <c r="K64" s="150"/>
      <c r="Q64" s="98" t="str">
        <f t="shared" si="0"/>
        <v/>
      </c>
      <c r="T64" s="16" t="str">
        <f t="shared" si="1"/>
        <v/>
      </c>
      <c r="V64" s="16" t="str">
        <f t="shared" si="2"/>
        <v/>
      </c>
      <c r="X64" s="210"/>
    </row>
    <row r="65" spans="4:24" x14ac:dyDescent="0.15">
      <c r="D65" s="223"/>
      <c r="F65" s="201"/>
      <c r="G65" s="204"/>
      <c r="H65" s="152"/>
      <c r="I65" s="152"/>
      <c r="J65" s="152"/>
      <c r="K65" s="150"/>
      <c r="Q65" s="98" t="str">
        <f t="shared" si="0"/>
        <v/>
      </c>
      <c r="T65" s="16" t="str">
        <f t="shared" si="1"/>
        <v/>
      </c>
      <c r="V65" s="16" t="str">
        <f t="shared" si="2"/>
        <v/>
      </c>
      <c r="X65" s="210"/>
    </row>
    <row r="66" spans="4:24" x14ac:dyDescent="0.15">
      <c r="D66" s="223"/>
      <c r="F66" s="201"/>
      <c r="G66" s="204"/>
      <c r="H66" s="152"/>
      <c r="I66" s="152"/>
      <c r="J66" s="152"/>
      <c r="K66" s="150"/>
      <c r="Q66" s="98" t="str">
        <f t="shared" ref="Q66:Q91" si="3">IF(OR(O66="",P66=""),"",AVERAGE(O66,P66))</f>
        <v/>
      </c>
      <c r="T66" s="16" t="str">
        <f t="shared" ref="T66:T91" si="4">IF(H66="","",IF(OR(H66="GREEN",H66="GK"),IF(S66&gt;=$AX$2,VLOOKUP(S66,$AX$2:$AY$7,2,1),""),IF(S66&gt;=$AZ$2,VLOOKUP(S66,$AZ$2:$BA$7,2,1),"")))</f>
        <v/>
      </c>
      <c r="V66" s="16" t="str">
        <f t="shared" ref="V66:V91" si="5">IF(OR(N66="",U66="",T66=""),"",U66/N66*T66)</f>
        <v/>
      </c>
      <c r="X66" s="210"/>
    </row>
    <row r="67" spans="4:24" x14ac:dyDescent="0.15">
      <c r="D67" s="223"/>
      <c r="F67" s="201"/>
      <c r="G67" s="204"/>
      <c r="H67" s="152"/>
      <c r="I67" s="152"/>
      <c r="J67" s="152"/>
      <c r="K67" s="150"/>
      <c r="Q67" s="98" t="str">
        <f t="shared" si="3"/>
        <v/>
      </c>
      <c r="T67" s="16" t="str">
        <f t="shared" si="4"/>
        <v/>
      </c>
      <c r="V67" s="16" t="str">
        <f t="shared" si="5"/>
        <v/>
      </c>
      <c r="X67" s="210"/>
    </row>
    <row r="68" spans="4:24" x14ac:dyDescent="0.15">
      <c r="D68" s="223"/>
      <c r="F68" s="201"/>
      <c r="G68" s="204"/>
      <c r="H68" s="152"/>
      <c r="I68" s="152"/>
      <c r="J68" s="152"/>
      <c r="K68" s="150"/>
      <c r="Q68" s="98" t="str">
        <f t="shared" si="3"/>
        <v/>
      </c>
      <c r="T68" s="16" t="str">
        <f t="shared" si="4"/>
        <v/>
      </c>
      <c r="V68" s="16" t="str">
        <f t="shared" si="5"/>
        <v/>
      </c>
      <c r="X68" s="210"/>
    </row>
    <row r="69" spans="4:24" x14ac:dyDescent="0.15">
      <c r="D69" s="223"/>
      <c r="F69" s="201"/>
      <c r="G69" s="204"/>
      <c r="H69" s="152"/>
      <c r="I69" s="152"/>
      <c r="J69" s="152"/>
      <c r="K69" s="150"/>
      <c r="Q69" s="98" t="str">
        <f t="shared" si="3"/>
        <v/>
      </c>
      <c r="T69" s="16" t="str">
        <f t="shared" si="4"/>
        <v/>
      </c>
      <c r="V69" s="16" t="str">
        <f t="shared" si="5"/>
        <v/>
      </c>
      <c r="X69" s="210"/>
    </row>
    <row r="70" spans="4:24" x14ac:dyDescent="0.15">
      <c r="D70" s="223"/>
      <c r="F70" s="201"/>
      <c r="G70" s="204"/>
      <c r="H70" s="152"/>
      <c r="I70" s="152"/>
      <c r="J70" s="152"/>
      <c r="K70" s="150"/>
      <c r="Q70" s="98" t="str">
        <f t="shared" si="3"/>
        <v/>
      </c>
      <c r="T70" s="16" t="str">
        <f t="shared" si="4"/>
        <v/>
      </c>
      <c r="V70" s="16" t="str">
        <f t="shared" si="5"/>
        <v/>
      </c>
      <c r="X70" s="210"/>
    </row>
    <row r="71" spans="4:24" x14ac:dyDescent="0.15">
      <c r="D71" s="223"/>
      <c r="F71" s="201"/>
      <c r="G71" s="204"/>
      <c r="H71" s="152"/>
      <c r="I71" s="152"/>
      <c r="J71" s="152"/>
      <c r="K71" s="150"/>
      <c r="Q71" s="98" t="str">
        <f t="shared" si="3"/>
        <v/>
      </c>
      <c r="T71" s="16" t="str">
        <f t="shared" si="4"/>
        <v/>
      </c>
      <c r="V71" s="16" t="str">
        <f t="shared" si="5"/>
        <v/>
      </c>
      <c r="X71" s="210"/>
    </row>
    <row r="72" spans="4:24" x14ac:dyDescent="0.15">
      <c r="D72" s="223"/>
      <c r="F72" s="201"/>
      <c r="G72" s="204"/>
      <c r="H72" s="152"/>
      <c r="I72" s="152"/>
      <c r="J72" s="152"/>
      <c r="K72" s="150"/>
      <c r="Q72" s="98" t="str">
        <f t="shared" si="3"/>
        <v/>
      </c>
      <c r="T72" s="16" t="str">
        <f t="shared" si="4"/>
        <v/>
      </c>
      <c r="V72" s="16" t="str">
        <f t="shared" si="5"/>
        <v/>
      </c>
      <c r="X72" s="210"/>
    </row>
    <row r="73" spans="4:24" x14ac:dyDescent="0.15">
      <c r="D73" s="223"/>
      <c r="F73" s="201"/>
      <c r="G73" s="204"/>
      <c r="H73" s="152"/>
      <c r="I73" s="152"/>
      <c r="J73" s="152"/>
      <c r="K73" s="150"/>
      <c r="Q73" s="98" t="str">
        <f t="shared" si="3"/>
        <v/>
      </c>
      <c r="T73" s="16" t="str">
        <f t="shared" si="4"/>
        <v/>
      </c>
      <c r="V73" s="16" t="str">
        <f t="shared" si="5"/>
        <v/>
      </c>
      <c r="X73" s="210"/>
    </row>
    <row r="74" spans="4:24" x14ac:dyDescent="0.15">
      <c r="D74" s="223"/>
      <c r="F74" s="201"/>
      <c r="G74" s="204"/>
      <c r="H74" s="152"/>
      <c r="I74" s="152"/>
      <c r="J74" s="152"/>
      <c r="K74" s="150"/>
      <c r="Q74" s="98" t="str">
        <f t="shared" si="3"/>
        <v/>
      </c>
      <c r="T74" s="16" t="str">
        <f t="shared" si="4"/>
        <v/>
      </c>
      <c r="V74" s="16" t="str">
        <f t="shared" si="5"/>
        <v/>
      </c>
      <c r="X74" s="210"/>
    </row>
    <row r="75" spans="4:24" x14ac:dyDescent="0.15">
      <c r="D75" s="223"/>
      <c r="F75" s="201"/>
      <c r="G75" s="204"/>
      <c r="H75" s="152"/>
      <c r="I75" s="152"/>
      <c r="J75" s="152"/>
      <c r="K75" s="150"/>
      <c r="Q75" s="98" t="str">
        <f t="shared" si="3"/>
        <v/>
      </c>
      <c r="T75" s="16" t="str">
        <f t="shared" si="4"/>
        <v/>
      </c>
      <c r="V75" s="16" t="str">
        <f t="shared" si="5"/>
        <v/>
      </c>
      <c r="X75" s="210"/>
    </row>
    <row r="76" spans="4:24" x14ac:dyDescent="0.15">
      <c r="D76" s="223"/>
      <c r="F76" s="201"/>
      <c r="G76" s="204"/>
      <c r="H76" s="152"/>
      <c r="I76" s="152"/>
      <c r="J76" s="152"/>
      <c r="K76" s="150"/>
      <c r="Q76" s="98" t="str">
        <f t="shared" si="3"/>
        <v/>
      </c>
      <c r="T76" s="16" t="str">
        <f t="shared" si="4"/>
        <v/>
      </c>
      <c r="V76" s="16" t="str">
        <f t="shared" si="5"/>
        <v/>
      </c>
      <c r="X76" s="210"/>
    </row>
    <row r="77" spans="4:24" x14ac:dyDescent="0.15">
      <c r="D77" s="223"/>
      <c r="F77" s="201"/>
      <c r="G77" s="204"/>
      <c r="H77" s="152"/>
      <c r="I77" s="152"/>
      <c r="J77" s="152"/>
      <c r="K77" s="150"/>
      <c r="Q77" s="98" t="str">
        <f t="shared" si="3"/>
        <v/>
      </c>
      <c r="T77" s="16" t="str">
        <f t="shared" si="4"/>
        <v/>
      </c>
      <c r="V77" s="16" t="str">
        <f t="shared" si="5"/>
        <v/>
      </c>
      <c r="X77" s="210"/>
    </row>
    <row r="78" spans="4:24" x14ac:dyDescent="0.15">
      <c r="D78" s="223"/>
      <c r="F78" s="201"/>
      <c r="G78" s="204"/>
      <c r="H78" s="152"/>
      <c r="I78" s="152"/>
      <c r="J78" s="152"/>
      <c r="K78" s="150"/>
      <c r="Q78" s="98" t="str">
        <f t="shared" si="3"/>
        <v/>
      </c>
      <c r="T78" s="16" t="str">
        <f t="shared" si="4"/>
        <v/>
      </c>
      <c r="V78" s="16" t="str">
        <f t="shared" si="5"/>
        <v/>
      </c>
      <c r="X78" s="210"/>
    </row>
    <row r="79" spans="4:24" x14ac:dyDescent="0.15">
      <c r="D79" s="223"/>
      <c r="F79" s="201"/>
      <c r="G79" s="204"/>
      <c r="H79" s="152"/>
      <c r="I79" s="152"/>
      <c r="J79" s="152"/>
      <c r="K79" s="150"/>
      <c r="Q79" s="98" t="str">
        <f t="shared" si="3"/>
        <v/>
      </c>
      <c r="T79" s="16" t="str">
        <f t="shared" si="4"/>
        <v/>
      </c>
      <c r="V79" s="16" t="str">
        <f t="shared" si="5"/>
        <v/>
      </c>
      <c r="X79" s="210"/>
    </row>
    <row r="80" spans="4:24" x14ac:dyDescent="0.15">
      <c r="H80" s="152"/>
      <c r="I80" s="152"/>
      <c r="J80" s="152"/>
      <c r="K80" s="150"/>
      <c r="Q80" s="98" t="str">
        <f t="shared" si="3"/>
        <v/>
      </c>
      <c r="T80" s="16" t="str">
        <f t="shared" si="4"/>
        <v/>
      </c>
      <c r="V80" s="16" t="str">
        <f t="shared" si="5"/>
        <v/>
      </c>
    </row>
    <row r="81" spans="8:22" x14ac:dyDescent="0.15">
      <c r="H81" s="152"/>
      <c r="I81" s="152"/>
      <c r="J81" s="152"/>
      <c r="K81" s="150"/>
      <c r="Q81" s="98" t="str">
        <f t="shared" si="3"/>
        <v/>
      </c>
      <c r="T81" s="16" t="str">
        <f t="shared" si="4"/>
        <v/>
      </c>
      <c r="V81" s="16" t="str">
        <f t="shared" si="5"/>
        <v/>
      </c>
    </row>
    <row r="82" spans="8:22" x14ac:dyDescent="0.15">
      <c r="H82" s="152"/>
      <c r="I82" s="152"/>
      <c r="J82" s="152"/>
      <c r="K82" s="150"/>
      <c r="Q82" s="98" t="str">
        <f t="shared" si="3"/>
        <v/>
      </c>
      <c r="T82" s="16" t="str">
        <f t="shared" si="4"/>
        <v/>
      </c>
      <c r="V82" s="16" t="str">
        <f t="shared" si="5"/>
        <v/>
      </c>
    </row>
    <row r="83" spans="8:22" x14ac:dyDescent="0.15">
      <c r="H83" s="152"/>
      <c r="I83" s="152"/>
      <c r="J83" s="152"/>
      <c r="K83" s="150"/>
      <c r="Q83" s="98" t="str">
        <f t="shared" si="3"/>
        <v/>
      </c>
      <c r="T83" s="16" t="str">
        <f t="shared" si="4"/>
        <v/>
      </c>
      <c r="V83" s="16" t="str">
        <f t="shared" si="5"/>
        <v/>
      </c>
    </row>
    <row r="84" spans="8:22" x14ac:dyDescent="0.15">
      <c r="H84" s="152"/>
      <c r="I84" s="152"/>
      <c r="J84" s="152"/>
      <c r="K84" s="150"/>
      <c r="Q84" s="98" t="str">
        <f t="shared" si="3"/>
        <v/>
      </c>
      <c r="T84" s="16" t="str">
        <f t="shared" si="4"/>
        <v/>
      </c>
      <c r="V84" s="16" t="str">
        <f t="shared" si="5"/>
        <v/>
      </c>
    </row>
    <row r="85" spans="8:22" x14ac:dyDescent="0.15">
      <c r="H85" s="152"/>
      <c r="I85" s="152"/>
      <c r="J85" s="152"/>
      <c r="K85" s="150"/>
      <c r="Q85" s="98" t="str">
        <f t="shared" si="3"/>
        <v/>
      </c>
      <c r="T85" s="16" t="str">
        <f t="shared" si="4"/>
        <v/>
      </c>
      <c r="V85" s="16" t="str">
        <f t="shared" si="5"/>
        <v/>
      </c>
    </row>
    <row r="86" spans="8:22" x14ac:dyDescent="0.15">
      <c r="H86" s="152"/>
      <c r="I86" s="152"/>
      <c r="J86" s="152"/>
      <c r="K86" s="150"/>
      <c r="Q86" s="98" t="str">
        <f t="shared" si="3"/>
        <v/>
      </c>
      <c r="T86" s="16" t="str">
        <f t="shared" si="4"/>
        <v/>
      </c>
      <c r="V86" s="16" t="str">
        <f t="shared" si="5"/>
        <v/>
      </c>
    </row>
    <row r="87" spans="8:22" x14ac:dyDescent="0.15">
      <c r="H87" s="152"/>
      <c r="I87" s="152"/>
      <c r="J87" s="152"/>
      <c r="K87" s="150"/>
      <c r="Q87" s="98" t="str">
        <f t="shared" si="3"/>
        <v/>
      </c>
      <c r="T87" s="16" t="str">
        <f t="shared" si="4"/>
        <v/>
      </c>
      <c r="V87" s="16" t="str">
        <f t="shared" si="5"/>
        <v/>
      </c>
    </row>
    <row r="88" spans="8:22" x14ac:dyDescent="0.15">
      <c r="H88" s="152"/>
      <c r="I88" s="152"/>
      <c r="J88" s="152"/>
      <c r="K88" s="150"/>
      <c r="Q88" s="98" t="str">
        <f t="shared" si="3"/>
        <v/>
      </c>
      <c r="T88" s="16" t="str">
        <f t="shared" si="4"/>
        <v/>
      </c>
      <c r="V88" s="16" t="str">
        <f t="shared" si="5"/>
        <v/>
      </c>
    </row>
    <row r="89" spans="8:22" x14ac:dyDescent="0.15">
      <c r="H89" s="152"/>
      <c r="I89" s="152"/>
      <c r="J89" s="152"/>
      <c r="K89" s="150"/>
      <c r="Q89" s="98" t="str">
        <f t="shared" si="3"/>
        <v/>
      </c>
      <c r="T89" s="16" t="str">
        <f t="shared" si="4"/>
        <v/>
      </c>
      <c r="V89" s="16" t="str">
        <f t="shared" si="5"/>
        <v/>
      </c>
    </row>
    <row r="90" spans="8:22" x14ac:dyDescent="0.15">
      <c r="H90" s="152"/>
      <c r="I90" s="152"/>
      <c r="J90" s="152"/>
      <c r="K90" s="150"/>
      <c r="Q90" s="98" t="str">
        <f t="shared" si="3"/>
        <v/>
      </c>
      <c r="T90" s="16" t="str">
        <f t="shared" si="4"/>
        <v/>
      </c>
      <c r="V90" s="16" t="str">
        <f t="shared" si="5"/>
        <v/>
      </c>
    </row>
    <row r="91" spans="8:22" x14ac:dyDescent="0.15">
      <c r="H91" s="152"/>
      <c r="I91" s="152"/>
      <c r="J91" s="152"/>
      <c r="K91" s="150"/>
      <c r="Q91" s="98" t="str">
        <f t="shared" si="3"/>
        <v/>
      </c>
      <c r="T91" s="16" t="str">
        <f t="shared" si="4"/>
        <v/>
      </c>
      <c r="V91" s="16" t="str">
        <f t="shared" si="5"/>
        <v/>
      </c>
    </row>
    <row r="92" spans="8:22" x14ac:dyDescent="0.15">
      <c r="H92" s="152"/>
      <c r="I92" s="152"/>
      <c r="J92" s="152"/>
      <c r="K92" s="150"/>
      <c r="Q92" s="98"/>
    </row>
    <row r="93" spans="8:22" x14ac:dyDescent="0.15">
      <c r="H93" s="152"/>
      <c r="I93" s="152"/>
      <c r="J93" s="152"/>
      <c r="K93" s="150"/>
      <c r="Q93" s="98"/>
    </row>
    <row r="94" spans="8:22" x14ac:dyDescent="0.15">
      <c r="H94" s="152"/>
      <c r="I94" s="152"/>
      <c r="J94" s="152"/>
      <c r="K94" s="150"/>
      <c r="Q94" s="98"/>
    </row>
    <row r="95" spans="8:22" x14ac:dyDescent="0.15">
      <c r="H95" s="152"/>
      <c r="I95" s="152"/>
      <c r="J95" s="152"/>
      <c r="K95" s="150"/>
      <c r="Q95" s="98"/>
    </row>
    <row r="96" spans="8:22" x14ac:dyDescent="0.15">
      <c r="H96" s="152"/>
      <c r="I96" s="152"/>
      <c r="J96" s="152"/>
      <c r="K96" s="150"/>
      <c r="Q96" s="98"/>
    </row>
    <row r="97" spans="8:17" x14ac:dyDescent="0.15">
      <c r="H97" s="152"/>
      <c r="I97" s="152"/>
      <c r="J97" s="152"/>
      <c r="K97" s="150"/>
      <c r="Q97" s="98"/>
    </row>
    <row r="98" spans="8:17" x14ac:dyDescent="0.15">
      <c r="H98" s="152"/>
      <c r="I98" s="152"/>
      <c r="J98" s="152"/>
      <c r="K98" s="150"/>
      <c r="Q98" s="98"/>
    </row>
    <row r="99" spans="8:17" x14ac:dyDescent="0.15">
      <c r="H99" s="152"/>
      <c r="I99" s="152"/>
      <c r="J99" s="152"/>
      <c r="K99" s="150"/>
      <c r="Q99" s="98"/>
    </row>
    <row r="100" spans="8:17" x14ac:dyDescent="0.15">
      <c r="H100" s="152"/>
      <c r="I100" s="152"/>
      <c r="J100" s="152"/>
      <c r="K100" s="150"/>
      <c r="Q100" s="98"/>
    </row>
    <row r="101" spans="8:17" x14ac:dyDescent="0.15">
      <c r="H101" s="152"/>
      <c r="I101" s="152"/>
      <c r="J101" s="152"/>
      <c r="K101" s="150"/>
      <c r="Q101" s="98"/>
    </row>
    <row r="102" spans="8:17" x14ac:dyDescent="0.15">
      <c r="H102" s="152"/>
      <c r="I102" s="152"/>
      <c r="J102" s="152"/>
      <c r="K102" s="150"/>
      <c r="Q102" s="98"/>
    </row>
    <row r="103" spans="8:17" x14ac:dyDescent="0.15">
      <c r="H103" s="152"/>
      <c r="I103" s="152"/>
      <c r="J103" s="152"/>
      <c r="K103" s="150"/>
      <c r="Q103" s="98"/>
    </row>
    <row r="104" spans="8:17" x14ac:dyDescent="0.15">
      <c r="H104" s="152"/>
      <c r="I104" s="152"/>
      <c r="J104" s="152"/>
      <c r="K104" s="150"/>
      <c r="Q104" s="98"/>
    </row>
    <row r="105" spans="8:17" x14ac:dyDescent="0.15">
      <c r="H105" s="152"/>
      <c r="I105" s="152"/>
      <c r="J105" s="152"/>
      <c r="K105" s="150"/>
      <c r="Q105" s="98"/>
    </row>
    <row r="106" spans="8:17" x14ac:dyDescent="0.15">
      <c r="H106" s="152"/>
      <c r="I106" s="152"/>
      <c r="J106" s="152"/>
      <c r="K106" s="150"/>
      <c r="Q106" s="98"/>
    </row>
    <row r="107" spans="8:17" x14ac:dyDescent="0.15">
      <c r="H107" s="152"/>
      <c r="I107" s="152"/>
      <c r="J107" s="152"/>
      <c r="K107" s="150"/>
      <c r="Q107" s="98"/>
    </row>
    <row r="108" spans="8:17" x14ac:dyDescent="0.15">
      <c r="H108" s="152"/>
      <c r="I108" s="152"/>
      <c r="J108" s="152"/>
      <c r="K108" s="150"/>
      <c r="Q108" s="98"/>
    </row>
    <row r="109" spans="8:17" x14ac:dyDescent="0.15">
      <c r="H109" s="152"/>
      <c r="I109" s="152"/>
      <c r="J109" s="152"/>
      <c r="K109" s="150"/>
      <c r="Q109" s="98"/>
    </row>
    <row r="110" spans="8:17" x14ac:dyDescent="0.15">
      <c r="H110" s="152"/>
      <c r="I110" s="152"/>
      <c r="J110" s="152"/>
      <c r="K110" s="150"/>
      <c r="Q110" s="98"/>
    </row>
    <row r="111" spans="8:17" x14ac:dyDescent="0.15">
      <c r="H111" s="152"/>
      <c r="I111" s="152"/>
      <c r="J111" s="152"/>
      <c r="K111" s="150"/>
      <c r="Q111" s="98"/>
    </row>
    <row r="112" spans="8:17" x14ac:dyDescent="0.15">
      <c r="H112" s="152"/>
      <c r="I112" s="152"/>
      <c r="J112" s="152"/>
      <c r="K112" s="150"/>
      <c r="Q112" s="98"/>
    </row>
    <row r="113" spans="8:17" x14ac:dyDescent="0.15">
      <c r="H113" s="152"/>
      <c r="I113" s="152"/>
      <c r="J113" s="152"/>
      <c r="K113" s="150"/>
      <c r="Q113" s="98"/>
    </row>
    <row r="114" spans="8:17" x14ac:dyDescent="0.15">
      <c r="H114" s="152"/>
      <c r="I114" s="152"/>
      <c r="J114" s="152"/>
      <c r="K114" s="150"/>
      <c r="Q114" s="98"/>
    </row>
    <row r="115" spans="8:17" x14ac:dyDescent="0.15">
      <c r="H115" s="152"/>
      <c r="I115" s="152"/>
      <c r="J115" s="152"/>
      <c r="K115" s="150"/>
      <c r="Q115" s="98"/>
    </row>
    <row r="116" spans="8:17" x14ac:dyDescent="0.15">
      <c r="H116" s="152"/>
      <c r="I116" s="152"/>
      <c r="J116" s="152"/>
      <c r="K116" s="150"/>
      <c r="Q116" s="98"/>
    </row>
    <row r="117" spans="8:17" x14ac:dyDescent="0.15">
      <c r="H117" s="152"/>
      <c r="I117" s="152"/>
      <c r="J117" s="152"/>
      <c r="K117" s="150"/>
      <c r="Q117" s="98"/>
    </row>
    <row r="118" spans="8:17" x14ac:dyDescent="0.15">
      <c r="H118" s="152"/>
      <c r="I118" s="152"/>
      <c r="J118" s="152"/>
      <c r="K118" s="150"/>
      <c r="Q118" s="98"/>
    </row>
    <row r="119" spans="8:17" x14ac:dyDescent="0.15">
      <c r="H119" s="152"/>
      <c r="I119" s="152"/>
      <c r="J119" s="152"/>
      <c r="K119" s="150"/>
      <c r="Q119" s="98"/>
    </row>
    <row r="120" spans="8:17" x14ac:dyDescent="0.15">
      <c r="H120" s="152"/>
      <c r="I120" s="152"/>
      <c r="J120" s="152"/>
      <c r="K120" s="150"/>
      <c r="Q120" s="98"/>
    </row>
    <row r="121" spans="8:17" x14ac:dyDescent="0.15">
      <c r="H121" s="152"/>
      <c r="I121" s="152"/>
      <c r="J121" s="152"/>
      <c r="K121" s="150"/>
      <c r="Q121" s="98"/>
    </row>
    <row r="122" spans="8:17" x14ac:dyDescent="0.15">
      <c r="H122" s="152"/>
      <c r="I122" s="152"/>
      <c r="J122" s="152"/>
      <c r="K122" s="150"/>
      <c r="Q122" s="98"/>
    </row>
    <row r="123" spans="8:17" x14ac:dyDescent="0.15">
      <c r="H123" s="152"/>
      <c r="I123" s="152"/>
      <c r="J123" s="152"/>
      <c r="K123" s="150"/>
      <c r="Q123" s="98"/>
    </row>
    <row r="124" spans="8:17" x14ac:dyDescent="0.15">
      <c r="H124" s="152"/>
      <c r="I124" s="152"/>
      <c r="J124" s="152"/>
      <c r="K124" s="150"/>
      <c r="Q124" s="98"/>
    </row>
    <row r="125" spans="8:17" x14ac:dyDescent="0.15">
      <c r="H125" s="152"/>
      <c r="I125" s="152"/>
      <c r="J125" s="152"/>
      <c r="K125" s="150"/>
      <c r="Q125" s="98"/>
    </row>
    <row r="126" spans="8:17" x14ac:dyDescent="0.15">
      <c r="H126" s="152"/>
      <c r="I126" s="152"/>
      <c r="J126" s="152"/>
      <c r="K126" s="150"/>
      <c r="Q126" s="98"/>
    </row>
    <row r="127" spans="8:17" x14ac:dyDescent="0.15">
      <c r="H127" s="152"/>
      <c r="I127" s="152"/>
      <c r="J127" s="152"/>
      <c r="K127" s="150"/>
      <c r="Q127" s="98"/>
    </row>
    <row r="128" spans="8:17" x14ac:dyDescent="0.15">
      <c r="H128" s="152"/>
      <c r="I128" s="152"/>
      <c r="J128" s="152"/>
      <c r="K128" s="150"/>
      <c r="Q128" s="98"/>
    </row>
    <row r="129" spans="8:17" x14ac:dyDescent="0.15">
      <c r="H129" s="152"/>
      <c r="I129" s="152"/>
      <c r="J129" s="152"/>
      <c r="K129" s="150"/>
      <c r="Q129" s="98"/>
    </row>
    <row r="130" spans="8:17" x14ac:dyDescent="0.15">
      <c r="H130" s="152"/>
      <c r="I130" s="152"/>
      <c r="J130" s="152"/>
      <c r="K130" s="150"/>
      <c r="Q130" s="98"/>
    </row>
    <row r="131" spans="8:17" x14ac:dyDescent="0.15">
      <c r="H131" s="152"/>
      <c r="I131" s="152"/>
      <c r="J131" s="152"/>
      <c r="K131" s="150"/>
      <c r="Q131" s="98"/>
    </row>
    <row r="132" spans="8:17" x14ac:dyDescent="0.15">
      <c r="H132" s="152"/>
      <c r="I132" s="152"/>
      <c r="J132" s="152"/>
      <c r="K132" s="150"/>
      <c r="Q132" s="98"/>
    </row>
    <row r="133" spans="8:17" x14ac:dyDescent="0.15">
      <c r="H133" s="152"/>
      <c r="I133" s="152"/>
      <c r="J133" s="152"/>
      <c r="K133" s="150"/>
      <c r="Q133" s="98"/>
    </row>
    <row r="134" spans="8:17" x14ac:dyDescent="0.15">
      <c r="H134" s="152"/>
      <c r="I134" s="152"/>
      <c r="J134" s="152"/>
      <c r="K134" s="150"/>
      <c r="Q134" s="98"/>
    </row>
    <row r="135" spans="8:17" x14ac:dyDescent="0.15">
      <c r="H135" s="152"/>
      <c r="I135" s="152"/>
      <c r="J135" s="152"/>
      <c r="K135" s="150"/>
      <c r="Q135" s="98"/>
    </row>
    <row r="136" spans="8:17" x14ac:dyDescent="0.15">
      <c r="H136" s="152"/>
      <c r="I136" s="152"/>
      <c r="J136" s="152"/>
      <c r="K136" s="150"/>
      <c r="Q136" s="98"/>
    </row>
    <row r="137" spans="8:17" x14ac:dyDescent="0.15">
      <c r="H137" s="152"/>
      <c r="I137" s="152"/>
      <c r="J137" s="152"/>
      <c r="K137" s="150"/>
      <c r="Q137" s="98"/>
    </row>
    <row r="138" spans="8:17" x14ac:dyDescent="0.15">
      <c r="H138" s="152"/>
      <c r="I138" s="152"/>
      <c r="J138" s="152"/>
      <c r="K138" s="150"/>
      <c r="Q138" s="98"/>
    </row>
    <row r="139" spans="8:17" x14ac:dyDescent="0.15">
      <c r="H139" s="152"/>
      <c r="I139" s="152"/>
      <c r="J139" s="152"/>
      <c r="K139" s="150"/>
      <c r="Q139" s="98"/>
    </row>
    <row r="140" spans="8:17" x14ac:dyDescent="0.15">
      <c r="H140" s="152"/>
      <c r="I140" s="152"/>
      <c r="J140" s="152"/>
      <c r="K140" s="150"/>
      <c r="Q140" s="98"/>
    </row>
    <row r="141" spans="8:17" x14ac:dyDescent="0.15">
      <c r="H141" s="152"/>
      <c r="I141" s="152"/>
      <c r="J141" s="152"/>
      <c r="K141" s="150"/>
      <c r="Q141" s="98"/>
    </row>
    <row r="142" spans="8:17" x14ac:dyDescent="0.15">
      <c r="K142" s="150"/>
      <c r="Q142" s="98"/>
    </row>
    <row r="143" spans="8:17" x14ac:dyDescent="0.15">
      <c r="K143" s="150"/>
      <c r="Q143" s="98"/>
    </row>
    <row r="144" spans="8:17" x14ac:dyDescent="0.15">
      <c r="K144" s="150"/>
      <c r="Q144" s="98"/>
    </row>
    <row r="145" spans="11:17" x14ac:dyDescent="0.15">
      <c r="K145" s="150"/>
      <c r="Q145" s="98"/>
    </row>
    <row r="146" spans="11:17" x14ac:dyDescent="0.15">
      <c r="K146" s="150"/>
      <c r="Q146" s="98"/>
    </row>
    <row r="147" spans="11:17" x14ac:dyDescent="0.15">
      <c r="K147" s="150"/>
      <c r="Q147" s="98"/>
    </row>
    <row r="148" spans="11:17" x14ac:dyDescent="0.15">
      <c r="K148" s="150"/>
      <c r="Q148" s="98"/>
    </row>
    <row r="149" spans="11:17" x14ac:dyDescent="0.15">
      <c r="K149" s="150"/>
      <c r="Q149" s="98"/>
    </row>
    <row r="150" spans="11:17" x14ac:dyDescent="0.15">
      <c r="K150" s="150"/>
      <c r="Q150" s="98"/>
    </row>
    <row r="151" spans="11:17" x14ac:dyDescent="0.15">
      <c r="K151" s="150"/>
      <c r="Q151" s="98"/>
    </row>
    <row r="152" spans="11:17" x14ac:dyDescent="0.15">
      <c r="K152" s="150"/>
      <c r="Q152" s="98"/>
    </row>
    <row r="153" spans="11:17" x14ac:dyDescent="0.15">
      <c r="K153" s="150"/>
      <c r="Q153" s="98"/>
    </row>
    <row r="154" spans="11:17" x14ac:dyDescent="0.15">
      <c r="K154" s="150"/>
      <c r="Q154" s="98"/>
    </row>
    <row r="155" spans="11:17" x14ac:dyDescent="0.15">
      <c r="K155" s="150"/>
      <c r="Q155" s="98"/>
    </row>
    <row r="156" spans="11:17" x14ac:dyDescent="0.15">
      <c r="K156" s="150"/>
      <c r="Q156" s="98"/>
    </row>
    <row r="157" spans="11:17" x14ac:dyDescent="0.15">
      <c r="K157" s="150"/>
      <c r="Q157" s="98"/>
    </row>
    <row r="158" spans="11:17" x14ac:dyDescent="0.15">
      <c r="K158" s="150"/>
      <c r="Q158" s="98"/>
    </row>
    <row r="159" spans="11:17" x14ac:dyDescent="0.15">
      <c r="K159" s="150"/>
      <c r="Q159" s="98"/>
    </row>
    <row r="160" spans="11:17" x14ac:dyDescent="0.15">
      <c r="K160" s="150"/>
      <c r="Q160" s="98"/>
    </row>
    <row r="161" spans="11:17" x14ac:dyDescent="0.15">
      <c r="K161" s="150"/>
      <c r="Q161" s="98"/>
    </row>
    <row r="162" spans="11:17" x14ac:dyDescent="0.15">
      <c r="K162" s="150"/>
      <c r="Q162" s="98"/>
    </row>
    <row r="163" spans="11:17" x14ac:dyDescent="0.15">
      <c r="K163" s="150"/>
      <c r="Q163" s="98"/>
    </row>
    <row r="164" spans="11:17" x14ac:dyDescent="0.15">
      <c r="K164" s="150"/>
      <c r="Q164" s="98"/>
    </row>
    <row r="165" spans="11:17" x14ac:dyDescent="0.15">
      <c r="K165" s="150"/>
      <c r="Q165" s="98"/>
    </row>
    <row r="166" spans="11:17" x14ac:dyDescent="0.15">
      <c r="K166" s="150"/>
      <c r="Q166" s="98"/>
    </row>
    <row r="167" spans="11:17" x14ac:dyDescent="0.15">
      <c r="K167" s="150"/>
      <c r="Q167" s="98"/>
    </row>
    <row r="168" spans="11:17" x14ac:dyDescent="0.15">
      <c r="K168" s="150"/>
      <c r="Q168" s="98"/>
    </row>
    <row r="169" spans="11:17" x14ac:dyDescent="0.15">
      <c r="K169" s="150"/>
      <c r="Q169" s="98"/>
    </row>
    <row r="170" spans="11:17" x14ac:dyDescent="0.15">
      <c r="K170" s="150"/>
      <c r="Q170" s="98"/>
    </row>
    <row r="171" spans="11:17" x14ac:dyDescent="0.15">
      <c r="K171" s="150"/>
      <c r="Q171" s="98"/>
    </row>
    <row r="172" spans="11:17" x14ac:dyDescent="0.15">
      <c r="K172" s="150"/>
      <c r="Q172" s="98"/>
    </row>
    <row r="173" spans="11:17" x14ac:dyDescent="0.15">
      <c r="K173" s="150"/>
      <c r="Q173" s="98"/>
    </row>
    <row r="174" spans="11:17" x14ac:dyDescent="0.15">
      <c r="K174" s="150"/>
      <c r="Q174" s="98"/>
    </row>
    <row r="175" spans="11:17" x14ac:dyDescent="0.15">
      <c r="K175" s="150"/>
      <c r="Q175" s="98"/>
    </row>
    <row r="176" spans="11:17" x14ac:dyDescent="0.15">
      <c r="K176" s="150"/>
      <c r="Q176" s="98"/>
    </row>
    <row r="177" spans="11:17" x14ac:dyDescent="0.15">
      <c r="K177" s="150"/>
      <c r="Q177" s="98"/>
    </row>
    <row r="178" spans="11:17" x14ac:dyDescent="0.15">
      <c r="K178" s="150"/>
      <c r="Q178" s="98"/>
    </row>
    <row r="179" spans="11:17" x14ac:dyDescent="0.15">
      <c r="K179" s="150"/>
      <c r="Q179" s="98"/>
    </row>
    <row r="180" spans="11:17" x14ac:dyDescent="0.15">
      <c r="K180" s="150"/>
      <c r="Q180" s="98"/>
    </row>
    <row r="181" spans="11:17" x14ac:dyDescent="0.15">
      <c r="K181" s="150"/>
      <c r="Q181" s="98"/>
    </row>
    <row r="182" spans="11:17" x14ac:dyDescent="0.15">
      <c r="K182" s="150"/>
      <c r="Q182" s="98"/>
    </row>
    <row r="183" spans="11:17" x14ac:dyDescent="0.15">
      <c r="K183" s="150"/>
      <c r="Q183" s="98"/>
    </row>
    <row r="184" spans="11:17" x14ac:dyDescent="0.15">
      <c r="K184" s="150"/>
      <c r="Q184" s="98"/>
    </row>
    <row r="185" spans="11:17" x14ac:dyDescent="0.15">
      <c r="K185" s="150"/>
      <c r="Q185" s="98"/>
    </row>
    <row r="186" spans="11:17" x14ac:dyDescent="0.15">
      <c r="K186" s="150"/>
      <c r="Q186" s="98"/>
    </row>
    <row r="187" spans="11:17" x14ac:dyDescent="0.15">
      <c r="K187" s="150"/>
      <c r="Q187" s="98"/>
    </row>
    <row r="188" spans="11:17" x14ac:dyDescent="0.15">
      <c r="K188" s="150"/>
      <c r="Q188" s="98"/>
    </row>
    <row r="189" spans="11:17" x14ac:dyDescent="0.15">
      <c r="K189" s="150"/>
      <c r="Q189" s="98"/>
    </row>
    <row r="190" spans="11:17" x14ac:dyDescent="0.15">
      <c r="K190" s="150"/>
      <c r="Q190" s="98"/>
    </row>
    <row r="191" spans="11:17" x14ac:dyDescent="0.15">
      <c r="K191" s="150"/>
      <c r="Q191" s="98"/>
    </row>
    <row r="192" spans="11:17" x14ac:dyDescent="0.15">
      <c r="K192" s="150"/>
      <c r="Q192" s="98"/>
    </row>
    <row r="193" spans="11:17" x14ac:dyDescent="0.15">
      <c r="K193" s="150"/>
      <c r="Q193" s="98"/>
    </row>
    <row r="194" spans="11:17" x14ac:dyDescent="0.15">
      <c r="K194" s="150"/>
      <c r="Q194" s="98"/>
    </row>
    <row r="195" spans="11:17" x14ac:dyDescent="0.15">
      <c r="K195" s="150"/>
      <c r="Q195" s="98"/>
    </row>
    <row r="196" spans="11:17" x14ac:dyDescent="0.15">
      <c r="K196" s="150"/>
      <c r="Q196" s="98"/>
    </row>
    <row r="197" spans="11:17" x14ac:dyDescent="0.15">
      <c r="K197" s="150"/>
      <c r="Q197" s="98"/>
    </row>
    <row r="198" spans="11:17" x14ac:dyDescent="0.15">
      <c r="K198" s="150"/>
      <c r="Q198" s="98"/>
    </row>
    <row r="199" spans="11:17" x14ac:dyDescent="0.15">
      <c r="K199" s="150"/>
      <c r="Q199" s="98"/>
    </row>
    <row r="200" spans="11:17" x14ac:dyDescent="0.15">
      <c r="K200" s="150"/>
      <c r="Q200" s="98"/>
    </row>
    <row r="201" spans="11:17" x14ac:dyDescent="0.15">
      <c r="K201" s="150"/>
      <c r="Q201" s="98"/>
    </row>
    <row r="202" spans="11:17" x14ac:dyDescent="0.15">
      <c r="K202" s="150"/>
      <c r="Q202" s="98"/>
    </row>
    <row r="203" spans="11:17" x14ac:dyDescent="0.15">
      <c r="K203" s="150"/>
      <c r="Q203" s="98"/>
    </row>
    <row r="204" spans="11:17" x14ac:dyDescent="0.15">
      <c r="K204" s="150"/>
      <c r="Q204" s="98"/>
    </row>
    <row r="205" spans="11:17" x14ac:dyDescent="0.15">
      <c r="K205" s="150"/>
      <c r="Q205" s="98"/>
    </row>
    <row r="206" spans="11:17" x14ac:dyDescent="0.15">
      <c r="K206" s="150"/>
      <c r="Q206" s="98"/>
    </row>
    <row r="207" spans="11:17" x14ac:dyDescent="0.15">
      <c r="K207" s="150"/>
      <c r="Q207" s="98"/>
    </row>
    <row r="208" spans="11:17" x14ac:dyDescent="0.15">
      <c r="K208" s="150"/>
      <c r="Q208" s="98"/>
    </row>
    <row r="209" spans="11:17" x14ac:dyDescent="0.15">
      <c r="K209" s="150"/>
      <c r="Q209" s="98"/>
    </row>
    <row r="210" spans="11:17" x14ac:dyDescent="0.15">
      <c r="K210" s="150"/>
      <c r="Q210" s="98"/>
    </row>
    <row r="211" spans="11:17" x14ac:dyDescent="0.15">
      <c r="K211" s="150"/>
      <c r="Q211" s="98"/>
    </row>
    <row r="212" spans="11:17" x14ac:dyDescent="0.15">
      <c r="K212" s="150"/>
      <c r="Q212" s="98"/>
    </row>
    <row r="213" spans="11:17" x14ac:dyDescent="0.15">
      <c r="K213" s="150"/>
      <c r="Q213" s="98"/>
    </row>
    <row r="214" spans="11:17" x14ac:dyDescent="0.15">
      <c r="K214" s="150"/>
      <c r="Q214" s="98"/>
    </row>
    <row r="215" spans="11:17" x14ac:dyDescent="0.15">
      <c r="K215" s="150"/>
      <c r="Q215" s="98"/>
    </row>
    <row r="216" spans="11:17" x14ac:dyDescent="0.15">
      <c r="K216" s="150"/>
      <c r="Q216" s="98"/>
    </row>
    <row r="217" spans="11:17" x14ac:dyDescent="0.15">
      <c r="K217" s="150"/>
      <c r="Q217" s="98"/>
    </row>
    <row r="218" spans="11:17" x14ac:dyDescent="0.15">
      <c r="K218" s="150"/>
      <c r="Q218" s="98"/>
    </row>
    <row r="219" spans="11:17" x14ac:dyDescent="0.15">
      <c r="K219" s="150"/>
      <c r="Q219" s="98"/>
    </row>
    <row r="220" spans="11:17" x14ac:dyDescent="0.15">
      <c r="K220" s="150"/>
      <c r="Q220" s="98"/>
    </row>
    <row r="221" spans="11:17" x14ac:dyDescent="0.15">
      <c r="K221" s="150"/>
      <c r="Q221" s="98"/>
    </row>
    <row r="222" spans="11:17" x14ac:dyDescent="0.15">
      <c r="K222" s="150"/>
      <c r="Q222" s="98"/>
    </row>
    <row r="223" spans="11:17" x14ac:dyDescent="0.15">
      <c r="K223" s="150"/>
      <c r="Q223" s="98"/>
    </row>
    <row r="224" spans="11:17" x14ac:dyDescent="0.15">
      <c r="K224" s="150"/>
      <c r="Q224" s="98"/>
    </row>
    <row r="225" spans="11:17" x14ac:dyDescent="0.15">
      <c r="K225" s="150"/>
      <c r="Q225" s="98"/>
    </row>
    <row r="226" spans="11:17" x14ac:dyDescent="0.15">
      <c r="K226" s="150"/>
      <c r="Q226" s="98"/>
    </row>
    <row r="227" spans="11:17" x14ac:dyDescent="0.15">
      <c r="K227" s="150"/>
      <c r="Q227" s="98"/>
    </row>
    <row r="228" spans="11:17" x14ac:dyDescent="0.15">
      <c r="K228" s="150"/>
      <c r="Q228" s="98"/>
    </row>
    <row r="229" spans="11:17" x14ac:dyDescent="0.15">
      <c r="K229" s="150"/>
      <c r="Q229" s="98"/>
    </row>
    <row r="230" spans="11:17" x14ac:dyDescent="0.15">
      <c r="K230" s="150"/>
      <c r="Q230" s="98"/>
    </row>
    <row r="231" spans="11:17" x14ac:dyDescent="0.15">
      <c r="K231" s="150"/>
      <c r="Q231" s="98"/>
    </row>
    <row r="232" spans="11:17" x14ac:dyDescent="0.15">
      <c r="K232" s="150"/>
      <c r="Q232" s="98"/>
    </row>
    <row r="233" spans="11:17" x14ac:dyDescent="0.15">
      <c r="K233" s="150"/>
      <c r="Q233" s="98"/>
    </row>
    <row r="234" spans="11:17" x14ac:dyDescent="0.15">
      <c r="K234" s="150"/>
      <c r="Q234" s="98"/>
    </row>
    <row r="235" spans="11:17" x14ac:dyDescent="0.15">
      <c r="K235" s="150"/>
      <c r="Q235" s="98"/>
    </row>
    <row r="236" spans="11:17" x14ac:dyDescent="0.15">
      <c r="K236" s="150"/>
      <c r="Q236" s="98"/>
    </row>
    <row r="237" spans="11:17" x14ac:dyDescent="0.15">
      <c r="K237" s="150"/>
      <c r="Q237" s="98"/>
    </row>
    <row r="238" spans="11:17" x14ac:dyDescent="0.15">
      <c r="K238" s="150"/>
      <c r="Q238" s="98"/>
    </row>
    <row r="239" spans="11:17" x14ac:dyDescent="0.15">
      <c r="K239" s="150"/>
      <c r="Q239" s="98"/>
    </row>
    <row r="240" spans="11:17" x14ac:dyDescent="0.15">
      <c r="K240" s="150"/>
      <c r="Q240" s="98"/>
    </row>
    <row r="241" spans="11:17" x14ac:dyDescent="0.15">
      <c r="K241" s="150"/>
      <c r="Q241" s="98"/>
    </row>
    <row r="242" spans="11:17" x14ac:dyDescent="0.15">
      <c r="K242" s="150"/>
      <c r="Q242" s="98"/>
    </row>
    <row r="243" spans="11:17" x14ac:dyDescent="0.15">
      <c r="K243" s="150"/>
      <c r="Q243" s="98"/>
    </row>
    <row r="244" spans="11:17" x14ac:dyDescent="0.15">
      <c r="K244" s="150"/>
      <c r="Q244" s="98"/>
    </row>
    <row r="245" spans="11:17" x14ac:dyDescent="0.15">
      <c r="K245" s="150"/>
      <c r="Q245" s="98"/>
    </row>
    <row r="246" spans="11:17" x14ac:dyDescent="0.15">
      <c r="K246" s="150"/>
      <c r="Q246" s="98"/>
    </row>
    <row r="247" spans="11:17" x14ac:dyDescent="0.15">
      <c r="K247" s="150"/>
      <c r="Q247" s="98"/>
    </row>
    <row r="248" spans="11:17" x14ac:dyDescent="0.15">
      <c r="K248" s="150"/>
      <c r="Q248" s="98"/>
    </row>
    <row r="249" spans="11:17" x14ac:dyDescent="0.15">
      <c r="K249" s="150"/>
      <c r="Q249" s="98"/>
    </row>
    <row r="250" spans="11:17" x14ac:dyDescent="0.15">
      <c r="K250" s="150"/>
      <c r="Q250" s="98"/>
    </row>
    <row r="251" spans="11:17" x14ac:dyDescent="0.15">
      <c r="K251" s="150"/>
      <c r="Q251" s="98"/>
    </row>
    <row r="252" spans="11:17" x14ac:dyDescent="0.15">
      <c r="K252" s="150"/>
      <c r="Q252" s="98"/>
    </row>
    <row r="253" spans="11:17" x14ac:dyDescent="0.15">
      <c r="K253" s="150"/>
      <c r="Q253" s="98"/>
    </row>
    <row r="254" spans="11:17" x14ac:dyDescent="0.15">
      <c r="K254" s="150"/>
      <c r="Q254" s="98"/>
    </row>
    <row r="255" spans="11:17" x14ac:dyDescent="0.15">
      <c r="K255" s="150"/>
      <c r="Q255" s="98"/>
    </row>
    <row r="256" spans="11:17" x14ac:dyDescent="0.15">
      <c r="K256" s="150"/>
      <c r="Q256" s="98"/>
    </row>
    <row r="257" spans="11:17" x14ac:dyDescent="0.15">
      <c r="K257" s="150"/>
      <c r="Q257" s="98"/>
    </row>
    <row r="258" spans="11:17" x14ac:dyDescent="0.15">
      <c r="K258" s="150"/>
      <c r="Q258" s="98"/>
    </row>
    <row r="259" spans="11:17" x14ac:dyDescent="0.15">
      <c r="K259" s="150"/>
      <c r="Q259" s="98"/>
    </row>
    <row r="260" spans="11:17" x14ac:dyDescent="0.15">
      <c r="K260" s="150"/>
      <c r="Q260" s="98"/>
    </row>
    <row r="261" spans="11:17" x14ac:dyDescent="0.15">
      <c r="K261" s="150"/>
      <c r="Q261" s="98"/>
    </row>
    <row r="262" spans="11:17" x14ac:dyDescent="0.15">
      <c r="K262" s="150"/>
      <c r="Q262" s="98"/>
    </row>
    <row r="263" spans="11:17" x14ac:dyDescent="0.15">
      <c r="K263" s="150"/>
      <c r="Q263" s="98"/>
    </row>
    <row r="264" spans="11:17" x14ac:dyDescent="0.15">
      <c r="K264" s="150"/>
      <c r="Q264" s="98"/>
    </row>
    <row r="265" spans="11:17" x14ac:dyDescent="0.15">
      <c r="K265" s="150"/>
      <c r="Q265" s="98"/>
    </row>
    <row r="266" spans="11:17" x14ac:dyDescent="0.15">
      <c r="K266" s="150"/>
      <c r="Q266" s="98"/>
    </row>
    <row r="267" spans="11:17" x14ac:dyDescent="0.15">
      <c r="K267" s="150"/>
      <c r="Q267" s="98"/>
    </row>
    <row r="268" spans="11:17" x14ac:dyDescent="0.15">
      <c r="K268" s="150"/>
      <c r="Q268" s="98"/>
    </row>
    <row r="269" spans="11:17" x14ac:dyDescent="0.15">
      <c r="K269" s="150"/>
      <c r="Q269" s="98"/>
    </row>
    <row r="270" spans="11:17" x14ac:dyDescent="0.15">
      <c r="K270" s="150"/>
      <c r="Q270" s="98"/>
    </row>
    <row r="271" spans="11:17" x14ac:dyDescent="0.15">
      <c r="K271" s="150"/>
      <c r="Q271" s="98"/>
    </row>
    <row r="272" spans="11:17" x14ac:dyDescent="0.15">
      <c r="K272" s="150"/>
      <c r="Q272" s="98"/>
    </row>
    <row r="273" spans="11:17" x14ac:dyDescent="0.15">
      <c r="K273" s="150"/>
      <c r="Q273" s="98"/>
    </row>
    <row r="274" spans="11:17" x14ac:dyDescent="0.15">
      <c r="K274" s="150"/>
      <c r="Q274" s="98"/>
    </row>
    <row r="275" spans="11:17" x14ac:dyDescent="0.15">
      <c r="K275" s="150"/>
      <c r="Q275" s="98"/>
    </row>
    <row r="276" spans="11:17" x14ac:dyDescent="0.15">
      <c r="K276" s="150"/>
      <c r="Q276" s="98"/>
    </row>
    <row r="277" spans="11:17" x14ac:dyDescent="0.15">
      <c r="K277" s="150"/>
      <c r="Q277" s="98"/>
    </row>
    <row r="278" spans="11:17" x14ac:dyDescent="0.15">
      <c r="K278" s="150"/>
      <c r="Q278" s="98"/>
    </row>
    <row r="279" spans="11:17" x14ac:dyDescent="0.15">
      <c r="K279" s="150"/>
      <c r="Q279" s="98"/>
    </row>
    <row r="280" spans="11:17" x14ac:dyDescent="0.15">
      <c r="K280" s="150"/>
      <c r="Q280" s="98"/>
    </row>
    <row r="281" spans="11:17" x14ac:dyDescent="0.15">
      <c r="K281" s="150"/>
      <c r="Q281" s="98"/>
    </row>
    <row r="282" spans="11:17" x14ac:dyDescent="0.15">
      <c r="K282" s="150"/>
      <c r="Q282" s="98"/>
    </row>
    <row r="283" spans="11:17" x14ac:dyDescent="0.15">
      <c r="K283" s="150"/>
      <c r="Q283" s="98"/>
    </row>
    <row r="284" spans="11:17" x14ac:dyDescent="0.15">
      <c r="K284" s="150"/>
      <c r="Q284" s="98"/>
    </row>
    <row r="285" spans="11:17" x14ac:dyDescent="0.15">
      <c r="K285" s="150"/>
      <c r="Q285" s="98"/>
    </row>
    <row r="286" spans="11:17" x14ac:dyDescent="0.15">
      <c r="K286" s="150"/>
      <c r="Q286" s="98"/>
    </row>
    <row r="287" spans="11:17" x14ac:dyDescent="0.15">
      <c r="K287" s="150"/>
      <c r="Q287" s="98"/>
    </row>
    <row r="288" spans="11:17" x14ac:dyDescent="0.15">
      <c r="K288" s="150"/>
      <c r="Q288" s="98"/>
    </row>
    <row r="289" spans="11:17" x14ac:dyDescent="0.15">
      <c r="K289" s="150"/>
      <c r="Q289" s="98"/>
    </row>
    <row r="290" spans="11:17" x14ac:dyDescent="0.15">
      <c r="K290" s="150"/>
      <c r="Q290" s="98"/>
    </row>
    <row r="291" spans="11:17" x14ac:dyDescent="0.15">
      <c r="K291" s="150"/>
      <c r="Q291" s="98"/>
    </row>
    <row r="292" spans="11:17" x14ac:dyDescent="0.15">
      <c r="K292" s="150"/>
    </row>
    <row r="293" spans="11:17" x14ac:dyDescent="0.15">
      <c r="K293" s="150"/>
    </row>
    <row r="294" spans="11:17" x14ac:dyDescent="0.15">
      <c r="K294" s="150"/>
    </row>
    <row r="295" spans="11:17" x14ac:dyDescent="0.15">
      <c r="K295" s="150"/>
    </row>
    <row r="296" spans="11:17" x14ac:dyDescent="0.15">
      <c r="K296" s="150"/>
    </row>
    <row r="297" spans="11:17" x14ac:dyDescent="0.15">
      <c r="K297" s="150"/>
    </row>
    <row r="298" spans="11:17" x14ac:dyDescent="0.15">
      <c r="K298" s="150"/>
    </row>
    <row r="299" spans="11:17" x14ac:dyDescent="0.15">
      <c r="K299" s="150"/>
    </row>
    <row r="300" spans="11:17" x14ac:dyDescent="0.15">
      <c r="K300" s="150"/>
    </row>
    <row r="301" spans="11:17" x14ac:dyDescent="0.15">
      <c r="K301" s="150"/>
    </row>
    <row r="302" spans="11:17" x14ac:dyDescent="0.15">
      <c r="K302" s="150"/>
    </row>
    <row r="303" spans="11:17" x14ac:dyDescent="0.15">
      <c r="K303" s="150"/>
    </row>
    <row r="304" spans="11:17" x14ac:dyDescent="0.15">
      <c r="K304" s="150"/>
    </row>
    <row r="305" spans="11:11" x14ac:dyDescent="0.15">
      <c r="K305" s="150"/>
    </row>
    <row r="306" spans="11:11" x14ac:dyDescent="0.15">
      <c r="K306" s="150"/>
    </row>
    <row r="307" spans="11:11" x14ac:dyDescent="0.15">
      <c r="K307" s="150"/>
    </row>
    <row r="308" spans="11:11" x14ac:dyDescent="0.15">
      <c r="K308" s="150"/>
    </row>
    <row r="309" spans="11:11" x14ac:dyDescent="0.15">
      <c r="K309" s="150"/>
    </row>
    <row r="310" spans="11:11" x14ac:dyDescent="0.15">
      <c r="K310" s="150"/>
    </row>
    <row r="311" spans="11:11" x14ac:dyDescent="0.15">
      <c r="K311" s="150"/>
    </row>
    <row r="312" spans="11:11" x14ac:dyDescent="0.15">
      <c r="K312" s="150"/>
    </row>
    <row r="313" spans="11:11" x14ac:dyDescent="0.15">
      <c r="K313" s="150"/>
    </row>
    <row r="314" spans="11:11" x14ac:dyDescent="0.15">
      <c r="K314" s="150"/>
    </row>
    <row r="315" spans="11:11" x14ac:dyDescent="0.15">
      <c r="K315" s="150"/>
    </row>
    <row r="316" spans="11:11" x14ac:dyDescent="0.15">
      <c r="K316" s="150"/>
    </row>
    <row r="317" spans="11:11" x14ac:dyDescent="0.15">
      <c r="K317" s="150"/>
    </row>
    <row r="318" spans="11:11" x14ac:dyDescent="0.15">
      <c r="K318" s="150"/>
    </row>
    <row r="319" spans="11:11" x14ac:dyDescent="0.15">
      <c r="K319" s="150"/>
    </row>
    <row r="320" spans="11:11" x14ac:dyDescent="0.15">
      <c r="K320" s="150"/>
    </row>
    <row r="321" spans="11:11" x14ac:dyDescent="0.15">
      <c r="K321" s="150"/>
    </row>
    <row r="322" spans="11:11" x14ac:dyDescent="0.15">
      <c r="K322" s="150"/>
    </row>
    <row r="323" spans="11:11" x14ac:dyDescent="0.15">
      <c r="K323" s="150"/>
    </row>
    <row r="324" spans="11:11" x14ac:dyDescent="0.15">
      <c r="K324" s="150"/>
    </row>
    <row r="325" spans="11:11" x14ac:dyDescent="0.15">
      <c r="K325" s="150"/>
    </row>
    <row r="326" spans="11:11" x14ac:dyDescent="0.15">
      <c r="K326" s="150"/>
    </row>
    <row r="327" spans="11:11" x14ac:dyDescent="0.15">
      <c r="K327" s="150"/>
    </row>
    <row r="328" spans="11:11" x14ac:dyDescent="0.15">
      <c r="K328" s="150"/>
    </row>
    <row r="329" spans="11:11" x14ac:dyDescent="0.15">
      <c r="K329" s="150"/>
    </row>
    <row r="330" spans="11:11" x14ac:dyDescent="0.15">
      <c r="K330" s="150"/>
    </row>
    <row r="331" spans="11:11" x14ac:dyDescent="0.15">
      <c r="K331" s="150"/>
    </row>
    <row r="332" spans="11:11" x14ac:dyDescent="0.15">
      <c r="K332" s="150"/>
    </row>
    <row r="333" spans="11:11" x14ac:dyDescent="0.15">
      <c r="K333" s="150"/>
    </row>
    <row r="334" spans="11:11" x14ac:dyDescent="0.15">
      <c r="K334" s="150"/>
    </row>
    <row r="335" spans="11:11" x14ac:dyDescent="0.15">
      <c r="K335" s="150"/>
    </row>
    <row r="336" spans="11:11" x14ac:dyDescent="0.15">
      <c r="K336" s="150"/>
    </row>
    <row r="337" spans="11:11" x14ac:dyDescent="0.15">
      <c r="K337" s="150"/>
    </row>
    <row r="338" spans="11:11" x14ac:dyDescent="0.15">
      <c r="K338" s="150"/>
    </row>
    <row r="339" spans="11:11" x14ac:dyDescent="0.15">
      <c r="K339" s="150"/>
    </row>
    <row r="340" spans="11:11" x14ac:dyDescent="0.15">
      <c r="K340" s="150"/>
    </row>
    <row r="341" spans="11:11" x14ac:dyDescent="0.15">
      <c r="K341" s="150"/>
    </row>
    <row r="342" spans="11:11" x14ac:dyDescent="0.15">
      <c r="K342" s="150"/>
    </row>
    <row r="343" spans="11:11" x14ac:dyDescent="0.15">
      <c r="K343" s="150"/>
    </row>
    <row r="344" spans="11:11" x14ac:dyDescent="0.15">
      <c r="K344" s="150"/>
    </row>
    <row r="345" spans="11:11" x14ac:dyDescent="0.15">
      <c r="K345" s="150"/>
    </row>
    <row r="346" spans="11:11" x14ac:dyDescent="0.15">
      <c r="K346" s="150"/>
    </row>
    <row r="347" spans="11:11" x14ac:dyDescent="0.15">
      <c r="K347" s="150"/>
    </row>
    <row r="348" spans="11:11" x14ac:dyDescent="0.15">
      <c r="K348" s="150"/>
    </row>
    <row r="349" spans="11:11" x14ac:dyDescent="0.15">
      <c r="K349" s="150"/>
    </row>
    <row r="350" spans="11:11" x14ac:dyDescent="0.15">
      <c r="K350" s="150"/>
    </row>
    <row r="351" spans="11:11" x14ac:dyDescent="0.15">
      <c r="K351" s="150"/>
    </row>
    <row r="352" spans="11:11" x14ac:dyDescent="0.15">
      <c r="K352" s="150"/>
    </row>
    <row r="353" spans="11:11" x14ac:dyDescent="0.15">
      <c r="K353" s="150"/>
    </row>
    <row r="354" spans="11:11" x14ac:dyDescent="0.15">
      <c r="K354" s="150"/>
    </row>
    <row r="355" spans="11:11" x14ac:dyDescent="0.15">
      <c r="K355" s="150"/>
    </row>
    <row r="356" spans="11:11" x14ac:dyDescent="0.15">
      <c r="K356" s="150"/>
    </row>
    <row r="357" spans="11:11" x14ac:dyDescent="0.15">
      <c r="K357" s="150"/>
    </row>
    <row r="358" spans="11:11" x14ac:dyDescent="0.15">
      <c r="K358" s="150"/>
    </row>
    <row r="359" spans="11:11" x14ac:dyDescent="0.15">
      <c r="K359" s="150"/>
    </row>
    <row r="360" spans="11:11" x14ac:dyDescent="0.15">
      <c r="K360" s="150"/>
    </row>
    <row r="361" spans="11:11" x14ac:dyDescent="0.15">
      <c r="K361" s="150"/>
    </row>
    <row r="362" spans="11:11" x14ac:dyDescent="0.15">
      <c r="K362" s="150"/>
    </row>
    <row r="363" spans="11:11" x14ac:dyDescent="0.15">
      <c r="K363" s="150"/>
    </row>
    <row r="364" spans="11:11" x14ac:dyDescent="0.15">
      <c r="K364" s="150"/>
    </row>
    <row r="365" spans="11:11" x14ac:dyDescent="0.15">
      <c r="K365" s="150"/>
    </row>
    <row r="366" spans="11:11" x14ac:dyDescent="0.15">
      <c r="K366" s="150"/>
    </row>
    <row r="367" spans="11:11" x14ac:dyDescent="0.15">
      <c r="K367" s="150"/>
    </row>
    <row r="368" spans="11:11" x14ac:dyDescent="0.15">
      <c r="K368" s="150"/>
    </row>
    <row r="369" spans="11:11" x14ac:dyDescent="0.15">
      <c r="K369" s="150"/>
    </row>
    <row r="370" spans="11:11" x14ac:dyDescent="0.15">
      <c r="K370" s="150"/>
    </row>
    <row r="371" spans="11:11" x14ac:dyDescent="0.15">
      <c r="K371" s="150"/>
    </row>
    <row r="372" spans="11:11" x14ac:dyDescent="0.15">
      <c r="K372" s="150"/>
    </row>
    <row r="373" spans="11:11" x14ac:dyDescent="0.15">
      <c r="K373" s="150"/>
    </row>
    <row r="374" spans="11:11" x14ac:dyDescent="0.15">
      <c r="K374" s="150"/>
    </row>
    <row r="375" spans="11:11" x14ac:dyDescent="0.15">
      <c r="K375" s="150"/>
    </row>
    <row r="376" spans="11:11" x14ac:dyDescent="0.15">
      <c r="K376" s="150"/>
    </row>
    <row r="377" spans="11:11" x14ac:dyDescent="0.15">
      <c r="K377" s="150"/>
    </row>
    <row r="378" spans="11:11" x14ac:dyDescent="0.15">
      <c r="K378" s="150"/>
    </row>
    <row r="379" spans="11:11" x14ac:dyDescent="0.15">
      <c r="K379" s="150"/>
    </row>
    <row r="380" spans="11:11" x14ac:dyDescent="0.15">
      <c r="K380" s="150"/>
    </row>
    <row r="381" spans="11:11" x14ac:dyDescent="0.15">
      <c r="K381" s="150"/>
    </row>
    <row r="382" spans="11:11" x14ac:dyDescent="0.15">
      <c r="K382" s="150"/>
    </row>
    <row r="383" spans="11:11" x14ac:dyDescent="0.15">
      <c r="K383" s="150"/>
    </row>
    <row r="384" spans="11:11" x14ac:dyDescent="0.15">
      <c r="K384" s="150"/>
    </row>
    <row r="385" spans="11:11" x14ac:dyDescent="0.15">
      <c r="K385" s="150"/>
    </row>
    <row r="386" spans="11:11" x14ac:dyDescent="0.15">
      <c r="K386" s="150"/>
    </row>
    <row r="387" spans="11:11" x14ac:dyDescent="0.15">
      <c r="K387" s="150"/>
    </row>
    <row r="388" spans="11:11" x14ac:dyDescent="0.15">
      <c r="K388" s="150"/>
    </row>
    <row r="389" spans="11:11" x14ac:dyDescent="0.15">
      <c r="K389" s="150"/>
    </row>
    <row r="390" spans="11:11" x14ac:dyDescent="0.15">
      <c r="K390" s="150"/>
    </row>
    <row r="391" spans="11:11" x14ac:dyDescent="0.15">
      <c r="K391" s="150"/>
    </row>
    <row r="392" spans="11:11" x14ac:dyDescent="0.15">
      <c r="K392" s="150"/>
    </row>
    <row r="393" spans="11:11" x14ac:dyDescent="0.15">
      <c r="K393" s="150"/>
    </row>
    <row r="394" spans="11:11" x14ac:dyDescent="0.15">
      <c r="K394" s="150"/>
    </row>
    <row r="395" spans="11:11" x14ac:dyDescent="0.15">
      <c r="K395" s="150"/>
    </row>
    <row r="396" spans="11:11" x14ac:dyDescent="0.15">
      <c r="K396" s="150"/>
    </row>
    <row r="397" spans="11:11" x14ac:dyDescent="0.15">
      <c r="K397" s="150"/>
    </row>
    <row r="398" spans="11:11" x14ac:dyDescent="0.15">
      <c r="K398" s="150"/>
    </row>
    <row r="399" spans="11:11" x14ac:dyDescent="0.15">
      <c r="K399" s="150"/>
    </row>
    <row r="400" spans="11:11" x14ac:dyDescent="0.15">
      <c r="K400" s="150"/>
    </row>
    <row r="401" spans="11:11" x14ac:dyDescent="0.15">
      <c r="K401" s="150"/>
    </row>
    <row r="402" spans="11:11" x14ac:dyDescent="0.15">
      <c r="K402" s="150"/>
    </row>
    <row r="403" spans="11:11" x14ac:dyDescent="0.15">
      <c r="K403" s="150"/>
    </row>
    <row r="404" spans="11:11" x14ac:dyDescent="0.15">
      <c r="K404" s="150"/>
    </row>
    <row r="405" spans="11:11" x14ac:dyDescent="0.15">
      <c r="K405" s="150"/>
    </row>
    <row r="406" spans="11:11" x14ac:dyDescent="0.15">
      <c r="K406" s="150"/>
    </row>
    <row r="407" spans="11:11" x14ac:dyDescent="0.15">
      <c r="K407" s="150"/>
    </row>
    <row r="408" spans="11:11" x14ac:dyDescent="0.15">
      <c r="K408" s="150"/>
    </row>
    <row r="409" spans="11:11" x14ac:dyDescent="0.15">
      <c r="K409" s="150"/>
    </row>
    <row r="410" spans="11:11" x14ac:dyDescent="0.15">
      <c r="K410" s="150"/>
    </row>
    <row r="411" spans="11:11" x14ac:dyDescent="0.15">
      <c r="K411" s="150"/>
    </row>
    <row r="412" spans="11:11" x14ac:dyDescent="0.15">
      <c r="K412" s="150"/>
    </row>
    <row r="413" spans="11:11" x14ac:dyDescent="0.15">
      <c r="K413" s="150"/>
    </row>
    <row r="414" spans="11:11" x14ac:dyDescent="0.15">
      <c r="K414" s="150"/>
    </row>
    <row r="415" spans="11:11" x14ac:dyDescent="0.15">
      <c r="K415" s="150"/>
    </row>
    <row r="416" spans="11:11" x14ac:dyDescent="0.15">
      <c r="K416" s="150"/>
    </row>
    <row r="417" spans="11:11" x14ac:dyDescent="0.15">
      <c r="K417" s="150"/>
    </row>
    <row r="418" spans="11:11" x14ac:dyDescent="0.15">
      <c r="K418" s="150"/>
    </row>
    <row r="419" spans="11:11" x14ac:dyDescent="0.15">
      <c r="K419" s="150"/>
    </row>
    <row r="420" spans="11:11" x14ac:dyDescent="0.15">
      <c r="K420" s="150"/>
    </row>
    <row r="421" spans="11:11" x14ac:dyDescent="0.15">
      <c r="K421" s="150"/>
    </row>
    <row r="422" spans="11:11" x14ac:dyDescent="0.15">
      <c r="K422" s="150"/>
    </row>
    <row r="423" spans="11:11" x14ac:dyDescent="0.15">
      <c r="K423" s="150"/>
    </row>
    <row r="424" spans="11:11" x14ac:dyDescent="0.15">
      <c r="K424" s="150"/>
    </row>
    <row r="425" spans="11:11" x14ac:dyDescent="0.15">
      <c r="K425" s="150"/>
    </row>
    <row r="426" spans="11:11" x14ac:dyDescent="0.15">
      <c r="K426" s="150"/>
    </row>
    <row r="427" spans="11:11" x14ac:dyDescent="0.15">
      <c r="K427" s="150"/>
    </row>
    <row r="428" spans="11:11" x14ac:dyDescent="0.15">
      <c r="K428" s="150"/>
    </row>
    <row r="429" spans="11:11" x14ac:dyDescent="0.15">
      <c r="K429" s="150"/>
    </row>
    <row r="430" spans="11:11" x14ac:dyDescent="0.15">
      <c r="K430" s="150"/>
    </row>
    <row r="431" spans="11:11" x14ac:dyDescent="0.15">
      <c r="K431" s="150"/>
    </row>
    <row r="432" spans="11:11" x14ac:dyDescent="0.15">
      <c r="K432" s="150"/>
    </row>
    <row r="433" spans="11:11" x14ac:dyDescent="0.15">
      <c r="K433" s="150"/>
    </row>
    <row r="434" spans="11:11" x14ac:dyDescent="0.15">
      <c r="K434" s="150"/>
    </row>
    <row r="435" spans="11:11" x14ac:dyDescent="0.15">
      <c r="K435" s="150"/>
    </row>
    <row r="436" spans="11:11" x14ac:dyDescent="0.15">
      <c r="K436" s="150"/>
    </row>
    <row r="437" spans="11:11" x14ac:dyDescent="0.15">
      <c r="K437" s="150"/>
    </row>
    <row r="438" spans="11:11" x14ac:dyDescent="0.15">
      <c r="K438" s="150"/>
    </row>
    <row r="439" spans="11:11" x14ac:dyDescent="0.15">
      <c r="K439" s="150"/>
    </row>
    <row r="440" spans="11:11" x14ac:dyDescent="0.15">
      <c r="K440" s="150"/>
    </row>
    <row r="441" spans="11:11" x14ac:dyDescent="0.15">
      <c r="K441" s="150"/>
    </row>
    <row r="442" spans="11:11" x14ac:dyDescent="0.15">
      <c r="K442" s="150"/>
    </row>
    <row r="443" spans="11:11" x14ac:dyDescent="0.15">
      <c r="K443" s="150"/>
    </row>
  </sheetData>
  <autoFilter ref="A1:BA1" xr:uid="{00000000-0009-0000-0000-000000000000}"/>
  <phoneticPr fontId="3"/>
  <dataValidations count="20">
    <dataValidation type="list" allowBlank="1" showInputMessage="1" showErrorMessage="1" sqref="F2:F491" xr:uid="{9F915B79-A8D3-43E6-B11B-6CD7C34A45A2}">
      <formula1>$AH$2:$AH$11</formula1>
    </dataValidation>
    <dataValidation type="list" allowBlank="1" showInputMessage="1" showErrorMessage="1" sqref="E2:E491" xr:uid="{EEAA21DC-748F-4B8B-88D4-8CA66DD888B1}">
      <formula1>$AG$2:$AG$11</formula1>
    </dataValidation>
    <dataValidation type="decimal" allowBlank="1" showInputMessage="1" showErrorMessage="1" error="硬度を正しく入力して下さい。" sqref="O2:P491" xr:uid="{642B71F1-187C-48D3-9387-908A7EC45D6D}">
      <formula1>0</formula1>
      <formula2>7</formula2>
    </dataValidation>
    <dataValidation type="list" allowBlank="1" showInputMessage="1" showErrorMessage="1" sqref="Y2:AA491" xr:uid="{A6E49889-D197-431C-8AF5-6CAFC2E4E115}">
      <formula1>$AV$2:$AV$21</formula1>
    </dataValidation>
    <dataValidation type="list" allowBlank="1" showInputMessage="1" showErrorMessage="1" sqref="K444:K491" xr:uid="{39EB7069-4A32-49B6-8362-E683FAA3D6F7}">
      <formula1>$AR$2:$AR$25</formula1>
    </dataValidation>
    <dataValidation type="list" allowBlank="1" showInputMessage="1" showErrorMessage="1" sqref="I2:I491" xr:uid="{0B9E64B7-02A6-4016-8458-3792F42075DE}">
      <formula1>$AN$5:$AN$6</formula1>
    </dataValidation>
    <dataValidation type="list" allowBlank="1" showInputMessage="1" showErrorMessage="1" sqref="H2:H491" xr:uid="{3C606CF4-4763-499D-AC9C-D88FA119AD72}">
      <formula1>$AL$2:$AL$8</formula1>
    </dataValidation>
    <dataValidation type="list" allowBlank="1" showInputMessage="1" showErrorMessage="1" sqref="A2:A491" xr:uid="{95DAF223-39BC-40E9-B621-BD3A1CE8FCAC}">
      <formula1>$AE$2:$AE$19</formula1>
    </dataValidation>
    <dataValidation type="list" allowBlank="1" showInputMessage="1" showErrorMessage="1" sqref="X2:X491" xr:uid="{A0CE47CC-582E-402A-8F36-DB097A53EADD}">
      <formula1>$AT$2:$AT$3</formula1>
    </dataValidation>
    <dataValidation type="list" allowBlank="1" showInputMessage="1" showErrorMessage="1" sqref="G2:G491" xr:uid="{FF251F89-3118-445C-8512-C095316B3EA7}">
      <formula1>$AJ$2:$AJ$4</formula1>
    </dataValidation>
    <dataValidation type="list" allowBlank="1" showInputMessage="1" showErrorMessage="1" sqref="J2:J491" xr:uid="{B69FE07A-2FC5-4567-8F1D-57DF53FA65E1}">
      <formula1>$AP$2:$AP$27</formula1>
    </dataValidation>
    <dataValidation operator="equal" allowBlank="1" showInputMessage="1" showErrorMessage="1" sqref="B2:B46" xr:uid="{AE39C24A-CC0D-496B-96F0-61C2413F6E2B}"/>
    <dataValidation type="list" allowBlank="1" showInputMessage="1" showErrorMessage="1" sqref="F492:F64242" xr:uid="{C8F8D9E0-41B7-4224-8C87-CBAA7425E583}">
      <formula1>$AH$2:$AH$8</formula1>
    </dataValidation>
    <dataValidation type="list" allowBlank="1" showInputMessage="1" showErrorMessage="1" sqref="E492:E64242" xr:uid="{BB376529-25A4-4091-8544-8E4796F18E80}">
      <formula1>$AG$2:$AG$9</formula1>
    </dataValidation>
    <dataValidation type="list" allowBlank="1" showInputMessage="1" showErrorMessage="1" sqref="H492:H64242" xr:uid="{F38F400F-C333-459A-A161-EF3F5E569982}">
      <formula1>$AL$2:$AL$10</formula1>
    </dataValidation>
    <dataValidation type="list" allowBlank="1" showInputMessage="1" showErrorMessage="1" sqref="K492:K64242" xr:uid="{AC9423E3-177D-449B-8A81-6E6659DF16C1}">
      <formula1>$AR$2:$AR$28</formula1>
    </dataValidation>
    <dataValidation type="list" allowBlank="1" showInputMessage="1" showErrorMessage="1" sqref="Y492:AA64242" xr:uid="{7F33DFE4-F717-4F7D-B64A-A6F3787A8E83}">
      <formula1>$AV$2:$AV$26</formula1>
    </dataValidation>
    <dataValidation type="list" allowBlank="1" showInputMessage="1" showErrorMessage="1" sqref="I492:I64242" xr:uid="{8AEBB55F-4AF0-45D9-862A-941F8AB71163}">
      <formula1>$AN$2:$AN$6</formula1>
    </dataValidation>
    <dataValidation type="list" allowBlank="1" showInputMessage="1" showErrorMessage="1" sqref="J492:J64242" xr:uid="{EBA02DAB-EB73-42C5-BEF9-45B86DDFDEA3}">
      <formula1>$AP$2:$AP$16</formula1>
    </dataValidation>
    <dataValidation type="list" allowBlank="1" showInputMessage="1" showErrorMessage="1" sqref="K2:K443" xr:uid="{9E64C1F6-36B9-4665-B5C8-1B09BD54C774}">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B1A5-FC64-47A8-A647-849AFAEADB6F}">
  <dimension ref="A1:BA744"/>
  <sheetViews>
    <sheetView topLeftCell="A10" zoomScale="70" zoomScaleNormal="70" workbookViewId="0">
      <selection activeCell="A112" sqref="A112"/>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312</v>
      </c>
      <c r="V1" s="5" t="s">
        <v>20</v>
      </c>
      <c r="W1" s="2" t="s">
        <v>21</v>
      </c>
      <c r="X1" s="45" t="s">
        <v>22</v>
      </c>
      <c r="Y1" s="45" t="s">
        <v>23</v>
      </c>
      <c r="Z1" s="45" t="s">
        <v>356</v>
      </c>
      <c r="AA1" s="46" t="s">
        <v>25</v>
      </c>
      <c r="AB1" s="6" t="s">
        <v>26</v>
      </c>
      <c r="AE1" s="8" t="s">
        <v>0</v>
      </c>
      <c r="AF1" s="9"/>
      <c r="AG1" s="177"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4" t="s">
        <v>34</v>
      </c>
      <c r="B2" s="53" t="s">
        <v>232</v>
      </c>
      <c r="C2" s="53">
        <v>2019</v>
      </c>
      <c r="D2" s="178" t="s">
        <v>167</v>
      </c>
      <c r="E2" s="36" t="s">
        <v>357</v>
      </c>
      <c r="F2" s="36" t="s">
        <v>358</v>
      </c>
      <c r="G2" s="54" t="s">
        <v>36</v>
      </c>
      <c r="H2" s="53" t="s">
        <v>160</v>
      </c>
      <c r="I2" s="54" t="s">
        <v>159</v>
      </c>
      <c r="J2" s="54" t="s">
        <v>38</v>
      </c>
      <c r="K2" s="54" t="s">
        <v>161</v>
      </c>
      <c r="L2" s="54">
        <v>1</v>
      </c>
      <c r="N2" s="54">
        <v>1</v>
      </c>
      <c r="O2" s="54">
        <v>0.5</v>
      </c>
      <c r="P2" s="54">
        <v>0.5</v>
      </c>
      <c r="Q2" s="98">
        <f t="shared" ref="Q2:Q82" si="0">IF(OR(O2="",P2=""),"",AVERAGE(O2,P2))</f>
        <v>0.5</v>
      </c>
      <c r="R2" s="54">
        <v>20.7</v>
      </c>
      <c r="S2" s="54">
        <v>120</v>
      </c>
      <c r="T2" s="16">
        <f t="shared" ref="T2:T82" si="1">IF(H2="","",IF(OR(H2="GREEN",H2="GK"),IF(S2&gt;=$AX$2,VLOOKUP(S2,$AX$2:$AY$9,2,1),""),IF(S2&gt;=$AZ$2,VLOOKUP(S2,$AZ$2:$BA$9,2,1),"")))</f>
        <v>30</v>
      </c>
      <c r="U2" s="54">
        <v>136</v>
      </c>
      <c r="V2" s="16">
        <f t="shared" ref="V2:V82" si="2">IF(OR(N2="",U2="",T2=""),"",U2/N2*T2)</f>
        <v>4080</v>
      </c>
      <c r="W2" s="54">
        <v>1</v>
      </c>
      <c r="X2" s="54" t="s">
        <v>46</v>
      </c>
      <c r="Y2" s="54" t="s">
        <v>69</v>
      </c>
      <c r="Z2" s="54" t="s">
        <v>90</v>
      </c>
      <c r="AA2" s="54" t="s">
        <v>47</v>
      </c>
      <c r="AB2" s="54" t="s">
        <v>258</v>
      </c>
      <c r="AE2" s="17" t="s">
        <v>35</v>
      </c>
      <c r="AG2" s="179" t="s">
        <v>355</v>
      </c>
      <c r="AH2" s="65" t="s">
        <v>359</v>
      </c>
      <c r="AJ2" s="18" t="s">
        <v>36</v>
      </c>
      <c r="AL2" s="18" t="s">
        <v>127</v>
      </c>
      <c r="AN2" s="18" t="s">
        <v>37</v>
      </c>
      <c r="AP2" s="18" t="s">
        <v>38</v>
      </c>
      <c r="AR2" s="18" t="s">
        <v>120</v>
      </c>
      <c r="AT2" s="18" t="s">
        <v>39</v>
      </c>
      <c r="AV2" s="170" t="s">
        <v>40</v>
      </c>
      <c r="AX2" s="19">
        <v>1</v>
      </c>
      <c r="AY2" s="20">
        <v>50</v>
      </c>
      <c r="AZ2" s="20">
        <v>1</v>
      </c>
      <c r="BA2" s="21">
        <v>50</v>
      </c>
    </row>
    <row r="3" spans="1:53" x14ac:dyDescent="0.15">
      <c r="A3" s="54" t="s">
        <v>34</v>
      </c>
      <c r="B3" s="53" t="s">
        <v>232</v>
      </c>
      <c r="C3" s="53">
        <v>2019</v>
      </c>
      <c r="D3" s="178" t="s">
        <v>167</v>
      </c>
      <c r="E3" s="36" t="s">
        <v>357</v>
      </c>
      <c r="F3" s="36" t="s">
        <v>358</v>
      </c>
      <c r="G3" s="54" t="s">
        <v>36</v>
      </c>
      <c r="H3" s="53" t="s">
        <v>160</v>
      </c>
      <c r="I3" s="54" t="s">
        <v>159</v>
      </c>
      <c r="J3" s="54" t="s">
        <v>38</v>
      </c>
      <c r="K3" s="54" t="s">
        <v>161</v>
      </c>
      <c r="L3" s="53">
        <v>2</v>
      </c>
      <c r="N3" s="53">
        <v>1</v>
      </c>
      <c r="O3" s="53">
        <v>0.7</v>
      </c>
      <c r="P3" s="53">
        <v>0.85</v>
      </c>
      <c r="Q3" s="98">
        <f t="shared" si="0"/>
        <v>0.77499999999999991</v>
      </c>
      <c r="R3" s="53">
        <v>17.399999999999999</v>
      </c>
      <c r="S3" s="53">
        <v>118</v>
      </c>
      <c r="T3" s="16">
        <f t="shared" si="1"/>
        <v>30</v>
      </c>
      <c r="U3" s="53">
        <v>136</v>
      </c>
      <c r="V3" s="16">
        <f t="shared" si="2"/>
        <v>4080</v>
      </c>
      <c r="W3" s="54">
        <v>1</v>
      </c>
      <c r="X3" s="54" t="s">
        <v>46</v>
      </c>
      <c r="Y3" s="54" t="s">
        <v>69</v>
      </c>
      <c r="Z3" s="54" t="s">
        <v>90</v>
      </c>
      <c r="AA3" s="54" t="s">
        <v>47</v>
      </c>
      <c r="AB3" s="54" t="s">
        <v>258</v>
      </c>
      <c r="AC3" s="54"/>
      <c r="AE3" s="22" t="s">
        <v>41</v>
      </c>
      <c r="AG3" s="180" t="s">
        <v>360</v>
      </c>
      <c r="AH3" s="65" t="s">
        <v>359</v>
      </c>
      <c r="AJ3" s="23" t="s">
        <v>42</v>
      </c>
      <c r="AL3" s="23" t="s">
        <v>128</v>
      </c>
      <c r="AN3" s="23" t="s">
        <v>43</v>
      </c>
      <c r="AP3" s="23" t="s">
        <v>44</v>
      </c>
      <c r="AR3" s="41" t="s">
        <v>45</v>
      </c>
      <c r="AT3" s="23" t="s">
        <v>46</v>
      </c>
      <c r="AV3" s="23" t="s">
        <v>47</v>
      </c>
      <c r="AX3" s="24">
        <v>72</v>
      </c>
      <c r="AY3" s="25">
        <v>46</v>
      </c>
      <c r="AZ3" s="25">
        <v>71</v>
      </c>
      <c r="BA3" s="26">
        <v>42</v>
      </c>
    </row>
    <row r="4" spans="1:53" x14ac:dyDescent="0.15">
      <c r="A4" s="54" t="s">
        <v>34</v>
      </c>
      <c r="B4" s="53" t="s">
        <v>232</v>
      </c>
      <c r="C4" s="53">
        <v>2019</v>
      </c>
      <c r="D4" s="178" t="s">
        <v>167</v>
      </c>
      <c r="E4" s="36" t="s">
        <v>357</v>
      </c>
      <c r="F4" s="36" t="s">
        <v>358</v>
      </c>
      <c r="G4" s="54" t="s">
        <v>36</v>
      </c>
      <c r="H4" s="53" t="s">
        <v>160</v>
      </c>
      <c r="I4" s="54" t="s">
        <v>159</v>
      </c>
      <c r="J4" s="54" t="s">
        <v>38</v>
      </c>
      <c r="K4" s="54" t="s">
        <v>161</v>
      </c>
      <c r="L4" s="53">
        <v>3</v>
      </c>
      <c r="N4" s="53">
        <v>1</v>
      </c>
      <c r="O4" s="53">
        <v>0.7</v>
      </c>
      <c r="P4" s="53">
        <v>0.55000000000000004</v>
      </c>
      <c r="Q4" s="98">
        <f t="shared" si="0"/>
        <v>0.625</v>
      </c>
      <c r="R4" s="53">
        <v>17.899999999999999</v>
      </c>
      <c r="S4" s="53">
        <v>121</v>
      </c>
      <c r="T4" s="16">
        <f t="shared" si="1"/>
        <v>30</v>
      </c>
      <c r="U4" s="53">
        <v>136</v>
      </c>
      <c r="V4" s="16">
        <f t="shared" si="2"/>
        <v>4080</v>
      </c>
      <c r="W4" s="53">
        <v>1</v>
      </c>
      <c r="X4" s="54" t="s">
        <v>46</v>
      </c>
      <c r="Y4" s="54" t="s">
        <v>69</v>
      </c>
      <c r="Z4" s="54" t="s">
        <v>90</v>
      </c>
      <c r="AA4" s="54" t="s">
        <v>47</v>
      </c>
      <c r="AB4" s="54" t="s">
        <v>258</v>
      </c>
      <c r="AC4" s="54"/>
      <c r="AE4" s="22" t="s">
        <v>34</v>
      </c>
      <c r="AG4" s="180" t="s">
        <v>361</v>
      </c>
      <c r="AH4" s="65" t="s">
        <v>362</v>
      </c>
      <c r="AJ4" s="27" t="s">
        <v>48</v>
      </c>
      <c r="AL4" s="27" t="s">
        <v>129</v>
      </c>
      <c r="AN4" s="28" t="s">
        <v>49</v>
      </c>
      <c r="AP4" s="23" t="s">
        <v>93</v>
      </c>
      <c r="AR4" s="41" t="s">
        <v>121</v>
      </c>
      <c r="AT4" s="28"/>
      <c r="AV4" s="23" t="s">
        <v>50</v>
      </c>
      <c r="AX4" s="24">
        <v>75</v>
      </c>
      <c r="AY4" s="25">
        <v>42</v>
      </c>
      <c r="AZ4" s="25">
        <v>76</v>
      </c>
      <c r="BA4" s="26">
        <v>39</v>
      </c>
    </row>
    <row r="5" spans="1:53" x14ac:dyDescent="0.15">
      <c r="A5" s="54" t="s">
        <v>34</v>
      </c>
      <c r="B5" s="53" t="s">
        <v>232</v>
      </c>
      <c r="C5" s="53">
        <v>2019</v>
      </c>
      <c r="D5" s="178" t="s">
        <v>167</v>
      </c>
      <c r="E5" s="36" t="s">
        <v>363</v>
      </c>
      <c r="F5" s="36" t="s">
        <v>364</v>
      </c>
      <c r="G5" s="54" t="s">
        <v>36</v>
      </c>
      <c r="H5" s="53" t="s">
        <v>160</v>
      </c>
      <c r="I5" s="54" t="s">
        <v>159</v>
      </c>
      <c r="J5" s="54" t="s">
        <v>38</v>
      </c>
      <c r="K5" s="54" t="s">
        <v>161</v>
      </c>
      <c r="L5" s="54">
        <v>1</v>
      </c>
      <c r="N5" s="53">
        <v>1</v>
      </c>
      <c r="O5" s="53">
        <v>0.6</v>
      </c>
      <c r="P5" s="53">
        <v>0.7</v>
      </c>
      <c r="Q5" s="98">
        <f t="shared" si="0"/>
        <v>0.64999999999999991</v>
      </c>
      <c r="R5" s="53">
        <v>16.899999999999999</v>
      </c>
      <c r="S5" s="53">
        <v>87</v>
      </c>
      <c r="T5" s="16">
        <f t="shared" si="1"/>
        <v>36</v>
      </c>
      <c r="U5" s="53">
        <v>84</v>
      </c>
      <c r="V5" s="16">
        <f t="shared" si="2"/>
        <v>3024</v>
      </c>
      <c r="W5" s="53">
        <v>9</v>
      </c>
      <c r="X5" s="54" t="s">
        <v>46</v>
      </c>
      <c r="Y5" s="54" t="s">
        <v>69</v>
      </c>
      <c r="Z5" s="54" t="s">
        <v>55</v>
      </c>
      <c r="AA5" s="54" t="s">
        <v>47</v>
      </c>
      <c r="AB5" s="54" t="s">
        <v>258</v>
      </c>
      <c r="AE5" s="22" t="s">
        <v>51</v>
      </c>
      <c r="AG5" s="180" t="s">
        <v>365</v>
      </c>
      <c r="AH5" s="65" t="s">
        <v>366</v>
      </c>
      <c r="AJ5" s="28"/>
      <c r="AL5" s="29" t="s">
        <v>66</v>
      </c>
      <c r="AN5" s="29" t="s">
        <v>52</v>
      </c>
      <c r="AP5" s="23" t="s">
        <v>119</v>
      </c>
      <c r="AR5" s="41" t="s">
        <v>54</v>
      </c>
      <c r="AV5" s="23" t="s">
        <v>55</v>
      </c>
      <c r="AX5" s="24">
        <v>84</v>
      </c>
      <c r="AY5" s="25">
        <v>39</v>
      </c>
      <c r="AZ5" s="25">
        <v>84</v>
      </c>
      <c r="BA5" s="26">
        <v>36</v>
      </c>
    </row>
    <row r="6" spans="1:53" x14ac:dyDescent="0.15">
      <c r="A6" s="54" t="s">
        <v>34</v>
      </c>
      <c r="B6" s="53" t="s">
        <v>232</v>
      </c>
      <c r="C6" s="53">
        <v>2019</v>
      </c>
      <c r="D6" s="178" t="s">
        <v>167</v>
      </c>
      <c r="E6" s="36" t="s">
        <v>363</v>
      </c>
      <c r="F6" s="36" t="s">
        <v>364</v>
      </c>
      <c r="G6" s="54" t="s">
        <v>36</v>
      </c>
      <c r="H6" s="53" t="s">
        <v>160</v>
      </c>
      <c r="I6" s="54" t="s">
        <v>159</v>
      </c>
      <c r="J6" s="54" t="s">
        <v>38</v>
      </c>
      <c r="K6" s="54" t="s">
        <v>161</v>
      </c>
      <c r="L6" s="53">
        <v>2</v>
      </c>
      <c r="N6" s="53">
        <v>1</v>
      </c>
      <c r="O6" s="53">
        <v>0.6</v>
      </c>
      <c r="P6" s="53">
        <v>0.7</v>
      </c>
      <c r="Q6" s="98">
        <f t="shared" si="0"/>
        <v>0.64999999999999991</v>
      </c>
      <c r="R6" s="53">
        <v>16.899999999999999</v>
      </c>
      <c r="S6" s="53">
        <v>84</v>
      </c>
      <c r="T6" s="16">
        <f t="shared" si="1"/>
        <v>36</v>
      </c>
      <c r="U6" s="53">
        <v>84</v>
      </c>
      <c r="V6" s="16">
        <f t="shared" si="2"/>
        <v>3024</v>
      </c>
      <c r="W6" s="53">
        <v>9</v>
      </c>
      <c r="X6" s="54" t="s">
        <v>46</v>
      </c>
      <c r="Y6" s="54" t="s">
        <v>69</v>
      </c>
      <c r="Z6" s="54" t="s">
        <v>55</v>
      </c>
      <c r="AA6" s="54" t="s">
        <v>47</v>
      </c>
      <c r="AB6" s="54" t="s">
        <v>258</v>
      </c>
      <c r="AE6" s="22" t="s">
        <v>56</v>
      </c>
      <c r="AG6" s="180" t="s">
        <v>367</v>
      </c>
      <c r="AH6" s="65" t="s">
        <v>368</v>
      </c>
      <c r="AL6" s="29" t="s">
        <v>99</v>
      </c>
      <c r="AN6" s="29" t="s">
        <v>57</v>
      </c>
      <c r="AP6" s="23" t="s">
        <v>53</v>
      </c>
      <c r="AR6" s="41" t="s">
        <v>59</v>
      </c>
      <c r="AV6" s="23" t="s">
        <v>60</v>
      </c>
      <c r="AX6" s="24">
        <v>97</v>
      </c>
      <c r="AY6" s="25">
        <v>36</v>
      </c>
      <c r="AZ6" s="25">
        <v>99</v>
      </c>
      <c r="BA6" s="26">
        <v>33</v>
      </c>
    </row>
    <row r="7" spans="1:53" x14ac:dyDescent="0.15">
      <c r="A7" s="54" t="s">
        <v>34</v>
      </c>
      <c r="B7" s="53" t="s">
        <v>232</v>
      </c>
      <c r="C7" s="53">
        <v>2019</v>
      </c>
      <c r="D7" s="178" t="s">
        <v>167</v>
      </c>
      <c r="E7" s="36" t="s">
        <v>363</v>
      </c>
      <c r="F7" s="36" t="s">
        <v>364</v>
      </c>
      <c r="G7" s="54" t="s">
        <v>36</v>
      </c>
      <c r="H7" s="53" t="s">
        <v>160</v>
      </c>
      <c r="I7" s="54" t="s">
        <v>159</v>
      </c>
      <c r="J7" s="54" t="s">
        <v>38</v>
      </c>
      <c r="K7" s="54" t="s">
        <v>161</v>
      </c>
      <c r="L7" s="53">
        <v>3</v>
      </c>
      <c r="N7" s="53">
        <v>1</v>
      </c>
      <c r="O7" s="53">
        <v>0.6</v>
      </c>
      <c r="P7" s="53">
        <v>0.2</v>
      </c>
      <c r="Q7" s="98">
        <f t="shared" si="0"/>
        <v>0.4</v>
      </c>
      <c r="R7" s="53">
        <v>19.899999999999999</v>
      </c>
      <c r="S7" s="53">
        <v>84</v>
      </c>
      <c r="T7" s="16">
        <f t="shared" si="1"/>
        <v>36</v>
      </c>
      <c r="U7" s="53">
        <v>84</v>
      </c>
      <c r="V7" s="16">
        <f t="shared" si="2"/>
        <v>3024</v>
      </c>
      <c r="W7" s="53">
        <v>9</v>
      </c>
      <c r="X7" s="54" t="s">
        <v>46</v>
      </c>
      <c r="Y7" s="54" t="s">
        <v>69</v>
      </c>
      <c r="Z7" s="54" t="s">
        <v>55</v>
      </c>
      <c r="AA7" s="54" t="s">
        <v>47</v>
      </c>
      <c r="AB7" s="54" t="s">
        <v>258</v>
      </c>
      <c r="AE7" s="22" t="s">
        <v>61</v>
      </c>
      <c r="AG7" s="180" t="s">
        <v>269</v>
      </c>
      <c r="AH7" s="65" t="s">
        <v>369</v>
      </c>
      <c r="AL7" s="34" t="s">
        <v>109</v>
      </c>
      <c r="AP7" s="23" t="s">
        <v>58</v>
      </c>
      <c r="AR7" s="30" t="s">
        <v>122</v>
      </c>
      <c r="AV7" s="23" t="s">
        <v>64</v>
      </c>
      <c r="AX7" s="24">
        <v>109</v>
      </c>
      <c r="AY7" s="25">
        <v>33</v>
      </c>
      <c r="AZ7" s="25">
        <v>113</v>
      </c>
      <c r="BA7" s="26">
        <v>30</v>
      </c>
    </row>
    <row r="8" spans="1:53" x14ac:dyDescent="0.15">
      <c r="A8" s="54" t="s">
        <v>34</v>
      </c>
      <c r="B8" s="53" t="s">
        <v>232</v>
      </c>
      <c r="C8" s="53">
        <v>2019</v>
      </c>
      <c r="D8" s="178" t="s">
        <v>167</v>
      </c>
      <c r="E8" s="36" t="s">
        <v>363</v>
      </c>
      <c r="F8" s="36" t="s">
        <v>364</v>
      </c>
      <c r="G8" s="54" t="s">
        <v>36</v>
      </c>
      <c r="H8" s="53" t="s">
        <v>160</v>
      </c>
      <c r="I8" s="54" t="s">
        <v>159</v>
      </c>
      <c r="J8" s="54" t="s">
        <v>38</v>
      </c>
      <c r="K8" s="54" t="s">
        <v>161</v>
      </c>
      <c r="L8" s="54">
        <v>1</v>
      </c>
      <c r="N8" s="53">
        <v>5</v>
      </c>
      <c r="O8" s="53">
        <v>0.7</v>
      </c>
      <c r="P8" s="53">
        <v>0.65</v>
      </c>
      <c r="Q8" s="98">
        <f t="shared" si="0"/>
        <v>0.67500000000000004</v>
      </c>
      <c r="R8" s="53">
        <v>20.8</v>
      </c>
      <c r="S8" s="53">
        <v>84</v>
      </c>
      <c r="T8" s="16">
        <f t="shared" si="1"/>
        <v>36</v>
      </c>
      <c r="U8" s="53">
        <v>429</v>
      </c>
      <c r="V8" s="16">
        <f t="shared" si="2"/>
        <v>3088.7999999999997</v>
      </c>
      <c r="W8" s="53">
        <v>9</v>
      </c>
      <c r="X8" s="54" t="s">
        <v>46</v>
      </c>
      <c r="Y8" s="54" t="s">
        <v>69</v>
      </c>
      <c r="Z8" s="54" t="s">
        <v>55</v>
      </c>
      <c r="AA8" s="54" t="s">
        <v>47</v>
      </c>
      <c r="AB8" s="54" t="s">
        <v>258</v>
      </c>
      <c r="AE8" s="22" t="s">
        <v>59</v>
      </c>
      <c r="AG8" s="180" t="s">
        <v>363</v>
      </c>
      <c r="AH8" s="65" t="s">
        <v>364</v>
      </c>
      <c r="AL8" s="34" t="s">
        <v>134</v>
      </c>
      <c r="AP8" s="23" t="s">
        <v>62</v>
      </c>
      <c r="AR8" s="41" t="s">
        <v>81</v>
      </c>
      <c r="AV8" s="23" t="s">
        <v>97</v>
      </c>
      <c r="AX8" s="24">
        <v>151</v>
      </c>
      <c r="AY8" s="25">
        <v>22</v>
      </c>
      <c r="AZ8" s="25">
        <v>152</v>
      </c>
      <c r="BA8" s="26">
        <v>18</v>
      </c>
    </row>
    <row r="9" spans="1:53" x14ac:dyDescent="0.15">
      <c r="A9" s="54" t="s">
        <v>34</v>
      </c>
      <c r="B9" s="53" t="s">
        <v>232</v>
      </c>
      <c r="C9" s="53">
        <v>2019</v>
      </c>
      <c r="D9" s="178" t="s">
        <v>167</v>
      </c>
      <c r="E9" s="36" t="s">
        <v>363</v>
      </c>
      <c r="F9" s="36" t="s">
        <v>364</v>
      </c>
      <c r="G9" s="54" t="s">
        <v>36</v>
      </c>
      <c r="H9" s="53" t="s">
        <v>160</v>
      </c>
      <c r="I9" s="54" t="s">
        <v>159</v>
      </c>
      <c r="J9" s="54" t="s">
        <v>38</v>
      </c>
      <c r="K9" s="54" t="s">
        <v>161</v>
      </c>
      <c r="L9" s="53">
        <v>2</v>
      </c>
      <c r="N9" s="53">
        <v>5</v>
      </c>
      <c r="O9" s="53">
        <v>0.6</v>
      </c>
      <c r="P9" s="53">
        <v>0.65</v>
      </c>
      <c r="Q9" s="98">
        <f t="shared" si="0"/>
        <v>0.625</v>
      </c>
      <c r="R9" s="53">
        <v>20.5</v>
      </c>
      <c r="S9" s="53">
        <v>89</v>
      </c>
      <c r="T9" s="16">
        <f t="shared" si="1"/>
        <v>36</v>
      </c>
      <c r="U9" s="53">
        <v>429</v>
      </c>
      <c r="V9" s="16">
        <f t="shared" si="2"/>
        <v>3088.7999999999997</v>
      </c>
      <c r="W9" s="53">
        <v>9</v>
      </c>
      <c r="X9" s="54" t="s">
        <v>46</v>
      </c>
      <c r="Y9" s="54" t="s">
        <v>69</v>
      </c>
      <c r="Z9" s="54" t="s">
        <v>55</v>
      </c>
      <c r="AA9" s="54" t="s">
        <v>47</v>
      </c>
      <c r="AB9" s="54" t="s">
        <v>258</v>
      </c>
      <c r="AE9" s="22" t="s">
        <v>98</v>
      </c>
      <c r="AG9" s="180" t="s">
        <v>370</v>
      </c>
      <c r="AH9" s="65" t="s">
        <v>371</v>
      </c>
      <c r="AL9" s="29"/>
      <c r="AP9" s="23" t="s">
        <v>95</v>
      </c>
      <c r="AR9" s="30" t="s">
        <v>89</v>
      </c>
      <c r="AV9" s="23" t="s">
        <v>102</v>
      </c>
      <c r="AX9" s="31">
        <v>180</v>
      </c>
      <c r="AY9" s="32">
        <v>18</v>
      </c>
      <c r="AZ9" s="32">
        <v>181</v>
      </c>
      <c r="BA9" s="33">
        <v>16</v>
      </c>
    </row>
    <row r="10" spans="1:53" x14ac:dyDescent="0.15">
      <c r="A10" s="54" t="s">
        <v>34</v>
      </c>
      <c r="B10" s="53" t="s">
        <v>232</v>
      </c>
      <c r="C10" s="53">
        <v>2019</v>
      </c>
      <c r="D10" s="178" t="s">
        <v>167</v>
      </c>
      <c r="E10" s="36" t="s">
        <v>363</v>
      </c>
      <c r="F10" s="36" t="s">
        <v>364</v>
      </c>
      <c r="G10" s="54" t="s">
        <v>36</v>
      </c>
      <c r="H10" s="53" t="s">
        <v>160</v>
      </c>
      <c r="I10" s="54" t="s">
        <v>159</v>
      </c>
      <c r="J10" s="54" t="s">
        <v>38</v>
      </c>
      <c r="K10" s="54" t="s">
        <v>161</v>
      </c>
      <c r="L10" s="53">
        <v>3</v>
      </c>
      <c r="N10" s="53">
        <v>5</v>
      </c>
      <c r="O10" s="53">
        <v>0.55000000000000004</v>
      </c>
      <c r="P10" s="53">
        <v>0.65</v>
      </c>
      <c r="Q10" s="98">
        <f t="shared" si="0"/>
        <v>0.60000000000000009</v>
      </c>
      <c r="R10" s="53">
        <v>19.2</v>
      </c>
      <c r="S10" s="53">
        <v>90</v>
      </c>
      <c r="T10" s="16">
        <f t="shared" si="1"/>
        <v>36</v>
      </c>
      <c r="U10" s="53">
        <v>429</v>
      </c>
      <c r="V10" s="16">
        <f t="shared" si="2"/>
        <v>3088.7999999999997</v>
      </c>
      <c r="W10" s="53">
        <v>9</v>
      </c>
      <c r="X10" s="54" t="s">
        <v>46</v>
      </c>
      <c r="Y10" s="54" t="s">
        <v>69</v>
      </c>
      <c r="Z10" s="54" t="s">
        <v>55</v>
      </c>
      <c r="AA10" s="54" t="s">
        <v>47</v>
      </c>
      <c r="AB10" s="54" t="s">
        <v>258</v>
      </c>
      <c r="AE10" s="22" t="s">
        <v>103</v>
      </c>
      <c r="AG10" s="180" t="s">
        <v>357</v>
      </c>
      <c r="AH10" s="65" t="s">
        <v>358</v>
      </c>
      <c r="AL10" s="34"/>
      <c r="AP10" s="23" t="s">
        <v>100</v>
      </c>
      <c r="AR10" s="30" t="s">
        <v>123</v>
      </c>
      <c r="AV10" s="23" t="s">
        <v>106</v>
      </c>
    </row>
    <row r="11" spans="1:53" x14ac:dyDescent="0.15">
      <c r="A11" s="54" t="s">
        <v>34</v>
      </c>
      <c r="B11" s="53" t="s">
        <v>232</v>
      </c>
      <c r="C11" s="53">
        <v>2019</v>
      </c>
      <c r="D11" s="178" t="s">
        <v>167</v>
      </c>
      <c r="E11" s="36" t="s">
        <v>210</v>
      </c>
      <c r="F11" s="36" t="s">
        <v>372</v>
      </c>
      <c r="G11" s="54" t="s">
        <v>36</v>
      </c>
      <c r="H11" s="53" t="s">
        <v>160</v>
      </c>
      <c r="I11" s="54" t="s">
        <v>159</v>
      </c>
      <c r="J11" s="54" t="s">
        <v>38</v>
      </c>
      <c r="K11" s="54" t="s">
        <v>161</v>
      </c>
      <c r="L11" s="54">
        <v>1</v>
      </c>
      <c r="N11" s="53">
        <v>1</v>
      </c>
      <c r="O11" s="53">
        <v>0.75</v>
      </c>
      <c r="P11" s="53">
        <v>0.65</v>
      </c>
      <c r="Q11" s="98">
        <f t="shared" si="0"/>
        <v>0.7</v>
      </c>
      <c r="R11" s="53">
        <v>17.600000000000001</v>
      </c>
      <c r="S11" s="53">
        <v>137</v>
      </c>
      <c r="T11" s="16">
        <f t="shared" si="1"/>
        <v>30</v>
      </c>
      <c r="U11" s="53">
        <v>137</v>
      </c>
      <c r="V11" s="16">
        <f t="shared" si="2"/>
        <v>4110</v>
      </c>
      <c r="W11" s="53">
        <v>11</v>
      </c>
      <c r="X11" s="54" t="s">
        <v>46</v>
      </c>
      <c r="Y11" s="54" t="s">
        <v>55</v>
      </c>
      <c r="Z11" s="54" t="s">
        <v>69</v>
      </c>
      <c r="AA11" s="54" t="s">
        <v>47</v>
      </c>
      <c r="AB11" s="54" t="s">
        <v>258</v>
      </c>
      <c r="AE11" s="22" t="s">
        <v>65</v>
      </c>
      <c r="AG11" s="180" t="s">
        <v>210</v>
      </c>
      <c r="AH11" s="65" t="s">
        <v>372</v>
      </c>
      <c r="AL11" s="34"/>
      <c r="AP11" s="23" t="s">
        <v>104</v>
      </c>
      <c r="AR11" s="30" t="s">
        <v>87</v>
      </c>
      <c r="AV11" s="23" t="s">
        <v>69</v>
      </c>
    </row>
    <row r="12" spans="1:53" x14ac:dyDescent="0.15">
      <c r="A12" s="54" t="s">
        <v>34</v>
      </c>
      <c r="B12" s="53" t="s">
        <v>232</v>
      </c>
      <c r="C12" s="53">
        <v>2019</v>
      </c>
      <c r="D12" s="178" t="s">
        <v>167</v>
      </c>
      <c r="E12" s="36" t="s">
        <v>210</v>
      </c>
      <c r="F12" s="36" t="s">
        <v>372</v>
      </c>
      <c r="G12" s="54" t="s">
        <v>36</v>
      </c>
      <c r="H12" s="53" t="s">
        <v>160</v>
      </c>
      <c r="I12" s="54" t="s">
        <v>159</v>
      </c>
      <c r="J12" s="54" t="s">
        <v>38</v>
      </c>
      <c r="K12" s="54" t="s">
        <v>161</v>
      </c>
      <c r="L12" s="53">
        <v>2</v>
      </c>
      <c r="N12" s="53">
        <v>1</v>
      </c>
      <c r="O12" s="53">
        <v>0.75</v>
      </c>
      <c r="P12" s="53">
        <v>0.8</v>
      </c>
      <c r="Q12" s="98">
        <f t="shared" si="0"/>
        <v>0.77500000000000002</v>
      </c>
      <c r="R12" s="53">
        <v>17.8</v>
      </c>
      <c r="S12" s="53">
        <v>146</v>
      </c>
      <c r="T12" s="16">
        <f t="shared" si="1"/>
        <v>30</v>
      </c>
      <c r="U12" s="53">
        <v>137</v>
      </c>
      <c r="V12" s="16">
        <f t="shared" si="2"/>
        <v>4110</v>
      </c>
      <c r="W12" s="53">
        <v>11</v>
      </c>
      <c r="X12" s="54" t="s">
        <v>46</v>
      </c>
      <c r="Y12" s="54" t="s">
        <v>55</v>
      </c>
      <c r="Z12" s="54" t="s">
        <v>69</v>
      </c>
      <c r="AA12" s="54" t="s">
        <v>47</v>
      </c>
      <c r="AB12" s="54" t="s">
        <v>258</v>
      </c>
      <c r="AE12" s="22" t="s">
        <v>70</v>
      </c>
      <c r="AG12" s="77"/>
      <c r="AH12" s="23"/>
      <c r="AL12" s="34"/>
      <c r="AP12" s="23" t="s">
        <v>67</v>
      </c>
      <c r="AR12" s="30" t="s">
        <v>124</v>
      </c>
      <c r="AV12" s="23" t="s">
        <v>72</v>
      </c>
    </row>
    <row r="13" spans="1:53" x14ac:dyDescent="0.15">
      <c r="A13" s="54" t="s">
        <v>34</v>
      </c>
      <c r="B13" s="53" t="s">
        <v>232</v>
      </c>
      <c r="C13" s="53">
        <v>2019</v>
      </c>
      <c r="D13" s="178" t="s">
        <v>167</v>
      </c>
      <c r="E13" s="36" t="s">
        <v>210</v>
      </c>
      <c r="F13" s="36" t="s">
        <v>372</v>
      </c>
      <c r="G13" s="54" t="s">
        <v>36</v>
      </c>
      <c r="H13" s="53" t="s">
        <v>160</v>
      </c>
      <c r="I13" s="54" t="s">
        <v>159</v>
      </c>
      <c r="J13" s="54" t="s">
        <v>38</v>
      </c>
      <c r="K13" s="54" t="s">
        <v>161</v>
      </c>
      <c r="L13" s="53">
        <v>3</v>
      </c>
      <c r="N13" s="53">
        <v>1</v>
      </c>
      <c r="O13" s="53">
        <v>0.7</v>
      </c>
      <c r="P13" s="53">
        <v>0.85</v>
      </c>
      <c r="Q13" s="98">
        <f t="shared" si="0"/>
        <v>0.77499999999999991</v>
      </c>
      <c r="R13" s="53">
        <v>18.3</v>
      </c>
      <c r="S13" s="53">
        <v>140</v>
      </c>
      <c r="T13" s="16">
        <f t="shared" si="1"/>
        <v>30</v>
      </c>
      <c r="U13" s="53">
        <v>137</v>
      </c>
      <c r="V13" s="16">
        <f t="shared" si="2"/>
        <v>4110</v>
      </c>
      <c r="W13" s="53">
        <v>11</v>
      </c>
      <c r="X13" s="54" t="s">
        <v>46</v>
      </c>
      <c r="Y13" s="54" t="s">
        <v>55</v>
      </c>
      <c r="Z13" s="54" t="s">
        <v>69</v>
      </c>
      <c r="AA13" s="54" t="s">
        <v>47</v>
      </c>
      <c r="AB13" s="54" t="s">
        <v>258</v>
      </c>
      <c r="AE13" s="22" t="s">
        <v>73</v>
      </c>
      <c r="AG13" s="181"/>
      <c r="AH13" s="28"/>
      <c r="AP13" s="23" t="s">
        <v>71</v>
      </c>
      <c r="AR13" s="30" t="s">
        <v>103</v>
      </c>
      <c r="AV13" s="23" t="s">
        <v>75</v>
      </c>
    </row>
    <row r="14" spans="1:53" x14ac:dyDescent="0.15">
      <c r="A14" s="54" t="s">
        <v>34</v>
      </c>
      <c r="B14" s="53" t="s">
        <v>232</v>
      </c>
      <c r="C14" s="53">
        <v>2019</v>
      </c>
      <c r="D14" s="178" t="s">
        <v>167</v>
      </c>
      <c r="E14" s="36" t="s">
        <v>210</v>
      </c>
      <c r="F14" s="36" t="s">
        <v>372</v>
      </c>
      <c r="G14" s="54" t="s">
        <v>36</v>
      </c>
      <c r="H14" s="53" t="s">
        <v>160</v>
      </c>
      <c r="I14" s="54" t="s">
        <v>159</v>
      </c>
      <c r="J14" s="54" t="s">
        <v>38</v>
      </c>
      <c r="K14" s="54" t="s">
        <v>161</v>
      </c>
      <c r="L14" s="54">
        <v>1</v>
      </c>
      <c r="N14" s="53">
        <v>4</v>
      </c>
      <c r="O14" s="53">
        <v>0.6</v>
      </c>
      <c r="P14" s="53">
        <v>0.55000000000000004</v>
      </c>
      <c r="Q14" s="98">
        <f t="shared" si="0"/>
        <v>0.57499999999999996</v>
      </c>
      <c r="R14" s="53">
        <v>20.9</v>
      </c>
      <c r="S14" s="53">
        <v>91</v>
      </c>
      <c r="T14" s="16">
        <f t="shared" si="1"/>
        <v>36</v>
      </c>
      <c r="U14" s="53">
        <v>428</v>
      </c>
      <c r="V14" s="16">
        <f t="shared" si="2"/>
        <v>3852</v>
      </c>
      <c r="W14" s="53">
        <v>11</v>
      </c>
      <c r="X14" s="54" t="s">
        <v>46</v>
      </c>
      <c r="Y14" s="54" t="s">
        <v>55</v>
      </c>
      <c r="Z14" s="54" t="s">
        <v>69</v>
      </c>
      <c r="AA14" s="54" t="s">
        <v>47</v>
      </c>
      <c r="AB14" s="54" t="s">
        <v>258</v>
      </c>
      <c r="AE14" s="22" t="s">
        <v>76</v>
      </c>
      <c r="AG14" s="182"/>
      <c r="AL14" s="152"/>
      <c r="AP14" s="23" t="s">
        <v>74</v>
      </c>
      <c r="AR14" s="30" t="s">
        <v>125</v>
      </c>
      <c r="AV14" s="23" t="s">
        <v>78</v>
      </c>
    </row>
    <row r="15" spans="1:53" x14ac:dyDescent="0.15">
      <c r="A15" s="54" t="s">
        <v>34</v>
      </c>
      <c r="B15" s="53" t="s">
        <v>232</v>
      </c>
      <c r="C15" s="53">
        <v>2019</v>
      </c>
      <c r="D15" s="178" t="s">
        <v>167</v>
      </c>
      <c r="E15" s="36" t="s">
        <v>210</v>
      </c>
      <c r="F15" s="36" t="s">
        <v>372</v>
      </c>
      <c r="G15" s="54" t="s">
        <v>36</v>
      </c>
      <c r="H15" s="53" t="s">
        <v>160</v>
      </c>
      <c r="I15" s="54" t="s">
        <v>159</v>
      </c>
      <c r="J15" s="54" t="s">
        <v>38</v>
      </c>
      <c r="K15" s="54" t="s">
        <v>161</v>
      </c>
      <c r="L15" s="54">
        <v>2</v>
      </c>
      <c r="N15" s="53">
        <v>4</v>
      </c>
      <c r="O15" s="53">
        <v>0.65</v>
      </c>
      <c r="P15" s="53">
        <v>0.5</v>
      </c>
      <c r="Q15" s="98">
        <f t="shared" si="0"/>
        <v>0.57499999999999996</v>
      </c>
      <c r="R15" s="53">
        <v>19.899999999999999</v>
      </c>
      <c r="S15" s="53">
        <v>92</v>
      </c>
      <c r="T15" s="16">
        <f t="shared" si="1"/>
        <v>36</v>
      </c>
      <c r="U15" s="53">
        <v>428</v>
      </c>
      <c r="V15" s="16">
        <f t="shared" si="2"/>
        <v>3852</v>
      </c>
      <c r="W15" s="53">
        <v>11</v>
      </c>
      <c r="X15" s="54" t="s">
        <v>46</v>
      </c>
      <c r="Y15" s="54" t="s">
        <v>55</v>
      </c>
      <c r="Z15" s="54" t="s">
        <v>69</v>
      </c>
      <c r="AA15" s="54" t="s">
        <v>47</v>
      </c>
      <c r="AB15" s="54" t="s">
        <v>258</v>
      </c>
      <c r="AE15" s="22" t="s">
        <v>79</v>
      </c>
      <c r="AL15" s="183"/>
      <c r="AP15" s="23" t="s">
        <v>77</v>
      </c>
      <c r="AR15" s="30" t="s">
        <v>94</v>
      </c>
      <c r="AV15" s="23" t="s">
        <v>107</v>
      </c>
    </row>
    <row r="16" spans="1:53" x14ac:dyDescent="0.15">
      <c r="A16" s="54" t="s">
        <v>34</v>
      </c>
      <c r="B16" s="53" t="s">
        <v>232</v>
      </c>
      <c r="C16" s="53">
        <v>2019</v>
      </c>
      <c r="D16" s="178" t="s">
        <v>167</v>
      </c>
      <c r="E16" s="36" t="s">
        <v>210</v>
      </c>
      <c r="F16" s="36" t="s">
        <v>372</v>
      </c>
      <c r="G16" s="54" t="s">
        <v>36</v>
      </c>
      <c r="H16" s="53" t="s">
        <v>160</v>
      </c>
      <c r="I16" s="54" t="s">
        <v>159</v>
      </c>
      <c r="J16" s="54" t="s">
        <v>38</v>
      </c>
      <c r="K16" s="54" t="s">
        <v>161</v>
      </c>
      <c r="L16" s="54">
        <v>3</v>
      </c>
      <c r="N16" s="53">
        <v>4</v>
      </c>
      <c r="O16" s="53">
        <v>0.45</v>
      </c>
      <c r="P16" s="53">
        <v>0.5</v>
      </c>
      <c r="Q16" s="98">
        <f t="shared" si="0"/>
        <v>0.47499999999999998</v>
      </c>
      <c r="R16" s="53">
        <v>18.5</v>
      </c>
      <c r="S16" s="53">
        <v>88</v>
      </c>
      <c r="T16" s="16">
        <f t="shared" si="1"/>
        <v>36</v>
      </c>
      <c r="U16" s="53">
        <v>428</v>
      </c>
      <c r="V16" s="16">
        <f t="shared" si="2"/>
        <v>3852</v>
      </c>
      <c r="W16" s="53">
        <v>11</v>
      </c>
      <c r="X16" s="54" t="s">
        <v>46</v>
      </c>
      <c r="Y16" s="54" t="s">
        <v>55</v>
      </c>
      <c r="Z16" s="54" t="s">
        <v>69</v>
      </c>
      <c r="AA16" s="54" t="s">
        <v>47</v>
      </c>
      <c r="AB16" s="54" t="s">
        <v>258</v>
      </c>
      <c r="AE16" s="22" t="s">
        <v>82</v>
      </c>
      <c r="AL16" s="183"/>
      <c r="AP16" s="23" t="s">
        <v>80</v>
      </c>
      <c r="AR16" s="41" t="s">
        <v>63</v>
      </c>
      <c r="AV16" s="23" t="s">
        <v>84</v>
      </c>
    </row>
    <row r="17" spans="1:48" x14ac:dyDescent="0.15">
      <c r="A17" s="54" t="s">
        <v>34</v>
      </c>
      <c r="B17" s="53" t="s">
        <v>232</v>
      </c>
      <c r="C17" s="53">
        <v>2019</v>
      </c>
      <c r="D17" s="178" t="s">
        <v>167</v>
      </c>
      <c r="E17" s="36" t="s">
        <v>210</v>
      </c>
      <c r="F17" s="36" t="s">
        <v>372</v>
      </c>
      <c r="G17" s="54" t="s">
        <v>36</v>
      </c>
      <c r="H17" s="53" t="s">
        <v>165</v>
      </c>
      <c r="I17" s="54" t="s">
        <v>159</v>
      </c>
      <c r="J17" s="54" t="s">
        <v>38</v>
      </c>
      <c r="K17" s="54" t="s">
        <v>161</v>
      </c>
      <c r="L17" s="54">
        <v>1</v>
      </c>
      <c r="N17" s="53">
        <v>1</v>
      </c>
      <c r="O17" s="53">
        <v>0.7</v>
      </c>
      <c r="P17" s="53">
        <v>0.85</v>
      </c>
      <c r="Q17" s="98">
        <f t="shared" si="0"/>
        <v>0.77499999999999991</v>
      </c>
      <c r="R17" s="53">
        <v>17.100000000000001</v>
      </c>
      <c r="S17" s="53">
        <v>128</v>
      </c>
      <c r="T17" s="16">
        <f t="shared" si="1"/>
        <v>30</v>
      </c>
      <c r="U17" s="53">
        <v>137</v>
      </c>
      <c r="V17" s="16">
        <f t="shared" si="2"/>
        <v>4110</v>
      </c>
      <c r="W17" s="53">
        <v>6</v>
      </c>
      <c r="X17" s="54" t="s">
        <v>46</v>
      </c>
      <c r="Y17" s="54" t="s">
        <v>55</v>
      </c>
      <c r="Z17" s="54" t="s">
        <v>69</v>
      </c>
      <c r="AA17" s="54" t="s">
        <v>47</v>
      </c>
      <c r="AB17" s="54" t="s">
        <v>258</v>
      </c>
      <c r="AE17" s="22" t="s">
        <v>85</v>
      </c>
      <c r="AL17" s="183"/>
      <c r="AP17" s="43" t="s">
        <v>110</v>
      </c>
      <c r="AR17" s="41" t="s">
        <v>96</v>
      </c>
      <c r="AV17" s="23" t="s">
        <v>86</v>
      </c>
    </row>
    <row r="18" spans="1:48" x14ac:dyDescent="0.15">
      <c r="A18" s="54" t="s">
        <v>34</v>
      </c>
      <c r="B18" s="53" t="s">
        <v>232</v>
      </c>
      <c r="C18" s="53">
        <v>2019</v>
      </c>
      <c r="D18" s="178" t="s">
        <v>167</v>
      </c>
      <c r="E18" s="36" t="s">
        <v>210</v>
      </c>
      <c r="F18" s="36" t="s">
        <v>372</v>
      </c>
      <c r="G18" s="54" t="s">
        <v>36</v>
      </c>
      <c r="H18" s="53" t="s">
        <v>165</v>
      </c>
      <c r="I18" s="54" t="s">
        <v>159</v>
      </c>
      <c r="J18" s="54" t="s">
        <v>38</v>
      </c>
      <c r="K18" s="54" t="s">
        <v>161</v>
      </c>
      <c r="L18" s="53">
        <v>2</v>
      </c>
      <c r="N18" s="53">
        <v>1</v>
      </c>
      <c r="O18" s="53">
        <v>0.8</v>
      </c>
      <c r="P18" s="53">
        <v>0.85</v>
      </c>
      <c r="Q18" s="98">
        <f t="shared" si="0"/>
        <v>0.82499999999999996</v>
      </c>
      <c r="R18" s="53">
        <v>17.3</v>
      </c>
      <c r="S18" s="53">
        <v>128</v>
      </c>
      <c r="T18" s="16">
        <f t="shared" si="1"/>
        <v>30</v>
      </c>
      <c r="U18" s="53">
        <v>137</v>
      </c>
      <c r="V18" s="16">
        <f t="shared" si="2"/>
        <v>4110</v>
      </c>
      <c r="W18" s="53">
        <v>6</v>
      </c>
      <c r="X18" s="54" t="s">
        <v>46</v>
      </c>
      <c r="Y18" s="54" t="s">
        <v>55</v>
      </c>
      <c r="Z18" s="54" t="s">
        <v>69</v>
      </c>
      <c r="AA18" s="54" t="s">
        <v>47</v>
      </c>
      <c r="AB18" s="54" t="s">
        <v>258</v>
      </c>
      <c r="AE18" s="22" t="s">
        <v>87</v>
      </c>
      <c r="AL18" s="54"/>
      <c r="AP18" s="43" t="s">
        <v>111</v>
      </c>
      <c r="AR18" s="41" t="s">
        <v>101</v>
      </c>
      <c r="AV18" s="23" t="s">
        <v>88</v>
      </c>
    </row>
    <row r="19" spans="1:48" x14ac:dyDescent="0.15">
      <c r="A19" s="54" t="s">
        <v>34</v>
      </c>
      <c r="B19" s="53" t="s">
        <v>232</v>
      </c>
      <c r="C19" s="53">
        <v>2019</v>
      </c>
      <c r="D19" s="178" t="s">
        <v>167</v>
      </c>
      <c r="E19" s="36" t="s">
        <v>210</v>
      </c>
      <c r="F19" s="36" t="s">
        <v>372</v>
      </c>
      <c r="G19" s="54" t="s">
        <v>36</v>
      </c>
      <c r="H19" s="53" t="s">
        <v>165</v>
      </c>
      <c r="I19" s="54" t="s">
        <v>159</v>
      </c>
      <c r="J19" s="54" t="s">
        <v>38</v>
      </c>
      <c r="K19" s="54" t="s">
        <v>161</v>
      </c>
      <c r="L19" s="53">
        <v>3</v>
      </c>
      <c r="N19" s="53">
        <v>1</v>
      </c>
      <c r="O19" s="53">
        <v>0.95</v>
      </c>
      <c r="P19" s="53">
        <v>0.8</v>
      </c>
      <c r="Q19" s="98">
        <f t="shared" si="0"/>
        <v>0.875</v>
      </c>
      <c r="R19" s="53">
        <v>17.2</v>
      </c>
      <c r="S19" s="53">
        <v>130</v>
      </c>
      <c r="T19" s="16">
        <f t="shared" si="1"/>
        <v>30</v>
      </c>
      <c r="U19" s="53">
        <v>137</v>
      </c>
      <c r="V19" s="16">
        <f t="shared" si="2"/>
        <v>4110</v>
      </c>
      <c r="W19" s="53">
        <v>6</v>
      </c>
      <c r="X19" s="54" t="s">
        <v>46</v>
      </c>
      <c r="Y19" s="54" t="s">
        <v>55</v>
      </c>
      <c r="Z19" s="54" t="s">
        <v>69</v>
      </c>
      <c r="AA19" s="54" t="s">
        <v>47</v>
      </c>
      <c r="AB19" s="54" t="s">
        <v>258</v>
      </c>
      <c r="AE19" s="35" t="s">
        <v>89</v>
      </c>
      <c r="AP19" s="43" t="s">
        <v>112</v>
      </c>
      <c r="AR19" s="30" t="s">
        <v>126</v>
      </c>
      <c r="AV19" s="23" t="s">
        <v>90</v>
      </c>
    </row>
    <row r="20" spans="1:48" x14ac:dyDescent="0.15">
      <c r="A20" s="54" t="s">
        <v>34</v>
      </c>
      <c r="B20" s="53" t="s">
        <v>232</v>
      </c>
      <c r="C20" s="53">
        <v>2019</v>
      </c>
      <c r="D20" s="178" t="s">
        <v>167</v>
      </c>
      <c r="E20" s="36" t="s">
        <v>210</v>
      </c>
      <c r="F20" s="36" t="s">
        <v>372</v>
      </c>
      <c r="G20" s="54" t="s">
        <v>36</v>
      </c>
      <c r="H20" s="53" t="s">
        <v>165</v>
      </c>
      <c r="I20" s="54" t="s">
        <v>159</v>
      </c>
      <c r="J20" s="54" t="s">
        <v>38</v>
      </c>
      <c r="K20" s="54" t="s">
        <v>161</v>
      </c>
      <c r="L20" s="54">
        <v>1</v>
      </c>
      <c r="N20" s="53">
        <v>4</v>
      </c>
      <c r="O20" s="53">
        <v>0.75</v>
      </c>
      <c r="P20" s="53">
        <v>0.75</v>
      </c>
      <c r="Q20" s="98">
        <f t="shared" si="0"/>
        <v>0.75</v>
      </c>
      <c r="R20" s="53">
        <v>16.7</v>
      </c>
      <c r="S20" s="53">
        <v>100</v>
      </c>
      <c r="T20" s="16">
        <f t="shared" si="1"/>
        <v>33</v>
      </c>
      <c r="U20" s="53">
        <v>428</v>
      </c>
      <c r="V20" s="16">
        <f t="shared" si="2"/>
        <v>3531</v>
      </c>
      <c r="W20" s="53">
        <v>6</v>
      </c>
      <c r="X20" s="54" t="s">
        <v>46</v>
      </c>
      <c r="Y20" s="54" t="s">
        <v>55</v>
      </c>
      <c r="Z20" s="54" t="s">
        <v>69</v>
      </c>
      <c r="AA20" s="54" t="s">
        <v>47</v>
      </c>
      <c r="AB20" s="54" t="s">
        <v>258</v>
      </c>
      <c r="AP20" s="43" t="s">
        <v>113</v>
      </c>
      <c r="AR20" s="41" t="s">
        <v>105</v>
      </c>
      <c r="AV20" s="27" t="s">
        <v>135</v>
      </c>
    </row>
    <row r="21" spans="1:48" x14ac:dyDescent="0.15">
      <c r="A21" s="54" t="s">
        <v>34</v>
      </c>
      <c r="B21" s="53" t="s">
        <v>232</v>
      </c>
      <c r="C21" s="53">
        <v>2019</v>
      </c>
      <c r="D21" s="178" t="s">
        <v>167</v>
      </c>
      <c r="E21" s="36" t="s">
        <v>210</v>
      </c>
      <c r="F21" s="36" t="s">
        <v>372</v>
      </c>
      <c r="G21" s="54" t="s">
        <v>36</v>
      </c>
      <c r="H21" s="53" t="s">
        <v>165</v>
      </c>
      <c r="I21" s="54" t="s">
        <v>159</v>
      </c>
      <c r="J21" s="54" t="s">
        <v>38</v>
      </c>
      <c r="K21" s="54" t="s">
        <v>161</v>
      </c>
      <c r="L21" s="53">
        <v>2</v>
      </c>
      <c r="N21" s="53">
        <v>4</v>
      </c>
      <c r="O21" s="53">
        <v>0.85</v>
      </c>
      <c r="P21" s="53">
        <v>0.85</v>
      </c>
      <c r="Q21" s="98">
        <f t="shared" si="0"/>
        <v>0.85</v>
      </c>
      <c r="R21" s="53">
        <v>16.399999999999999</v>
      </c>
      <c r="S21" s="53">
        <v>93</v>
      </c>
      <c r="T21" s="16">
        <f t="shared" si="1"/>
        <v>36</v>
      </c>
      <c r="U21" s="53">
        <v>428</v>
      </c>
      <c r="V21" s="16">
        <f t="shared" si="2"/>
        <v>3852</v>
      </c>
      <c r="W21" s="53">
        <v>6</v>
      </c>
      <c r="X21" s="54" t="s">
        <v>46</v>
      </c>
      <c r="Y21" s="54" t="s">
        <v>55</v>
      </c>
      <c r="Z21" s="54" t="s">
        <v>69</v>
      </c>
      <c r="AA21" s="54" t="s">
        <v>47</v>
      </c>
      <c r="AB21" s="54" t="s">
        <v>258</v>
      </c>
      <c r="AP21" s="43" t="s">
        <v>114</v>
      </c>
      <c r="AR21" s="41" t="s">
        <v>68</v>
      </c>
      <c r="AV21" s="27" t="s">
        <v>136</v>
      </c>
    </row>
    <row r="22" spans="1:48" x14ac:dyDescent="0.15">
      <c r="A22" s="54" t="s">
        <v>34</v>
      </c>
      <c r="B22" s="53" t="s">
        <v>232</v>
      </c>
      <c r="C22" s="53">
        <v>2019</v>
      </c>
      <c r="D22" s="178" t="s">
        <v>167</v>
      </c>
      <c r="E22" s="36" t="s">
        <v>210</v>
      </c>
      <c r="F22" s="36" t="s">
        <v>372</v>
      </c>
      <c r="G22" s="54" t="s">
        <v>36</v>
      </c>
      <c r="H22" s="53" t="s">
        <v>165</v>
      </c>
      <c r="I22" s="54" t="s">
        <v>159</v>
      </c>
      <c r="J22" s="54" t="s">
        <v>38</v>
      </c>
      <c r="K22" s="54" t="s">
        <v>161</v>
      </c>
      <c r="L22" s="53">
        <v>3</v>
      </c>
      <c r="N22" s="53">
        <v>4</v>
      </c>
      <c r="O22" s="53">
        <v>0.95</v>
      </c>
      <c r="P22" s="53">
        <v>0.9</v>
      </c>
      <c r="Q22" s="98">
        <f t="shared" si="0"/>
        <v>0.92500000000000004</v>
      </c>
      <c r="R22" s="53">
        <v>16.8</v>
      </c>
      <c r="S22" s="53">
        <v>96</v>
      </c>
      <c r="T22" s="16">
        <f t="shared" si="1"/>
        <v>36</v>
      </c>
      <c r="U22" s="53">
        <v>428</v>
      </c>
      <c r="V22" s="16">
        <f t="shared" si="2"/>
        <v>3852</v>
      </c>
      <c r="W22" s="53">
        <v>6</v>
      </c>
      <c r="X22" s="54" t="s">
        <v>46</v>
      </c>
      <c r="Y22" s="54" t="s">
        <v>55</v>
      </c>
      <c r="Z22" s="54" t="s">
        <v>69</v>
      </c>
      <c r="AA22" s="54" t="s">
        <v>47</v>
      </c>
      <c r="AB22" s="54" t="s">
        <v>258</v>
      </c>
      <c r="AP22" s="43" t="s">
        <v>115</v>
      </c>
      <c r="AR22" s="41" t="s">
        <v>83</v>
      </c>
      <c r="AV22" s="27"/>
    </row>
    <row r="23" spans="1:48" x14ac:dyDescent="0.15">
      <c r="A23" s="54" t="s">
        <v>34</v>
      </c>
      <c r="B23" s="53" t="s">
        <v>232</v>
      </c>
      <c r="C23" s="53">
        <v>2019</v>
      </c>
      <c r="D23" s="178" t="s">
        <v>167</v>
      </c>
      <c r="E23" s="36" t="s">
        <v>361</v>
      </c>
      <c r="F23" s="36" t="s">
        <v>362</v>
      </c>
      <c r="G23" s="54" t="s">
        <v>36</v>
      </c>
      <c r="H23" s="53" t="s">
        <v>160</v>
      </c>
      <c r="I23" s="54" t="s">
        <v>159</v>
      </c>
      <c r="J23" s="54" t="s">
        <v>38</v>
      </c>
      <c r="K23" s="54" t="s">
        <v>161</v>
      </c>
      <c r="L23" s="54">
        <v>1</v>
      </c>
      <c r="N23" s="53">
        <v>1</v>
      </c>
      <c r="O23" s="53">
        <v>0.5</v>
      </c>
      <c r="P23" s="53">
        <v>0.45</v>
      </c>
      <c r="Q23" s="98">
        <f t="shared" si="0"/>
        <v>0.47499999999999998</v>
      </c>
      <c r="R23" s="53">
        <v>18.5</v>
      </c>
      <c r="S23" s="53">
        <v>121</v>
      </c>
      <c r="T23" s="16">
        <f t="shared" si="1"/>
        <v>30</v>
      </c>
      <c r="U23" s="53">
        <v>108</v>
      </c>
      <c r="V23" s="16">
        <f t="shared" si="2"/>
        <v>3240</v>
      </c>
      <c r="W23" s="53">
        <v>10</v>
      </c>
      <c r="X23" s="54" t="s">
        <v>46</v>
      </c>
      <c r="Y23" s="54" t="s">
        <v>55</v>
      </c>
      <c r="Z23" s="54" t="s">
        <v>47</v>
      </c>
      <c r="AA23" s="54" t="s">
        <v>69</v>
      </c>
      <c r="AB23" s="54" t="s">
        <v>258</v>
      </c>
      <c r="AP23" s="43" t="s">
        <v>117</v>
      </c>
      <c r="AR23" s="41" t="s">
        <v>153</v>
      </c>
    </row>
    <row r="24" spans="1:48" x14ac:dyDescent="0.15">
      <c r="A24" s="54" t="s">
        <v>34</v>
      </c>
      <c r="B24" s="53" t="s">
        <v>232</v>
      </c>
      <c r="C24" s="53">
        <v>2019</v>
      </c>
      <c r="D24" s="178" t="s">
        <v>167</v>
      </c>
      <c r="E24" s="36" t="s">
        <v>361</v>
      </c>
      <c r="F24" s="36" t="s">
        <v>362</v>
      </c>
      <c r="G24" s="54" t="s">
        <v>36</v>
      </c>
      <c r="H24" s="53" t="s">
        <v>160</v>
      </c>
      <c r="I24" s="54" t="s">
        <v>159</v>
      </c>
      <c r="J24" s="54" t="s">
        <v>38</v>
      </c>
      <c r="K24" s="54" t="s">
        <v>161</v>
      </c>
      <c r="L24" s="53">
        <v>2</v>
      </c>
      <c r="N24" s="53">
        <v>1</v>
      </c>
      <c r="O24" s="53">
        <v>0.65</v>
      </c>
      <c r="P24" s="53">
        <v>0.6</v>
      </c>
      <c r="Q24" s="98">
        <f t="shared" si="0"/>
        <v>0.625</v>
      </c>
      <c r="R24" s="53">
        <v>19.100000000000001</v>
      </c>
      <c r="S24" s="53">
        <v>122</v>
      </c>
      <c r="T24" s="16">
        <f t="shared" si="1"/>
        <v>30</v>
      </c>
      <c r="U24" s="53">
        <v>108</v>
      </c>
      <c r="V24" s="16">
        <f t="shared" si="2"/>
        <v>3240</v>
      </c>
      <c r="W24" s="53">
        <v>10</v>
      </c>
      <c r="X24" s="54" t="s">
        <v>46</v>
      </c>
      <c r="Y24" s="54" t="s">
        <v>55</v>
      </c>
      <c r="Z24" s="54" t="s">
        <v>47</v>
      </c>
      <c r="AA24" s="54" t="s">
        <v>69</v>
      </c>
      <c r="AB24" s="54" t="s">
        <v>258</v>
      </c>
      <c r="AP24" s="43" t="s">
        <v>118</v>
      </c>
    </row>
    <row r="25" spans="1:48" x14ac:dyDescent="0.15">
      <c r="A25" s="54" t="s">
        <v>34</v>
      </c>
      <c r="B25" s="53" t="s">
        <v>232</v>
      </c>
      <c r="C25" s="53">
        <v>2019</v>
      </c>
      <c r="D25" s="178" t="s">
        <v>167</v>
      </c>
      <c r="E25" s="36" t="s">
        <v>361</v>
      </c>
      <c r="F25" s="36" t="s">
        <v>362</v>
      </c>
      <c r="G25" s="54" t="s">
        <v>36</v>
      </c>
      <c r="H25" s="53" t="s">
        <v>160</v>
      </c>
      <c r="I25" s="54" t="s">
        <v>159</v>
      </c>
      <c r="J25" s="54" t="s">
        <v>38</v>
      </c>
      <c r="K25" s="54" t="s">
        <v>161</v>
      </c>
      <c r="L25" s="53">
        <v>3</v>
      </c>
      <c r="N25" s="53">
        <v>1</v>
      </c>
      <c r="O25" s="53">
        <v>0.65</v>
      </c>
      <c r="P25" s="53">
        <v>0.6</v>
      </c>
      <c r="Q25" s="98">
        <f t="shared" si="0"/>
        <v>0.625</v>
      </c>
      <c r="R25" s="53">
        <v>20</v>
      </c>
      <c r="S25" s="53">
        <v>139</v>
      </c>
      <c r="T25" s="16">
        <f t="shared" si="1"/>
        <v>30</v>
      </c>
      <c r="U25" s="53">
        <v>108</v>
      </c>
      <c r="V25" s="16">
        <f t="shared" si="2"/>
        <v>3240</v>
      </c>
      <c r="W25" s="53">
        <v>10</v>
      </c>
      <c r="X25" s="54" t="s">
        <v>46</v>
      </c>
      <c r="Y25" s="54" t="s">
        <v>55</v>
      </c>
      <c r="Z25" s="54" t="s">
        <v>47</v>
      </c>
      <c r="AA25" s="54" t="s">
        <v>69</v>
      </c>
      <c r="AB25" s="54" t="s">
        <v>258</v>
      </c>
    </row>
    <row r="26" spans="1:48" x14ac:dyDescent="0.15">
      <c r="A26" s="54" t="s">
        <v>34</v>
      </c>
      <c r="B26" s="53" t="s">
        <v>232</v>
      </c>
      <c r="C26" s="53">
        <v>2019</v>
      </c>
      <c r="D26" s="178" t="s">
        <v>167</v>
      </c>
      <c r="E26" s="36" t="s">
        <v>361</v>
      </c>
      <c r="F26" s="36" t="s">
        <v>362</v>
      </c>
      <c r="G26" s="54" t="s">
        <v>36</v>
      </c>
      <c r="H26" s="53" t="s">
        <v>160</v>
      </c>
      <c r="I26" s="54" t="s">
        <v>159</v>
      </c>
      <c r="J26" s="54" t="s">
        <v>38</v>
      </c>
      <c r="K26" s="54" t="s">
        <v>161</v>
      </c>
      <c r="L26" s="54">
        <v>1</v>
      </c>
      <c r="N26" s="53">
        <v>3</v>
      </c>
      <c r="O26" s="53">
        <v>0.2</v>
      </c>
      <c r="P26" s="53">
        <v>0.2</v>
      </c>
      <c r="Q26" s="98">
        <f t="shared" si="0"/>
        <v>0.2</v>
      </c>
      <c r="R26" s="53">
        <v>22.9</v>
      </c>
      <c r="S26" s="53">
        <v>155</v>
      </c>
      <c r="T26" s="16">
        <f t="shared" si="1"/>
        <v>18</v>
      </c>
      <c r="U26" s="53">
        <v>537</v>
      </c>
      <c r="V26" s="16">
        <f t="shared" si="2"/>
        <v>3222</v>
      </c>
      <c r="W26" s="53">
        <v>10</v>
      </c>
      <c r="X26" s="54" t="s">
        <v>46</v>
      </c>
      <c r="Y26" s="54" t="s">
        <v>55</v>
      </c>
      <c r="Z26" s="54" t="s">
        <v>47</v>
      </c>
      <c r="AA26" s="54" t="s">
        <v>69</v>
      </c>
      <c r="AB26" s="54" t="s">
        <v>258</v>
      </c>
    </row>
    <row r="27" spans="1:48" x14ac:dyDescent="0.15">
      <c r="A27" s="54" t="s">
        <v>34</v>
      </c>
      <c r="B27" s="53" t="s">
        <v>232</v>
      </c>
      <c r="C27" s="53">
        <v>2019</v>
      </c>
      <c r="D27" s="178" t="s">
        <v>167</v>
      </c>
      <c r="E27" s="36" t="s">
        <v>361</v>
      </c>
      <c r="F27" s="36" t="s">
        <v>362</v>
      </c>
      <c r="G27" s="54" t="s">
        <v>36</v>
      </c>
      <c r="H27" s="53" t="s">
        <v>160</v>
      </c>
      <c r="I27" s="54" t="s">
        <v>159</v>
      </c>
      <c r="J27" s="54" t="s">
        <v>38</v>
      </c>
      <c r="K27" s="54" t="s">
        <v>161</v>
      </c>
      <c r="L27" s="53">
        <v>2</v>
      </c>
      <c r="N27" s="53">
        <v>3</v>
      </c>
      <c r="O27" s="53">
        <v>0.2</v>
      </c>
      <c r="P27" s="53">
        <v>0.2</v>
      </c>
      <c r="Q27" s="98">
        <f t="shared" si="0"/>
        <v>0.2</v>
      </c>
      <c r="R27" s="53">
        <v>18.899999999999999</v>
      </c>
      <c r="S27" s="53">
        <v>158</v>
      </c>
      <c r="T27" s="16">
        <f t="shared" si="1"/>
        <v>18</v>
      </c>
      <c r="U27" s="53">
        <v>537</v>
      </c>
      <c r="V27" s="16">
        <f t="shared" si="2"/>
        <v>3222</v>
      </c>
      <c r="W27" s="53">
        <v>10</v>
      </c>
      <c r="X27" s="54" t="s">
        <v>46</v>
      </c>
      <c r="Y27" s="54" t="s">
        <v>55</v>
      </c>
      <c r="Z27" s="54" t="s">
        <v>47</v>
      </c>
      <c r="AA27" s="54" t="s">
        <v>69</v>
      </c>
      <c r="AB27" s="54" t="s">
        <v>258</v>
      </c>
    </row>
    <row r="28" spans="1:48" x14ac:dyDescent="0.15">
      <c r="A28" s="54" t="s">
        <v>34</v>
      </c>
      <c r="B28" s="53" t="s">
        <v>232</v>
      </c>
      <c r="C28" s="53">
        <v>2019</v>
      </c>
      <c r="D28" s="178" t="s">
        <v>167</v>
      </c>
      <c r="E28" s="36" t="s">
        <v>361</v>
      </c>
      <c r="F28" s="36" t="s">
        <v>362</v>
      </c>
      <c r="G28" s="54" t="s">
        <v>36</v>
      </c>
      <c r="H28" s="53" t="s">
        <v>160</v>
      </c>
      <c r="I28" s="54" t="s">
        <v>159</v>
      </c>
      <c r="J28" s="54" t="s">
        <v>38</v>
      </c>
      <c r="K28" s="54" t="s">
        <v>161</v>
      </c>
      <c r="L28" s="53">
        <v>3</v>
      </c>
      <c r="N28" s="53">
        <v>3</v>
      </c>
      <c r="O28" s="53">
        <v>0.2</v>
      </c>
      <c r="P28" s="53">
        <v>0.2</v>
      </c>
      <c r="Q28" s="98">
        <f>IF(OR(O28="",P28=""),"",AVERAGE(O28,P28))</f>
        <v>0.2</v>
      </c>
      <c r="R28" s="53">
        <v>18.2</v>
      </c>
      <c r="S28" s="53">
        <v>142</v>
      </c>
      <c r="T28" s="16">
        <f t="shared" si="1"/>
        <v>30</v>
      </c>
      <c r="U28" s="53">
        <v>537</v>
      </c>
      <c r="V28" s="16">
        <f t="shared" si="2"/>
        <v>5370</v>
      </c>
      <c r="W28" s="53">
        <v>10</v>
      </c>
      <c r="X28" s="54" t="s">
        <v>46</v>
      </c>
      <c r="Y28" s="54" t="s">
        <v>55</v>
      </c>
      <c r="Z28" s="54" t="s">
        <v>47</v>
      </c>
      <c r="AA28" s="54" t="s">
        <v>69</v>
      </c>
      <c r="AB28" s="54" t="s">
        <v>258</v>
      </c>
    </row>
    <row r="29" spans="1:48" x14ac:dyDescent="0.15">
      <c r="A29" s="54" t="s">
        <v>34</v>
      </c>
      <c r="B29" s="53" t="s">
        <v>232</v>
      </c>
      <c r="C29" s="53">
        <v>2019</v>
      </c>
      <c r="D29" s="178" t="s">
        <v>167</v>
      </c>
      <c r="E29" s="36" t="s">
        <v>361</v>
      </c>
      <c r="F29" s="36" t="s">
        <v>362</v>
      </c>
      <c r="G29" s="54" t="s">
        <v>36</v>
      </c>
      <c r="H29" s="53" t="s">
        <v>160</v>
      </c>
      <c r="I29" s="54" t="s">
        <v>159</v>
      </c>
      <c r="J29" s="54" t="s">
        <v>38</v>
      </c>
      <c r="K29" s="54" t="s">
        <v>161</v>
      </c>
      <c r="L29" s="54">
        <v>1</v>
      </c>
      <c r="N29" s="53">
        <v>4</v>
      </c>
      <c r="O29" s="53">
        <v>0.7</v>
      </c>
      <c r="P29" s="53">
        <v>0.7</v>
      </c>
      <c r="Q29" s="98">
        <f t="shared" si="0"/>
        <v>0.7</v>
      </c>
      <c r="R29" s="53">
        <v>19</v>
      </c>
      <c r="S29" s="53">
        <v>119</v>
      </c>
      <c r="T29" s="16">
        <f t="shared" si="1"/>
        <v>30</v>
      </c>
      <c r="U29" s="53">
        <v>429</v>
      </c>
      <c r="V29" s="16">
        <f t="shared" si="2"/>
        <v>3217.5</v>
      </c>
      <c r="W29" s="53">
        <v>10</v>
      </c>
      <c r="X29" s="54" t="s">
        <v>46</v>
      </c>
      <c r="Y29" s="54" t="s">
        <v>55</v>
      </c>
      <c r="Z29" s="54" t="s">
        <v>47</v>
      </c>
      <c r="AA29" s="54" t="s">
        <v>69</v>
      </c>
      <c r="AB29" s="54" t="s">
        <v>258</v>
      </c>
    </row>
    <row r="30" spans="1:48" x14ac:dyDescent="0.15">
      <c r="A30" s="54" t="s">
        <v>34</v>
      </c>
      <c r="B30" s="53" t="s">
        <v>232</v>
      </c>
      <c r="C30" s="53">
        <v>2019</v>
      </c>
      <c r="D30" s="178" t="s">
        <v>167</v>
      </c>
      <c r="E30" s="36" t="s">
        <v>361</v>
      </c>
      <c r="F30" s="36" t="s">
        <v>362</v>
      </c>
      <c r="G30" s="54" t="s">
        <v>36</v>
      </c>
      <c r="H30" s="53" t="s">
        <v>160</v>
      </c>
      <c r="I30" s="54" t="s">
        <v>159</v>
      </c>
      <c r="J30" s="54" t="s">
        <v>38</v>
      </c>
      <c r="K30" s="54" t="s">
        <v>161</v>
      </c>
      <c r="L30" s="53">
        <v>2</v>
      </c>
      <c r="N30" s="53">
        <v>4</v>
      </c>
      <c r="O30" s="53">
        <v>0.75</v>
      </c>
      <c r="P30" s="53">
        <v>0.6</v>
      </c>
      <c r="Q30" s="98">
        <f t="shared" si="0"/>
        <v>0.67500000000000004</v>
      </c>
      <c r="R30" s="53">
        <v>20.8</v>
      </c>
      <c r="S30" s="53">
        <v>120</v>
      </c>
      <c r="T30" s="16">
        <f t="shared" si="1"/>
        <v>30</v>
      </c>
      <c r="U30" s="53">
        <v>429</v>
      </c>
      <c r="V30" s="16">
        <f t="shared" si="2"/>
        <v>3217.5</v>
      </c>
      <c r="W30" s="53">
        <v>10</v>
      </c>
      <c r="X30" s="54" t="s">
        <v>46</v>
      </c>
      <c r="Y30" s="54" t="s">
        <v>55</v>
      </c>
      <c r="Z30" s="54" t="s">
        <v>47</v>
      </c>
      <c r="AA30" s="54" t="s">
        <v>69</v>
      </c>
      <c r="AB30" s="54" t="s">
        <v>258</v>
      </c>
    </row>
    <row r="31" spans="1:48" x14ac:dyDescent="0.15">
      <c r="A31" s="54" t="s">
        <v>34</v>
      </c>
      <c r="B31" s="53" t="s">
        <v>232</v>
      </c>
      <c r="C31" s="53">
        <v>2019</v>
      </c>
      <c r="D31" s="178" t="s">
        <v>167</v>
      </c>
      <c r="E31" s="36" t="s">
        <v>361</v>
      </c>
      <c r="F31" s="36" t="s">
        <v>362</v>
      </c>
      <c r="G31" s="54" t="s">
        <v>36</v>
      </c>
      <c r="H31" s="53" t="s">
        <v>160</v>
      </c>
      <c r="I31" s="54" t="s">
        <v>159</v>
      </c>
      <c r="J31" s="54" t="s">
        <v>38</v>
      </c>
      <c r="K31" s="54" t="s">
        <v>161</v>
      </c>
      <c r="L31" s="53">
        <v>3</v>
      </c>
      <c r="N31" s="53">
        <v>4</v>
      </c>
      <c r="O31" s="53">
        <v>0.75</v>
      </c>
      <c r="P31" s="53">
        <v>0.7</v>
      </c>
      <c r="Q31" s="98">
        <f t="shared" si="0"/>
        <v>0.72499999999999998</v>
      </c>
      <c r="R31" s="53">
        <v>18.8</v>
      </c>
      <c r="S31" s="53">
        <v>119</v>
      </c>
      <c r="T31" s="16">
        <f t="shared" si="1"/>
        <v>30</v>
      </c>
      <c r="U31" s="53">
        <v>429</v>
      </c>
      <c r="V31" s="16">
        <f t="shared" si="2"/>
        <v>3217.5</v>
      </c>
      <c r="W31" s="53">
        <v>10</v>
      </c>
      <c r="X31" s="54" t="s">
        <v>46</v>
      </c>
      <c r="Y31" s="54" t="s">
        <v>55</v>
      </c>
      <c r="Z31" s="54" t="s">
        <v>47</v>
      </c>
      <c r="AA31" s="54" t="s">
        <v>69</v>
      </c>
      <c r="AB31" s="54" t="s">
        <v>258</v>
      </c>
    </row>
    <row r="32" spans="1:48" x14ac:dyDescent="0.15">
      <c r="A32" s="54" t="s">
        <v>34</v>
      </c>
      <c r="B32" s="53" t="s">
        <v>232</v>
      </c>
      <c r="C32" s="53">
        <v>2019</v>
      </c>
      <c r="D32" s="178" t="s">
        <v>167</v>
      </c>
      <c r="E32" s="36" t="s">
        <v>370</v>
      </c>
      <c r="F32" s="36" t="s">
        <v>371</v>
      </c>
      <c r="G32" s="54" t="s">
        <v>36</v>
      </c>
      <c r="H32" s="53" t="s">
        <v>165</v>
      </c>
      <c r="I32" s="54" t="s">
        <v>159</v>
      </c>
      <c r="J32" s="54" t="s">
        <v>38</v>
      </c>
      <c r="K32" s="54" t="s">
        <v>161</v>
      </c>
      <c r="L32" s="54">
        <v>1</v>
      </c>
      <c r="N32" s="53">
        <v>1</v>
      </c>
      <c r="O32" s="53">
        <v>0.7</v>
      </c>
      <c r="P32" s="53">
        <v>0.95</v>
      </c>
      <c r="Q32" s="98">
        <f t="shared" si="0"/>
        <v>0.82499999999999996</v>
      </c>
      <c r="R32" s="53">
        <v>16.5</v>
      </c>
      <c r="S32" s="53">
        <v>125</v>
      </c>
      <c r="T32" s="16">
        <f t="shared" si="1"/>
        <v>30</v>
      </c>
      <c r="U32" s="53">
        <v>138</v>
      </c>
      <c r="V32" s="16">
        <f t="shared" si="2"/>
        <v>4140</v>
      </c>
      <c r="W32" s="53">
        <v>3</v>
      </c>
      <c r="X32" s="54" t="s">
        <v>46</v>
      </c>
      <c r="Y32" s="54" t="s">
        <v>55</v>
      </c>
      <c r="Z32" s="54" t="s">
        <v>78</v>
      </c>
      <c r="AA32" s="54" t="s">
        <v>69</v>
      </c>
      <c r="AB32" s="54" t="s">
        <v>258</v>
      </c>
    </row>
    <row r="33" spans="1:28" x14ac:dyDescent="0.15">
      <c r="A33" s="54" t="s">
        <v>34</v>
      </c>
      <c r="B33" s="53" t="s">
        <v>232</v>
      </c>
      <c r="C33" s="53">
        <v>2019</v>
      </c>
      <c r="D33" s="178" t="s">
        <v>167</v>
      </c>
      <c r="E33" s="36" t="s">
        <v>370</v>
      </c>
      <c r="F33" s="36" t="s">
        <v>371</v>
      </c>
      <c r="G33" s="54" t="s">
        <v>36</v>
      </c>
      <c r="H33" s="53" t="s">
        <v>165</v>
      </c>
      <c r="I33" s="54" t="s">
        <v>159</v>
      </c>
      <c r="J33" s="54" t="s">
        <v>38</v>
      </c>
      <c r="K33" s="54" t="s">
        <v>161</v>
      </c>
      <c r="L33" s="53">
        <v>2</v>
      </c>
      <c r="N33" s="53">
        <v>1</v>
      </c>
      <c r="O33" s="53">
        <v>0.7</v>
      </c>
      <c r="P33" s="53">
        <v>0.8</v>
      </c>
      <c r="Q33" s="98">
        <f t="shared" si="0"/>
        <v>0.75</v>
      </c>
      <c r="R33" s="53">
        <v>17.8</v>
      </c>
      <c r="S33" s="53">
        <v>126</v>
      </c>
      <c r="T33" s="16">
        <f t="shared" si="1"/>
        <v>30</v>
      </c>
      <c r="U33" s="53">
        <v>138</v>
      </c>
      <c r="V33" s="16">
        <f t="shared" si="2"/>
        <v>4140</v>
      </c>
      <c r="W33" s="53">
        <v>3</v>
      </c>
      <c r="X33" s="54" t="s">
        <v>46</v>
      </c>
      <c r="Y33" s="54" t="s">
        <v>55</v>
      </c>
      <c r="Z33" s="54" t="s">
        <v>78</v>
      </c>
      <c r="AA33" s="54" t="s">
        <v>69</v>
      </c>
      <c r="AB33" s="54" t="s">
        <v>258</v>
      </c>
    </row>
    <row r="34" spans="1:28" x14ac:dyDescent="0.15">
      <c r="A34" s="54" t="s">
        <v>34</v>
      </c>
      <c r="B34" s="53" t="s">
        <v>232</v>
      </c>
      <c r="C34" s="53">
        <v>2019</v>
      </c>
      <c r="D34" s="178" t="s">
        <v>167</v>
      </c>
      <c r="E34" s="36" t="s">
        <v>370</v>
      </c>
      <c r="F34" s="36" t="s">
        <v>371</v>
      </c>
      <c r="G34" s="54" t="s">
        <v>36</v>
      </c>
      <c r="H34" s="53" t="s">
        <v>165</v>
      </c>
      <c r="I34" s="54" t="s">
        <v>159</v>
      </c>
      <c r="J34" s="54" t="s">
        <v>38</v>
      </c>
      <c r="K34" s="54" t="s">
        <v>161</v>
      </c>
      <c r="L34" s="53">
        <v>3</v>
      </c>
      <c r="N34" s="53">
        <v>1</v>
      </c>
      <c r="O34" s="53">
        <v>0.85</v>
      </c>
      <c r="P34" s="53">
        <v>1</v>
      </c>
      <c r="Q34" s="98">
        <f>IF(OR(O34="",P34=""),"",AVERAGE(O34,P34))</f>
        <v>0.92500000000000004</v>
      </c>
      <c r="R34" s="53">
        <v>17.100000000000001</v>
      </c>
      <c r="S34" s="53">
        <v>122</v>
      </c>
      <c r="T34" s="16">
        <f t="shared" si="1"/>
        <v>30</v>
      </c>
      <c r="U34" s="53">
        <v>138</v>
      </c>
      <c r="V34" s="16">
        <f t="shared" si="2"/>
        <v>4140</v>
      </c>
      <c r="W34" s="53">
        <v>3</v>
      </c>
      <c r="X34" s="54" t="s">
        <v>46</v>
      </c>
      <c r="Y34" s="54" t="s">
        <v>55</v>
      </c>
      <c r="Z34" s="54" t="s">
        <v>78</v>
      </c>
      <c r="AA34" s="54" t="s">
        <v>69</v>
      </c>
      <c r="AB34" s="54" t="s">
        <v>258</v>
      </c>
    </row>
    <row r="35" spans="1:28" x14ac:dyDescent="0.15">
      <c r="A35" s="54" t="s">
        <v>34</v>
      </c>
      <c r="B35" s="53" t="s">
        <v>232</v>
      </c>
      <c r="C35" s="53">
        <v>2019</v>
      </c>
      <c r="D35" s="178" t="s">
        <v>167</v>
      </c>
      <c r="E35" s="36" t="s">
        <v>370</v>
      </c>
      <c r="F35" s="36" t="s">
        <v>371</v>
      </c>
      <c r="G35" s="54" t="s">
        <v>36</v>
      </c>
      <c r="H35" s="53" t="s">
        <v>165</v>
      </c>
      <c r="I35" s="54" t="s">
        <v>159</v>
      </c>
      <c r="J35" s="54" t="s">
        <v>38</v>
      </c>
      <c r="K35" s="54" t="s">
        <v>161</v>
      </c>
      <c r="L35" s="54">
        <v>1</v>
      </c>
      <c r="N35" s="53">
        <v>4</v>
      </c>
      <c r="O35" s="53">
        <v>0.5</v>
      </c>
      <c r="P35" s="53">
        <v>0.5</v>
      </c>
      <c r="Q35" s="98">
        <f t="shared" ref="Q35:Q36" si="3">IF(OR(O35="",P35=""),"",AVERAGE(O35,P35))</f>
        <v>0.5</v>
      </c>
      <c r="R35" s="53">
        <v>16.399999999999999</v>
      </c>
      <c r="S35" s="53">
        <v>85</v>
      </c>
      <c r="T35" s="16">
        <f t="shared" si="1"/>
        <v>36</v>
      </c>
      <c r="U35" s="53">
        <v>429</v>
      </c>
      <c r="V35" s="16">
        <f t="shared" si="2"/>
        <v>3861</v>
      </c>
      <c r="W35" s="53">
        <v>3</v>
      </c>
      <c r="X35" s="54" t="s">
        <v>46</v>
      </c>
      <c r="Y35" s="54" t="s">
        <v>55</v>
      </c>
      <c r="Z35" s="54" t="s">
        <v>78</v>
      </c>
      <c r="AA35" s="54" t="s">
        <v>69</v>
      </c>
      <c r="AB35" s="54" t="s">
        <v>258</v>
      </c>
    </row>
    <row r="36" spans="1:28" x14ac:dyDescent="0.15">
      <c r="A36" s="54" t="s">
        <v>34</v>
      </c>
      <c r="B36" s="53" t="s">
        <v>232</v>
      </c>
      <c r="C36" s="53">
        <v>2019</v>
      </c>
      <c r="D36" s="178" t="s">
        <v>167</v>
      </c>
      <c r="E36" s="36" t="s">
        <v>370</v>
      </c>
      <c r="F36" s="36" t="s">
        <v>371</v>
      </c>
      <c r="G36" s="54" t="s">
        <v>36</v>
      </c>
      <c r="H36" s="53" t="s">
        <v>165</v>
      </c>
      <c r="I36" s="54" t="s">
        <v>159</v>
      </c>
      <c r="J36" s="54" t="s">
        <v>38</v>
      </c>
      <c r="K36" s="54" t="s">
        <v>161</v>
      </c>
      <c r="L36" s="53">
        <v>2</v>
      </c>
      <c r="N36" s="53">
        <v>4</v>
      </c>
      <c r="O36" s="53">
        <v>0.6</v>
      </c>
      <c r="P36" s="53">
        <v>0.5</v>
      </c>
      <c r="Q36" s="98">
        <f t="shared" si="3"/>
        <v>0.55000000000000004</v>
      </c>
      <c r="R36" s="53">
        <v>17.600000000000001</v>
      </c>
      <c r="S36" s="53">
        <v>92</v>
      </c>
      <c r="T36" s="16">
        <f t="shared" si="1"/>
        <v>36</v>
      </c>
      <c r="U36" s="53">
        <v>429</v>
      </c>
      <c r="V36" s="16">
        <f t="shared" si="2"/>
        <v>3861</v>
      </c>
      <c r="W36" s="53">
        <v>3</v>
      </c>
      <c r="X36" s="54" t="s">
        <v>46</v>
      </c>
      <c r="Y36" s="54" t="s">
        <v>55</v>
      </c>
      <c r="Z36" s="54" t="s">
        <v>78</v>
      </c>
      <c r="AA36" s="54" t="s">
        <v>69</v>
      </c>
      <c r="AB36" s="54" t="s">
        <v>258</v>
      </c>
    </row>
    <row r="37" spans="1:28" x14ac:dyDescent="0.15">
      <c r="A37" s="54" t="s">
        <v>34</v>
      </c>
      <c r="B37" s="53" t="s">
        <v>232</v>
      </c>
      <c r="C37" s="53">
        <v>2019</v>
      </c>
      <c r="D37" s="178" t="s">
        <v>167</v>
      </c>
      <c r="E37" s="36" t="s">
        <v>370</v>
      </c>
      <c r="F37" s="36" t="s">
        <v>371</v>
      </c>
      <c r="G37" s="54" t="s">
        <v>36</v>
      </c>
      <c r="H37" s="53" t="s">
        <v>165</v>
      </c>
      <c r="I37" s="54" t="s">
        <v>159</v>
      </c>
      <c r="J37" s="54" t="s">
        <v>38</v>
      </c>
      <c r="K37" s="54" t="s">
        <v>161</v>
      </c>
      <c r="L37" s="53">
        <v>3</v>
      </c>
      <c r="N37" s="53">
        <v>4</v>
      </c>
      <c r="O37" s="53">
        <v>0.2</v>
      </c>
      <c r="P37" s="53">
        <v>0.2</v>
      </c>
      <c r="Q37" s="98">
        <f>IF(OR(O37="",P37=""),"",AVERAGE(O37,P37))</f>
        <v>0.2</v>
      </c>
      <c r="R37" s="53">
        <v>16.8</v>
      </c>
      <c r="S37" s="53">
        <v>90</v>
      </c>
      <c r="T37" s="16">
        <f t="shared" si="1"/>
        <v>36</v>
      </c>
      <c r="U37" s="53">
        <v>429</v>
      </c>
      <c r="V37" s="16">
        <f t="shared" si="2"/>
        <v>3861</v>
      </c>
      <c r="W37" s="53">
        <v>3</v>
      </c>
      <c r="X37" s="54" t="s">
        <v>46</v>
      </c>
      <c r="Y37" s="54" t="s">
        <v>55</v>
      </c>
      <c r="Z37" s="54" t="s">
        <v>78</v>
      </c>
      <c r="AA37" s="54" t="s">
        <v>69</v>
      </c>
      <c r="AB37" s="54" t="s">
        <v>258</v>
      </c>
    </row>
    <row r="38" spans="1:28" x14ac:dyDescent="0.15">
      <c r="A38" s="54" t="s">
        <v>34</v>
      </c>
      <c r="B38" s="53" t="s">
        <v>232</v>
      </c>
      <c r="C38" s="53">
        <v>2019</v>
      </c>
      <c r="D38" s="178" t="s">
        <v>167</v>
      </c>
      <c r="E38" s="36" t="s">
        <v>370</v>
      </c>
      <c r="F38" s="36" t="s">
        <v>371</v>
      </c>
      <c r="G38" s="54" t="s">
        <v>36</v>
      </c>
      <c r="H38" s="53" t="s">
        <v>160</v>
      </c>
      <c r="I38" s="54" t="s">
        <v>159</v>
      </c>
      <c r="J38" s="54" t="s">
        <v>38</v>
      </c>
      <c r="K38" s="54" t="s">
        <v>161</v>
      </c>
      <c r="L38" s="54">
        <v>1</v>
      </c>
      <c r="N38" s="53">
        <v>1</v>
      </c>
      <c r="O38" s="53">
        <v>0.6</v>
      </c>
      <c r="P38" s="53">
        <v>0.55000000000000004</v>
      </c>
      <c r="Q38" s="98">
        <f t="shared" ref="Q38:Q39" si="4">IF(OR(O38="",P38=""),"",AVERAGE(O38,P38))</f>
        <v>0.57499999999999996</v>
      </c>
      <c r="R38" s="53">
        <v>19.100000000000001</v>
      </c>
      <c r="S38" s="53">
        <v>107</v>
      </c>
      <c r="T38" s="16">
        <f t="shared" si="1"/>
        <v>33</v>
      </c>
      <c r="U38" s="53">
        <v>105</v>
      </c>
      <c r="V38" s="16">
        <f t="shared" si="2"/>
        <v>3465</v>
      </c>
      <c r="W38" s="53">
        <v>12</v>
      </c>
      <c r="X38" s="54" t="s">
        <v>46</v>
      </c>
      <c r="Y38" s="54" t="s">
        <v>55</v>
      </c>
      <c r="Z38" s="54" t="s">
        <v>78</v>
      </c>
      <c r="AA38" s="54" t="s">
        <v>69</v>
      </c>
      <c r="AB38" s="54" t="s">
        <v>258</v>
      </c>
    </row>
    <row r="39" spans="1:28" x14ac:dyDescent="0.15">
      <c r="A39" s="54" t="s">
        <v>34</v>
      </c>
      <c r="B39" s="53" t="s">
        <v>232</v>
      </c>
      <c r="C39" s="53">
        <v>2019</v>
      </c>
      <c r="D39" s="178" t="s">
        <v>167</v>
      </c>
      <c r="E39" s="36" t="s">
        <v>370</v>
      </c>
      <c r="F39" s="36" t="s">
        <v>371</v>
      </c>
      <c r="G39" s="54" t="s">
        <v>36</v>
      </c>
      <c r="H39" s="53" t="s">
        <v>160</v>
      </c>
      <c r="I39" s="54" t="s">
        <v>159</v>
      </c>
      <c r="J39" s="54" t="s">
        <v>38</v>
      </c>
      <c r="K39" s="54" t="s">
        <v>161</v>
      </c>
      <c r="L39" s="53">
        <v>2</v>
      </c>
      <c r="N39" s="53">
        <v>1</v>
      </c>
      <c r="O39" s="53">
        <v>0.7</v>
      </c>
      <c r="P39" s="53">
        <v>0.7</v>
      </c>
      <c r="Q39" s="98">
        <f t="shared" si="4"/>
        <v>0.7</v>
      </c>
      <c r="R39" s="53">
        <v>18.2</v>
      </c>
      <c r="S39" s="53">
        <v>106</v>
      </c>
      <c r="T39" s="16">
        <f t="shared" si="1"/>
        <v>33</v>
      </c>
      <c r="U39" s="53">
        <v>105</v>
      </c>
      <c r="V39" s="16">
        <f t="shared" si="2"/>
        <v>3465</v>
      </c>
      <c r="W39" s="53">
        <v>12</v>
      </c>
      <c r="X39" s="54" t="s">
        <v>46</v>
      </c>
      <c r="Y39" s="54" t="s">
        <v>55</v>
      </c>
      <c r="Z39" s="54" t="s">
        <v>78</v>
      </c>
      <c r="AA39" s="54" t="s">
        <v>69</v>
      </c>
      <c r="AB39" s="54" t="s">
        <v>258</v>
      </c>
    </row>
    <row r="40" spans="1:28" x14ac:dyDescent="0.15">
      <c r="A40" s="54" t="s">
        <v>34</v>
      </c>
      <c r="B40" s="53" t="s">
        <v>232</v>
      </c>
      <c r="C40" s="53">
        <v>2019</v>
      </c>
      <c r="D40" s="178" t="s">
        <v>167</v>
      </c>
      <c r="E40" s="36" t="s">
        <v>370</v>
      </c>
      <c r="F40" s="36" t="s">
        <v>371</v>
      </c>
      <c r="G40" s="54" t="s">
        <v>36</v>
      </c>
      <c r="H40" s="53" t="s">
        <v>160</v>
      </c>
      <c r="I40" s="54" t="s">
        <v>159</v>
      </c>
      <c r="J40" s="54" t="s">
        <v>38</v>
      </c>
      <c r="K40" s="54" t="s">
        <v>161</v>
      </c>
      <c r="L40" s="53">
        <v>3</v>
      </c>
      <c r="N40" s="53">
        <v>1</v>
      </c>
      <c r="O40" s="53">
        <v>0.65</v>
      </c>
      <c r="P40" s="53">
        <v>0.55000000000000004</v>
      </c>
      <c r="Q40" s="98">
        <f>IF(OR(O40="",P40=""),"",AVERAGE(O40,P40))</f>
        <v>0.60000000000000009</v>
      </c>
      <c r="R40" s="53">
        <v>17.2</v>
      </c>
      <c r="S40" s="53">
        <v>106</v>
      </c>
      <c r="T40" s="16">
        <f t="shared" si="1"/>
        <v>33</v>
      </c>
      <c r="U40" s="53">
        <v>105</v>
      </c>
      <c r="V40" s="16">
        <f t="shared" si="2"/>
        <v>3465</v>
      </c>
      <c r="W40" s="53">
        <v>12</v>
      </c>
      <c r="X40" s="54" t="s">
        <v>46</v>
      </c>
      <c r="Y40" s="54" t="s">
        <v>55</v>
      </c>
      <c r="Z40" s="54" t="s">
        <v>78</v>
      </c>
      <c r="AA40" s="54" t="s">
        <v>69</v>
      </c>
      <c r="AB40" s="54" t="s">
        <v>258</v>
      </c>
    </row>
    <row r="41" spans="1:28" x14ac:dyDescent="0.15">
      <c r="A41" s="54" t="s">
        <v>34</v>
      </c>
      <c r="B41" s="53" t="s">
        <v>232</v>
      </c>
      <c r="C41" s="53">
        <v>2019</v>
      </c>
      <c r="D41" s="178" t="s">
        <v>167</v>
      </c>
      <c r="E41" s="36" t="s">
        <v>370</v>
      </c>
      <c r="F41" s="36" t="s">
        <v>371</v>
      </c>
      <c r="G41" s="54" t="s">
        <v>36</v>
      </c>
      <c r="H41" s="53" t="s">
        <v>160</v>
      </c>
      <c r="I41" s="54" t="s">
        <v>159</v>
      </c>
      <c r="J41" s="54" t="s">
        <v>38</v>
      </c>
      <c r="K41" s="54" t="s">
        <v>161</v>
      </c>
      <c r="L41" s="54">
        <v>1</v>
      </c>
      <c r="N41" s="53">
        <v>4</v>
      </c>
      <c r="O41" s="53">
        <v>0.95</v>
      </c>
      <c r="P41" s="53">
        <v>1.05</v>
      </c>
      <c r="Q41" s="98">
        <f t="shared" si="0"/>
        <v>1</v>
      </c>
      <c r="R41" s="53">
        <v>16.5</v>
      </c>
      <c r="S41" s="53">
        <v>99</v>
      </c>
      <c r="T41" s="16">
        <f t="shared" si="1"/>
        <v>33</v>
      </c>
      <c r="U41" s="53">
        <v>537</v>
      </c>
      <c r="V41" s="16">
        <f t="shared" si="2"/>
        <v>4430.25</v>
      </c>
      <c r="W41" s="53">
        <v>12</v>
      </c>
      <c r="X41" s="54" t="s">
        <v>46</v>
      </c>
      <c r="Y41" s="54" t="s">
        <v>55</v>
      </c>
      <c r="Z41" s="54" t="s">
        <v>78</v>
      </c>
      <c r="AA41" s="54" t="s">
        <v>69</v>
      </c>
      <c r="AB41" s="54" t="s">
        <v>258</v>
      </c>
    </row>
    <row r="42" spans="1:28" x14ac:dyDescent="0.15">
      <c r="A42" s="54" t="s">
        <v>34</v>
      </c>
      <c r="B42" s="53" t="s">
        <v>232</v>
      </c>
      <c r="C42" s="53">
        <v>2019</v>
      </c>
      <c r="D42" s="178" t="s">
        <v>167</v>
      </c>
      <c r="E42" s="36" t="s">
        <v>370</v>
      </c>
      <c r="F42" s="36" t="s">
        <v>371</v>
      </c>
      <c r="G42" s="54" t="s">
        <v>36</v>
      </c>
      <c r="H42" s="53" t="s">
        <v>160</v>
      </c>
      <c r="I42" s="54" t="s">
        <v>159</v>
      </c>
      <c r="J42" s="54" t="s">
        <v>38</v>
      </c>
      <c r="K42" s="54" t="s">
        <v>161</v>
      </c>
      <c r="L42" s="53">
        <v>2</v>
      </c>
      <c r="N42" s="53">
        <v>4</v>
      </c>
      <c r="O42" s="53">
        <v>0.7</v>
      </c>
      <c r="P42" s="53">
        <v>0.8</v>
      </c>
      <c r="Q42" s="98">
        <f t="shared" si="0"/>
        <v>0.75</v>
      </c>
      <c r="R42" s="53">
        <v>17.7</v>
      </c>
      <c r="S42" s="53">
        <v>95</v>
      </c>
      <c r="T42" s="16">
        <f t="shared" si="1"/>
        <v>36</v>
      </c>
      <c r="U42" s="53">
        <v>537</v>
      </c>
      <c r="V42" s="16">
        <f t="shared" si="2"/>
        <v>4833</v>
      </c>
      <c r="W42" s="53">
        <v>12</v>
      </c>
      <c r="X42" s="54" t="s">
        <v>46</v>
      </c>
      <c r="Y42" s="54" t="s">
        <v>55</v>
      </c>
      <c r="Z42" s="54" t="s">
        <v>78</v>
      </c>
      <c r="AA42" s="54" t="s">
        <v>69</v>
      </c>
      <c r="AB42" s="54" t="s">
        <v>258</v>
      </c>
    </row>
    <row r="43" spans="1:28" x14ac:dyDescent="0.15">
      <c r="A43" s="54" t="s">
        <v>34</v>
      </c>
      <c r="B43" s="53" t="s">
        <v>232</v>
      </c>
      <c r="C43" s="53">
        <v>2019</v>
      </c>
      <c r="D43" s="178" t="s">
        <v>167</v>
      </c>
      <c r="E43" s="36" t="s">
        <v>370</v>
      </c>
      <c r="F43" s="36" t="s">
        <v>371</v>
      </c>
      <c r="G43" s="54" t="s">
        <v>36</v>
      </c>
      <c r="H43" s="53" t="s">
        <v>160</v>
      </c>
      <c r="I43" s="54" t="s">
        <v>159</v>
      </c>
      <c r="J43" s="54" t="s">
        <v>38</v>
      </c>
      <c r="K43" s="54" t="s">
        <v>161</v>
      </c>
      <c r="L43" s="53">
        <v>3</v>
      </c>
      <c r="N43" s="53">
        <v>4</v>
      </c>
      <c r="O43" s="53">
        <v>0.85</v>
      </c>
      <c r="P43" s="53">
        <v>0.8</v>
      </c>
      <c r="Q43" s="98">
        <f t="shared" si="0"/>
        <v>0.82499999999999996</v>
      </c>
      <c r="R43" s="53">
        <v>18.399999999999999</v>
      </c>
      <c r="S43" s="53">
        <v>95</v>
      </c>
      <c r="T43" s="16">
        <f t="shared" si="1"/>
        <v>36</v>
      </c>
      <c r="U43" s="53">
        <v>537</v>
      </c>
      <c r="V43" s="16">
        <f t="shared" si="2"/>
        <v>4833</v>
      </c>
      <c r="W43" s="53">
        <v>12</v>
      </c>
      <c r="X43" s="54" t="s">
        <v>46</v>
      </c>
      <c r="Y43" s="54" t="s">
        <v>55</v>
      </c>
      <c r="Z43" s="54" t="s">
        <v>78</v>
      </c>
      <c r="AA43" s="54" t="s">
        <v>69</v>
      </c>
      <c r="AB43" s="54" t="s">
        <v>258</v>
      </c>
    </row>
    <row r="44" spans="1:28" x14ac:dyDescent="0.15">
      <c r="A44" s="54" t="s">
        <v>34</v>
      </c>
      <c r="B44" s="53" t="s">
        <v>232</v>
      </c>
      <c r="C44" s="53">
        <v>2019</v>
      </c>
      <c r="D44" s="178" t="s">
        <v>167</v>
      </c>
      <c r="E44" s="36" t="s">
        <v>370</v>
      </c>
      <c r="F44" s="36" t="s">
        <v>371</v>
      </c>
      <c r="G44" s="54" t="s">
        <v>36</v>
      </c>
      <c r="H44" s="53" t="s">
        <v>160</v>
      </c>
      <c r="I44" s="54" t="s">
        <v>159</v>
      </c>
      <c r="J44" s="54" t="s">
        <v>38</v>
      </c>
      <c r="K44" s="54" t="s">
        <v>161</v>
      </c>
      <c r="L44" s="54">
        <v>1</v>
      </c>
      <c r="N44" s="53">
        <v>8</v>
      </c>
      <c r="O44" s="53">
        <v>0.5</v>
      </c>
      <c r="P44" s="53">
        <v>0.5</v>
      </c>
      <c r="Q44" s="98">
        <f t="shared" si="0"/>
        <v>0.5</v>
      </c>
      <c r="R44" s="53">
        <v>18.399999999999999</v>
      </c>
      <c r="S44" s="53">
        <v>105</v>
      </c>
      <c r="T44" s="16">
        <f t="shared" si="1"/>
        <v>33</v>
      </c>
      <c r="U44" s="53">
        <v>1058</v>
      </c>
      <c r="V44" s="16">
        <f t="shared" si="2"/>
        <v>4364.25</v>
      </c>
      <c r="W44" s="53">
        <v>12</v>
      </c>
      <c r="X44" s="54" t="s">
        <v>46</v>
      </c>
      <c r="Y44" s="54" t="s">
        <v>55</v>
      </c>
      <c r="Z44" s="54" t="s">
        <v>78</v>
      </c>
      <c r="AA44" s="54" t="s">
        <v>69</v>
      </c>
      <c r="AB44" s="54" t="s">
        <v>258</v>
      </c>
    </row>
    <row r="45" spans="1:28" x14ac:dyDescent="0.15">
      <c r="A45" s="54" t="s">
        <v>34</v>
      </c>
      <c r="B45" s="53" t="s">
        <v>232</v>
      </c>
      <c r="C45" s="53">
        <v>2019</v>
      </c>
      <c r="D45" s="178" t="s">
        <v>167</v>
      </c>
      <c r="E45" s="36" t="s">
        <v>370</v>
      </c>
      <c r="F45" s="36" t="s">
        <v>371</v>
      </c>
      <c r="G45" s="54" t="s">
        <v>36</v>
      </c>
      <c r="H45" s="53" t="s">
        <v>160</v>
      </c>
      <c r="I45" s="54" t="s">
        <v>159</v>
      </c>
      <c r="J45" s="54" t="s">
        <v>38</v>
      </c>
      <c r="K45" s="54" t="s">
        <v>161</v>
      </c>
      <c r="L45" s="53">
        <v>2</v>
      </c>
      <c r="N45" s="53">
        <v>8</v>
      </c>
      <c r="O45" s="53">
        <v>0.7</v>
      </c>
      <c r="P45" s="53">
        <v>1</v>
      </c>
      <c r="Q45" s="98">
        <f t="shared" si="0"/>
        <v>0.85</v>
      </c>
      <c r="R45" s="53">
        <v>17.2</v>
      </c>
      <c r="S45" s="53">
        <v>99</v>
      </c>
      <c r="T45" s="16">
        <f t="shared" si="1"/>
        <v>33</v>
      </c>
      <c r="U45" s="53">
        <v>1058</v>
      </c>
      <c r="V45" s="16">
        <f t="shared" si="2"/>
        <v>4364.25</v>
      </c>
      <c r="W45" s="53">
        <v>12</v>
      </c>
      <c r="X45" s="54" t="s">
        <v>46</v>
      </c>
      <c r="Y45" s="54" t="s">
        <v>55</v>
      </c>
      <c r="Z45" s="54" t="s">
        <v>78</v>
      </c>
      <c r="AA45" s="54" t="s">
        <v>69</v>
      </c>
      <c r="AB45" s="54" t="s">
        <v>258</v>
      </c>
    </row>
    <row r="46" spans="1:28" x14ac:dyDescent="0.15">
      <c r="A46" s="54" t="s">
        <v>34</v>
      </c>
      <c r="B46" s="53" t="s">
        <v>232</v>
      </c>
      <c r="C46" s="53">
        <v>2019</v>
      </c>
      <c r="D46" s="178" t="s">
        <v>167</v>
      </c>
      <c r="E46" s="36" t="s">
        <v>370</v>
      </c>
      <c r="F46" s="36" t="s">
        <v>371</v>
      </c>
      <c r="G46" s="54" t="s">
        <v>36</v>
      </c>
      <c r="H46" s="53" t="s">
        <v>160</v>
      </c>
      <c r="I46" s="54" t="s">
        <v>159</v>
      </c>
      <c r="J46" s="54" t="s">
        <v>38</v>
      </c>
      <c r="K46" s="54" t="s">
        <v>161</v>
      </c>
      <c r="L46" s="53">
        <v>3</v>
      </c>
      <c r="N46" s="53">
        <v>8</v>
      </c>
      <c r="O46" s="53">
        <v>1.05</v>
      </c>
      <c r="P46" s="53">
        <v>0.8</v>
      </c>
      <c r="Q46" s="98">
        <f t="shared" si="0"/>
        <v>0.92500000000000004</v>
      </c>
      <c r="R46" s="53">
        <v>19.2</v>
      </c>
      <c r="S46" s="53">
        <v>105</v>
      </c>
      <c r="T46" s="16">
        <f t="shared" si="1"/>
        <v>33</v>
      </c>
      <c r="U46" s="53">
        <v>1058</v>
      </c>
      <c r="V46" s="16">
        <f t="shared" si="2"/>
        <v>4364.25</v>
      </c>
      <c r="W46" s="53">
        <v>12</v>
      </c>
      <c r="X46" s="54" t="s">
        <v>46</v>
      </c>
      <c r="Y46" s="54" t="s">
        <v>55</v>
      </c>
      <c r="Z46" s="54" t="s">
        <v>78</v>
      </c>
      <c r="AA46" s="54" t="s">
        <v>69</v>
      </c>
      <c r="AB46" s="54" t="s">
        <v>258</v>
      </c>
    </row>
    <row r="47" spans="1:28" x14ac:dyDescent="0.15">
      <c r="A47" s="54" t="s">
        <v>34</v>
      </c>
      <c r="B47" s="53" t="s">
        <v>232</v>
      </c>
      <c r="C47" s="53">
        <v>2019</v>
      </c>
      <c r="D47" s="178" t="s">
        <v>167</v>
      </c>
      <c r="E47" s="36" t="s">
        <v>360</v>
      </c>
      <c r="F47" s="36" t="s">
        <v>359</v>
      </c>
      <c r="G47" s="54" t="s">
        <v>36</v>
      </c>
      <c r="H47" s="53" t="s">
        <v>160</v>
      </c>
      <c r="I47" s="54" t="s">
        <v>159</v>
      </c>
      <c r="J47" s="54" t="s">
        <v>38</v>
      </c>
      <c r="K47" s="54" t="s">
        <v>161</v>
      </c>
      <c r="L47" s="54">
        <v>1</v>
      </c>
      <c r="N47" s="53">
        <v>1</v>
      </c>
      <c r="O47" s="53">
        <v>0.6</v>
      </c>
      <c r="P47" s="53">
        <v>0.6</v>
      </c>
      <c r="Q47" s="98">
        <f t="shared" si="0"/>
        <v>0.6</v>
      </c>
      <c r="R47" s="53">
        <v>17.8</v>
      </c>
      <c r="S47" s="53">
        <v>118</v>
      </c>
      <c r="T47" s="16">
        <f t="shared" si="1"/>
        <v>30</v>
      </c>
      <c r="U47" s="53">
        <v>108</v>
      </c>
      <c r="V47" s="16">
        <f t="shared" si="2"/>
        <v>3240</v>
      </c>
      <c r="W47" s="53">
        <v>8</v>
      </c>
      <c r="X47" s="54" t="s">
        <v>46</v>
      </c>
      <c r="Y47" s="54" t="s">
        <v>55</v>
      </c>
      <c r="Z47" s="54" t="s">
        <v>47</v>
      </c>
      <c r="AA47" s="54" t="s">
        <v>86</v>
      </c>
      <c r="AB47" s="54" t="s">
        <v>258</v>
      </c>
    </row>
    <row r="48" spans="1:28" x14ac:dyDescent="0.15">
      <c r="A48" s="54" t="s">
        <v>34</v>
      </c>
      <c r="B48" s="53" t="s">
        <v>232</v>
      </c>
      <c r="C48" s="53">
        <v>2019</v>
      </c>
      <c r="D48" s="178" t="s">
        <v>167</v>
      </c>
      <c r="E48" s="36" t="s">
        <v>360</v>
      </c>
      <c r="F48" s="36" t="s">
        <v>359</v>
      </c>
      <c r="G48" s="54" t="s">
        <v>36</v>
      </c>
      <c r="H48" s="53" t="s">
        <v>160</v>
      </c>
      <c r="I48" s="54" t="s">
        <v>159</v>
      </c>
      <c r="J48" s="54" t="s">
        <v>38</v>
      </c>
      <c r="K48" s="54" t="s">
        <v>161</v>
      </c>
      <c r="L48" s="53">
        <v>2</v>
      </c>
      <c r="N48" s="53">
        <v>1</v>
      </c>
      <c r="O48" s="53">
        <v>0.75</v>
      </c>
      <c r="P48" s="53">
        <v>0.7</v>
      </c>
      <c r="Q48" s="98">
        <f t="shared" si="0"/>
        <v>0.72499999999999998</v>
      </c>
      <c r="R48" s="53">
        <v>17.600000000000001</v>
      </c>
      <c r="S48" s="53">
        <v>121</v>
      </c>
      <c r="T48" s="16">
        <f t="shared" si="1"/>
        <v>30</v>
      </c>
      <c r="U48" s="53">
        <v>108</v>
      </c>
      <c r="V48" s="16">
        <f t="shared" si="2"/>
        <v>3240</v>
      </c>
      <c r="W48" s="53">
        <v>8</v>
      </c>
      <c r="X48" s="54" t="s">
        <v>46</v>
      </c>
      <c r="Y48" s="54" t="s">
        <v>55</v>
      </c>
      <c r="Z48" s="54" t="s">
        <v>47</v>
      </c>
      <c r="AA48" s="54" t="s">
        <v>86</v>
      </c>
      <c r="AB48" s="54" t="s">
        <v>258</v>
      </c>
    </row>
    <row r="49" spans="1:28" x14ac:dyDescent="0.15">
      <c r="A49" s="54" t="s">
        <v>34</v>
      </c>
      <c r="B49" s="53" t="s">
        <v>232</v>
      </c>
      <c r="C49" s="53">
        <v>2019</v>
      </c>
      <c r="D49" s="178" t="s">
        <v>167</v>
      </c>
      <c r="E49" s="36" t="s">
        <v>360</v>
      </c>
      <c r="F49" s="36" t="s">
        <v>359</v>
      </c>
      <c r="G49" s="54" t="s">
        <v>36</v>
      </c>
      <c r="H49" s="53" t="s">
        <v>160</v>
      </c>
      <c r="I49" s="54" t="s">
        <v>159</v>
      </c>
      <c r="J49" s="54" t="s">
        <v>38</v>
      </c>
      <c r="K49" s="54" t="s">
        <v>161</v>
      </c>
      <c r="L49" s="53">
        <v>3</v>
      </c>
      <c r="N49" s="53">
        <v>1</v>
      </c>
      <c r="O49" s="53">
        <v>0.55000000000000004</v>
      </c>
      <c r="P49" s="53">
        <v>0.65</v>
      </c>
      <c r="Q49" s="98">
        <f t="shared" si="0"/>
        <v>0.60000000000000009</v>
      </c>
      <c r="R49" s="53">
        <v>19.100000000000001</v>
      </c>
      <c r="S49" s="53">
        <v>118</v>
      </c>
      <c r="T49" s="16">
        <f t="shared" si="1"/>
        <v>30</v>
      </c>
      <c r="U49" s="53">
        <v>108</v>
      </c>
      <c r="V49" s="16">
        <f t="shared" si="2"/>
        <v>3240</v>
      </c>
      <c r="W49" s="53">
        <v>8</v>
      </c>
      <c r="X49" s="54" t="s">
        <v>46</v>
      </c>
      <c r="Y49" s="54" t="s">
        <v>55</v>
      </c>
      <c r="Z49" s="54" t="s">
        <v>47</v>
      </c>
      <c r="AA49" s="54" t="s">
        <v>86</v>
      </c>
      <c r="AB49" s="54" t="s">
        <v>258</v>
      </c>
    </row>
    <row r="50" spans="1:28" x14ac:dyDescent="0.15">
      <c r="A50" s="54" t="s">
        <v>34</v>
      </c>
      <c r="B50" s="53" t="s">
        <v>232</v>
      </c>
      <c r="C50" s="53">
        <v>2019</v>
      </c>
      <c r="D50" s="178" t="s">
        <v>167</v>
      </c>
      <c r="E50" s="36" t="s">
        <v>360</v>
      </c>
      <c r="F50" s="36" t="s">
        <v>359</v>
      </c>
      <c r="G50" s="54" t="s">
        <v>36</v>
      </c>
      <c r="H50" s="53" t="s">
        <v>160</v>
      </c>
      <c r="I50" s="54" t="s">
        <v>159</v>
      </c>
      <c r="J50" s="54" t="s">
        <v>38</v>
      </c>
      <c r="K50" s="54" t="s">
        <v>161</v>
      </c>
      <c r="L50" s="54">
        <v>1</v>
      </c>
      <c r="N50" s="53">
        <v>4</v>
      </c>
      <c r="O50" s="53">
        <v>0.8</v>
      </c>
      <c r="P50" s="53">
        <v>1.05</v>
      </c>
      <c r="Q50" s="98">
        <f t="shared" si="0"/>
        <v>0.92500000000000004</v>
      </c>
      <c r="R50" s="53">
        <v>17.399999999999999</v>
      </c>
      <c r="S50" s="53">
        <v>114</v>
      </c>
      <c r="T50" s="16">
        <f t="shared" si="1"/>
        <v>30</v>
      </c>
      <c r="U50" s="53">
        <v>429</v>
      </c>
      <c r="V50" s="16">
        <f t="shared" si="2"/>
        <v>3217.5</v>
      </c>
      <c r="W50" s="53">
        <v>8</v>
      </c>
      <c r="X50" s="54" t="s">
        <v>46</v>
      </c>
      <c r="Y50" s="54" t="s">
        <v>55</v>
      </c>
      <c r="Z50" s="54" t="s">
        <v>47</v>
      </c>
      <c r="AA50" s="54" t="s">
        <v>86</v>
      </c>
      <c r="AB50" s="54" t="s">
        <v>258</v>
      </c>
    </row>
    <row r="51" spans="1:28" x14ac:dyDescent="0.15">
      <c r="A51" s="54" t="s">
        <v>34</v>
      </c>
      <c r="B51" s="53" t="s">
        <v>232</v>
      </c>
      <c r="C51" s="53">
        <v>2019</v>
      </c>
      <c r="D51" s="178" t="s">
        <v>167</v>
      </c>
      <c r="E51" s="36" t="s">
        <v>360</v>
      </c>
      <c r="F51" s="36" t="s">
        <v>359</v>
      </c>
      <c r="G51" s="54" t="s">
        <v>36</v>
      </c>
      <c r="H51" s="53" t="s">
        <v>160</v>
      </c>
      <c r="I51" s="54" t="s">
        <v>159</v>
      </c>
      <c r="J51" s="54" t="s">
        <v>38</v>
      </c>
      <c r="K51" s="54" t="s">
        <v>161</v>
      </c>
      <c r="L51" s="53">
        <v>2</v>
      </c>
      <c r="N51" s="53">
        <v>4</v>
      </c>
      <c r="O51" s="53">
        <v>0.85</v>
      </c>
      <c r="P51" s="53">
        <v>0.85</v>
      </c>
      <c r="Q51" s="98">
        <f t="shared" si="0"/>
        <v>0.85</v>
      </c>
      <c r="R51" s="53">
        <v>17.100000000000001</v>
      </c>
      <c r="S51" s="53">
        <v>109</v>
      </c>
      <c r="T51" s="16">
        <f t="shared" si="1"/>
        <v>33</v>
      </c>
      <c r="U51" s="53">
        <v>429</v>
      </c>
      <c r="V51" s="16">
        <f t="shared" si="2"/>
        <v>3539.25</v>
      </c>
      <c r="W51" s="53">
        <v>8</v>
      </c>
      <c r="X51" s="54" t="s">
        <v>46</v>
      </c>
      <c r="Y51" s="54" t="s">
        <v>55</v>
      </c>
      <c r="Z51" s="54" t="s">
        <v>47</v>
      </c>
      <c r="AA51" s="54" t="s">
        <v>86</v>
      </c>
      <c r="AB51" s="54" t="s">
        <v>258</v>
      </c>
    </row>
    <row r="52" spans="1:28" x14ac:dyDescent="0.15">
      <c r="A52" s="54" t="s">
        <v>34</v>
      </c>
      <c r="B52" s="53" t="s">
        <v>232</v>
      </c>
      <c r="C52" s="53">
        <v>2019</v>
      </c>
      <c r="D52" s="178" t="s">
        <v>167</v>
      </c>
      <c r="E52" s="36" t="s">
        <v>360</v>
      </c>
      <c r="F52" s="36" t="s">
        <v>359</v>
      </c>
      <c r="G52" s="54" t="s">
        <v>36</v>
      </c>
      <c r="H52" s="53" t="s">
        <v>160</v>
      </c>
      <c r="I52" s="54" t="s">
        <v>159</v>
      </c>
      <c r="J52" s="54" t="s">
        <v>38</v>
      </c>
      <c r="K52" s="54" t="s">
        <v>161</v>
      </c>
      <c r="L52" s="53">
        <v>3</v>
      </c>
      <c r="N52" s="53">
        <v>4</v>
      </c>
      <c r="O52" s="53">
        <v>1</v>
      </c>
      <c r="P52" s="53">
        <v>0.8</v>
      </c>
      <c r="Q52" s="98">
        <f t="shared" si="0"/>
        <v>0.9</v>
      </c>
      <c r="R52" s="53">
        <v>17.399999999999999</v>
      </c>
      <c r="S52" s="53">
        <v>109</v>
      </c>
      <c r="T52" s="16">
        <f t="shared" si="1"/>
        <v>33</v>
      </c>
      <c r="U52" s="53">
        <v>429</v>
      </c>
      <c r="V52" s="16">
        <f t="shared" si="2"/>
        <v>3539.25</v>
      </c>
      <c r="W52" s="53">
        <v>8</v>
      </c>
      <c r="X52" s="54" t="s">
        <v>46</v>
      </c>
      <c r="Y52" s="54" t="s">
        <v>55</v>
      </c>
      <c r="Z52" s="54" t="s">
        <v>47</v>
      </c>
      <c r="AA52" s="54" t="s">
        <v>86</v>
      </c>
      <c r="AB52" s="54" t="s">
        <v>258</v>
      </c>
    </row>
    <row r="53" spans="1:28" x14ac:dyDescent="0.15">
      <c r="A53" s="54" t="s">
        <v>34</v>
      </c>
      <c r="B53" s="53" t="s">
        <v>232</v>
      </c>
      <c r="C53" s="53">
        <v>2019</v>
      </c>
      <c r="D53" s="178" t="s">
        <v>167</v>
      </c>
      <c r="E53" s="36" t="s">
        <v>360</v>
      </c>
      <c r="F53" s="36" t="s">
        <v>359</v>
      </c>
      <c r="G53" s="54" t="s">
        <v>36</v>
      </c>
      <c r="H53" s="53" t="s">
        <v>160</v>
      </c>
      <c r="I53" s="54" t="s">
        <v>159</v>
      </c>
      <c r="J53" s="54" t="s">
        <v>38</v>
      </c>
      <c r="K53" s="54" t="s">
        <v>161</v>
      </c>
      <c r="L53" s="54">
        <v>1</v>
      </c>
      <c r="N53" s="53">
        <v>6</v>
      </c>
      <c r="O53" s="53">
        <v>0.6</v>
      </c>
      <c r="P53" s="53">
        <v>0.8</v>
      </c>
      <c r="Q53" s="98">
        <f t="shared" si="0"/>
        <v>0.7</v>
      </c>
      <c r="R53" s="53">
        <v>18.600000000000001</v>
      </c>
      <c r="S53" s="53">
        <v>133</v>
      </c>
      <c r="T53" s="16">
        <f t="shared" si="1"/>
        <v>30</v>
      </c>
      <c r="U53" s="53">
        <v>842</v>
      </c>
      <c r="V53" s="16">
        <f t="shared" si="2"/>
        <v>4210</v>
      </c>
      <c r="W53" s="53">
        <v>8</v>
      </c>
      <c r="X53" s="54" t="s">
        <v>46</v>
      </c>
      <c r="Y53" s="54" t="s">
        <v>55</v>
      </c>
      <c r="Z53" s="54" t="s">
        <v>47</v>
      </c>
      <c r="AA53" s="54" t="s">
        <v>86</v>
      </c>
      <c r="AB53" s="54" t="s">
        <v>258</v>
      </c>
    </row>
    <row r="54" spans="1:28" x14ac:dyDescent="0.15">
      <c r="A54" s="54" t="s">
        <v>34</v>
      </c>
      <c r="B54" s="53" t="s">
        <v>232</v>
      </c>
      <c r="C54" s="53">
        <v>2019</v>
      </c>
      <c r="D54" s="178" t="s">
        <v>167</v>
      </c>
      <c r="E54" s="36" t="s">
        <v>360</v>
      </c>
      <c r="F54" s="36" t="s">
        <v>359</v>
      </c>
      <c r="G54" s="54" t="s">
        <v>36</v>
      </c>
      <c r="H54" s="53" t="s">
        <v>160</v>
      </c>
      <c r="I54" s="54" t="s">
        <v>159</v>
      </c>
      <c r="J54" s="54" t="s">
        <v>38</v>
      </c>
      <c r="K54" s="54" t="s">
        <v>161</v>
      </c>
      <c r="L54" s="53">
        <v>2</v>
      </c>
      <c r="N54" s="53">
        <v>6</v>
      </c>
      <c r="O54" s="53">
        <v>0.6</v>
      </c>
      <c r="P54" s="53">
        <v>0.7</v>
      </c>
      <c r="Q54" s="98">
        <f t="shared" si="0"/>
        <v>0.64999999999999991</v>
      </c>
      <c r="R54" s="53">
        <v>19.8</v>
      </c>
      <c r="S54" s="53">
        <v>145</v>
      </c>
      <c r="T54" s="16">
        <f t="shared" si="1"/>
        <v>30</v>
      </c>
      <c r="U54" s="53">
        <v>842</v>
      </c>
      <c r="V54" s="16">
        <f t="shared" si="2"/>
        <v>4210</v>
      </c>
      <c r="W54" s="53">
        <v>8</v>
      </c>
      <c r="X54" s="54" t="s">
        <v>46</v>
      </c>
      <c r="Y54" s="54" t="s">
        <v>55</v>
      </c>
      <c r="Z54" s="54" t="s">
        <v>47</v>
      </c>
      <c r="AA54" s="54" t="s">
        <v>86</v>
      </c>
      <c r="AB54" s="54" t="s">
        <v>258</v>
      </c>
    </row>
    <row r="55" spans="1:28" x14ac:dyDescent="0.15">
      <c r="A55" s="54" t="s">
        <v>34</v>
      </c>
      <c r="B55" s="53" t="s">
        <v>232</v>
      </c>
      <c r="C55" s="53">
        <v>2019</v>
      </c>
      <c r="D55" s="178" t="s">
        <v>167</v>
      </c>
      <c r="E55" s="36" t="s">
        <v>360</v>
      </c>
      <c r="F55" s="36" t="s">
        <v>359</v>
      </c>
      <c r="G55" s="54" t="s">
        <v>36</v>
      </c>
      <c r="H55" s="53" t="s">
        <v>160</v>
      </c>
      <c r="I55" s="54" t="s">
        <v>159</v>
      </c>
      <c r="J55" s="54" t="s">
        <v>38</v>
      </c>
      <c r="K55" s="54" t="s">
        <v>161</v>
      </c>
      <c r="L55" s="53">
        <v>3</v>
      </c>
      <c r="N55" s="53">
        <v>6</v>
      </c>
      <c r="O55" s="53">
        <v>0.6</v>
      </c>
      <c r="P55" s="53">
        <v>0.55000000000000004</v>
      </c>
      <c r="Q55" s="98">
        <f t="shared" si="0"/>
        <v>0.57499999999999996</v>
      </c>
      <c r="R55" s="53">
        <v>20.6</v>
      </c>
      <c r="S55" s="53">
        <v>135</v>
      </c>
      <c r="T55" s="16">
        <f t="shared" si="1"/>
        <v>30</v>
      </c>
      <c r="U55" s="53">
        <v>842</v>
      </c>
      <c r="V55" s="16">
        <f t="shared" si="2"/>
        <v>4210</v>
      </c>
      <c r="W55" s="53">
        <v>8</v>
      </c>
      <c r="X55" s="54" t="s">
        <v>46</v>
      </c>
      <c r="Y55" s="54" t="s">
        <v>55</v>
      </c>
      <c r="Z55" s="54" t="s">
        <v>47</v>
      </c>
      <c r="AA55" s="54" t="s">
        <v>86</v>
      </c>
      <c r="AB55" s="54" t="s">
        <v>258</v>
      </c>
    </row>
    <row r="56" spans="1:28" x14ac:dyDescent="0.15">
      <c r="A56" s="54" t="s">
        <v>34</v>
      </c>
      <c r="B56" s="53" t="s">
        <v>232</v>
      </c>
      <c r="C56" s="53">
        <v>2019</v>
      </c>
      <c r="D56" s="178" t="s">
        <v>167</v>
      </c>
      <c r="E56" s="36" t="s">
        <v>360</v>
      </c>
      <c r="F56" s="36" t="s">
        <v>359</v>
      </c>
      <c r="G56" s="54" t="s">
        <v>36</v>
      </c>
      <c r="H56" s="53" t="s">
        <v>165</v>
      </c>
      <c r="I56" s="54" t="s">
        <v>159</v>
      </c>
      <c r="J56" s="54" t="s">
        <v>38</v>
      </c>
      <c r="K56" s="54" t="s">
        <v>161</v>
      </c>
      <c r="L56" s="54">
        <v>1</v>
      </c>
      <c r="N56" s="53">
        <v>1</v>
      </c>
      <c r="O56" s="53">
        <v>0.9</v>
      </c>
      <c r="P56" s="53">
        <v>1.05</v>
      </c>
      <c r="Q56" s="98">
        <f t="shared" si="0"/>
        <v>0.97500000000000009</v>
      </c>
      <c r="R56" s="53">
        <v>19.399999999999999</v>
      </c>
      <c r="S56" s="53">
        <v>125</v>
      </c>
      <c r="T56" s="16">
        <f t="shared" si="1"/>
        <v>30</v>
      </c>
      <c r="U56" s="53">
        <v>108</v>
      </c>
      <c r="V56" s="16">
        <f t="shared" si="2"/>
        <v>3240</v>
      </c>
      <c r="W56" s="53">
        <v>3</v>
      </c>
      <c r="X56" s="54" t="s">
        <v>46</v>
      </c>
      <c r="Y56" s="54" t="s">
        <v>55</v>
      </c>
      <c r="Z56" s="54" t="s">
        <v>47</v>
      </c>
      <c r="AA56" s="54" t="s">
        <v>86</v>
      </c>
      <c r="AB56" s="54" t="s">
        <v>258</v>
      </c>
    </row>
    <row r="57" spans="1:28" x14ac:dyDescent="0.15">
      <c r="A57" s="54" t="s">
        <v>34</v>
      </c>
      <c r="B57" s="53" t="s">
        <v>232</v>
      </c>
      <c r="C57" s="53">
        <v>2019</v>
      </c>
      <c r="D57" s="178" t="s">
        <v>167</v>
      </c>
      <c r="E57" s="36" t="s">
        <v>360</v>
      </c>
      <c r="F57" s="36" t="s">
        <v>359</v>
      </c>
      <c r="G57" s="54" t="s">
        <v>36</v>
      </c>
      <c r="H57" s="53" t="s">
        <v>165</v>
      </c>
      <c r="I57" s="54" t="s">
        <v>159</v>
      </c>
      <c r="J57" s="54" t="s">
        <v>38</v>
      </c>
      <c r="K57" s="54" t="s">
        <v>161</v>
      </c>
      <c r="L57" s="53">
        <v>2</v>
      </c>
      <c r="N57" s="53">
        <v>1</v>
      </c>
      <c r="O57" s="53">
        <v>0.95</v>
      </c>
      <c r="P57" s="53">
        <v>1.05</v>
      </c>
      <c r="Q57" s="98">
        <f t="shared" si="0"/>
        <v>1</v>
      </c>
      <c r="R57" s="53">
        <v>17.600000000000001</v>
      </c>
      <c r="S57" s="53">
        <v>124</v>
      </c>
      <c r="T57" s="16">
        <f t="shared" si="1"/>
        <v>30</v>
      </c>
      <c r="U57" s="53">
        <v>108</v>
      </c>
      <c r="V57" s="16">
        <f t="shared" si="2"/>
        <v>3240</v>
      </c>
      <c r="W57" s="53">
        <v>3</v>
      </c>
      <c r="X57" s="54" t="s">
        <v>46</v>
      </c>
      <c r="Y57" s="54" t="s">
        <v>55</v>
      </c>
      <c r="Z57" s="54" t="s">
        <v>47</v>
      </c>
      <c r="AA57" s="54" t="s">
        <v>86</v>
      </c>
      <c r="AB57" s="54" t="s">
        <v>258</v>
      </c>
    </row>
    <row r="58" spans="1:28" x14ac:dyDescent="0.15">
      <c r="A58" s="54" t="s">
        <v>34</v>
      </c>
      <c r="B58" s="53" t="s">
        <v>232</v>
      </c>
      <c r="C58" s="53">
        <v>2019</v>
      </c>
      <c r="D58" s="178" t="s">
        <v>167</v>
      </c>
      <c r="E58" s="36" t="s">
        <v>360</v>
      </c>
      <c r="F58" s="36" t="s">
        <v>359</v>
      </c>
      <c r="G58" s="54" t="s">
        <v>36</v>
      </c>
      <c r="H58" s="53" t="s">
        <v>165</v>
      </c>
      <c r="I58" s="54" t="s">
        <v>159</v>
      </c>
      <c r="J58" s="54" t="s">
        <v>38</v>
      </c>
      <c r="K58" s="54" t="s">
        <v>161</v>
      </c>
      <c r="L58" s="53">
        <v>3</v>
      </c>
      <c r="N58" s="53">
        <v>1</v>
      </c>
      <c r="O58" s="53">
        <v>1.35</v>
      </c>
      <c r="P58" s="53">
        <v>1.4</v>
      </c>
      <c r="Q58" s="98">
        <f t="shared" si="0"/>
        <v>1.375</v>
      </c>
      <c r="R58" s="53">
        <v>17.100000000000001</v>
      </c>
      <c r="S58" s="53">
        <v>128</v>
      </c>
      <c r="T58" s="16">
        <f t="shared" si="1"/>
        <v>30</v>
      </c>
      <c r="U58" s="53">
        <v>108</v>
      </c>
      <c r="V58" s="16">
        <f t="shared" si="2"/>
        <v>3240</v>
      </c>
      <c r="W58" s="53">
        <v>3</v>
      </c>
      <c r="X58" s="54" t="s">
        <v>46</v>
      </c>
      <c r="Y58" s="54" t="s">
        <v>55</v>
      </c>
      <c r="Z58" s="54" t="s">
        <v>47</v>
      </c>
      <c r="AA58" s="54" t="s">
        <v>86</v>
      </c>
      <c r="AB58" s="54" t="s">
        <v>258</v>
      </c>
    </row>
    <row r="59" spans="1:28" x14ac:dyDescent="0.15">
      <c r="A59" s="54" t="s">
        <v>34</v>
      </c>
      <c r="B59" s="53" t="s">
        <v>232</v>
      </c>
      <c r="C59" s="53">
        <v>2019</v>
      </c>
      <c r="D59" s="178" t="s">
        <v>167</v>
      </c>
      <c r="E59" s="36" t="s">
        <v>360</v>
      </c>
      <c r="F59" s="36" t="s">
        <v>359</v>
      </c>
      <c r="G59" s="54" t="s">
        <v>36</v>
      </c>
      <c r="H59" s="53" t="s">
        <v>165</v>
      </c>
      <c r="I59" s="54" t="s">
        <v>159</v>
      </c>
      <c r="J59" s="54" t="s">
        <v>38</v>
      </c>
      <c r="K59" s="54" t="s">
        <v>161</v>
      </c>
      <c r="L59" s="54">
        <v>1</v>
      </c>
      <c r="N59" s="53">
        <v>6</v>
      </c>
      <c r="O59" s="53">
        <v>0.6</v>
      </c>
      <c r="P59" s="53">
        <v>0.65</v>
      </c>
      <c r="Q59" s="98">
        <f t="shared" si="0"/>
        <v>0.625</v>
      </c>
      <c r="R59" s="53">
        <v>16.600000000000001</v>
      </c>
      <c r="S59" s="53">
        <v>81</v>
      </c>
      <c r="T59" s="16">
        <f t="shared" si="1"/>
        <v>39</v>
      </c>
      <c r="U59" s="53">
        <v>429</v>
      </c>
      <c r="V59" s="16">
        <f t="shared" si="2"/>
        <v>2788.5</v>
      </c>
      <c r="W59" s="53">
        <v>3</v>
      </c>
      <c r="X59" s="54" t="s">
        <v>46</v>
      </c>
      <c r="Y59" s="54" t="s">
        <v>55</v>
      </c>
      <c r="Z59" s="54" t="s">
        <v>47</v>
      </c>
      <c r="AA59" s="54" t="s">
        <v>86</v>
      </c>
      <c r="AB59" s="54" t="s">
        <v>258</v>
      </c>
    </row>
    <row r="60" spans="1:28" x14ac:dyDescent="0.15">
      <c r="A60" s="54" t="s">
        <v>34</v>
      </c>
      <c r="B60" s="53" t="s">
        <v>232</v>
      </c>
      <c r="C60" s="53">
        <v>2019</v>
      </c>
      <c r="D60" s="178" t="s">
        <v>167</v>
      </c>
      <c r="E60" s="36" t="s">
        <v>360</v>
      </c>
      <c r="F60" s="36" t="s">
        <v>359</v>
      </c>
      <c r="G60" s="54" t="s">
        <v>36</v>
      </c>
      <c r="H60" s="53" t="s">
        <v>165</v>
      </c>
      <c r="I60" s="54" t="s">
        <v>159</v>
      </c>
      <c r="J60" s="54" t="s">
        <v>38</v>
      </c>
      <c r="K60" s="54" t="s">
        <v>161</v>
      </c>
      <c r="L60" s="53">
        <v>2</v>
      </c>
      <c r="N60" s="53">
        <v>6</v>
      </c>
      <c r="O60" s="53">
        <v>0.2</v>
      </c>
      <c r="P60" s="53">
        <v>0.45</v>
      </c>
      <c r="Q60" s="98">
        <f t="shared" si="0"/>
        <v>0.32500000000000001</v>
      </c>
      <c r="R60" s="53">
        <v>16.399999999999999</v>
      </c>
      <c r="S60" s="53">
        <v>82</v>
      </c>
      <c r="T60" s="16">
        <f t="shared" si="1"/>
        <v>39</v>
      </c>
      <c r="U60" s="53">
        <v>429</v>
      </c>
      <c r="V60" s="16">
        <f t="shared" si="2"/>
        <v>2788.5</v>
      </c>
      <c r="W60" s="53">
        <v>3</v>
      </c>
      <c r="X60" s="54" t="s">
        <v>46</v>
      </c>
      <c r="Y60" s="54" t="s">
        <v>55</v>
      </c>
      <c r="Z60" s="54" t="s">
        <v>47</v>
      </c>
      <c r="AA60" s="54" t="s">
        <v>86</v>
      </c>
      <c r="AB60" s="54" t="s">
        <v>258</v>
      </c>
    </row>
    <row r="61" spans="1:28" x14ac:dyDescent="0.15">
      <c r="A61" s="54" t="s">
        <v>34</v>
      </c>
      <c r="B61" s="53" t="s">
        <v>232</v>
      </c>
      <c r="C61" s="53">
        <v>2019</v>
      </c>
      <c r="D61" s="178" t="s">
        <v>167</v>
      </c>
      <c r="E61" s="36" t="s">
        <v>360</v>
      </c>
      <c r="F61" s="36" t="s">
        <v>359</v>
      </c>
      <c r="G61" s="54" t="s">
        <v>36</v>
      </c>
      <c r="H61" s="53" t="s">
        <v>165</v>
      </c>
      <c r="I61" s="54" t="s">
        <v>159</v>
      </c>
      <c r="J61" s="54" t="s">
        <v>38</v>
      </c>
      <c r="K61" s="54" t="s">
        <v>161</v>
      </c>
      <c r="L61" s="53">
        <v>3</v>
      </c>
      <c r="N61" s="53">
        <v>6</v>
      </c>
      <c r="O61" s="53">
        <v>0.2</v>
      </c>
      <c r="P61" s="53">
        <v>0.2</v>
      </c>
      <c r="Q61" s="98">
        <f t="shared" si="0"/>
        <v>0.2</v>
      </c>
      <c r="R61" s="53">
        <v>16.899999999999999</v>
      </c>
      <c r="S61" s="53">
        <v>86</v>
      </c>
      <c r="T61" s="16">
        <f t="shared" si="1"/>
        <v>36</v>
      </c>
      <c r="U61" s="53">
        <v>429</v>
      </c>
      <c r="V61" s="16">
        <f t="shared" si="2"/>
        <v>2574</v>
      </c>
      <c r="W61" s="53">
        <v>3</v>
      </c>
      <c r="X61" s="54" t="s">
        <v>46</v>
      </c>
      <c r="Y61" s="54" t="s">
        <v>55</v>
      </c>
      <c r="Z61" s="54" t="s">
        <v>47</v>
      </c>
      <c r="AA61" s="54" t="s">
        <v>86</v>
      </c>
      <c r="AB61" s="54" t="s">
        <v>258</v>
      </c>
    </row>
    <row r="62" spans="1:28" x14ac:dyDescent="0.15">
      <c r="A62" s="54" t="s">
        <v>34</v>
      </c>
      <c r="B62" s="53" t="s">
        <v>232</v>
      </c>
      <c r="C62" s="53">
        <v>2019</v>
      </c>
      <c r="D62" s="178" t="s">
        <v>167</v>
      </c>
      <c r="E62" s="36" t="s">
        <v>355</v>
      </c>
      <c r="F62" s="36" t="s">
        <v>359</v>
      </c>
      <c r="G62" s="54" t="s">
        <v>36</v>
      </c>
      <c r="H62" s="53" t="s">
        <v>160</v>
      </c>
      <c r="I62" s="54" t="s">
        <v>159</v>
      </c>
      <c r="J62" s="54" t="s">
        <v>38</v>
      </c>
      <c r="K62" s="54" t="s">
        <v>161</v>
      </c>
      <c r="L62" s="54">
        <v>1</v>
      </c>
      <c r="N62" s="53">
        <v>1</v>
      </c>
      <c r="O62" s="53">
        <v>0.65</v>
      </c>
      <c r="P62" s="53">
        <v>0.6</v>
      </c>
      <c r="Q62" s="98">
        <f t="shared" si="0"/>
        <v>0.625</v>
      </c>
      <c r="R62" s="53">
        <v>21.5</v>
      </c>
      <c r="S62" s="53">
        <v>106</v>
      </c>
      <c r="T62" s="16">
        <f t="shared" si="1"/>
        <v>33</v>
      </c>
      <c r="U62" s="53">
        <v>105</v>
      </c>
      <c r="V62" s="16">
        <f t="shared" si="2"/>
        <v>3465</v>
      </c>
      <c r="W62" s="53">
        <v>6</v>
      </c>
      <c r="X62" s="54" t="s">
        <v>46</v>
      </c>
      <c r="Y62" s="54" t="s">
        <v>55</v>
      </c>
      <c r="Z62" s="54" t="s">
        <v>78</v>
      </c>
      <c r="AA62" s="54" t="s">
        <v>69</v>
      </c>
      <c r="AB62" s="54" t="s">
        <v>258</v>
      </c>
    </row>
    <row r="63" spans="1:28" x14ac:dyDescent="0.15">
      <c r="A63" s="54" t="s">
        <v>34</v>
      </c>
      <c r="B63" s="53" t="s">
        <v>232</v>
      </c>
      <c r="C63" s="53">
        <v>2019</v>
      </c>
      <c r="D63" s="178" t="s">
        <v>167</v>
      </c>
      <c r="E63" s="36" t="s">
        <v>355</v>
      </c>
      <c r="F63" s="36" t="s">
        <v>359</v>
      </c>
      <c r="G63" s="54" t="s">
        <v>36</v>
      </c>
      <c r="H63" s="53" t="s">
        <v>160</v>
      </c>
      <c r="I63" s="54" t="s">
        <v>159</v>
      </c>
      <c r="J63" s="54" t="s">
        <v>38</v>
      </c>
      <c r="K63" s="54" t="s">
        <v>161</v>
      </c>
      <c r="L63" s="53">
        <v>2</v>
      </c>
      <c r="N63" s="53">
        <v>1</v>
      </c>
      <c r="O63" s="53">
        <v>0.65</v>
      </c>
      <c r="P63" s="53">
        <v>0.6</v>
      </c>
      <c r="Q63" s="98">
        <f t="shared" si="0"/>
        <v>0.625</v>
      </c>
      <c r="R63" s="53">
        <v>20.2</v>
      </c>
      <c r="S63" s="53">
        <v>105</v>
      </c>
      <c r="T63" s="16">
        <f t="shared" si="1"/>
        <v>33</v>
      </c>
      <c r="U63" s="53">
        <v>105</v>
      </c>
      <c r="V63" s="16">
        <f t="shared" si="2"/>
        <v>3465</v>
      </c>
      <c r="W63" s="53">
        <v>6</v>
      </c>
      <c r="X63" s="54" t="s">
        <v>46</v>
      </c>
      <c r="Y63" s="54" t="s">
        <v>55</v>
      </c>
      <c r="Z63" s="54" t="s">
        <v>78</v>
      </c>
      <c r="AA63" s="54" t="s">
        <v>69</v>
      </c>
      <c r="AB63" s="54" t="s">
        <v>258</v>
      </c>
    </row>
    <row r="64" spans="1:28" x14ac:dyDescent="0.15">
      <c r="A64" s="54" t="s">
        <v>34</v>
      </c>
      <c r="B64" s="53" t="s">
        <v>232</v>
      </c>
      <c r="C64" s="53">
        <v>2019</v>
      </c>
      <c r="D64" s="178" t="s">
        <v>167</v>
      </c>
      <c r="E64" s="36" t="s">
        <v>355</v>
      </c>
      <c r="F64" s="36" t="s">
        <v>359</v>
      </c>
      <c r="G64" s="54" t="s">
        <v>36</v>
      </c>
      <c r="H64" s="53" t="s">
        <v>160</v>
      </c>
      <c r="I64" s="54" t="s">
        <v>159</v>
      </c>
      <c r="J64" s="54" t="s">
        <v>38</v>
      </c>
      <c r="K64" s="54" t="s">
        <v>161</v>
      </c>
      <c r="L64" s="53">
        <v>3</v>
      </c>
      <c r="N64" s="53">
        <v>1</v>
      </c>
      <c r="O64" s="53">
        <v>0.9</v>
      </c>
      <c r="P64" s="53">
        <v>0.2</v>
      </c>
      <c r="Q64" s="98">
        <f t="shared" si="0"/>
        <v>0.55000000000000004</v>
      </c>
      <c r="R64" s="53">
        <v>16.899999999999999</v>
      </c>
      <c r="S64" s="53">
        <v>111</v>
      </c>
      <c r="T64" s="16">
        <f t="shared" si="1"/>
        <v>33</v>
      </c>
      <c r="U64" s="53">
        <v>105</v>
      </c>
      <c r="V64" s="16">
        <f t="shared" si="2"/>
        <v>3465</v>
      </c>
      <c r="W64" s="53">
        <v>6</v>
      </c>
      <c r="X64" s="54" t="s">
        <v>46</v>
      </c>
      <c r="Y64" s="54" t="s">
        <v>55</v>
      </c>
      <c r="Z64" s="54" t="s">
        <v>78</v>
      </c>
      <c r="AA64" s="54" t="s">
        <v>69</v>
      </c>
      <c r="AB64" s="54" t="s">
        <v>258</v>
      </c>
    </row>
    <row r="65" spans="1:28" x14ac:dyDescent="0.15">
      <c r="A65" s="54" t="s">
        <v>34</v>
      </c>
      <c r="B65" s="53" t="s">
        <v>232</v>
      </c>
      <c r="C65" s="53">
        <v>2019</v>
      </c>
      <c r="D65" s="178" t="s">
        <v>167</v>
      </c>
      <c r="E65" s="36" t="s">
        <v>355</v>
      </c>
      <c r="F65" s="36" t="s">
        <v>359</v>
      </c>
      <c r="G65" s="54" t="s">
        <v>36</v>
      </c>
      <c r="H65" s="53" t="s">
        <v>160</v>
      </c>
      <c r="I65" s="54" t="s">
        <v>159</v>
      </c>
      <c r="J65" s="54" t="s">
        <v>38</v>
      </c>
      <c r="K65" s="54" t="s">
        <v>161</v>
      </c>
      <c r="L65" s="54">
        <v>1</v>
      </c>
      <c r="N65" s="53">
        <v>1</v>
      </c>
      <c r="O65" s="53">
        <v>0.2</v>
      </c>
      <c r="P65" s="53">
        <v>0.2</v>
      </c>
      <c r="Q65" s="98">
        <f t="shared" si="0"/>
        <v>0.2</v>
      </c>
      <c r="R65" s="53">
        <v>18.899999999999999</v>
      </c>
      <c r="S65" s="53">
        <v>153</v>
      </c>
      <c r="T65" s="16">
        <f t="shared" si="1"/>
        <v>18</v>
      </c>
      <c r="U65" s="53">
        <v>158</v>
      </c>
      <c r="V65" s="16">
        <f t="shared" si="2"/>
        <v>2844</v>
      </c>
      <c r="W65" s="53">
        <v>6</v>
      </c>
      <c r="X65" s="54" t="s">
        <v>46</v>
      </c>
      <c r="Y65" s="54" t="s">
        <v>55</v>
      </c>
      <c r="Z65" s="54" t="s">
        <v>78</v>
      </c>
      <c r="AA65" s="54" t="s">
        <v>69</v>
      </c>
      <c r="AB65" s="54" t="s">
        <v>258</v>
      </c>
    </row>
    <row r="66" spans="1:28" x14ac:dyDescent="0.15">
      <c r="A66" s="54" t="s">
        <v>34</v>
      </c>
      <c r="B66" s="53" t="s">
        <v>232</v>
      </c>
      <c r="C66" s="53">
        <v>2019</v>
      </c>
      <c r="D66" s="178" t="s">
        <v>167</v>
      </c>
      <c r="E66" s="36" t="s">
        <v>355</v>
      </c>
      <c r="F66" s="36" t="s">
        <v>359</v>
      </c>
      <c r="G66" s="54" t="s">
        <v>36</v>
      </c>
      <c r="H66" s="53" t="s">
        <v>160</v>
      </c>
      <c r="I66" s="54" t="s">
        <v>159</v>
      </c>
      <c r="J66" s="54" t="s">
        <v>38</v>
      </c>
      <c r="K66" s="54" t="s">
        <v>161</v>
      </c>
      <c r="L66" s="53">
        <v>2</v>
      </c>
      <c r="N66" s="53">
        <v>1</v>
      </c>
      <c r="O66" s="53">
        <v>0.55000000000000004</v>
      </c>
      <c r="P66" s="53">
        <v>0.5</v>
      </c>
      <c r="Q66" s="98">
        <f t="shared" si="0"/>
        <v>0.52500000000000002</v>
      </c>
      <c r="R66" s="53">
        <v>20</v>
      </c>
      <c r="S66" s="53">
        <v>146</v>
      </c>
      <c r="T66" s="16">
        <f t="shared" si="1"/>
        <v>30</v>
      </c>
      <c r="U66" s="53">
        <v>158</v>
      </c>
      <c r="V66" s="16">
        <f t="shared" si="2"/>
        <v>4740</v>
      </c>
      <c r="W66" s="53">
        <v>6</v>
      </c>
      <c r="X66" s="54" t="s">
        <v>46</v>
      </c>
      <c r="Y66" s="54" t="s">
        <v>55</v>
      </c>
      <c r="Z66" s="54" t="s">
        <v>78</v>
      </c>
      <c r="AA66" s="54" t="s">
        <v>69</v>
      </c>
      <c r="AB66" s="54" t="s">
        <v>258</v>
      </c>
    </row>
    <row r="67" spans="1:28" x14ac:dyDescent="0.15">
      <c r="A67" s="54" t="s">
        <v>34</v>
      </c>
      <c r="B67" s="53" t="s">
        <v>232</v>
      </c>
      <c r="C67" s="53">
        <v>2019</v>
      </c>
      <c r="D67" s="178" t="s">
        <v>167</v>
      </c>
      <c r="E67" s="36" t="s">
        <v>355</v>
      </c>
      <c r="F67" s="36" t="s">
        <v>359</v>
      </c>
      <c r="G67" s="54" t="s">
        <v>36</v>
      </c>
      <c r="H67" s="53" t="s">
        <v>160</v>
      </c>
      <c r="I67" s="54" t="s">
        <v>159</v>
      </c>
      <c r="J67" s="54" t="s">
        <v>38</v>
      </c>
      <c r="K67" s="54" t="s">
        <v>161</v>
      </c>
      <c r="L67" s="53">
        <v>3</v>
      </c>
      <c r="N67" s="53">
        <v>1</v>
      </c>
      <c r="O67" s="53">
        <v>0.2</v>
      </c>
      <c r="P67" s="53">
        <v>0.5</v>
      </c>
      <c r="Q67" s="98">
        <f t="shared" si="0"/>
        <v>0.35</v>
      </c>
      <c r="R67" s="53">
        <v>23.2</v>
      </c>
      <c r="S67" s="53">
        <v>144</v>
      </c>
      <c r="T67" s="16">
        <f t="shared" si="1"/>
        <v>30</v>
      </c>
      <c r="U67" s="53">
        <v>158</v>
      </c>
      <c r="V67" s="16">
        <f t="shared" si="2"/>
        <v>4740</v>
      </c>
      <c r="W67" s="53">
        <v>6</v>
      </c>
      <c r="X67" s="54" t="s">
        <v>46</v>
      </c>
      <c r="Y67" s="54" t="s">
        <v>55</v>
      </c>
      <c r="Z67" s="54" t="s">
        <v>78</v>
      </c>
      <c r="AA67" s="54" t="s">
        <v>69</v>
      </c>
      <c r="AB67" s="54" t="s">
        <v>258</v>
      </c>
    </row>
    <row r="68" spans="1:28" x14ac:dyDescent="0.15">
      <c r="A68" s="54" t="s">
        <v>34</v>
      </c>
      <c r="B68" s="53" t="s">
        <v>232</v>
      </c>
      <c r="C68" s="53">
        <v>2019</v>
      </c>
      <c r="D68" s="178" t="s">
        <v>167</v>
      </c>
      <c r="E68" s="36" t="s">
        <v>355</v>
      </c>
      <c r="F68" s="36" t="s">
        <v>359</v>
      </c>
      <c r="G68" s="54" t="s">
        <v>36</v>
      </c>
      <c r="H68" s="53" t="s">
        <v>165</v>
      </c>
      <c r="I68" s="54" t="s">
        <v>159</v>
      </c>
      <c r="J68" s="54" t="s">
        <v>38</v>
      </c>
      <c r="K68" s="54" t="s">
        <v>161</v>
      </c>
      <c r="L68" s="54">
        <v>1</v>
      </c>
      <c r="N68" s="53">
        <v>1</v>
      </c>
      <c r="O68" s="53">
        <v>0.8</v>
      </c>
      <c r="P68" s="53">
        <v>0.8</v>
      </c>
      <c r="Q68" s="98">
        <f t="shared" si="0"/>
        <v>0.8</v>
      </c>
      <c r="R68" s="53">
        <v>17.2</v>
      </c>
      <c r="S68" s="53">
        <v>128</v>
      </c>
      <c r="T68" s="16">
        <f t="shared" si="1"/>
        <v>30</v>
      </c>
      <c r="U68" s="53">
        <v>105</v>
      </c>
      <c r="V68" s="16">
        <f t="shared" si="2"/>
        <v>3150</v>
      </c>
      <c r="W68" s="53">
        <v>2</v>
      </c>
      <c r="X68" s="54" t="s">
        <v>46</v>
      </c>
      <c r="Y68" s="54" t="s">
        <v>55</v>
      </c>
      <c r="Z68" s="54" t="s">
        <v>78</v>
      </c>
      <c r="AA68" s="54" t="s">
        <v>69</v>
      </c>
      <c r="AB68" s="54" t="s">
        <v>258</v>
      </c>
    </row>
    <row r="69" spans="1:28" x14ac:dyDescent="0.15">
      <c r="A69" s="54" t="s">
        <v>34</v>
      </c>
      <c r="B69" s="53" t="s">
        <v>232</v>
      </c>
      <c r="C69" s="53">
        <v>2019</v>
      </c>
      <c r="D69" s="178" t="s">
        <v>167</v>
      </c>
      <c r="E69" s="36" t="s">
        <v>355</v>
      </c>
      <c r="F69" s="36" t="s">
        <v>359</v>
      </c>
      <c r="G69" s="54" t="s">
        <v>36</v>
      </c>
      <c r="H69" s="53" t="s">
        <v>165</v>
      </c>
      <c r="I69" s="54" t="s">
        <v>159</v>
      </c>
      <c r="J69" s="54" t="s">
        <v>38</v>
      </c>
      <c r="K69" s="54" t="s">
        <v>161</v>
      </c>
      <c r="L69" s="53">
        <v>2</v>
      </c>
      <c r="N69" s="53">
        <v>1</v>
      </c>
      <c r="O69" s="53">
        <v>0.95</v>
      </c>
      <c r="P69" s="53">
        <v>0.9</v>
      </c>
      <c r="Q69" s="98">
        <f t="shared" si="0"/>
        <v>0.92500000000000004</v>
      </c>
      <c r="R69" s="53">
        <v>17.3</v>
      </c>
      <c r="S69" s="53">
        <v>127</v>
      </c>
      <c r="T69" s="16">
        <f t="shared" si="1"/>
        <v>30</v>
      </c>
      <c r="U69" s="53">
        <v>105</v>
      </c>
      <c r="V69" s="16">
        <f t="shared" si="2"/>
        <v>3150</v>
      </c>
      <c r="W69" s="53">
        <v>2</v>
      </c>
      <c r="X69" s="54" t="s">
        <v>46</v>
      </c>
      <c r="Y69" s="54" t="s">
        <v>55</v>
      </c>
      <c r="Z69" s="54" t="s">
        <v>78</v>
      </c>
      <c r="AA69" s="54" t="s">
        <v>69</v>
      </c>
      <c r="AB69" s="54" t="s">
        <v>258</v>
      </c>
    </row>
    <row r="70" spans="1:28" x14ac:dyDescent="0.15">
      <c r="A70" s="54" t="s">
        <v>34</v>
      </c>
      <c r="B70" s="53" t="s">
        <v>232</v>
      </c>
      <c r="C70" s="53">
        <v>2019</v>
      </c>
      <c r="D70" s="178" t="s">
        <v>167</v>
      </c>
      <c r="E70" s="36" t="s">
        <v>355</v>
      </c>
      <c r="F70" s="36" t="s">
        <v>359</v>
      </c>
      <c r="G70" s="54" t="s">
        <v>36</v>
      </c>
      <c r="H70" s="53" t="s">
        <v>165</v>
      </c>
      <c r="I70" s="54" t="s">
        <v>159</v>
      </c>
      <c r="J70" s="54" t="s">
        <v>38</v>
      </c>
      <c r="K70" s="54" t="s">
        <v>161</v>
      </c>
      <c r="L70" s="53">
        <v>3</v>
      </c>
      <c r="N70" s="53">
        <v>1</v>
      </c>
      <c r="O70" s="53">
        <v>0.6</v>
      </c>
      <c r="P70" s="53">
        <v>0.55000000000000004</v>
      </c>
      <c r="Q70" s="98">
        <f t="shared" si="0"/>
        <v>0.57499999999999996</v>
      </c>
      <c r="R70" s="53">
        <v>17.3</v>
      </c>
      <c r="S70" s="53">
        <v>130</v>
      </c>
      <c r="T70" s="16">
        <f t="shared" si="1"/>
        <v>30</v>
      </c>
      <c r="U70" s="53">
        <v>105</v>
      </c>
      <c r="V70" s="16">
        <f t="shared" si="2"/>
        <v>3150</v>
      </c>
      <c r="W70" s="53">
        <v>2</v>
      </c>
      <c r="X70" s="54" t="s">
        <v>46</v>
      </c>
      <c r="Y70" s="54" t="s">
        <v>55</v>
      </c>
      <c r="Z70" s="54" t="s">
        <v>78</v>
      </c>
      <c r="AA70" s="54" t="s">
        <v>69</v>
      </c>
      <c r="AB70" s="54" t="s">
        <v>258</v>
      </c>
    </row>
    <row r="71" spans="1:28" x14ac:dyDescent="0.15">
      <c r="A71" s="54" t="s">
        <v>34</v>
      </c>
      <c r="B71" s="53" t="s">
        <v>232</v>
      </c>
      <c r="C71" s="53">
        <v>2019</v>
      </c>
      <c r="D71" s="178" t="s">
        <v>167</v>
      </c>
      <c r="E71" s="36" t="s">
        <v>355</v>
      </c>
      <c r="F71" s="36" t="s">
        <v>359</v>
      </c>
      <c r="G71" s="54" t="s">
        <v>36</v>
      </c>
      <c r="H71" s="53" t="s">
        <v>165</v>
      </c>
      <c r="I71" s="54" t="s">
        <v>159</v>
      </c>
      <c r="J71" s="54" t="s">
        <v>38</v>
      </c>
      <c r="K71" s="54" t="s">
        <v>161</v>
      </c>
      <c r="L71" s="54">
        <v>1</v>
      </c>
      <c r="N71" s="53">
        <v>5</v>
      </c>
      <c r="O71" s="53">
        <v>0.8</v>
      </c>
      <c r="P71" s="53">
        <v>0.75</v>
      </c>
      <c r="Q71" s="98">
        <f t="shared" si="0"/>
        <v>0.77500000000000002</v>
      </c>
      <c r="R71" s="53">
        <v>17.5</v>
      </c>
      <c r="S71" s="53">
        <v>89</v>
      </c>
      <c r="T71" s="16">
        <f t="shared" si="1"/>
        <v>36</v>
      </c>
      <c r="U71" s="53">
        <v>429</v>
      </c>
      <c r="V71" s="16">
        <f t="shared" si="2"/>
        <v>3088.7999999999997</v>
      </c>
      <c r="W71" s="53">
        <v>2</v>
      </c>
      <c r="X71" s="54" t="s">
        <v>46</v>
      </c>
      <c r="Y71" s="54" t="s">
        <v>55</v>
      </c>
      <c r="Z71" s="54" t="s">
        <v>78</v>
      </c>
      <c r="AA71" s="54" t="s">
        <v>69</v>
      </c>
      <c r="AB71" s="54" t="s">
        <v>258</v>
      </c>
    </row>
    <row r="72" spans="1:28" x14ac:dyDescent="0.15">
      <c r="A72" s="54" t="s">
        <v>34</v>
      </c>
      <c r="B72" s="53" t="s">
        <v>232</v>
      </c>
      <c r="C72" s="53">
        <v>2019</v>
      </c>
      <c r="D72" s="178" t="s">
        <v>167</v>
      </c>
      <c r="E72" s="36" t="s">
        <v>355</v>
      </c>
      <c r="F72" s="36" t="s">
        <v>359</v>
      </c>
      <c r="G72" s="54" t="s">
        <v>36</v>
      </c>
      <c r="H72" s="53" t="s">
        <v>165</v>
      </c>
      <c r="I72" s="54" t="s">
        <v>159</v>
      </c>
      <c r="J72" s="54" t="s">
        <v>38</v>
      </c>
      <c r="K72" s="54" t="s">
        <v>161</v>
      </c>
      <c r="L72" s="53">
        <v>2</v>
      </c>
      <c r="N72" s="53">
        <v>5</v>
      </c>
      <c r="O72" s="53">
        <v>0.8</v>
      </c>
      <c r="P72" s="53">
        <v>1</v>
      </c>
      <c r="Q72" s="98">
        <f t="shared" si="0"/>
        <v>0.9</v>
      </c>
      <c r="R72" s="53">
        <v>16.399999999999999</v>
      </c>
      <c r="S72" s="53">
        <v>85</v>
      </c>
      <c r="T72" s="16">
        <f t="shared" si="1"/>
        <v>36</v>
      </c>
      <c r="U72" s="53">
        <v>429</v>
      </c>
      <c r="V72" s="16">
        <f t="shared" si="2"/>
        <v>3088.7999999999997</v>
      </c>
      <c r="W72" s="53">
        <v>2</v>
      </c>
      <c r="X72" s="54" t="s">
        <v>46</v>
      </c>
      <c r="Y72" s="54" t="s">
        <v>55</v>
      </c>
      <c r="Z72" s="54" t="s">
        <v>78</v>
      </c>
      <c r="AA72" s="54" t="s">
        <v>69</v>
      </c>
      <c r="AB72" s="54" t="s">
        <v>258</v>
      </c>
    </row>
    <row r="73" spans="1:28" x14ac:dyDescent="0.15">
      <c r="A73" s="54" t="s">
        <v>34</v>
      </c>
      <c r="B73" s="53" t="s">
        <v>232</v>
      </c>
      <c r="C73" s="53">
        <v>2019</v>
      </c>
      <c r="D73" s="178" t="s">
        <v>167</v>
      </c>
      <c r="E73" s="36" t="s">
        <v>355</v>
      </c>
      <c r="F73" s="36" t="s">
        <v>359</v>
      </c>
      <c r="G73" s="54" t="s">
        <v>36</v>
      </c>
      <c r="H73" s="53" t="s">
        <v>165</v>
      </c>
      <c r="I73" s="54" t="s">
        <v>159</v>
      </c>
      <c r="J73" s="54" t="s">
        <v>38</v>
      </c>
      <c r="K73" s="54" t="s">
        <v>161</v>
      </c>
      <c r="L73" s="53">
        <v>3</v>
      </c>
      <c r="N73" s="53">
        <v>5</v>
      </c>
      <c r="O73" s="53">
        <v>0.65</v>
      </c>
      <c r="P73" s="53">
        <v>0.75</v>
      </c>
      <c r="Q73" s="98">
        <f t="shared" si="0"/>
        <v>0.7</v>
      </c>
      <c r="R73" s="53">
        <v>17.100000000000001</v>
      </c>
      <c r="S73" s="53">
        <v>85</v>
      </c>
      <c r="T73" s="16">
        <f t="shared" si="1"/>
        <v>36</v>
      </c>
      <c r="U73" s="53">
        <v>429</v>
      </c>
      <c r="V73" s="16">
        <f t="shared" si="2"/>
        <v>3088.7999999999997</v>
      </c>
      <c r="W73" s="53">
        <v>2</v>
      </c>
      <c r="X73" s="54" t="s">
        <v>46</v>
      </c>
      <c r="Y73" s="54" t="s">
        <v>55</v>
      </c>
      <c r="Z73" s="54" t="s">
        <v>78</v>
      </c>
      <c r="AA73" s="54" t="s">
        <v>69</v>
      </c>
      <c r="AB73" s="54" t="s">
        <v>258</v>
      </c>
    </row>
    <row r="74" spans="1:28" x14ac:dyDescent="0.15">
      <c r="A74" s="54" t="s">
        <v>34</v>
      </c>
      <c r="B74" s="53" t="s">
        <v>232</v>
      </c>
      <c r="C74" s="53">
        <v>2019</v>
      </c>
      <c r="D74" s="178" t="s">
        <v>167</v>
      </c>
      <c r="E74" s="36" t="s">
        <v>365</v>
      </c>
      <c r="F74" s="36" t="s">
        <v>366</v>
      </c>
      <c r="G74" s="54" t="s">
        <v>36</v>
      </c>
      <c r="H74" s="53" t="s">
        <v>160</v>
      </c>
      <c r="I74" s="54" t="s">
        <v>159</v>
      </c>
      <c r="J74" s="54" t="s">
        <v>38</v>
      </c>
      <c r="K74" s="54" t="s">
        <v>161</v>
      </c>
      <c r="L74" s="54">
        <v>1</v>
      </c>
      <c r="N74" s="53">
        <v>1</v>
      </c>
      <c r="O74" s="53">
        <v>0.65</v>
      </c>
      <c r="P74" s="53">
        <v>0.6</v>
      </c>
      <c r="Q74" s="98">
        <f t="shared" si="0"/>
        <v>0.625</v>
      </c>
      <c r="R74" s="53">
        <v>17.100000000000001</v>
      </c>
      <c r="S74" s="53">
        <v>135</v>
      </c>
      <c r="T74" s="16">
        <f t="shared" si="1"/>
        <v>30</v>
      </c>
      <c r="U74" s="53">
        <v>138</v>
      </c>
      <c r="V74" s="16">
        <f t="shared" si="2"/>
        <v>4140</v>
      </c>
      <c r="W74" s="53">
        <v>8</v>
      </c>
      <c r="X74" s="54" t="s">
        <v>46</v>
      </c>
      <c r="Y74" s="54" t="s">
        <v>69</v>
      </c>
      <c r="Z74" s="54" t="s">
        <v>55</v>
      </c>
      <c r="AA74" s="54" t="s">
        <v>47</v>
      </c>
      <c r="AB74" s="54" t="s">
        <v>258</v>
      </c>
    </row>
    <row r="75" spans="1:28" x14ac:dyDescent="0.15">
      <c r="A75" s="54" t="s">
        <v>34</v>
      </c>
      <c r="B75" s="53" t="s">
        <v>232</v>
      </c>
      <c r="C75" s="53">
        <v>2019</v>
      </c>
      <c r="D75" s="178" t="s">
        <v>167</v>
      </c>
      <c r="E75" s="36" t="s">
        <v>365</v>
      </c>
      <c r="F75" s="36" t="s">
        <v>366</v>
      </c>
      <c r="G75" s="54" t="s">
        <v>36</v>
      </c>
      <c r="H75" s="53" t="s">
        <v>160</v>
      </c>
      <c r="I75" s="54" t="s">
        <v>159</v>
      </c>
      <c r="J75" s="54" t="s">
        <v>38</v>
      </c>
      <c r="K75" s="54" t="s">
        <v>161</v>
      </c>
      <c r="L75" s="53">
        <v>2</v>
      </c>
      <c r="N75" s="53">
        <v>1</v>
      </c>
      <c r="O75" s="53">
        <v>0.8</v>
      </c>
      <c r="P75" s="53">
        <v>0.9</v>
      </c>
      <c r="Q75" s="98">
        <f t="shared" si="0"/>
        <v>0.85000000000000009</v>
      </c>
      <c r="R75" s="53">
        <v>18.2</v>
      </c>
      <c r="S75" s="53">
        <v>126</v>
      </c>
      <c r="T75" s="16">
        <f t="shared" si="1"/>
        <v>30</v>
      </c>
      <c r="U75" s="53">
        <v>138</v>
      </c>
      <c r="V75" s="16">
        <f t="shared" si="2"/>
        <v>4140</v>
      </c>
      <c r="W75" s="53">
        <v>8</v>
      </c>
      <c r="X75" s="54" t="s">
        <v>46</v>
      </c>
      <c r="Y75" s="54" t="s">
        <v>69</v>
      </c>
      <c r="Z75" s="54" t="s">
        <v>55</v>
      </c>
      <c r="AA75" s="54" t="s">
        <v>47</v>
      </c>
      <c r="AB75" s="54" t="s">
        <v>258</v>
      </c>
    </row>
    <row r="76" spans="1:28" x14ac:dyDescent="0.15">
      <c r="A76" s="54" t="s">
        <v>34</v>
      </c>
      <c r="B76" s="53" t="s">
        <v>232</v>
      </c>
      <c r="C76" s="53">
        <v>2019</v>
      </c>
      <c r="D76" s="178" t="s">
        <v>167</v>
      </c>
      <c r="E76" s="36" t="s">
        <v>365</v>
      </c>
      <c r="F76" s="36" t="s">
        <v>366</v>
      </c>
      <c r="G76" s="54" t="s">
        <v>36</v>
      </c>
      <c r="H76" s="53" t="s">
        <v>160</v>
      </c>
      <c r="I76" s="54" t="s">
        <v>159</v>
      </c>
      <c r="J76" s="54" t="s">
        <v>38</v>
      </c>
      <c r="K76" s="54" t="s">
        <v>161</v>
      </c>
      <c r="L76" s="53">
        <v>3</v>
      </c>
      <c r="N76" s="53">
        <v>1</v>
      </c>
      <c r="O76" s="53">
        <v>0.75</v>
      </c>
      <c r="P76" s="53">
        <v>0.75</v>
      </c>
      <c r="Q76" s="98">
        <f t="shared" si="0"/>
        <v>0.75</v>
      </c>
      <c r="R76" s="53">
        <v>18.8</v>
      </c>
      <c r="S76" s="53">
        <v>133</v>
      </c>
      <c r="T76" s="16">
        <f t="shared" si="1"/>
        <v>30</v>
      </c>
      <c r="U76" s="53">
        <v>138</v>
      </c>
      <c r="V76" s="16">
        <f t="shared" si="2"/>
        <v>4140</v>
      </c>
      <c r="W76" s="53">
        <v>8</v>
      </c>
      <c r="X76" s="54" t="s">
        <v>46</v>
      </c>
      <c r="Y76" s="54" t="s">
        <v>69</v>
      </c>
      <c r="Z76" s="54" t="s">
        <v>55</v>
      </c>
      <c r="AA76" s="54" t="s">
        <v>47</v>
      </c>
      <c r="AB76" s="54" t="s">
        <v>258</v>
      </c>
    </row>
    <row r="77" spans="1:28" x14ac:dyDescent="0.15">
      <c r="A77" s="54" t="s">
        <v>34</v>
      </c>
      <c r="B77" s="53" t="s">
        <v>232</v>
      </c>
      <c r="C77" s="53">
        <v>2019</v>
      </c>
      <c r="D77" s="178" t="s">
        <v>167</v>
      </c>
      <c r="E77" s="36" t="s">
        <v>365</v>
      </c>
      <c r="F77" s="36" t="s">
        <v>366</v>
      </c>
      <c r="G77" s="54" t="s">
        <v>36</v>
      </c>
      <c r="H77" s="53" t="s">
        <v>160</v>
      </c>
      <c r="I77" s="54" t="s">
        <v>159</v>
      </c>
      <c r="J77" s="54" t="s">
        <v>38</v>
      </c>
      <c r="K77" s="54" t="s">
        <v>161</v>
      </c>
      <c r="L77" s="54">
        <v>1</v>
      </c>
      <c r="N77" s="53">
        <v>4</v>
      </c>
      <c r="O77" s="53">
        <v>0.7</v>
      </c>
      <c r="P77" s="53">
        <v>0.55000000000000004</v>
      </c>
      <c r="Q77" s="98">
        <f t="shared" si="0"/>
        <v>0.625</v>
      </c>
      <c r="R77" s="53">
        <v>19.2</v>
      </c>
      <c r="S77" s="53">
        <v>110</v>
      </c>
      <c r="T77" s="16">
        <f t="shared" si="1"/>
        <v>33</v>
      </c>
      <c r="U77" s="53">
        <v>429</v>
      </c>
      <c r="V77" s="16">
        <f t="shared" si="2"/>
        <v>3539.25</v>
      </c>
      <c r="W77" s="53">
        <v>8</v>
      </c>
      <c r="X77" s="54" t="s">
        <v>46</v>
      </c>
      <c r="Y77" s="54" t="s">
        <v>69</v>
      </c>
      <c r="Z77" s="54" t="s">
        <v>55</v>
      </c>
      <c r="AA77" s="54" t="s">
        <v>47</v>
      </c>
      <c r="AB77" s="54" t="s">
        <v>258</v>
      </c>
    </row>
    <row r="78" spans="1:28" x14ac:dyDescent="0.15">
      <c r="A78" s="54" t="s">
        <v>34</v>
      </c>
      <c r="B78" s="53" t="s">
        <v>232</v>
      </c>
      <c r="C78" s="53">
        <v>2019</v>
      </c>
      <c r="D78" s="178" t="s">
        <v>167</v>
      </c>
      <c r="E78" s="36" t="s">
        <v>365</v>
      </c>
      <c r="F78" s="36" t="s">
        <v>366</v>
      </c>
      <c r="G78" s="54" t="s">
        <v>36</v>
      </c>
      <c r="H78" s="53" t="s">
        <v>160</v>
      </c>
      <c r="I78" s="54" t="s">
        <v>159</v>
      </c>
      <c r="J78" s="54" t="s">
        <v>38</v>
      </c>
      <c r="K78" s="54" t="s">
        <v>161</v>
      </c>
      <c r="L78" s="53">
        <v>2</v>
      </c>
      <c r="N78" s="53">
        <v>4</v>
      </c>
      <c r="O78" s="53">
        <v>1.05</v>
      </c>
      <c r="P78" s="53">
        <v>0.95</v>
      </c>
      <c r="Q78" s="98">
        <f t="shared" si="0"/>
        <v>1</v>
      </c>
      <c r="R78" s="53">
        <v>18.2</v>
      </c>
      <c r="S78" s="53">
        <v>116</v>
      </c>
      <c r="T78" s="16">
        <f t="shared" si="1"/>
        <v>30</v>
      </c>
      <c r="U78" s="53">
        <v>429</v>
      </c>
      <c r="V78" s="16">
        <f t="shared" si="2"/>
        <v>3217.5</v>
      </c>
      <c r="W78" s="53">
        <v>8</v>
      </c>
      <c r="X78" s="54" t="s">
        <v>46</v>
      </c>
      <c r="Y78" s="54" t="s">
        <v>69</v>
      </c>
      <c r="Z78" s="54" t="s">
        <v>55</v>
      </c>
      <c r="AA78" s="54" t="s">
        <v>47</v>
      </c>
      <c r="AB78" s="54" t="s">
        <v>258</v>
      </c>
    </row>
    <row r="79" spans="1:28" x14ac:dyDescent="0.15">
      <c r="A79" s="54" t="s">
        <v>34</v>
      </c>
      <c r="B79" s="53" t="s">
        <v>232</v>
      </c>
      <c r="C79" s="53">
        <v>2019</v>
      </c>
      <c r="D79" s="178" t="s">
        <v>167</v>
      </c>
      <c r="E79" s="36" t="s">
        <v>365</v>
      </c>
      <c r="F79" s="36" t="s">
        <v>366</v>
      </c>
      <c r="G79" s="54" t="s">
        <v>36</v>
      </c>
      <c r="H79" s="53" t="s">
        <v>160</v>
      </c>
      <c r="I79" s="54" t="s">
        <v>159</v>
      </c>
      <c r="J79" s="54" t="s">
        <v>38</v>
      </c>
      <c r="K79" s="54" t="s">
        <v>161</v>
      </c>
      <c r="L79" s="53">
        <v>3</v>
      </c>
      <c r="N79" s="53">
        <v>4</v>
      </c>
      <c r="O79" s="53">
        <v>0.85</v>
      </c>
      <c r="P79" s="53">
        <v>0.7</v>
      </c>
      <c r="Q79" s="98">
        <f t="shared" si="0"/>
        <v>0.77499999999999991</v>
      </c>
      <c r="R79" s="53">
        <v>20</v>
      </c>
      <c r="S79" s="53">
        <v>113</v>
      </c>
      <c r="T79" s="16">
        <f t="shared" si="1"/>
        <v>30</v>
      </c>
      <c r="U79" s="53">
        <v>429</v>
      </c>
      <c r="V79" s="16">
        <f t="shared" si="2"/>
        <v>3217.5</v>
      </c>
      <c r="W79" s="53">
        <v>8</v>
      </c>
      <c r="X79" s="54" t="s">
        <v>46</v>
      </c>
      <c r="Y79" s="54" t="s">
        <v>69</v>
      </c>
      <c r="Z79" s="54" t="s">
        <v>55</v>
      </c>
      <c r="AA79" s="54" t="s">
        <v>47</v>
      </c>
      <c r="AB79" s="54" t="s">
        <v>258</v>
      </c>
    </row>
    <row r="80" spans="1:28" x14ac:dyDescent="0.15">
      <c r="A80" s="54" t="s">
        <v>34</v>
      </c>
      <c r="B80" s="53" t="s">
        <v>232</v>
      </c>
      <c r="C80" s="53">
        <v>2019</v>
      </c>
      <c r="D80" s="178" t="s">
        <v>167</v>
      </c>
      <c r="E80" s="36" t="s">
        <v>365</v>
      </c>
      <c r="F80" s="36" t="s">
        <v>366</v>
      </c>
      <c r="G80" s="54" t="s">
        <v>36</v>
      </c>
      <c r="H80" s="53" t="s">
        <v>165</v>
      </c>
      <c r="I80" s="54" t="s">
        <v>159</v>
      </c>
      <c r="J80" s="54" t="s">
        <v>38</v>
      </c>
      <c r="K80" s="54" t="s">
        <v>161</v>
      </c>
      <c r="L80" s="54">
        <v>1</v>
      </c>
      <c r="N80" s="53">
        <v>1</v>
      </c>
      <c r="O80" s="53">
        <v>0.7</v>
      </c>
      <c r="P80" s="53">
        <v>0.7</v>
      </c>
      <c r="Q80" s="98">
        <f t="shared" si="0"/>
        <v>0.7</v>
      </c>
      <c r="R80" s="53">
        <v>16.600000000000001</v>
      </c>
      <c r="S80" s="53">
        <v>144</v>
      </c>
      <c r="T80" s="16">
        <f t="shared" si="1"/>
        <v>30</v>
      </c>
      <c r="U80" s="53">
        <v>127</v>
      </c>
      <c r="V80" s="16">
        <f t="shared" si="2"/>
        <v>3810</v>
      </c>
      <c r="W80" s="53">
        <v>3</v>
      </c>
      <c r="X80" s="54" t="s">
        <v>46</v>
      </c>
      <c r="Y80" s="54" t="s">
        <v>69</v>
      </c>
      <c r="Z80" s="54" t="s">
        <v>55</v>
      </c>
      <c r="AA80" s="54" t="s">
        <v>47</v>
      </c>
      <c r="AB80" s="54" t="s">
        <v>258</v>
      </c>
    </row>
    <row r="81" spans="1:28" x14ac:dyDescent="0.15">
      <c r="A81" s="54" t="s">
        <v>34</v>
      </c>
      <c r="B81" s="53" t="s">
        <v>232</v>
      </c>
      <c r="C81" s="53">
        <v>2019</v>
      </c>
      <c r="D81" s="178" t="s">
        <v>167</v>
      </c>
      <c r="E81" s="36" t="s">
        <v>365</v>
      </c>
      <c r="F81" s="36" t="s">
        <v>366</v>
      </c>
      <c r="G81" s="54" t="s">
        <v>36</v>
      </c>
      <c r="H81" s="53" t="s">
        <v>165</v>
      </c>
      <c r="I81" s="54" t="s">
        <v>159</v>
      </c>
      <c r="J81" s="54" t="s">
        <v>38</v>
      </c>
      <c r="K81" s="54" t="s">
        <v>161</v>
      </c>
      <c r="L81" s="53">
        <v>2</v>
      </c>
      <c r="N81" s="53">
        <v>1</v>
      </c>
      <c r="O81" s="53">
        <v>0.2</v>
      </c>
      <c r="P81" s="53">
        <v>0.2</v>
      </c>
      <c r="Q81" s="98">
        <f t="shared" si="0"/>
        <v>0.2</v>
      </c>
      <c r="R81" s="53">
        <v>17</v>
      </c>
      <c r="S81" s="53">
        <v>147</v>
      </c>
      <c r="T81" s="16">
        <f t="shared" si="1"/>
        <v>30</v>
      </c>
      <c r="U81" s="53">
        <v>127</v>
      </c>
      <c r="V81" s="16">
        <f t="shared" si="2"/>
        <v>3810</v>
      </c>
      <c r="W81" s="53">
        <v>3</v>
      </c>
      <c r="X81" s="54" t="s">
        <v>46</v>
      </c>
      <c r="Y81" s="54" t="s">
        <v>69</v>
      </c>
      <c r="Z81" s="54" t="s">
        <v>55</v>
      </c>
      <c r="AA81" s="54" t="s">
        <v>47</v>
      </c>
      <c r="AB81" s="54" t="s">
        <v>258</v>
      </c>
    </row>
    <row r="82" spans="1:28" x14ac:dyDescent="0.15">
      <c r="A82" s="54" t="s">
        <v>34</v>
      </c>
      <c r="B82" s="53" t="s">
        <v>232</v>
      </c>
      <c r="C82" s="53">
        <v>2019</v>
      </c>
      <c r="D82" s="178" t="s">
        <v>167</v>
      </c>
      <c r="E82" s="36" t="s">
        <v>365</v>
      </c>
      <c r="F82" s="36" t="s">
        <v>366</v>
      </c>
      <c r="G82" s="54" t="s">
        <v>36</v>
      </c>
      <c r="H82" s="53" t="s">
        <v>165</v>
      </c>
      <c r="I82" s="54" t="s">
        <v>159</v>
      </c>
      <c r="J82" s="54" t="s">
        <v>38</v>
      </c>
      <c r="K82" s="54" t="s">
        <v>161</v>
      </c>
      <c r="L82" s="53">
        <v>3</v>
      </c>
      <c r="N82" s="53">
        <v>1</v>
      </c>
      <c r="O82" s="53">
        <v>0.2</v>
      </c>
      <c r="P82" s="53">
        <v>0.2</v>
      </c>
      <c r="Q82" s="98">
        <f t="shared" si="0"/>
        <v>0.2</v>
      </c>
      <c r="R82" s="53">
        <v>17</v>
      </c>
      <c r="S82" s="53">
        <v>139</v>
      </c>
      <c r="T82" s="16">
        <f t="shared" si="1"/>
        <v>30</v>
      </c>
      <c r="U82" s="53">
        <v>127</v>
      </c>
      <c r="V82" s="16">
        <f t="shared" si="2"/>
        <v>3810</v>
      </c>
      <c r="W82" s="53">
        <v>3</v>
      </c>
      <c r="X82" s="54" t="s">
        <v>46</v>
      </c>
      <c r="Y82" s="54" t="s">
        <v>69</v>
      </c>
      <c r="Z82" s="54" t="s">
        <v>55</v>
      </c>
      <c r="AA82" s="54" t="s">
        <v>47</v>
      </c>
      <c r="AB82" s="54" t="s">
        <v>258</v>
      </c>
    </row>
    <row r="83" spans="1:28" x14ac:dyDescent="0.15">
      <c r="A83" s="54" t="s">
        <v>34</v>
      </c>
      <c r="B83" s="53" t="s">
        <v>232</v>
      </c>
      <c r="C83" s="53">
        <v>2019</v>
      </c>
      <c r="D83" s="178" t="s">
        <v>167</v>
      </c>
      <c r="E83" s="36" t="s">
        <v>365</v>
      </c>
      <c r="F83" s="36" t="s">
        <v>366</v>
      </c>
      <c r="G83" s="54" t="s">
        <v>36</v>
      </c>
      <c r="H83" s="53" t="s">
        <v>165</v>
      </c>
      <c r="I83" s="54" t="s">
        <v>159</v>
      </c>
      <c r="J83" s="54" t="s">
        <v>38</v>
      </c>
      <c r="K83" s="54" t="s">
        <v>161</v>
      </c>
      <c r="L83" s="54">
        <v>1</v>
      </c>
      <c r="N83" s="53">
        <v>4</v>
      </c>
      <c r="O83" s="53">
        <v>1.1499999999999999</v>
      </c>
      <c r="P83" s="53">
        <v>1.35</v>
      </c>
      <c r="Q83" s="98">
        <f t="shared" ref="Q83:Q118" si="5">IF(OR(O83="",P83=""),"",AVERAGE(O83,P83))</f>
        <v>1.25</v>
      </c>
      <c r="R83" s="53">
        <v>17</v>
      </c>
      <c r="S83" s="53">
        <v>94</v>
      </c>
      <c r="T83" s="16">
        <f t="shared" ref="T83:T118" si="6">IF(H83="","",IF(OR(H83="GREEN",H83="GK"),IF(S83&gt;=$AX$2,VLOOKUP(S83,$AX$2:$AY$9,2,1),""),IF(S83&gt;=$AZ$2,VLOOKUP(S83,$AZ$2:$BA$9,2,1),"")))</f>
        <v>36</v>
      </c>
      <c r="U83" s="53">
        <v>429</v>
      </c>
      <c r="V83" s="16">
        <f t="shared" ref="V83:V118" si="7">IF(OR(N83="",U83="",T83=""),"",U83/N83*T83)</f>
        <v>3861</v>
      </c>
      <c r="W83" s="53">
        <v>3</v>
      </c>
      <c r="X83" s="54" t="s">
        <v>46</v>
      </c>
      <c r="Y83" s="54" t="s">
        <v>69</v>
      </c>
      <c r="Z83" s="54" t="s">
        <v>55</v>
      </c>
      <c r="AA83" s="54" t="s">
        <v>47</v>
      </c>
      <c r="AB83" s="54" t="s">
        <v>258</v>
      </c>
    </row>
    <row r="84" spans="1:28" x14ac:dyDescent="0.15">
      <c r="A84" s="54" t="s">
        <v>34</v>
      </c>
      <c r="B84" s="53" t="s">
        <v>232</v>
      </c>
      <c r="C84" s="53">
        <v>2019</v>
      </c>
      <c r="D84" s="178" t="s">
        <v>167</v>
      </c>
      <c r="E84" s="36" t="s">
        <v>365</v>
      </c>
      <c r="F84" s="36" t="s">
        <v>366</v>
      </c>
      <c r="G84" s="54" t="s">
        <v>36</v>
      </c>
      <c r="H84" s="53" t="s">
        <v>165</v>
      </c>
      <c r="I84" s="54" t="s">
        <v>159</v>
      </c>
      <c r="J84" s="54" t="s">
        <v>38</v>
      </c>
      <c r="K84" s="54" t="s">
        <v>161</v>
      </c>
      <c r="L84" s="53">
        <v>2</v>
      </c>
      <c r="N84" s="53">
        <v>4</v>
      </c>
      <c r="O84" s="53">
        <v>1.2</v>
      </c>
      <c r="P84" s="53">
        <v>1.35</v>
      </c>
      <c r="Q84" s="98">
        <f t="shared" si="5"/>
        <v>1.2749999999999999</v>
      </c>
      <c r="R84" s="53">
        <v>17</v>
      </c>
      <c r="S84" s="53">
        <v>85</v>
      </c>
      <c r="T84" s="16">
        <f t="shared" si="6"/>
        <v>36</v>
      </c>
      <c r="U84" s="53">
        <v>429</v>
      </c>
      <c r="V84" s="16">
        <f t="shared" si="7"/>
        <v>3861</v>
      </c>
      <c r="W84" s="53">
        <v>3</v>
      </c>
      <c r="X84" s="54" t="s">
        <v>46</v>
      </c>
      <c r="Y84" s="54" t="s">
        <v>69</v>
      </c>
      <c r="Z84" s="54" t="s">
        <v>55</v>
      </c>
      <c r="AA84" s="54" t="s">
        <v>47</v>
      </c>
      <c r="AB84" s="54" t="s">
        <v>258</v>
      </c>
    </row>
    <row r="85" spans="1:28" x14ac:dyDescent="0.15">
      <c r="A85" s="54" t="s">
        <v>34</v>
      </c>
      <c r="B85" s="53" t="s">
        <v>232</v>
      </c>
      <c r="C85" s="53">
        <v>2019</v>
      </c>
      <c r="D85" s="178" t="s">
        <v>167</v>
      </c>
      <c r="E85" s="36" t="s">
        <v>365</v>
      </c>
      <c r="F85" s="36" t="s">
        <v>366</v>
      </c>
      <c r="G85" s="54" t="s">
        <v>36</v>
      </c>
      <c r="H85" s="53" t="s">
        <v>165</v>
      </c>
      <c r="I85" s="54" t="s">
        <v>159</v>
      </c>
      <c r="J85" s="54" t="s">
        <v>38</v>
      </c>
      <c r="K85" s="54" t="s">
        <v>161</v>
      </c>
      <c r="L85" s="53">
        <v>3</v>
      </c>
      <c r="N85" s="53">
        <v>4</v>
      </c>
      <c r="O85" s="53">
        <v>1.25</v>
      </c>
      <c r="P85" s="53">
        <v>1.45</v>
      </c>
      <c r="Q85" s="98">
        <f t="shared" si="5"/>
        <v>1.35</v>
      </c>
      <c r="R85" s="53">
        <v>17.100000000000001</v>
      </c>
      <c r="S85" s="53">
        <v>92</v>
      </c>
      <c r="T85" s="16">
        <f t="shared" si="6"/>
        <v>36</v>
      </c>
      <c r="U85" s="53">
        <v>429</v>
      </c>
      <c r="V85" s="16">
        <f t="shared" si="7"/>
        <v>3861</v>
      </c>
      <c r="W85" s="53">
        <v>3</v>
      </c>
      <c r="X85" s="54" t="s">
        <v>46</v>
      </c>
      <c r="Y85" s="54" t="s">
        <v>69</v>
      </c>
      <c r="Z85" s="54" t="s">
        <v>55</v>
      </c>
      <c r="AA85" s="54" t="s">
        <v>47</v>
      </c>
      <c r="AB85" s="54" t="s">
        <v>258</v>
      </c>
    </row>
    <row r="86" spans="1:28" x14ac:dyDescent="0.15">
      <c r="A86" s="54" t="s">
        <v>34</v>
      </c>
      <c r="B86" s="53" t="s">
        <v>232</v>
      </c>
      <c r="C86" s="53">
        <v>2019</v>
      </c>
      <c r="D86" s="178" t="s">
        <v>167</v>
      </c>
      <c r="E86" s="36" t="s">
        <v>365</v>
      </c>
      <c r="F86" s="36" t="s">
        <v>366</v>
      </c>
      <c r="G86" s="54" t="s">
        <v>36</v>
      </c>
      <c r="H86" s="53" t="s">
        <v>164</v>
      </c>
      <c r="I86" s="54" t="s">
        <v>159</v>
      </c>
      <c r="J86" s="54" t="s">
        <v>38</v>
      </c>
      <c r="K86" s="54" t="s">
        <v>161</v>
      </c>
      <c r="L86" s="54">
        <v>1</v>
      </c>
      <c r="N86" s="53">
        <v>5</v>
      </c>
      <c r="O86" s="53">
        <v>1.1499999999999999</v>
      </c>
      <c r="P86" s="53">
        <v>1</v>
      </c>
      <c r="Q86" s="98">
        <f t="shared" si="5"/>
        <v>1.075</v>
      </c>
      <c r="R86" s="53">
        <v>20.2</v>
      </c>
      <c r="S86" s="53">
        <v>84</v>
      </c>
      <c r="T86" s="16">
        <f t="shared" si="6"/>
        <v>36</v>
      </c>
      <c r="U86" s="53">
        <v>429</v>
      </c>
      <c r="V86" s="16">
        <f t="shared" si="7"/>
        <v>3088.7999999999997</v>
      </c>
      <c r="W86" s="53">
        <v>1</v>
      </c>
      <c r="X86" s="54" t="s">
        <v>46</v>
      </c>
      <c r="Y86" s="54" t="s">
        <v>69</v>
      </c>
      <c r="Z86" s="54" t="s">
        <v>55</v>
      </c>
      <c r="AA86" s="54" t="s">
        <v>47</v>
      </c>
      <c r="AB86" s="54" t="s">
        <v>258</v>
      </c>
    </row>
    <row r="87" spans="1:28" x14ac:dyDescent="0.15">
      <c r="A87" s="54" t="s">
        <v>34</v>
      </c>
      <c r="B87" s="53" t="s">
        <v>232</v>
      </c>
      <c r="C87" s="53">
        <v>2019</v>
      </c>
      <c r="D87" s="178" t="s">
        <v>167</v>
      </c>
      <c r="E87" s="36" t="s">
        <v>365</v>
      </c>
      <c r="F87" s="36" t="s">
        <v>366</v>
      </c>
      <c r="G87" s="54" t="s">
        <v>36</v>
      </c>
      <c r="H87" s="53" t="s">
        <v>164</v>
      </c>
      <c r="I87" s="54" t="s">
        <v>159</v>
      </c>
      <c r="J87" s="54" t="s">
        <v>38</v>
      </c>
      <c r="K87" s="54" t="s">
        <v>161</v>
      </c>
      <c r="L87" s="53">
        <v>2</v>
      </c>
      <c r="N87" s="53">
        <v>5</v>
      </c>
      <c r="O87" s="53">
        <v>0.75</v>
      </c>
      <c r="P87" s="53">
        <v>0.65</v>
      </c>
      <c r="Q87" s="98">
        <f t="shared" si="5"/>
        <v>0.7</v>
      </c>
      <c r="R87" s="53">
        <v>18.899999999999999</v>
      </c>
      <c r="S87" s="53">
        <v>89</v>
      </c>
      <c r="T87" s="16">
        <f t="shared" si="6"/>
        <v>36</v>
      </c>
      <c r="U87" s="53">
        <v>429</v>
      </c>
      <c r="V87" s="16">
        <f t="shared" si="7"/>
        <v>3088.7999999999997</v>
      </c>
      <c r="W87" s="53">
        <v>1</v>
      </c>
      <c r="X87" s="54" t="s">
        <v>46</v>
      </c>
      <c r="Y87" s="54" t="s">
        <v>69</v>
      </c>
      <c r="Z87" s="54" t="s">
        <v>55</v>
      </c>
      <c r="AA87" s="54" t="s">
        <v>47</v>
      </c>
      <c r="AB87" s="54" t="s">
        <v>258</v>
      </c>
    </row>
    <row r="88" spans="1:28" x14ac:dyDescent="0.15">
      <c r="A88" s="54" t="s">
        <v>34</v>
      </c>
      <c r="B88" s="53" t="s">
        <v>232</v>
      </c>
      <c r="C88" s="53">
        <v>2019</v>
      </c>
      <c r="D88" s="178" t="s">
        <v>167</v>
      </c>
      <c r="E88" s="36" t="s">
        <v>365</v>
      </c>
      <c r="F88" s="36" t="s">
        <v>366</v>
      </c>
      <c r="G88" s="54" t="s">
        <v>36</v>
      </c>
      <c r="H88" s="53" t="s">
        <v>164</v>
      </c>
      <c r="I88" s="54" t="s">
        <v>159</v>
      </c>
      <c r="J88" s="54" t="s">
        <v>38</v>
      </c>
      <c r="K88" s="54" t="s">
        <v>161</v>
      </c>
      <c r="L88" s="53">
        <v>3</v>
      </c>
      <c r="N88" s="53">
        <v>5</v>
      </c>
      <c r="O88" s="53">
        <v>0.7</v>
      </c>
      <c r="P88" s="53">
        <v>0.8</v>
      </c>
      <c r="Q88" s="98">
        <f t="shared" si="5"/>
        <v>0.75</v>
      </c>
      <c r="R88" s="53">
        <v>20.2</v>
      </c>
      <c r="S88" s="53">
        <v>89</v>
      </c>
      <c r="T88" s="16">
        <f t="shared" si="6"/>
        <v>36</v>
      </c>
      <c r="U88" s="53">
        <v>429</v>
      </c>
      <c r="V88" s="16">
        <f t="shared" si="7"/>
        <v>3088.7999999999997</v>
      </c>
      <c r="W88" s="53">
        <v>1</v>
      </c>
      <c r="X88" s="54" t="s">
        <v>46</v>
      </c>
      <c r="Y88" s="54" t="s">
        <v>69</v>
      </c>
      <c r="Z88" s="54" t="s">
        <v>55</v>
      </c>
      <c r="AA88" s="54" t="s">
        <v>47</v>
      </c>
      <c r="AB88" s="54" t="s">
        <v>258</v>
      </c>
    </row>
    <row r="89" spans="1:28" x14ac:dyDescent="0.15">
      <c r="A89" s="54" t="s">
        <v>34</v>
      </c>
      <c r="B89" s="53" t="s">
        <v>232</v>
      </c>
      <c r="C89" s="53">
        <v>2019</v>
      </c>
      <c r="D89" s="178" t="s">
        <v>167</v>
      </c>
      <c r="E89" s="36" t="s">
        <v>367</v>
      </c>
      <c r="F89" s="36" t="s">
        <v>368</v>
      </c>
      <c r="G89" s="54" t="s">
        <v>36</v>
      </c>
      <c r="H89" s="53" t="s">
        <v>160</v>
      </c>
      <c r="I89" s="54" t="s">
        <v>159</v>
      </c>
      <c r="J89" s="54" t="s">
        <v>38</v>
      </c>
      <c r="K89" s="54" t="s">
        <v>161</v>
      </c>
      <c r="L89" s="54">
        <v>1</v>
      </c>
      <c r="N89" s="53">
        <v>1</v>
      </c>
      <c r="O89" s="53">
        <v>0.6</v>
      </c>
      <c r="P89" s="53">
        <v>0.6</v>
      </c>
      <c r="Q89" s="98">
        <f t="shared" si="5"/>
        <v>0.6</v>
      </c>
      <c r="R89" s="53">
        <v>17.7</v>
      </c>
      <c r="S89" s="53">
        <v>110</v>
      </c>
      <c r="T89" s="16">
        <f t="shared" si="6"/>
        <v>33</v>
      </c>
      <c r="U89" s="53">
        <v>149</v>
      </c>
      <c r="V89" s="16">
        <f t="shared" si="7"/>
        <v>4917</v>
      </c>
      <c r="W89" s="53">
        <v>8</v>
      </c>
      <c r="X89" s="54" t="s">
        <v>46</v>
      </c>
      <c r="Y89" s="54" t="s">
        <v>55</v>
      </c>
      <c r="Z89" s="54" t="s">
        <v>78</v>
      </c>
      <c r="AA89" s="54" t="s">
        <v>47</v>
      </c>
      <c r="AB89" s="54" t="s">
        <v>258</v>
      </c>
    </row>
    <row r="90" spans="1:28" x14ac:dyDescent="0.15">
      <c r="A90" s="54" t="s">
        <v>34</v>
      </c>
      <c r="B90" s="53" t="s">
        <v>232</v>
      </c>
      <c r="C90" s="53">
        <v>2019</v>
      </c>
      <c r="D90" s="178" t="s">
        <v>167</v>
      </c>
      <c r="E90" s="36" t="s">
        <v>367</v>
      </c>
      <c r="F90" s="36" t="s">
        <v>368</v>
      </c>
      <c r="G90" s="54" t="s">
        <v>36</v>
      </c>
      <c r="H90" s="53" t="s">
        <v>160</v>
      </c>
      <c r="I90" s="54" t="s">
        <v>159</v>
      </c>
      <c r="J90" s="54" t="s">
        <v>38</v>
      </c>
      <c r="K90" s="54" t="s">
        <v>161</v>
      </c>
      <c r="L90" s="53">
        <v>2</v>
      </c>
      <c r="N90" s="53">
        <v>1</v>
      </c>
      <c r="O90" s="53">
        <v>0.7</v>
      </c>
      <c r="P90" s="53">
        <v>0.75</v>
      </c>
      <c r="Q90" s="98">
        <f t="shared" si="5"/>
        <v>0.72499999999999998</v>
      </c>
      <c r="R90" s="53">
        <v>17.600000000000001</v>
      </c>
      <c r="S90" s="53">
        <v>114</v>
      </c>
      <c r="T90" s="16">
        <f t="shared" si="6"/>
        <v>30</v>
      </c>
      <c r="U90" s="53">
        <v>149</v>
      </c>
      <c r="V90" s="16">
        <f t="shared" si="7"/>
        <v>4470</v>
      </c>
      <c r="W90" s="53">
        <v>8</v>
      </c>
      <c r="X90" s="54" t="s">
        <v>46</v>
      </c>
      <c r="Y90" s="54" t="s">
        <v>55</v>
      </c>
      <c r="Z90" s="54" t="s">
        <v>78</v>
      </c>
      <c r="AA90" s="54" t="s">
        <v>47</v>
      </c>
      <c r="AB90" s="54" t="s">
        <v>258</v>
      </c>
    </row>
    <row r="91" spans="1:28" x14ac:dyDescent="0.15">
      <c r="A91" s="54" t="s">
        <v>34</v>
      </c>
      <c r="B91" s="53" t="s">
        <v>232</v>
      </c>
      <c r="C91" s="53">
        <v>2019</v>
      </c>
      <c r="D91" s="178" t="s">
        <v>167</v>
      </c>
      <c r="E91" s="36" t="s">
        <v>367</v>
      </c>
      <c r="F91" s="36" t="s">
        <v>368</v>
      </c>
      <c r="G91" s="54" t="s">
        <v>36</v>
      </c>
      <c r="H91" s="53" t="s">
        <v>160</v>
      </c>
      <c r="I91" s="54" t="s">
        <v>159</v>
      </c>
      <c r="J91" s="54" t="s">
        <v>38</v>
      </c>
      <c r="K91" s="54" t="s">
        <v>161</v>
      </c>
      <c r="L91" s="53">
        <v>3</v>
      </c>
      <c r="N91" s="53">
        <v>1</v>
      </c>
      <c r="O91" s="53">
        <v>0.65</v>
      </c>
      <c r="P91" s="53">
        <v>0.6</v>
      </c>
      <c r="Q91" s="98">
        <f t="shared" si="5"/>
        <v>0.625</v>
      </c>
      <c r="R91" s="53">
        <v>17.7</v>
      </c>
      <c r="S91" s="53">
        <v>110</v>
      </c>
      <c r="T91" s="16">
        <f t="shared" si="6"/>
        <v>33</v>
      </c>
      <c r="U91" s="53">
        <v>149</v>
      </c>
      <c r="V91" s="16">
        <f t="shared" si="7"/>
        <v>4917</v>
      </c>
      <c r="W91" s="53">
        <v>8</v>
      </c>
      <c r="X91" s="54" t="s">
        <v>46</v>
      </c>
      <c r="Y91" s="54" t="s">
        <v>55</v>
      </c>
      <c r="Z91" s="54" t="s">
        <v>78</v>
      </c>
      <c r="AA91" s="54" t="s">
        <v>47</v>
      </c>
      <c r="AB91" s="54" t="s">
        <v>258</v>
      </c>
    </row>
    <row r="92" spans="1:28" x14ac:dyDescent="0.15">
      <c r="A92" s="54" t="s">
        <v>34</v>
      </c>
      <c r="B92" s="53" t="s">
        <v>232</v>
      </c>
      <c r="C92" s="53">
        <v>2019</v>
      </c>
      <c r="D92" s="178" t="s">
        <v>167</v>
      </c>
      <c r="E92" s="36" t="s">
        <v>367</v>
      </c>
      <c r="F92" s="36" t="s">
        <v>368</v>
      </c>
      <c r="G92" s="54" t="s">
        <v>36</v>
      </c>
      <c r="H92" s="53" t="s">
        <v>160</v>
      </c>
      <c r="I92" s="54" t="s">
        <v>159</v>
      </c>
      <c r="J92" s="54" t="s">
        <v>38</v>
      </c>
      <c r="K92" s="54" t="s">
        <v>161</v>
      </c>
      <c r="L92" s="54">
        <v>1</v>
      </c>
      <c r="N92" s="53">
        <v>4</v>
      </c>
      <c r="O92" s="53">
        <v>0.55000000000000004</v>
      </c>
      <c r="P92" s="53">
        <v>0.6</v>
      </c>
      <c r="Q92" s="98">
        <f t="shared" si="5"/>
        <v>0.57499999999999996</v>
      </c>
      <c r="R92" s="53">
        <v>17.7</v>
      </c>
      <c r="S92" s="53">
        <v>83</v>
      </c>
      <c r="T92" s="16">
        <f t="shared" si="6"/>
        <v>39</v>
      </c>
      <c r="U92" s="53">
        <v>480</v>
      </c>
      <c r="V92" s="16">
        <f t="shared" si="7"/>
        <v>4680</v>
      </c>
      <c r="W92" s="53">
        <v>8</v>
      </c>
      <c r="X92" s="54" t="s">
        <v>46</v>
      </c>
      <c r="Y92" s="54" t="s">
        <v>55</v>
      </c>
      <c r="Z92" s="54" t="s">
        <v>78</v>
      </c>
      <c r="AA92" s="54" t="s">
        <v>47</v>
      </c>
      <c r="AB92" s="54" t="s">
        <v>258</v>
      </c>
    </row>
    <row r="93" spans="1:28" x14ac:dyDescent="0.15">
      <c r="A93" s="54" t="s">
        <v>34</v>
      </c>
      <c r="B93" s="53" t="s">
        <v>232</v>
      </c>
      <c r="C93" s="53">
        <v>2019</v>
      </c>
      <c r="D93" s="178" t="s">
        <v>167</v>
      </c>
      <c r="E93" s="36" t="s">
        <v>367</v>
      </c>
      <c r="F93" s="36" t="s">
        <v>368</v>
      </c>
      <c r="G93" s="54" t="s">
        <v>36</v>
      </c>
      <c r="H93" s="53" t="s">
        <v>160</v>
      </c>
      <c r="I93" s="54" t="s">
        <v>159</v>
      </c>
      <c r="J93" s="54" t="s">
        <v>38</v>
      </c>
      <c r="K93" s="54" t="s">
        <v>161</v>
      </c>
      <c r="L93" s="53">
        <v>2</v>
      </c>
      <c r="N93" s="53">
        <v>4</v>
      </c>
      <c r="O93" s="53">
        <v>0.65</v>
      </c>
      <c r="P93" s="53">
        <v>0.7</v>
      </c>
      <c r="Q93" s="98">
        <f t="shared" si="5"/>
        <v>0.67500000000000004</v>
      </c>
      <c r="R93" s="53">
        <v>19.3</v>
      </c>
      <c r="S93" s="53">
        <v>89</v>
      </c>
      <c r="T93" s="16">
        <f t="shared" si="6"/>
        <v>36</v>
      </c>
      <c r="U93" s="53">
        <v>480</v>
      </c>
      <c r="V93" s="16">
        <f t="shared" si="7"/>
        <v>4320</v>
      </c>
      <c r="W93" s="53">
        <v>8</v>
      </c>
      <c r="X93" s="54" t="s">
        <v>46</v>
      </c>
      <c r="Y93" s="54" t="s">
        <v>55</v>
      </c>
      <c r="Z93" s="54" t="s">
        <v>78</v>
      </c>
      <c r="AA93" s="54" t="s">
        <v>47</v>
      </c>
      <c r="AB93" s="54" t="s">
        <v>258</v>
      </c>
    </row>
    <row r="94" spans="1:28" x14ac:dyDescent="0.15">
      <c r="A94" s="54" t="s">
        <v>34</v>
      </c>
      <c r="B94" s="53" t="s">
        <v>232</v>
      </c>
      <c r="C94" s="53">
        <v>2019</v>
      </c>
      <c r="D94" s="178" t="s">
        <v>167</v>
      </c>
      <c r="E94" s="36" t="s">
        <v>367</v>
      </c>
      <c r="F94" s="36" t="s">
        <v>368</v>
      </c>
      <c r="G94" s="54" t="s">
        <v>36</v>
      </c>
      <c r="H94" s="53" t="s">
        <v>160</v>
      </c>
      <c r="I94" s="54" t="s">
        <v>159</v>
      </c>
      <c r="J94" s="54" t="s">
        <v>38</v>
      </c>
      <c r="K94" s="54" t="s">
        <v>161</v>
      </c>
      <c r="L94" s="53">
        <v>3</v>
      </c>
      <c r="N94" s="53">
        <v>4</v>
      </c>
      <c r="O94" s="53">
        <v>0.55000000000000004</v>
      </c>
      <c r="P94" s="53">
        <v>0.7</v>
      </c>
      <c r="Q94" s="98">
        <f t="shared" si="5"/>
        <v>0.625</v>
      </c>
      <c r="R94" s="53">
        <v>20.100000000000001</v>
      </c>
      <c r="S94" s="53">
        <v>86</v>
      </c>
      <c r="T94" s="16">
        <f t="shared" si="6"/>
        <v>36</v>
      </c>
      <c r="U94" s="53">
        <v>480</v>
      </c>
      <c r="V94" s="16">
        <f t="shared" si="7"/>
        <v>4320</v>
      </c>
      <c r="W94" s="53">
        <v>8</v>
      </c>
      <c r="X94" s="54" t="s">
        <v>46</v>
      </c>
      <c r="Y94" s="54" t="s">
        <v>55</v>
      </c>
      <c r="Z94" s="54" t="s">
        <v>78</v>
      </c>
      <c r="AA94" s="54" t="s">
        <v>47</v>
      </c>
      <c r="AB94" s="54" t="s">
        <v>258</v>
      </c>
    </row>
    <row r="95" spans="1:28" x14ac:dyDescent="0.15">
      <c r="A95" s="54" t="s">
        <v>34</v>
      </c>
      <c r="B95" s="53" t="s">
        <v>232</v>
      </c>
      <c r="C95" s="53">
        <v>2019</v>
      </c>
      <c r="D95" s="178" t="s">
        <v>167</v>
      </c>
      <c r="E95" s="36" t="s">
        <v>367</v>
      </c>
      <c r="F95" s="36" t="s">
        <v>368</v>
      </c>
      <c r="G95" s="54" t="s">
        <v>36</v>
      </c>
      <c r="H95" s="53" t="s">
        <v>165</v>
      </c>
      <c r="I95" s="54" t="s">
        <v>159</v>
      </c>
      <c r="J95" s="54" t="s">
        <v>38</v>
      </c>
      <c r="K95" s="54" t="s">
        <v>161</v>
      </c>
      <c r="L95" s="54">
        <v>1</v>
      </c>
      <c r="N95" s="53">
        <v>1</v>
      </c>
      <c r="O95" s="53">
        <v>0.65</v>
      </c>
      <c r="P95" s="53">
        <v>0.55000000000000004</v>
      </c>
      <c r="Q95" s="98">
        <f t="shared" si="5"/>
        <v>0.60000000000000009</v>
      </c>
      <c r="R95" s="53">
        <v>16.899999999999999</v>
      </c>
      <c r="S95" s="53">
        <v>105</v>
      </c>
      <c r="T95" s="16">
        <f t="shared" si="6"/>
        <v>33</v>
      </c>
      <c r="U95" s="53">
        <v>138</v>
      </c>
      <c r="V95" s="16">
        <f t="shared" si="7"/>
        <v>4554</v>
      </c>
      <c r="W95" s="53">
        <v>3</v>
      </c>
      <c r="X95" s="54" t="s">
        <v>46</v>
      </c>
      <c r="Y95" s="54" t="s">
        <v>55</v>
      </c>
      <c r="Z95" s="54" t="s">
        <v>78</v>
      </c>
      <c r="AA95" s="54" t="s">
        <v>47</v>
      </c>
      <c r="AB95" s="54" t="s">
        <v>258</v>
      </c>
    </row>
    <row r="96" spans="1:28" x14ac:dyDescent="0.15">
      <c r="A96" s="54" t="s">
        <v>34</v>
      </c>
      <c r="B96" s="53" t="s">
        <v>232</v>
      </c>
      <c r="C96" s="53">
        <v>2019</v>
      </c>
      <c r="D96" s="178" t="s">
        <v>167</v>
      </c>
      <c r="E96" s="36" t="s">
        <v>367</v>
      </c>
      <c r="F96" s="36" t="s">
        <v>368</v>
      </c>
      <c r="G96" s="54" t="s">
        <v>36</v>
      </c>
      <c r="H96" s="53" t="s">
        <v>165</v>
      </c>
      <c r="I96" s="54" t="s">
        <v>159</v>
      </c>
      <c r="J96" s="54" t="s">
        <v>38</v>
      </c>
      <c r="K96" s="54" t="s">
        <v>161</v>
      </c>
      <c r="L96" s="53">
        <v>2</v>
      </c>
      <c r="N96" s="53">
        <v>1</v>
      </c>
      <c r="O96" s="53">
        <v>0.7</v>
      </c>
      <c r="P96" s="53">
        <v>0.85</v>
      </c>
      <c r="Q96" s="98">
        <f t="shared" si="5"/>
        <v>0.77499999999999991</v>
      </c>
      <c r="R96" s="53">
        <v>17.2</v>
      </c>
      <c r="S96" s="53">
        <v>104</v>
      </c>
      <c r="T96" s="16">
        <f t="shared" si="6"/>
        <v>33</v>
      </c>
      <c r="U96" s="53">
        <v>138</v>
      </c>
      <c r="V96" s="16">
        <f t="shared" si="7"/>
        <v>4554</v>
      </c>
      <c r="W96" s="53">
        <v>3</v>
      </c>
      <c r="X96" s="54" t="s">
        <v>46</v>
      </c>
      <c r="Y96" s="54" t="s">
        <v>55</v>
      </c>
      <c r="Z96" s="54" t="s">
        <v>78</v>
      </c>
      <c r="AA96" s="54" t="s">
        <v>47</v>
      </c>
      <c r="AB96" s="54" t="s">
        <v>258</v>
      </c>
    </row>
    <row r="97" spans="1:28" x14ac:dyDescent="0.15">
      <c r="A97" s="54" t="s">
        <v>34</v>
      </c>
      <c r="B97" s="53" t="s">
        <v>232</v>
      </c>
      <c r="C97" s="53">
        <v>2019</v>
      </c>
      <c r="D97" s="178" t="s">
        <v>167</v>
      </c>
      <c r="E97" s="36" t="s">
        <v>367</v>
      </c>
      <c r="F97" s="36" t="s">
        <v>368</v>
      </c>
      <c r="G97" s="54" t="s">
        <v>36</v>
      </c>
      <c r="H97" s="53" t="s">
        <v>165</v>
      </c>
      <c r="I97" s="54" t="s">
        <v>159</v>
      </c>
      <c r="J97" s="54" t="s">
        <v>38</v>
      </c>
      <c r="K97" s="54" t="s">
        <v>161</v>
      </c>
      <c r="L97" s="53">
        <v>3</v>
      </c>
      <c r="N97" s="53">
        <v>1</v>
      </c>
      <c r="O97" s="53">
        <v>0.6</v>
      </c>
      <c r="P97" s="53">
        <v>0.6</v>
      </c>
      <c r="Q97" s="98">
        <f t="shared" si="5"/>
        <v>0.6</v>
      </c>
      <c r="R97" s="53">
        <v>17.5</v>
      </c>
      <c r="S97" s="53">
        <v>106</v>
      </c>
      <c r="T97" s="16">
        <f t="shared" si="6"/>
        <v>33</v>
      </c>
      <c r="U97" s="53">
        <v>138</v>
      </c>
      <c r="V97" s="16">
        <f t="shared" si="7"/>
        <v>4554</v>
      </c>
      <c r="W97" s="53">
        <v>3</v>
      </c>
      <c r="X97" s="54" t="s">
        <v>46</v>
      </c>
      <c r="Y97" s="54" t="s">
        <v>55</v>
      </c>
      <c r="Z97" s="54" t="s">
        <v>78</v>
      </c>
      <c r="AA97" s="54" t="s">
        <v>47</v>
      </c>
      <c r="AB97" s="54" t="s">
        <v>258</v>
      </c>
    </row>
    <row r="98" spans="1:28" x14ac:dyDescent="0.15">
      <c r="A98" s="54" t="s">
        <v>34</v>
      </c>
      <c r="B98" s="53" t="s">
        <v>232</v>
      </c>
      <c r="C98" s="53">
        <v>2019</v>
      </c>
      <c r="D98" s="178" t="s">
        <v>167</v>
      </c>
      <c r="E98" s="36" t="s">
        <v>367</v>
      </c>
      <c r="F98" s="36" t="s">
        <v>368</v>
      </c>
      <c r="G98" s="54" t="s">
        <v>36</v>
      </c>
      <c r="H98" s="53" t="s">
        <v>165</v>
      </c>
      <c r="I98" s="54" t="s">
        <v>159</v>
      </c>
      <c r="J98" s="54" t="s">
        <v>38</v>
      </c>
      <c r="K98" s="54" t="s">
        <v>161</v>
      </c>
      <c r="L98" s="54">
        <v>1</v>
      </c>
      <c r="N98" s="53">
        <v>5</v>
      </c>
      <c r="O98" s="53">
        <v>0.5</v>
      </c>
      <c r="P98" s="53">
        <v>0.5</v>
      </c>
      <c r="Q98" s="98">
        <f t="shared" si="5"/>
        <v>0.5</v>
      </c>
      <c r="R98" s="53">
        <v>16.899999999999999</v>
      </c>
      <c r="S98" s="53">
        <v>83</v>
      </c>
      <c r="T98" s="16">
        <f t="shared" si="6"/>
        <v>39</v>
      </c>
      <c r="U98" s="53">
        <v>429</v>
      </c>
      <c r="V98" s="16">
        <f t="shared" si="7"/>
        <v>3346.2</v>
      </c>
      <c r="W98" s="53">
        <v>3</v>
      </c>
      <c r="X98" s="54" t="s">
        <v>46</v>
      </c>
      <c r="Y98" s="54" t="s">
        <v>55</v>
      </c>
      <c r="Z98" s="54" t="s">
        <v>78</v>
      </c>
      <c r="AA98" s="54" t="s">
        <v>47</v>
      </c>
      <c r="AB98" s="54" t="s">
        <v>258</v>
      </c>
    </row>
    <row r="99" spans="1:28" x14ac:dyDescent="0.15">
      <c r="A99" s="54" t="s">
        <v>34</v>
      </c>
      <c r="B99" s="53" t="s">
        <v>232</v>
      </c>
      <c r="C99" s="53">
        <v>2019</v>
      </c>
      <c r="D99" s="178" t="s">
        <v>167</v>
      </c>
      <c r="E99" s="36" t="s">
        <v>367</v>
      </c>
      <c r="F99" s="36" t="s">
        <v>368</v>
      </c>
      <c r="G99" s="54" t="s">
        <v>36</v>
      </c>
      <c r="H99" s="53" t="s">
        <v>165</v>
      </c>
      <c r="I99" s="54" t="s">
        <v>159</v>
      </c>
      <c r="J99" s="54" t="s">
        <v>38</v>
      </c>
      <c r="K99" s="54" t="s">
        <v>161</v>
      </c>
      <c r="L99" s="53">
        <v>2</v>
      </c>
      <c r="N99" s="53">
        <v>5</v>
      </c>
      <c r="O99" s="53">
        <v>0.6</v>
      </c>
      <c r="P99" s="53">
        <v>0.2</v>
      </c>
      <c r="Q99" s="98">
        <f t="shared" si="5"/>
        <v>0.4</v>
      </c>
      <c r="R99" s="53">
        <v>18</v>
      </c>
      <c r="S99" s="53">
        <v>91</v>
      </c>
      <c r="T99" s="16">
        <f t="shared" si="6"/>
        <v>36</v>
      </c>
      <c r="U99" s="53">
        <v>429</v>
      </c>
      <c r="V99" s="16">
        <f t="shared" si="7"/>
        <v>3088.7999999999997</v>
      </c>
      <c r="W99" s="53">
        <v>3</v>
      </c>
      <c r="X99" s="54" t="s">
        <v>46</v>
      </c>
      <c r="Y99" s="54" t="s">
        <v>55</v>
      </c>
      <c r="Z99" s="54" t="s">
        <v>78</v>
      </c>
      <c r="AA99" s="54" t="s">
        <v>47</v>
      </c>
      <c r="AB99" s="54" t="s">
        <v>258</v>
      </c>
    </row>
    <row r="100" spans="1:28" x14ac:dyDescent="0.15">
      <c r="A100" s="54" t="s">
        <v>34</v>
      </c>
      <c r="B100" s="53" t="s">
        <v>232</v>
      </c>
      <c r="C100" s="53">
        <v>2019</v>
      </c>
      <c r="D100" s="178" t="s">
        <v>167</v>
      </c>
      <c r="E100" s="36" t="s">
        <v>367</v>
      </c>
      <c r="F100" s="36" t="s">
        <v>368</v>
      </c>
      <c r="G100" s="54" t="s">
        <v>36</v>
      </c>
      <c r="H100" s="53" t="s">
        <v>165</v>
      </c>
      <c r="I100" s="54" t="s">
        <v>159</v>
      </c>
      <c r="J100" s="54" t="s">
        <v>38</v>
      </c>
      <c r="K100" s="54" t="s">
        <v>161</v>
      </c>
      <c r="L100" s="53">
        <v>3</v>
      </c>
      <c r="N100" s="53">
        <v>5</v>
      </c>
      <c r="O100" s="53">
        <v>0.2</v>
      </c>
      <c r="P100" s="53">
        <v>0.5</v>
      </c>
      <c r="Q100" s="98">
        <f t="shared" si="5"/>
        <v>0.35</v>
      </c>
      <c r="R100" s="53">
        <v>18.100000000000001</v>
      </c>
      <c r="S100" s="53">
        <v>85</v>
      </c>
      <c r="T100" s="16">
        <f t="shared" si="6"/>
        <v>36</v>
      </c>
      <c r="U100" s="53">
        <v>429</v>
      </c>
      <c r="V100" s="16">
        <f t="shared" si="7"/>
        <v>3088.7999999999997</v>
      </c>
      <c r="W100" s="53">
        <v>3</v>
      </c>
      <c r="X100" s="54" t="s">
        <v>46</v>
      </c>
      <c r="Y100" s="54" t="s">
        <v>55</v>
      </c>
      <c r="Z100" s="54" t="s">
        <v>78</v>
      </c>
      <c r="AA100" s="54" t="s">
        <v>47</v>
      </c>
      <c r="AB100" s="54" t="s">
        <v>258</v>
      </c>
    </row>
    <row r="101" spans="1:28" x14ac:dyDescent="0.15">
      <c r="A101" s="54" t="s">
        <v>34</v>
      </c>
      <c r="B101" s="53" t="s">
        <v>232</v>
      </c>
      <c r="C101" s="53">
        <v>2019</v>
      </c>
      <c r="D101" s="178" t="s">
        <v>167</v>
      </c>
      <c r="E101" s="36" t="s">
        <v>367</v>
      </c>
      <c r="F101" s="36" t="s">
        <v>368</v>
      </c>
      <c r="G101" s="54" t="s">
        <v>36</v>
      </c>
      <c r="H101" s="53" t="s">
        <v>164</v>
      </c>
      <c r="I101" s="54" t="s">
        <v>159</v>
      </c>
      <c r="J101" s="54" t="s">
        <v>38</v>
      </c>
      <c r="K101" s="54" t="s">
        <v>161</v>
      </c>
      <c r="L101" s="54">
        <v>1</v>
      </c>
      <c r="N101" s="53">
        <v>6</v>
      </c>
      <c r="O101" s="53">
        <v>0.6</v>
      </c>
      <c r="P101" s="53">
        <v>0.7</v>
      </c>
      <c r="Q101" s="98">
        <f t="shared" si="5"/>
        <v>0.64999999999999991</v>
      </c>
      <c r="R101" s="53">
        <v>19.399999999999999</v>
      </c>
      <c r="S101" s="53">
        <v>80</v>
      </c>
      <c r="T101" s="16">
        <f t="shared" si="6"/>
        <v>39</v>
      </c>
      <c r="U101" s="53">
        <v>429</v>
      </c>
      <c r="V101" s="16">
        <f t="shared" si="7"/>
        <v>2788.5</v>
      </c>
      <c r="W101" s="53">
        <v>1</v>
      </c>
      <c r="X101" s="54" t="s">
        <v>46</v>
      </c>
      <c r="Y101" s="54" t="s">
        <v>55</v>
      </c>
      <c r="Z101" s="54" t="s">
        <v>78</v>
      </c>
      <c r="AA101" s="54" t="s">
        <v>47</v>
      </c>
      <c r="AB101" s="54" t="s">
        <v>258</v>
      </c>
    </row>
    <row r="102" spans="1:28" x14ac:dyDescent="0.15">
      <c r="A102" s="54" t="s">
        <v>34</v>
      </c>
      <c r="B102" s="53" t="s">
        <v>232</v>
      </c>
      <c r="C102" s="53">
        <v>2019</v>
      </c>
      <c r="D102" s="178" t="s">
        <v>167</v>
      </c>
      <c r="E102" s="36" t="s">
        <v>367</v>
      </c>
      <c r="F102" s="36" t="s">
        <v>368</v>
      </c>
      <c r="G102" s="54" t="s">
        <v>36</v>
      </c>
      <c r="H102" s="53" t="s">
        <v>164</v>
      </c>
      <c r="I102" s="54" t="s">
        <v>159</v>
      </c>
      <c r="J102" s="54" t="s">
        <v>38</v>
      </c>
      <c r="K102" s="54" t="s">
        <v>161</v>
      </c>
      <c r="L102" s="53">
        <v>2</v>
      </c>
      <c r="N102" s="53">
        <v>6</v>
      </c>
      <c r="O102" s="53">
        <v>0.5</v>
      </c>
      <c r="P102" s="53">
        <v>0.5</v>
      </c>
      <c r="Q102" s="98">
        <f t="shared" si="5"/>
        <v>0.5</v>
      </c>
      <c r="R102" s="53">
        <v>19</v>
      </c>
      <c r="S102" s="53">
        <v>82</v>
      </c>
      <c r="T102" s="16">
        <f t="shared" si="6"/>
        <v>39</v>
      </c>
      <c r="U102" s="53">
        <v>429</v>
      </c>
      <c r="V102" s="16">
        <f t="shared" si="7"/>
        <v>2788.5</v>
      </c>
      <c r="W102" s="53">
        <v>1</v>
      </c>
      <c r="X102" s="54" t="s">
        <v>46</v>
      </c>
      <c r="Y102" s="54" t="s">
        <v>55</v>
      </c>
      <c r="Z102" s="54" t="s">
        <v>78</v>
      </c>
      <c r="AA102" s="54" t="s">
        <v>47</v>
      </c>
      <c r="AB102" s="54" t="s">
        <v>258</v>
      </c>
    </row>
    <row r="103" spans="1:28" x14ac:dyDescent="0.15">
      <c r="A103" s="54" t="s">
        <v>34</v>
      </c>
      <c r="B103" s="53" t="s">
        <v>232</v>
      </c>
      <c r="C103" s="53">
        <v>2019</v>
      </c>
      <c r="D103" s="178" t="s">
        <v>167</v>
      </c>
      <c r="E103" s="36" t="s">
        <v>367</v>
      </c>
      <c r="F103" s="36" t="s">
        <v>368</v>
      </c>
      <c r="G103" s="54" t="s">
        <v>36</v>
      </c>
      <c r="H103" s="53" t="s">
        <v>164</v>
      </c>
      <c r="I103" s="54" t="s">
        <v>159</v>
      </c>
      <c r="J103" s="54" t="s">
        <v>38</v>
      </c>
      <c r="K103" s="54" t="s">
        <v>161</v>
      </c>
      <c r="L103" s="53">
        <v>3</v>
      </c>
      <c r="N103" s="53">
        <v>6</v>
      </c>
      <c r="O103" s="53">
        <v>0.6</v>
      </c>
      <c r="P103" s="53">
        <v>0.7</v>
      </c>
      <c r="Q103" s="98">
        <f t="shared" si="5"/>
        <v>0.64999999999999991</v>
      </c>
      <c r="R103" s="53">
        <v>19</v>
      </c>
      <c r="S103" s="53">
        <v>74</v>
      </c>
      <c r="T103" s="16">
        <f t="shared" si="6"/>
        <v>42</v>
      </c>
      <c r="U103" s="53">
        <v>429</v>
      </c>
      <c r="V103" s="16">
        <f t="shared" si="7"/>
        <v>3003</v>
      </c>
      <c r="W103" s="53">
        <v>1</v>
      </c>
      <c r="X103" s="54" t="s">
        <v>46</v>
      </c>
      <c r="Y103" s="54" t="s">
        <v>55</v>
      </c>
      <c r="Z103" s="54" t="s">
        <v>78</v>
      </c>
      <c r="AA103" s="54" t="s">
        <v>47</v>
      </c>
      <c r="AB103" s="54" t="s">
        <v>258</v>
      </c>
    </row>
    <row r="104" spans="1:28" x14ac:dyDescent="0.15">
      <c r="A104" s="54" t="s">
        <v>34</v>
      </c>
      <c r="B104" s="53" t="s">
        <v>232</v>
      </c>
      <c r="C104" s="53">
        <v>2019</v>
      </c>
      <c r="D104" s="178" t="s">
        <v>167</v>
      </c>
      <c r="E104" s="36" t="s">
        <v>269</v>
      </c>
      <c r="F104" s="36" t="s">
        <v>369</v>
      </c>
      <c r="G104" s="54" t="s">
        <v>36</v>
      </c>
      <c r="H104" s="53" t="s">
        <v>160</v>
      </c>
      <c r="I104" s="54" t="s">
        <v>159</v>
      </c>
      <c r="J104" s="54" t="s">
        <v>38</v>
      </c>
      <c r="K104" s="54" t="s">
        <v>161</v>
      </c>
      <c r="L104" s="54">
        <v>1</v>
      </c>
      <c r="N104" s="53">
        <v>1</v>
      </c>
      <c r="O104" s="53">
        <v>0.75</v>
      </c>
      <c r="P104" s="53">
        <v>0.8</v>
      </c>
      <c r="Q104" s="98">
        <f t="shared" si="5"/>
        <v>0.77500000000000002</v>
      </c>
      <c r="R104" s="53">
        <v>17.600000000000001</v>
      </c>
      <c r="S104" s="53">
        <v>102</v>
      </c>
      <c r="T104" s="16">
        <f t="shared" si="6"/>
        <v>33</v>
      </c>
      <c r="U104" s="53">
        <v>85</v>
      </c>
      <c r="V104" s="16">
        <f t="shared" si="7"/>
        <v>2805</v>
      </c>
      <c r="W104" s="53">
        <v>8</v>
      </c>
      <c r="X104" s="54" t="s">
        <v>46</v>
      </c>
      <c r="Y104" s="54" t="s">
        <v>78</v>
      </c>
      <c r="Z104" s="54" t="s">
        <v>86</v>
      </c>
      <c r="AA104" s="54" t="s">
        <v>47</v>
      </c>
      <c r="AB104" s="54" t="s">
        <v>258</v>
      </c>
    </row>
    <row r="105" spans="1:28" x14ac:dyDescent="0.15">
      <c r="A105" s="54" t="s">
        <v>34</v>
      </c>
      <c r="B105" s="53" t="s">
        <v>232</v>
      </c>
      <c r="C105" s="53">
        <v>2019</v>
      </c>
      <c r="D105" s="178" t="s">
        <v>167</v>
      </c>
      <c r="E105" s="36" t="s">
        <v>269</v>
      </c>
      <c r="F105" s="36" t="s">
        <v>369</v>
      </c>
      <c r="G105" s="54" t="s">
        <v>36</v>
      </c>
      <c r="H105" s="53" t="s">
        <v>160</v>
      </c>
      <c r="I105" s="54" t="s">
        <v>159</v>
      </c>
      <c r="J105" s="54" t="s">
        <v>38</v>
      </c>
      <c r="K105" s="54" t="s">
        <v>161</v>
      </c>
      <c r="L105" s="53">
        <v>2</v>
      </c>
      <c r="N105" s="53">
        <v>1</v>
      </c>
      <c r="O105" s="53">
        <v>0.7</v>
      </c>
      <c r="P105" s="53">
        <v>0.75</v>
      </c>
      <c r="Q105" s="98">
        <f t="shared" si="5"/>
        <v>0.72499999999999998</v>
      </c>
      <c r="R105" s="53">
        <v>17.3</v>
      </c>
      <c r="S105" s="53">
        <v>102</v>
      </c>
      <c r="T105" s="16">
        <f t="shared" si="6"/>
        <v>33</v>
      </c>
      <c r="U105" s="53">
        <v>85</v>
      </c>
      <c r="V105" s="16">
        <f t="shared" si="7"/>
        <v>2805</v>
      </c>
      <c r="W105" s="53">
        <v>8</v>
      </c>
      <c r="X105" s="54" t="s">
        <v>46</v>
      </c>
      <c r="Y105" s="54" t="s">
        <v>78</v>
      </c>
      <c r="Z105" s="54" t="s">
        <v>86</v>
      </c>
      <c r="AA105" s="54" t="s">
        <v>47</v>
      </c>
      <c r="AB105" s="54" t="s">
        <v>258</v>
      </c>
    </row>
    <row r="106" spans="1:28" x14ac:dyDescent="0.15">
      <c r="A106" s="54" t="s">
        <v>34</v>
      </c>
      <c r="B106" s="53" t="s">
        <v>232</v>
      </c>
      <c r="C106" s="53">
        <v>2019</v>
      </c>
      <c r="D106" s="178" t="s">
        <v>167</v>
      </c>
      <c r="E106" s="36" t="s">
        <v>269</v>
      </c>
      <c r="F106" s="36" t="s">
        <v>369</v>
      </c>
      <c r="G106" s="54" t="s">
        <v>36</v>
      </c>
      <c r="H106" s="53" t="s">
        <v>160</v>
      </c>
      <c r="I106" s="54" t="s">
        <v>159</v>
      </c>
      <c r="J106" s="54" t="s">
        <v>38</v>
      </c>
      <c r="K106" s="54" t="s">
        <v>161</v>
      </c>
      <c r="L106" s="53">
        <v>3</v>
      </c>
      <c r="N106" s="53">
        <v>1</v>
      </c>
      <c r="O106" s="53">
        <v>0.65</v>
      </c>
      <c r="P106" s="53">
        <v>0.75</v>
      </c>
      <c r="Q106" s="98">
        <f t="shared" si="5"/>
        <v>0.7</v>
      </c>
      <c r="R106" s="53">
        <v>17</v>
      </c>
      <c r="S106" s="53">
        <v>97</v>
      </c>
      <c r="T106" s="16">
        <f t="shared" si="6"/>
        <v>36</v>
      </c>
      <c r="U106" s="53">
        <v>85</v>
      </c>
      <c r="V106" s="16">
        <f t="shared" si="7"/>
        <v>3060</v>
      </c>
      <c r="W106" s="53">
        <v>8</v>
      </c>
      <c r="X106" s="54" t="s">
        <v>46</v>
      </c>
      <c r="Y106" s="54" t="s">
        <v>78</v>
      </c>
      <c r="Z106" s="54" t="s">
        <v>86</v>
      </c>
      <c r="AA106" s="54" t="s">
        <v>47</v>
      </c>
      <c r="AB106" s="54" t="s">
        <v>258</v>
      </c>
    </row>
    <row r="107" spans="1:28" x14ac:dyDescent="0.15">
      <c r="A107" s="54" t="s">
        <v>34</v>
      </c>
      <c r="B107" s="53" t="s">
        <v>232</v>
      </c>
      <c r="C107" s="53">
        <v>2019</v>
      </c>
      <c r="D107" s="178" t="s">
        <v>167</v>
      </c>
      <c r="E107" s="36" t="s">
        <v>269</v>
      </c>
      <c r="F107" s="36" t="s">
        <v>369</v>
      </c>
      <c r="G107" s="54" t="s">
        <v>36</v>
      </c>
      <c r="H107" s="53" t="s">
        <v>165</v>
      </c>
      <c r="I107" s="54" t="s">
        <v>159</v>
      </c>
      <c r="J107" s="54" t="s">
        <v>38</v>
      </c>
      <c r="K107" s="54" t="s">
        <v>161</v>
      </c>
      <c r="L107" s="54">
        <v>1</v>
      </c>
      <c r="N107" s="53">
        <v>5</v>
      </c>
      <c r="O107" s="53">
        <v>0.2</v>
      </c>
      <c r="P107" s="53">
        <v>0.2</v>
      </c>
      <c r="Q107" s="98">
        <f t="shared" si="5"/>
        <v>0.2</v>
      </c>
      <c r="R107" s="53">
        <v>16.600000000000001</v>
      </c>
      <c r="S107" s="53">
        <v>92</v>
      </c>
      <c r="T107" s="16">
        <f t="shared" si="6"/>
        <v>36</v>
      </c>
      <c r="U107" s="53">
        <v>429</v>
      </c>
      <c r="V107" s="16">
        <f t="shared" si="7"/>
        <v>3088.7999999999997</v>
      </c>
      <c r="W107" s="53">
        <v>2</v>
      </c>
      <c r="X107" s="54" t="s">
        <v>46</v>
      </c>
      <c r="Y107" s="54" t="s">
        <v>78</v>
      </c>
      <c r="Z107" s="54" t="s">
        <v>86</v>
      </c>
      <c r="AA107" s="54" t="s">
        <v>47</v>
      </c>
      <c r="AB107" s="54" t="s">
        <v>258</v>
      </c>
    </row>
    <row r="108" spans="1:28" x14ac:dyDescent="0.15">
      <c r="A108" s="54" t="s">
        <v>34</v>
      </c>
      <c r="B108" s="53" t="s">
        <v>232</v>
      </c>
      <c r="C108" s="53">
        <v>2019</v>
      </c>
      <c r="D108" s="178" t="s">
        <v>167</v>
      </c>
      <c r="E108" s="36" t="s">
        <v>269</v>
      </c>
      <c r="F108" s="36" t="s">
        <v>369</v>
      </c>
      <c r="G108" s="54" t="s">
        <v>36</v>
      </c>
      <c r="H108" s="53" t="s">
        <v>165</v>
      </c>
      <c r="I108" s="54" t="s">
        <v>159</v>
      </c>
      <c r="J108" s="54" t="s">
        <v>38</v>
      </c>
      <c r="K108" s="54" t="s">
        <v>161</v>
      </c>
      <c r="L108" s="53">
        <v>2</v>
      </c>
      <c r="N108" s="53">
        <v>5</v>
      </c>
      <c r="O108" s="53">
        <v>0.6</v>
      </c>
      <c r="P108" s="53">
        <v>0.6</v>
      </c>
      <c r="Q108" s="98">
        <f t="shared" si="5"/>
        <v>0.6</v>
      </c>
      <c r="R108" s="53">
        <v>16.600000000000001</v>
      </c>
      <c r="S108" s="53">
        <v>86</v>
      </c>
      <c r="T108" s="16">
        <f t="shared" si="6"/>
        <v>36</v>
      </c>
      <c r="U108" s="53">
        <v>429</v>
      </c>
      <c r="V108" s="16">
        <f t="shared" si="7"/>
        <v>3088.7999999999997</v>
      </c>
      <c r="W108" s="53">
        <v>2</v>
      </c>
      <c r="X108" s="54" t="s">
        <v>46</v>
      </c>
      <c r="Y108" s="54" t="s">
        <v>78</v>
      </c>
      <c r="Z108" s="54" t="s">
        <v>86</v>
      </c>
      <c r="AA108" s="54" t="s">
        <v>47</v>
      </c>
      <c r="AB108" s="54" t="s">
        <v>258</v>
      </c>
    </row>
    <row r="109" spans="1:28" x14ac:dyDescent="0.15">
      <c r="A109" s="54" t="s">
        <v>34</v>
      </c>
      <c r="B109" s="53" t="s">
        <v>232</v>
      </c>
      <c r="C109" s="53">
        <v>2019</v>
      </c>
      <c r="D109" s="178" t="s">
        <v>167</v>
      </c>
      <c r="E109" s="36" t="s">
        <v>269</v>
      </c>
      <c r="F109" s="36" t="s">
        <v>369</v>
      </c>
      <c r="G109" s="54" t="s">
        <v>36</v>
      </c>
      <c r="H109" s="53" t="s">
        <v>165</v>
      </c>
      <c r="I109" s="54" t="s">
        <v>159</v>
      </c>
      <c r="J109" s="54" t="s">
        <v>38</v>
      </c>
      <c r="K109" s="54" t="s">
        <v>161</v>
      </c>
      <c r="L109" s="53">
        <v>3</v>
      </c>
      <c r="N109" s="53">
        <v>5</v>
      </c>
      <c r="O109" s="53">
        <v>0.2</v>
      </c>
      <c r="P109" s="53">
        <v>0.2</v>
      </c>
      <c r="Q109" s="98">
        <f t="shared" si="5"/>
        <v>0.2</v>
      </c>
      <c r="R109" s="53">
        <v>16.8</v>
      </c>
      <c r="S109" s="53">
        <v>87</v>
      </c>
      <c r="T109" s="16">
        <f t="shared" si="6"/>
        <v>36</v>
      </c>
      <c r="U109" s="53">
        <v>429</v>
      </c>
      <c r="V109" s="16">
        <f t="shared" si="7"/>
        <v>3088.7999999999997</v>
      </c>
      <c r="W109" s="53">
        <v>2</v>
      </c>
      <c r="X109" s="54" t="s">
        <v>46</v>
      </c>
      <c r="Y109" s="54" t="s">
        <v>78</v>
      </c>
      <c r="Z109" s="54" t="s">
        <v>86</v>
      </c>
      <c r="AA109" s="54" t="s">
        <v>47</v>
      </c>
      <c r="AB109" s="54" t="s">
        <v>258</v>
      </c>
    </row>
    <row r="110" spans="1:28" x14ac:dyDescent="0.15">
      <c r="A110" s="54" t="s">
        <v>34</v>
      </c>
      <c r="B110" s="53" t="s">
        <v>232</v>
      </c>
      <c r="C110" s="53">
        <v>2019</v>
      </c>
      <c r="D110" s="178" t="s">
        <v>167</v>
      </c>
      <c r="E110" s="36" t="s">
        <v>269</v>
      </c>
      <c r="F110" s="36" t="s">
        <v>369</v>
      </c>
      <c r="G110" s="54" t="s">
        <v>36</v>
      </c>
      <c r="H110" s="53" t="s">
        <v>165</v>
      </c>
      <c r="I110" s="54" t="s">
        <v>159</v>
      </c>
      <c r="J110" s="54" t="s">
        <v>38</v>
      </c>
      <c r="K110" s="54" t="s">
        <v>161</v>
      </c>
      <c r="L110" s="54">
        <v>1</v>
      </c>
      <c r="N110" s="53">
        <v>1</v>
      </c>
      <c r="O110" s="53">
        <v>0.2</v>
      </c>
      <c r="P110" s="53">
        <v>0.2</v>
      </c>
      <c r="Q110" s="98">
        <f t="shared" si="5"/>
        <v>0.2</v>
      </c>
      <c r="R110" s="53">
        <v>17.2</v>
      </c>
      <c r="S110" s="53">
        <v>122</v>
      </c>
      <c r="T110" s="16">
        <f t="shared" si="6"/>
        <v>30</v>
      </c>
      <c r="U110" s="53">
        <v>138</v>
      </c>
      <c r="V110" s="16">
        <f t="shared" si="7"/>
        <v>4140</v>
      </c>
      <c r="W110" s="53">
        <v>2</v>
      </c>
      <c r="X110" s="54" t="s">
        <v>46</v>
      </c>
      <c r="Y110" s="54" t="s">
        <v>78</v>
      </c>
      <c r="Z110" s="54" t="s">
        <v>86</v>
      </c>
      <c r="AA110" s="54" t="s">
        <v>47</v>
      </c>
      <c r="AB110" s="54" t="s">
        <v>258</v>
      </c>
    </row>
    <row r="111" spans="1:28" x14ac:dyDescent="0.15">
      <c r="A111" s="54" t="s">
        <v>34</v>
      </c>
      <c r="B111" s="53" t="s">
        <v>232</v>
      </c>
      <c r="C111" s="53">
        <v>2019</v>
      </c>
      <c r="D111" s="178" t="s">
        <v>167</v>
      </c>
      <c r="E111" s="36" t="s">
        <v>269</v>
      </c>
      <c r="F111" s="36" t="s">
        <v>369</v>
      </c>
      <c r="G111" s="54" t="s">
        <v>36</v>
      </c>
      <c r="H111" s="53" t="s">
        <v>165</v>
      </c>
      <c r="I111" s="54" t="s">
        <v>159</v>
      </c>
      <c r="J111" s="54" t="s">
        <v>38</v>
      </c>
      <c r="K111" s="54" t="s">
        <v>161</v>
      </c>
      <c r="L111" s="53">
        <v>2</v>
      </c>
      <c r="N111" s="53">
        <v>1</v>
      </c>
      <c r="O111" s="53">
        <v>0.75</v>
      </c>
      <c r="P111" s="53">
        <v>0.75</v>
      </c>
      <c r="Q111" s="98">
        <f t="shared" si="5"/>
        <v>0.75</v>
      </c>
      <c r="R111" s="53">
        <v>16.899999999999999</v>
      </c>
      <c r="S111" s="53">
        <v>113</v>
      </c>
      <c r="T111" s="16">
        <f t="shared" si="6"/>
        <v>30</v>
      </c>
      <c r="U111" s="53">
        <v>138</v>
      </c>
      <c r="V111" s="16">
        <f t="shared" si="7"/>
        <v>4140</v>
      </c>
      <c r="W111" s="53">
        <v>2</v>
      </c>
      <c r="X111" s="54" t="s">
        <v>46</v>
      </c>
      <c r="Y111" s="54" t="s">
        <v>78</v>
      </c>
      <c r="Z111" s="54" t="s">
        <v>86</v>
      </c>
      <c r="AA111" s="54" t="s">
        <v>47</v>
      </c>
      <c r="AB111" s="54" t="s">
        <v>258</v>
      </c>
    </row>
    <row r="112" spans="1:28" x14ac:dyDescent="0.15">
      <c r="A112" s="54" t="s">
        <v>34</v>
      </c>
      <c r="B112" s="53" t="s">
        <v>232</v>
      </c>
      <c r="C112" s="53">
        <v>2019</v>
      </c>
      <c r="D112" s="178" t="s">
        <v>167</v>
      </c>
      <c r="E112" s="36" t="s">
        <v>269</v>
      </c>
      <c r="F112" s="36" t="s">
        <v>369</v>
      </c>
      <c r="G112" s="54" t="s">
        <v>36</v>
      </c>
      <c r="H112" s="53" t="s">
        <v>165</v>
      </c>
      <c r="I112" s="54" t="s">
        <v>159</v>
      </c>
      <c r="J112" s="54" t="s">
        <v>38</v>
      </c>
      <c r="K112" s="54" t="s">
        <v>161</v>
      </c>
      <c r="L112" s="53">
        <v>3</v>
      </c>
      <c r="N112" s="53">
        <v>1</v>
      </c>
      <c r="O112" s="53">
        <v>0.2</v>
      </c>
      <c r="P112" s="53">
        <v>0.2</v>
      </c>
      <c r="Q112" s="98">
        <f t="shared" si="5"/>
        <v>0.2</v>
      </c>
      <c r="R112" s="53">
        <v>17.600000000000001</v>
      </c>
      <c r="S112" s="53">
        <v>117</v>
      </c>
      <c r="T112" s="16">
        <f t="shared" si="6"/>
        <v>30</v>
      </c>
      <c r="U112" s="53">
        <v>138</v>
      </c>
      <c r="V112" s="16">
        <f t="shared" si="7"/>
        <v>4140</v>
      </c>
      <c r="W112" s="53">
        <v>2</v>
      </c>
      <c r="X112" s="54" t="s">
        <v>46</v>
      </c>
      <c r="Y112" s="54" t="s">
        <v>78</v>
      </c>
      <c r="Z112" s="54" t="s">
        <v>86</v>
      </c>
      <c r="AA112" s="54" t="s">
        <v>47</v>
      </c>
      <c r="AB112" s="54" t="s">
        <v>258</v>
      </c>
    </row>
    <row r="113" spans="1:28" x14ac:dyDescent="0.15">
      <c r="A113" s="54" t="s">
        <v>34</v>
      </c>
      <c r="B113" s="53" t="s">
        <v>232</v>
      </c>
      <c r="C113" s="53">
        <v>2019</v>
      </c>
      <c r="D113" s="178" t="s">
        <v>167</v>
      </c>
      <c r="E113" s="36" t="s">
        <v>269</v>
      </c>
      <c r="F113" s="36" t="s">
        <v>369</v>
      </c>
      <c r="G113" s="54" t="s">
        <v>36</v>
      </c>
      <c r="H113" s="53" t="s">
        <v>160</v>
      </c>
      <c r="I113" s="54" t="s">
        <v>159</v>
      </c>
      <c r="J113" s="54" t="s">
        <v>38</v>
      </c>
      <c r="K113" s="54" t="s">
        <v>161</v>
      </c>
      <c r="L113" s="54">
        <v>1</v>
      </c>
      <c r="N113" s="53">
        <v>6</v>
      </c>
      <c r="O113" s="53">
        <v>0.7</v>
      </c>
      <c r="P113" s="53">
        <v>0.6</v>
      </c>
      <c r="Q113" s="98">
        <f t="shared" si="5"/>
        <v>0.64999999999999991</v>
      </c>
      <c r="R113" s="53">
        <v>18.100000000000001</v>
      </c>
      <c r="S113" s="53">
        <v>100</v>
      </c>
      <c r="T113" s="16">
        <f t="shared" si="6"/>
        <v>33</v>
      </c>
      <c r="U113" s="53">
        <v>626</v>
      </c>
      <c r="V113" s="16">
        <f t="shared" si="7"/>
        <v>3443</v>
      </c>
      <c r="W113" s="53">
        <v>8</v>
      </c>
      <c r="X113" s="54" t="s">
        <v>46</v>
      </c>
      <c r="Y113" s="54" t="s">
        <v>78</v>
      </c>
      <c r="Z113" s="54" t="s">
        <v>86</v>
      </c>
      <c r="AA113" s="54" t="s">
        <v>47</v>
      </c>
      <c r="AB113" s="54" t="s">
        <v>258</v>
      </c>
    </row>
    <row r="114" spans="1:28" x14ac:dyDescent="0.15">
      <c r="A114" s="54" t="s">
        <v>34</v>
      </c>
      <c r="B114" s="53" t="s">
        <v>232</v>
      </c>
      <c r="C114" s="53">
        <v>2019</v>
      </c>
      <c r="D114" s="178" t="s">
        <v>167</v>
      </c>
      <c r="E114" s="36" t="s">
        <v>269</v>
      </c>
      <c r="F114" s="36" t="s">
        <v>369</v>
      </c>
      <c r="G114" s="54" t="s">
        <v>36</v>
      </c>
      <c r="H114" s="53" t="s">
        <v>160</v>
      </c>
      <c r="I114" s="54" t="s">
        <v>159</v>
      </c>
      <c r="J114" s="54" t="s">
        <v>38</v>
      </c>
      <c r="K114" s="54" t="s">
        <v>161</v>
      </c>
      <c r="L114" s="53">
        <v>2</v>
      </c>
      <c r="N114" s="53">
        <v>6</v>
      </c>
      <c r="O114" s="53">
        <v>0.75</v>
      </c>
      <c r="P114" s="53">
        <v>0.55000000000000004</v>
      </c>
      <c r="Q114" s="98">
        <f t="shared" si="5"/>
        <v>0.65</v>
      </c>
      <c r="R114" s="53">
        <v>17.8</v>
      </c>
      <c r="S114" s="53">
        <v>97</v>
      </c>
      <c r="T114" s="16">
        <f t="shared" si="6"/>
        <v>36</v>
      </c>
      <c r="U114" s="53">
        <v>626</v>
      </c>
      <c r="V114" s="16">
        <f t="shared" si="7"/>
        <v>3756</v>
      </c>
      <c r="W114" s="53">
        <v>8</v>
      </c>
      <c r="X114" s="54" t="s">
        <v>46</v>
      </c>
      <c r="Y114" s="54" t="s">
        <v>78</v>
      </c>
      <c r="Z114" s="54" t="s">
        <v>86</v>
      </c>
      <c r="AA114" s="54" t="s">
        <v>47</v>
      </c>
      <c r="AB114" s="54" t="s">
        <v>258</v>
      </c>
    </row>
    <row r="115" spans="1:28" x14ac:dyDescent="0.15">
      <c r="A115" s="54" t="s">
        <v>34</v>
      </c>
      <c r="B115" s="53" t="s">
        <v>232</v>
      </c>
      <c r="C115" s="53">
        <v>2019</v>
      </c>
      <c r="D115" s="178" t="s">
        <v>167</v>
      </c>
      <c r="E115" s="36" t="s">
        <v>269</v>
      </c>
      <c r="F115" s="36" t="s">
        <v>369</v>
      </c>
      <c r="G115" s="54" t="s">
        <v>36</v>
      </c>
      <c r="H115" s="53" t="s">
        <v>160</v>
      </c>
      <c r="I115" s="54" t="s">
        <v>159</v>
      </c>
      <c r="J115" s="54" t="s">
        <v>38</v>
      </c>
      <c r="K115" s="54" t="s">
        <v>161</v>
      </c>
      <c r="L115" s="53">
        <v>3</v>
      </c>
      <c r="N115" s="53">
        <v>6</v>
      </c>
      <c r="O115" s="53">
        <v>0.65</v>
      </c>
      <c r="P115" s="53">
        <v>0.65</v>
      </c>
      <c r="Q115" s="98">
        <f t="shared" si="5"/>
        <v>0.65</v>
      </c>
      <c r="R115" s="53">
        <v>17.899999999999999</v>
      </c>
      <c r="S115" s="53">
        <v>97</v>
      </c>
      <c r="T115" s="16">
        <f t="shared" si="6"/>
        <v>36</v>
      </c>
      <c r="U115" s="53">
        <v>626</v>
      </c>
      <c r="V115" s="16">
        <f t="shared" si="7"/>
        <v>3756</v>
      </c>
      <c r="W115" s="53">
        <v>8</v>
      </c>
      <c r="X115" s="54" t="s">
        <v>46</v>
      </c>
      <c r="Y115" s="54" t="s">
        <v>78</v>
      </c>
      <c r="Z115" s="54" t="s">
        <v>86</v>
      </c>
      <c r="AA115" s="54" t="s">
        <v>47</v>
      </c>
      <c r="AB115" s="54" t="s">
        <v>258</v>
      </c>
    </row>
    <row r="116" spans="1:28" x14ac:dyDescent="0.15">
      <c r="A116" s="54" t="s">
        <v>34</v>
      </c>
      <c r="B116" s="53" t="s">
        <v>232</v>
      </c>
      <c r="C116" s="53">
        <v>2019</v>
      </c>
      <c r="D116" s="178" t="s">
        <v>167</v>
      </c>
      <c r="E116" s="36" t="s">
        <v>269</v>
      </c>
      <c r="F116" s="36" t="s">
        <v>369</v>
      </c>
      <c r="G116" s="54" t="s">
        <v>36</v>
      </c>
      <c r="H116" s="53" t="s">
        <v>164</v>
      </c>
      <c r="I116" s="54" t="s">
        <v>159</v>
      </c>
      <c r="J116" s="54" t="s">
        <v>38</v>
      </c>
      <c r="K116" s="54" t="s">
        <v>161</v>
      </c>
      <c r="L116" s="54">
        <v>1</v>
      </c>
      <c r="N116" s="53">
        <v>4</v>
      </c>
      <c r="O116" s="53">
        <v>1.05</v>
      </c>
      <c r="P116" s="53">
        <v>0.95</v>
      </c>
      <c r="Q116" s="98">
        <f t="shared" si="5"/>
        <v>1</v>
      </c>
      <c r="R116" s="53">
        <v>20</v>
      </c>
      <c r="S116" s="53">
        <v>104</v>
      </c>
      <c r="T116" s="16">
        <f t="shared" si="6"/>
        <v>33</v>
      </c>
      <c r="U116" s="53">
        <v>537</v>
      </c>
      <c r="V116" s="16">
        <f t="shared" si="7"/>
        <v>4430.25</v>
      </c>
      <c r="W116" s="53">
        <v>2</v>
      </c>
      <c r="X116" s="54" t="s">
        <v>46</v>
      </c>
      <c r="Y116" s="54" t="s">
        <v>78</v>
      </c>
      <c r="Z116" s="54" t="s">
        <v>86</v>
      </c>
      <c r="AA116" s="54" t="s">
        <v>47</v>
      </c>
      <c r="AB116" s="54" t="s">
        <v>258</v>
      </c>
    </row>
    <row r="117" spans="1:28" x14ac:dyDescent="0.15">
      <c r="A117" s="54" t="s">
        <v>34</v>
      </c>
      <c r="B117" s="53" t="s">
        <v>232</v>
      </c>
      <c r="C117" s="53">
        <v>2019</v>
      </c>
      <c r="D117" s="178" t="s">
        <v>167</v>
      </c>
      <c r="E117" s="36" t="s">
        <v>269</v>
      </c>
      <c r="F117" s="36" t="s">
        <v>369</v>
      </c>
      <c r="G117" s="54" t="s">
        <v>36</v>
      </c>
      <c r="H117" s="53" t="s">
        <v>164</v>
      </c>
      <c r="I117" s="54" t="s">
        <v>159</v>
      </c>
      <c r="J117" s="54" t="s">
        <v>38</v>
      </c>
      <c r="K117" s="54" t="s">
        <v>161</v>
      </c>
      <c r="L117" s="53">
        <v>2</v>
      </c>
      <c r="N117" s="53">
        <v>4</v>
      </c>
      <c r="O117" s="53">
        <v>0.6</v>
      </c>
      <c r="P117" s="53">
        <v>0.7</v>
      </c>
      <c r="Q117" s="98">
        <f t="shared" si="5"/>
        <v>0.64999999999999991</v>
      </c>
      <c r="R117" s="53">
        <v>19.5</v>
      </c>
      <c r="S117" s="53">
        <v>94</v>
      </c>
      <c r="T117" s="16">
        <f t="shared" si="6"/>
        <v>36</v>
      </c>
      <c r="U117" s="53">
        <v>537</v>
      </c>
      <c r="V117" s="16">
        <f t="shared" si="7"/>
        <v>4833</v>
      </c>
      <c r="W117" s="53">
        <v>2</v>
      </c>
      <c r="X117" s="54" t="s">
        <v>46</v>
      </c>
      <c r="Y117" s="54" t="s">
        <v>78</v>
      </c>
      <c r="Z117" s="54" t="s">
        <v>86</v>
      </c>
      <c r="AA117" s="54" t="s">
        <v>47</v>
      </c>
      <c r="AB117" s="54" t="s">
        <v>258</v>
      </c>
    </row>
    <row r="118" spans="1:28" x14ac:dyDescent="0.15">
      <c r="A118" s="54" t="s">
        <v>34</v>
      </c>
      <c r="B118" s="53" t="s">
        <v>232</v>
      </c>
      <c r="C118" s="53">
        <v>2019</v>
      </c>
      <c r="D118" s="178" t="s">
        <v>167</v>
      </c>
      <c r="E118" s="36" t="s">
        <v>269</v>
      </c>
      <c r="F118" s="36" t="s">
        <v>369</v>
      </c>
      <c r="G118" s="54" t="s">
        <v>36</v>
      </c>
      <c r="H118" s="53" t="s">
        <v>164</v>
      </c>
      <c r="I118" s="54" t="s">
        <v>159</v>
      </c>
      <c r="J118" s="54" t="s">
        <v>38</v>
      </c>
      <c r="K118" s="54" t="s">
        <v>161</v>
      </c>
      <c r="L118" s="53">
        <v>3</v>
      </c>
      <c r="N118" s="53">
        <v>4</v>
      </c>
      <c r="O118" s="53">
        <v>0.6</v>
      </c>
      <c r="P118" s="53">
        <v>0.7</v>
      </c>
      <c r="Q118" s="98">
        <f t="shared" si="5"/>
        <v>0.64999999999999991</v>
      </c>
      <c r="R118" s="53">
        <v>17</v>
      </c>
      <c r="S118" s="53">
        <v>105</v>
      </c>
      <c r="T118" s="16">
        <f t="shared" si="6"/>
        <v>33</v>
      </c>
      <c r="U118" s="53">
        <v>537</v>
      </c>
      <c r="V118" s="16">
        <f t="shared" si="7"/>
        <v>4430.25</v>
      </c>
      <c r="W118" s="53">
        <v>2</v>
      </c>
      <c r="X118" s="54" t="s">
        <v>46</v>
      </c>
      <c r="Y118" s="54" t="s">
        <v>78</v>
      </c>
      <c r="Z118" s="54" t="s">
        <v>86</v>
      </c>
      <c r="AA118" s="54" t="s">
        <v>47</v>
      </c>
      <c r="AB118" s="54" t="s">
        <v>258</v>
      </c>
    </row>
    <row r="119" spans="1:28" x14ac:dyDescent="0.15">
      <c r="K119" s="54"/>
    </row>
    <row r="120" spans="1:28" x14ac:dyDescent="0.15">
      <c r="K120" s="54"/>
    </row>
    <row r="121" spans="1:28" x14ac:dyDescent="0.15">
      <c r="K121" s="54"/>
    </row>
    <row r="122" spans="1:28" x14ac:dyDescent="0.15">
      <c r="K122" s="54"/>
    </row>
    <row r="123" spans="1:28" x14ac:dyDescent="0.15">
      <c r="K123" s="54"/>
    </row>
    <row r="124" spans="1:28" x14ac:dyDescent="0.15">
      <c r="K124" s="54"/>
    </row>
    <row r="125" spans="1:28" x14ac:dyDescent="0.15">
      <c r="K125" s="54"/>
    </row>
    <row r="126" spans="1:28" x14ac:dyDescent="0.15">
      <c r="K126" s="54"/>
    </row>
    <row r="127" spans="1:28" x14ac:dyDescent="0.15">
      <c r="K127" s="54"/>
    </row>
    <row r="128" spans="1:28"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row r="451" spans="11:11" x14ac:dyDescent="0.15">
      <c r="K451" s="54"/>
    </row>
    <row r="452" spans="11:11" x14ac:dyDescent="0.15">
      <c r="K452" s="54"/>
    </row>
    <row r="453" spans="11:11" x14ac:dyDescent="0.15">
      <c r="K453" s="54"/>
    </row>
    <row r="454" spans="11:11" x14ac:dyDescent="0.15">
      <c r="K454" s="54"/>
    </row>
    <row r="455" spans="11:11" x14ac:dyDescent="0.15">
      <c r="K455" s="54"/>
    </row>
    <row r="456" spans="11:11" x14ac:dyDescent="0.15">
      <c r="K456" s="54"/>
    </row>
    <row r="457" spans="11:11" x14ac:dyDescent="0.15">
      <c r="K457" s="54"/>
    </row>
    <row r="458" spans="11:11" x14ac:dyDescent="0.15">
      <c r="K458" s="54"/>
    </row>
    <row r="459" spans="11:11" x14ac:dyDescent="0.15">
      <c r="K459" s="54"/>
    </row>
    <row r="460" spans="11:11" x14ac:dyDescent="0.15">
      <c r="K460" s="54"/>
    </row>
    <row r="461" spans="11:11" x14ac:dyDescent="0.15">
      <c r="K461" s="54"/>
    </row>
    <row r="462" spans="11:11" x14ac:dyDescent="0.15">
      <c r="K462" s="54"/>
    </row>
    <row r="463" spans="11:11" x14ac:dyDescent="0.15">
      <c r="K463" s="54"/>
    </row>
    <row r="464" spans="11:11" x14ac:dyDescent="0.15">
      <c r="K464" s="54"/>
    </row>
    <row r="465" spans="11:11" x14ac:dyDescent="0.15">
      <c r="K465" s="54"/>
    </row>
    <row r="466" spans="11:11" x14ac:dyDescent="0.15">
      <c r="K466" s="54"/>
    </row>
    <row r="467" spans="11:11" x14ac:dyDescent="0.15">
      <c r="K467" s="54"/>
    </row>
    <row r="468" spans="11:11" x14ac:dyDescent="0.15">
      <c r="K468" s="54"/>
    </row>
    <row r="469" spans="11:11" x14ac:dyDescent="0.15">
      <c r="K469" s="54"/>
    </row>
    <row r="470" spans="11:11" x14ac:dyDescent="0.15">
      <c r="K470" s="54"/>
    </row>
    <row r="471" spans="11:11" x14ac:dyDescent="0.15">
      <c r="K471" s="54"/>
    </row>
    <row r="472" spans="11:11" x14ac:dyDescent="0.15">
      <c r="K472" s="54"/>
    </row>
    <row r="473" spans="11:11" x14ac:dyDescent="0.15">
      <c r="K473" s="54"/>
    </row>
    <row r="474" spans="11:11" x14ac:dyDescent="0.15">
      <c r="K474" s="54"/>
    </row>
    <row r="475" spans="11:11" x14ac:dyDescent="0.15">
      <c r="K475" s="54"/>
    </row>
    <row r="476" spans="11:11" x14ac:dyDescent="0.15">
      <c r="K476" s="54"/>
    </row>
    <row r="477" spans="11:11" x14ac:dyDescent="0.15">
      <c r="K477" s="54"/>
    </row>
    <row r="478" spans="11:11" x14ac:dyDescent="0.15">
      <c r="K478" s="54"/>
    </row>
    <row r="479" spans="11:11" x14ac:dyDescent="0.15">
      <c r="K479" s="54"/>
    </row>
    <row r="480" spans="11:11" x14ac:dyDescent="0.15">
      <c r="K480" s="54"/>
    </row>
    <row r="481" spans="11:11" x14ac:dyDescent="0.15">
      <c r="K481" s="54"/>
    </row>
    <row r="482" spans="11:11" x14ac:dyDescent="0.15">
      <c r="K482" s="54"/>
    </row>
    <row r="483" spans="11:11" x14ac:dyDescent="0.15">
      <c r="K483" s="54"/>
    </row>
    <row r="484" spans="11:11" x14ac:dyDescent="0.15">
      <c r="K484" s="54"/>
    </row>
    <row r="485" spans="11:11" x14ac:dyDescent="0.15">
      <c r="K485" s="54"/>
    </row>
    <row r="486" spans="11:11" x14ac:dyDescent="0.15">
      <c r="K486" s="54"/>
    </row>
    <row r="487" spans="11:11" x14ac:dyDescent="0.15">
      <c r="K487" s="54"/>
    </row>
    <row r="488" spans="11:11" x14ac:dyDescent="0.15">
      <c r="K488" s="54"/>
    </row>
    <row r="489" spans="11:11" x14ac:dyDescent="0.15">
      <c r="K489" s="54"/>
    </row>
    <row r="490" spans="11:11" x14ac:dyDescent="0.15">
      <c r="K490" s="54"/>
    </row>
    <row r="491" spans="11:11" x14ac:dyDescent="0.15">
      <c r="K491" s="54"/>
    </row>
    <row r="492" spans="11:11" x14ac:dyDescent="0.15">
      <c r="K492" s="54"/>
    </row>
    <row r="493" spans="11:11" x14ac:dyDescent="0.15">
      <c r="K493" s="54"/>
    </row>
    <row r="494" spans="11:11" x14ac:dyDescent="0.15">
      <c r="K494" s="54"/>
    </row>
    <row r="495" spans="11:11" x14ac:dyDescent="0.15">
      <c r="K495" s="54"/>
    </row>
    <row r="496" spans="11:11" x14ac:dyDescent="0.15">
      <c r="K496" s="54"/>
    </row>
    <row r="497" spans="11:11" x14ac:dyDescent="0.15">
      <c r="K497" s="54"/>
    </row>
    <row r="498" spans="11:11" x14ac:dyDescent="0.15">
      <c r="K498" s="54"/>
    </row>
    <row r="499" spans="11:11" x14ac:dyDescent="0.15">
      <c r="K499" s="54"/>
    </row>
    <row r="500" spans="11:11" x14ac:dyDescent="0.15">
      <c r="K500" s="54"/>
    </row>
    <row r="501" spans="11:11" x14ac:dyDescent="0.15">
      <c r="K501" s="54"/>
    </row>
    <row r="502" spans="11:11" x14ac:dyDescent="0.15">
      <c r="K502" s="54"/>
    </row>
    <row r="503" spans="11:11" x14ac:dyDescent="0.15">
      <c r="K503" s="54"/>
    </row>
    <row r="504" spans="11:11" x14ac:dyDescent="0.15">
      <c r="K504" s="54"/>
    </row>
    <row r="505" spans="11:11" x14ac:dyDescent="0.15">
      <c r="K505" s="54"/>
    </row>
    <row r="506" spans="11:11" x14ac:dyDescent="0.15">
      <c r="K506" s="54"/>
    </row>
    <row r="507" spans="11:11" x14ac:dyDescent="0.15">
      <c r="K507" s="54"/>
    </row>
    <row r="508" spans="11:11" x14ac:dyDescent="0.15">
      <c r="K508" s="54"/>
    </row>
    <row r="509" spans="11:11" x14ac:dyDescent="0.15">
      <c r="K509" s="54"/>
    </row>
    <row r="510" spans="11:11" x14ac:dyDescent="0.15">
      <c r="K510" s="54"/>
    </row>
    <row r="511" spans="11:11" x14ac:dyDescent="0.15">
      <c r="K511" s="54"/>
    </row>
    <row r="512" spans="11:11" x14ac:dyDescent="0.15">
      <c r="K512" s="54"/>
    </row>
    <row r="513" spans="11:11" x14ac:dyDescent="0.15">
      <c r="K513" s="54"/>
    </row>
    <row r="514" spans="11:11" x14ac:dyDescent="0.15">
      <c r="K514" s="54"/>
    </row>
    <row r="515" spans="11:11" x14ac:dyDescent="0.15">
      <c r="K515" s="54"/>
    </row>
    <row r="516" spans="11:11" x14ac:dyDescent="0.15">
      <c r="K516" s="54"/>
    </row>
    <row r="517" spans="11:11" x14ac:dyDescent="0.15">
      <c r="K517" s="54"/>
    </row>
    <row r="518" spans="11:11" x14ac:dyDescent="0.15">
      <c r="K518" s="54"/>
    </row>
    <row r="519" spans="11:11" x14ac:dyDescent="0.15">
      <c r="K519" s="54"/>
    </row>
    <row r="520" spans="11:11" x14ac:dyDescent="0.15">
      <c r="K520" s="54"/>
    </row>
    <row r="521" spans="11:11" x14ac:dyDescent="0.15">
      <c r="K521" s="54"/>
    </row>
    <row r="522" spans="11:11" x14ac:dyDescent="0.15">
      <c r="K522" s="54"/>
    </row>
    <row r="523" spans="11:11" x14ac:dyDescent="0.15">
      <c r="K523" s="54"/>
    </row>
    <row r="524" spans="11:11" x14ac:dyDescent="0.15">
      <c r="K524" s="54"/>
    </row>
    <row r="525" spans="11:11" x14ac:dyDescent="0.15">
      <c r="K525" s="54"/>
    </row>
    <row r="526" spans="11:11" x14ac:dyDescent="0.15">
      <c r="K526" s="54"/>
    </row>
    <row r="527" spans="11:11" x14ac:dyDescent="0.15">
      <c r="K527" s="54"/>
    </row>
    <row r="528" spans="11:11" x14ac:dyDescent="0.15">
      <c r="K528" s="54"/>
    </row>
    <row r="529" spans="11:11" x14ac:dyDescent="0.15">
      <c r="K529" s="54"/>
    </row>
    <row r="530" spans="11:11" x14ac:dyDescent="0.15">
      <c r="K530" s="54"/>
    </row>
    <row r="531" spans="11:11" x14ac:dyDescent="0.15">
      <c r="K531" s="54"/>
    </row>
    <row r="532" spans="11:11" x14ac:dyDescent="0.15">
      <c r="K532" s="54"/>
    </row>
    <row r="533" spans="11:11" x14ac:dyDescent="0.15">
      <c r="K533" s="54"/>
    </row>
    <row r="534" spans="11:11" x14ac:dyDescent="0.15">
      <c r="K534" s="54"/>
    </row>
    <row r="535" spans="11:11" x14ac:dyDescent="0.15">
      <c r="K535" s="54"/>
    </row>
    <row r="536" spans="11:11" x14ac:dyDescent="0.15">
      <c r="K536" s="54"/>
    </row>
    <row r="537" spans="11:11" x14ac:dyDescent="0.15">
      <c r="K537" s="54"/>
    </row>
    <row r="538" spans="11:11" x14ac:dyDescent="0.15">
      <c r="K538" s="54"/>
    </row>
    <row r="539" spans="11:11" x14ac:dyDescent="0.15">
      <c r="K539" s="54"/>
    </row>
    <row r="540" spans="11:11" x14ac:dyDescent="0.15">
      <c r="K540" s="54"/>
    </row>
    <row r="541" spans="11:11" x14ac:dyDescent="0.15">
      <c r="K541" s="54"/>
    </row>
    <row r="542" spans="11:11" x14ac:dyDescent="0.15">
      <c r="K542" s="54"/>
    </row>
    <row r="543" spans="11:11" x14ac:dyDescent="0.15">
      <c r="K543" s="54"/>
    </row>
    <row r="544" spans="11:11" x14ac:dyDescent="0.15">
      <c r="K544" s="54"/>
    </row>
    <row r="545" spans="11:11" x14ac:dyDescent="0.15">
      <c r="K545" s="54"/>
    </row>
    <row r="546" spans="11:11" x14ac:dyDescent="0.15">
      <c r="K546" s="54"/>
    </row>
    <row r="547" spans="11:11" x14ac:dyDescent="0.15">
      <c r="K547" s="54"/>
    </row>
    <row r="548" spans="11:11" x14ac:dyDescent="0.15">
      <c r="K548" s="54"/>
    </row>
    <row r="549" spans="11:11" x14ac:dyDescent="0.15">
      <c r="K549" s="54"/>
    </row>
    <row r="550" spans="11:11" x14ac:dyDescent="0.15">
      <c r="K550" s="54"/>
    </row>
    <row r="551" spans="11:11" x14ac:dyDescent="0.15">
      <c r="K551" s="54"/>
    </row>
    <row r="552" spans="11:11" x14ac:dyDescent="0.15">
      <c r="K552" s="54"/>
    </row>
    <row r="553" spans="11:11" x14ac:dyDescent="0.15">
      <c r="K553" s="54"/>
    </row>
    <row r="554" spans="11:11" x14ac:dyDescent="0.15">
      <c r="K554" s="54"/>
    </row>
    <row r="555" spans="11:11" x14ac:dyDescent="0.15">
      <c r="K555" s="54"/>
    </row>
    <row r="556" spans="11:11" x14ac:dyDescent="0.15">
      <c r="K556" s="54"/>
    </row>
    <row r="557" spans="11:11" x14ac:dyDescent="0.15">
      <c r="K557" s="54"/>
    </row>
    <row r="558" spans="11:11" x14ac:dyDescent="0.15">
      <c r="K558" s="54"/>
    </row>
    <row r="559" spans="11:11" x14ac:dyDescent="0.15">
      <c r="K559" s="54"/>
    </row>
    <row r="560" spans="11:11" x14ac:dyDescent="0.15">
      <c r="K560" s="54"/>
    </row>
    <row r="561" spans="11:11" x14ac:dyDescent="0.15">
      <c r="K561" s="54"/>
    </row>
    <row r="562" spans="11:11" x14ac:dyDescent="0.15">
      <c r="K562" s="54"/>
    </row>
    <row r="563" spans="11:11" x14ac:dyDescent="0.15">
      <c r="K563" s="54"/>
    </row>
    <row r="564" spans="11:11" x14ac:dyDescent="0.15">
      <c r="K564" s="54"/>
    </row>
    <row r="565" spans="11:11" x14ac:dyDescent="0.15">
      <c r="K565" s="54"/>
    </row>
    <row r="566" spans="11:11" x14ac:dyDescent="0.15">
      <c r="K566" s="54"/>
    </row>
    <row r="567" spans="11:11" x14ac:dyDescent="0.15">
      <c r="K567" s="54"/>
    </row>
    <row r="568" spans="11:11" x14ac:dyDescent="0.15">
      <c r="K568" s="54"/>
    </row>
    <row r="569" spans="11:11" x14ac:dyDescent="0.15">
      <c r="K569" s="54"/>
    </row>
    <row r="570" spans="11:11" x14ac:dyDescent="0.15">
      <c r="K570" s="54"/>
    </row>
    <row r="571" spans="11:11" x14ac:dyDescent="0.15">
      <c r="K571" s="54"/>
    </row>
    <row r="572" spans="11:11" x14ac:dyDescent="0.15">
      <c r="K572" s="54"/>
    </row>
    <row r="573" spans="11:11" x14ac:dyDescent="0.15">
      <c r="K573" s="54"/>
    </row>
    <row r="574" spans="11:11" x14ac:dyDescent="0.15">
      <c r="K574" s="54"/>
    </row>
    <row r="575" spans="11:11" x14ac:dyDescent="0.15">
      <c r="K575" s="54"/>
    </row>
    <row r="576" spans="11:11" x14ac:dyDescent="0.15">
      <c r="K576" s="54"/>
    </row>
    <row r="577" spans="11:11" x14ac:dyDescent="0.15">
      <c r="K577" s="54"/>
    </row>
    <row r="578" spans="11:11" x14ac:dyDescent="0.15">
      <c r="K578" s="54"/>
    </row>
    <row r="579" spans="11:11" x14ac:dyDescent="0.15">
      <c r="K579" s="54"/>
    </row>
    <row r="580" spans="11:11" x14ac:dyDescent="0.15">
      <c r="K580" s="54"/>
    </row>
    <row r="581" spans="11:11" x14ac:dyDescent="0.15">
      <c r="K581" s="54"/>
    </row>
    <row r="582" spans="11:11" x14ac:dyDescent="0.15">
      <c r="K582" s="54"/>
    </row>
    <row r="583" spans="11:11" x14ac:dyDescent="0.15">
      <c r="K583" s="54"/>
    </row>
    <row r="584" spans="11:11" x14ac:dyDescent="0.15">
      <c r="K584" s="54"/>
    </row>
    <row r="585" spans="11:11" x14ac:dyDescent="0.15">
      <c r="K585" s="54"/>
    </row>
    <row r="586" spans="11:11" x14ac:dyDescent="0.15">
      <c r="K586" s="54"/>
    </row>
    <row r="587" spans="11:11" x14ac:dyDescent="0.15">
      <c r="K587" s="54"/>
    </row>
    <row r="588" spans="11:11" x14ac:dyDescent="0.15">
      <c r="K588" s="54"/>
    </row>
    <row r="589" spans="11:11" x14ac:dyDescent="0.15">
      <c r="K589" s="54"/>
    </row>
    <row r="590" spans="11:11" x14ac:dyDescent="0.15">
      <c r="K590" s="54"/>
    </row>
    <row r="591" spans="11:11" x14ac:dyDescent="0.15">
      <c r="K591" s="54"/>
    </row>
    <row r="592" spans="11:11" x14ac:dyDescent="0.15">
      <c r="K592" s="54"/>
    </row>
    <row r="593" spans="11:11" x14ac:dyDescent="0.15">
      <c r="K593" s="54"/>
    </row>
    <row r="594" spans="11:11" x14ac:dyDescent="0.15">
      <c r="K594" s="54"/>
    </row>
    <row r="595" spans="11:11" x14ac:dyDescent="0.15">
      <c r="K595" s="54"/>
    </row>
    <row r="596" spans="11:11" x14ac:dyDescent="0.15">
      <c r="K596" s="54"/>
    </row>
    <row r="597" spans="11:11" x14ac:dyDescent="0.15">
      <c r="K597" s="54"/>
    </row>
    <row r="598" spans="11:11" x14ac:dyDescent="0.15">
      <c r="K598" s="54"/>
    </row>
    <row r="599" spans="11:11" x14ac:dyDescent="0.15">
      <c r="K599" s="54"/>
    </row>
    <row r="600" spans="11:11" x14ac:dyDescent="0.15">
      <c r="K600" s="54"/>
    </row>
    <row r="601" spans="11:11" x14ac:dyDescent="0.15">
      <c r="K601" s="54"/>
    </row>
    <row r="602" spans="11:11" x14ac:dyDescent="0.15">
      <c r="K602" s="54"/>
    </row>
    <row r="603" spans="11:11" x14ac:dyDescent="0.15">
      <c r="K603" s="54"/>
    </row>
    <row r="604" spans="11:11" x14ac:dyDescent="0.15">
      <c r="K604" s="54"/>
    </row>
    <row r="605" spans="11:11" x14ac:dyDescent="0.15">
      <c r="K605" s="54"/>
    </row>
    <row r="606" spans="11:11" x14ac:dyDescent="0.15">
      <c r="K606" s="54"/>
    </row>
    <row r="607" spans="11:11" x14ac:dyDescent="0.15">
      <c r="K607" s="54"/>
    </row>
    <row r="608" spans="11:11" x14ac:dyDescent="0.15">
      <c r="K608" s="54"/>
    </row>
    <row r="609" spans="11:11" x14ac:dyDescent="0.15">
      <c r="K609" s="54"/>
    </row>
    <row r="610" spans="11:11" x14ac:dyDescent="0.15">
      <c r="K610" s="54"/>
    </row>
    <row r="611" spans="11:11" x14ac:dyDescent="0.15">
      <c r="K611" s="54"/>
    </row>
    <row r="612" spans="11:11" x14ac:dyDescent="0.15">
      <c r="K612" s="54"/>
    </row>
    <row r="613" spans="11:11" x14ac:dyDescent="0.15">
      <c r="K613" s="54"/>
    </row>
    <row r="614" spans="11:11" x14ac:dyDescent="0.15">
      <c r="K614" s="54"/>
    </row>
    <row r="615" spans="11:11" x14ac:dyDescent="0.15">
      <c r="K615" s="54"/>
    </row>
    <row r="616" spans="11:11" x14ac:dyDescent="0.15">
      <c r="K616" s="54"/>
    </row>
    <row r="617" spans="11:11" x14ac:dyDescent="0.15">
      <c r="K617" s="54"/>
    </row>
    <row r="618" spans="11:11" x14ac:dyDescent="0.15">
      <c r="K618" s="54"/>
    </row>
    <row r="619" spans="11:11" x14ac:dyDescent="0.15">
      <c r="K619" s="54"/>
    </row>
    <row r="620" spans="11:11" x14ac:dyDescent="0.15">
      <c r="K620" s="54"/>
    </row>
    <row r="621" spans="11:11" x14ac:dyDescent="0.15">
      <c r="K621" s="54"/>
    </row>
    <row r="622" spans="11:11" x14ac:dyDescent="0.15">
      <c r="K622" s="54"/>
    </row>
    <row r="623" spans="11:11" x14ac:dyDescent="0.15">
      <c r="K623" s="54"/>
    </row>
    <row r="624" spans="11:11" x14ac:dyDescent="0.15">
      <c r="K624" s="54"/>
    </row>
    <row r="625" spans="11:11" x14ac:dyDescent="0.15">
      <c r="K625" s="54"/>
    </row>
    <row r="626" spans="11:11" x14ac:dyDescent="0.15">
      <c r="K626" s="54"/>
    </row>
    <row r="627" spans="11:11" x14ac:dyDescent="0.15">
      <c r="K627" s="54"/>
    </row>
    <row r="628" spans="11:11" x14ac:dyDescent="0.15">
      <c r="K628" s="54"/>
    </row>
    <row r="629" spans="11:11" x14ac:dyDescent="0.15">
      <c r="K629" s="54"/>
    </row>
    <row r="630" spans="11:11" x14ac:dyDescent="0.15">
      <c r="K630" s="54"/>
    </row>
    <row r="631" spans="11:11" x14ac:dyDescent="0.15">
      <c r="K631" s="54"/>
    </row>
    <row r="632" spans="11:11" x14ac:dyDescent="0.15">
      <c r="K632" s="54"/>
    </row>
    <row r="633" spans="11:11" x14ac:dyDescent="0.15">
      <c r="K633" s="54"/>
    </row>
    <row r="634" spans="11:11" x14ac:dyDescent="0.15">
      <c r="K634" s="54"/>
    </row>
    <row r="635" spans="11:11" x14ac:dyDescent="0.15">
      <c r="K635" s="54"/>
    </row>
    <row r="636" spans="11:11" x14ac:dyDescent="0.15">
      <c r="K636" s="54"/>
    </row>
    <row r="637" spans="11:11" x14ac:dyDescent="0.15">
      <c r="K637" s="54"/>
    </row>
    <row r="638" spans="11:11" x14ac:dyDescent="0.15">
      <c r="K638" s="54"/>
    </row>
    <row r="639" spans="11:11" x14ac:dyDescent="0.15">
      <c r="K639" s="54"/>
    </row>
    <row r="640" spans="11:11" x14ac:dyDescent="0.15">
      <c r="K640" s="54"/>
    </row>
    <row r="641" spans="11:11" x14ac:dyDescent="0.15">
      <c r="K641" s="54"/>
    </row>
    <row r="642" spans="11:11" x14ac:dyDescent="0.15">
      <c r="K642" s="54"/>
    </row>
    <row r="643" spans="11:11" x14ac:dyDescent="0.15">
      <c r="K643" s="54"/>
    </row>
    <row r="644" spans="11:11" x14ac:dyDescent="0.15">
      <c r="K644" s="54"/>
    </row>
    <row r="645" spans="11:11" x14ac:dyDescent="0.15">
      <c r="K645" s="54"/>
    </row>
    <row r="646" spans="11:11" x14ac:dyDescent="0.15">
      <c r="K646" s="54"/>
    </row>
    <row r="647" spans="11:11" x14ac:dyDescent="0.15">
      <c r="K647" s="54"/>
    </row>
    <row r="648" spans="11:11" x14ac:dyDescent="0.15">
      <c r="K648" s="54"/>
    </row>
    <row r="649" spans="11:11" x14ac:dyDescent="0.15">
      <c r="K649" s="54"/>
    </row>
    <row r="650" spans="11:11" x14ac:dyDescent="0.15">
      <c r="K650" s="54"/>
    </row>
    <row r="651" spans="11:11" x14ac:dyDescent="0.15">
      <c r="K651" s="54"/>
    </row>
    <row r="652" spans="11:11" x14ac:dyDescent="0.15">
      <c r="K652" s="54"/>
    </row>
    <row r="653" spans="11:11" x14ac:dyDescent="0.15">
      <c r="K653" s="54"/>
    </row>
    <row r="654" spans="11:11" x14ac:dyDescent="0.15">
      <c r="K654" s="54"/>
    </row>
    <row r="655" spans="11:11" x14ac:dyDescent="0.15">
      <c r="K655" s="54"/>
    </row>
    <row r="656" spans="11:11" x14ac:dyDescent="0.15">
      <c r="K656" s="54"/>
    </row>
    <row r="657" spans="11:11" x14ac:dyDescent="0.15">
      <c r="K657" s="54"/>
    </row>
    <row r="658" spans="11:11" x14ac:dyDescent="0.15">
      <c r="K658" s="54"/>
    </row>
    <row r="659" spans="11:11" x14ac:dyDescent="0.15">
      <c r="K659" s="54"/>
    </row>
    <row r="660" spans="11:11" x14ac:dyDescent="0.15">
      <c r="K660" s="54"/>
    </row>
    <row r="661" spans="11:11" x14ac:dyDescent="0.15">
      <c r="K661" s="54"/>
    </row>
    <row r="662" spans="11:11" x14ac:dyDescent="0.15">
      <c r="K662" s="54"/>
    </row>
    <row r="663" spans="11:11" x14ac:dyDescent="0.15">
      <c r="K663" s="54"/>
    </row>
    <row r="664" spans="11:11" x14ac:dyDescent="0.15">
      <c r="K664" s="54"/>
    </row>
    <row r="665" spans="11:11" x14ac:dyDescent="0.15">
      <c r="K665" s="54"/>
    </row>
    <row r="666" spans="11:11" x14ac:dyDescent="0.15">
      <c r="K666" s="54"/>
    </row>
    <row r="667" spans="11:11" x14ac:dyDescent="0.15">
      <c r="K667" s="54"/>
    </row>
    <row r="668" spans="11:11" x14ac:dyDescent="0.15">
      <c r="K668" s="54"/>
    </row>
    <row r="669" spans="11:11" x14ac:dyDescent="0.15">
      <c r="K669" s="54"/>
    </row>
    <row r="670" spans="11:11" x14ac:dyDescent="0.15">
      <c r="K670" s="54"/>
    </row>
    <row r="671" spans="11:11" x14ac:dyDescent="0.15">
      <c r="K671" s="54"/>
    </row>
    <row r="672" spans="11:11" x14ac:dyDescent="0.15">
      <c r="K672" s="54"/>
    </row>
    <row r="673" spans="11:11" x14ac:dyDescent="0.15">
      <c r="K673" s="54"/>
    </row>
    <row r="674" spans="11:11" x14ac:dyDescent="0.15">
      <c r="K674" s="54"/>
    </row>
    <row r="675" spans="11:11" x14ac:dyDescent="0.15">
      <c r="K675" s="54"/>
    </row>
    <row r="676" spans="11:11" x14ac:dyDescent="0.15">
      <c r="K676" s="54"/>
    </row>
    <row r="677" spans="11:11" x14ac:dyDescent="0.15">
      <c r="K677" s="54"/>
    </row>
    <row r="678" spans="11:11" x14ac:dyDescent="0.15">
      <c r="K678" s="54"/>
    </row>
    <row r="679" spans="11:11" x14ac:dyDescent="0.15">
      <c r="K679" s="54"/>
    </row>
    <row r="680" spans="11:11" x14ac:dyDescent="0.15">
      <c r="K680" s="54"/>
    </row>
    <row r="681" spans="11:11" x14ac:dyDescent="0.15">
      <c r="K681" s="54"/>
    </row>
    <row r="682" spans="11:11" x14ac:dyDescent="0.15">
      <c r="K682" s="54"/>
    </row>
    <row r="683" spans="11:11" x14ac:dyDescent="0.15">
      <c r="K683" s="54"/>
    </row>
    <row r="684" spans="11:11" x14ac:dyDescent="0.15">
      <c r="K684" s="54"/>
    </row>
    <row r="685" spans="11:11" x14ac:dyDescent="0.15">
      <c r="K685" s="54"/>
    </row>
    <row r="686" spans="11:11" x14ac:dyDescent="0.15">
      <c r="K686" s="54"/>
    </row>
    <row r="687" spans="11:11" x14ac:dyDescent="0.15">
      <c r="K687" s="54"/>
    </row>
    <row r="688" spans="11:11" x14ac:dyDescent="0.15">
      <c r="K688" s="54"/>
    </row>
    <row r="689" spans="11:11" x14ac:dyDescent="0.15">
      <c r="K689" s="54"/>
    </row>
    <row r="690" spans="11:11" x14ac:dyDescent="0.15">
      <c r="K690" s="54"/>
    </row>
    <row r="691" spans="11:11" x14ac:dyDescent="0.15">
      <c r="K691" s="54"/>
    </row>
    <row r="692" spans="11:11" x14ac:dyDescent="0.15">
      <c r="K692" s="54"/>
    </row>
    <row r="693" spans="11:11" x14ac:dyDescent="0.15">
      <c r="K693" s="54"/>
    </row>
    <row r="694" spans="11:11" x14ac:dyDescent="0.15">
      <c r="K694" s="54"/>
    </row>
    <row r="695" spans="11:11" x14ac:dyDescent="0.15">
      <c r="K695" s="54"/>
    </row>
    <row r="696" spans="11:11" x14ac:dyDescent="0.15">
      <c r="K696" s="54"/>
    </row>
    <row r="697" spans="11:11" x14ac:dyDescent="0.15">
      <c r="K697" s="54"/>
    </row>
    <row r="698" spans="11:11" x14ac:dyDescent="0.15">
      <c r="K698" s="54"/>
    </row>
    <row r="699" spans="11:11" x14ac:dyDescent="0.15">
      <c r="K699" s="54"/>
    </row>
    <row r="700" spans="11:11" x14ac:dyDescent="0.15">
      <c r="K700" s="54"/>
    </row>
    <row r="701" spans="11:11" x14ac:dyDescent="0.15">
      <c r="K701" s="54"/>
    </row>
    <row r="702" spans="11:11" x14ac:dyDescent="0.15">
      <c r="K702" s="54"/>
    </row>
    <row r="703" spans="11:11" x14ac:dyDescent="0.15">
      <c r="K703" s="54"/>
    </row>
    <row r="704" spans="11:11" x14ac:dyDescent="0.15">
      <c r="K704" s="54"/>
    </row>
    <row r="705" spans="11:11" x14ac:dyDescent="0.15">
      <c r="K705" s="54"/>
    </row>
    <row r="706" spans="11:11" x14ac:dyDescent="0.15">
      <c r="K706" s="54"/>
    </row>
    <row r="707" spans="11:11" x14ac:dyDescent="0.15">
      <c r="K707" s="54"/>
    </row>
    <row r="708" spans="11:11" x14ac:dyDescent="0.15">
      <c r="K708" s="54"/>
    </row>
    <row r="709" spans="11:11" x14ac:dyDescent="0.15">
      <c r="K709" s="54"/>
    </row>
    <row r="710" spans="11:11" x14ac:dyDescent="0.15">
      <c r="K710" s="54"/>
    </row>
    <row r="711" spans="11:11" x14ac:dyDescent="0.15">
      <c r="K711" s="54"/>
    </row>
    <row r="712" spans="11:11" x14ac:dyDescent="0.15">
      <c r="K712" s="54"/>
    </row>
    <row r="713" spans="11:11" x14ac:dyDescent="0.15">
      <c r="K713" s="54"/>
    </row>
    <row r="714" spans="11:11" x14ac:dyDescent="0.15">
      <c r="K714" s="54"/>
    </row>
    <row r="715" spans="11:11" x14ac:dyDescent="0.15">
      <c r="K715" s="54"/>
    </row>
    <row r="716" spans="11:11" x14ac:dyDescent="0.15">
      <c r="K716" s="54"/>
    </row>
    <row r="717" spans="11:11" x14ac:dyDescent="0.15">
      <c r="K717" s="54"/>
    </row>
    <row r="718" spans="11:11" x14ac:dyDescent="0.15">
      <c r="K718" s="54"/>
    </row>
    <row r="719" spans="11:11" x14ac:dyDescent="0.15">
      <c r="K719" s="54"/>
    </row>
    <row r="720" spans="11:11" x14ac:dyDescent="0.15">
      <c r="K720" s="54"/>
    </row>
    <row r="721" spans="11:11" x14ac:dyDescent="0.15">
      <c r="K721" s="54"/>
    </row>
    <row r="722" spans="11:11" x14ac:dyDescent="0.15">
      <c r="K722" s="54"/>
    </row>
    <row r="723" spans="11:11" x14ac:dyDescent="0.15">
      <c r="K723" s="54"/>
    </row>
    <row r="724" spans="11:11" x14ac:dyDescent="0.15">
      <c r="K724" s="54"/>
    </row>
    <row r="725" spans="11:11" x14ac:dyDescent="0.15">
      <c r="K725" s="54"/>
    </row>
    <row r="726" spans="11:11" x14ac:dyDescent="0.15">
      <c r="K726" s="54"/>
    </row>
    <row r="727" spans="11:11" x14ac:dyDescent="0.15">
      <c r="K727" s="54"/>
    </row>
    <row r="728" spans="11:11" x14ac:dyDescent="0.15">
      <c r="K728" s="54"/>
    </row>
    <row r="729" spans="11:11" x14ac:dyDescent="0.15">
      <c r="K729" s="54"/>
    </row>
    <row r="730" spans="11:11" x14ac:dyDescent="0.15">
      <c r="K730" s="54"/>
    </row>
    <row r="731" spans="11:11" x14ac:dyDescent="0.15">
      <c r="K731" s="54"/>
    </row>
    <row r="732" spans="11:11" x14ac:dyDescent="0.15">
      <c r="K732" s="54"/>
    </row>
    <row r="733" spans="11:11" x14ac:dyDescent="0.15">
      <c r="K733" s="54"/>
    </row>
    <row r="734" spans="11:11" x14ac:dyDescent="0.15">
      <c r="K734" s="54"/>
    </row>
    <row r="735" spans="11:11" x14ac:dyDescent="0.15">
      <c r="K735" s="54"/>
    </row>
    <row r="736" spans="11:11" x14ac:dyDescent="0.15">
      <c r="K736" s="54"/>
    </row>
    <row r="737" spans="11:11" x14ac:dyDescent="0.15">
      <c r="K737" s="54"/>
    </row>
    <row r="738" spans="11:11" x14ac:dyDescent="0.15">
      <c r="K738" s="54"/>
    </row>
    <row r="739" spans="11:11" x14ac:dyDescent="0.15">
      <c r="K739" s="54"/>
    </row>
    <row r="740" spans="11:11" x14ac:dyDescent="0.15">
      <c r="K740" s="54"/>
    </row>
    <row r="741" spans="11:11" x14ac:dyDescent="0.15">
      <c r="K741" s="54"/>
    </row>
    <row r="742" spans="11:11" x14ac:dyDescent="0.15">
      <c r="K742" s="54"/>
    </row>
    <row r="743" spans="11:11" x14ac:dyDescent="0.15">
      <c r="K743" s="54"/>
    </row>
    <row r="744" spans="11:11" x14ac:dyDescent="0.15">
      <c r="K744" s="54"/>
    </row>
  </sheetData>
  <autoFilter ref="A1:BA82" xr:uid="{00000000-0009-0000-0000-000000000000}"/>
  <phoneticPr fontId="3"/>
  <dataValidations count="12">
    <dataValidation type="list" allowBlank="1" showInputMessage="1" showErrorMessage="1" sqref="K2:K744" xr:uid="{B5566FE8-6377-4193-A4A4-E319E8E935B3}">
      <formula1>$AR$2:$AR$23</formula1>
    </dataValidation>
    <dataValidation type="list" allowBlank="1" showInputMessage="1" showErrorMessage="1" sqref="A2:A431" xr:uid="{D76610BB-EFC4-4A21-A0BA-5046C757CBF3}">
      <formula1>$AE$2:$AE$19</formula1>
    </dataValidation>
    <dataValidation type="list" allowBlank="1" showInputMessage="1" showErrorMessage="1" sqref="Y2:AA432" xr:uid="{3B44F95A-3F5F-4595-AA0E-982BE54D1E34}">
      <formula1>$AV$2:$AV$21</formula1>
    </dataValidation>
    <dataValidation type="list" allowBlank="1" showInputMessage="1" showErrorMessage="1" sqref="H2:H432" xr:uid="{20D0E0B3-FBBE-4D50-973B-60CBDF809466}">
      <formula1>$AL$2:$AL$8</formula1>
    </dataValidation>
    <dataValidation type="list" allowBlank="1" showInputMessage="1" showErrorMessage="1" sqref="X2:X432" xr:uid="{CDA92704-12E1-4D85-9F76-76521E875BB4}">
      <formula1>$AT$2:$AT$3</formula1>
    </dataValidation>
    <dataValidation type="list" allowBlank="1" showInputMessage="1" showErrorMessage="1" sqref="G2:G432" xr:uid="{66AF5106-5794-4C00-A88E-1B294A6D64C0}">
      <formula1>$AJ$2:$AJ$4</formula1>
    </dataValidation>
    <dataValidation type="list" allowBlank="1" showInputMessage="1" showErrorMessage="1" sqref="I2:I432" xr:uid="{F0046425-9611-420B-87AF-0F34D20107E5}">
      <formula1>$AN$5:$AN$6</formula1>
    </dataValidation>
    <dataValidation type="list" allowBlank="1" showInputMessage="1" showErrorMessage="1" sqref="J2:J432" xr:uid="{9ED2C3C5-5D60-447C-B318-64306B8254F9}">
      <formula1>$AP$2:$AP$24</formula1>
    </dataValidation>
    <dataValidation type="list" allowBlank="1" showInputMessage="1" showErrorMessage="1" sqref="F2:F432" xr:uid="{991B8529-EF03-4BD8-9CC1-64DF16B208AC}">
      <formula1>$AH$2:$AH$11</formula1>
    </dataValidation>
    <dataValidation type="list" allowBlank="1" showInputMessage="1" showErrorMessage="1" sqref="E2:E432" xr:uid="{1B8A162C-26AE-44B3-ADED-A2F013E11A60}">
      <formula1>$AG$2:$AG$11</formula1>
    </dataValidation>
    <dataValidation type="decimal" allowBlank="1" showInputMessage="1" showErrorMessage="1" error="硬度を正しく入力して下さい。" sqref="O2:P49 O59:P432" xr:uid="{968F71AA-EDB9-4ED0-BEC9-EB986E1297B1}">
      <formula1>0</formula1>
      <formula2>7</formula2>
    </dataValidation>
    <dataValidation operator="equal" allowBlank="1" showInputMessage="1" showErrorMessage="1" sqref="B2:B118" xr:uid="{A614A0B5-6973-45DB-8140-DDFDB76B5BDA}"/>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94F9C5-906A-4000-AB81-E76848449106}"/>
</file>

<file path=customXml/itemProps2.xml><?xml version="1.0" encoding="utf-8"?>
<ds:datastoreItem xmlns:ds="http://schemas.openxmlformats.org/officeDocument/2006/customXml" ds:itemID="{A4C8DF08-02A2-4A30-B2FC-7F2C9A6245CC}"/>
</file>

<file path=customXml/itemProps3.xml><?xml version="1.0" encoding="utf-8"?>
<ds:datastoreItem xmlns:ds="http://schemas.openxmlformats.org/officeDocument/2006/customXml" ds:itemID="{E682E469-9EEA-4324-86AE-CD4ACB962CA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2019-05-20T03:29:20Z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