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001"/>
  <workbookPr defaultThemeVersion="124226"/>
  <mc:AlternateContent xmlns:mc="http://schemas.openxmlformats.org/markup-compatibility/2006">
    <mc:Choice Requires="x15">
      <x15ac:absPath xmlns:x15ac="http://schemas.microsoft.com/office/spreadsheetml/2010/11/ac" url="\\192.168.11.200\000_全国共有\2-Zespri\品質調査\2020品質調査\29週\"/>
    </mc:Choice>
  </mc:AlternateContent>
  <xr:revisionPtr revIDLastSave="0" documentId="13_ncr:1_{6F25E525-5B3A-40AE-B468-088E951EE614}" xr6:coauthVersionLast="45" xr6:coauthVersionMax="45" xr10:uidLastSave="{00000000-0000-0000-0000-000000000000}"/>
  <bookViews>
    <workbookView xWindow="-120" yWindow="-120" windowWidth="29040" windowHeight="15840" xr2:uid="{00000000-000D-0000-FFFF-FFFF00000000}"/>
  </bookViews>
  <sheets>
    <sheet name="sapporo" sheetId="28" r:id="rId1"/>
    <sheet name="miyagi" sheetId="24" r:id="rId2"/>
    <sheet name="nagoya" sheetId="30" r:id="rId3"/>
    <sheet name="osaka" sheetId="29" r:id="rId4"/>
    <sheet name="hiroshima" sheetId="27" r:id="rId5"/>
    <sheet name="fukuoka" sheetId="26" r:id="rId6"/>
    <sheet name="tokyo-west(ota)" sheetId="23" r:id="rId7"/>
    <sheet name="tokyo-east(konishi)" sheetId="25" r:id="rId8"/>
  </sheets>
  <definedNames>
    <definedName name="_xlnm._FilterDatabase" localSheetId="5" hidden="1">fukuoka!$A$1:$BA$152</definedName>
    <definedName name="_xlnm._FilterDatabase" localSheetId="4" hidden="1">hiroshima!$A$1:$BA$130</definedName>
    <definedName name="_xlnm._FilterDatabase" localSheetId="1" hidden="1">miyagi!$A$1:$BA$136</definedName>
    <definedName name="_xlnm._FilterDatabase" localSheetId="2" hidden="1">nagoya!$A$1:$BA$145</definedName>
    <definedName name="_xlnm._FilterDatabase" localSheetId="3" hidden="1">osaka!$A$1:$BA$162</definedName>
    <definedName name="_xlnm._FilterDatabase" localSheetId="0" hidden="1">sapporo!$A$1:$BA$120</definedName>
    <definedName name="_xlnm._FilterDatabase" localSheetId="7" hidden="1">'tokyo-east(konishi)'!$A$1:$BA$175</definedName>
    <definedName name="_xlnm._FilterDatabase" localSheetId="6" hidden="1">'tokyo-west(ota)'!$A$1:$BA$220</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7">#REF!</definedName>
    <definedName name="aaa" localSheetId="6">#REF!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7">#REF!</definedName>
    <definedName name="Brand" localSheetId="6">#REF!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7">#REF!</definedName>
    <definedName name="District" localSheetId="6">#REF!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7">#REF!</definedName>
    <definedName name="Fruit" localSheetId="6">#REF!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7">#REF!</definedName>
    <definedName name="GoldSIZE" localSheetId="6">#REF!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7">#REF!</definedName>
    <definedName name="GreenSIZE" localSheetId="6">#REF!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7">#REF!</definedName>
    <definedName name="GrowingMethod" localSheetId="6">#REF!</definedName>
    <definedName name="GrowingMethod">#REF!</definedName>
    <definedName name="hiroshima" localSheetId="5">#REF!</definedName>
    <definedName name="hiroshima" localSheetId="4">#REF!</definedName>
    <definedName name="hiroshima" localSheetId="1">#REF!</definedName>
    <definedName name="hiroshima" localSheetId="2">#REF!</definedName>
    <definedName name="hiroshima" localSheetId="3">#REF!</definedName>
    <definedName name="hiroshima" localSheetId="0">#REF!</definedName>
    <definedName name="hiroshima" localSheetId="7">#REF!</definedName>
    <definedName name="hiroshima">#REF!</definedName>
    <definedName name="kk" localSheetId="5">#REF!</definedName>
    <definedName name="kk" localSheetId="4">#REF!</definedName>
    <definedName name="kk" localSheetId="1">#REF!</definedName>
    <definedName name="kk" localSheetId="2">#REF!</definedName>
    <definedName name="kk" localSheetId="3">#REF!</definedName>
    <definedName name="kk" localSheetId="0">#REF!</definedName>
    <definedName name="kk" localSheetId="7">#REF!</definedName>
    <definedName name="kk" localSheetId="6">#REF!</definedName>
    <definedName name="kk">#REF!</definedName>
    <definedName name="ｌｌｌｌｌ" localSheetId="5">#REF!</definedName>
    <definedName name="ｌｌｌｌｌ" localSheetId="4">#REF!</definedName>
    <definedName name="ｌｌｌｌｌ" localSheetId="1">#REF!</definedName>
    <definedName name="ｌｌｌｌｌ" localSheetId="2">#REF!</definedName>
    <definedName name="ｌｌｌｌｌ" localSheetId="3">#REF!</definedName>
    <definedName name="ｌｌｌｌｌ" localSheetId="0">#REF!</definedName>
    <definedName name="ｌｌｌｌｌ" localSheetId="7">#REF!</definedName>
    <definedName name="ｌｌｌｌｌ">#REF!</definedName>
    <definedName name="miyagi" localSheetId="5">#REF!</definedName>
    <definedName name="miyagi" localSheetId="4">#REF!</definedName>
    <definedName name="miyagi" localSheetId="1">#REF!</definedName>
    <definedName name="miyagi" localSheetId="2">#REF!</definedName>
    <definedName name="miyagi" localSheetId="3">#REF!</definedName>
    <definedName name="miyagi" localSheetId="0">#REF!</definedName>
    <definedName name="miyagi" localSheetId="7">#REF!</definedName>
    <definedName name="miyagi">#REF!</definedName>
    <definedName name="miyagi2" localSheetId="5">#REF!</definedName>
    <definedName name="miyagi2" localSheetId="4">#REF!</definedName>
    <definedName name="miyagi2" localSheetId="1">#REF!</definedName>
    <definedName name="miyagi2" localSheetId="2">#REF!</definedName>
    <definedName name="miyagi2" localSheetId="3">#REF!</definedName>
    <definedName name="miyagi2" localSheetId="0">#REF!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7">#REF!</definedName>
    <definedName name="Origin" localSheetId="6">#REF!</definedName>
    <definedName name="Origin">#REF!</definedName>
    <definedName name="_xlnm.Print_Area" localSheetId="4">hiroshima!$E$1:$S$75</definedName>
    <definedName name="_xlnm.Print_Area" localSheetId="6">'tokyo-west(ota)'!$A$1:$AH$49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7">#REF!</definedName>
    <definedName name="Shelf" localSheetId="6">#REF!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7">#REF!</definedName>
    <definedName name="Shop" localSheetId="6">#REF!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7">#REF!</definedName>
    <definedName name="ShopName1" localSheetId="6">#REF!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7">#REF!</definedName>
    <definedName name="ShopName2" localSheetId="6">#REF!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7">#REF!</definedName>
    <definedName name="Variety" localSheetId="6">#REF!</definedName>
    <definedName name="Variety">#REF!</definedName>
    <definedName name="yaginuma" localSheetId="5">#REF!</definedName>
    <definedName name="yaginuma" localSheetId="4">#REF!</definedName>
    <definedName name="yaginuma" localSheetId="1">#REF!</definedName>
    <definedName name="yaginuma" localSheetId="2">#REF!</definedName>
    <definedName name="yaginuma" localSheetId="3">#REF!</definedName>
    <definedName name="yaginuma" localSheetId="0">#REF!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7">#REF!</definedName>
    <definedName name="検索店舗名" localSheetId="6">#REF!</definedName>
    <definedName name="検索店舗名">#REF!</definedName>
    <definedName name="栽培方法" localSheetId="2">nagoya!$AN$1:$AN$6</definedName>
    <definedName name="栽培方法" localSheetId="3">#REF!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7">#REF!</definedName>
    <definedName name="販売ユニット個数" localSheetId="6">#REF!</definedName>
    <definedName name="販売ユニット個数">#REF!</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T127" i="30" l="1"/>
  <c r="V127" i="30" s="1"/>
  <c r="Q127" i="30"/>
  <c r="T126" i="30"/>
  <c r="V126" i="30" s="1"/>
  <c r="Q126" i="30"/>
  <c r="T125" i="30"/>
  <c r="V125" i="30" s="1"/>
  <c r="Q125" i="30"/>
  <c r="T124" i="30"/>
  <c r="V124" i="30" s="1"/>
  <c r="Q124" i="30"/>
  <c r="T123" i="30"/>
  <c r="V123" i="30" s="1"/>
  <c r="Q123" i="30"/>
  <c r="T122" i="30"/>
  <c r="V122" i="30" s="1"/>
  <c r="Q122" i="30"/>
  <c r="T121" i="30"/>
  <c r="V121" i="30" s="1"/>
  <c r="Q121" i="30"/>
  <c r="T120" i="30"/>
  <c r="V120" i="30" s="1"/>
  <c r="Q120" i="30"/>
  <c r="T119" i="30"/>
  <c r="V119" i="30" s="1"/>
  <c r="Q119" i="30"/>
  <c r="T118" i="30"/>
  <c r="V118" i="30" s="1"/>
  <c r="Q118" i="30"/>
  <c r="T117" i="30"/>
  <c r="V117" i="30" s="1"/>
  <c r="Q117" i="30"/>
  <c r="T116" i="30"/>
  <c r="V116" i="30" s="1"/>
  <c r="Q116" i="30"/>
  <c r="T115" i="30"/>
  <c r="V115" i="30" s="1"/>
  <c r="Q115" i="30"/>
  <c r="T114" i="30"/>
  <c r="V114" i="30" s="1"/>
  <c r="Q114" i="30"/>
  <c r="T113" i="30"/>
  <c r="V113" i="30" s="1"/>
  <c r="Q113" i="30"/>
  <c r="T112" i="30"/>
  <c r="V112" i="30" s="1"/>
  <c r="Q112" i="30"/>
  <c r="T111" i="30"/>
  <c r="V111" i="30" s="1"/>
  <c r="Q111" i="30"/>
  <c r="T110" i="30"/>
  <c r="V110" i="30" s="1"/>
  <c r="Q110" i="30"/>
  <c r="T109" i="30"/>
  <c r="V109" i="30" s="1"/>
  <c r="Q109" i="30"/>
  <c r="T108" i="30"/>
  <c r="V108" i="30" s="1"/>
  <c r="Q108" i="30"/>
  <c r="T107" i="30"/>
  <c r="V107" i="30" s="1"/>
  <c r="Q107" i="30"/>
  <c r="T106" i="30"/>
  <c r="V106" i="30" s="1"/>
  <c r="Q106" i="30"/>
  <c r="T105" i="30"/>
  <c r="V105" i="30" s="1"/>
  <c r="Q105" i="30"/>
  <c r="T104" i="30"/>
  <c r="V104" i="30" s="1"/>
  <c r="Q104" i="30"/>
  <c r="T103" i="30"/>
  <c r="V103" i="30" s="1"/>
  <c r="Q103" i="30"/>
  <c r="T102" i="30"/>
  <c r="V102" i="30" s="1"/>
  <c r="Q102" i="30"/>
  <c r="T101" i="30"/>
  <c r="V101" i="30" s="1"/>
  <c r="Q101" i="30"/>
  <c r="T100" i="30"/>
  <c r="V100" i="30" s="1"/>
  <c r="Q100" i="30"/>
  <c r="T99" i="30"/>
  <c r="V99" i="30" s="1"/>
  <c r="Q99" i="30"/>
  <c r="T98" i="30"/>
  <c r="V98" i="30" s="1"/>
  <c r="Q98" i="30"/>
  <c r="T97" i="30"/>
  <c r="V97" i="30" s="1"/>
  <c r="Q97" i="30"/>
  <c r="T96" i="30"/>
  <c r="V96" i="30" s="1"/>
  <c r="Q96" i="30"/>
  <c r="T95" i="30"/>
  <c r="V95" i="30" s="1"/>
  <c r="Q95" i="30"/>
  <c r="T94" i="30"/>
  <c r="V94" i="30" s="1"/>
  <c r="Q94" i="30"/>
  <c r="T93" i="30"/>
  <c r="V93" i="30" s="1"/>
  <c r="Q93" i="30"/>
  <c r="T92" i="30"/>
  <c r="V92" i="30" s="1"/>
  <c r="Q92" i="30"/>
  <c r="T91" i="30"/>
  <c r="V91" i="30" s="1"/>
  <c r="Q91" i="30"/>
  <c r="T90" i="30"/>
  <c r="V90" i="30" s="1"/>
  <c r="Q90" i="30"/>
  <c r="T89" i="30"/>
  <c r="V89" i="30" s="1"/>
  <c r="Q89" i="30"/>
  <c r="T88" i="30"/>
  <c r="V88" i="30" s="1"/>
  <c r="Q88" i="30"/>
  <c r="T87" i="30"/>
  <c r="V87" i="30" s="1"/>
  <c r="Q87" i="30"/>
  <c r="T86" i="30"/>
  <c r="V86" i="30" s="1"/>
  <c r="Q86" i="30"/>
  <c r="T85" i="30"/>
  <c r="V85" i="30" s="1"/>
  <c r="Q85" i="30"/>
  <c r="T84" i="30"/>
  <c r="V84" i="30" s="1"/>
  <c r="Q84" i="30"/>
  <c r="T83" i="30"/>
  <c r="V83" i="30" s="1"/>
  <c r="Q83" i="30"/>
  <c r="T82" i="30"/>
  <c r="V82" i="30" s="1"/>
  <c r="Q82" i="30"/>
  <c r="T81" i="30"/>
  <c r="V81" i="30" s="1"/>
  <c r="Q81" i="30"/>
  <c r="T80" i="30"/>
  <c r="V80" i="30" s="1"/>
  <c r="Q80" i="30"/>
  <c r="T79" i="30"/>
  <c r="V79" i="30" s="1"/>
  <c r="Q79" i="30"/>
  <c r="T78" i="30"/>
  <c r="V78" i="30" s="1"/>
  <c r="Q78" i="30"/>
  <c r="T77" i="30"/>
  <c r="V77" i="30" s="1"/>
  <c r="Q77" i="30"/>
  <c r="T76" i="30"/>
  <c r="V76" i="30" s="1"/>
  <c r="Q76" i="30"/>
  <c r="T75" i="30"/>
  <c r="V75" i="30" s="1"/>
  <c r="Q75" i="30"/>
  <c r="T74" i="30"/>
  <c r="V74" i="30" s="1"/>
  <c r="Q74" i="30"/>
  <c r="T73" i="30"/>
  <c r="V73" i="30" s="1"/>
  <c r="Q73" i="30"/>
  <c r="T72" i="30"/>
  <c r="V72" i="30" s="1"/>
  <c r="Q72" i="30"/>
  <c r="T71" i="30"/>
  <c r="V71" i="30" s="1"/>
  <c r="Q71" i="30"/>
  <c r="T70" i="30"/>
  <c r="V70" i="30" s="1"/>
  <c r="Q70" i="30"/>
  <c r="T69" i="30"/>
  <c r="V69" i="30" s="1"/>
  <c r="Q69" i="30"/>
  <c r="T68" i="30"/>
  <c r="V68" i="30" s="1"/>
  <c r="Q68" i="30"/>
  <c r="T67" i="30"/>
  <c r="V67" i="30" s="1"/>
  <c r="Q67" i="30"/>
  <c r="T66" i="30"/>
  <c r="V66" i="30" s="1"/>
  <c r="Q66" i="30"/>
  <c r="T65" i="30"/>
  <c r="V65" i="30" s="1"/>
  <c r="Q65" i="30"/>
  <c r="T64" i="30"/>
  <c r="V64" i="30" s="1"/>
  <c r="Q64" i="30"/>
  <c r="T63" i="30"/>
  <c r="V63" i="30" s="1"/>
  <c r="Q63" i="30"/>
  <c r="T62" i="30"/>
  <c r="V62" i="30" s="1"/>
  <c r="Q62" i="30"/>
  <c r="T61" i="30"/>
  <c r="V61" i="30" s="1"/>
  <c r="Q61" i="30"/>
  <c r="T60" i="30"/>
  <c r="V60" i="30" s="1"/>
  <c r="Q60" i="30"/>
  <c r="T59" i="30"/>
  <c r="V59" i="30" s="1"/>
  <c r="Q59" i="30"/>
  <c r="T58" i="30"/>
  <c r="V58" i="30" s="1"/>
  <c r="Q58" i="30"/>
  <c r="T57" i="30"/>
  <c r="V57" i="30" s="1"/>
  <c r="Q57" i="30"/>
  <c r="T56" i="30"/>
  <c r="V56" i="30" s="1"/>
  <c r="Q56" i="30"/>
  <c r="T55" i="30"/>
  <c r="V55" i="30" s="1"/>
  <c r="Q55" i="30"/>
  <c r="T54" i="30"/>
  <c r="V54" i="30" s="1"/>
  <c r="Q54" i="30"/>
  <c r="T53" i="30"/>
  <c r="V53" i="30" s="1"/>
  <c r="Q53" i="30"/>
  <c r="T52" i="30"/>
  <c r="V52" i="30" s="1"/>
  <c r="Q52" i="30"/>
  <c r="T51" i="30"/>
  <c r="V51" i="30" s="1"/>
  <c r="Q51" i="30"/>
  <c r="T50" i="30"/>
  <c r="V50" i="30" s="1"/>
  <c r="Q50" i="30"/>
  <c r="T49" i="30"/>
  <c r="V49" i="30" s="1"/>
  <c r="Q49" i="30"/>
  <c r="T48" i="30"/>
  <c r="V48" i="30" s="1"/>
  <c r="Q48" i="30"/>
  <c r="T47" i="30"/>
  <c r="V47" i="30" s="1"/>
  <c r="Q47" i="30"/>
  <c r="T46" i="30"/>
  <c r="V46" i="30" s="1"/>
  <c r="Q46" i="30"/>
  <c r="T45" i="30"/>
  <c r="V45" i="30" s="1"/>
  <c r="Q45" i="30"/>
  <c r="T44" i="30"/>
  <c r="V44" i="30" s="1"/>
  <c r="Q44" i="30"/>
  <c r="T43" i="30"/>
  <c r="V43" i="30" s="1"/>
  <c r="Q43" i="30"/>
  <c r="T42" i="30"/>
  <c r="V42" i="30" s="1"/>
  <c r="Q42" i="30"/>
  <c r="T41" i="30"/>
  <c r="V41" i="30" s="1"/>
  <c r="Q41" i="30"/>
  <c r="T40" i="30"/>
  <c r="V40" i="30" s="1"/>
  <c r="Q40" i="30"/>
  <c r="T39" i="30"/>
  <c r="V39" i="30" s="1"/>
  <c r="Q39" i="30"/>
  <c r="T38" i="30"/>
  <c r="V38" i="30" s="1"/>
  <c r="Q38" i="30"/>
  <c r="T37" i="30"/>
  <c r="V37" i="30" s="1"/>
  <c r="Q37" i="30"/>
  <c r="T36" i="30"/>
  <c r="V36" i="30" s="1"/>
  <c r="Q36" i="30"/>
  <c r="T35" i="30"/>
  <c r="V35" i="30" s="1"/>
  <c r="Q35" i="30"/>
  <c r="T34" i="30"/>
  <c r="V34" i="30" s="1"/>
  <c r="Q34" i="30"/>
  <c r="T33" i="30"/>
  <c r="V33" i="30" s="1"/>
  <c r="Q33" i="30"/>
  <c r="T32" i="30"/>
  <c r="V32" i="30" s="1"/>
  <c r="Q32" i="30"/>
  <c r="T31" i="30"/>
  <c r="V31" i="30" s="1"/>
  <c r="Q31" i="30"/>
  <c r="T30" i="30"/>
  <c r="V30" i="30" s="1"/>
  <c r="Q30" i="30"/>
  <c r="T29" i="30"/>
  <c r="V29" i="30" s="1"/>
  <c r="Q29" i="30"/>
  <c r="T28" i="30"/>
  <c r="V28" i="30" s="1"/>
  <c r="Q28" i="30"/>
  <c r="T27" i="30"/>
  <c r="V27" i="30" s="1"/>
  <c r="Q27" i="30"/>
  <c r="T26" i="30"/>
  <c r="V26" i="30" s="1"/>
  <c r="Q26" i="30"/>
  <c r="T25" i="30"/>
  <c r="V25" i="30" s="1"/>
  <c r="Q25" i="30"/>
  <c r="T24" i="30"/>
  <c r="V24" i="30" s="1"/>
  <c r="Q24" i="30"/>
  <c r="T23" i="30"/>
  <c r="V23" i="30" s="1"/>
  <c r="Q23" i="30"/>
  <c r="T22" i="30"/>
  <c r="V22" i="30" s="1"/>
  <c r="Q22" i="30"/>
  <c r="T21" i="30"/>
  <c r="V21" i="30" s="1"/>
  <c r="Q21" i="30"/>
  <c r="T20" i="30"/>
  <c r="V20" i="30" s="1"/>
  <c r="Q20" i="30"/>
  <c r="T19" i="30"/>
  <c r="V19" i="30" s="1"/>
  <c r="Q19" i="30"/>
  <c r="T18" i="30"/>
  <c r="V18" i="30" s="1"/>
  <c r="Q18" i="30"/>
  <c r="T17" i="30"/>
  <c r="V17" i="30" s="1"/>
  <c r="Q17" i="30"/>
  <c r="T16" i="30"/>
  <c r="V16" i="30" s="1"/>
  <c r="Q16" i="30"/>
  <c r="T15" i="30"/>
  <c r="V15" i="30" s="1"/>
  <c r="Q15" i="30"/>
  <c r="T14" i="30"/>
  <c r="V14" i="30" s="1"/>
  <c r="Q14" i="30"/>
  <c r="T13" i="30"/>
  <c r="V13" i="30" s="1"/>
  <c r="Q13" i="30"/>
  <c r="T12" i="30"/>
  <c r="V12" i="30" s="1"/>
  <c r="Q12" i="30"/>
  <c r="T11" i="30"/>
  <c r="V11" i="30" s="1"/>
  <c r="Q11" i="30"/>
  <c r="T10" i="30"/>
  <c r="V10" i="30" s="1"/>
  <c r="Q10" i="30"/>
  <c r="T9" i="30"/>
  <c r="V9" i="30" s="1"/>
  <c r="Q9" i="30"/>
  <c r="T8" i="30"/>
  <c r="V8" i="30" s="1"/>
  <c r="Q8" i="30"/>
  <c r="T7" i="30"/>
  <c r="V7" i="30" s="1"/>
  <c r="Q7" i="30"/>
  <c r="T6" i="30"/>
  <c r="V6" i="30" s="1"/>
  <c r="Q6" i="30"/>
  <c r="T5" i="30"/>
  <c r="V5" i="30" s="1"/>
  <c r="Q5" i="30"/>
  <c r="T4" i="30"/>
  <c r="V4" i="30" s="1"/>
  <c r="Q4" i="30"/>
  <c r="T3" i="30"/>
  <c r="V3" i="30" s="1"/>
  <c r="Q3" i="30"/>
  <c r="T2" i="30"/>
  <c r="V2" i="30" s="1"/>
  <c r="Q2" i="30"/>
  <c r="T151" i="29" l="1"/>
  <c r="V151" i="29" s="1"/>
  <c r="Q151" i="29"/>
  <c r="T150" i="29"/>
  <c r="V150" i="29" s="1"/>
  <c r="Q150" i="29"/>
  <c r="T149" i="29"/>
  <c r="V149" i="29" s="1"/>
  <c r="Q149" i="29"/>
  <c r="T148" i="29"/>
  <c r="V148" i="29" s="1"/>
  <c r="Q148" i="29"/>
  <c r="T147" i="29"/>
  <c r="V147" i="29" s="1"/>
  <c r="Q147" i="29"/>
  <c r="T146" i="29"/>
  <c r="V146" i="29" s="1"/>
  <c r="Q146" i="29"/>
  <c r="T145" i="29"/>
  <c r="V145" i="29" s="1"/>
  <c r="Q145" i="29"/>
  <c r="T144" i="29"/>
  <c r="V144" i="29" s="1"/>
  <c r="Q144" i="29"/>
  <c r="T143" i="29"/>
  <c r="V143" i="29" s="1"/>
  <c r="Q143" i="29"/>
  <c r="T142" i="29"/>
  <c r="V142" i="29" s="1"/>
  <c r="Q142" i="29"/>
  <c r="T141" i="29"/>
  <c r="V141" i="29" s="1"/>
  <c r="Q141" i="29"/>
  <c r="T140" i="29"/>
  <c r="V140" i="29" s="1"/>
  <c r="Q140" i="29"/>
  <c r="T139" i="29"/>
  <c r="V139" i="29" s="1"/>
  <c r="Q139" i="29"/>
  <c r="T138" i="29"/>
  <c r="V138" i="29" s="1"/>
  <c r="Q138" i="29"/>
  <c r="T137" i="29"/>
  <c r="V137" i="29" s="1"/>
  <c r="Q137" i="29"/>
  <c r="T136" i="29"/>
  <c r="V136" i="29" s="1"/>
  <c r="Q136" i="29"/>
  <c r="T135" i="29"/>
  <c r="V135" i="29" s="1"/>
  <c r="Q135" i="29"/>
  <c r="T134" i="29"/>
  <c r="V134" i="29" s="1"/>
  <c r="Q134" i="29"/>
  <c r="T133" i="29"/>
  <c r="V133" i="29" s="1"/>
  <c r="Q133" i="29"/>
  <c r="T132" i="29"/>
  <c r="V132" i="29" s="1"/>
  <c r="Q132" i="29"/>
  <c r="T131" i="29"/>
  <c r="V131" i="29" s="1"/>
  <c r="Q131" i="29"/>
  <c r="T130" i="29"/>
  <c r="V130" i="29" s="1"/>
  <c r="Q130" i="29"/>
  <c r="T129" i="29"/>
  <c r="V129" i="29" s="1"/>
  <c r="Q129" i="29"/>
  <c r="T128" i="29"/>
  <c r="V128" i="29" s="1"/>
  <c r="Q128" i="29"/>
  <c r="T127" i="29"/>
  <c r="V127" i="29" s="1"/>
  <c r="Q127" i="29"/>
  <c r="T126" i="29"/>
  <c r="V126" i="29" s="1"/>
  <c r="Q126" i="29"/>
  <c r="T125" i="29"/>
  <c r="V125" i="29" s="1"/>
  <c r="Q125" i="29"/>
  <c r="T124" i="29"/>
  <c r="V124" i="29" s="1"/>
  <c r="Q124" i="29"/>
  <c r="T123" i="29"/>
  <c r="V123" i="29" s="1"/>
  <c r="Q123" i="29"/>
  <c r="T122" i="29"/>
  <c r="V122" i="29" s="1"/>
  <c r="Q122" i="29"/>
  <c r="T121" i="29"/>
  <c r="V121" i="29" s="1"/>
  <c r="Q121" i="29"/>
  <c r="T120" i="29"/>
  <c r="V120" i="29" s="1"/>
  <c r="Q120" i="29"/>
  <c r="T119" i="29"/>
  <c r="V119" i="29" s="1"/>
  <c r="Q119" i="29"/>
  <c r="T118" i="29"/>
  <c r="V118" i="29" s="1"/>
  <c r="Q118" i="29"/>
  <c r="T117" i="29"/>
  <c r="V117" i="29" s="1"/>
  <c r="Q117" i="29"/>
  <c r="T116" i="29"/>
  <c r="V116" i="29" s="1"/>
  <c r="Q116" i="29"/>
  <c r="T115" i="29"/>
  <c r="V115" i="29" s="1"/>
  <c r="Q115" i="29"/>
  <c r="T114" i="29"/>
  <c r="V114" i="29" s="1"/>
  <c r="Q114" i="29"/>
  <c r="T113" i="29"/>
  <c r="V113" i="29" s="1"/>
  <c r="Q113" i="29"/>
  <c r="T112" i="29"/>
  <c r="V112" i="29" s="1"/>
  <c r="Q112" i="29"/>
  <c r="T111" i="29"/>
  <c r="V111" i="29" s="1"/>
  <c r="Q111" i="29"/>
  <c r="T110" i="29"/>
  <c r="V110" i="29" s="1"/>
  <c r="Q110" i="29"/>
  <c r="T109" i="29"/>
  <c r="V109" i="29" s="1"/>
  <c r="Q109" i="29"/>
  <c r="T108" i="29"/>
  <c r="V108" i="29" s="1"/>
  <c r="Q108" i="29"/>
  <c r="T107" i="29"/>
  <c r="V107" i="29" s="1"/>
  <c r="Q107" i="29"/>
  <c r="T106" i="29"/>
  <c r="V106" i="29" s="1"/>
  <c r="Q106" i="29"/>
  <c r="T105" i="29"/>
  <c r="V105" i="29" s="1"/>
  <c r="Q105" i="29"/>
  <c r="T104" i="29"/>
  <c r="V104" i="29" s="1"/>
  <c r="Q104" i="29"/>
  <c r="T103" i="29"/>
  <c r="V103" i="29" s="1"/>
  <c r="Q103" i="29"/>
  <c r="T102" i="29"/>
  <c r="V102" i="29" s="1"/>
  <c r="Q102" i="29"/>
  <c r="T101" i="29"/>
  <c r="V101" i="29" s="1"/>
  <c r="Q101" i="29"/>
  <c r="T100" i="29"/>
  <c r="V100" i="29" s="1"/>
  <c r="Q100" i="29"/>
  <c r="T99" i="29"/>
  <c r="V99" i="29" s="1"/>
  <c r="Q99" i="29"/>
  <c r="T98" i="29"/>
  <c r="V98" i="29" s="1"/>
  <c r="Q98" i="29"/>
  <c r="T97" i="29"/>
  <c r="V97" i="29" s="1"/>
  <c r="Q97" i="29"/>
  <c r="T96" i="29"/>
  <c r="V96" i="29" s="1"/>
  <c r="Q96" i="29"/>
  <c r="T95" i="29"/>
  <c r="V95" i="29" s="1"/>
  <c r="Q95" i="29"/>
  <c r="T94" i="29"/>
  <c r="V94" i="29" s="1"/>
  <c r="Q94" i="29"/>
  <c r="T93" i="29"/>
  <c r="V93" i="29" s="1"/>
  <c r="Q93" i="29"/>
  <c r="T92" i="29"/>
  <c r="V92" i="29" s="1"/>
  <c r="Q92" i="29"/>
  <c r="T91" i="29"/>
  <c r="V91" i="29" s="1"/>
  <c r="Q91" i="29"/>
  <c r="T90" i="29"/>
  <c r="V90" i="29" s="1"/>
  <c r="Q90" i="29"/>
  <c r="T89" i="29"/>
  <c r="V89" i="29" s="1"/>
  <c r="Q89" i="29"/>
  <c r="T88" i="29"/>
  <c r="V88" i="29" s="1"/>
  <c r="Q88" i="29"/>
  <c r="T87" i="29"/>
  <c r="V87" i="29" s="1"/>
  <c r="Q87" i="29"/>
  <c r="T86" i="29"/>
  <c r="V86" i="29" s="1"/>
  <c r="Q86" i="29"/>
  <c r="T85" i="29"/>
  <c r="V85" i="29" s="1"/>
  <c r="Q85" i="29"/>
  <c r="T84" i="29"/>
  <c r="V84" i="29" s="1"/>
  <c r="Q84" i="29"/>
  <c r="T83" i="29"/>
  <c r="V83" i="29" s="1"/>
  <c r="Q83" i="29"/>
  <c r="T82" i="29"/>
  <c r="V82" i="29" s="1"/>
  <c r="Q82" i="29"/>
  <c r="T81" i="29"/>
  <c r="V81" i="29" s="1"/>
  <c r="Q81" i="29"/>
  <c r="T80" i="29"/>
  <c r="V80" i="29" s="1"/>
  <c r="Q80" i="29"/>
  <c r="T79" i="29"/>
  <c r="V79" i="29" s="1"/>
  <c r="Q79" i="29"/>
  <c r="T78" i="29"/>
  <c r="V78" i="29" s="1"/>
  <c r="Q78" i="29"/>
  <c r="T77" i="29"/>
  <c r="V77" i="29" s="1"/>
  <c r="Q77" i="29"/>
  <c r="T76" i="29"/>
  <c r="V76" i="29" s="1"/>
  <c r="Q76" i="29"/>
  <c r="T75" i="29"/>
  <c r="V75" i="29" s="1"/>
  <c r="Q75" i="29"/>
  <c r="T74" i="29"/>
  <c r="V74" i="29" s="1"/>
  <c r="Q74" i="29"/>
  <c r="T73" i="29"/>
  <c r="V73" i="29" s="1"/>
  <c r="Q73" i="29"/>
  <c r="T72" i="29"/>
  <c r="V72" i="29" s="1"/>
  <c r="Q72" i="29"/>
  <c r="T71" i="29"/>
  <c r="V71" i="29" s="1"/>
  <c r="Q71" i="29"/>
  <c r="T70" i="29"/>
  <c r="V70" i="29" s="1"/>
  <c r="Q70" i="29"/>
  <c r="T69" i="29"/>
  <c r="V69" i="29" s="1"/>
  <c r="Q69" i="29"/>
  <c r="T68" i="29"/>
  <c r="V68" i="29" s="1"/>
  <c r="Q68" i="29"/>
  <c r="T67" i="29"/>
  <c r="V67" i="29" s="1"/>
  <c r="Q67" i="29"/>
  <c r="T66" i="29"/>
  <c r="V66" i="29" s="1"/>
  <c r="Q66" i="29"/>
  <c r="T65" i="29"/>
  <c r="V65" i="29" s="1"/>
  <c r="Q65" i="29"/>
  <c r="T64" i="29"/>
  <c r="V64" i="29" s="1"/>
  <c r="Q64" i="29"/>
  <c r="T63" i="29"/>
  <c r="V63" i="29" s="1"/>
  <c r="Q63" i="29"/>
  <c r="T62" i="29"/>
  <c r="V62" i="29" s="1"/>
  <c r="Q62" i="29"/>
  <c r="T61" i="29"/>
  <c r="V61" i="29" s="1"/>
  <c r="Q61" i="29"/>
  <c r="T60" i="29"/>
  <c r="V60" i="29" s="1"/>
  <c r="Q60" i="29"/>
  <c r="T59" i="29"/>
  <c r="V59" i="29" s="1"/>
  <c r="Q59" i="29"/>
  <c r="T58" i="29"/>
  <c r="V58" i="29" s="1"/>
  <c r="Q58" i="29"/>
  <c r="T57" i="29"/>
  <c r="V57" i="29" s="1"/>
  <c r="Q57" i="29"/>
  <c r="T56" i="29"/>
  <c r="V56" i="29" s="1"/>
  <c r="Q56" i="29"/>
  <c r="T55" i="29"/>
  <c r="V55" i="29" s="1"/>
  <c r="Q55" i="29"/>
  <c r="T54" i="29"/>
  <c r="V54" i="29" s="1"/>
  <c r="Q54" i="29"/>
  <c r="T53" i="29"/>
  <c r="V53" i="29" s="1"/>
  <c r="Q53" i="29"/>
  <c r="T52" i="29"/>
  <c r="V52" i="29" s="1"/>
  <c r="Q52" i="29"/>
  <c r="T51" i="29"/>
  <c r="V51" i="29" s="1"/>
  <c r="Q51" i="29"/>
  <c r="T50" i="29"/>
  <c r="V50" i="29" s="1"/>
  <c r="Q50" i="29"/>
  <c r="T49" i="29"/>
  <c r="V49" i="29" s="1"/>
  <c r="Q49" i="29"/>
  <c r="T48" i="29"/>
  <c r="V48" i="29" s="1"/>
  <c r="Q48" i="29"/>
  <c r="T47" i="29"/>
  <c r="V47" i="29" s="1"/>
  <c r="Q47" i="29"/>
  <c r="T46" i="29"/>
  <c r="V46" i="29" s="1"/>
  <c r="Q46" i="29"/>
  <c r="T45" i="29"/>
  <c r="V45" i="29" s="1"/>
  <c r="Q45" i="29"/>
  <c r="T44" i="29"/>
  <c r="V44" i="29" s="1"/>
  <c r="Q44" i="29"/>
  <c r="T43" i="29"/>
  <c r="V43" i="29" s="1"/>
  <c r="Q43" i="29"/>
  <c r="T42" i="29"/>
  <c r="V42" i="29" s="1"/>
  <c r="Q42" i="29"/>
  <c r="T41" i="29"/>
  <c r="V41" i="29" s="1"/>
  <c r="Q41" i="29"/>
  <c r="T40" i="29"/>
  <c r="V40" i="29" s="1"/>
  <c r="Q40" i="29"/>
  <c r="T39" i="29"/>
  <c r="V39" i="29" s="1"/>
  <c r="Q39" i="29"/>
  <c r="T38" i="29"/>
  <c r="V38" i="29" s="1"/>
  <c r="Q38" i="29"/>
  <c r="T37" i="29"/>
  <c r="V37" i="29" s="1"/>
  <c r="Q37" i="29"/>
  <c r="T36" i="29"/>
  <c r="V36" i="29" s="1"/>
  <c r="Q36" i="29"/>
  <c r="T35" i="29"/>
  <c r="V35" i="29" s="1"/>
  <c r="Q35" i="29"/>
  <c r="T34" i="29"/>
  <c r="V34" i="29" s="1"/>
  <c r="Q34" i="29"/>
  <c r="T33" i="29"/>
  <c r="V33" i="29" s="1"/>
  <c r="Q33" i="29"/>
  <c r="T32" i="29"/>
  <c r="V32" i="29" s="1"/>
  <c r="Q32" i="29"/>
  <c r="T31" i="29"/>
  <c r="V31" i="29" s="1"/>
  <c r="Q31" i="29"/>
  <c r="T30" i="29"/>
  <c r="V30" i="29" s="1"/>
  <c r="Q30" i="29"/>
  <c r="T29" i="29"/>
  <c r="V29" i="29" s="1"/>
  <c r="Q29" i="29"/>
  <c r="T28" i="29"/>
  <c r="V28" i="29" s="1"/>
  <c r="Q28" i="29"/>
  <c r="T27" i="29"/>
  <c r="V27" i="29" s="1"/>
  <c r="Q27" i="29"/>
  <c r="T26" i="29"/>
  <c r="V26" i="29" s="1"/>
  <c r="Q26" i="29"/>
  <c r="T25" i="29"/>
  <c r="V25" i="29" s="1"/>
  <c r="Q25" i="29"/>
  <c r="T24" i="29"/>
  <c r="V24" i="29" s="1"/>
  <c r="Q24" i="29"/>
  <c r="T23" i="29"/>
  <c r="V23" i="29" s="1"/>
  <c r="Q23" i="29"/>
  <c r="T22" i="29"/>
  <c r="V22" i="29" s="1"/>
  <c r="Q22" i="29"/>
  <c r="T21" i="29"/>
  <c r="V21" i="29" s="1"/>
  <c r="Q21" i="29"/>
  <c r="T20" i="29"/>
  <c r="V20" i="29" s="1"/>
  <c r="Q20" i="29"/>
  <c r="T19" i="29"/>
  <c r="V19" i="29" s="1"/>
  <c r="Q19" i="29"/>
  <c r="T18" i="29"/>
  <c r="V18" i="29" s="1"/>
  <c r="Q18" i="29"/>
  <c r="T17" i="29"/>
  <c r="V17" i="29" s="1"/>
  <c r="Q17" i="29"/>
  <c r="T16" i="29"/>
  <c r="V16" i="29" s="1"/>
  <c r="Q16" i="29"/>
  <c r="T15" i="29"/>
  <c r="V15" i="29" s="1"/>
  <c r="Q15" i="29"/>
  <c r="T14" i="29"/>
  <c r="V14" i="29" s="1"/>
  <c r="Q14" i="29"/>
  <c r="T13" i="29"/>
  <c r="V13" i="29" s="1"/>
  <c r="Q13" i="29"/>
  <c r="T12" i="29"/>
  <c r="V12" i="29" s="1"/>
  <c r="Q12" i="29"/>
  <c r="T11" i="29"/>
  <c r="V11" i="29" s="1"/>
  <c r="Q11" i="29"/>
  <c r="T10" i="29"/>
  <c r="V10" i="29" s="1"/>
  <c r="Q10" i="29"/>
  <c r="T9" i="29"/>
  <c r="V9" i="29" s="1"/>
  <c r="Q9" i="29"/>
  <c r="T8" i="29"/>
  <c r="V8" i="29" s="1"/>
  <c r="Q8" i="29"/>
  <c r="T7" i="29"/>
  <c r="V7" i="29" s="1"/>
  <c r="Q7" i="29"/>
  <c r="T6" i="29"/>
  <c r="V6" i="29" s="1"/>
  <c r="Q6" i="29"/>
  <c r="T5" i="29"/>
  <c r="V5" i="29" s="1"/>
  <c r="Q5" i="29"/>
  <c r="T4" i="29"/>
  <c r="V4" i="29" s="1"/>
  <c r="Q4" i="29"/>
  <c r="T3" i="29"/>
  <c r="V3" i="29" s="1"/>
  <c r="Q3" i="29"/>
  <c r="T2" i="29"/>
  <c r="V2" i="29" s="1"/>
  <c r="Q2" i="29"/>
  <c r="T160" i="28" l="1"/>
  <c r="V160" i="28" s="1"/>
  <c r="Q160" i="28"/>
  <c r="T159" i="28"/>
  <c r="V159" i="28" s="1"/>
  <c r="Q159" i="28"/>
  <c r="T158" i="28"/>
  <c r="V158" i="28" s="1"/>
  <c r="Q158" i="28"/>
  <c r="T157" i="28"/>
  <c r="V157" i="28" s="1"/>
  <c r="Q157" i="28"/>
  <c r="T156" i="28"/>
  <c r="V156" i="28" s="1"/>
  <c r="Q156" i="28"/>
  <c r="T155" i="28"/>
  <c r="V155" i="28" s="1"/>
  <c r="Q155" i="28"/>
  <c r="T154" i="28"/>
  <c r="V154" i="28" s="1"/>
  <c r="Q154" i="28"/>
  <c r="T153" i="28"/>
  <c r="V153" i="28" s="1"/>
  <c r="Q153" i="28"/>
  <c r="T152" i="28"/>
  <c r="V152" i="28" s="1"/>
  <c r="Q152" i="28"/>
  <c r="T151" i="28"/>
  <c r="V151" i="28" s="1"/>
  <c r="Q151" i="28"/>
  <c r="T150" i="28"/>
  <c r="V150" i="28" s="1"/>
  <c r="Q150" i="28"/>
  <c r="T149" i="28"/>
  <c r="V149" i="28" s="1"/>
  <c r="Q149" i="28"/>
  <c r="T148" i="28"/>
  <c r="V148" i="28" s="1"/>
  <c r="Q148" i="28"/>
  <c r="T147" i="28"/>
  <c r="V147" i="28" s="1"/>
  <c r="Q147" i="28"/>
  <c r="T146" i="28"/>
  <c r="V146" i="28" s="1"/>
  <c r="Q146" i="28"/>
  <c r="T145" i="28"/>
  <c r="V145" i="28" s="1"/>
  <c r="Q145" i="28"/>
  <c r="T144" i="28"/>
  <c r="V144" i="28" s="1"/>
  <c r="Q144" i="28"/>
  <c r="T143" i="28"/>
  <c r="V143" i="28" s="1"/>
  <c r="Q143" i="28"/>
  <c r="T142" i="28"/>
  <c r="V142" i="28" s="1"/>
  <c r="Q142" i="28"/>
  <c r="T141" i="28"/>
  <c r="V141" i="28" s="1"/>
  <c r="Q141" i="28"/>
  <c r="T140" i="28"/>
  <c r="V140" i="28" s="1"/>
  <c r="Q140" i="28"/>
  <c r="T139" i="28"/>
  <c r="V139" i="28" s="1"/>
  <c r="Q139" i="28"/>
  <c r="T138" i="28"/>
  <c r="V138" i="28" s="1"/>
  <c r="Q138" i="28"/>
  <c r="T137" i="28"/>
  <c r="V137" i="28" s="1"/>
  <c r="Q137" i="28"/>
  <c r="T136" i="28"/>
  <c r="V136" i="28" s="1"/>
  <c r="Q136" i="28"/>
  <c r="T135" i="28"/>
  <c r="V135" i="28" s="1"/>
  <c r="Q135" i="28"/>
  <c r="T134" i="28"/>
  <c r="V134" i="28" s="1"/>
  <c r="Q134" i="28"/>
  <c r="T133" i="28"/>
  <c r="V133" i="28" s="1"/>
  <c r="Q133" i="28"/>
  <c r="T132" i="28"/>
  <c r="V132" i="28" s="1"/>
  <c r="Q132" i="28"/>
  <c r="T131" i="28"/>
  <c r="V131" i="28" s="1"/>
  <c r="Q131" i="28"/>
  <c r="T130" i="28"/>
  <c r="V130" i="28" s="1"/>
  <c r="Q130" i="28"/>
  <c r="T129" i="28"/>
  <c r="V129" i="28" s="1"/>
  <c r="Q129" i="28"/>
  <c r="T128" i="28"/>
  <c r="V128" i="28" s="1"/>
  <c r="Q128" i="28"/>
  <c r="T127" i="28"/>
  <c r="V127" i="28" s="1"/>
  <c r="Q127" i="28"/>
  <c r="T126" i="28"/>
  <c r="V126" i="28" s="1"/>
  <c r="Q126" i="28"/>
  <c r="T125" i="28"/>
  <c r="V125" i="28" s="1"/>
  <c r="Q125" i="28"/>
  <c r="T124" i="28"/>
  <c r="V124" i="28" s="1"/>
  <c r="Q124" i="28"/>
  <c r="T123" i="28"/>
  <c r="V123" i="28" s="1"/>
  <c r="Q123" i="28"/>
  <c r="T122" i="28"/>
  <c r="V122" i="28" s="1"/>
  <c r="Q122" i="28"/>
  <c r="T121" i="28"/>
  <c r="V121" i="28" s="1"/>
  <c r="Q121" i="28"/>
  <c r="T120" i="28"/>
  <c r="V120" i="28" s="1"/>
  <c r="Q120" i="28"/>
  <c r="T119" i="28"/>
  <c r="V119" i="28" s="1"/>
  <c r="Q119" i="28"/>
  <c r="T118" i="28"/>
  <c r="V118" i="28" s="1"/>
  <c r="Q118" i="28"/>
  <c r="T117" i="28"/>
  <c r="V117" i="28" s="1"/>
  <c r="Q117" i="28"/>
  <c r="T116" i="28"/>
  <c r="V116" i="28" s="1"/>
  <c r="Q116" i="28"/>
  <c r="T115" i="28"/>
  <c r="V115" i="28" s="1"/>
  <c r="Q115" i="28"/>
  <c r="T114" i="28"/>
  <c r="V114" i="28" s="1"/>
  <c r="Q114" i="28"/>
  <c r="T113" i="28"/>
  <c r="V113" i="28" s="1"/>
  <c r="Q113" i="28"/>
  <c r="T112" i="28"/>
  <c r="V112" i="28" s="1"/>
  <c r="Q112" i="28"/>
  <c r="T111" i="28"/>
  <c r="V111" i="28" s="1"/>
  <c r="Q111" i="28"/>
  <c r="T110" i="28"/>
  <c r="V110" i="28" s="1"/>
  <c r="Q110" i="28"/>
  <c r="T109" i="28"/>
  <c r="V109" i="28" s="1"/>
  <c r="Q109" i="28"/>
  <c r="T108" i="28"/>
  <c r="V108" i="28" s="1"/>
  <c r="Q108" i="28"/>
  <c r="T107" i="28"/>
  <c r="V107" i="28" s="1"/>
  <c r="Q107" i="28"/>
  <c r="T106" i="28"/>
  <c r="V106" i="28" s="1"/>
  <c r="Q106" i="28"/>
  <c r="T105" i="28"/>
  <c r="V105" i="28" s="1"/>
  <c r="Q105" i="28"/>
  <c r="T104" i="28"/>
  <c r="V104" i="28" s="1"/>
  <c r="Q104" i="28"/>
  <c r="T103" i="28"/>
  <c r="V103" i="28" s="1"/>
  <c r="Q103" i="28"/>
  <c r="T102" i="28"/>
  <c r="V102" i="28" s="1"/>
  <c r="Q102" i="28"/>
  <c r="T101" i="28"/>
  <c r="V101" i="28" s="1"/>
  <c r="Q101" i="28"/>
  <c r="T100" i="28"/>
  <c r="V100" i="28" s="1"/>
  <c r="Q100" i="28"/>
  <c r="T99" i="28"/>
  <c r="V99" i="28" s="1"/>
  <c r="Q99" i="28"/>
  <c r="T98" i="28"/>
  <c r="V98" i="28" s="1"/>
  <c r="Q98" i="28"/>
  <c r="T97" i="28"/>
  <c r="V97" i="28" s="1"/>
  <c r="Q97" i="28"/>
  <c r="T96" i="28"/>
  <c r="V96" i="28" s="1"/>
  <c r="Q96" i="28"/>
  <c r="T95" i="28"/>
  <c r="V95" i="28" s="1"/>
  <c r="Q95" i="28"/>
  <c r="T94" i="28"/>
  <c r="V94" i="28" s="1"/>
  <c r="Q94" i="28"/>
  <c r="T93" i="28"/>
  <c r="V93" i="28" s="1"/>
  <c r="Q93" i="28"/>
  <c r="T92" i="28"/>
  <c r="V92" i="28" s="1"/>
  <c r="Q92" i="28"/>
  <c r="T91" i="28"/>
  <c r="V91" i="28" s="1"/>
  <c r="Q91" i="28"/>
  <c r="T90" i="28"/>
  <c r="V90" i="28" s="1"/>
  <c r="Q90" i="28"/>
  <c r="T89" i="28"/>
  <c r="V89" i="28" s="1"/>
  <c r="Q89" i="28"/>
  <c r="T88" i="28"/>
  <c r="V88" i="28" s="1"/>
  <c r="Q88" i="28"/>
  <c r="T87" i="28"/>
  <c r="V87" i="28" s="1"/>
  <c r="Q87" i="28"/>
  <c r="T86" i="28"/>
  <c r="V86" i="28" s="1"/>
  <c r="Q86" i="28"/>
  <c r="T85" i="28"/>
  <c r="V85" i="28" s="1"/>
  <c r="Q85" i="28"/>
  <c r="T84" i="28"/>
  <c r="V84" i="28" s="1"/>
  <c r="Q84" i="28"/>
  <c r="T83" i="28"/>
  <c r="V83" i="28" s="1"/>
  <c r="Q83" i="28"/>
  <c r="T82" i="28"/>
  <c r="V82" i="28" s="1"/>
  <c r="Q82" i="28"/>
  <c r="T81" i="28"/>
  <c r="V81" i="28" s="1"/>
  <c r="Q81" i="28"/>
  <c r="T80" i="28"/>
  <c r="V80" i="28" s="1"/>
  <c r="Q80" i="28"/>
  <c r="T79" i="28"/>
  <c r="V79" i="28" s="1"/>
  <c r="Q79" i="28"/>
  <c r="T78" i="28"/>
  <c r="V78" i="28" s="1"/>
  <c r="Q78" i="28"/>
  <c r="T77" i="28"/>
  <c r="V77" i="28" s="1"/>
  <c r="Q77" i="28"/>
  <c r="T76" i="28"/>
  <c r="V76" i="28" s="1"/>
  <c r="Q76" i="28"/>
  <c r="T75" i="28"/>
  <c r="V75" i="28" s="1"/>
  <c r="Q75" i="28"/>
  <c r="T74" i="28"/>
  <c r="V74" i="28" s="1"/>
  <c r="Q74" i="28"/>
  <c r="T73" i="28"/>
  <c r="V73" i="28" s="1"/>
  <c r="Q73" i="28"/>
  <c r="T72" i="28"/>
  <c r="V72" i="28" s="1"/>
  <c r="Q72" i="28"/>
  <c r="T71" i="28"/>
  <c r="V71" i="28" s="1"/>
  <c r="Q71" i="28"/>
  <c r="T70" i="28"/>
  <c r="V70" i="28" s="1"/>
  <c r="Q70" i="28"/>
  <c r="T69" i="28"/>
  <c r="V69" i="28" s="1"/>
  <c r="Q69" i="28"/>
  <c r="T68" i="28"/>
  <c r="V68" i="28" s="1"/>
  <c r="Q68" i="28"/>
  <c r="T67" i="28"/>
  <c r="V67" i="28" s="1"/>
  <c r="Q67" i="28"/>
  <c r="T66" i="28"/>
  <c r="V66" i="28" s="1"/>
  <c r="Q66" i="28"/>
  <c r="T65" i="28"/>
  <c r="V65" i="28" s="1"/>
  <c r="Q65" i="28"/>
  <c r="T64" i="28"/>
  <c r="V64" i="28" s="1"/>
  <c r="Q64" i="28"/>
  <c r="T63" i="28"/>
  <c r="V63" i="28" s="1"/>
  <c r="Q63" i="28"/>
  <c r="T62" i="28"/>
  <c r="V62" i="28" s="1"/>
  <c r="Q62" i="28"/>
  <c r="T61" i="28"/>
  <c r="V61" i="28" s="1"/>
  <c r="Q61" i="28"/>
  <c r="T60" i="28"/>
  <c r="V60" i="28" s="1"/>
  <c r="Q60" i="28"/>
  <c r="T59" i="28"/>
  <c r="V59" i="28" s="1"/>
  <c r="Q59" i="28"/>
  <c r="T58" i="28"/>
  <c r="V58" i="28" s="1"/>
  <c r="Q58" i="28"/>
  <c r="T57" i="28"/>
  <c r="V57" i="28" s="1"/>
  <c r="Q57" i="28"/>
  <c r="T56" i="28"/>
  <c r="V56" i="28" s="1"/>
  <c r="Q56" i="28"/>
  <c r="T55" i="28"/>
  <c r="V55" i="28" s="1"/>
  <c r="Q55" i="28"/>
  <c r="T54" i="28"/>
  <c r="V54" i="28" s="1"/>
  <c r="Q54" i="28"/>
  <c r="T53" i="28"/>
  <c r="V53" i="28" s="1"/>
  <c r="Q53" i="28"/>
  <c r="T52" i="28"/>
  <c r="V52" i="28" s="1"/>
  <c r="Q52" i="28"/>
  <c r="T51" i="28"/>
  <c r="V51" i="28" s="1"/>
  <c r="Q51" i="28"/>
  <c r="T50" i="28"/>
  <c r="V50" i="28" s="1"/>
  <c r="Q50" i="28"/>
  <c r="T49" i="28"/>
  <c r="V49" i="28" s="1"/>
  <c r="Q49" i="28"/>
  <c r="T48" i="28"/>
  <c r="V48" i="28" s="1"/>
  <c r="Q48" i="28"/>
  <c r="T47" i="28"/>
  <c r="V47" i="28" s="1"/>
  <c r="Q47" i="28"/>
  <c r="T46" i="28"/>
  <c r="V46" i="28" s="1"/>
  <c r="Q46" i="28"/>
  <c r="T45" i="28"/>
  <c r="V45" i="28" s="1"/>
  <c r="Q45" i="28"/>
  <c r="T44" i="28"/>
  <c r="V44" i="28" s="1"/>
  <c r="Q44" i="28"/>
  <c r="T43" i="28"/>
  <c r="V43" i="28" s="1"/>
  <c r="Q43" i="28"/>
  <c r="T42" i="28"/>
  <c r="V42" i="28" s="1"/>
  <c r="Q42" i="28"/>
  <c r="T41" i="28"/>
  <c r="V41" i="28" s="1"/>
  <c r="Q41" i="28"/>
  <c r="T40" i="28"/>
  <c r="V40" i="28" s="1"/>
  <c r="Q40" i="28"/>
  <c r="T39" i="28"/>
  <c r="V39" i="28" s="1"/>
  <c r="Q39" i="28"/>
  <c r="T38" i="28"/>
  <c r="V38" i="28" s="1"/>
  <c r="Q38" i="28"/>
  <c r="T37" i="28"/>
  <c r="V37" i="28" s="1"/>
  <c r="Q37" i="28"/>
  <c r="T36" i="28"/>
  <c r="V36" i="28" s="1"/>
  <c r="Q36" i="28"/>
  <c r="T35" i="28"/>
  <c r="V35" i="28" s="1"/>
  <c r="Q35" i="28"/>
  <c r="T34" i="28"/>
  <c r="V34" i="28" s="1"/>
  <c r="Q34" i="28"/>
  <c r="T33" i="28"/>
  <c r="V33" i="28" s="1"/>
  <c r="Q33" i="28"/>
  <c r="T32" i="28"/>
  <c r="V32" i="28" s="1"/>
  <c r="Q32" i="28"/>
  <c r="T31" i="28"/>
  <c r="V31" i="28" s="1"/>
  <c r="Q31" i="28"/>
  <c r="T30" i="28"/>
  <c r="V30" i="28" s="1"/>
  <c r="Q30" i="28"/>
  <c r="T29" i="28"/>
  <c r="V29" i="28" s="1"/>
  <c r="Q29" i="28"/>
  <c r="T28" i="28"/>
  <c r="V28" i="28" s="1"/>
  <c r="Q28" i="28"/>
  <c r="T27" i="28"/>
  <c r="V27" i="28" s="1"/>
  <c r="Q27" i="28"/>
  <c r="T26" i="28"/>
  <c r="V26" i="28" s="1"/>
  <c r="Q26" i="28"/>
  <c r="T25" i="28"/>
  <c r="V25" i="28" s="1"/>
  <c r="Q25" i="28"/>
  <c r="T24" i="28"/>
  <c r="V24" i="28" s="1"/>
  <c r="Q24" i="28"/>
  <c r="T23" i="28"/>
  <c r="V23" i="28" s="1"/>
  <c r="Q23" i="28"/>
  <c r="T22" i="28"/>
  <c r="V22" i="28" s="1"/>
  <c r="Q22" i="28"/>
  <c r="T21" i="28"/>
  <c r="V21" i="28" s="1"/>
  <c r="Q21" i="28"/>
  <c r="T20" i="28"/>
  <c r="V20" i="28" s="1"/>
  <c r="Q20" i="28"/>
  <c r="T19" i="28"/>
  <c r="V19" i="28" s="1"/>
  <c r="Q19" i="28"/>
  <c r="T18" i="28"/>
  <c r="V18" i="28" s="1"/>
  <c r="Q18" i="28"/>
  <c r="T17" i="28"/>
  <c r="V17" i="28" s="1"/>
  <c r="Q17" i="28"/>
  <c r="T16" i="28"/>
  <c r="V16" i="28" s="1"/>
  <c r="Q16" i="28"/>
  <c r="T15" i="28"/>
  <c r="V15" i="28" s="1"/>
  <c r="Q15" i="28"/>
  <c r="T14" i="28"/>
  <c r="V14" i="28" s="1"/>
  <c r="Q14" i="28"/>
  <c r="T13" i="28"/>
  <c r="V13" i="28" s="1"/>
  <c r="Q13" i="28"/>
  <c r="T12" i="28"/>
  <c r="V12" i="28" s="1"/>
  <c r="Q12" i="28"/>
  <c r="T11" i="28"/>
  <c r="V11" i="28" s="1"/>
  <c r="Q11" i="28"/>
  <c r="T10" i="28"/>
  <c r="V10" i="28" s="1"/>
  <c r="Q10" i="28"/>
  <c r="T9" i="28"/>
  <c r="V9" i="28" s="1"/>
  <c r="Q9" i="28"/>
  <c r="T8" i="28"/>
  <c r="V8" i="28" s="1"/>
  <c r="Q8" i="28"/>
  <c r="T7" i="28"/>
  <c r="V7" i="28" s="1"/>
  <c r="Q7" i="28"/>
  <c r="T6" i="28"/>
  <c r="V6" i="28" s="1"/>
  <c r="Q6" i="28"/>
  <c r="T5" i="28"/>
  <c r="V5" i="28" s="1"/>
  <c r="Q5" i="28"/>
  <c r="T4" i="28"/>
  <c r="V4" i="28" s="1"/>
  <c r="Q4" i="28"/>
  <c r="T3" i="28"/>
  <c r="V3" i="28" s="1"/>
  <c r="Q3" i="28"/>
  <c r="T2" i="28"/>
  <c r="V2" i="28" s="1"/>
  <c r="Q2" i="28"/>
  <c r="T130" i="27" l="1"/>
  <c r="V130" i="27" s="1"/>
  <c r="Q130" i="27"/>
  <c r="T129" i="27"/>
  <c r="V129" i="27" s="1"/>
  <c r="Q129" i="27"/>
  <c r="T128" i="27"/>
  <c r="V128" i="27" s="1"/>
  <c r="Q128" i="27"/>
  <c r="T127" i="27"/>
  <c r="V127" i="27" s="1"/>
  <c r="Q127" i="27"/>
  <c r="T126" i="27"/>
  <c r="V126" i="27" s="1"/>
  <c r="Q126" i="27"/>
  <c r="T125" i="27"/>
  <c r="V125" i="27" s="1"/>
  <c r="Q125" i="27"/>
  <c r="T124" i="27"/>
  <c r="V124" i="27" s="1"/>
  <c r="Q124" i="27"/>
  <c r="T123" i="27"/>
  <c r="V123" i="27" s="1"/>
  <c r="Q123" i="27"/>
  <c r="T122" i="27"/>
  <c r="V122" i="27" s="1"/>
  <c r="Q122" i="27"/>
  <c r="T121" i="27"/>
  <c r="V121" i="27" s="1"/>
  <c r="Q121" i="27"/>
  <c r="T120" i="27"/>
  <c r="V120" i="27" s="1"/>
  <c r="Q120" i="27"/>
  <c r="T119" i="27"/>
  <c r="V119" i="27" s="1"/>
  <c r="Q119" i="27"/>
  <c r="T118" i="27"/>
  <c r="V118" i="27" s="1"/>
  <c r="Q118" i="27"/>
  <c r="T117" i="27"/>
  <c r="V117" i="27" s="1"/>
  <c r="Q117" i="27"/>
  <c r="T116" i="27"/>
  <c r="V116" i="27" s="1"/>
  <c r="Q116" i="27"/>
  <c r="T115" i="27"/>
  <c r="V115" i="27" s="1"/>
  <c r="Q115" i="27"/>
  <c r="T114" i="27"/>
  <c r="V114" i="27" s="1"/>
  <c r="Q114" i="27"/>
  <c r="T113" i="27"/>
  <c r="V113" i="27" s="1"/>
  <c r="Q113" i="27"/>
  <c r="T112" i="27"/>
  <c r="V112" i="27" s="1"/>
  <c r="Q112" i="27"/>
  <c r="T111" i="27"/>
  <c r="V111" i="27" s="1"/>
  <c r="Q111" i="27"/>
  <c r="T110" i="27"/>
  <c r="V110" i="27" s="1"/>
  <c r="Q110" i="27"/>
  <c r="T109" i="27"/>
  <c r="V109" i="27" s="1"/>
  <c r="Q109" i="27"/>
  <c r="T108" i="27"/>
  <c r="V108" i="27" s="1"/>
  <c r="Q108" i="27"/>
  <c r="T107" i="27"/>
  <c r="V107" i="27" s="1"/>
  <c r="Q107" i="27"/>
  <c r="T106" i="27"/>
  <c r="V106" i="27" s="1"/>
  <c r="Q106" i="27"/>
  <c r="T105" i="27"/>
  <c r="V105" i="27" s="1"/>
  <c r="Q105" i="27"/>
  <c r="T104" i="27"/>
  <c r="V104" i="27" s="1"/>
  <c r="Q104" i="27"/>
  <c r="T103" i="27"/>
  <c r="V103" i="27" s="1"/>
  <c r="Q103" i="27"/>
  <c r="T102" i="27"/>
  <c r="V102" i="27" s="1"/>
  <c r="Q102" i="27"/>
  <c r="T101" i="27"/>
  <c r="V101" i="27" s="1"/>
  <c r="Q101" i="27"/>
  <c r="T100" i="27"/>
  <c r="V100" i="27" s="1"/>
  <c r="Q100" i="27"/>
  <c r="T99" i="27"/>
  <c r="V99" i="27" s="1"/>
  <c r="Q99" i="27"/>
  <c r="T98" i="27"/>
  <c r="V98" i="27" s="1"/>
  <c r="Q98" i="27"/>
  <c r="T97" i="27"/>
  <c r="V97" i="27" s="1"/>
  <c r="Q97" i="27"/>
  <c r="T96" i="27"/>
  <c r="V96" i="27" s="1"/>
  <c r="Q96" i="27"/>
  <c r="T95" i="27"/>
  <c r="V95" i="27" s="1"/>
  <c r="Q95" i="27"/>
  <c r="T94" i="27"/>
  <c r="V94" i="27" s="1"/>
  <c r="Q94" i="27"/>
  <c r="T93" i="27"/>
  <c r="V93" i="27" s="1"/>
  <c r="Q93" i="27"/>
  <c r="T92" i="27"/>
  <c r="V92" i="27" s="1"/>
  <c r="Q92" i="27"/>
  <c r="T91" i="27"/>
  <c r="V91" i="27" s="1"/>
  <c r="Q91" i="27"/>
  <c r="T90" i="27"/>
  <c r="V90" i="27" s="1"/>
  <c r="Q90" i="27"/>
  <c r="T89" i="27"/>
  <c r="V89" i="27" s="1"/>
  <c r="Q89" i="27"/>
  <c r="T88" i="27"/>
  <c r="V88" i="27" s="1"/>
  <c r="Q88" i="27"/>
  <c r="T87" i="27"/>
  <c r="V87" i="27" s="1"/>
  <c r="Q87" i="27"/>
  <c r="T86" i="27"/>
  <c r="V86" i="27" s="1"/>
  <c r="Q86" i="27"/>
  <c r="T85" i="27"/>
  <c r="V85" i="27" s="1"/>
  <c r="Q85" i="27"/>
  <c r="T84" i="27"/>
  <c r="V84" i="27" s="1"/>
  <c r="Q84" i="27"/>
  <c r="T83" i="27"/>
  <c r="V83" i="27" s="1"/>
  <c r="Q83" i="27"/>
  <c r="T82" i="27"/>
  <c r="V82" i="27" s="1"/>
  <c r="Q82" i="27"/>
  <c r="T81" i="27"/>
  <c r="V81" i="27" s="1"/>
  <c r="Q81" i="27"/>
  <c r="T80" i="27"/>
  <c r="V80" i="27" s="1"/>
  <c r="Q80" i="27"/>
  <c r="T79" i="27"/>
  <c r="V79" i="27" s="1"/>
  <c r="Q79" i="27"/>
  <c r="T78" i="27"/>
  <c r="V78" i="27" s="1"/>
  <c r="Q78" i="27"/>
  <c r="T77" i="27"/>
  <c r="V77" i="27" s="1"/>
  <c r="Q77" i="27"/>
  <c r="T76" i="27"/>
  <c r="V76" i="27" s="1"/>
  <c r="Q76" i="27"/>
  <c r="T75" i="27"/>
  <c r="V75" i="27" s="1"/>
  <c r="Q75" i="27"/>
  <c r="T74" i="27"/>
  <c r="V74" i="27" s="1"/>
  <c r="Q74" i="27"/>
  <c r="T73" i="27"/>
  <c r="V73" i="27" s="1"/>
  <c r="Q73" i="27"/>
  <c r="T72" i="27"/>
  <c r="V72" i="27" s="1"/>
  <c r="Q72" i="27"/>
  <c r="T71" i="27"/>
  <c r="V71" i="27" s="1"/>
  <c r="Q71" i="27"/>
  <c r="T70" i="27"/>
  <c r="V70" i="27" s="1"/>
  <c r="Q70" i="27"/>
  <c r="T69" i="27"/>
  <c r="V69" i="27" s="1"/>
  <c r="Q69" i="27"/>
  <c r="T68" i="27"/>
  <c r="V68" i="27" s="1"/>
  <c r="Q68" i="27"/>
  <c r="T67" i="27"/>
  <c r="V67" i="27" s="1"/>
  <c r="Q67" i="27"/>
  <c r="T66" i="27"/>
  <c r="V66" i="27" s="1"/>
  <c r="Q66" i="27"/>
  <c r="T65" i="27"/>
  <c r="V65" i="27" s="1"/>
  <c r="Q65" i="27"/>
  <c r="T64" i="27"/>
  <c r="V64" i="27" s="1"/>
  <c r="Q64" i="27"/>
  <c r="T63" i="27"/>
  <c r="V63" i="27" s="1"/>
  <c r="Q63" i="27"/>
  <c r="T62" i="27"/>
  <c r="V62" i="27" s="1"/>
  <c r="Q62" i="27"/>
  <c r="T61" i="27"/>
  <c r="V61" i="27" s="1"/>
  <c r="Q61" i="27"/>
  <c r="T60" i="27"/>
  <c r="V60" i="27" s="1"/>
  <c r="Q60" i="27"/>
  <c r="T59" i="27"/>
  <c r="V59" i="27" s="1"/>
  <c r="Q59" i="27"/>
  <c r="T58" i="27"/>
  <c r="V58" i="27" s="1"/>
  <c r="Q58" i="27"/>
  <c r="T57" i="27"/>
  <c r="V57" i="27" s="1"/>
  <c r="Q57" i="27"/>
  <c r="T56" i="27"/>
  <c r="V56" i="27" s="1"/>
  <c r="Q56" i="27"/>
  <c r="T55" i="27"/>
  <c r="V55" i="27" s="1"/>
  <c r="Q55" i="27"/>
  <c r="T54" i="27"/>
  <c r="V54" i="27" s="1"/>
  <c r="Q54" i="27"/>
  <c r="T53" i="27"/>
  <c r="V53" i="27" s="1"/>
  <c r="Q53" i="27"/>
  <c r="T52" i="27"/>
  <c r="V52" i="27" s="1"/>
  <c r="Q52" i="27"/>
  <c r="T51" i="27"/>
  <c r="V51" i="27" s="1"/>
  <c r="Q51" i="27"/>
  <c r="T50" i="27"/>
  <c r="V50" i="27" s="1"/>
  <c r="Q50" i="27"/>
  <c r="T49" i="27"/>
  <c r="V49" i="27" s="1"/>
  <c r="Q49" i="27"/>
  <c r="T48" i="27"/>
  <c r="V48" i="27" s="1"/>
  <c r="Q48" i="27"/>
  <c r="T47" i="27"/>
  <c r="V47" i="27" s="1"/>
  <c r="Q47" i="27"/>
  <c r="T46" i="27"/>
  <c r="V46" i="27" s="1"/>
  <c r="Q46" i="27"/>
  <c r="T45" i="27"/>
  <c r="V45" i="27" s="1"/>
  <c r="Q45" i="27"/>
  <c r="T44" i="27"/>
  <c r="V44" i="27" s="1"/>
  <c r="Q44" i="27"/>
  <c r="T43" i="27"/>
  <c r="V43" i="27" s="1"/>
  <c r="Q43" i="27"/>
  <c r="T42" i="27"/>
  <c r="V42" i="27" s="1"/>
  <c r="Q42" i="27"/>
  <c r="T41" i="27"/>
  <c r="V41" i="27" s="1"/>
  <c r="Q41" i="27"/>
  <c r="T40" i="27"/>
  <c r="V40" i="27" s="1"/>
  <c r="Q40" i="27"/>
  <c r="T39" i="27"/>
  <c r="V39" i="27" s="1"/>
  <c r="Q39" i="27"/>
  <c r="T38" i="27"/>
  <c r="V38" i="27" s="1"/>
  <c r="Q38" i="27"/>
  <c r="T37" i="27"/>
  <c r="V37" i="27" s="1"/>
  <c r="Q37" i="27"/>
  <c r="T36" i="27"/>
  <c r="V36" i="27" s="1"/>
  <c r="Q36" i="27"/>
  <c r="T35" i="27"/>
  <c r="V35" i="27" s="1"/>
  <c r="Q35" i="27"/>
  <c r="T34" i="27"/>
  <c r="V34" i="27" s="1"/>
  <c r="Q34" i="27"/>
  <c r="T33" i="27"/>
  <c r="V33" i="27" s="1"/>
  <c r="Q33" i="27"/>
  <c r="T32" i="27"/>
  <c r="V32" i="27" s="1"/>
  <c r="Q32" i="27"/>
  <c r="T31" i="27"/>
  <c r="V31" i="27" s="1"/>
  <c r="Q31" i="27"/>
  <c r="T30" i="27"/>
  <c r="V30" i="27" s="1"/>
  <c r="Q30" i="27"/>
  <c r="T29" i="27"/>
  <c r="V29" i="27" s="1"/>
  <c r="Q29" i="27"/>
  <c r="T28" i="27"/>
  <c r="V28" i="27" s="1"/>
  <c r="Q28" i="27"/>
  <c r="T27" i="27"/>
  <c r="V27" i="27" s="1"/>
  <c r="Q27" i="27"/>
  <c r="T26" i="27"/>
  <c r="V26" i="27" s="1"/>
  <c r="Q26" i="27"/>
  <c r="T25" i="27"/>
  <c r="V25" i="27" s="1"/>
  <c r="Q25" i="27"/>
  <c r="T24" i="27"/>
  <c r="V24" i="27" s="1"/>
  <c r="Q24" i="27"/>
  <c r="T23" i="27"/>
  <c r="V23" i="27" s="1"/>
  <c r="Q23" i="27"/>
  <c r="T22" i="27"/>
  <c r="V22" i="27" s="1"/>
  <c r="Q22" i="27"/>
  <c r="T21" i="27"/>
  <c r="V21" i="27" s="1"/>
  <c r="Q21" i="27"/>
  <c r="T20" i="27"/>
  <c r="V20" i="27" s="1"/>
  <c r="Q20" i="27"/>
  <c r="T19" i="27"/>
  <c r="V19" i="27" s="1"/>
  <c r="Q19" i="27"/>
  <c r="T18" i="27"/>
  <c r="V18" i="27" s="1"/>
  <c r="Q18" i="27"/>
  <c r="T17" i="27"/>
  <c r="V17" i="27" s="1"/>
  <c r="Q17" i="27"/>
  <c r="T16" i="27"/>
  <c r="V16" i="27" s="1"/>
  <c r="Q16" i="27"/>
  <c r="T15" i="27"/>
  <c r="V15" i="27" s="1"/>
  <c r="Q15" i="27"/>
  <c r="T14" i="27"/>
  <c r="V14" i="27" s="1"/>
  <c r="Q14" i="27"/>
  <c r="T13" i="27"/>
  <c r="V13" i="27" s="1"/>
  <c r="Q13" i="27"/>
  <c r="T12" i="27"/>
  <c r="V12" i="27" s="1"/>
  <c r="Q12" i="27"/>
  <c r="T11" i="27"/>
  <c r="V11" i="27" s="1"/>
  <c r="Q11" i="27"/>
  <c r="T10" i="27"/>
  <c r="V10" i="27" s="1"/>
  <c r="Q10" i="27"/>
  <c r="T9" i="27"/>
  <c r="V9" i="27" s="1"/>
  <c r="Q9" i="27"/>
  <c r="T8" i="27"/>
  <c r="V8" i="27" s="1"/>
  <c r="Q8" i="27"/>
  <c r="T7" i="27"/>
  <c r="V7" i="27" s="1"/>
  <c r="Q7" i="27"/>
  <c r="T6" i="27"/>
  <c r="V6" i="27" s="1"/>
  <c r="Q6" i="27"/>
  <c r="T5" i="27"/>
  <c r="V5" i="27" s="1"/>
  <c r="Q5" i="27"/>
  <c r="T4" i="27"/>
  <c r="V4" i="27" s="1"/>
  <c r="Q4" i="27"/>
  <c r="T3" i="27"/>
  <c r="V3" i="27" s="1"/>
  <c r="Q3" i="27"/>
  <c r="T2" i="27"/>
  <c r="V2" i="27" s="1"/>
  <c r="Q2" i="27"/>
  <c r="V152" i="26" l="1"/>
  <c r="T152" i="26"/>
  <c r="Q152" i="26"/>
  <c r="V151" i="26"/>
  <c r="T151" i="26"/>
  <c r="Q151" i="26"/>
  <c r="V150" i="26"/>
  <c r="T150" i="26"/>
  <c r="Q150" i="26"/>
  <c r="V149" i="26"/>
  <c r="T149" i="26"/>
  <c r="Q149" i="26"/>
  <c r="V148" i="26"/>
  <c r="T148" i="26"/>
  <c r="Q148" i="26"/>
  <c r="V147" i="26"/>
  <c r="T147" i="26"/>
  <c r="Q147" i="26"/>
  <c r="V146" i="26"/>
  <c r="T146" i="26"/>
  <c r="Q146" i="26"/>
  <c r="V145" i="26"/>
  <c r="T145" i="26"/>
  <c r="Q145" i="26"/>
  <c r="V144" i="26"/>
  <c r="T144" i="26"/>
  <c r="Q144" i="26"/>
  <c r="V143" i="26"/>
  <c r="T143" i="26"/>
  <c r="Q143" i="26"/>
  <c r="V142" i="26"/>
  <c r="T142" i="26"/>
  <c r="Q142" i="26"/>
  <c r="V141" i="26"/>
  <c r="T141" i="26"/>
  <c r="Q141" i="26"/>
  <c r="V140" i="26"/>
  <c r="T140" i="26"/>
  <c r="Q140" i="26"/>
  <c r="V139" i="26"/>
  <c r="T139" i="26"/>
  <c r="Q139" i="26"/>
  <c r="V138" i="26"/>
  <c r="T138" i="26"/>
  <c r="Q138" i="26"/>
  <c r="V137" i="26"/>
  <c r="T137" i="26"/>
  <c r="Q137" i="26"/>
  <c r="V136" i="26"/>
  <c r="T136" i="26"/>
  <c r="Q136" i="26"/>
  <c r="V135" i="26"/>
  <c r="T135" i="26"/>
  <c r="Q135" i="26"/>
  <c r="V134" i="26"/>
  <c r="T134" i="26"/>
  <c r="Q134" i="26"/>
  <c r="V133" i="26"/>
  <c r="T133" i="26"/>
  <c r="Q133" i="26"/>
  <c r="V132" i="26"/>
  <c r="T132" i="26"/>
  <c r="Q132" i="26"/>
  <c r="V131" i="26"/>
  <c r="T131" i="26"/>
  <c r="Q131" i="26"/>
  <c r="V130" i="26"/>
  <c r="T130" i="26"/>
  <c r="Q130" i="26"/>
  <c r="V129" i="26"/>
  <c r="T129" i="26"/>
  <c r="Q129" i="26"/>
  <c r="V128" i="26"/>
  <c r="T128" i="26"/>
  <c r="Q128" i="26"/>
  <c r="V127" i="26"/>
  <c r="T127" i="26"/>
  <c r="Q127" i="26"/>
  <c r="V126" i="26"/>
  <c r="T126" i="26"/>
  <c r="Q126" i="26"/>
  <c r="V125" i="26"/>
  <c r="T125" i="26"/>
  <c r="Q125" i="26"/>
  <c r="V124" i="26"/>
  <c r="T124" i="26"/>
  <c r="Q124" i="26"/>
  <c r="V123" i="26"/>
  <c r="T123" i="26"/>
  <c r="Q123" i="26"/>
  <c r="V122" i="26"/>
  <c r="T122" i="26"/>
  <c r="Q122" i="26"/>
  <c r="V121" i="26"/>
  <c r="T121" i="26"/>
  <c r="Q121" i="26"/>
  <c r="V120" i="26"/>
  <c r="T120" i="26"/>
  <c r="Q120" i="26"/>
  <c r="V119" i="26"/>
  <c r="T119" i="26"/>
  <c r="Q119" i="26"/>
  <c r="V118" i="26"/>
  <c r="T118" i="26"/>
  <c r="Q118" i="26"/>
  <c r="V117" i="26"/>
  <c r="T117" i="26"/>
  <c r="Q117" i="26"/>
  <c r="V116" i="26"/>
  <c r="T116" i="26"/>
  <c r="Q116" i="26"/>
  <c r="V115" i="26"/>
  <c r="T115" i="26"/>
  <c r="Q115" i="26"/>
  <c r="V114" i="26"/>
  <c r="T114" i="26"/>
  <c r="Q114" i="26"/>
  <c r="V113" i="26"/>
  <c r="T113" i="26"/>
  <c r="Q113" i="26"/>
  <c r="V112" i="26"/>
  <c r="T112" i="26"/>
  <c r="Q112" i="26"/>
  <c r="V111" i="26"/>
  <c r="T111" i="26"/>
  <c r="Q111" i="26"/>
  <c r="V110" i="26"/>
  <c r="T110" i="26"/>
  <c r="Q110" i="26"/>
  <c r="V109" i="26"/>
  <c r="T109" i="26"/>
  <c r="Q109" i="26"/>
  <c r="V108" i="26"/>
  <c r="T108" i="26"/>
  <c r="Q108" i="26"/>
  <c r="V107" i="26"/>
  <c r="T107" i="26"/>
  <c r="Q107" i="26"/>
  <c r="V106" i="26"/>
  <c r="T106" i="26"/>
  <c r="Q106" i="26"/>
  <c r="V105" i="26"/>
  <c r="T105" i="26"/>
  <c r="Q105" i="26"/>
  <c r="V104" i="26"/>
  <c r="T104" i="26"/>
  <c r="Q104" i="26"/>
  <c r="V103" i="26"/>
  <c r="T103" i="26"/>
  <c r="Q103" i="26"/>
  <c r="V102" i="26"/>
  <c r="T102" i="26"/>
  <c r="Q102" i="26"/>
  <c r="V101" i="26"/>
  <c r="T101" i="26"/>
  <c r="Q101" i="26"/>
  <c r="V100" i="26"/>
  <c r="T100" i="26"/>
  <c r="Q100" i="26"/>
  <c r="V99" i="26"/>
  <c r="T99" i="26"/>
  <c r="Q99" i="26"/>
  <c r="V98" i="26"/>
  <c r="T98" i="26"/>
  <c r="Q98" i="26"/>
  <c r="V97" i="26"/>
  <c r="T97" i="26"/>
  <c r="Q97" i="26"/>
  <c r="V96" i="26"/>
  <c r="T96" i="26"/>
  <c r="Q96" i="26"/>
  <c r="V95" i="26"/>
  <c r="T95" i="26"/>
  <c r="Q95" i="26"/>
  <c r="V94" i="26"/>
  <c r="T94" i="26"/>
  <c r="Q94" i="26"/>
  <c r="V93" i="26"/>
  <c r="T93" i="26"/>
  <c r="Q93" i="26"/>
  <c r="V92" i="26"/>
  <c r="T92" i="26"/>
  <c r="Q92" i="26"/>
  <c r="V91" i="26"/>
  <c r="T91" i="26"/>
  <c r="Q91" i="26"/>
  <c r="V90" i="26"/>
  <c r="T90" i="26"/>
  <c r="Q90" i="26"/>
  <c r="V89" i="26"/>
  <c r="T89" i="26"/>
  <c r="Q89" i="26"/>
  <c r="V88" i="26"/>
  <c r="T88" i="26"/>
  <c r="Q88" i="26"/>
  <c r="V87" i="26"/>
  <c r="T87" i="26"/>
  <c r="Q87" i="26"/>
  <c r="V86" i="26"/>
  <c r="T86" i="26"/>
  <c r="Q86" i="26"/>
  <c r="V85" i="26"/>
  <c r="T85" i="26"/>
  <c r="Q85" i="26"/>
  <c r="V84" i="26"/>
  <c r="T84" i="26"/>
  <c r="Q84" i="26"/>
  <c r="V83" i="26"/>
  <c r="T83" i="26"/>
  <c r="Q83" i="26"/>
  <c r="V82" i="26"/>
  <c r="T82" i="26"/>
  <c r="Q82" i="26"/>
  <c r="V81" i="26"/>
  <c r="T81" i="26"/>
  <c r="Q81" i="26"/>
  <c r="V80" i="26"/>
  <c r="T80" i="26"/>
  <c r="Q80" i="26"/>
  <c r="V79" i="26"/>
  <c r="T79" i="26"/>
  <c r="Q79" i="26"/>
  <c r="V78" i="26"/>
  <c r="T78" i="26"/>
  <c r="Q78" i="26"/>
  <c r="V77" i="26"/>
  <c r="T77" i="26"/>
  <c r="Q77" i="26"/>
  <c r="V76" i="26"/>
  <c r="T76" i="26"/>
  <c r="Q76" i="26"/>
  <c r="V75" i="26"/>
  <c r="T75" i="26"/>
  <c r="Q75" i="26"/>
  <c r="V74" i="26"/>
  <c r="T74" i="26"/>
  <c r="Q74" i="26"/>
  <c r="V73" i="26"/>
  <c r="T73" i="26"/>
  <c r="Q73" i="26"/>
  <c r="V72" i="26"/>
  <c r="T72" i="26"/>
  <c r="Q72" i="26"/>
  <c r="V71" i="26"/>
  <c r="T71" i="26"/>
  <c r="Q71" i="26"/>
  <c r="V70" i="26"/>
  <c r="T70" i="26"/>
  <c r="Q70" i="26"/>
  <c r="V69" i="26"/>
  <c r="T69" i="26"/>
  <c r="Q69" i="26"/>
  <c r="V68" i="26"/>
  <c r="T68" i="26"/>
  <c r="Q68" i="26"/>
  <c r="V67" i="26"/>
  <c r="T67" i="26"/>
  <c r="Q67" i="26"/>
  <c r="V66" i="26"/>
  <c r="T66" i="26"/>
  <c r="Q66" i="26"/>
  <c r="V65" i="26"/>
  <c r="T65" i="26"/>
  <c r="Q65" i="26"/>
  <c r="V64" i="26"/>
  <c r="T64" i="26"/>
  <c r="Q64" i="26"/>
  <c r="V63" i="26"/>
  <c r="T63" i="26"/>
  <c r="Q63" i="26"/>
  <c r="V62" i="26"/>
  <c r="T62" i="26"/>
  <c r="Q62" i="26"/>
  <c r="V61" i="26"/>
  <c r="T61" i="26"/>
  <c r="Q61" i="26"/>
  <c r="V60" i="26"/>
  <c r="T60" i="26"/>
  <c r="Q60" i="26"/>
  <c r="V59" i="26"/>
  <c r="T59" i="26"/>
  <c r="Q59" i="26"/>
  <c r="V58" i="26"/>
  <c r="T58" i="26"/>
  <c r="Q58" i="26"/>
  <c r="V57" i="26"/>
  <c r="T57" i="26"/>
  <c r="Q57" i="26"/>
  <c r="V56" i="26"/>
  <c r="T56" i="26"/>
  <c r="Q56" i="26"/>
  <c r="V55" i="26"/>
  <c r="T55" i="26"/>
  <c r="Q55" i="26"/>
  <c r="V54" i="26"/>
  <c r="T54" i="26"/>
  <c r="Q54" i="26"/>
  <c r="V53" i="26"/>
  <c r="T53" i="26"/>
  <c r="Q53" i="26"/>
  <c r="V52" i="26"/>
  <c r="T52" i="26"/>
  <c r="Q52" i="26"/>
  <c r="V51" i="26"/>
  <c r="T51" i="26"/>
  <c r="Q51" i="26"/>
  <c r="V50" i="26"/>
  <c r="T50" i="26"/>
  <c r="Q50" i="26"/>
  <c r="V49" i="26"/>
  <c r="T49" i="26"/>
  <c r="Q49" i="26"/>
  <c r="V48" i="26"/>
  <c r="T48" i="26"/>
  <c r="Q48" i="26"/>
  <c r="V47" i="26"/>
  <c r="T47" i="26"/>
  <c r="Q47" i="26"/>
  <c r="V46" i="26"/>
  <c r="T46" i="26"/>
  <c r="Q46" i="26"/>
  <c r="V45" i="26"/>
  <c r="T45" i="26"/>
  <c r="Q45" i="26"/>
  <c r="V44" i="26"/>
  <c r="T44" i="26"/>
  <c r="Q44" i="26"/>
  <c r="V43" i="26"/>
  <c r="T43" i="26"/>
  <c r="Q43" i="26"/>
  <c r="V42" i="26"/>
  <c r="T42" i="26"/>
  <c r="Q42" i="26"/>
  <c r="V41" i="26"/>
  <c r="T41" i="26"/>
  <c r="Q41" i="26"/>
  <c r="V40" i="26"/>
  <c r="T40" i="26"/>
  <c r="Q40" i="26"/>
  <c r="V39" i="26"/>
  <c r="T39" i="26"/>
  <c r="Q39" i="26"/>
  <c r="V38" i="26"/>
  <c r="T38" i="26"/>
  <c r="Q38" i="26"/>
  <c r="V37" i="26"/>
  <c r="T37" i="26"/>
  <c r="Q37" i="26"/>
  <c r="V36" i="26"/>
  <c r="T36" i="26"/>
  <c r="Q36" i="26"/>
  <c r="V35" i="26"/>
  <c r="T35" i="26"/>
  <c r="Q35" i="26"/>
  <c r="V34" i="26"/>
  <c r="T34" i="26"/>
  <c r="Q34" i="26"/>
  <c r="V33" i="26"/>
  <c r="T33" i="26"/>
  <c r="Q33" i="26"/>
  <c r="V32" i="26"/>
  <c r="T32" i="26"/>
  <c r="Q32" i="26"/>
  <c r="V31" i="26"/>
  <c r="T31" i="26"/>
  <c r="Q31" i="26"/>
  <c r="V30" i="26"/>
  <c r="T30" i="26"/>
  <c r="Q30" i="26"/>
  <c r="V29" i="26"/>
  <c r="T29" i="26"/>
  <c r="Q29" i="26"/>
  <c r="V28" i="26"/>
  <c r="T28" i="26"/>
  <c r="Q28" i="26"/>
  <c r="V27" i="26"/>
  <c r="T27" i="26"/>
  <c r="Q27" i="26"/>
  <c r="V26" i="26"/>
  <c r="T26" i="26"/>
  <c r="Q26" i="26"/>
  <c r="V25" i="26"/>
  <c r="T25" i="26"/>
  <c r="Q25" i="26"/>
  <c r="V24" i="26"/>
  <c r="T24" i="26"/>
  <c r="Q24" i="26"/>
  <c r="V23" i="26"/>
  <c r="T23" i="26"/>
  <c r="Q23" i="26"/>
  <c r="V22" i="26"/>
  <c r="T22" i="26"/>
  <c r="Q22" i="26"/>
  <c r="V21" i="26"/>
  <c r="T21" i="26"/>
  <c r="Q21" i="26"/>
  <c r="V20" i="26"/>
  <c r="T20" i="26"/>
  <c r="Q20" i="26"/>
  <c r="V19" i="26"/>
  <c r="T19" i="26"/>
  <c r="Q19" i="26"/>
  <c r="V18" i="26"/>
  <c r="T18" i="26"/>
  <c r="Q18" i="26"/>
  <c r="V17" i="26"/>
  <c r="T17" i="26"/>
  <c r="Q17" i="26"/>
  <c r="V16" i="26"/>
  <c r="T16" i="26"/>
  <c r="Q16" i="26"/>
  <c r="V15" i="26"/>
  <c r="T15" i="26"/>
  <c r="Q15" i="26"/>
  <c r="V14" i="26"/>
  <c r="T14" i="26"/>
  <c r="Q14" i="26"/>
  <c r="V13" i="26"/>
  <c r="T13" i="26"/>
  <c r="Q13" i="26"/>
  <c r="V12" i="26"/>
  <c r="T12" i="26"/>
  <c r="Q12" i="26"/>
  <c r="V11" i="26"/>
  <c r="T11" i="26"/>
  <c r="Q11" i="26"/>
  <c r="V10" i="26"/>
  <c r="T10" i="26"/>
  <c r="Q10" i="26"/>
  <c r="V9" i="26"/>
  <c r="T9" i="26"/>
  <c r="Q9" i="26"/>
  <c r="V8" i="26"/>
  <c r="T8" i="26"/>
  <c r="Q8" i="26"/>
  <c r="V7" i="26"/>
  <c r="T7" i="26"/>
  <c r="Q7" i="26"/>
  <c r="V6" i="26"/>
  <c r="T6" i="26"/>
  <c r="Q6" i="26"/>
  <c r="V5" i="26"/>
  <c r="T5" i="26"/>
  <c r="Q5" i="26"/>
  <c r="V4" i="26"/>
  <c r="T4" i="26"/>
  <c r="Q4" i="26"/>
  <c r="V3" i="26"/>
  <c r="T3" i="26"/>
  <c r="Q3" i="26"/>
  <c r="V2" i="26"/>
  <c r="T2" i="26"/>
  <c r="Q2" i="26"/>
  <c r="T263" i="25" l="1"/>
  <c r="V263" i="25" s="1"/>
  <c r="Q263" i="25"/>
  <c r="T262" i="25"/>
  <c r="V262" i="25" s="1"/>
  <c r="Q262" i="25"/>
  <c r="T261" i="25"/>
  <c r="V261" i="25" s="1"/>
  <c r="Q261" i="25"/>
  <c r="T260" i="25"/>
  <c r="V260" i="25" s="1"/>
  <c r="Q260" i="25"/>
  <c r="T259" i="25"/>
  <c r="V259" i="25" s="1"/>
  <c r="Q259" i="25"/>
  <c r="T258" i="25"/>
  <c r="V258" i="25" s="1"/>
  <c r="Q258" i="25"/>
  <c r="T257" i="25"/>
  <c r="V257" i="25" s="1"/>
  <c r="Q257" i="25"/>
  <c r="T256" i="25"/>
  <c r="V256" i="25" s="1"/>
  <c r="Q256" i="25"/>
  <c r="T255" i="25"/>
  <c r="V255" i="25" s="1"/>
  <c r="Q255" i="25"/>
  <c r="T254" i="25"/>
  <c r="V254" i="25" s="1"/>
  <c r="Q254" i="25"/>
  <c r="T253" i="25"/>
  <c r="V253" i="25" s="1"/>
  <c r="Q253" i="25"/>
  <c r="T252" i="25"/>
  <c r="V252" i="25" s="1"/>
  <c r="Q252" i="25"/>
  <c r="T251" i="25"/>
  <c r="V251" i="25" s="1"/>
  <c r="Q251" i="25"/>
  <c r="T250" i="25"/>
  <c r="V250" i="25" s="1"/>
  <c r="Q250" i="25"/>
  <c r="T249" i="25"/>
  <c r="V249" i="25" s="1"/>
  <c r="Q249" i="25"/>
  <c r="T248" i="25"/>
  <c r="V248" i="25" s="1"/>
  <c r="Q248" i="25"/>
  <c r="T247" i="25"/>
  <c r="V247" i="25" s="1"/>
  <c r="Q247" i="25"/>
  <c r="T246" i="25"/>
  <c r="V246" i="25" s="1"/>
  <c r="Q246" i="25"/>
  <c r="T245" i="25"/>
  <c r="V245" i="25" s="1"/>
  <c r="Q245" i="25"/>
  <c r="T244" i="25"/>
  <c r="V244" i="25" s="1"/>
  <c r="Q244" i="25"/>
  <c r="T243" i="25"/>
  <c r="V243" i="25" s="1"/>
  <c r="Q243" i="25"/>
  <c r="T242" i="25"/>
  <c r="V242" i="25" s="1"/>
  <c r="Q242" i="25"/>
  <c r="T241" i="25"/>
  <c r="V241" i="25" s="1"/>
  <c r="Q241" i="25"/>
  <c r="T240" i="25"/>
  <c r="V240" i="25" s="1"/>
  <c r="Q240" i="25"/>
  <c r="T239" i="25"/>
  <c r="V239" i="25" s="1"/>
  <c r="Q239" i="25"/>
  <c r="T238" i="25"/>
  <c r="V238" i="25" s="1"/>
  <c r="Q238" i="25"/>
  <c r="T237" i="25"/>
  <c r="V237" i="25" s="1"/>
  <c r="Q237" i="25"/>
  <c r="T236" i="25"/>
  <c r="V236" i="25" s="1"/>
  <c r="Q236" i="25"/>
  <c r="T235" i="25"/>
  <c r="V235" i="25" s="1"/>
  <c r="Q235" i="25"/>
  <c r="T234" i="25"/>
  <c r="V234" i="25" s="1"/>
  <c r="Q234" i="25"/>
  <c r="T233" i="25"/>
  <c r="V233" i="25" s="1"/>
  <c r="Q233" i="25"/>
  <c r="T232" i="25"/>
  <c r="V232" i="25" s="1"/>
  <c r="Q232" i="25"/>
  <c r="T231" i="25"/>
  <c r="V231" i="25" s="1"/>
  <c r="Q231" i="25"/>
  <c r="T230" i="25"/>
  <c r="V230" i="25" s="1"/>
  <c r="Q230" i="25"/>
  <c r="T229" i="25"/>
  <c r="V229" i="25" s="1"/>
  <c r="Q229" i="25"/>
  <c r="T228" i="25"/>
  <c r="V228" i="25" s="1"/>
  <c r="Q228" i="25"/>
  <c r="T227" i="25"/>
  <c r="V227" i="25" s="1"/>
  <c r="Q227" i="25"/>
  <c r="T226" i="25"/>
  <c r="V226" i="25" s="1"/>
  <c r="Q226" i="25"/>
  <c r="T225" i="25"/>
  <c r="V225" i="25" s="1"/>
  <c r="Q225" i="25"/>
  <c r="T224" i="25"/>
  <c r="V224" i="25" s="1"/>
  <c r="Q224" i="25"/>
  <c r="T223" i="25"/>
  <c r="V223" i="25" s="1"/>
  <c r="Q223" i="25"/>
  <c r="T222" i="25"/>
  <c r="V222" i="25" s="1"/>
  <c r="Q222" i="25"/>
  <c r="T221" i="25"/>
  <c r="V221" i="25" s="1"/>
  <c r="Q221" i="25"/>
  <c r="T220" i="25"/>
  <c r="V220" i="25" s="1"/>
  <c r="Q220" i="25"/>
  <c r="T219" i="25"/>
  <c r="V219" i="25" s="1"/>
  <c r="Q219" i="25"/>
  <c r="T218" i="25"/>
  <c r="V218" i="25" s="1"/>
  <c r="Q218" i="25"/>
  <c r="T217" i="25"/>
  <c r="V217" i="25" s="1"/>
  <c r="Q217" i="25"/>
  <c r="T216" i="25"/>
  <c r="V216" i="25" s="1"/>
  <c r="Q216" i="25"/>
  <c r="T215" i="25"/>
  <c r="V215" i="25" s="1"/>
  <c r="Q215" i="25"/>
  <c r="T214" i="25"/>
  <c r="V214" i="25" s="1"/>
  <c r="Q214" i="25"/>
  <c r="T213" i="25"/>
  <c r="V213" i="25" s="1"/>
  <c r="Q213" i="25"/>
  <c r="T212" i="25"/>
  <c r="V212" i="25" s="1"/>
  <c r="Q212" i="25"/>
  <c r="T211" i="25"/>
  <c r="V211" i="25" s="1"/>
  <c r="Q211" i="25"/>
  <c r="T210" i="25"/>
  <c r="V210" i="25" s="1"/>
  <c r="Q210" i="25"/>
  <c r="T209" i="25"/>
  <c r="V209" i="25" s="1"/>
  <c r="Q209" i="25"/>
  <c r="T208" i="25"/>
  <c r="V208" i="25" s="1"/>
  <c r="Q208" i="25"/>
  <c r="T207" i="25"/>
  <c r="V207" i="25" s="1"/>
  <c r="Q207" i="25"/>
  <c r="T206" i="25"/>
  <c r="V206" i="25" s="1"/>
  <c r="Q206" i="25"/>
  <c r="T205" i="25"/>
  <c r="V205" i="25" s="1"/>
  <c r="Q205" i="25"/>
  <c r="T204" i="25"/>
  <c r="V204" i="25" s="1"/>
  <c r="Q204" i="25"/>
  <c r="T203" i="25"/>
  <c r="V203" i="25" s="1"/>
  <c r="Q203" i="25"/>
  <c r="T202" i="25"/>
  <c r="V202" i="25" s="1"/>
  <c r="Q202" i="25"/>
  <c r="T201" i="25"/>
  <c r="V201" i="25" s="1"/>
  <c r="Q201" i="25"/>
  <c r="T200" i="25"/>
  <c r="V200" i="25" s="1"/>
  <c r="Q200" i="25"/>
  <c r="T199" i="25"/>
  <c r="V199" i="25" s="1"/>
  <c r="Q199" i="25"/>
  <c r="T198" i="25"/>
  <c r="V198" i="25" s="1"/>
  <c r="Q198" i="25"/>
  <c r="T197" i="25"/>
  <c r="V197" i="25" s="1"/>
  <c r="Q197" i="25"/>
  <c r="T196" i="25"/>
  <c r="V196" i="25" s="1"/>
  <c r="Q196" i="25"/>
  <c r="T195" i="25"/>
  <c r="V195" i="25" s="1"/>
  <c r="Q195" i="25"/>
  <c r="T194" i="25"/>
  <c r="V194" i="25" s="1"/>
  <c r="Q194" i="25"/>
  <c r="T193" i="25"/>
  <c r="V193" i="25" s="1"/>
  <c r="Q193" i="25"/>
  <c r="T192" i="25"/>
  <c r="V192" i="25" s="1"/>
  <c r="Q192" i="25"/>
  <c r="T191" i="25"/>
  <c r="V191" i="25" s="1"/>
  <c r="Q191" i="25"/>
  <c r="T190" i="25"/>
  <c r="V190" i="25" s="1"/>
  <c r="Q190" i="25"/>
  <c r="T189" i="25"/>
  <c r="V189" i="25" s="1"/>
  <c r="Q189" i="25"/>
  <c r="T188" i="25"/>
  <c r="V188" i="25" s="1"/>
  <c r="Q188" i="25"/>
  <c r="T187" i="25"/>
  <c r="V187" i="25" s="1"/>
  <c r="Q187" i="25"/>
  <c r="T186" i="25"/>
  <c r="V186" i="25" s="1"/>
  <c r="Q186" i="25"/>
  <c r="T185" i="25"/>
  <c r="V185" i="25" s="1"/>
  <c r="Q185" i="25"/>
  <c r="T184" i="25"/>
  <c r="V184" i="25" s="1"/>
  <c r="Q184" i="25"/>
  <c r="T183" i="25"/>
  <c r="V183" i="25" s="1"/>
  <c r="Q183" i="25"/>
  <c r="T182" i="25"/>
  <c r="V182" i="25" s="1"/>
  <c r="Q182" i="25"/>
  <c r="T181" i="25"/>
  <c r="V181" i="25" s="1"/>
  <c r="Q181" i="25"/>
  <c r="T180" i="25"/>
  <c r="V180" i="25" s="1"/>
  <c r="Q180" i="25"/>
  <c r="T179" i="25"/>
  <c r="V179" i="25" s="1"/>
  <c r="Q179" i="25"/>
  <c r="T178" i="25"/>
  <c r="V178" i="25" s="1"/>
  <c r="Q178" i="25"/>
  <c r="T177" i="25"/>
  <c r="V177" i="25" s="1"/>
  <c r="Q177" i="25"/>
  <c r="T176" i="25"/>
  <c r="V176" i="25" s="1"/>
  <c r="Q176" i="25"/>
  <c r="T175" i="25"/>
  <c r="V175" i="25" s="1"/>
  <c r="Q175" i="25"/>
  <c r="T174" i="25"/>
  <c r="V174" i="25" s="1"/>
  <c r="Q174" i="25"/>
  <c r="T173" i="25"/>
  <c r="V173" i="25" s="1"/>
  <c r="Q173" i="25"/>
  <c r="T172" i="25"/>
  <c r="V172" i="25" s="1"/>
  <c r="Q172" i="25"/>
  <c r="T171" i="25"/>
  <c r="V171" i="25" s="1"/>
  <c r="Q171" i="25"/>
  <c r="T170" i="25"/>
  <c r="V170" i="25" s="1"/>
  <c r="Q170" i="25"/>
  <c r="T169" i="25"/>
  <c r="V169" i="25" s="1"/>
  <c r="Q169" i="25"/>
  <c r="T168" i="25"/>
  <c r="V168" i="25" s="1"/>
  <c r="Q168" i="25"/>
  <c r="T167" i="25"/>
  <c r="V167" i="25" s="1"/>
  <c r="Q167" i="25"/>
  <c r="T166" i="25"/>
  <c r="V166" i="25" s="1"/>
  <c r="Q166" i="25"/>
  <c r="T165" i="25"/>
  <c r="V165" i="25" s="1"/>
  <c r="Q165" i="25"/>
  <c r="T164" i="25"/>
  <c r="V164" i="25" s="1"/>
  <c r="Q164" i="25"/>
  <c r="T163" i="25"/>
  <c r="V163" i="25" s="1"/>
  <c r="Q163" i="25"/>
  <c r="T162" i="25"/>
  <c r="V162" i="25" s="1"/>
  <c r="Q162" i="25"/>
  <c r="T161" i="25"/>
  <c r="V161" i="25" s="1"/>
  <c r="Q161" i="25"/>
  <c r="T160" i="25"/>
  <c r="V160" i="25" s="1"/>
  <c r="Q160" i="25"/>
  <c r="T159" i="25"/>
  <c r="V159" i="25" s="1"/>
  <c r="Q159" i="25"/>
  <c r="T158" i="25"/>
  <c r="V158" i="25" s="1"/>
  <c r="Q158" i="25"/>
  <c r="T157" i="25"/>
  <c r="V157" i="25" s="1"/>
  <c r="Q157" i="25"/>
  <c r="T156" i="25"/>
  <c r="V156" i="25" s="1"/>
  <c r="Q156" i="25"/>
  <c r="T155" i="25"/>
  <c r="V155" i="25" s="1"/>
  <c r="Q155" i="25"/>
  <c r="T154" i="25"/>
  <c r="V154" i="25" s="1"/>
  <c r="Q154" i="25"/>
  <c r="T153" i="25"/>
  <c r="V153" i="25" s="1"/>
  <c r="Q153" i="25"/>
  <c r="T152" i="25"/>
  <c r="V152" i="25" s="1"/>
  <c r="Q152" i="25"/>
  <c r="T151" i="25"/>
  <c r="V151" i="25" s="1"/>
  <c r="Q151" i="25"/>
  <c r="T150" i="25"/>
  <c r="V150" i="25" s="1"/>
  <c r="Q150" i="25"/>
  <c r="T149" i="25"/>
  <c r="V149" i="25" s="1"/>
  <c r="Q149" i="25"/>
  <c r="T148" i="25"/>
  <c r="V148" i="25" s="1"/>
  <c r="Q148" i="25"/>
  <c r="T147" i="25"/>
  <c r="V147" i="25" s="1"/>
  <c r="Q147" i="25"/>
  <c r="T146" i="25"/>
  <c r="V146" i="25" s="1"/>
  <c r="Q146" i="25"/>
  <c r="T145" i="25"/>
  <c r="V145" i="25" s="1"/>
  <c r="Q145" i="25"/>
  <c r="T144" i="25"/>
  <c r="V144" i="25" s="1"/>
  <c r="Q144" i="25"/>
  <c r="T143" i="25"/>
  <c r="V143" i="25" s="1"/>
  <c r="Q143" i="25"/>
  <c r="T142" i="25"/>
  <c r="V142" i="25" s="1"/>
  <c r="Q142" i="25"/>
  <c r="T141" i="25"/>
  <c r="V141" i="25" s="1"/>
  <c r="Q141" i="25"/>
  <c r="T140" i="25"/>
  <c r="V140" i="25" s="1"/>
  <c r="Q140" i="25"/>
  <c r="T139" i="25"/>
  <c r="V139" i="25" s="1"/>
  <c r="Q139" i="25"/>
  <c r="T138" i="25"/>
  <c r="V138" i="25" s="1"/>
  <c r="Q138" i="25"/>
  <c r="T137" i="25"/>
  <c r="V137" i="25" s="1"/>
  <c r="Q137" i="25"/>
  <c r="T136" i="25"/>
  <c r="V136" i="25" s="1"/>
  <c r="Q136" i="25"/>
  <c r="T135" i="25"/>
  <c r="V135" i="25" s="1"/>
  <c r="Q135" i="25"/>
  <c r="T134" i="25"/>
  <c r="V134" i="25" s="1"/>
  <c r="Q134" i="25"/>
  <c r="T133" i="25"/>
  <c r="V133" i="25" s="1"/>
  <c r="Q133" i="25"/>
  <c r="T132" i="25"/>
  <c r="V132" i="25" s="1"/>
  <c r="Q132" i="25"/>
  <c r="T131" i="25"/>
  <c r="V131" i="25" s="1"/>
  <c r="Q131" i="25"/>
  <c r="T130" i="25"/>
  <c r="V130" i="25" s="1"/>
  <c r="Q130" i="25"/>
  <c r="T129" i="25"/>
  <c r="V129" i="25" s="1"/>
  <c r="Q129" i="25"/>
  <c r="T128" i="25"/>
  <c r="V128" i="25" s="1"/>
  <c r="Q128" i="25"/>
  <c r="T127" i="25"/>
  <c r="V127" i="25" s="1"/>
  <c r="Q127" i="25"/>
  <c r="T126" i="25"/>
  <c r="V126" i="25" s="1"/>
  <c r="Q126" i="25"/>
  <c r="T125" i="25"/>
  <c r="V125" i="25" s="1"/>
  <c r="Q125" i="25"/>
  <c r="T124" i="25"/>
  <c r="V124" i="25" s="1"/>
  <c r="Q124" i="25"/>
  <c r="T123" i="25"/>
  <c r="V123" i="25" s="1"/>
  <c r="Q123" i="25"/>
  <c r="T122" i="25"/>
  <c r="V122" i="25" s="1"/>
  <c r="Q122" i="25"/>
  <c r="T121" i="25"/>
  <c r="V121" i="25" s="1"/>
  <c r="Q121" i="25"/>
  <c r="T120" i="25"/>
  <c r="V120" i="25" s="1"/>
  <c r="Q120" i="25"/>
  <c r="T119" i="25"/>
  <c r="V119" i="25" s="1"/>
  <c r="Q119" i="25"/>
  <c r="T118" i="25"/>
  <c r="V118" i="25" s="1"/>
  <c r="Q118" i="25"/>
  <c r="T117" i="25"/>
  <c r="V117" i="25" s="1"/>
  <c r="Q117" i="25"/>
  <c r="T116" i="25"/>
  <c r="V116" i="25" s="1"/>
  <c r="Q116" i="25"/>
  <c r="T115" i="25"/>
  <c r="V115" i="25" s="1"/>
  <c r="Q115" i="25"/>
  <c r="T114" i="25"/>
  <c r="V114" i="25" s="1"/>
  <c r="Q114" i="25"/>
  <c r="T113" i="25"/>
  <c r="V113" i="25" s="1"/>
  <c r="Q113" i="25"/>
  <c r="T112" i="25"/>
  <c r="V112" i="25" s="1"/>
  <c r="Q112" i="25"/>
  <c r="T111" i="25"/>
  <c r="V111" i="25" s="1"/>
  <c r="Q111" i="25"/>
  <c r="T110" i="25"/>
  <c r="V110" i="25" s="1"/>
  <c r="Q110" i="25"/>
  <c r="T109" i="25"/>
  <c r="V109" i="25" s="1"/>
  <c r="Q109" i="25"/>
  <c r="T108" i="25"/>
  <c r="V108" i="25" s="1"/>
  <c r="Q108" i="25"/>
  <c r="T107" i="25"/>
  <c r="V107" i="25" s="1"/>
  <c r="Q107" i="25"/>
  <c r="T106" i="25"/>
  <c r="V106" i="25" s="1"/>
  <c r="Q106" i="25"/>
  <c r="T105" i="25"/>
  <c r="V105" i="25" s="1"/>
  <c r="Q105" i="25"/>
  <c r="T104" i="25"/>
  <c r="V104" i="25" s="1"/>
  <c r="Q104" i="25"/>
  <c r="T103" i="25"/>
  <c r="V103" i="25" s="1"/>
  <c r="Q103" i="25"/>
  <c r="T102" i="25"/>
  <c r="V102" i="25" s="1"/>
  <c r="Q102" i="25"/>
  <c r="T101" i="25"/>
  <c r="V101" i="25" s="1"/>
  <c r="Q101" i="25"/>
  <c r="T100" i="25"/>
  <c r="V100" i="25" s="1"/>
  <c r="Q100" i="25"/>
  <c r="T99" i="25"/>
  <c r="V99" i="25" s="1"/>
  <c r="Q99" i="25"/>
  <c r="T98" i="25"/>
  <c r="V98" i="25" s="1"/>
  <c r="Q98" i="25"/>
  <c r="T97" i="25"/>
  <c r="V97" i="25" s="1"/>
  <c r="Q97" i="25"/>
  <c r="T96" i="25"/>
  <c r="V96" i="25" s="1"/>
  <c r="Q96" i="25"/>
  <c r="T95" i="25"/>
  <c r="V95" i="25" s="1"/>
  <c r="Q95" i="25"/>
  <c r="T94" i="25"/>
  <c r="V94" i="25" s="1"/>
  <c r="Q94" i="25"/>
  <c r="T93" i="25"/>
  <c r="V93" i="25" s="1"/>
  <c r="Q93" i="25"/>
  <c r="T92" i="25"/>
  <c r="V92" i="25" s="1"/>
  <c r="Q92" i="25"/>
  <c r="T91" i="25"/>
  <c r="V91" i="25" s="1"/>
  <c r="Q91" i="25"/>
  <c r="T90" i="25"/>
  <c r="V90" i="25" s="1"/>
  <c r="Q90" i="25"/>
  <c r="T89" i="25"/>
  <c r="V89" i="25" s="1"/>
  <c r="Q89" i="25"/>
  <c r="T88" i="25"/>
  <c r="V88" i="25" s="1"/>
  <c r="Q88" i="25"/>
  <c r="T87" i="25"/>
  <c r="V87" i="25" s="1"/>
  <c r="Q87" i="25"/>
  <c r="T86" i="25"/>
  <c r="V86" i="25" s="1"/>
  <c r="Q86" i="25"/>
  <c r="T85" i="25"/>
  <c r="V85" i="25" s="1"/>
  <c r="Q85" i="25"/>
  <c r="T84" i="25"/>
  <c r="V84" i="25" s="1"/>
  <c r="Q84" i="25"/>
  <c r="T83" i="25"/>
  <c r="V83" i="25" s="1"/>
  <c r="Q83" i="25"/>
  <c r="T82" i="25"/>
  <c r="V82" i="25" s="1"/>
  <c r="Q82" i="25"/>
  <c r="T81" i="25"/>
  <c r="V81" i="25" s="1"/>
  <c r="Q81" i="25"/>
  <c r="T80" i="25"/>
  <c r="V80" i="25" s="1"/>
  <c r="Q80" i="25"/>
  <c r="T79" i="25"/>
  <c r="V79" i="25" s="1"/>
  <c r="Q79" i="25"/>
  <c r="T78" i="25"/>
  <c r="V78" i="25" s="1"/>
  <c r="Q78" i="25"/>
  <c r="T77" i="25"/>
  <c r="V77" i="25" s="1"/>
  <c r="Q77" i="25"/>
  <c r="T76" i="25"/>
  <c r="V76" i="25" s="1"/>
  <c r="Q76" i="25"/>
  <c r="T75" i="25"/>
  <c r="V75" i="25" s="1"/>
  <c r="Q75" i="25"/>
  <c r="T74" i="25"/>
  <c r="V74" i="25" s="1"/>
  <c r="Q74" i="25"/>
  <c r="T73" i="25"/>
  <c r="V73" i="25" s="1"/>
  <c r="Q73" i="25"/>
  <c r="T72" i="25"/>
  <c r="V72" i="25" s="1"/>
  <c r="Q72" i="25"/>
  <c r="T71" i="25"/>
  <c r="V71" i="25" s="1"/>
  <c r="Q71" i="25"/>
  <c r="T70" i="25"/>
  <c r="V70" i="25" s="1"/>
  <c r="Q70" i="25"/>
  <c r="T69" i="25"/>
  <c r="V69" i="25" s="1"/>
  <c r="Q69" i="25"/>
  <c r="T68" i="25"/>
  <c r="V68" i="25" s="1"/>
  <c r="Q68" i="25"/>
  <c r="T67" i="25"/>
  <c r="V67" i="25" s="1"/>
  <c r="Q67" i="25"/>
  <c r="T66" i="25"/>
  <c r="V66" i="25" s="1"/>
  <c r="Q66" i="25"/>
  <c r="T65" i="25"/>
  <c r="V65" i="25" s="1"/>
  <c r="Q65" i="25"/>
  <c r="T64" i="25"/>
  <c r="V64" i="25" s="1"/>
  <c r="Q64" i="25"/>
  <c r="T63" i="25"/>
  <c r="V63" i="25" s="1"/>
  <c r="Q63" i="25"/>
  <c r="T62" i="25"/>
  <c r="V62" i="25" s="1"/>
  <c r="Q62" i="25"/>
  <c r="T61" i="25"/>
  <c r="V61" i="25" s="1"/>
  <c r="Q61" i="25"/>
  <c r="T60" i="25"/>
  <c r="V60" i="25" s="1"/>
  <c r="Q60" i="25"/>
  <c r="T59" i="25"/>
  <c r="V59" i="25" s="1"/>
  <c r="Q59" i="25"/>
  <c r="T58" i="25"/>
  <c r="V58" i="25" s="1"/>
  <c r="Q58" i="25"/>
  <c r="T57" i="25"/>
  <c r="V57" i="25" s="1"/>
  <c r="Q57" i="25"/>
  <c r="T56" i="25"/>
  <c r="V56" i="25" s="1"/>
  <c r="Q56" i="25"/>
  <c r="T55" i="25"/>
  <c r="V55" i="25" s="1"/>
  <c r="Q55" i="25"/>
  <c r="T54" i="25"/>
  <c r="V54" i="25" s="1"/>
  <c r="Q54" i="25"/>
  <c r="T53" i="25"/>
  <c r="V53" i="25" s="1"/>
  <c r="Q53" i="25"/>
  <c r="T52" i="25"/>
  <c r="V52" i="25" s="1"/>
  <c r="Q52" i="25"/>
  <c r="T51" i="25"/>
  <c r="V51" i="25" s="1"/>
  <c r="Q51" i="25"/>
  <c r="T50" i="25"/>
  <c r="V50" i="25" s="1"/>
  <c r="Q50" i="25"/>
  <c r="T49" i="25"/>
  <c r="V49" i="25" s="1"/>
  <c r="Q49" i="25"/>
  <c r="T48" i="25"/>
  <c r="V48" i="25" s="1"/>
  <c r="Q48" i="25"/>
  <c r="T47" i="25"/>
  <c r="V47" i="25" s="1"/>
  <c r="Q47" i="25"/>
  <c r="T46" i="25"/>
  <c r="V46" i="25" s="1"/>
  <c r="Q46" i="25"/>
  <c r="T45" i="25"/>
  <c r="V45" i="25" s="1"/>
  <c r="Q45" i="25"/>
  <c r="T44" i="25"/>
  <c r="V44" i="25" s="1"/>
  <c r="Q44" i="25"/>
  <c r="T43" i="25"/>
  <c r="V43" i="25" s="1"/>
  <c r="Q43" i="25"/>
  <c r="T42" i="25"/>
  <c r="V42" i="25" s="1"/>
  <c r="Q42" i="25"/>
  <c r="T41" i="25"/>
  <c r="V41" i="25" s="1"/>
  <c r="Q41" i="25"/>
  <c r="T40" i="25"/>
  <c r="V40" i="25" s="1"/>
  <c r="Q40" i="25"/>
  <c r="T39" i="25"/>
  <c r="V39" i="25" s="1"/>
  <c r="Q39" i="25"/>
  <c r="T38" i="25"/>
  <c r="V38" i="25" s="1"/>
  <c r="Q38" i="25"/>
  <c r="T37" i="25"/>
  <c r="V37" i="25" s="1"/>
  <c r="Q37" i="25"/>
  <c r="T36" i="25"/>
  <c r="V36" i="25" s="1"/>
  <c r="Q36" i="25"/>
  <c r="T35" i="25"/>
  <c r="V35" i="25" s="1"/>
  <c r="Q35" i="25"/>
  <c r="T34" i="25"/>
  <c r="V34" i="25" s="1"/>
  <c r="Q34" i="25"/>
  <c r="T33" i="25"/>
  <c r="V33" i="25" s="1"/>
  <c r="Q33" i="25"/>
  <c r="T32" i="25"/>
  <c r="V32" i="25" s="1"/>
  <c r="Q32" i="25"/>
  <c r="T31" i="25"/>
  <c r="V31" i="25" s="1"/>
  <c r="Q31" i="25"/>
  <c r="T30" i="25"/>
  <c r="V30" i="25" s="1"/>
  <c r="Q30" i="25"/>
  <c r="T29" i="25"/>
  <c r="V29" i="25" s="1"/>
  <c r="Q29" i="25"/>
  <c r="T28" i="25"/>
  <c r="V28" i="25" s="1"/>
  <c r="Q28" i="25"/>
  <c r="T27" i="25"/>
  <c r="V27" i="25" s="1"/>
  <c r="Q27" i="25"/>
  <c r="T26" i="25"/>
  <c r="V26" i="25" s="1"/>
  <c r="Q26" i="25"/>
  <c r="T25" i="25"/>
  <c r="V25" i="25" s="1"/>
  <c r="Q25" i="25"/>
  <c r="T24" i="25"/>
  <c r="V24" i="25" s="1"/>
  <c r="Q24" i="25"/>
  <c r="T23" i="25"/>
  <c r="V23" i="25" s="1"/>
  <c r="Q23" i="25"/>
  <c r="T22" i="25"/>
  <c r="V22" i="25" s="1"/>
  <c r="Q22" i="25"/>
  <c r="T21" i="25"/>
  <c r="V21" i="25" s="1"/>
  <c r="Q21" i="25"/>
  <c r="T20" i="25"/>
  <c r="V20" i="25" s="1"/>
  <c r="Q20" i="25"/>
  <c r="T19" i="25"/>
  <c r="V19" i="25" s="1"/>
  <c r="Q19" i="25"/>
  <c r="T18" i="25"/>
  <c r="V18" i="25" s="1"/>
  <c r="Q18" i="25"/>
  <c r="T17" i="25"/>
  <c r="V17" i="25" s="1"/>
  <c r="Q17" i="25"/>
  <c r="T16" i="25"/>
  <c r="V16" i="25" s="1"/>
  <c r="Q16" i="25"/>
  <c r="T15" i="25"/>
  <c r="V15" i="25" s="1"/>
  <c r="Q15" i="25"/>
  <c r="T14" i="25"/>
  <c r="V14" i="25" s="1"/>
  <c r="Q14" i="25"/>
  <c r="T13" i="25"/>
  <c r="V13" i="25" s="1"/>
  <c r="Q13" i="25"/>
  <c r="T12" i="25"/>
  <c r="V12" i="25" s="1"/>
  <c r="Q12" i="25"/>
  <c r="T11" i="25"/>
  <c r="V11" i="25" s="1"/>
  <c r="Q11" i="25"/>
  <c r="T10" i="25"/>
  <c r="V10" i="25" s="1"/>
  <c r="Q10" i="25"/>
  <c r="T9" i="25"/>
  <c r="V9" i="25" s="1"/>
  <c r="Q9" i="25"/>
  <c r="T8" i="25"/>
  <c r="V8" i="25" s="1"/>
  <c r="Q8" i="25"/>
  <c r="T7" i="25"/>
  <c r="V7" i="25" s="1"/>
  <c r="Q7" i="25"/>
  <c r="T6" i="25"/>
  <c r="V6" i="25" s="1"/>
  <c r="Q6" i="25"/>
  <c r="T5" i="25"/>
  <c r="V5" i="25" s="1"/>
  <c r="Q5" i="25"/>
  <c r="T4" i="25"/>
  <c r="V4" i="25" s="1"/>
  <c r="Q4" i="25"/>
  <c r="T3" i="25"/>
  <c r="V3" i="25" s="1"/>
  <c r="Q3" i="25"/>
  <c r="T2" i="25"/>
  <c r="V2" i="25" s="1"/>
  <c r="Q2" i="25"/>
  <c r="T136" i="24" l="1"/>
  <c r="V136" i="24" s="1"/>
  <c r="Q136" i="24"/>
  <c r="T135" i="24"/>
  <c r="V135" i="24" s="1"/>
  <c r="Q135" i="24"/>
  <c r="T134" i="24"/>
  <c r="V134" i="24" s="1"/>
  <c r="Q134" i="24"/>
  <c r="V133" i="24"/>
  <c r="T133" i="24"/>
  <c r="Q133" i="24"/>
  <c r="T132" i="24"/>
  <c r="V132" i="24" s="1"/>
  <c r="Q132" i="24"/>
  <c r="T131" i="24"/>
  <c r="V131" i="24" s="1"/>
  <c r="Q131" i="24"/>
  <c r="T130" i="24"/>
  <c r="V130" i="24" s="1"/>
  <c r="Q130" i="24"/>
  <c r="V129" i="24"/>
  <c r="T129" i="24"/>
  <c r="Q129" i="24"/>
  <c r="T128" i="24"/>
  <c r="V128" i="24" s="1"/>
  <c r="Q128" i="24"/>
  <c r="T127" i="24"/>
  <c r="V127" i="24" s="1"/>
  <c r="Q127" i="24"/>
  <c r="T126" i="24"/>
  <c r="V126" i="24" s="1"/>
  <c r="Q126" i="24"/>
  <c r="V125" i="24"/>
  <c r="T125" i="24"/>
  <c r="Q125" i="24"/>
  <c r="T124" i="24"/>
  <c r="V124" i="24" s="1"/>
  <c r="Q124" i="24"/>
  <c r="T123" i="24"/>
  <c r="V123" i="24" s="1"/>
  <c r="Q123" i="24"/>
  <c r="T122" i="24"/>
  <c r="V122" i="24" s="1"/>
  <c r="Q122" i="24"/>
  <c r="V121" i="24"/>
  <c r="T121" i="24"/>
  <c r="Q121" i="24"/>
  <c r="T120" i="24"/>
  <c r="V120" i="24" s="1"/>
  <c r="Q120" i="24"/>
  <c r="T119" i="24"/>
  <c r="V119" i="24" s="1"/>
  <c r="Q119" i="24"/>
  <c r="T118" i="24"/>
  <c r="V118" i="24" s="1"/>
  <c r="Q118" i="24"/>
  <c r="V117" i="24"/>
  <c r="T117" i="24"/>
  <c r="Q117" i="24"/>
  <c r="T116" i="24"/>
  <c r="V116" i="24" s="1"/>
  <c r="Q116" i="24"/>
  <c r="T115" i="24"/>
  <c r="V115" i="24" s="1"/>
  <c r="Q115" i="24"/>
  <c r="T114" i="24"/>
  <c r="V114" i="24" s="1"/>
  <c r="Q114" i="24"/>
  <c r="V113" i="24"/>
  <c r="T113" i="24"/>
  <c r="Q113" i="24"/>
  <c r="T112" i="24"/>
  <c r="V112" i="24" s="1"/>
  <c r="Q112" i="24"/>
  <c r="T111" i="24"/>
  <c r="V111" i="24" s="1"/>
  <c r="Q111" i="24"/>
  <c r="T110" i="24"/>
  <c r="V110" i="24" s="1"/>
  <c r="Q110" i="24"/>
  <c r="V109" i="24"/>
  <c r="T109" i="24"/>
  <c r="Q109" i="24"/>
  <c r="T108" i="24"/>
  <c r="V108" i="24" s="1"/>
  <c r="Q108" i="24"/>
  <c r="T107" i="24"/>
  <c r="V107" i="24" s="1"/>
  <c r="Q107" i="24"/>
  <c r="T106" i="24"/>
  <c r="V106" i="24" s="1"/>
  <c r="Q106" i="24"/>
  <c r="V105" i="24"/>
  <c r="T105" i="24"/>
  <c r="Q105" i="24"/>
  <c r="T104" i="24"/>
  <c r="V104" i="24" s="1"/>
  <c r="Q104" i="24"/>
  <c r="T103" i="24"/>
  <c r="V103" i="24" s="1"/>
  <c r="Q103" i="24"/>
  <c r="T102" i="24"/>
  <c r="V102" i="24" s="1"/>
  <c r="Q102" i="24"/>
  <c r="T101" i="24"/>
  <c r="V101" i="24" s="1"/>
  <c r="Q101" i="24"/>
  <c r="T100" i="24"/>
  <c r="V100" i="24" s="1"/>
  <c r="Q100" i="24"/>
  <c r="T99" i="24"/>
  <c r="V99" i="24" s="1"/>
  <c r="Q99" i="24"/>
  <c r="T98" i="24"/>
  <c r="V98" i="24" s="1"/>
  <c r="Q98" i="24"/>
  <c r="T97" i="24"/>
  <c r="V97" i="24" s="1"/>
  <c r="Q97" i="24"/>
  <c r="T96" i="24"/>
  <c r="V96" i="24" s="1"/>
  <c r="Q96" i="24"/>
  <c r="T95" i="24"/>
  <c r="V95" i="24" s="1"/>
  <c r="Q95" i="24"/>
  <c r="T94" i="24"/>
  <c r="V94" i="24" s="1"/>
  <c r="Q94" i="24"/>
  <c r="T93" i="24"/>
  <c r="V93" i="24" s="1"/>
  <c r="Q93" i="24"/>
  <c r="T92" i="24"/>
  <c r="V92" i="24" s="1"/>
  <c r="Q92" i="24"/>
  <c r="T91" i="24"/>
  <c r="V91" i="24" s="1"/>
  <c r="Q91" i="24"/>
  <c r="T90" i="24"/>
  <c r="V90" i="24" s="1"/>
  <c r="Q90" i="24"/>
  <c r="T89" i="24"/>
  <c r="V89" i="24" s="1"/>
  <c r="Q89" i="24"/>
  <c r="T88" i="24"/>
  <c r="V88" i="24" s="1"/>
  <c r="Q88" i="24"/>
  <c r="T87" i="24"/>
  <c r="V87" i="24" s="1"/>
  <c r="Q87" i="24"/>
  <c r="T86" i="24"/>
  <c r="V86" i="24" s="1"/>
  <c r="Q86" i="24"/>
  <c r="T85" i="24"/>
  <c r="V85" i="24" s="1"/>
  <c r="Q85" i="24"/>
  <c r="T84" i="24"/>
  <c r="V84" i="24" s="1"/>
  <c r="Q84" i="24"/>
  <c r="T83" i="24"/>
  <c r="V83" i="24" s="1"/>
  <c r="Q83" i="24"/>
  <c r="T82" i="24"/>
  <c r="V82" i="24" s="1"/>
  <c r="Q82" i="24"/>
  <c r="T81" i="24"/>
  <c r="V81" i="24" s="1"/>
  <c r="Q81" i="24"/>
  <c r="T80" i="24"/>
  <c r="V80" i="24" s="1"/>
  <c r="Q80" i="24"/>
  <c r="T79" i="24"/>
  <c r="V79" i="24" s="1"/>
  <c r="Q79" i="24"/>
  <c r="T78" i="24"/>
  <c r="V78" i="24" s="1"/>
  <c r="Q78" i="24"/>
  <c r="T77" i="24"/>
  <c r="V77" i="24" s="1"/>
  <c r="Q77" i="24"/>
  <c r="T76" i="24"/>
  <c r="V76" i="24" s="1"/>
  <c r="Q76" i="24"/>
  <c r="T75" i="24"/>
  <c r="V75" i="24" s="1"/>
  <c r="Q75" i="24"/>
  <c r="T74" i="24"/>
  <c r="V74" i="24" s="1"/>
  <c r="Q74" i="24"/>
  <c r="T73" i="24"/>
  <c r="V73" i="24" s="1"/>
  <c r="Q73" i="24"/>
  <c r="T72" i="24"/>
  <c r="V72" i="24" s="1"/>
  <c r="Q72" i="24"/>
  <c r="T71" i="24"/>
  <c r="V71" i="24" s="1"/>
  <c r="Q71" i="24"/>
  <c r="T70" i="24"/>
  <c r="V70" i="24" s="1"/>
  <c r="Q70" i="24"/>
  <c r="T69" i="24"/>
  <c r="V69" i="24" s="1"/>
  <c r="Q69" i="24"/>
  <c r="T68" i="24"/>
  <c r="V68" i="24" s="1"/>
  <c r="Q68" i="24"/>
  <c r="T67" i="24"/>
  <c r="V67" i="24" s="1"/>
  <c r="Q67" i="24"/>
  <c r="T66" i="24"/>
  <c r="V66" i="24" s="1"/>
  <c r="Q66" i="24"/>
  <c r="T65" i="24"/>
  <c r="V65" i="24" s="1"/>
  <c r="Q65" i="24"/>
  <c r="T64" i="24"/>
  <c r="V64" i="24" s="1"/>
  <c r="Q64" i="24"/>
  <c r="T63" i="24"/>
  <c r="V63" i="24" s="1"/>
  <c r="Q63" i="24"/>
  <c r="T62" i="24"/>
  <c r="V62" i="24" s="1"/>
  <c r="Q62" i="24"/>
  <c r="T61" i="24"/>
  <c r="V61" i="24" s="1"/>
  <c r="Q61" i="24"/>
  <c r="T60" i="24"/>
  <c r="V60" i="24" s="1"/>
  <c r="Q60" i="24"/>
  <c r="T59" i="24"/>
  <c r="V59" i="24" s="1"/>
  <c r="Q59" i="24"/>
  <c r="T58" i="24"/>
  <c r="V58" i="24" s="1"/>
  <c r="Q58" i="24"/>
  <c r="T57" i="24"/>
  <c r="V57" i="24" s="1"/>
  <c r="Q57" i="24"/>
  <c r="T56" i="24"/>
  <c r="V56" i="24" s="1"/>
  <c r="Q56" i="24"/>
  <c r="T55" i="24"/>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Q121" i="23" l="1"/>
  <c r="T116" i="23"/>
  <c r="T117" i="23"/>
  <c r="T118" i="23"/>
  <c r="T119" i="23"/>
  <c r="T120" i="23"/>
  <c r="T121" i="23"/>
  <c r="Q101" i="23"/>
  <c r="Q102" i="23"/>
  <c r="Q103" i="23"/>
  <c r="Q104" i="23"/>
  <c r="Q105" i="23"/>
  <c r="Q106" i="23"/>
  <c r="Q107" i="23"/>
  <c r="T103" i="23"/>
  <c r="T104" i="23"/>
  <c r="T105" i="23"/>
  <c r="T106" i="23"/>
  <c r="T107" i="23"/>
  <c r="T108" i="23"/>
  <c r="T109" i="23"/>
  <c r="T110" i="23"/>
  <c r="T111" i="23"/>
  <c r="T112" i="23"/>
  <c r="Q90" i="23"/>
  <c r="Q91" i="23"/>
  <c r="Q92" i="23"/>
  <c r="Q93" i="23"/>
  <c r="Q94" i="23"/>
  <c r="Q95" i="23"/>
  <c r="Q96" i="23"/>
  <c r="Q69" i="23"/>
  <c r="T14" i="23"/>
  <c r="V108" i="23" l="1"/>
  <c r="V109" i="23"/>
  <c r="V110" i="23"/>
  <c r="V111" i="23"/>
  <c r="V112" i="23"/>
  <c r="V119" i="23"/>
  <c r="V120" i="23"/>
  <c r="T6" i="23"/>
  <c r="T7" i="23"/>
  <c r="T8" i="23"/>
  <c r="T9" i="23"/>
  <c r="T10" i="23"/>
  <c r="T11" i="23"/>
  <c r="T12" i="23"/>
  <c r="T13" i="23"/>
  <c r="V14" i="23"/>
  <c r="T15" i="23"/>
  <c r="V15" i="23" s="1"/>
  <c r="T16" i="23"/>
  <c r="V16" i="23" s="1"/>
  <c r="T17" i="23"/>
  <c r="V17" i="23" s="1"/>
  <c r="T18" i="23"/>
  <c r="V18" i="23" s="1"/>
  <c r="T19" i="23"/>
  <c r="V19" i="23" s="1"/>
  <c r="T20" i="23"/>
  <c r="V20" i="23" s="1"/>
  <c r="T21" i="23"/>
  <c r="V21" i="23" s="1"/>
  <c r="T22" i="23"/>
  <c r="V22" i="23" s="1"/>
  <c r="T23" i="23"/>
  <c r="V23" i="23" s="1"/>
  <c r="T24" i="23"/>
  <c r="V24" i="23" s="1"/>
  <c r="T25" i="23"/>
  <c r="V25" i="23" s="1"/>
  <c r="T26" i="23"/>
  <c r="V26" i="23" s="1"/>
  <c r="T27" i="23"/>
  <c r="V27" i="23" s="1"/>
  <c r="T28" i="23"/>
  <c r="V28" i="23" s="1"/>
  <c r="T29" i="23"/>
  <c r="V29" i="23" s="1"/>
  <c r="T30" i="23"/>
  <c r="V30" i="23" s="1"/>
  <c r="T31" i="23"/>
  <c r="V31" i="23" s="1"/>
  <c r="T32" i="23"/>
  <c r="V32" i="23" s="1"/>
  <c r="T33" i="23"/>
  <c r="V33" i="23" s="1"/>
  <c r="T34" i="23"/>
  <c r="V34" i="23" s="1"/>
  <c r="T35" i="23"/>
  <c r="V35" i="23" s="1"/>
  <c r="T36" i="23"/>
  <c r="V36" i="23" s="1"/>
  <c r="T37" i="23"/>
  <c r="V37" i="23" s="1"/>
  <c r="T38" i="23"/>
  <c r="V38" i="23" s="1"/>
  <c r="T39" i="23"/>
  <c r="V39" i="23" s="1"/>
  <c r="T40" i="23"/>
  <c r="V40" i="23" s="1"/>
  <c r="T41" i="23"/>
  <c r="V41" i="23" s="1"/>
  <c r="T42" i="23"/>
  <c r="V42" i="23" s="1"/>
  <c r="T43" i="23"/>
  <c r="V43" i="23" s="1"/>
  <c r="T44" i="23"/>
  <c r="V44" i="23" s="1"/>
  <c r="T45" i="23"/>
  <c r="V45" i="23" s="1"/>
  <c r="T46" i="23"/>
  <c r="V46" i="23" s="1"/>
  <c r="T47" i="23"/>
  <c r="V47" i="23" s="1"/>
  <c r="T48" i="23"/>
  <c r="V48" i="23" s="1"/>
  <c r="T49" i="23"/>
  <c r="V49" i="23" s="1"/>
  <c r="T50" i="23"/>
  <c r="V50" i="23" s="1"/>
  <c r="T51" i="23"/>
  <c r="V51" i="23" s="1"/>
  <c r="T52" i="23"/>
  <c r="V52" i="23" s="1"/>
  <c r="T53" i="23"/>
  <c r="V53" i="23" s="1"/>
  <c r="T54" i="23"/>
  <c r="V54" i="23" s="1"/>
  <c r="T55" i="23"/>
  <c r="V55" i="23" s="1"/>
  <c r="T56" i="23"/>
  <c r="V56" i="23" s="1"/>
  <c r="T57" i="23"/>
  <c r="V57" i="23" s="1"/>
  <c r="T58" i="23"/>
  <c r="V58" i="23" s="1"/>
  <c r="T59" i="23"/>
  <c r="V59" i="23" s="1"/>
  <c r="T60" i="23"/>
  <c r="V60" i="23" s="1"/>
  <c r="T61" i="23"/>
  <c r="V61" i="23" s="1"/>
  <c r="T62" i="23"/>
  <c r="V62" i="23" s="1"/>
  <c r="T63" i="23"/>
  <c r="V63" i="23" s="1"/>
  <c r="T64" i="23"/>
  <c r="V64" i="23" s="1"/>
  <c r="T65" i="23"/>
  <c r="V65" i="23" s="1"/>
  <c r="T66" i="23"/>
  <c r="V66" i="23" s="1"/>
  <c r="T67" i="23"/>
  <c r="V67" i="23" s="1"/>
  <c r="T68" i="23"/>
  <c r="V68" i="23" s="1"/>
  <c r="T69" i="23"/>
  <c r="V69" i="23" s="1"/>
  <c r="T70" i="23"/>
  <c r="V70" i="23" s="1"/>
  <c r="T71" i="23"/>
  <c r="V71" i="23" s="1"/>
  <c r="T72" i="23"/>
  <c r="V72" i="23" s="1"/>
  <c r="T73" i="23"/>
  <c r="V73" i="23" s="1"/>
  <c r="T74" i="23"/>
  <c r="V74" i="23" s="1"/>
  <c r="T75" i="23"/>
  <c r="V75" i="23" s="1"/>
  <c r="T76" i="23"/>
  <c r="V76" i="23" s="1"/>
  <c r="T77" i="23"/>
  <c r="V77" i="23" s="1"/>
  <c r="T78" i="23"/>
  <c r="V78" i="23" s="1"/>
  <c r="T79" i="23"/>
  <c r="V79" i="23" s="1"/>
  <c r="T80" i="23"/>
  <c r="V80" i="23" s="1"/>
  <c r="T81" i="23"/>
  <c r="V81" i="23" s="1"/>
  <c r="T82" i="23"/>
  <c r="V82" i="23" s="1"/>
  <c r="T83" i="23"/>
  <c r="V83" i="23" s="1"/>
  <c r="T84" i="23"/>
  <c r="V84" i="23" s="1"/>
  <c r="T85" i="23"/>
  <c r="V85" i="23" s="1"/>
  <c r="T86" i="23"/>
  <c r="V86" i="23" s="1"/>
  <c r="T87" i="23"/>
  <c r="V87" i="23" s="1"/>
  <c r="T88" i="23"/>
  <c r="V88" i="23" s="1"/>
  <c r="T89" i="23"/>
  <c r="V89" i="23" s="1"/>
  <c r="T90" i="23"/>
  <c r="V90" i="23" s="1"/>
  <c r="T91" i="23"/>
  <c r="V91" i="23" s="1"/>
  <c r="T92" i="23"/>
  <c r="V92" i="23" s="1"/>
  <c r="T93" i="23"/>
  <c r="V93" i="23" s="1"/>
  <c r="T94" i="23"/>
  <c r="V94" i="23" s="1"/>
  <c r="T95" i="23"/>
  <c r="V95" i="23" s="1"/>
  <c r="T96" i="23"/>
  <c r="V96" i="23" s="1"/>
  <c r="T97" i="23"/>
  <c r="V97" i="23" s="1"/>
  <c r="T98" i="23"/>
  <c r="V98" i="23" s="1"/>
  <c r="T99" i="23"/>
  <c r="V99" i="23" s="1"/>
  <c r="T100" i="23"/>
  <c r="V100" i="23" s="1"/>
  <c r="T101" i="23"/>
  <c r="V101" i="23" s="1"/>
  <c r="T102" i="23"/>
  <c r="V102" i="23" s="1"/>
  <c r="V103" i="23"/>
  <c r="V104" i="23"/>
  <c r="V105" i="23"/>
  <c r="V106" i="23"/>
  <c r="V107" i="23"/>
  <c r="T113" i="23"/>
  <c r="V113" i="23" s="1"/>
  <c r="T114" i="23"/>
  <c r="V114" i="23" s="1"/>
  <c r="T115" i="23"/>
  <c r="V115" i="23" s="1"/>
  <c r="V116" i="23"/>
  <c r="V117" i="23"/>
  <c r="V118" i="23"/>
  <c r="V121" i="23"/>
  <c r="T122" i="23"/>
  <c r="V122" i="23" s="1"/>
  <c r="T123" i="23"/>
  <c r="V123" i="23" s="1"/>
  <c r="T124" i="23"/>
  <c r="V124" i="23" s="1"/>
  <c r="T125" i="23"/>
  <c r="V125" i="23" s="1"/>
  <c r="T126" i="23"/>
  <c r="V126" i="23" s="1"/>
  <c r="T127" i="23"/>
  <c r="V127" i="23" s="1"/>
  <c r="T128" i="23"/>
  <c r="V128" i="23" s="1"/>
  <c r="T129" i="23"/>
  <c r="V129" i="23" s="1"/>
  <c r="T130" i="23"/>
  <c r="V130" i="23" s="1"/>
  <c r="T131" i="23"/>
  <c r="V131" i="23" s="1"/>
  <c r="T132" i="23"/>
  <c r="V132" i="23" s="1"/>
  <c r="T133" i="23"/>
  <c r="V133" i="23" s="1"/>
  <c r="T134" i="23"/>
  <c r="V134" i="23" s="1"/>
  <c r="T135" i="23"/>
  <c r="V135" i="23" s="1"/>
  <c r="T136" i="23"/>
  <c r="V136" i="23" s="1"/>
  <c r="T137" i="23"/>
  <c r="V137" i="23" s="1"/>
  <c r="T138" i="23"/>
  <c r="V138" i="23" s="1"/>
  <c r="T139" i="23"/>
  <c r="V139" i="23" s="1"/>
  <c r="T140" i="23"/>
  <c r="V140" i="23" s="1"/>
  <c r="T141" i="23"/>
  <c r="V141" i="23" s="1"/>
  <c r="T142" i="23"/>
  <c r="V142" i="23" s="1"/>
  <c r="T143" i="23"/>
  <c r="V143" i="23" s="1"/>
  <c r="T144" i="23"/>
  <c r="V144" i="23" s="1"/>
  <c r="T145" i="23"/>
  <c r="V145" i="23" s="1"/>
  <c r="T146" i="23"/>
  <c r="V146" i="23" s="1"/>
  <c r="T147" i="23"/>
  <c r="V147" i="23" s="1"/>
  <c r="T148" i="23"/>
  <c r="V148" i="23" s="1"/>
  <c r="T149" i="23"/>
  <c r="V149" i="23" s="1"/>
  <c r="T150" i="23"/>
  <c r="V150" i="23" s="1"/>
  <c r="T151" i="23"/>
  <c r="V151" i="23" s="1"/>
  <c r="T152" i="23"/>
  <c r="V152" i="23" s="1"/>
  <c r="T153" i="23"/>
  <c r="V153" i="23" s="1"/>
  <c r="T154" i="23"/>
  <c r="V154" i="23" s="1"/>
  <c r="T155" i="23"/>
  <c r="V155" i="23" s="1"/>
  <c r="T156" i="23"/>
  <c r="V156" i="23" s="1"/>
  <c r="T157" i="23"/>
  <c r="V157" i="23" s="1"/>
  <c r="T158" i="23"/>
  <c r="V158" i="23" s="1"/>
  <c r="T159" i="23"/>
  <c r="V159" i="23" s="1"/>
  <c r="T160" i="23"/>
  <c r="V160" i="23" s="1"/>
  <c r="T161" i="23"/>
  <c r="V161" i="23" s="1"/>
  <c r="T162" i="23"/>
  <c r="V162" i="23" s="1"/>
  <c r="T163" i="23"/>
  <c r="V163" i="23" s="1"/>
  <c r="T164" i="23"/>
  <c r="V164" i="23" s="1"/>
  <c r="T165" i="23"/>
  <c r="V165" i="23" s="1"/>
  <c r="T166" i="23"/>
  <c r="V166" i="23" s="1"/>
  <c r="T167" i="23"/>
  <c r="V167" i="23" s="1"/>
  <c r="T168" i="23"/>
  <c r="V168" i="23" s="1"/>
  <c r="T169" i="23"/>
  <c r="V169" i="23" s="1"/>
  <c r="T170" i="23"/>
  <c r="V170" i="23" s="1"/>
  <c r="T171" i="23"/>
  <c r="V171" i="23" s="1"/>
  <c r="T172" i="23"/>
  <c r="V172" i="23" s="1"/>
  <c r="T173" i="23"/>
  <c r="V173" i="23" s="1"/>
  <c r="T174" i="23"/>
  <c r="V174" i="23" s="1"/>
  <c r="T175" i="23"/>
  <c r="V175" i="23" s="1"/>
  <c r="T176" i="23"/>
  <c r="V176" i="23" s="1"/>
  <c r="T177" i="23"/>
  <c r="V177" i="23" s="1"/>
  <c r="T178" i="23"/>
  <c r="V178" i="23" s="1"/>
  <c r="T179" i="23"/>
  <c r="V179" i="23" s="1"/>
  <c r="T180" i="23"/>
  <c r="V180" i="23" s="1"/>
  <c r="T181" i="23"/>
  <c r="V181" i="23" s="1"/>
  <c r="T182" i="23"/>
  <c r="V182" i="23" s="1"/>
  <c r="T183" i="23"/>
  <c r="V183" i="23" s="1"/>
  <c r="T184" i="23"/>
  <c r="V184" i="23" s="1"/>
  <c r="T185" i="23"/>
  <c r="V185" i="23" s="1"/>
  <c r="T186" i="23"/>
  <c r="V186" i="23" s="1"/>
  <c r="T187" i="23"/>
  <c r="V187" i="23" s="1"/>
  <c r="T188" i="23"/>
  <c r="V188" i="23" s="1"/>
  <c r="T189" i="23"/>
  <c r="V189" i="23" s="1"/>
  <c r="T190" i="23"/>
  <c r="V190" i="23" s="1"/>
  <c r="T191" i="23"/>
  <c r="V191" i="23" s="1"/>
  <c r="T192" i="23"/>
  <c r="V192" i="23" s="1"/>
  <c r="T193" i="23"/>
  <c r="V193" i="23" s="1"/>
  <c r="T194" i="23"/>
  <c r="V194" i="23" s="1"/>
  <c r="T195" i="23"/>
  <c r="V195" i="23" s="1"/>
  <c r="T196" i="23"/>
  <c r="V196" i="23" s="1"/>
  <c r="T197" i="23"/>
  <c r="V197" i="23" s="1"/>
  <c r="T198" i="23"/>
  <c r="V198" i="23" s="1"/>
  <c r="T199" i="23"/>
  <c r="V199" i="23" s="1"/>
  <c r="T200" i="23"/>
  <c r="V200" i="23" s="1"/>
  <c r="T201" i="23"/>
  <c r="V201" i="23" s="1"/>
  <c r="T202" i="23"/>
  <c r="V202" i="23" s="1"/>
  <c r="T203" i="23"/>
  <c r="V203" i="23" s="1"/>
  <c r="T204" i="23"/>
  <c r="V204" i="23" s="1"/>
  <c r="T205" i="23"/>
  <c r="V205" i="23" s="1"/>
  <c r="T206" i="23"/>
  <c r="V206" i="23" s="1"/>
  <c r="T207" i="23"/>
  <c r="V207" i="23" s="1"/>
  <c r="T208" i="23"/>
  <c r="V208" i="23" s="1"/>
  <c r="T209" i="23"/>
  <c r="V209" i="23" s="1"/>
  <c r="T210" i="23"/>
  <c r="V210" i="23" s="1"/>
  <c r="T211" i="23"/>
  <c r="V211" i="23" s="1"/>
  <c r="T212" i="23"/>
  <c r="V212" i="23" s="1"/>
  <c r="T213" i="23"/>
  <c r="V213" i="23" s="1"/>
  <c r="T214" i="23"/>
  <c r="V214" i="23" s="1"/>
  <c r="T215" i="23"/>
  <c r="V215" i="23" s="1"/>
  <c r="T216" i="23"/>
  <c r="V216" i="23" s="1"/>
  <c r="T217" i="23"/>
  <c r="V217" i="23" s="1"/>
  <c r="T218" i="23"/>
  <c r="V218" i="23" s="1"/>
  <c r="T219" i="23"/>
  <c r="V219" i="23" s="1"/>
  <c r="T220" i="23"/>
  <c r="V220" i="23" s="1"/>
  <c r="Q16" i="23"/>
  <c r="Q17" i="23"/>
  <c r="Q18" i="23"/>
  <c r="Q19" i="23"/>
  <c r="Q20" i="23"/>
  <c r="Q21" i="23"/>
  <c r="Q22" i="23"/>
  <c r="Q23" i="23"/>
  <c r="Q24" i="23"/>
  <c r="Q25" i="23"/>
  <c r="Q26" i="23"/>
  <c r="Q27" i="23"/>
  <c r="Q28" i="23"/>
  <c r="Q29" i="23"/>
  <c r="Q30" i="23"/>
  <c r="Q31" i="23"/>
  <c r="Q32" i="23"/>
  <c r="Q33" i="23"/>
  <c r="Q34" i="23"/>
  <c r="Q35" i="23"/>
  <c r="Q36" i="23"/>
  <c r="Q37" i="23"/>
  <c r="Q38" i="23"/>
  <c r="Q39" i="23"/>
  <c r="Q40" i="23"/>
  <c r="Q41" i="23"/>
  <c r="Q42" i="23"/>
  <c r="Q43" i="23"/>
  <c r="Q44" i="23"/>
  <c r="Q45" i="23"/>
  <c r="Q46" i="23"/>
  <c r="Q47" i="23"/>
  <c r="Q48" i="23"/>
  <c r="Q49" i="23"/>
  <c r="Q50" i="23"/>
  <c r="Q51" i="23"/>
  <c r="Q52" i="23"/>
  <c r="Q53" i="23"/>
  <c r="Q54" i="23"/>
  <c r="Q55" i="23"/>
  <c r="Q56" i="23"/>
  <c r="Q57" i="23"/>
  <c r="Q58" i="23"/>
  <c r="Q59" i="23"/>
  <c r="Q60" i="23"/>
  <c r="Q61" i="23"/>
  <c r="Q62" i="23"/>
  <c r="Q63" i="23"/>
  <c r="Q64" i="23"/>
  <c r="Q65" i="23"/>
  <c r="Q66" i="23"/>
  <c r="Q67" i="23"/>
  <c r="Q68" i="23"/>
  <c r="Q70" i="23"/>
  <c r="Q71" i="23"/>
  <c r="Q72" i="23"/>
  <c r="Q73" i="23"/>
  <c r="Q74" i="23"/>
  <c r="Q75" i="23"/>
  <c r="Q76" i="23"/>
  <c r="Q77" i="23"/>
  <c r="Q78" i="23"/>
  <c r="Q79" i="23"/>
  <c r="Q80" i="23"/>
  <c r="Q81" i="23"/>
  <c r="Q82" i="23"/>
  <c r="Q83" i="23"/>
  <c r="Q84" i="23"/>
  <c r="Q85" i="23"/>
  <c r="Q86" i="23"/>
  <c r="Q87" i="23"/>
  <c r="Q88" i="23"/>
  <c r="Q89" i="23"/>
  <c r="Q97" i="23"/>
  <c r="Q98" i="23"/>
  <c r="Q99" i="23"/>
  <c r="Q100" i="23"/>
  <c r="Q108" i="23"/>
  <c r="Q109" i="23"/>
  <c r="Q110" i="23"/>
  <c r="Q111" i="23"/>
  <c r="Q112" i="23"/>
  <c r="Q113" i="23"/>
  <c r="Q114" i="23"/>
  <c r="Q115" i="23"/>
  <c r="Q116" i="23"/>
  <c r="Q117" i="23"/>
  <c r="Q119" i="23"/>
  <c r="Q120" i="23"/>
  <c r="Q122" i="23"/>
  <c r="Q123" i="23"/>
  <c r="Q124" i="23"/>
  <c r="Q125" i="23"/>
  <c r="Q126" i="23"/>
  <c r="Q127" i="23"/>
  <c r="Q128" i="23"/>
  <c r="Q129" i="23"/>
  <c r="Q130" i="23"/>
  <c r="Q131" i="23"/>
  <c r="Q132" i="23"/>
  <c r="Q133" i="23"/>
  <c r="Q134" i="23"/>
  <c r="Q135" i="23"/>
  <c r="Q136" i="23"/>
  <c r="Q137" i="23"/>
  <c r="Q138" i="23"/>
  <c r="Q139" i="23"/>
  <c r="Q140" i="23"/>
  <c r="Q141" i="23"/>
  <c r="Q142" i="23"/>
  <c r="Q143" i="23"/>
  <c r="Q144" i="23"/>
  <c r="Q145" i="23"/>
  <c r="Q146" i="23"/>
  <c r="Q147" i="23"/>
  <c r="Q148" i="23"/>
  <c r="Q149" i="23"/>
  <c r="Q150" i="23"/>
  <c r="Q151" i="23"/>
  <c r="Q152" i="23"/>
  <c r="Q153" i="23"/>
  <c r="Q154" i="23"/>
  <c r="Q155" i="23"/>
  <c r="Q156" i="23"/>
  <c r="Q157" i="23"/>
  <c r="Q158" i="23"/>
  <c r="Q159" i="23"/>
  <c r="Q160" i="23"/>
  <c r="Q161" i="23"/>
  <c r="Q162" i="23"/>
  <c r="Q163" i="23"/>
  <c r="Q164" i="23"/>
  <c r="Q165" i="23"/>
  <c r="Q166" i="23"/>
  <c r="Q167" i="23"/>
  <c r="Q168" i="23"/>
  <c r="Q169" i="23"/>
  <c r="Q170" i="23"/>
  <c r="Q171" i="23"/>
  <c r="Q172" i="23"/>
  <c r="Q173" i="23"/>
  <c r="Q174" i="23"/>
  <c r="Q175" i="23"/>
  <c r="Q176" i="23"/>
  <c r="Q177" i="23"/>
  <c r="Q178" i="23"/>
  <c r="Q179" i="23"/>
  <c r="Q180" i="23"/>
  <c r="Q181" i="23"/>
  <c r="Q182" i="23"/>
  <c r="Q183" i="23"/>
  <c r="Q184" i="23"/>
  <c r="Q185" i="23"/>
  <c r="Q186" i="23"/>
  <c r="Q187" i="23"/>
  <c r="Q188" i="23"/>
  <c r="Q189" i="23"/>
  <c r="Q190" i="23"/>
  <c r="Q191" i="23"/>
  <c r="Q192" i="23"/>
  <c r="Q193" i="23"/>
  <c r="Q194" i="23"/>
  <c r="Q195" i="23"/>
  <c r="Q196" i="23"/>
  <c r="Q197" i="23"/>
  <c r="Q198" i="23"/>
  <c r="Q199" i="23"/>
  <c r="Q200" i="23"/>
  <c r="Q201" i="23"/>
  <c r="Q202" i="23"/>
  <c r="Q203" i="23"/>
  <c r="Q204" i="23"/>
  <c r="Q205" i="23"/>
  <c r="Q206" i="23"/>
  <c r="Q207" i="23"/>
  <c r="Q208" i="23"/>
  <c r="Q209" i="23"/>
  <c r="Q210" i="23"/>
  <c r="Q211" i="23"/>
  <c r="Q212" i="23"/>
  <c r="Q213" i="23"/>
  <c r="Q214" i="23"/>
  <c r="Q215" i="23"/>
  <c r="Q216" i="23"/>
  <c r="Q217" i="23"/>
  <c r="Q218" i="23"/>
  <c r="Q219" i="23"/>
  <c r="Q220" i="23"/>
  <c r="Q15" i="23" l="1"/>
  <c r="Q14" i="23"/>
  <c r="V13" i="23"/>
  <c r="Q13" i="23"/>
  <c r="V12" i="23"/>
  <c r="Q12" i="23"/>
  <c r="V11" i="23"/>
  <c r="Q11" i="23"/>
  <c r="V10" i="23"/>
  <c r="Q10" i="23"/>
  <c r="V9" i="23"/>
  <c r="Q9" i="23"/>
  <c r="V8" i="23"/>
  <c r="Q8" i="23"/>
  <c r="V7" i="23"/>
  <c r="Q7" i="23"/>
  <c r="V6" i="23"/>
  <c r="Q6" i="23"/>
  <c r="T5" i="23"/>
  <c r="V5" i="23" s="1"/>
  <c r="Q5" i="23"/>
  <c r="T4" i="23"/>
  <c r="V4" i="23" s="1"/>
  <c r="Q4" i="23"/>
  <c r="T3" i="23"/>
  <c r="V3" i="23" s="1"/>
  <c r="Q3" i="23"/>
  <c r="T2" i="23"/>
  <c r="V2" i="23" s="1"/>
  <c r="Q2" i="23"/>
</calcChain>
</file>

<file path=xl/sharedStrings.xml><?xml version="1.0" encoding="utf-8"?>
<sst xmlns="http://schemas.openxmlformats.org/spreadsheetml/2006/main" count="17078" uniqueCount="427">
  <si>
    <t>県名</t>
  </si>
  <si>
    <t>国名</t>
    <rPh sb="0" eb="1">
      <t>クニ</t>
    </rPh>
    <rPh sb="1" eb="2">
      <t>メイ</t>
    </rPh>
    <phoneticPr fontId="4"/>
  </si>
  <si>
    <t>日付</t>
  </si>
  <si>
    <t>チェーン名</t>
  </si>
  <si>
    <t>店舗名</t>
  </si>
  <si>
    <t>店の種類</t>
  </si>
  <si>
    <t>品種</t>
  </si>
  <si>
    <t>栽培方法</t>
  </si>
  <si>
    <t>ブランド名</t>
  </si>
  <si>
    <t>原産地</t>
  </si>
  <si>
    <t>生産者
コード</t>
    <rPh sb="0" eb="3">
      <t>セイサンシャ</t>
    </rPh>
    <phoneticPr fontId="4"/>
  </si>
  <si>
    <t>販売
ユニット
個数</t>
  </si>
  <si>
    <t>硬度
平均値</t>
    <rPh sb="0" eb="2">
      <t>コウド</t>
    </rPh>
    <rPh sb="3" eb="6">
      <t>ヘイキンチ</t>
    </rPh>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</si>
  <si>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</si>
  <si>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</si>
  <si>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</si>
  <si>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</si>
  <si>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</si>
  <si>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</si>
  <si>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</si>
  <si>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プランド名</t>
  </si>
  <si>
    <t>陳列棚
保冷状態</t>
    <rPh sb="0" eb="3">
      <t>チンレツダナ</t>
    </rPh>
    <rPh sb="4" eb="6">
      <t>ホレイ</t>
    </rPh>
    <rPh sb="6" eb="8">
      <t>ジョウタイ</t>
    </rPh>
    <phoneticPr fontId="4"/>
  </si>
  <si>
    <t>人気果実</t>
  </si>
  <si>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</si>
  <si>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</si>
  <si>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</si>
  <si>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</si>
  <si>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</si>
  <si>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</si>
  <si>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</si>
  <si>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</si>
  <si>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</si>
  <si>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</si>
  <si>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</si>
  <si>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</si>
  <si>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</si>
  <si>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</si>
  <si>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</si>
  <si>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</si>
  <si>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</si>
  <si>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</si>
  <si>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JA愛媛</t>
  </si>
  <si>
    <t>愛媛</t>
  </si>
  <si>
    <t>キウイフルーツ</t>
  </si>
  <si>
    <t>名古屋</t>
  </si>
  <si>
    <t>JA福岡</t>
  </si>
  <si>
    <t>福岡</t>
  </si>
  <si>
    <t>グレープフルーツ</t>
  </si>
  <si>
    <t>広島</t>
  </si>
  <si>
    <t>JA長野</t>
  </si>
  <si>
    <t>アメリカ</t>
  </si>
  <si>
    <t>さくらんぼ</t>
  </si>
  <si>
    <t>神奈川</t>
    <rPh sb="0" eb="3">
      <t>カナガワ</t>
    </rPh>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</si>
  <si>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</si>
  <si>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</si>
  <si>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</si>
  <si>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</si>
  <si>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</si>
  <si>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</si>
  <si>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</si>
  <si>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</si>
  <si>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</si>
  <si>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</si>
  <si>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</si>
  <si>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</si>
  <si>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</si>
  <si>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</si>
  <si>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</si>
  <si>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</si>
  <si>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</si>
  <si>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</si>
  <si>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</si>
  <si>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</si>
  <si>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</si>
  <si>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</si>
  <si>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</si>
  <si>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</si>
  <si>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</si>
  <si>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</si>
  <si>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その他</t>
    <rPh sb="2" eb="3">
      <t>タ</t>
    </rPh>
    <phoneticPr fontId="4"/>
  </si>
  <si>
    <t>JA静岡</t>
  </si>
  <si>
    <t>石川</t>
  </si>
  <si>
    <t>スイカ</t>
  </si>
  <si>
    <t>岩手</t>
    <rPh sb="0" eb="2">
      <t>イワテ</t>
    </rPh>
    <phoneticPr fontId="4"/>
  </si>
  <si>
    <t>JA長崎</t>
  </si>
  <si>
    <t>大分</t>
  </si>
  <si>
    <t>梨</t>
  </si>
  <si>
    <t>福島</t>
    <rPh sb="0" eb="2">
      <t>フクシマ</t>
    </rPh>
    <phoneticPr fontId="4"/>
  </si>
  <si>
    <t>JA和歌山</t>
  </si>
  <si>
    <t>香川</t>
  </si>
  <si>
    <t>パイナップル</t>
  </si>
  <si>
    <t>マンゴー</t>
  </si>
  <si>
    <t>U/P JPY</t>
  </si>
  <si>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</si>
  <si>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</si>
  <si>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</si>
  <si>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</si>
  <si>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</si>
  <si>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</si>
  <si>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</si>
  <si>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</si>
  <si>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</si>
  <si>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</si>
  <si>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</si>
  <si>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</si>
  <si>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</si>
  <si>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</si>
  <si>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</si>
  <si>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</si>
  <si>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</si>
  <si>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GA</t>
    <phoneticPr fontId="4"/>
  </si>
  <si>
    <t>CK</t>
  </si>
  <si>
    <t>ﾆｭｰｼﾞｰﾗﾝﾄﾞ</t>
  </si>
  <si>
    <t>HW</t>
  </si>
  <si>
    <t>いちじく</t>
    <phoneticPr fontId="4"/>
  </si>
  <si>
    <t>ラフランス</t>
    <phoneticPr fontId="3"/>
  </si>
  <si>
    <t>キラキラ</t>
    <phoneticPr fontId="4"/>
  </si>
  <si>
    <t>グリーンアイ</t>
    <phoneticPr fontId="4"/>
  </si>
  <si>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</si>
  <si>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</si>
  <si>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</si>
  <si>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</si>
  <si>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</si>
  <si>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</si>
  <si>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</si>
  <si>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</si>
  <si>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</si>
  <si>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</si>
  <si>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</si>
  <si>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ﾆｭｰｼﾞｰﾗﾝﾄﾞ</t>
    <phoneticPr fontId="4"/>
  </si>
  <si>
    <t>D'lish</t>
    <phoneticPr fontId="4"/>
  </si>
  <si>
    <t>中国</t>
    <phoneticPr fontId="4"/>
  </si>
  <si>
    <t>HW</t>
    <phoneticPr fontId="4"/>
  </si>
  <si>
    <t>CK</t>
    <phoneticPr fontId="4"/>
  </si>
  <si>
    <t>Del Monte</t>
    <phoneticPr fontId="3"/>
  </si>
  <si>
    <t>GK</t>
    <phoneticPr fontId="4"/>
  </si>
  <si>
    <t>OB</t>
    <phoneticPr fontId="4"/>
  </si>
  <si>
    <t>HE</t>
    <phoneticPr fontId="4"/>
  </si>
  <si>
    <t>宮崎</t>
    <rPh sb="0" eb="2">
      <t>ミヤザキ</t>
    </rPh>
    <phoneticPr fontId="3"/>
  </si>
  <si>
    <t>RD</t>
    <phoneticPr fontId="3"/>
  </si>
  <si>
    <t>マルエツ</t>
    <phoneticPr fontId="14"/>
  </si>
  <si>
    <t>大森町</t>
    <rPh sb="0" eb="2">
      <t>オオモリ</t>
    </rPh>
    <rPh sb="2" eb="3">
      <t>マチ</t>
    </rPh>
    <phoneticPr fontId="14"/>
  </si>
  <si>
    <t>サミット</t>
    <phoneticPr fontId="14"/>
  </si>
  <si>
    <t>大森西</t>
    <rPh sb="0" eb="3">
      <t>オオモリニシ</t>
    </rPh>
    <phoneticPr fontId="14"/>
  </si>
  <si>
    <t>ライフ</t>
    <phoneticPr fontId="14"/>
  </si>
  <si>
    <t>マチノマ大森</t>
    <rPh sb="4" eb="6">
      <t>オオモリ</t>
    </rPh>
    <phoneticPr fontId="14"/>
  </si>
  <si>
    <t>東武ストア</t>
    <rPh sb="0" eb="2">
      <t>トウブ</t>
    </rPh>
    <phoneticPr fontId="14"/>
  </si>
  <si>
    <t>大森</t>
    <rPh sb="0" eb="2">
      <t>オオモリ</t>
    </rPh>
    <phoneticPr fontId="14"/>
  </si>
  <si>
    <t>オオゼキ</t>
    <phoneticPr fontId="14"/>
  </si>
  <si>
    <t>大森北</t>
    <rPh sb="0" eb="3">
      <t>オオモリキタ</t>
    </rPh>
    <phoneticPr fontId="14"/>
  </si>
  <si>
    <t>ＩＹ</t>
    <phoneticPr fontId="14"/>
  </si>
  <si>
    <t>西友</t>
    <rPh sb="0" eb="2">
      <t>セイユウ</t>
    </rPh>
    <phoneticPr fontId="14"/>
  </si>
  <si>
    <t>東急ストア</t>
    <rPh sb="0" eb="2">
      <t>トウキュウ</t>
    </rPh>
    <phoneticPr fontId="14"/>
  </si>
  <si>
    <t>成城石井</t>
    <rPh sb="0" eb="4">
      <t>セイジョウイシイ</t>
    </rPh>
    <phoneticPr fontId="14"/>
  </si>
  <si>
    <t>アトレ大森</t>
    <rPh sb="3" eb="5">
      <t>オオモリ</t>
    </rPh>
    <phoneticPr fontId="14"/>
  </si>
  <si>
    <t>大森駅前</t>
    <rPh sb="0" eb="2">
      <t>オオモリ</t>
    </rPh>
    <rPh sb="2" eb="3">
      <t>エキ</t>
    </rPh>
    <rPh sb="3" eb="4">
      <t>マエ</t>
    </rPh>
    <phoneticPr fontId="14"/>
  </si>
  <si>
    <t>ＪＡ栃木</t>
    <rPh sb="2" eb="4">
      <t>トチギ</t>
    </rPh>
    <phoneticPr fontId="4"/>
  </si>
  <si>
    <t>ＪＡ愛知</t>
    <rPh sb="2" eb="4">
      <t>アイチ</t>
    </rPh>
    <phoneticPr fontId="4"/>
  </si>
  <si>
    <t>愛知</t>
    <phoneticPr fontId="3"/>
  </si>
  <si>
    <t>栃木</t>
    <rPh sb="0" eb="2">
      <t>トチギ</t>
    </rPh>
    <phoneticPr fontId="3"/>
  </si>
  <si>
    <t>JP</t>
    <phoneticPr fontId="3"/>
  </si>
  <si>
    <t>JPY</t>
    <phoneticPr fontId="3"/>
  </si>
  <si>
    <t>ﾆｭｰｼﾞｰﾗﾝﾄﾞ</t>
    <phoneticPr fontId="3"/>
  </si>
  <si>
    <t>16.07.2020</t>
    <phoneticPr fontId="3"/>
  </si>
  <si>
    <t>ＩＹ</t>
    <phoneticPr fontId="3"/>
  </si>
  <si>
    <t>OB</t>
  </si>
  <si>
    <t>GA</t>
  </si>
  <si>
    <t>オオゼキ</t>
  </si>
  <si>
    <t>サミット</t>
  </si>
  <si>
    <t>マルエツ</t>
  </si>
  <si>
    <t>ライフ</t>
  </si>
  <si>
    <t>HW</t>
    <phoneticPr fontId="3"/>
  </si>
  <si>
    <t>OB</t>
    <phoneticPr fontId="3"/>
  </si>
  <si>
    <t>GA</t>
    <phoneticPr fontId="3"/>
  </si>
  <si>
    <t>ﾆｭｰｼﾞｰﾗﾝﾄﾞ</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</si>
  <si>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</si>
  <si>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</si>
  <si>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</si>
  <si>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</si>
  <si>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</si>
  <si>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</si>
  <si>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</si>
  <si>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</si>
  <si>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</si>
  <si>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</si>
  <si>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</si>
  <si>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</si>
  <si>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t>Green
Other
最低重量</t>
  </si>
  <si>
    <t>Green
Other
SIZE</t>
  </si>
  <si>
    <t>Gold
最低重量</t>
  </si>
  <si>
    <t>Gold
SIZE</t>
  </si>
  <si>
    <t>JP</t>
  </si>
  <si>
    <t>14.07.2020</t>
    <phoneticPr fontId="14"/>
  </si>
  <si>
    <t>イオン</t>
  </si>
  <si>
    <t>利府店</t>
  </si>
  <si>
    <t>JPY</t>
  </si>
  <si>
    <t>その他グリーン</t>
  </si>
  <si>
    <t>みやぎ生協</t>
  </si>
  <si>
    <t>その他ゴールド</t>
  </si>
  <si>
    <t>14.07.2020</t>
  </si>
  <si>
    <t>杉の入店</t>
  </si>
  <si>
    <t>その他レッド</t>
  </si>
  <si>
    <t>減農薬栽培</t>
  </si>
  <si>
    <t>D'lish</t>
  </si>
  <si>
    <t>中国</t>
  </si>
  <si>
    <t>ウジエ</t>
  </si>
  <si>
    <t>Del Monte</t>
  </si>
  <si>
    <t>塩釜店</t>
  </si>
  <si>
    <t>GK</t>
  </si>
  <si>
    <t>ザ・ビッグ</t>
  </si>
  <si>
    <t>HE</t>
  </si>
  <si>
    <t>長野</t>
  </si>
  <si>
    <t>ヤマザワ</t>
  </si>
  <si>
    <t>多賀城店</t>
  </si>
  <si>
    <t>岩手</t>
  </si>
  <si>
    <t>ヨークベニマル</t>
  </si>
  <si>
    <t>塩釜北浜店</t>
  </si>
  <si>
    <t>RD</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</si>
  <si>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</si>
  <si>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</si>
  <si>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</si>
  <si>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</si>
  <si>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</si>
  <si>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</si>
  <si>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</si>
  <si>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</si>
  <si>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</si>
  <si>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</si>
  <si>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</si>
  <si>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</si>
  <si>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</si>
  <si>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</si>
  <si>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</si>
  <si>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</si>
  <si>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</si>
  <si>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</si>
  <si>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</si>
  <si>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</si>
  <si>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</si>
  <si>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</si>
  <si>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</si>
  <si>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</si>
  <si>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</si>
  <si>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</si>
  <si>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MIKO</t>
  </si>
  <si>
    <t>チェーン名</t>
    <phoneticPr fontId="3"/>
  </si>
  <si>
    <t>U/P JPY</t>
    <phoneticPr fontId="4"/>
  </si>
  <si>
    <t>２番人気
果実</t>
    <phoneticPr fontId="3"/>
  </si>
  <si>
    <t>14.07.2020</t>
    <phoneticPr fontId="3"/>
  </si>
  <si>
    <t>ビッグ・エー</t>
  </si>
  <si>
    <t>江戸川本一色店</t>
    <rPh sb="0" eb="3">
      <t>エドガワ</t>
    </rPh>
    <rPh sb="3" eb="6">
      <t>ホンイッシキ</t>
    </rPh>
    <rPh sb="6" eb="7">
      <t>テン</t>
    </rPh>
    <phoneticPr fontId="3"/>
  </si>
  <si>
    <t>ビッグ・エー</t>
    <phoneticPr fontId="3"/>
  </si>
  <si>
    <t>東武ストア</t>
    <phoneticPr fontId="3"/>
  </si>
  <si>
    <t>新小岩店</t>
    <phoneticPr fontId="3"/>
  </si>
  <si>
    <t>ライフ</t>
    <phoneticPr fontId="3"/>
  </si>
  <si>
    <t>本一色店</t>
    <rPh sb="0" eb="3">
      <t>ホンイッシキ</t>
    </rPh>
    <phoneticPr fontId="3"/>
  </si>
  <si>
    <t>ヤマイチ</t>
    <phoneticPr fontId="3"/>
  </si>
  <si>
    <t>中央店</t>
    <rPh sb="0" eb="2">
      <t>チュウオウ</t>
    </rPh>
    <rPh sb="2" eb="3">
      <t>テン</t>
    </rPh>
    <phoneticPr fontId="3"/>
  </si>
  <si>
    <t>サミットストア</t>
    <phoneticPr fontId="3"/>
  </si>
  <si>
    <t>江戸川区役所前店</t>
    <rPh sb="0" eb="3">
      <t>エドガワ</t>
    </rPh>
    <rPh sb="3" eb="6">
      <t>クヤクショ</t>
    </rPh>
    <rPh sb="6" eb="7">
      <t>マエ</t>
    </rPh>
    <rPh sb="7" eb="8">
      <t>テン</t>
    </rPh>
    <phoneticPr fontId="3"/>
  </si>
  <si>
    <t>西友</t>
    <rPh sb="0" eb="2">
      <t>セイユウ</t>
    </rPh>
    <phoneticPr fontId="3"/>
  </si>
  <si>
    <t>江戸川中央店</t>
    <rPh sb="0" eb="3">
      <t>エドガワ</t>
    </rPh>
    <rPh sb="3" eb="5">
      <t>チュウオウ</t>
    </rPh>
    <rPh sb="5" eb="6">
      <t>テン</t>
    </rPh>
    <phoneticPr fontId="3"/>
  </si>
  <si>
    <t>マックスバリュエクスプレス</t>
    <phoneticPr fontId="3"/>
  </si>
  <si>
    <t>松島店</t>
    <rPh sb="0" eb="1">
      <t>マツ</t>
    </rPh>
    <rPh sb="1" eb="2">
      <t>シマ</t>
    </rPh>
    <rPh sb="2" eb="3">
      <t>テン</t>
    </rPh>
    <phoneticPr fontId="3"/>
  </si>
  <si>
    <t>マルエツ</t>
    <phoneticPr fontId="3"/>
  </si>
  <si>
    <t>松江店</t>
    <phoneticPr fontId="3"/>
  </si>
  <si>
    <t>コモディイイダ</t>
    <phoneticPr fontId="3"/>
  </si>
  <si>
    <t>西瑞江店</t>
    <rPh sb="0" eb="3">
      <t>ニシミズエ</t>
    </rPh>
    <rPh sb="3" eb="4">
      <t>テン</t>
    </rPh>
    <phoneticPr fontId="3"/>
  </si>
  <si>
    <t>いなげや</t>
    <phoneticPr fontId="3"/>
  </si>
  <si>
    <t>江戸川春江店</t>
    <rPh sb="0" eb="3">
      <t>エドガワ</t>
    </rPh>
    <rPh sb="3" eb="5">
      <t>ハルエ</t>
    </rPh>
    <rPh sb="5" eb="6">
      <t>テン</t>
    </rPh>
    <phoneticPr fontId="3"/>
  </si>
  <si>
    <t>東武ストア</t>
  </si>
  <si>
    <t>新小岩店</t>
  </si>
  <si>
    <t>ヤマイチ</t>
  </si>
  <si>
    <t>サミットストア</t>
  </si>
  <si>
    <t>マックスバリュエクスプレス</t>
  </si>
  <si>
    <t>CK</t>
    <phoneticPr fontId="3"/>
  </si>
  <si>
    <t>松江店</t>
  </si>
  <si>
    <t>コモディイイダ</t>
  </si>
  <si>
    <t>いなげや</t>
  </si>
  <si>
    <t>販売
ユニット
個数</t>
    <phoneticPr fontId="4"/>
  </si>
  <si>
    <t>15.07.2020</t>
    <phoneticPr fontId="3"/>
  </si>
  <si>
    <t>ハローデイ</t>
  </si>
  <si>
    <t>長尾</t>
    <rPh sb="0" eb="2">
      <t>ナガオ</t>
    </rPh>
    <phoneticPr fontId="3"/>
  </si>
  <si>
    <t>サニー</t>
  </si>
  <si>
    <t>野間</t>
    <rPh sb="0" eb="2">
      <t>ノマ</t>
    </rPh>
    <phoneticPr fontId="3"/>
  </si>
  <si>
    <t>一般栽培</t>
    <phoneticPr fontId="4"/>
  </si>
  <si>
    <t>マルショク</t>
  </si>
  <si>
    <t>野間大池</t>
    <rPh sb="0" eb="2">
      <t>ノマ</t>
    </rPh>
    <rPh sb="2" eb="4">
      <t>オオイケ</t>
    </rPh>
    <phoneticPr fontId="3"/>
  </si>
  <si>
    <t>バナナ</t>
    <phoneticPr fontId="3"/>
  </si>
  <si>
    <t>マミーズ</t>
  </si>
  <si>
    <t>美野島</t>
    <rPh sb="0" eb="1">
      <t>ミ</t>
    </rPh>
    <rPh sb="1" eb="2">
      <t>ノ</t>
    </rPh>
    <rPh sb="2" eb="3">
      <t>シマ</t>
    </rPh>
    <phoneticPr fontId="3"/>
  </si>
  <si>
    <t>福岡</t>
    <rPh sb="0" eb="2">
      <t>フクオカ</t>
    </rPh>
    <phoneticPr fontId="4"/>
  </si>
  <si>
    <t>りんご</t>
    <phoneticPr fontId="3"/>
  </si>
  <si>
    <t>西鉄ストア</t>
    <rPh sb="0" eb="2">
      <t>ニシテツ</t>
    </rPh>
    <phoneticPr fontId="3"/>
  </si>
  <si>
    <t>高宮</t>
    <rPh sb="0" eb="2">
      <t>タカミヤ</t>
    </rPh>
    <phoneticPr fontId="3"/>
  </si>
  <si>
    <t>Del Monte</t>
    <phoneticPr fontId="4"/>
  </si>
  <si>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</si>
  <si>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</si>
  <si>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</si>
  <si>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</si>
  <si>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</si>
  <si>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</si>
  <si>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</si>
  <si>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マックスバリュ</t>
  </si>
  <si>
    <t>大橋</t>
    <rPh sb="0" eb="2">
      <t>オオハシ</t>
    </rPh>
    <phoneticPr fontId="3"/>
  </si>
  <si>
    <t>ハローデイ</t>
    <phoneticPr fontId="3"/>
  </si>
  <si>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</si>
  <si>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</si>
  <si>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</si>
  <si>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</si>
  <si>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</si>
  <si>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</si>
  <si>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</si>
  <si>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</si>
  <si>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</si>
  <si>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</si>
  <si>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</si>
  <si>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</si>
  <si>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</si>
  <si>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</si>
  <si>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</si>
  <si>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</si>
  <si>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</si>
  <si>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</si>
  <si>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県名</t>
    <phoneticPr fontId="3"/>
  </si>
  <si>
    <t>品種</t>
    <phoneticPr fontId="3"/>
  </si>
  <si>
    <t>JP</t>
    <phoneticPr fontId="4"/>
  </si>
  <si>
    <t>15.07.2020</t>
    <phoneticPr fontId="4"/>
  </si>
  <si>
    <t>エブリィ</t>
    <phoneticPr fontId="4"/>
  </si>
  <si>
    <t>楠木</t>
    <rPh sb="0" eb="1">
      <t>クスノキ</t>
    </rPh>
    <rPh sb="1" eb="2">
      <t>キ</t>
    </rPh>
    <phoneticPr fontId="3"/>
  </si>
  <si>
    <t>JPY</t>
    <phoneticPr fontId="4"/>
  </si>
  <si>
    <t>エブリィ</t>
    <phoneticPr fontId="3"/>
  </si>
  <si>
    <t>エブリィ</t>
  </si>
  <si>
    <t>山陽マルナカ</t>
    <phoneticPr fontId="3"/>
  </si>
  <si>
    <t>白島店</t>
    <rPh sb="0" eb="1">
      <t>シロ</t>
    </rPh>
    <rPh sb="1" eb="2">
      <t>シマ</t>
    </rPh>
    <rPh sb="2" eb="3">
      <t>テン</t>
    </rPh>
    <phoneticPr fontId="3"/>
  </si>
  <si>
    <t>福屋</t>
    <rPh sb="0" eb="2">
      <t>フクヤ</t>
    </rPh>
    <phoneticPr fontId="3"/>
  </si>
  <si>
    <t>食品館ＦＲＥＤ店</t>
    <rPh sb="0" eb="2">
      <t>ショクヒン</t>
    </rPh>
    <rPh sb="2" eb="3">
      <t>カン</t>
    </rPh>
    <rPh sb="7" eb="8">
      <t>テン</t>
    </rPh>
    <phoneticPr fontId="3"/>
  </si>
  <si>
    <t>フジグラン</t>
    <phoneticPr fontId="3"/>
  </si>
  <si>
    <t>広島店</t>
    <rPh sb="0" eb="2">
      <t>ヒロシマ</t>
    </rPh>
    <rPh sb="2" eb="3">
      <t>テン</t>
    </rPh>
    <phoneticPr fontId="3"/>
  </si>
  <si>
    <t>アルク</t>
  </si>
  <si>
    <t>東千田店</t>
    <rPh sb="3" eb="4">
      <t>テン</t>
    </rPh>
    <phoneticPr fontId="3"/>
  </si>
  <si>
    <t>マックスバリュ</t>
    <phoneticPr fontId="3"/>
  </si>
  <si>
    <t>イズミ</t>
    <phoneticPr fontId="3"/>
  </si>
  <si>
    <t>ゆめタウン広島店</t>
    <rPh sb="5" eb="7">
      <t>ヒロシマ</t>
    </rPh>
    <rPh sb="7" eb="8">
      <t>テン</t>
    </rPh>
    <phoneticPr fontId="3"/>
  </si>
  <si>
    <t>フレスタ</t>
    <phoneticPr fontId="3"/>
  </si>
  <si>
    <t>上天満店</t>
    <rPh sb="0" eb="1">
      <t>ウエ</t>
    </rPh>
    <rPh sb="1" eb="3">
      <t>テンマン</t>
    </rPh>
    <rPh sb="3" eb="4">
      <t>テン</t>
    </rPh>
    <phoneticPr fontId="3"/>
  </si>
  <si>
    <t>ユアーズ</t>
    <phoneticPr fontId="3"/>
  </si>
  <si>
    <t>十日市店</t>
    <rPh sb="3" eb="4">
      <t>テン</t>
    </rPh>
    <phoneticPr fontId="3"/>
  </si>
  <si>
    <t>山陽マルナカ</t>
  </si>
  <si>
    <t>スパーク</t>
    <phoneticPr fontId="3"/>
  </si>
  <si>
    <t>バナナ</t>
    <phoneticPr fontId="4"/>
  </si>
  <si>
    <t>パパイヤ</t>
    <phoneticPr fontId="4"/>
  </si>
  <si>
    <t>びわ</t>
    <phoneticPr fontId="4"/>
  </si>
  <si>
    <t>メロン</t>
    <phoneticPr fontId="4"/>
  </si>
  <si>
    <t>桃</t>
    <phoneticPr fontId="4"/>
  </si>
  <si>
    <t>ブドウ</t>
    <phoneticPr fontId="4"/>
  </si>
  <si>
    <t>ラフランス</t>
    <phoneticPr fontId="4"/>
  </si>
  <si>
    <t>りんご</t>
    <phoneticPr fontId="4"/>
  </si>
  <si>
    <t>みかん</t>
    <phoneticPr fontId="4"/>
  </si>
  <si>
    <t>マンゴー</t>
    <phoneticPr fontId="3"/>
  </si>
  <si>
    <t>山口</t>
    <rPh sb="0" eb="2">
      <t>ヤマグチ</t>
    </rPh>
    <phoneticPr fontId="4"/>
  </si>
  <si>
    <t>フジグラン</t>
  </si>
  <si>
    <t>イズミ</t>
  </si>
  <si>
    <t>フレスタ</t>
  </si>
  <si>
    <t>ユアーズ</t>
  </si>
  <si>
    <t>スパーク</t>
  </si>
  <si>
    <t>13.07.2020</t>
    <phoneticPr fontId="3"/>
  </si>
  <si>
    <t>宮の沢店</t>
    <rPh sb="0" eb="1">
      <t>ミヤ</t>
    </rPh>
    <rPh sb="2" eb="3">
      <t>サワ</t>
    </rPh>
    <rPh sb="3" eb="4">
      <t>テン</t>
    </rPh>
    <phoneticPr fontId="3"/>
  </si>
  <si>
    <t>コープさっぽろ</t>
  </si>
  <si>
    <t>西宮の沢店</t>
    <rPh sb="0" eb="2">
      <t>ニシミヤ</t>
    </rPh>
    <rPh sb="3" eb="4">
      <t>サワ</t>
    </rPh>
    <rPh sb="4" eb="5">
      <t>テン</t>
    </rPh>
    <phoneticPr fontId="3"/>
  </si>
  <si>
    <t>13.07.2020</t>
  </si>
  <si>
    <t>イトーヨーカドー</t>
  </si>
  <si>
    <t>琴似店</t>
    <rPh sb="0" eb="2">
      <t>コトニ</t>
    </rPh>
    <rPh sb="2" eb="3">
      <t>テン</t>
    </rPh>
    <phoneticPr fontId="3"/>
  </si>
  <si>
    <t>新発寒店</t>
    <rPh sb="0" eb="1">
      <t>シン</t>
    </rPh>
    <rPh sb="1" eb="3">
      <t>ハッサム</t>
    </rPh>
    <rPh sb="3" eb="4">
      <t>テン</t>
    </rPh>
    <phoneticPr fontId="3"/>
  </si>
  <si>
    <t>ビッグハウス</t>
  </si>
  <si>
    <t>ウエスト店</t>
    <rPh sb="4" eb="5">
      <t>テン</t>
    </rPh>
    <phoneticPr fontId="3"/>
  </si>
  <si>
    <t>ラッキー</t>
  </si>
  <si>
    <t>発寒店</t>
    <rPh sb="0" eb="2">
      <t>ハッサム</t>
    </rPh>
    <rPh sb="2" eb="3">
      <t>テン</t>
    </rPh>
    <phoneticPr fontId="3"/>
  </si>
  <si>
    <t>ホクレンショップ</t>
  </si>
  <si>
    <t>Foodfarm新発寒店</t>
    <rPh sb="8" eb="9">
      <t>シン</t>
    </rPh>
    <rPh sb="9" eb="11">
      <t>ハッサム</t>
    </rPh>
    <rPh sb="11" eb="12">
      <t>テン</t>
    </rPh>
    <phoneticPr fontId="3"/>
  </si>
  <si>
    <t>札幌発寒店</t>
    <rPh sb="2" eb="4">
      <t>ハッサム</t>
    </rPh>
    <rPh sb="4" eb="5">
      <t>テン</t>
    </rPh>
    <phoneticPr fontId="3"/>
  </si>
  <si>
    <t>ダイイチ</t>
    <phoneticPr fontId="3"/>
  </si>
  <si>
    <t>発寒中央駅前店</t>
    <rPh sb="0" eb="2">
      <t>ハッサム</t>
    </rPh>
    <rPh sb="2" eb="4">
      <t>チュウオウ</t>
    </rPh>
    <rPh sb="4" eb="5">
      <t>エキ</t>
    </rPh>
    <rPh sb="5" eb="6">
      <t>マエ</t>
    </rPh>
    <rPh sb="6" eb="7">
      <t>テン</t>
    </rPh>
    <phoneticPr fontId="3"/>
  </si>
  <si>
    <t>ラルズマート</t>
  </si>
  <si>
    <t>ダイイチ</t>
  </si>
  <si>
    <t>CK</t>
    <phoneticPr fontId="3"/>
  </si>
  <si>
    <t>HW</t>
    <phoneticPr fontId="3"/>
  </si>
  <si>
    <t>店の種類</t>
    <phoneticPr fontId="3"/>
  </si>
  <si>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</si>
  <si>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</si>
  <si>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17.07.2020</t>
  </si>
  <si>
    <t>コノミヤ</t>
  </si>
  <si>
    <t>深井店</t>
  </si>
  <si>
    <t>上野芝店</t>
  </si>
  <si>
    <t>デイリーカナート</t>
  </si>
  <si>
    <t>向ヶ丘店</t>
  </si>
  <si>
    <t>松源</t>
  </si>
  <si>
    <t>北条店</t>
  </si>
  <si>
    <t>石津店</t>
  </si>
  <si>
    <t>キンショー</t>
  </si>
  <si>
    <t>東湊店</t>
  </si>
  <si>
    <t>万代</t>
  </si>
  <si>
    <t>イズミヤ</t>
  </si>
  <si>
    <t>泉北店</t>
  </si>
  <si>
    <t>ダイエーグルメシティ</t>
  </si>
  <si>
    <t>津久野店</t>
  </si>
  <si>
    <t>キラキラ</t>
  </si>
  <si>
    <t>グリーンアイ</t>
  </si>
  <si>
    <t>ＪＡ大阪</t>
  </si>
  <si>
    <t>栃木</t>
  </si>
  <si>
    <t>ＪＡ栃木</t>
  </si>
  <si>
    <t>愛知</t>
  </si>
  <si>
    <t>ＪＡ愛知</t>
  </si>
  <si>
    <t>18.07.2020</t>
  </si>
  <si>
    <t>旬楽膳</t>
  </si>
  <si>
    <t>長久手店</t>
  </si>
  <si>
    <t>フェルナ</t>
  </si>
  <si>
    <t>段の上店</t>
  </si>
  <si>
    <t>アオキスーパー</t>
  </si>
  <si>
    <t>日進店</t>
  </si>
  <si>
    <t>ピアゴ</t>
  </si>
  <si>
    <t>長久手南店</t>
  </si>
  <si>
    <t>カネスエ</t>
  </si>
  <si>
    <t>アピタ</t>
  </si>
  <si>
    <t>藤が丘店</t>
  </si>
  <si>
    <t>カネトク</t>
  </si>
  <si>
    <t>Zespri</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</si>
</sst>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 "/>
    <numFmt numFmtId="178" formatCode="0.00_);[Red]\(0.00\)"/>
    <numFmt numFmtId="179" formatCode="0_ "/>
  </numFmts>
  <fonts count="19"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6"/>
      <name val="ＭＳ Ｐゴシック"/>
      <family val="3"/>
      <charset val="128"/>
      <scheme val="minor"/>
    </font>
    <font>
      <sz val="11"/>
      <color theme="1"/>
      <name val="ＭＳ Ｐゴシック"/>
      <family val="3"/>
      <charset val="128"/>
      <scheme val="minor"/>
    </font>
    <font>
      <sz val="11"/>
      <color indexed="8"/>
      <name val="ＭＳ Ｐゴシック"/>
      <family val="3"/>
      <charset val="128"/>
    </font>
    <font>
      <sz val="11"/>
      <name val="ＭＳ Ｐゴシック"/>
      <family val="2"/>
      <charset val="128"/>
      <scheme val="minor"/>
    </font>
    <font>
      <sz val="11"/>
      <name val="ＭＳ Ｐゴシック"/>
      <family val="3"/>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39">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theme="0" tint="-0.14996795556505021"/>
      </left>
      <right/>
      <top style="thin">
        <color indexed="64"/>
      </top>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thin">
        <color theme="0" tint="-0.14993743705557422"/>
      </left>
      <right style="thin">
        <color theme="0" tint="-0.149906918546098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auto="1"/>
      </left>
      <right/>
      <top/>
      <bottom/>
      <diagonal/>
    </border>
    <border>
      <left style="hair">
        <color auto="1"/>
      </left>
      <right style="thin">
        <color auto="1"/>
      </right>
      <top/>
      <bottom/>
      <diagonal/>
    </border>
  </borders>
  <cellStyleXfs count="9">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5" fillId="0" borderId="0">
      <alignment vertical="center"/>
    </xf>
  </cellStyleXfs>
  <cellXfs count="185">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0" xfId="1" applyFont="1" applyFill="1"/>
    <xf numFmtId="177" fontId="1" fillId="2" borderId="0" xfId="1" applyNumberFormat="1" applyFill="1"/>
    <xf numFmtId="14" fontId="1" fillId="0" borderId="0" xfId="5" applyNumberFormat="1" applyFont="1" applyFill="1" applyAlignment="1"/>
    <xf numFmtId="0" fontId="1" fillId="4" borderId="0" xfId="1" applyFill="1" applyBorder="1"/>
    <xf numFmtId="0" fontId="1" fillId="0" borderId="0" xfId="1" applyBorder="1"/>
    <xf numFmtId="0" fontId="1" fillId="4" borderId="0" xfId="1" applyFill="1"/>
    <xf numFmtId="0" fontId="1" fillId="4" borderId="8" xfId="1" applyFill="1" applyBorder="1"/>
    <xf numFmtId="0" fontId="1" fillId="0" borderId="8" xfId="1" applyBorder="1"/>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3" xfId="1" applyFill="1" applyBorder="1"/>
    <xf numFmtId="0" fontId="1" fillId="4" borderId="24" xfId="1" applyFill="1" applyBorder="1"/>
    <xf numFmtId="177" fontId="1" fillId="3" borderId="23" xfId="1" applyNumberFormat="1" applyFill="1" applyBorder="1"/>
    <xf numFmtId="0" fontId="1" fillId="4" borderId="25" xfId="1" applyFill="1" applyBorder="1"/>
    <xf numFmtId="0" fontId="1" fillId="3" borderId="26" xfId="1" applyFill="1" applyBorder="1"/>
    <xf numFmtId="0" fontId="1" fillId="4" borderId="27" xfId="1" applyFill="1" applyBorder="1"/>
    <xf numFmtId="0" fontId="1" fillId="4" borderId="28" xfId="1" applyFill="1" applyBorder="1"/>
    <xf numFmtId="0" fontId="1" fillId="4" borderId="28" xfId="1" applyFont="1" applyFill="1" applyBorder="1"/>
    <xf numFmtId="177" fontId="1" fillId="3" borderId="29" xfId="1" applyNumberFormat="1" applyFill="1" applyBorder="1"/>
    <xf numFmtId="0" fontId="1" fillId="0" borderId="30" xfId="1" applyBorder="1"/>
    <xf numFmtId="0" fontId="1" fillId="3" borderId="0" xfId="1" applyFill="1" applyBorder="1"/>
    <xf numFmtId="0" fontId="1" fillId="4" borderId="33" xfId="1" applyFill="1" applyBorder="1"/>
    <xf numFmtId="0" fontId="1" fillId="4" borderId="12" xfId="1" applyFill="1" applyBorder="1"/>
    <xf numFmtId="0" fontId="1" fillId="0" borderId="34" xfId="1" applyBorder="1"/>
    <xf numFmtId="0" fontId="1" fillId="4" borderId="31" xfId="1" applyFill="1" applyBorder="1"/>
    <xf numFmtId="0" fontId="1" fillId="0" borderId="32" xfId="1" applyBorder="1"/>
    <xf numFmtId="0" fontId="1" fillId="4" borderId="16" xfId="1" applyFill="1" applyBorder="1"/>
    <xf numFmtId="0" fontId="1" fillId="4" borderId="17" xfId="1" applyFill="1" applyBorder="1"/>
    <xf numFmtId="0" fontId="1" fillId="0" borderId="31" xfId="1" applyBorder="1"/>
    <xf numFmtId="0" fontId="1" fillId="0" borderId="33" xfId="1" applyBorder="1"/>
    <xf numFmtId="0" fontId="1" fillId="0" borderId="33" xfId="1" applyFont="1" applyBorder="1"/>
    <xf numFmtId="0" fontId="1" fillId="0" borderId="17" xfId="1" applyFill="1" applyBorder="1"/>
    <xf numFmtId="0" fontId="1" fillId="0" borderId="34" xfId="1" applyFont="1" applyBorder="1"/>
    <xf numFmtId="0" fontId="1" fillId="0" borderId="0" xfId="1"/>
    <xf numFmtId="0" fontId="1" fillId="0" borderId="0" xfId="1" applyFill="1"/>
    <xf numFmtId="0" fontId="1" fillId="0" borderId="8" xfId="1" applyFill="1" applyBorder="1"/>
    <xf numFmtId="0" fontId="1" fillId="0" borderId="12" xfId="1" applyBorder="1"/>
    <xf numFmtId="0" fontId="1" fillId="0" borderId="12" xfId="1" applyFill="1" applyBorder="1"/>
    <xf numFmtId="0" fontId="1" fillId="0" borderId="16" xfId="1" applyFont="1" applyFill="1" applyBorder="1"/>
    <xf numFmtId="49" fontId="2" fillId="5" borderId="3" xfId="1" applyNumberFormat="1" applyFont="1" applyFill="1" applyBorder="1" applyAlignment="1">
      <alignment horizontal="center" vertical="center" wrapText="1"/>
    </xf>
    <xf numFmtId="0" fontId="1" fillId="0" borderId="0" xfId="5" applyFont="1" applyFill="1" applyAlignment="1"/>
    <xf numFmtId="0" fontId="1" fillId="0" borderId="7" xfId="1" applyFill="1" applyBorder="1"/>
    <xf numFmtId="0" fontId="0" fillId="0" borderId="12" xfId="1" applyFont="1" applyBorder="1"/>
    <xf numFmtId="0" fontId="0" fillId="0" borderId="22" xfId="0" applyBorder="1" applyAlignment="1"/>
    <xf numFmtId="0" fontId="0" fillId="0" borderId="12" xfId="0" applyBorder="1" applyAlignment="1"/>
    <xf numFmtId="0" fontId="1" fillId="4" borderId="35" xfId="1" applyFill="1" applyBorder="1"/>
    <xf numFmtId="0" fontId="1" fillId="4" borderId="36" xfId="1" applyFill="1" applyBorder="1"/>
    <xf numFmtId="14" fontId="0" fillId="4" borderId="36" xfId="1" applyNumberFormat="1" applyFont="1" applyFill="1" applyBorder="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8" fillId="0" borderId="0" xfId="1" applyNumberFormat="1" applyFont="1" applyAlignment="1">
      <alignment horizontal="center" vertical="center" wrapText="1"/>
    </xf>
    <xf numFmtId="0" fontId="8" fillId="0" borderId="1" xfId="1" applyFont="1" applyBorder="1" applyAlignment="1">
      <alignment horizontal="center" vertical="center" wrapText="1"/>
    </xf>
    <xf numFmtId="0" fontId="8" fillId="0" borderId="3" xfId="1" applyFont="1" applyBorder="1" applyAlignment="1">
      <alignment horizontal="center" vertical="center" wrapText="1"/>
    </xf>
    <xf numFmtId="0" fontId="8" fillId="0" borderId="4" xfId="1" applyFont="1" applyBorder="1" applyAlignment="1">
      <alignment horizontal="center" vertical="center" wrapText="1"/>
    </xf>
    <xf numFmtId="56" fontId="1" fillId="0" borderId="0" xfId="1" applyNumberFormat="1"/>
    <xf numFmtId="177" fontId="1" fillId="3" borderId="0" xfId="1" applyNumberFormat="1" applyFill="1"/>
    <xf numFmtId="0" fontId="10" fillId="0" borderId="7" xfId="1" applyFont="1" applyBorder="1"/>
    <xf numFmtId="0" fontId="10" fillId="0" borderId="37" xfId="8" applyFont="1" applyBorder="1" applyAlignment="1">
      <alignment horizontal="center" vertical="center"/>
    </xf>
    <xf numFmtId="0" fontId="10" fillId="0" borderId="38" xfId="8" applyFont="1" applyBorder="1" applyAlignment="1">
      <alignment horizontal="center" vertical="center"/>
    </xf>
    <xf numFmtId="0" fontId="1" fillId="0" borderId="7"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0" fillId="0" borderId="12" xfId="8" applyFont="1" applyBorder="1" applyAlignment="1">
      <alignment horizontal="center" vertical="center"/>
    </xf>
    <xf numFmtId="0" fontId="1" fillId="0" borderId="18" xfId="1" applyBorder="1"/>
    <xf numFmtId="0" fontId="1" fillId="3" borderId="0" xfId="1" applyFill="1"/>
    <xf numFmtId="0" fontId="1" fillId="0" borderId="0" xfId="8" applyFont="1">
      <alignment vertical="center"/>
    </xf>
    <xf numFmtId="49" fontId="5" fillId="0" borderId="3" xfId="1" applyNumberFormat="1" applyFont="1" applyBorder="1" applyAlignment="1">
      <alignment horizontal="center" vertical="center" wrapText="1"/>
    </xf>
    <xf numFmtId="49" fontId="7" fillId="0" borderId="5" xfId="1" applyNumberFormat="1" applyFont="1" applyBorder="1" applyAlignment="1">
      <alignment horizontal="center" vertical="center" wrapText="1"/>
    </xf>
    <xf numFmtId="49" fontId="7" fillId="0" borderId="0" xfId="1" applyNumberFormat="1" applyFont="1" applyAlignment="1">
      <alignment horizontal="center" vertical="center" wrapText="1"/>
    </xf>
    <xf numFmtId="49" fontId="8" fillId="0" borderId="22"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xf numFmtId="0" fontId="1" fillId="0" borderId="0" xfId="1" applyAlignment="1">
      <alignment horizontal="center"/>
    </xf>
    <xf numFmtId="14" fontId="16" fillId="0" borderId="0" xfId="1" applyNumberFormat="1" applyFont="1" applyAlignment="1">
      <alignment horizontal="center"/>
    </xf>
    <xf numFmtId="0" fontId="17" fillId="0" borderId="1" xfId="0" applyFont="1" applyBorder="1">
      <alignment vertical="center"/>
    </xf>
    <xf numFmtId="0" fontId="18" fillId="0" borderId="4" xfId="0" applyFont="1" applyBorder="1">
      <alignment vertical="center"/>
    </xf>
    <xf numFmtId="0" fontId="18" fillId="0" borderId="1" xfId="0" applyFont="1" applyBorder="1">
      <alignment vertical="center"/>
    </xf>
    <xf numFmtId="0" fontId="16" fillId="0" borderId="0" xfId="1" applyFont="1"/>
    <xf numFmtId="0" fontId="18" fillId="0" borderId="6" xfId="0" applyFont="1" applyBorder="1">
      <alignment vertical="center"/>
    </xf>
    <xf numFmtId="0" fontId="1" fillId="0" borderId="0" xfId="5" applyAlignment="1"/>
    <xf numFmtId="14" fontId="1" fillId="0" borderId="0" xfId="5" applyNumberFormat="1" applyAlignment="1"/>
    <xf numFmtId="1" fontId="1" fillId="2" borderId="0" xfId="1" applyNumberFormat="1" applyFill="1"/>
    <xf numFmtId="0" fontId="0" fillId="0" borderId="12" xfId="0" applyBorder="1" applyAlignment="1">
      <alignment horizontal="center"/>
    </xf>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7" xfId="1" applyFont="1" applyBorder="1"/>
    <xf numFmtId="178" fontId="1" fillId="3" borderId="0" xfId="1" applyNumberFormat="1" applyFill="1" applyAlignment="1">
      <alignment horizontal="right"/>
    </xf>
    <xf numFmtId="14" fontId="0" fillId="0" borderId="0" xfId="1" applyNumberFormat="1" applyFont="1"/>
    <xf numFmtId="178" fontId="1" fillId="2" borderId="0" xfId="1" applyNumberFormat="1" applyFill="1" applyAlignment="1">
      <alignment horizontal="right"/>
    </xf>
    <xf numFmtId="0" fontId="1" fillId="2" borderId="0" xfId="1" applyFill="1" applyAlignment="1">
      <alignment horizontal="right"/>
    </xf>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78"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7"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6" fillId="0" borderId="0" xfId="1" applyNumberFormat="1" applyFont="1"/>
    <xf numFmtId="0" fontId="1" fillId="0" borderId="12" xfId="1" applyBorder="1" applyAlignment="1">
      <alignment shrinkToFit="1"/>
    </xf>
    <xf numFmtId="0" fontId="11" fillId="0" borderId="0" xfId="2">
      <alignment vertical="center"/>
    </xf>
  </cellXfs>
  <cellStyles count="9">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02D37113-871A-4310-93ED-14643AB4914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C93EB-AF33-457E-91CC-B1CC7DA8F477}">
  <dimension ref="A1:BA160"/>
  <sheetViews>
    <sheetView tabSelected="1" zoomScale="85" zoomScaleNormal="85" workbookViewId="0">
      <pane ySplit="1" topLeftCell="A2" activePane="bottomLeft" state="frozen"/>
      <selection pane="bottomLeft" activeCell="A2" sqref="A2"/>
    </sheetView>
  </sheetViews>
  <sheetFormatPr defaultRowHeight="13.5" x14ac:dyDescent="0.15"/>
  <cols>
    <col min="1" max="3" width="9" style="77"/>
    <col min="4" max="4" width="10.5" style="77" bestFit="1" customWidth="1"/>
    <col min="5" max="5" width="10.875" style="77" bestFit="1" customWidth="1"/>
    <col min="6" max="13" width="9" style="77"/>
    <col min="14" max="14" width="9.5" style="77" bestFit="1" customWidth="1"/>
    <col min="15" max="16" width="9" style="77"/>
    <col min="17" max="17" width="9" style="141"/>
    <col min="18" max="18" width="9" style="77"/>
    <col min="19" max="19" width="12.75" style="77" bestFit="1" customWidth="1"/>
    <col min="20" max="20" width="9" style="16"/>
    <col min="21" max="21" width="9.5" style="77" bestFit="1" customWidth="1"/>
    <col min="22" max="22" width="9" style="16"/>
    <col min="23" max="32" width="9" style="77"/>
    <col min="33" max="33" width="13.875" style="77" bestFit="1" customWidth="1"/>
    <col min="34" max="259" width="9" style="77"/>
    <col min="260" max="260" width="10.5" style="77" bestFit="1" customWidth="1"/>
    <col min="261" max="261" width="10.875" style="77" bestFit="1" customWidth="1"/>
    <col min="262" max="276" width="9" style="77"/>
    <col min="277" max="277" width="9.5" style="77" bestFit="1" customWidth="1"/>
    <col min="278" max="288" width="9" style="77"/>
    <col min="289" max="289" width="12.375" style="77" bestFit="1" customWidth="1"/>
    <col min="290" max="515" width="9" style="77"/>
    <col min="516" max="516" width="10.5" style="77" bestFit="1" customWidth="1"/>
    <col min="517" max="517" width="10.875" style="77" bestFit="1" customWidth="1"/>
    <col min="518" max="532" width="9" style="77"/>
    <col min="533" max="533" width="9.5" style="77" bestFit="1" customWidth="1"/>
    <col min="534" max="544" width="9" style="77"/>
    <col min="545" max="545" width="12.375" style="77" bestFit="1" customWidth="1"/>
    <col min="546" max="771" width="9" style="77"/>
    <col min="772" max="772" width="10.5" style="77" bestFit="1" customWidth="1"/>
    <col min="773" max="773" width="10.875" style="77" bestFit="1" customWidth="1"/>
    <col min="774" max="788" width="9" style="77"/>
    <col min="789" max="789" width="9.5" style="77" bestFit="1" customWidth="1"/>
    <col min="790" max="800" width="9" style="77"/>
    <col min="801" max="801" width="12.375" style="77" bestFit="1" customWidth="1"/>
    <col min="802" max="1027" width="9" style="77"/>
    <col min="1028" max="1028" width="10.5" style="77" bestFit="1" customWidth="1"/>
    <col min="1029" max="1029" width="10.875" style="77" bestFit="1" customWidth="1"/>
    <col min="1030" max="1044" width="9" style="77"/>
    <col min="1045" max="1045" width="9.5" style="77" bestFit="1" customWidth="1"/>
    <col min="1046" max="1056" width="9" style="77"/>
    <col min="1057" max="1057" width="12.375" style="77" bestFit="1" customWidth="1"/>
    <col min="1058" max="1283" width="9" style="77"/>
    <col min="1284" max="1284" width="10.5" style="77" bestFit="1" customWidth="1"/>
    <col min="1285" max="1285" width="10.875" style="77" bestFit="1" customWidth="1"/>
    <col min="1286" max="1300" width="9" style="77"/>
    <col min="1301" max="1301" width="9.5" style="77" bestFit="1" customWidth="1"/>
    <col min="1302" max="1312" width="9" style="77"/>
    <col min="1313" max="1313" width="12.375" style="77" bestFit="1" customWidth="1"/>
    <col min="1314" max="1539" width="9" style="77"/>
    <col min="1540" max="1540" width="10.5" style="77" bestFit="1" customWidth="1"/>
    <col min="1541" max="1541" width="10.875" style="77" bestFit="1" customWidth="1"/>
    <col min="1542" max="1556" width="9" style="77"/>
    <col min="1557" max="1557" width="9.5" style="77" bestFit="1" customWidth="1"/>
    <col min="1558" max="1568" width="9" style="77"/>
    <col min="1569" max="1569" width="12.375" style="77" bestFit="1" customWidth="1"/>
    <col min="1570" max="1795" width="9" style="77"/>
    <col min="1796" max="1796" width="10.5" style="77" bestFit="1" customWidth="1"/>
    <col min="1797" max="1797" width="10.875" style="77" bestFit="1" customWidth="1"/>
    <col min="1798" max="1812" width="9" style="77"/>
    <col min="1813" max="1813" width="9.5" style="77" bestFit="1" customWidth="1"/>
    <col min="1814" max="1824" width="9" style="77"/>
    <col min="1825" max="1825" width="12.375" style="77" bestFit="1" customWidth="1"/>
    <col min="1826" max="2051" width="9" style="77"/>
    <col min="2052" max="2052" width="10.5" style="77" bestFit="1" customWidth="1"/>
    <col min="2053" max="2053" width="10.875" style="77" bestFit="1" customWidth="1"/>
    <col min="2054" max="2068" width="9" style="77"/>
    <col min="2069" max="2069" width="9.5" style="77" bestFit="1" customWidth="1"/>
    <col min="2070" max="2080" width="9" style="77"/>
    <col min="2081" max="2081" width="12.375" style="77" bestFit="1" customWidth="1"/>
    <col min="2082" max="2307" width="9" style="77"/>
    <col min="2308" max="2308" width="10.5" style="77" bestFit="1" customWidth="1"/>
    <col min="2309" max="2309" width="10.875" style="77" bestFit="1" customWidth="1"/>
    <col min="2310" max="2324" width="9" style="77"/>
    <col min="2325" max="2325" width="9.5" style="77" bestFit="1" customWidth="1"/>
    <col min="2326" max="2336" width="9" style="77"/>
    <col min="2337" max="2337" width="12.375" style="77" bestFit="1" customWidth="1"/>
    <col min="2338" max="2563" width="9" style="77"/>
    <col min="2564" max="2564" width="10.5" style="77" bestFit="1" customWidth="1"/>
    <col min="2565" max="2565" width="10.875" style="77" bestFit="1" customWidth="1"/>
    <col min="2566" max="2580" width="9" style="77"/>
    <col min="2581" max="2581" width="9.5" style="77" bestFit="1" customWidth="1"/>
    <col min="2582" max="2592" width="9" style="77"/>
    <col min="2593" max="2593" width="12.375" style="77" bestFit="1" customWidth="1"/>
    <col min="2594" max="2819" width="9" style="77"/>
    <col min="2820" max="2820" width="10.5" style="77" bestFit="1" customWidth="1"/>
    <col min="2821" max="2821" width="10.875" style="77" bestFit="1" customWidth="1"/>
    <col min="2822" max="2836" width="9" style="77"/>
    <col min="2837" max="2837" width="9.5" style="77" bestFit="1" customWidth="1"/>
    <col min="2838" max="2848" width="9" style="77"/>
    <col min="2849" max="2849" width="12.375" style="77" bestFit="1" customWidth="1"/>
    <col min="2850" max="3075" width="9" style="77"/>
    <col min="3076" max="3076" width="10.5" style="77" bestFit="1" customWidth="1"/>
    <col min="3077" max="3077" width="10.875" style="77" bestFit="1" customWidth="1"/>
    <col min="3078" max="3092" width="9" style="77"/>
    <col min="3093" max="3093" width="9.5" style="77" bestFit="1" customWidth="1"/>
    <col min="3094" max="3104" width="9" style="77"/>
    <col min="3105" max="3105" width="12.375" style="77" bestFit="1" customWidth="1"/>
    <col min="3106" max="3331" width="9" style="77"/>
    <col min="3332" max="3332" width="10.5" style="77" bestFit="1" customWidth="1"/>
    <col min="3333" max="3333" width="10.875" style="77" bestFit="1" customWidth="1"/>
    <col min="3334" max="3348" width="9" style="77"/>
    <col min="3349" max="3349" width="9.5" style="77" bestFit="1" customWidth="1"/>
    <col min="3350" max="3360" width="9" style="77"/>
    <col min="3361" max="3361" width="12.375" style="77" bestFit="1" customWidth="1"/>
    <col min="3362" max="3587" width="9" style="77"/>
    <col min="3588" max="3588" width="10.5" style="77" bestFit="1" customWidth="1"/>
    <col min="3589" max="3589" width="10.875" style="77" bestFit="1" customWidth="1"/>
    <col min="3590" max="3604" width="9" style="77"/>
    <col min="3605" max="3605" width="9.5" style="77" bestFit="1" customWidth="1"/>
    <col min="3606" max="3616" width="9" style="77"/>
    <col min="3617" max="3617" width="12.375" style="77" bestFit="1" customWidth="1"/>
    <col min="3618" max="3843" width="9" style="77"/>
    <col min="3844" max="3844" width="10.5" style="77" bestFit="1" customWidth="1"/>
    <col min="3845" max="3845" width="10.875" style="77" bestFit="1" customWidth="1"/>
    <col min="3846" max="3860" width="9" style="77"/>
    <col min="3861" max="3861" width="9.5" style="77" bestFit="1" customWidth="1"/>
    <col min="3862" max="3872" width="9" style="77"/>
    <col min="3873" max="3873" width="12.375" style="77" bestFit="1" customWidth="1"/>
    <col min="3874" max="4099" width="9" style="77"/>
    <col min="4100" max="4100" width="10.5" style="77" bestFit="1" customWidth="1"/>
    <col min="4101" max="4101" width="10.875" style="77" bestFit="1" customWidth="1"/>
    <col min="4102" max="4116" width="9" style="77"/>
    <col min="4117" max="4117" width="9.5" style="77" bestFit="1" customWidth="1"/>
    <col min="4118" max="4128" width="9" style="77"/>
    <col min="4129" max="4129" width="12.375" style="77" bestFit="1" customWidth="1"/>
    <col min="4130" max="4355" width="9" style="77"/>
    <col min="4356" max="4356" width="10.5" style="77" bestFit="1" customWidth="1"/>
    <col min="4357" max="4357" width="10.875" style="77" bestFit="1" customWidth="1"/>
    <col min="4358" max="4372" width="9" style="77"/>
    <col min="4373" max="4373" width="9.5" style="77" bestFit="1" customWidth="1"/>
    <col min="4374" max="4384" width="9" style="77"/>
    <col min="4385" max="4385" width="12.375" style="77" bestFit="1" customWidth="1"/>
    <col min="4386" max="4611" width="9" style="77"/>
    <col min="4612" max="4612" width="10.5" style="77" bestFit="1" customWidth="1"/>
    <col min="4613" max="4613" width="10.875" style="77" bestFit="1" customWidth="1"/>
    <col min="4614" max="4628" width="9" style="77"/>
    <col min="4629" max="4629" width="9.5" style="77" bestFit="1" customWidth="1"/>
    <col min="4630" max="4640" width="9" style="77"/>
    <col min="4641" max="4641" width="12.375" style="77" bestFit="1" customWidth="1"/>
    <col min="4642" max="4867" width="9" style="77"/>
    <col min="4868" max="4868" width="10.5" style="77" bestFit="1" customWidth="1"/>
    <col min="4869" max="4869" width="10.875" style="77" bestFit="1" customWidth="1"/>
    <col min="4870" max="4884" width="9" style="77"/>
    <col min="4885" max="4885" width="9.5" style="77" bestFit="1" customWidth="1"/>
    <col min="4886" max="4896" width="9" style="77"/>
    <col min="4897" max="4897" width="12.375" style="77" bestFit="1" customWidth="1"/>
    <col min="4898" max="5123" width="9" style="77"/>
    <col min="5124" max="5124" width="10.5" style="77" bestFit="1" customWidth="1"/>
    <col min="5125" max="5125" width="10.875" style="77" bestFit="1" customWidth="1"/>
    <col min="5126" max="5140" width="9" style="77"/>
    <col min="5141" max="5141" width="9.5" style="77" bestFit="1" customWidth="1"/>
    <col min="5142" max="5152" width="9" style="77"/>
    <col min="5153" max="5153" width="12.375" style="77" bestFit="1" customWidth="1"/>
    <col min="5154" max="5379" width="9" style="77"/>
    <col min="5380" max="5380" width="10.5" style="77" bestFit="1" customWidth="1"/>
    <col min="5381" max="5381" width="10.875" style="77" bestFit="1" customWidth="1"/>
    <col min="5382" max="5396" width="9" style="77"/>
    <col min="5397" max="5397" width="9.5" style="77" bestFit="1" customWidth="1"/>
    <col min="5398" max="5408" width="9" style="77"/>
    <col min="5409" max="5409" width="12.375" style="77" bestFit="1" customWidth="1"/>
    <col min="5410" max="5635" width="9" style="77"/>
    <col min="5636" max="5636" width="10.5" style="77" bestFit="1" customWidth="1"/>
    <col min="5637" max="5637" width="10.875" style="77" bestFit="1" customWidth="1"/>
    <col min="5638" max="5652" width="9" style="77"/>
    <col min="5653" max="5653" width="9.5" style="77" bestFit="1" customWidth="1"/>
    <col min="5654" max="5664" width="9" style="77"/>
    <col min="5665" max="5665" width="12.375" style="77" bestFit="1" customWidth="1"/>
    <col min="5666" max="5891" width="9" style="77"/>
    <col min="5892" max="5892" width="10.5" style="77" bestFit="1" customWidth="1"/>
    <col min="5893" max="5893" width="10.875" style="77" bestFit="1" customWidth="1"/>
    <col min="5894" max="5908" width="9" style="77"/>
    <col min="5909" max="5909" width="9.5" style="77" bestFit="1" customWidth="1"/>
    <col min="5910" max="5920" width="9" style="77"/>
    <col min="5921" max="5921" width="12.375" style="77" bestFit="1" customWidth="1"/>
    <col min="5922" max="6147" width="9" style="77"/>
    <col min="6148" max="6148" width="10.5" style="77" bestFit="1" customWidth="1"/>
    <col min="6149" max="6149" width="10.875" style="77" bestFit="1" customWidth="1"/>
    <col min="6150" max="6164" width="9" style="77"/>
    <col min="6165" max="6165" width="9.5" style="77" bestFit="1" customWidth="1"/>
    <col min="6166" max="6176" width="9" style="77"/>
    <col min="6177" max="6177" width="12.375" style="77" bestFit="1" customWidth="1"/>
    <col min="6178" max="6403" width="9" style="77"/>
    <col min="6404" max="6404" width="10.5" style="77" bestFit="1" customWidth="1"/>
    <col min="6405" max="6405" width="10.875" style="77" bestFit="1" customWidth="1"/>
    <col min="6406" max="6420" width="9" style="77"/>
    <col min="6421" max="6421" width="9.5" style="77" bestFit="1" customWidth="1"/>
    <col min="6422" max="6432" width="9" style="77"/>
    <col min="6433" max="6433" width="12.375" style="77" bestFit="1" customWidth="1"/>
    <col min="6434" max="6659" width="9" style="77"/>
    <col min="6660" max="6660" width="10.5" style="77" bestFit="1" customWidth="1"/>
    <col min="6661" max="6661" width="10.875" style="77" bestFit="1" customWidth="1"/>
    <col min="6662" max="6676" width="9" style="77"/>
    <col min="6677" max="6677" width="9.5" style="77" bestFit="1" customWidth="1"/>
    <col min="6678" max="6688" width="9" style="77"/>
    <col min="6689" max="6689" width="12.375" style="77" bestFit="1" customWidth="1"/>
    <col min="6690" max="6915" width="9" style="77"/>
    <col min="6916" max="6916" width="10.5" style="77" bestFit="1" customWidth="1"/>
    <col min="6917" max="6917" width="10.875" style="77" bestFit="1" customWidth="1"/>
    <col min="6918" max="6932" width="9" style="77"/>
    <col min="6933" max="6933" width="9.5" style="77" bestFit="1" customWidth="1"/>
    <col min="6934" max="6944" width="9" style="77"/>
    <col min="6945" max="6945" width="12.375" style="77" bestFit="1" customWidth="1"/>
    <col min="6946" max="7171" width="9" style="77"/>
    <col min="7172" max="7172" width="10.5" style="77" bestFit="1" customWidth="1"/>
    <col min="7173" max="7173" width="10.875" style="77" bestFit="1" customWidth="1"/>
    <col min="7174" max="7188" width="9" style="77"/>
    <col min="7189" max="7189" width="9.5" style="77" bestFit="1" customWidth="1"/>
    <col min="7190" max="7200" width="9" style="77"/>
    <col min="7201" max="7201" width="12.375" style="77" bestFit="1" customWidth="1"/>
    <col min="7202" max="7427" width="9" style="77"/>
    <col min="7428" max="7428" width="10.5" style="77" bestFit="1" customWidth="1"/>
    <col min="7429" max="7429" width="10.875" style="77" bestFit="1" customWidth="1"/>
    <col min="7430" max="7444" width="9" style="77"/>
    <col min="7445" max="7445" width="9.5" style="77" bestFit="1" customWidth="1"/>
    <col min="7446" max="7456" width="9" style="77"/>
    <col min="7457" max="7457" width="12.375" style="77" bestFit="1" customWidth="1"/>
    <col min="7458" max="7683" width="9" style="77"/>
    <col min="7684" max="7684" width="10.5" style="77" bestFit="1" customWidth="1"/>
    <col min="7685" max="7685" width="10.875" style="77" bestFit="1" customWidth="1"/>
    <col min="7686" max="7700" width="9" style="77"/>
    <col min="7701" max="7701" width="9.5" style="77" bestFit="1" customWidth="1"/>
    <col min="7702" max="7712" width="9" style="77"/>
    <col min="7713" max="7713" width="12.375" style="77" bestFit="1" customWidth="1"/>
    <col min="7714" max="7939" width="9" style="77"/>
    <col min="7940" max="7940" width="10.5" style="77" bestFit="1" customWidth="1"/>
    <col min="7941" max="7941" width="10.875" style="77" bestFit="1" customWidth="1"/>
    <col min="7942" max="7956" width="9" style="77"/>
    <col min="7957" max="7957" width="9.5" style="77" bestFit="1" customWidth="1"/>
    <col min="7958" max="7968" width="9" style="77"/>
    <col min="7969" max="7969" width="12.375" style="77" bestFit="1" customWidth="1"/>
    <col min="7970" max="8195" width="9" style="77"/>
    <col min="8196" max="8196" width="10.5" style="77" bestFit="1" customWidth="1"/>
    <col min="8197" max="8197" width="10.875" style="77" bestFit="1" customWidth="1"/>
    <col min="8198" max="8212" width="9" style="77"/>
    <col min="8213" max="8213" width="9.5" style="77" bestFit="1" customWidth="1"/>
    <col min="8214" max="8224" width="9" style="77"/>
    <col min="8225" max="8225" width="12.375" style="77" bestFit="1" customWidth="1"/>
    <col min="8226" max="8451" width="9" style="77"/>
    <col min="8452" max="8452" width="10.5" style="77" bestFit="1" customWidth="1"/>
    <col min="8453" max="8453" width="10.875" style="77" bestFit="1" customWidth="1"/>
    <col min="8454" max="8468" width="9" style="77"/>
    <col min="8469" max="8469" width="9.5" style="77" bestFit="1" customWidth="1"/>
    <col min="8470" max="8480" width="9" style="77"/>
    <col min="8481" max="8481" width="12.375" style="77" bestFit="1" customWidth="1"/>
    <col min="8482" max="8707" width="9" style="77"/>
    <col min="8708" max="8708" width="10.5" style="77" bestFit="1" customWidth="1"/>
    <col min="8709" max="8709" width="10.875" style="77" bestFit="1" customWidth="1"/>
    <col min="8710" max="8724" width="9" style="77"/>
    <col min="8725" max="8725" width="9.5" style="77" bestFit="1" customWidth="1"/>
    <col min="8726" max="8736" width="9" style="77"/>
    <col min="8737" max="8737" width="12.375" style="77" bestFit="1" customWidth="1"/>
    <col min="8738" max="8963" width="9" style="77"/>
    <col min="8964" max="8964" width="10.5" style="77" bestFit="1" customWidth="1"/>
    <col min="8965" max="8965" width="10.875" style="77" bestFit="1" customWidth="1"/>
    <col min="8966" max="8980" width="9" style="77"/>
    <col min="8981" max="8981" width="9.5" style="77" bestFit="1" customWidth="1"/>
    <col min="8982" max="8992" width="9" style="77"/>
    <col min="8993" max="8993" width="12.375" style="77" bestFit="1" customWidth="1"/>
    <col min="8994" max="9219" width="9" style="77"/>
    <col min="9220" max="9220" width="10.5" style="77" bestFit="1" customWidth="1"/>
    <col min="9221" max="9221" width="10.875" style="77" bestFit="1" customWidth="1"/>
    <col min="9222" max="9236" width="9" style="77"/>
    <col min="9237" max="9237" width="9.5" style="77" bestFit="1" customWidth="1"/>
    <col min="9238" max="9248" width="9" style="77"/>
    <col min="9249" max="9249" width="12.375" style="77" bestFit="1" customWidth="1"/>
    <col min="9250" max="9475" width="9" style="77"/>
    <col min="9476" max="9476" width="10.5" style="77" bestFit="1" customWidth="1"/>
    <col min="9477" max="9477" width="10.875" style="77" bestFit="1" customWidth="1"/>
    <col min="9478" max="9492" width="9" style="77"/>
    <col min="9493" max="9493" width="9.5" style="77" bestFit="1" customWidth="1"/>
    <col min="9494" max="9504" width="9" style="77"/>
    <col min="9505" max="9505" width="12.375" style="77" bestFit="1" customWidth="1"/>
    <col min="9506" max="9731" width="9" style="77"/>
    <col min="9732" max="9732" width="10.5" style="77" bestFit="1" customWidth="1"/>
    <col min="9733" max="9733" width="10.875" style="77" bestFit="1" customWidth="1"/>
    <col min="9734" max="9748" width="9" style="77"/>
    <col min="9749" max="9749" width="9.5" style="77" bestFit="1" customWidth="1"/>
    <col min="9750" max="9760" width="9" style="77"/>
    <col min="9761" max="9761" width="12.375" style="77" bestFit="1" customWidth="1"/>
    <col min="9762" max="9987" width="9" style="77"/>
    <col min="9988" max="9988" width="10.5" style="77" bestFit="1" customWidth="1"/>
    <col min="9989" max="9989" width="10.875" style="77" bestFit="1" customWidth="1"/>
    <col min="9990" max="10004" width="9" style="77"/>
    <col min="10005" max="10005" width="9.5" style="77" bestFit="1" customWidth="1"/>
    <col min="10006" max="10016" width="9" style="77"/>
    <col min="10017" max="10017" width="12.375" style="77" bestFit="1" customWidth="1"/>
    <col min="10018" max="10243" width="9" style="77"/>
    <col min="10244" max="10244" width="10.5" style="77" bestFit="1" customWidth="1"/>
    <col min="10245" max="10245" width="10.875" style="77" bestFit="1" customWidth="1"/>
    <col min="10246" max="10260" width="9" style="77"/>
    <col min="10261" max="10261" width="9.5" style="77" bestFit="1" customWidth="1"/>
    <col min="10262" max="10272" width="9" style="77"/>
    <col min="10273" max="10273" width="12.375" style="77" bestFit="1" customWidth="1"/>
    <col min="10274" max="10499" width="9" style="77"/>
    <col min="10500" max="10500" width="10.5" style="77" bestFit="1" customWidth="1"/>
    <col min="10501" max="10501" width="10.875" style="77" bestFit="1" customWidth="1"/>
    <col min="10502" max="10516" width="9" style="77"/>
    <col min="10517" max="10517" width="9.5" style="77" bestFit="1" customWidth="1"/>
    <col min="10518" max="10528" width="9" style="77"/>
    <col min="10529" max="10529" width="12.375" style="77" bestFit="1" customWidth="1"/>
    <col min="10530" max="10755" width="9" style="77"/>
    <col min="10756" max="10756" width="10.5" style="77" bestFit="1" customWidth="1"/>
    <col min="10757" max="10757" width="10.875" style="77" bestFit="1" customWidth="1"/>
    <col min="10758" max="10772" width="9" style="77"/>
    <col min="10773" max="10773" width="9.5" style="77" bestFit="1" customWidth="1"/>
    <col min="10774" max="10784" width="9" style="77"/>
    <col min="10785" max="10785" width="12.375" style="77" bestFit="1" customWidth="1"/>
    <col min="10786" max="11011" width="9" style="77"/>
    <col min="11012" max="11012" width="10.5" style="77" bestFit="1" customWidth="1"/>
    <col min="11013" max="11013" width="10.875" style="77" bestFit="1" customWidth="1"/>
    <col min="11014" max="11028" width="9" style="77"/>
    <col min="11029" max="11029" width="9.5" style="77" bestFit="1" customWidth="1"/>
    <col min="11030" max="11040" width="9" style="77"/>
    <col min="11041" max="11041" width="12.375" style="77" bestFit="1" customWidth="1"/>
    <col min="11042" max="11267" width="9" style="77"/>
    <col min="11268" max="11268" width="10.5" style="77" bestFit="1" customWidth="1"/>
    <col min="11269" max="11269" width="10.875" style="77" bestFit="1" customWidth="1"/>
    <col min="11270" max="11284" width="9" style="77"/>
    <col min="11285" max="11285" width="9.5" style="77" bestFit="1" customWidth="1"/>
    <col min="11286" max="11296" width="9" style="77"/>
    <col min="11297" max="11297" width="12.375" style="77" bestFit="1" customWidth="1"/>
    <col min="11298" max="11523" width="9" style="77"/>
    <col min="11524" max="11524" width="10.5" style="77" bestFit="1" customWidth="1"/>
    <col min="11525" max="11525" width="10.875" style="77" bestFit="1" customWidth="1"/>
    <col min="11526" max="11540" width="9" style="77"/>
    <col min="11541" max="11541" width="9.5" style="77" bestFit="1" customWidth="1"/>
    <col min="11542" max="11552" width="9" style="77"/>
    <col min="11553" max="11553" width="12.375" style="77" bestFit="1" customWidth="1"/>
    <col min="11554" max="11779" width="9" style="77"/>
    <col min="11780" max="11780" width="10.5" style="77" bestFit="1" customWidth="1"/>
    <col min="11781" max="11781" width="10.875" style="77" bestFit="1" customWidth="1"/>
    <col min="11782" max="11796" width="9" style="77"/>
    <col min="11797" max="11797" width="9.5" style="77" bestFit="1" customWidth="1"/>
    <col min="11798" max="11808" width="9" style="77"/>
    <col min="11809" max="11809" width="12.375" style="77" bestFit="1" customWidth="1"/>
    <col min="11810" max="12035" width="9" style="77"/>
    <col min="12036" max="12036" width="10.5" style="77" bestFit="1" customWidth="1"/>
    <col min="12037" max="12037" width="10.875" style="77" bestFit="1" customWidth="1"/>
    <col min="12038" max="12052" width="9" style="77"/>
    <col min="12053" max="12053" width="9.5" style="77" bestFit="1" customWidth="1"/>
    <col min="12054" max="12064" width="9" style="77"/>
    <col min="12065" max="12065" width="12.375" style="77" bestFit="1" customWidth="1"/>
    <col min="12066" max="12291" width="9" style="77"/>
    <col min="12292" max="12292" width="10.5" style="77" bestFit="1" customWidth="1"/>
    <col min="12293" max="12293" width="10.875" style="77" bestFit="1" customWidth="1"/>
    <col min="12294" max="12308" width="9" style="77"/>
    <col min="12309" max="12309" width="9.5" style="77" bestFit="1" customWidth="1"/>
    <col min="12310" max="12320" width="9" style="77"/>
    <col min="12321" max="12321" width="12.375" style="77" bestFit="1" customWidth="1"/>
    <col min="12322" max="12547" width="9" style="77"/>
    <col min="12548" max="12548" width="10.5" style="77" bestFit="1" customWidth="1"/>
    <col min="12549" max="12549" width="10.875" style="77" bestFit="1" customWidth="1"/>
    <col min="12550" max="12564" width="9" style="77"/>
    <col min="12565" max="12565" width="9.5" style="77" bestFit="1" customWidth="1"/>
    <col min="12566" max="12576" width="9" style="77"/>
    <col min="12577" max="12577" width="12.375" style="77" bestFit="1" customWidth="1"/>
    <col min="12578" max="12803" width="9" style="77"/>
    <col min="12804" max="12804" width="10.5" style="77" bestFit="1" customWidth="1"/>
    <col min="12805" max="12805" width="10.875" style="77" bestFit="1" customWidth="1"/>
    <col min="12806" max="12820" width="9" style="77"/>
    <col min="12821" max="12821" width="9.5" style="77" bestFit="1" customWidth="1"/>
    <col min="12822" max="12832" width="9" style="77"/>
    <col min="12833" max="12833" width="12.375" style="77" bestFit="1" customWidth="1"/>
    <col min="12834" max="13059" width="9" style="77"/>
    <col min="13060" max="13060" width="10.5" style="77" bestFit="1" customWidth="1"/>
    <col min="13061" max="13061" width="10.875" style="77" bestFit="1" customWidth="1"/>
    <col min="13062" max="13076" width="9" style="77"/>
    <col min="13077" max="13077" width="9.5" style="77" bestFit="1" customWidth="1"/>
    <col min="13078" max="13088" width="9" style="77"/>
    <col min="13089" max="13089" width="12.375" style="77" bestFit="1" customWidth="1"/>
    <col min="13090" max="13315" width="9" style="77"/>
    <col min="13316" max="13316" width="10.5" style="77" bestFit="1" customWidth="1"/>
    <col min="13317" max="13317" width="10.875" style="77" bestFit="1" customWidth="1"/>
    <col min="13318" max="13332" width="9" style="77"/>
    <col min="13333" max="13333" width="9.5" style="77" bestFit="1" customWidth="1"/>
    <col min="13334" max="13344" width="9" style="77"/>
    <col min="13345" max="13345" width="12.375" style="77" bestFit="1" customWidth="1"/>
    <col min="13346" max="13571" width="9" style="77"/>
    <col min="13572" max="13572" width="10.5" style="77" bestFit="1" customWidth="1"/>
    <col min="13573" max="13573" width="10.875" style="77" bestFit="1" customWidth="1"/>
    <col min="13574" max="13588" width="9" style="77"/>
    <col min="13589" max="13589" width="9.5" style="77" bestFit="1" customWidth="1"/>
    <col min="13590" max="13600" width="9" style="77"/>
    <col min="13601" max="13601" width="12.375" style="77" bestFit="1" customWidth="1"/>
    <col min="13602" max="13827" width="9" style="77"/>
    <col min="13828" max="13828" width="10.5" style="77" bestFit="1" customWidth="1"/>
    <col min="13829" max="13829" width="10.875" style="77" bestFit="1" customWidth="1"/>
    <col min="13830" max="13844" width="9" style="77"/>
    <col min="13845" max="13845" width="9.5" style="77" bestFit="1" customWidth="1"/>
    <col min="13846" max="13856" width="9" style="77"/>
    <col min="13857" max="13857" width="12.375" style="77" bestFit="1" customWidth="1"/>
    <col min="13858" max="14083" width="9" style="77"/>
    <col min="14084" max="14084" width="10.5" style="77" bestFit="1" customWidth="1"/>
    <col min="14085" max="14085" width="10.875" style="77" bestFit="1" customWidth="1"/>
    <col min="14086" max="14100" width="9" style="77"/>
    <col min="14101" max="14101" width="9.5" style="77" bestFit="1" customWidth="1"/>
    <col min="14102" max="14112" width="9" style="77"/>
    <col min="14113" max="14113" width="12.375" style="77" bestFit="1" customWidth="1"/>
    <col min="14114" max="14339" width="9" style="77"/>
    <col min="14340" max="14340" width="10.5" style="77" bestFit="1" customWidth="1"/>
    <col min="14341" max="14341" width="10.875" style="77" bestFit="1" customWidth="1"/>
    <col min="14342" max="14356" width="9" style="77"/>
    <col min="14357" max="14357" width="9.5" style="77" bestFit="1" customWidth="1"/>
    <col min="14358" max="14368" width="9" style="77"/>
    <col min="14369" max="14369" width="12.375" style="77" bestFit="1" customWidth="1"/>
    <col min="14370" max="14595" width="9" style="77"/>
    <col min="14596" max="14596" width="10.5" style="77" bestFit="1" customWidth="1"/>
    <col min="14597" max="14597" width="10.875" style="77" bestFit="1" customWidth="1"/>
    <col min="14598" max="14612" width="9" style="77"/>
    <col min="14613" max="14613" width="9.5" style="77" bestFit="1" customWidth="1"/>
    <col min="14614" max="14624" width="9" style="77"/>
    <col min="14625" max="14625" width="12.375" style="77" bestFit="1" customWidth="1"/>
    <col min="14626" max="14851" width="9" style="77"/>
    <col min="14852" max="14852" width="10.5" style="77" bestFit="1" customWidth="1"/>
    <col min="14853" max="14853" width="10.875" style="77" bestFit="1" customWidth="1"/>
    <col min="14854" max="14868" width="9" style="77"/>
    <col min="14869" max="14869" width="9.5" style="77" bestFit="1" customWidth="1"/>
    <col min="14870" max="14880" width="9" style="77"/>
    <col min="14881" max="14881" width="12.375" style="77" bestFit="1" customWidth="1"/>
    <col min="14882" max="15107" width="9" style="77"/>
    <col min="15108" max="15108" width="10.5" style="77" bestFit="1" customWidth="1"/>
    <col min="15109" max="15109" width="10.875" style="77" bestFit="1" customWidth="1"/>
    <col min="15110" max="15124" width="9" style="77"/>
    <col min="15125" max="15125" width="9.5" style="77" bestFit="1" customWidth="1"/>
    <col min="15126" max="15136" width="9" style="77"/>
    <col min="15137" max="15137" width="12.375" style="77" bestFit="1" customWidth="1"/>
    <col min="15138" max="15363" width="9" style="77"/>
    <col min="15364" max="15364" width="10.5" style="77" bestFit="1" customWidth="1"/>
    <col min="15365" max="15365" width="10.875" style="77" bestFit="1" customWidth="1"/>
    <col min="15366" max="15380" width="9" style="77"/>
    <col min="15381" max="15381" width="9.5" style="77" bestFit="1" customWidth="1"/>
    <col min="15382" max="15392" width="9" style="77"/>
    <col min="15393" max="15393" width="12.375" style="77" bestFit="1" customWidth="1"/>
    <col min="15394" max="15619" width="9" style="77"/>
    <col min="15620" max="15620" width="10.5" style="77" bestFit="1" customWidth="1"/>
    <col min="15621" max="15621" width="10.875" style="77" bestFit="1" customWidth="1"/>
    <col min="15622" max="15636" width="9" style="77"/>
    <col min="15637" max="15637" width="9.5" style="77" bestFit="1" customWidth="1"/>
    <col min="15638" max="15648" width="9" style="77"/>
    <col min="15649" max="15649" width="12.375" style="77" bestFit="1" customWidth="1"/>
    <col min="15650" max="15875" width="9" style="77"/>
    <col min="15876" max="15876" width="10.5" style="77" bestFit="1" customWidth="1"/>
    <col min="15877" max="15877" width="10.875" style="77" bestFit="1" customWidth="1"/>
    <col min="15878" max="15892" width="9" style="77"/>
    <col min="15893" max="15893" width="9.5" style="77" bestFit="1" customWidth="1"/>
    <col min="15894" max="15904" width="9" style="77"/>
    <col min="15905" max="15905" width="12.375" style="77" bestFit="1" customWidth="1"/>
    <col min="15906" max="16131" width="9" style="77"/>
    <col min="16132" max="16132" width="10.5" style="77" bestFit="1" customWidth="1"/>
    <col min="16133" max="16133" width="10.875" style="77" bestFit="1" customWidth="1"/>
    <col min="16134" max="16148" width="9" style="77"/>
    <col min="16149" max="16149" width="9.5" style="77" bestFit="1" customWidth="1"/>
    <col min="16150" max="16160" width="9" style="77"/>
    <col min="16161" max="16161" width="12.375" style="77" bestFit="1" customWidth="1"/>
    <col min="16162" max="16384" width="9" style="77"/>
  </cols>
  <sheetData>
    <row r="1" spans="1:53" ht="45" x14ac:dyDescent="0.15">
      <c r="A1" s="40" t="s">
        <v>0</v>
      </c>
      <c r="B1" s="92" t="s">
        <v>1</v>
      </c>
      <c r="C1" s="92" t="s">
        <v>118</v>
      </c>
      <c r="D1" s="93" t="s">
        <v>2</v>
      </c>
      <c r="E1" s="83" t="s">
        <v>3</v>
      </c>
      <c r="F1" s="83" t="s">
        <v>4</v>
      </c>
      <c r="G1" s="83" t="s">
        <v>5</v>
      </c>
      <c r="H1" s="83" t="s">
        <v>6</v>
      </c>
      <c r="I1" s="83" t="s">
        <v>7</v>
      </c>
      <c r="J1" s="83" t="s">
        <v>8</v>
      </c>
      <c r="K1" s="83" t="s">
        <v>9</v>
      </c>
      <c r="L1" s="93" t="s">
        <v>119</v>
      </c>
      <c r="M1" s="93" t="s">
        <v>10</v>
      </c>
      <c r="N1" s="93" t="s">
        <v>11</v>
      </c>
      <c r="O1" s="93" t="s">
        <v>120</v>
      </c>
      <c r="P1" s="93" t="s">
        <v>121</v>
      </c>
      <c r="Q1" s="3" t="s">
        <v>12</v>
      </c>
      <c r="R1" s="93" t="s">
        <v>122</v>
      </c>
      <c r="S1" s="93" t="s">
        <v>123</v>
      </c>
      <c r="T1" s="3" t="s">
        <v>13</v>
      </c>
      <c r="U1" s="114" t="s">
        <v>92</v>
      </c>
      <c r="V1" s="5" t="s">
        <v>14</v>
      </c>
      <c r="W1" s="93" t="s">
        <v>15</v>
      </c>
      <c r="X1" s="83" t="s">
        <v>16</v>
      </c>
      <c r="Y1" s="83" t="s">
        <v>17</v>
      </c>
      <c r="Z1" s="83" t="s">
        <v>18</v>
      </c>
      <c r="AA1" s="42" t="s">
        <v>19</v>
      </c>
      <c r="AB1" s="115" t="s">
        <v>124</v>
      </c>
      <c r="AE1" s="96" t="s">
        <v>0</v>
      </c>
      <c r="AF1" s="116"/>
      <c r="AG1" s="96" t="s">
        <v>3</v>
      </c>
      <c r="AH1" s="96" t="s">
        <v>4</v>
      </c>
      <c r="AI1" s="116"/>
      <c r="AJ1" s="96" t="s">
        <v>5</v>
      </c>
      <c r="AK1" s="116"/>
      <c r="AL1" s="10" t="s">
        <v>325</v>
      </c>
      <c r="AM1" s="116"/>
      <c r="AN1" s="10" t="s">
        <v>7</v>
      </c>
      <c r="AO1" s="116"/>
      <c r="AP1" s="10" t="s">
        <v>20</v>
      </c>
      <c r="AQ1" s="116"/>
      <c r="AR1" s="10" t="s">
        <v>9</v>
      </c>
      <c r="AS1" s="116"/>
      <c r="AT1" s="11" t="s">
        <v>21</v>
      </c>
      <c r="AU1" s="116"/>
      <c r="AV1" s="10" t="s">
        <v>22</v>
      </c>
      <c r="AX1" s="12" t="s">
        <v>125</v>
      </c>
      <c r="AY1" s="13" t="s">
        <v>126</v>
      </c>
      <c r="AZ1" s="13" t="s">
        <v>127</v>
      </c>
      <c r="BA1" s="14" t="s">
        <v>128</v>
      </c>
    </row>
    <row r="2" spans="1:53" x14ac:dyDescent="0.15">
      <c r="A2" s="77" t="s">
        <v>24</v>
      </c>
      <c r="B2" s="77" t="s">
        <v>191</v>
      </c>
      <c r="C2" s="77">
        <v>2020</v>
      </c>
      <c r="D2" s="101" t="s">
        <v>366</v>
      </c>
      <c r="E2" s="77" t="s">
        <v>260</v>
      </c>
      <c r="F2" s="77" t="s">
        <v>367</v>
      </c>
      <c r="G2" s="77" t="s">
        <v>25</v>
      </c>
      <c r="H2" s="77" t="s">
        <v>113</v>
      </c>
      <c r="I2" s="77" t="s">
        <v>111</v>
      </c>
      <c r="J2" s="77" t="s">
        <v>27</v>
      </c>
      <c r="K2" s="77" t="s">
        <v>112</v>
      </c>
      <c r="L2" s="77">
        <v>1</v>
      </c>
      <c r="N2" s="34">
        <v>1</v>
      </c>
      <c r="O2" s="77">
        <v>1.25</v>
      </c>
      <c r="P2" s="77">
        <v>1.1499999999999999</v>
      </c>
      <c r="Q2" s="138">
        <f t="shared" ref="Q2:Q65" si="0">IF(OR(O2="",P2=""),"",AVERAGE(O2,P2))</f>
        <v>1.2</v>
      </c>
      <c r="R2" s="77">
        <v>11.5</v>
      </c>
      <c r="S2" s="77">
        <v>116</v>
      </c>
      <c r="T2" s="112">
        <f t="shared" ref="T2:T65" si="1">IF(H2="","",IF(OR(H2="GREEN",H2="GK"),IF(S2&gt;=$AX$2,VLOOKUP(S2,$AX$2:$AY$12,2,1),""),IF(S2&gt;=$AZ$2,VLOOKUP(S2,$AZ$2:$BA$12,2,1),"")))</f>
        <v>30</v>
      </c>
      <c r="U2" s="77">
        <v>99</v>
      </c>
      <c r="V2" s="112">
        <f t="shared" ref="V2:V65" si="2">IF(OR(N2="",U2="",T2=""),"",U2/N2*T2)</f>
        <v>2970</v>
      </c>
      <c r="W2" s="77">
        <v>2</v>
      </c>
      <c r="X2" s="77" t="s">
        <v>35</v>
      </c>
      <c r="Y2" s="77" t="s">
        <v>43</v>
      </c>
      <c r="Z2" s="77" t="s">
        <v>55</v>
      </c>
      <c r="AA2" s="77" t="s">
        <v>36</v>
      </c>
      <c r="AB2" s="34" t="s">
        <v>195</v>
      </c>
      <c r="AE2" s="103" t="s">
        <v>24</v>
      </c>
      <c r="AG2" s="132" t="s">
        <v>368</v>
      </c>
      <c r="AH2" s="132" t="s">
        <v>369</v>
      </c>
      <c r="AJ2" s="50" t="s">
        <v>25</v>
      </c>
      <c r="AL2" s="106" t="s">
        <v>107</v>
      </c>
      <c r="AN2" s="50" t="s">
        <v>26</v>
      </c>
      <c r="AP2" s="50" t="s">
        <v>27</v>
      </c>
      <c r="AR2" s="50" t="s">
        <v>129</v>
      </c>
      <c r="AT2" s="50" t="s">
        <v>28</v>
      </c>
      <c r="AV2" s="50" t="s">
        <v>29</v>
      </c>
      <c r="AX2" s="107">
        <v>1</v>
      </c>
      <c r="AY2" s="108">
        <v>50</v>
      </c>
      <c r="AZ2" s="108">
        <v>1</v>
      </c>
      <c r="BA2" s="109">
        <v>50</v>
      </c>
    </row>
    <row r="3" spans="1:53" x14ac:dyDescent="0.15">
      <c r="A3" s="77" t="s">
        <v>24</v>
      </c>
      <c r="B3" s="77" t="s">
        <v>191</v>
      </c>
      <c r="C3" s="77">
        <v>2020</v>
      </c>
      <c r="D3" s="139" t="s">
        <v>370</v>
      </c>
      <c r="E3" s="77" t="s">
        <v>260</v>
      </c>
      <c r="F3" s="77" t="s">
        <v>367</v>
      </c>
      <c r="G3" s="77" t="s">
        <v>25</v>
      </c>
      <c r="H3" s="77" t="s">
        <v>113</v>
      </c>
      <c r="I3" s="77" t="s">
        <v>111</v>
      </c>
      <c r="J3" s="77" t="s">
        <v>27</v>
      </c>
      <c r="K3" s="77" t="s">
        <v>112</v>
      </c>
      <c r="L3" s="77">
        <v>2</v>
      </c>
      <c r="N3" s="77">
        <v>1</v>
      </c>
      <c r="O3" s="34">
        <v>1</v>
      </c>
      <c r="P3" s="77">
        <v>1.2</v>
      </c>
      <c r="Q3" s="140">
        <f t="shared" si="0"/>
        <v>1.1000000000000001</v>
      </c>
      <c r="R3" s="77">
        <v>11.3</v>
      </c>
      <c r="S3" s="77">
        <v>118</v>
      </c>
      <c r="T3" s="16">
        <f t="shared" si="1"/>
        <v>30</v>
      </c>
      <c r="U3" s="77">
        <v>99</v>
      </c>
      <c r="V3" s="16">
        <f t="shared" si="2"/>
        <v>2970</v>
      </c>
      <c r="W3" s="77">
        <v>2</v>
      </c>
      <c r="X3" s="77" t="s">
        <v>35</v>
      </c>
      <c r="Y3" s="77" t="s">
        <v>43</v>
      </c>
      <c r="Z3" s="77" t="s">
        <v>55</v>
      </c>
      <c r="AA3" s="77" t="s">
        <v>36</v>
      </c>
      <c r="AB3" s="34" t="s">
        <v>195</v>
      </c>
      <c r="AE3" s="22" t="s">
        <v>30</v>
      </c>
      <c r="AG3" s="132" t="s">
        <v>371</v>
      </c>
      <c r="AH3" s="132" t="s">
        <v>372</v>
      </c>
      <c r="AJ3" s="80" t="s">
        <v>31</v>
      </c>
      <c r="AL3" s="80" t="s">
        <v>108</v>
      </c>
      <c r="AN3" s="80" t="s">
        <v>32</v>
      </c>
      <c r="AP3" s="80" t="s">
        <v>33</v>
      </c>
      <c r="AR3" s="80" t="s">
        <v>34</v>
      </c>
      <c r="AT3" s="80" t="s">
        <v>35</v>
      </c>
      <c r="AV3" s="80" t="s">
        <v>36</v>
      </c>
      <c r="AX3" s="24">
        <v>72</v>
      </c>
      <c r="AY3" s="25">
        <v>46</v>
      </c>
      <c r="AZ3" s="25">
        <v>71</v>
      </c>
      <c r="BA3" s="26">
        <v>42</v>
      </c>
    </row>
    <row r="4" spans="1:53" x14ac:dyDescent="0.15">
      <c r="A4" s="77" t="s">
        <v>24</v>
      </c>
      <c r="B4" s="77" t="s">
        <v>191</v>
      </c>
      <c r="C4" s="77">
        <v>2020</v>
      </c>
      <c r="D4" s="139" t="s">
        <v>370</v>
      </c>
      <c r="E4" s="77" t="s">
        <v>260</v>
      </c>
      <c r="F4" s="77" t="s">
        <v>367</v>
      </c>
      <c r="G4" s="77" t="s">
        <v>25</v>
      </c>
      <c r="H4" s="77" t="s">
        <v>113</v>
      </c>
      <c r="I4" s="77" t="s">
        <v>111</v>
      </c>
      <c r="J4" s="77" t="s">
        <v>27</v>
      </c>
      <c r="K4" s="77" t="s">
        <v>112</v>
      </c>
      <c r="L4" s="77">
        <v>3</v>
      </c>
      <c r="N4" s="77">
        <v>1</v>
      </c>
      <c r="O4" s="77">
        <v>1.2</v>
      </c>
      <c r="P4" s="77">
        <v>1.25</v>
      </c>
      <c r="Q4" s="140">
        <f t="shared" si="0"/>
        <v>1.2250000000000001</v>
      </c>
      <c r="R4" s="77">
        <v>10.8</v>
      </c>
      <c r="S4" s="77">
        <v>117</v>
      </c>
      <c r="T4" s="16">
        <f t="shared" si="1"/>
        <v>30</v>
      </c>
      <c r="U4" s="77">
        <v>99</v>
      </c>
      <c r="V4" s="16">
        <f t="shared" si="2"/>
        <v>2970</v>
      </c>
      <c r="W4" s="77">
        <v>2</v>
      </c>
      <c r="X4" s="77" t="s">
        <v>35</v>
      </c>
      <c r="Y4" s="77" t="s">
        <v>43</v>
      </c>
      <c r="Z4" s="77" t="s">
        <v>55</v>
      </c>
      <c r="AA4" s="77" t="s">
        <v>36</v>
      </c>
      <c r="AB4" s="34" t="s">
        <v>195</v>
      </c>
      <c r="AE4" s="22" t="s">
        <v>23</v>
      </c>
      <c r="AG4" s="132" t="s">
        <v>341</v>
      </c>
      <c r="AH4" s="132" t="s">
        <v>373</v>
      </c>
      <c r="AJ4" s="27" t="s">
        <v>37</v>
      </c>
      <c r="AL4" s="80" t="s">
        <v>109</v>
      </c>
      <c r="AN4" s="28" t="s">
        <v>38</v>
      </c>
      <c r="AP4" s="80" t="s">
        <v>130</v>
      </c>
      <c r="AR4" s="80" t="s">
        <v>131</v>
      </c>
      <c r="AT4" s="28"/>
      <c r="AV4" s="80" t="s">
        <v>39</v>
      </c>
      <c r="AX4" s="24">
        <v>75</v>
      </c>
      <c r="AY4" s="25">
        <v>42</v>
      </c>
      <c r="AZ4" s="25">
        <v>76</v>
      </c>
      <c r="BA4" s="26">
        <v>39</v>
      </c>
    </row>
    <row r="5" spans="1:53" x14ac:dyDescent="0.15">
      <c r="A5" s="77" t="s">
        <v>24</v>
      </c>
      <c r="B5" s="77" t="s">
        <v>191</v>
      </c>
      <c r="C5" s="77">
        <v>2020</v>
      </c>
      <c r="D5" s="139" t="s">
        <v>370</v>
      </c>
      <c r="E5" s="77" t="s">
        <v>260</v>
      </c>
      <c r="F5" s="77" t="s">
        <v>367</v>
      </c>
      <c r="G5" s="77" t="s">
        <v>25</v>
      </c>
      <c r="H5" s="77" t="s">
        <v>113</v>
      </c>
      <c r="I5" s="77" t="s">
        <v>111</v>
      </c>
      <c r="J5" s="77" t="s">
        <v>27</v>
      </c>
      <c r="K5" s="77" t="s">
        <v>112</v>
      </c>
      <c r="L5" s="77">
        <v>1</v>
      </c>
      <c r="N5" s="77">
        <v>5</v>
      </c>
      <c r="O5" s="77">
        <v>0.75</v>
      </c>
      <c r="P5" s="77">
        <v>0.7</v>
      </c>
      <c r="Q5" s="140">
        <f t="shared" si="0"/>
        <v>0.72499999999999998</v>
      </c>
      <c r="R5" s="77">
        <v>12</v>
      </c>
      <c r="S5" s="77">
        <v>93</v>
      </c>
      <c r="T5" s="16">
        <f t="shared" si="1"/>
        <v>36</v>
      </c>
      <c r="U5" s="77">
        <v>377</v>
      </c>
      <c r="V5" s="16">
        <f t="shared" si="2"/>
        <v>2714.4</v>
      </c>
      <c r="W5" s="77">
        <v>2</v>
      </c>
      <c r="X5" s="77" t="s">
        <v>35</v>
      </c>
      <c r="Y5" s="77" t="s">
        <v>43</v>
      </c>
      <c r="Z5" s="77" t="s">
        <v>55</v>
      </c>
      <c r="AA5" s="77" t="s">
        <v>36</v>
      </c>
      <c r="AB5" s="34" t="s">
        <v>195</v>
      </c>
      <c r="AE5" s="22" t="s">
        <v>40</v>
      </c>
      <c r="AG5" s="132" t="s">
        <v>374</v>
      </c>
      <c r="AH5" s="132" t="s">
        <v>375</v>
      </c>
      <c r="AJ5" s="28"/>
      <c r="AL5" s="80" t="s">
        <v>132</v>
      </c>
      <c r="AN5" s="111" t="s">
        <v>133</v>
      </c>
      <c r="AP5" s="80" t="s">
        <v>134</v>
      </c>
      <c r="AR5" s="80" t="s">
        <v>42</v>
      </c>
      <c r="AV5" s="80" t="s">
        <v>43</v>
      </c>
      <c r="AX5" s="24">
        <v>84</v>
      </c>
      <c r="AY5" s="25">
        <v>39</v>
      </c>
      <c r="AZ5" s="25">
        <v>84</v>
      </c>
      <c r="BA5" s="26">
        <v>36</v>
      </c>
    </row>
    <row r="6" spans="1:53" x14ac:dyDescent="0.15">
      <c r="A6" s="77" t="s">
        <v>24</v>
      </c>
      <c r="B6" s="77" t="s">
        <v>191</v>
      </c>
      <c r="C6" s="77">
        <v>2020</v>
      </c>
      <c r="D6" s="139" t="s">
        <v>370</v>
      </c>
      <c r="E6" s="77" t="s">
        <v>260</v>
      </c>
      <c r="F6" s="77" t="s">
        <v>367</v>
      </c>
      <c r="G6" s="77" t="s">
        <v>25</v>
      </c>
      <c r="H6" s="77" t="s">
        <v>113</v>
      </c>
      <c r="I6" s="77" t="s">
        <v>111</v>
      </c>
      <c r="J6" s="77" t="s">
        <v>27</v>
      </c>
      <c r="K6" s="77" t="s">
        <v>112</v>
      </c>
      <c r="L6" s="77">
        <v>2</v>
      </c>
      <c r="N6" s="77">
        <v>5</v>
      </c>
      <c r="O6" s="77">
        <v>1.2</v>
      </c>
      <c r="P6" s="77">
        <v>1</v>
      </c>
      <c r="Q6" s="140">
        <f t="shared" si="0"/>
        <v>1.1000000000000001</v>
      </c>
      <c r="R6" s="77">
        <v>16.5</v>
      </c>
      <c r="S6" s="77">
        <v>79</v>
      </c>
      <c r="T6" s="16">
        <f t="shared" si="1"/>
        <v>39</v>
      </c>
      <c r="U6" s="77">
        <v>377</v>
      </c>
      <c r="V6" s="16">
        <f t="shared" si="2"/>
        <v>2940.6000000000004</v>
      </c>
      <c r="W6" s="77">
        <v>2</v>
      </c>
      <c r="X6" s="77" t="s">
        <v>35</v>
      </c>
      <c r="Y6" s="77" t="s">
        <v>43</v>
      </c>
      <c r="Z6" s="77" t="s">
        <v>55</v>
      </c>
      <c r="AA6" s="77" t="s">
        <v>36</v>
      </c>
      <c r="AB6" s="34" t="s">
        <v>195</v>
      </c>
      <c r="AE6" s="22" t="s">
        <v>44</v>
      </c>
      <c r="AG6" s="132" t="s">
        <v>376</v>
      </c>
      <c r="AH6" s="132" t="s">
        <v>377</v>
      </c>
      <c r="AL6" s="80" t="s">
        <v>135</v>
      </c>
      <c r="AN6" s="111" t="s">
        <v>136</v>
      </c>
      <c r="AP6" s="80" t="s">
        <v>41</v>
      </c>
      <c r="AR6" s="80" t="s">
        <v>46</v>
      </c>
      <c r="AV6" s="80" t="s">
        <v>47</v>
      </c>
      <c r="AX6" s="24">
        <v>97</v>
      </c>
      <c r="AY6" s="25">
        <v>36</v>
      </c>
      <c r="AZ6" s="25">
        <v>99</v>
      </c>
      <c r="BA6" s="26">
        <v>33</v>
      </c>
    </row>
    <row r="7" spans="1:53" ht="12" customHeight="1" x14ac:dyDescent="0.15">
      <c r="A7" s="77" t="s">
        <v>24</v>
      </c>
      <c r="B7" s="77" t="s">
        <v>191</v>
      </c>
      <c r="C7" s="77">
        <v>2020</v>
      </c>
      <c r="D7" s="139" t="s">
        <v>370</v>
      </c>
      <c r="E7" s="77" t="s">
        <v>260</v>
      </c>
      <c r="F7" s="77" t="s">
        <v>367</v>
      </c>
      <c r="G7" s="77" t="s">
        <v>25</v>
      </c>
      <c r="H7" s="77" t="s">
        <v>113</v>
      </c>
      <c r="I7" s="77" t="s">
        <v>111</v>
      </c>
      <c r="J7" s="77" t="s">
        <v>27</v>
      </c>
      <c r="K7" s="77" t="s">
        <v>112</v>
      </c>
      <c r="L7" s="77">
        <v>3</v>
      </c>
      <c r="N7" s="77">
        <v>5</v>
      </c>
      <c r="O7" s="77">
        <v>1.25</v>
      </c>
      <c r="P7" s="77">
        <v>1.25</v>
      </c>
      <c r="Q7" s="140">
        <f t="shared" si="0"/>
        <v>1.25</v>
      </c>
      <c r="R7" s="34">
        <v>12.5</v>
      </c>
      <c r="S7" s="77">
        <v>89</v>
      </c>
      <c r="T7" s="16">
        <f t="shared" si="1"/>
        <v>36</v>
      </c>
      <c r="U7" s="77">
        <v>377</v>
      </c>
      <c r="V7" s="16">
        <f t="shared" si="2"/>
        <v>2714.4</v>
      </c>
      <c r="W7" s="77">
        <v>2</v>
      </c>
      <c r="X7" s="77" t="s">
        <v>35</v>
      </c>
      <c r="Y7" s="77" t="s">
        <v>43</v>
      </c>
      <c r="Z7" s="77" t="s">
        <v>55</v>
      </c>
      <c r="AA7" s="77" t="s">
        <v>36</v>
      </c>
      <c r="AB7" s="34" t="s">
        <v>195</v>
      </c>
      <c r="AE7" s="22" t="s">
        <v>48</v>
      </c>
      <c r="AG7" s="132" t="s">
        <v>378</v>
      </c>
      <c r="AH7" s="132" t="s">
        <v>379</v>
      </c>
      <c r="AL7" s="86" t="s">
        <v>137</v>
      </c>
      <c r="AP7" s="80" t="s">
        <v>45</v>
      </c>
      <c r="AR7" s="80" t="s">
        <v>102</v>
      </c>
      <c r="AV7" s="80" t="s">
        <v>51</v>
      </c>
      <c r="AX7" s="24">
        <v>109</v>
      </c>
      <c r="AY7" s="25">
        <v>33</v>
      </c>
      <c r="AZ7" s="25">
        <v>113</v>
      </c>
      <c r="BA7" s="26">
        <v>30</v>
      </c>
    </row>
    <row r="8" spans="1:53" ht="12.75" customHeight="1" x14ac:dyDescent="0.15">
      <c r="A8" s="77" t="s">
        <v>24</v>
      </c>
      <c r="B8" s="77" t="s">
        <v>191</v>
      </c>
      <c r="C8" s="77">
        <v>2020</v>
      </c>
      <c r="D8" s="139" t="s">
        <v>370</v>
      </c>
      <c r="E8" s="77" t="s">
        <v>260</v>
      </c>
      <c r="F8" s="77" t="s">
        <v>367</v>
      </c>
      <c r="G8" s="77" t="s">
        <v>25</v>
      </c>
      <c r="H8" s="77" t="s">
        <v>166</v>
      </c>
      <c r="I8" s="77" t="s">
        <v>111</v>
      </c>
      <c r="J8" s="77" t="s">
        <v>27</v>
      </c>
      <c r="K8" s="77" t="s">
        <v>112</v>
      </c>
      <c r="L8" s="77">
        <v>1</v>
      </c>
      <c r="N8" s="77">
        <v>1</v>
      </c>
      <c r="O8" s="77">
        <v>1</v>
      </c>
      <c r="P8" s="77">
        <v>0.9</v>
      </c>
      <c r="Q8" s="140">
        <f t="shared" si="0"/>
        <v>0.95</v>
      </c>
      <c r="R8" s="34">
        <v>12.6</v>
      </c>
      <c r="S8" s="77">
        <v>140</v>
      </c>
      <c r="T8" s="16">
        <f t="shared" si="1"/>
        <v>22</v>
      </c>
      <c r="U8" s="77">
        <v>99</v>
      </c>
      <c r="V8" s="16">
        <f t="shared" si="2"/>
        <v>2178</v>
      </c>
      <c r="W8" s="77">
        <v>6</v>
      </c>
      <c r="X8" s="77" t="s">
        <v>35</v>
      </c>
      <c r="Y8" s="77" t="s">
        <v>43</v>
      </c>
      <c r="Z8" s="77" t="s">
        <v>55</v>
      </c>
      <c r="AA8" s="77" t="s">
        <v>36</v>
      </c>
      <c r="AB8" s="34" t="s">
        <v>195</v>
      </c>
      <c r="AE8" s="22" t="s">
        <v>46</v>
      </c>
      <c r="AG8" s="132" t="s">
        <v>260</v>
      </c>
      <c r="AH8" s="132" t="s">
        <v>367</v>
      </c>
      <c r="AL8" s="86" t="s">
        <v>110</v>
      </c>
      <c r="AP8" s="80" t="s">
        <v>49</v>
      </c>
      <c r="AR8" s="80" t="s">
        <v>67</v>
      </c>
      <c r="AV8" s="80" t="s">
        <v>82</v>
      </c>
      <c r="AX8" s="24">
        <v>119</v>
      </c>
      <c r="AY8" s="25">
        <v>30</v>
      </c>
      <c r="AZ8" s="25">
        <v>121</v>
      </c>
      <c r="BA8" s="26">
        <v>27</v>
      </c>
    </row>
    <row r="9" spans="1:53" x14ac:dyDescent="0.15">
      <c r="A9" s="77" t="s">
        <v>24</v>
      </c>
      <c r="B9" s="77" t="s">
        <v>191</v>
      </c>
      <c r="C9" s="77">
        <v>2020</v>
      </c>
      <c r="D9" s="139" t="s">
        <v>370</v>
      </c>
      <c r="E9" s="77" t="s">
        <v>260</v>
      </c>
      <c r="F9" s="77" t="s">
        <v>367</v>
      </c>
      <c r="G9" s="77" t="s">
        <v>25</v>
      </c>
      <c r="H9" s="77" t="s">
        <v>166</v>
      </c>
      <c r="I9" s="77" t="s">
        <v>111</v>
      </c>
      <c r="J9" s="77" t="s">
        <v>426</v>
      </c>
      <c r="K9" s="77" t="s">
        <v>112</v>
      </c>
      <c r="L9" s="77">
        <v>2</v>
      </c>
      <c r="N9" s="77">
        <v>1</v>
      </c>
      <c r="O9" s="77">
        <v>1</v>
      </c>
      <c r="P9" s="77">
        <v>1.1000000000000001</v>
      </c>
      <c r="Q9" s="140">
        <f t="shared" si="0"/>
        <v>1.05</v>
      </c>
      <c r="R9" s="77">
        <v>11.7</v>
      </c>
      <c r="S9" s="77">
        <v>146</v>
      </c>
      <c r="T9" s="16">
        <f t="shared" si="1"/>
        <v>22</v>
      </c>
      <c r="U9" s="77">
        <v>99</v>
      </c>
      <c r="V9" s="16">
        <f t="shared" si="2"/>
        <v>2178</v>
      </c>
      <c r="W9" s="77">
        <v>6</v>
      </c>
      <c r="X9" s="77" t="s">
        <v>35</v>
      </c>
      <c r="Y9" s="77" t="s">
        <v>43</v>
      </c>
      <c r="Z9" s="77" t="s">
        <v>55</v>
      </c>
      <c r="AA9" s="77" t="s">
        <v>36</v>
      </c>
      <c r="AB9" s="34" t="s">
        <v>195</v>
      </c>
      <c r="AE9" s="22" t="s">
        <v>83</v>
      </c>
      <c r="AG9" s="132" t="s">
        <v>193</v>
      </c>
      <c r="AH9" s="132" t="s">
        <v>380</v>
      </c>
      <c r="AL9" s="80" t="s">
        <v>139</v>
      </c>
      <c r="AP9" s="80" t="s">
        <v>80</v>
      </c>
      <c r="AR9" s="80" t="s">
        <v>75</v>
      </c>
      <c r="AV9" s="80" t="s">
        <v>86</v>
      </c>
      <c r="AX9" s="24">
        <v>128</v>
      </c>
      <c r="AY9" s="25">
        <v>27</v>
      </c>
      <c r="AZ9" s="25">
        <v>129</v>
      </c>
      <c r="BA9" s="26">
        <v>25</v>
      </c>
    </row>
    <row r="10" spans="1:53" x14ac:dyDescent="0.15">
      <c r="A10" s="77" t="s">
        <v>24</v>
      </c>
      <c r="B10" s="77" t="s">
        <v>191</v>
      </c>
      <c r="C10" s="77">
        <v>2020</v>
      </c>
      <c r="D10" s="139" t="s">
        <v>370</v>
      </c>
      <c r="E10" s="77" t="s">
        <v>260</v>
      </c>
      <c r="F10" s="77" t="s">
        <v>367</v>
      </c>
      <c r="G10" s="77" t="s">
        <v>25</v>
      </c>
      <c r="H10" s="77" t="s">
        <v>166</v>
      </c>
      <c r="I10" s="77" t="s">
        <v>111</v>
      </c>
      <c r="J10" s="77" t="s">
        <v>27</v>
      </c>
      <c r="K10" s="77" t="s">
        <v>112</v>
      </c>
      <c r="L10" s="77">
        <v>3</v>
      </c>
      <c r="N10" s="77">
        <v>1</v>
      </c>
      <c r="O10" s="77">
        <v>1</v>
      </c>
      <c r="P10" s="77">
        <v>0.8</v>
      </c>
      <c r="Q10" s="140">
        <f t="shared" si="0"/>
        <v>0.9</v>
      </c>
      <c r="R10" s="77">
        <v>11.9</v>
      </c>
      <c r="S10" s="77">
        <v>146</v>
      </c>
      <c r="T10" s="16">
        <f t="shared" si="1"/>
        <v>22</v>
      </c>
      <c r="U10" s="77">
        <v>99</v>
      </c>
      <c r="V10" s="16">
        <f t="shared" si="2"/>
        <v>2178</v>
      </c>
      <c r="W10" s="77">
        <v>6</v>
      </c>
      <c r="X10" s="77" t="s">
        <v>35</v>
      </c>
      <c r="Y10" s="77" t="s">
        <v>43</v>
      </c>
      <c r="Z10" s="77" t="s">
        <v>55</v>
      </c>
      <c r="AA10" s="77" t="s">
        <v>36</v>
      </c>
      <c r="AB10" s="34" t="s">
        <v>195</v>
      </c>
      <c r="AE10" s="22" t="s">
        <v>87</v>
      </c>
      <c r="AG10" s="132" t="s">
        <v>381</v>
      </c>
      <c r="AH10" s="132" t="s">
        <v>382</v>
      </c>
      <c r="AP10" s="80" t="s">
        <v>84</v>
      </c>
      <c r="AR10" s="80" t="s">
        <v>103</v>
      </c>
      <c r="AV10" s="80" t="s">
        <v>90</v>
      </c>
      <c r="AX10" s="24">
        <v>138</v>
      </c>
      <c r="AY10" s="25">
        <v>25</v>
      </c>
      <c r="AZ10" s="25">
        <v>138</v>
      </c>
      <c r="BA10" s="26">
        <v>22</v>
      </c>
    </row>
    <row r="11" spans="1:53" x14ac:dyDescent="0.15">
      <c r="A11" s="77" t="s">
        <v>24</v>
      </c>
      <c r="B11" s="77" t="s">
        <v>191</v>
      </c>
      <c r="C11" s="77">
        <v>2020</v>
      </c>
      <c r="D11" s="139" t="s">
        <v>370</v>
      </c>
      <c r="E11" s="77" t="s">
        <v>260</v>
      </c>
      <c r="F11" s="77" t="s">
        <v>367</v>
      </c>
      <c r="G11" s="77" t="s">
        <v>25</v>
      </c>
      <c r="H11" s="77" t="s">
        <v>166</v>
      </c>
      <c r="I11" s="77" t="s">
        <v>111</v>
      </c>
      <c r="J11" s="77" t="s">
        <v>27</v>
      </c>
      <c r="K11" s="77" t="s">
        <v>112</v>
      </c>
      <c r="L11" s="77">
        <v>1</v>
      </c>
      <c r="N11" s="77">
        <v>4</v>
      </c>
      <c r="O11" s="77">
        <v>1.2</v>
      </c>
      <c r="P11" s="77">
        <v>1.2</v>
      </c>
      <c r="Q11" s="140">
        <f t="shared" si="0"/>
        <v>1.2</v>
      </c>
      <c r="R11" s="77">
        <v>11.6</v>
      </c>
      <c r="S11" s="77">
        <v>91</v>
      </c>
      <c r="T11" s="16">
        <f t="shared" si="1"/>
        <v>36</v>
      </c>
      <c r="U11" s="77">
        <v>377</v>
      </c>
      <c r="V11" s="16">
        <f t="shared" si="2"/>
        <v>3393</v>
      </c>
      <c r="W11" s="77">
        <v>3</v>
      </c>
      <c r="X11" s="77" t="s">
        <v>35</v>
      </c>
      <c r="Y11" s="77" t="s">
        <v>43</v>
      </c>
      <c r="Z11" s="77" t="s">
        <v>55</v>
      </c>
      <c r="AA11" s="77" t="s">
        <v>36</v>
      </c>
      <c r="AB11" s="34" t="s">
        <v>195</v>
      </c>
      <c r="AE11" s="22" t="s">
        <v>52</v>
      </c>
      <c r="AG11" s="132" t="s">
        <v>383</v>
      </c>
      <c r="AH11" s="132" t="s">
        <v>377</v>
      </c>
      <c r="AP11" s="80" t="s">
        <v>88</v>
      </c>
      <c r="AR11" s="80" t="s">
        <v>73</v>
      </c>
      <c r="AV11" s="80" t="s">
        <v>55</v>
      </c>
      <c r="AX11" s="24">
        <v>151</v>
      </c>
      <c r="AY11" s="25">
        <v>22</v>
      </c>
      <c r="AZ11" s="25">
        <v>152</v>
      </c>
      <c r="BA11" s="26">
        <v>18</v>
      </c>
    </row>
    <row r="12" spans="1:53" x14ac:dyDescent="0.15">
      <c r="A12" s="77" t="s">
        <v>24</v>
      </c>
      <c r="B12" s="77" t="s">
        <v>191</v>
      </c>
      <c r="C12" s="77">
        <v>2020</v>
      </c>
      <c r="D12" s="139" t="s">
        <v>370</v>
      </c>
      <c r="E12" s="77" t="s">
        <v>260</v>
      </c>
      <c r="F12" s="77" t="s">
        <v>367</v>
      </c>
      <c r="G12" s="77" t="s">
        <v>25</v>
      </c>
      <c r="H12" s="77" t="s">
        <v>166</v>
      </c>
      <c r="I12" s="77" t="s">
        <v>111</v>
      </c>
      <c r="J12" s="77" t="s">
        <v>27</v>
      </c>
      <c r="K12" s="77" t="s">
        <v>112</v>
      </c>
      <c r="L12" s="77">
        <v>2</v>
      </c>
      <c r="N12" s="77">
        <v>4</v>
      </c>
      <c r="O12" s="77">
        <v>1.25</v>
      </c>
      <c r="P12" s="77">
        <v>1.2</v>
      </c>
      <c r="Q12" s="140">
        <f t="shared" si="0"/>
        <v>1.2250000000000001</v>
      </c>
      <c r="R12" s="34">
        <v>12.6</v>
      </c>
      <c r="S12" s="77">
        <v>93</v>
      </c>
      <c r="T12" s="16">
        <f t="shared" si="1"/>
        <v>36</v>
      </c>
      <c r="U12" s="77">
        <v>377</v>
      </c>
      <c r="V12" s="16">
        <f t="shared" si="2"/>
        <v>3393</v>
      </c>
      <c r="W12" s="77">
        <v>3</v>
      </c>
      <c r="X12" s="77" t="s">
        <v>35</v>
      </c>
      <c r="Y12" s="77" t="s">
        <v>43</v>
      </c>
      <c r="Z12" s="77" t="s">
        <v>55</v>
      </c>
      <c r="AA12" s="77" t="s">
        <v>36</v>
      </c>
      <c r="AB12" s="34" t="s">
        <v>195</v>
      </c>
      <c r="AE12" s="22" t="s">
        <v>56</v>
      </c>
      <c r="AG12" s="66"/>
      <c r="AH12" s="66"/>
      <c r="AP12" s="80" t="s">
        <v>53</v>
      </c>
      <c r="AR12" s="80" t="s">
        <v>104</v>
      </c>
      <c r="AV12" s="80" t="s">
        <v>58</v>
      </c>
      <c r="AX12" s="31">
        <v>180</v>
      </c>
      <c r="AY12" s="32">
        <v>18</v>
      </c>
      <c r="AZ12" s="32">
        <v>181</v>
      </c>
      <c r="BA12" s="33">
        <v>16</v>
      </c>
    </row>
    <row r="13" spans="1:53" ht="14.25" customHeight="1" x14ac:dyDescent="0.15">
      <c r="A13" s="77" t="s">
        <v>24</v>
      </c>
      <c r="B13" s="77" t="s">
        <v>191</v>
      </c>
      <c r="C13" s="77">
        <v>2020</v>
      </c>
      <c r="D13" s="139" t="s">
        <v>370</v>
      </c>
      <c r="E13" s="77" t="s">
        <v>260</v>
      </c>
      <c r="F13" s="77" t="s">
        <v>367</v>
      </c>
      <c r="G13" s="77" t="s">
        <v>25</v>
      </c>
      <c r="H13" s="77" t="s">
        <v>166</v>
      </c>
      <c r="I13" s="77" t="s">
        <v>111</v>
      </c>
      <c r="J13" s="77" t="s">
        <v>27</v>
      </c>
      <c r="K13" s="77" t="s">
        <v>112</v>
      </c>
      <c r="L13" s="77">
        <v>3</v>
      </c>
      <c r="N13" s="77">
        <v>4</v>
      </c>
      <c r="O13" s="77">
        <v>1</v>
      </c>
      <c r="P13" s="77">
        <v>1</v>
      </c>
      <c r="Q13" s="140">
        <f t="shared" si="0"/>
        <v>1</v>
      </c>
      <c r="R13" s="77">
        <v>13.2</v>
      </c>
      <c r="S13" s="77">
        <v>89</v>
      </c>
      <c r="T13" s="16">
        <f t="shared" si="1"/>
        <v>36</v>
      </c>
      <c r="U13" s="77">
        <v>377</v>
      </c>
      <c r="V13" s="16">
        <f t="shared" si="2"/>
        <v>3393</v>
      </c>
      <c r="W13" s="77">
        <v>3</v>
      </c>
      <c r="X13" s="77" t="s">
        <v>35</v>
      </c>
      <c r="Y13" s="77" t="s">
        <v>43</v>
      </c>
      <c r="Z13" s="77" t="s">
        <v>55</v>
      </c>
      <c r="AA13" s="77" t="s">
        <v>36</v>
      </c>
      <c r="AB13" s="34" t="s">
        <v>195</v>
      </c>
      <c r="AE13" s="22" t="s">
        <v>59</v>
      </c>
      <c r="AG13" s="80"/>
      <c r="AH13" s="80"/>
      <c r="AP13" s="80" t="s">
        <v>57</v>
      </c>
      <c r="AR13" s="80" t="s">
        <v>87</v>
      </c>
      <c r="AV13" s="80" t="s">
        <v>61</v>
      </c>
    </row>
    <row r="14" spans="1:53" x14ac:dyDescent="0.15">
      <c r="A14" s="77" t="s">
        <v>24</v>
      </c>
      <c r="B14" s="77" t="s">
        <v>191</v>
      </c>
      <c r="C14" s="77">
        <v>2020</v>
      </c>
      <c r="D14" s="139" t="s">
        <v>370</v>
      </c>
      <c r="E14" s="77" t="s">
        <v>374</v>
      </c>
      <c r="F14" s="77" t="s">
        <v>375</v>
      </c>
      <c r="G14" s="77" t="s">
        <v>25</v>
      </c>
      <c r="H14" s="77" t="s">
        <v>113</v>
      </c>
      <c r="I14" s="77" t="s">
        <v>111</v>
      </c>
      <c r="J14" s="77" t="s">
        <v>27</v>
      </c>
      <c r="K14" s="77" t="s">
        <v>112</v>
      </c>
      <c r="L14" s="77">
        <v>1</v>
      </c>
      <c r="N14" s="77">
        <v>1</v>
      </c>
      <c r="O14" s="77">
        <v>1.75</v>
      </c>
      <c r="P14" s="77">
        <v>1.75</v>
      </c>
      <c r="Q14" s="140">
        <f t="shared" si="0"/>
        <v>1.75</v>
      </c>
      <c r="R14" s="77">
        <v>11.7</v>
      </c>
      <c r="S14" s="77">
        <v>120</v>
      </c>
      <c r="T14" s="16">
        <f t="shared" si="1"/>
        <v>30</v>
      </c>
      <c r="U14" s="77">
        <v>98</v>
      </c>
      <c r="V14" s="16">
        <f t="shared" si="2"/>
        <v>2940</v>
      </c>
      <c r="W14" s="77">
        <v>2</v>
      </c>
      <c r="X14" s="77" t="s">
        <v>35</v>
      </c>
      <c r="Y14" s="77" t="s">
        <v>74</v>
      </c>
      <c r="Z14" s="77" t="s">
        <v>55</v>
      </c>
      <c r="AA14" s="77" t="s">
        <v>43</v>
      </c>
      <c r="AB14" s="34" t="s">
        <v>195</v>
      </c>
      <c r="AE14" s="22" t="s">
        <v>62</v>
      </c>
      <c r="AG14" s="80"/>
      <c r="AH14" s="80"/>
      <c r="AP14" s="80" t="s">
        <v>60</v>
      </c>
      <c r="AR14" s="80" t="s">
        <v>105</v>
      </c>
      <c r="AV14" s="80" t="s">
        <v>64</v>
      </c>
    </row>
    <row r="15" spans="1:53" x14ac:dyDescent="0.15">
      <c r="A15" s="77" t="s">
        <v>24</v>
      </c>
      <c r="B15" s="77" t="s">
        <v>191</v>
      </c>
      <c r="C15" s="77">
        <v>2020</v>
      </c>
      <c r="D15" s="139" t="s">
        <v>370</v>
      </c>
      <c r="E15" s="77" t="s">
        <v>374</v>
      </c>
      <c r="F15" s="77" t="s">
        <v>375</v>
      </c>
      <c r="G15" s="77" t="s">
        <v>25</v>
      </c>
      <c r="H15" s="77" t="s">
        <v>113</v>
      </c>
      <c r="I15" s="77" t="s">
        <v>111</v>
      </c>
      <c r="J15" s="77" t="s">
        <v>27</v>
      </c>
      <c r="K15" s="77" t="s">
        <v>112</v>
      </c>
      <c r="L15" s="77">
        <v>2</v>
      </c>
      <c r="N15" s="77">
        <v>1</v>
      </c>
      <c r="O15" s="77">
        <v>2</v>
      </c>
      <c r="P15" s="77">
        <v>2.2000000000000002</v>
      </c>
      <c r="Q15" s="140">
        <f t="shared" si="0"/>
        <v>2.1</v>
      </c>
      <c r="R15" s="77">
        <v>12.3</v>
      </c>
      <c r="S15" s="77">
        <v>120</v>
      </c>
      <c r="T15" s="16">
        <f t="shared" si="1"/>
        <v>30</v>
      </c>
      <c r="U15" s="77">
        <v>98</v>
      </c>
      <c r="V15" s="16">
        <f t="shared" si="2"/>
        <v>2940</v>
      </c>
      <c r="W15" s="77">
        <v>2</v>
      </c>
      <c r="X15" s="77" t="s">
        <v>35</v>
      </c>
      <c r="Y15" s="77" t="s">
        <v>74</v>
      </c>
      <c r="Z15" s="77" t="s">
        <v>55</v>
      </c>
      <c r="AA15" s="77" t="s">
        <v>43</v>
      </c>
      <c r="AB15" s="34" t="s">
        <v>195</v>
      </c>
      <c r="AE15" s="22" t="s">
        <v>65</v>
      </c>
      <c r="AG15" s="80"/>
      <c r="AH15" s="80"/>
      <c r="AP15" s="80" t="s">
        <v>63</v>
      </c>
      <c r="AR15" s="80" t="s">
        <v>79</v>
      </c>
      <c r="AV15" s="80" t="s">
        <v>91</v>
      </c>
    </row>
    <row r="16" spans="1:53" x14ac:dyDescent="0.15">
      <c r="A16" s="77" t="s">
        <v>24</v>
      </c>
      <c r="B16" s="77" t="s">
        <v>191</v>
      </c>
      <c r="C16" s="77">
        <v>2020</v>
      </c>
      <c r="D16" s="139" t="s">
        <v>370</v>
      </c>
      <c r="E16" s="77" t="s">
        <v>374</v>
      </c>
      <c r="F16" s="77" t="s">
        <v>375</v>
      </c>
      <c r="G16" s="77" t="s">
        <v>25</v>
      </c>
      <c r="H16" s="77" t="s">
        <v>113</v>
      </c>
      <c r="I16" s="77" t="s">
        <v>111</v>
      </c>
      <c r="J16" s="77" t="s">
        <v>27</v>
      </c>
      <c r="K16" s="77" t="s">
        <v>112</v>
      </c>
      <c r="L16" s="77">
        <v>3</v>
      </c>
      <c r="N16" s="77">
        <v>1</v>
      </c>
      <c r="O16" s="77">
        <v>1.3</v>
      </c>
      <c r="P16" s="77">
        <v>1.5</v>
      </c>
      <c r="Q16" s="140">
        <f t="shared" si="0"/>
        <v>1.4</v>
      </c>
      <c r="R16" s="77">
        <v>11.5</v>
      </c>
      <c r="S16" s="77">
        <v>127</v>
      </c>
      <c r="T16" s="16">
        <f t="shared" si="1"/>
        <v>27</v>
      </c>
      <c r="U16" s="77">
        <v>98</v>
      </c>
      <c r="V16" s="16">
        <f t="shared" si="2"/>
        <v>2646</v>
      </c>
      <c r="W16" s="77">
        <v>2</v>
      </c>
      <c r="X16" s="77" t="s">
        <v>35</v>
      </c>
      <c r="Y16" s="77" t="s">
        <v>74</v>
      </c>
      <c r="Z16" s="77" t="s">
        <v>55</v>
      </c>
      <c r="AA16" s="77" t="s">
        <v>43</v>
      </c>
      <c r="AB16" s="34" t="s">
        <v>195</v>
      </c>
      <c r="AE16" s="22" t="s">
        <v>68</v>
      </c>
      <c r="AG16" s="28"/>
      <c r="AH16" s="28"/>
      <c r="AP16" s="80" t="s">
        <v>66</v>
      </c>
      <c r="AR16" s="80" t="s">
        <v>50</v>
      </c>
      <c r="AV16" s="80" t="s">
        <v>70</v>
      </c>
    </row>
    <row r="17" spans="1:48" x14ac:dyDescent="0.15">
      <c r="A17" s="77" t="s">
        <v>24</v>
      </c>
      <c r="B17" s="77" t="s">
        <v>191</v>
      </c>
      <c r="C17" s="77">
        <v>2020</v>
      </c>
      <c r="D17" s="139" t="s">
        <v>370</v>
      </c>
      <c r="E17" s="77" t="s">
        <v>374</v>
      </c>
      <c r="F17" s="77" t="s">
        <v>375</v>
      </c>
      <c r="G17" s="77" t="s">
        <v>25</v>
      </c>
      <c r="H17" s="77" t="s">
        <v>113</v>
      </c>
      <c r="I17" s="77" t="s">
        <v>111</v>
      </c>
      <c r="J17" s="77" t="s">
        <v>27</v>
      </c>
      <c r="K17" s="77" t="s">
        <v>112</v>
      </c>
      <c r="L17" s="77">
        <v>1</v>
      </c>
      <c r="N17" s="77">
        <v>8</v>
      </c>
      <c r="O17" s="77">
        <v>0.9</v>
      </c>
      <c r="P17" s="77">
        <v>0.75</v>
      </c>
      <c r="Q17" s="140">
        <f t="shared" si="0"/>
        <v>0.82499999999999996</v>
      </c>
      <c r="R17" s="77">
        <v>14.7</v>
      </c>
      <c r="S17" s="77">
        <v>88</v>
      </c>
      <c r="T17" s="16">
        <f t="shared" si="1"/>
        <v>36</v>
      </c>
      <c r="U17" s="77">
        <v>580</v>
      </c>
      <c r="V17" s="16">
        <f t="shared" si="2"/>
        <v>2610</v>
      </c>
      <c r="W17" s="77">
        <v>1</v>
      </c>
      <c r="X17" s="77" t="s">
        <v>35</v>
      </c>
      <c r="Y17" s="77" t="s">
        <v>74</v>
      </c>
      <c r="Z17" s="77" t="s">
        <v>55</v>
      </c>
      <c r="AA17" s="77" t="s">
        <v>43</v>
      </c>
      <c r="AB17" s="34" t="s">
        <v>195</v>
      </c>
      <c r="AE17" s="22" t="s">
        <v>71</v>
      </c>
      <c r="AP17" s="27" t="s">
        <v>93</v>
      </c>
      <c r="AR17" s="80" t="s">
        <v>81</v>
      </c>
      <c r="AV17" s="80" t="s">
        <v>72</v>
      </c>
    </row>
    <row r="18" spans="1:48" x14ac:dyDescent="0.15">
      <c r="A18" s="77" t="s">
        <v>24</v>
      </c>
      <c r="B18" s="77" t="s">
        <v>191</v>
      </c>
      <c r="C18" s="77">
        <v>2020</v>
      </c>
      <c r="D18" s="139" t="s">
        <v>370</v>
      </c>
      <c r="E18" s="77" t="s">
        <v>374</v>
      </c>
      <c r="F18" s="77" t="s">
        <v>375</v>
      </c>
      <c r="G18" s="77" t="s">
        <v>25</v>
      </c>
      <c r="H18" s="77" t="s">
        <v>113</v>
      </c>
      <c r="I18" s="77" t="s">
        <v>111</v>
      </c>
      <c r="J18" s="77" t="s">
        <v>27</v>
      </c>
      <c r="K18" s="77" t="s">
        <v>112</v>
      </c>
      <c r="L18" s="77">
        <v>2</v>
      </c>
      <c r="N18" s="77">
        <v>8</v>
      </c>
      <c r="O18" s="77">
        <v>1.1000000000000001</v>
      </c>
      <c r="P18" s="77">
        <v>1.1000000000000001</v>
      </c>
      <c r="Q18" s="140">
        <f t="shared" si="0"/>
        <v>1.1000000000000001</v>
      </c>
      <c r="R18" s="77">
        <v>11.8</v>
      </c>
      <c r="S18" s="77">
        <v>88</v>
      </c>
      <c r="T18" s="16">
        <f t="shared" si="1"/>
        <v>36</v>
      </c>
      <c r="U18" s="77">
        <v>580</v>
      </c>
      <c r="V18" s="16">
        <f t="shared" si="2"/>
        <v>2610</v>
      </c>
      <c r="W18" s="77">
        <v>1</v>
      </c>
      <c r="X18" s="77" t="s">
        <v>35</v>
      </c>
      <c r="Y18" s="77" t="s">
        <v>74</v>
      </c>
      <c r="Z18" s="77" t="s">
        <v>55</v>
      </c>
      <c r="AA18" s="77" t="s">
        <v>43</v>
      </c>
      <c r="AB18" s="34" t="s">
        <v>195</v>
      </c>
      <c r="AE18" s="22" t="s">
        <v>73</v>
      </c>
      <c r="AP18" s="27" t="s">
        <v>94</v>
      </c>
      <c r="AR18" s="80" t="s">
        <v>85</v>
      </c>
      <c r="AV18" s="80" t="s">
        <v>74</v>
      </c>
    </row>
    <row r="19" spans="1:48" x14ac:dyDescent="0.15">
      <c r="A19" s="77" t="s">
        <v>24</v>
      </c>
      <c r="B19" s="77" t="s">
        <v>191</v>
      </c>
      <c r="C19" s="77">
        <v>2020</v>
      </c>
      <c r="D19" s="139" t="s">
        <v>370</v>
      </c>
      <c r="E19" s="77" t="s">
        <v>374</v>
      </c>
      <c r="F19" s="77" t="s">
        <v>375</v>
      </c>
      <c r="G19" s="77" t="s">
        <v>25</v>
      </c>
      <c r="H19" s="77" t="s">
        <v>113</v>
      </c>
      <c r="I19" s="77" t="s">
        <v>111</v>
      </c>
      <c r="J19" s="77" t="s">
        <v>27</v>
      </c>
      <c r="K19" s="77" t="s">
        <v>112</v>
      </c>
      <c r="L19" s="77">
        <v>3</v>
      </c>
      <c r="N19" s="77">
        <v>8</v>
      </c>
      <c r="O19" s="77">
        <v>0.6</v>
      </c>
      <c r="P19" s="77">
        <v>0.7</v>
      </c>
      <c r="Q19" s="140">
        <f t="shared" si="0"/>
        <v>0.64999999999999991</v>
      </c>
      <c r="R19" s="77">
        <v>14.6</v>
      </c>
      <c r="S19" s="77">
        <v>89</v>
      </c>
      <c r="T19" s="16">
        <f t="shared" si="1"/>
        <v>36</v>
      </c>
      <c r="U19" s="77">
        <v>580</v>
      </c>
      <c r="V19" s="16">
        <f t="shared" si="2"/>
        <v>2610</v>
      </c>
      <c r="W19" s="77">
        <v>1</v>
      </c>
      <c r="X19" s="77" t="s">
        <v>35</v>
      </c>
      <c r="Y19" s="77" t="s">
        <v>74</v>
      </c>
      <c r="Z19" s="77" t="s">
        <v>55</v>
      </c>
      <c r="AA19" s="77" t="s">
        <v>43</v>
      </c>
      <c r="AB19" s="34" t="s">
        <v>195</v>
      </c>
      <c r="AE19" s="35" t="s">
        <v>75</v>
      </c>
      <c r="AP19" s="27" t="s">
        <v>95</v>
      </c>
      <c r="AR19" s="80" t="s">
        <v>106</v>
      </c>
      <c r="AV19" s="80" t="s">
        <v>76</v>
      </c>
    </row>
    <row r="20" spans="1:48" x14ac:dyDescent="0.15">
      <c r="A20" s="77" t="s">
        <v>24</v>
      </c>
      <c r="B20" s="77" t="s">
        <v>191</v>
      </c>
      <c r="C20" s="77">
        <v>2020</v>
      </c>
      <c r="D20" s="139" t="s">
        <v>370</v>
      </c>
      <c r="E20" s="77" t="s">
        <v>374</v>
      </c>
      <c r="F20" s="77" t="s">
        <v>375</v>
      </c>
      <c r="G20" s="77" t="s">
        <v>25</v>
      </c>
      <c r="H20" s="77" t="s">
        <v>166</v>
      </c>
      <c r="I20" s="77" t="s">
        <v>111</v>
      </c>
      <c r="J20" s="77" t="s">
        <v>27</v>
      </c>
      <c r="K20" s="77" t="s">
        <v>112</v>
      </c>
      <c r="L20" s="77">
        <v>1</v>
      </c>
      <c r="N20" s="77">
        <v>1</v>
      </c>
      <c r="O20" s="77">
        <v>0.8</v>
      </c>
      <c r="P20" s="34">
        <v>0.75</v>
      </c>
      <c r="Q20" s="140">
        <f t="shared" si="0"/>
        <v>0.77500000000000002</v>
      </c>
      <c r="R20" s="77">
        <v>17.7</v>
      </c>
      <c r="S20" s="77">
        <v>126</v>
      </c>
      <c r="T20" s="16">
        <f t="shared" si="1"/>
        <v>27</v>
      </c>
      <c r="U20" s="77">
        <v>125</v>
      </c>
      <c r="V20" s="16">
        <f t="shared" si="2"/>
        <v>3375</v>
      </c>
      <c r="W20" s="77">
        <v>6</v>
      </c>
      <c r="X20" s="77" t="s">
        <v>35</v>
      </c>
      <c r="Y20" s="77" t="s">
        <v>74</v>
      </c>
      <c r="Z20" s="77" t="s">
        <v>55</v>
      </c>
      <c r="AA20" s="77" t="s">
        <v>43</v>
      </c>
      <c r="AB20" s="34" t="s">
        <v>195</v>
      </c>
      <c r="AE20" s="22"/>
      <c r="AP20" s="27" t="s">
        <v>96</v>
      </c>
      <c r="AR20" s="80" t="s">
        <v>89</v>
      </c>
      <c r="AV20" s="27" t="s">
        <v>114</v>
      </c>
    </row>
    <row r="21" spans="1:48" x14ac:dyDescent="0.15">
      <c r="A21" s="77" t="s">
        <v>24</v>
      </c>
      <c r="B21" s="77" t="s">
        <v>191</v>
      </c>
      <c r="C21" s="77">
        <v>2020</v>
      </c>
      <c r="D21" s="139" t="s">
        <v>370</v>
      </c>
      <c r="E21" s="77" t="s">
        <v>374</v>
      </c>
      <c r="F21" s="77" t="s">
        <v>375</v>
      </c>
      <c r="G21" s="77" t="s">
        <v>25</v>
      </c>
      <c r="H21" s="77" t="s">
        <v>166</v>
      </c>
      <c r="I21" s="77" t="s">
        <v>111</v>
      </c>
      <c r="J21" s="77" t="s">
        <v>27</v>
      </c>
      <c r="K21" s="77" t="s">
        <v>112</v>
      </c>
      <c r="L21" s="77">
        <v>2</v>
      </c>
      <c r="N21" s="77">
        <v>1</v>
      </c>
      <c r="O21" s="77">
        <v>0.8</v>
      </c>
      <c r="P21" s="77">
        <v>0.9</v>
      </c>
      <c r="Q21" s="140">
        <f t="shared" si="0"/>
        <v>0.85000000000000009</v>
      </c>
      <c r="R21" s="77">
        <v>12.5</v>
      </c>
      <c r="S21" s="77">
        <v>127</v>
      </c>
      <c r="T21" s="16">
        <f t="shared" si="1"/>
        <v>27</v>
      </c>
      <c r="U21" s="77">
        <v>125</v>
      </c>
      <c r="V21" s="16">
        <f t="shared" si="2"/>
        <v>3375</v>
      </c>
      <c r="W21" s="77">
        <v>6</v>
      </c>
      <c r="X21" s="77" t="s">
        <v>35</v>
      </c>
      <c r="Y21" s="77" t="s">
        <v>74</v>
      </c>
      <c r="Z21" s="77" t="s">
        <v>55</v>
      </c>
      <c r="AA21" s="77" t="s">
        <v>43</v>
      </c>
      <c r="AB21" s="34" t="s">
        <v>195</v>
      </c>
      <c r="AE21" s="22"/>
      <c r="AP21" s="27" t="s">
        <v>97</v>
      </c>
      <c r="AR21" s="80" t="s">
        <v>54</v>
      </c>
      <c r="AV21" s="27" t="s">
        <v>115</v>
      </c>
    </row>
    <row r="22" spans="1:48" x14ac:dyDescent="0.15">
      <c r="A22" s="77" t="s">
        <v>24</v>
      </c>
      <c r="B22" s="77" t="s">
        <v>191</v>
      </c>
      <c r="C22" s="77">
        <v>2020</v>
      </c>
      <c r="D22" s="139" t="s">
        <v>370</v>
      </c>
      <c r="E22" s="77" t="s">
        <v>374</v>
      </c>
      <c r="F22" s="77" t="s">
        <v>375</v>
      </c>
      <c r="G22" s="77" t="s">
        <v>25</v>
      </c>
      <c r="H22" s="77" t="s">
        <v>166</v>
      </c>
      <c r="I22" s="77" t="s">
        <v>111</v>
      </c>
      <c r="J22" s="77" t="s">
        <v>27</v>
      </c>
      <c r="K22" s="77" t="s">
        <v>112</v>
      </c>
      <c r="L22" s="77">
        <v>3</v>
      </c>
      <c r="N22" s="77">
        <v>1</v>
      </c>
      <c r="O22" s="34">
        <v>0.75</v>
      </c>
      <c r="P22" s="77">
        <v>0.75</v>
      </c>
      <c r="Q22" s="140">
        <f t="shared" si="0"/>
        <v>0.75</v>
      </c>
      <c r="R22" s="77">
        <v>17.3</v>
      </c>
      <c r="S22" s="77">
        <v>121</v>
      </c>
      <c r="T22" s="16">
        <f t="shared" si="1"/>
        <v>27</v>
      </c>
      <c r="U22" s="77">
        <v>125</v>
      </c>
      <c r="V22" s="16">
        <f t="shared" si="2"/>
        <v>3375</v>
      </c>
      <c r="W22" s="77">
        <v>6</v>
      </c>
      <c r="X22" s="77" t="s">
        <v>35</v>
      </c>
      <c r="Y22" s="77" t="s">
        <v>74</v>
      </c>
      <c r="Z22" s="77" t="s">
        <v>55</v>
      </c>
      <c r="AA22" s="77" t="s">
        <v>43</v>
      </c>
      <c r="AB22" s="34" t="s">
        <v>195</v>
      </c>
      <c r="AE22" s="35"/>
      <c r="AP22" s="27" t="s">
        <v>98</v>
      </c>
      <c r="AR22" s="80" t="s">
        <v>69</v>
      </c>
      <c r="AV22" s="27"/>
    </row>
    <row r="23" spans="1:48" x14ac:dyDescent="0.15">
      <c r="A23" s="77" t="s">
        <v>24</v>
      </c>
      <c r="B23" s="77" t="s">
        <v>191</v>
      </c>
      <c r="C23" s="77">
        <v>2020</v>
      </c>
      <c r="D23" s="139" t="s">
        <v>370</v>
      </c>
      <c r="E23" s="77" t="s">
        <v>374</v>
      </c>
      <c r="F23" s="77" t="s">
        <v>375</v>
      </c>
      <c r="G23" s="77" t="s">
        <v>25</v>
      </c>
      <c r="H23" s="77" t="s">
        <v>166</v>
      </c>
      <c r="I23" s="77" t="s">
        <v>111</v>
      </c>
      <c r="J23" s="77" t="s">
        <v>27</v>
      </c>
      <c r="K23" s="77" t="s">
        <v>112</v>
      </c>
      <c r="L23" s="77">
        <v>1</v>
      </c>
      <c r="N23" s="77">
        <v>8</v>
      </c>
      <c r="O23" s="34">
        <v>0.5</v>
      </c>
      <c r="P23" s="77">
        <v>0.5</v>
      </c>
      <c r="Q23" s="140">
        <f t="shared" si="0"/>
        <v>0.5</v>
      </c>
      <c r="R23" s="77">
        <v>9.6</v>
      </c>
      <c r="S23" s="77">
        <v>85</v>
      </c>
      <c r="T23" s="16">
        <f t="shared" si="1"/>
        <v>36</v>
      </c>
      <c r="U23" s="77">
        <v>780</v>
      </c>
      <c r="V23" s="16">
        <f t="shared" si="2"/>
        <v>3510</v>
      </c>
      <c r="W23" s="77">
        <v>1</v>
      </c>
      <c r="X23" s="77" t="s">
        <v>35</v>
      </c>
      <c r="Y23" s="77" t="s">
        <v>74</v>
      </c>
      <c r="Z23" s="77" t="s">
        <v>55</v>
      </c>
      <c r="AA23" s="77" t="s">
        <v>43</v>
      </c>
      <c r="AB23" s="34" t="s">
        <v>195</v>
      </c>
      <c r="AE23" s="22"/>
      <c r="AP23" s="27" t="s">
        <v>116</v>
      </c>
      <c r="AR23" s="80" t="s">
        <v>48</v>
      </c>
      <c r="AV23" s="27"/>
    </row>
    <row r="24" spans="1:48" x14ac:dyDescent="0.15">
      <c r="A24" s="77" t="s">
        <v>24</v>
      </c>
      <c r="B24" s="77" t="s">
        <v>191</v>
      </c>
      <c r="C24" s="77">
        <v>2020</v>
      </c>
      <c r="D24" s="139" t="s">
        <v>370</v>
      </c>
      <c r="E24" s="77" t="s">
        <v>374</v>
      </c>
      <c r="F24" s="77" t="s">
        <v>375</v>
      </c>
      <c r="G24" s="77" t="s">
        <v>25</v>
      </c>
      <c r="H24" s="77" t="s">
        <v>166</v>
      </c>
      <c r="I24" s="77" t="s">
        <v>111</v>
      </c>
      <c r="J24" s="77" t="s">
        <v>27</v>
      </c>
      <c r="K24" s="77" t="s">
        <v>112</v>
      </c>
      <c r="L24" s="77">
        <v>2</v>
      </c>
      <c r="N24" s="77">
        <v>8</v>
      </c>
      <c r="O24" s="77">
        <v>0.75</v>
      </c>
      <c r="P24" s="77">
        <v>0.8</v>
      </c>
      <c r="Q24" s="140">
        <f t="shared" si="0"/>
        <v>0.77500000000000002</v>
      </c>
      <c r="R24" s="77">
        <v>13.2</v>
      </c>
      <c r="S24" s="77">
        <v>90</v>
      </c>
      <c r="T24" s="16">
        <f t="shared" si="1"/>
        <v>36</v>
      </c>
      <c r="U24" s="77">
        <v>780</v>
      </c>
      <c r="V24" s="16">
        <f t="shared" si="2"/>
        <v>3510</v>
      </c>
      <c r="W24" s="77">
        <v>1</v>
      </c>
      <c r="X24" s="77" t="s">
        <v>35</v>
      </c>
      <c r="Y24" s="77" t="s">
        <v>74</v>
      </c>
      <c r="Z24" s="77" t="s">
        <v>55</v>
      </c>
      <c r="AA24" s="77" t="s">
        <v>43</v>
      </c>
      <c r="AB24" s="34" t="s">
        <v>195</v>
      </c>
      <c r="AE24" s="22"/>
      <c r="AP24" s="27" t="s">
        <v>117</v>
      </c>
      <c r="AR24" s="80" t="s">
        <v>77</v>
      </c>
      <c r="AV24" s="27"/>
    </row>
    <row r="25" spans="1:48" x14ac:dyDescent="0.15">
      <c r="A25" s="77" t="s">
        <v>24</v>
      </c>
      <c r="B25" s="77" t="s">
        <v>191</v>
      </c>
      <c r="C25" s="77">
        <v>2020</v>
      </c>
      <c r="D25" s="139" t="s">
        <v>370</v>
      </c>
      <c r="E25" s="77" t="s">
        <v>374</v>
      </c>
      <c r="F25" s="77" t="s">
        <v>375</v>
      </c>
      <c r="G25" s="77" t="s">
        <v>25</v>
      </c>
      <c r="H25" s="77" t="s">
        <v>166</v>
      </c>
      <c r="I25" s="77" t="s">
        <v>111</v>
      </c>
      <c r="J25" s="77" t="s">
        <v>27</v>
      </c>
      <c r="K25" s="77" t="s">
        <v>112</v>
      </c>
      <c r="L25" s="77">
        <v>3</v>
      </c>
      <c r="N25" s="77">
        <v>8</v>
      </c>
      <c r="O25" s="77">
        <v>1</v>
      </c>
      <c r="P25" s="77">
        <v>1.1000000000000001</v>
      </c>
      <c r="Q25" s="140">
        <f t="shared" si="0"/>
        <v>1.05</v>
      </c>
      <c r="R25" s="77">
        <v>16.899999999999999</v>
      </c>
      <c r="S25" s="77">
        <v>88</v>
      </c>
      <c r="T25" s="16">
        <f t="shared" si="1"/>
        <v>36</v>
      </c>
      <c r="U25" s="77">
        <v>780</v>
      </c>
      <c r="V25" s="16">
        <f t="shared" si="2"/>
        <v>3510</v>
      </c>
      <c r="W25" s="77">
        <v>1</v>
      </c>
      <c r="X25" s="77" t="s">
        <v>35</v>
      </c>
      <c r="Y25" s="77" t="s">
        <v>74</v>
      </c>
      <c r="Z25" s="77" t="s">
        <v>55</v>
      </c>
      <c r="AA25" s="77" t="s">
        <v>43</v>
      </c>
      <c r="AB25" s="34" t="s">
        <v>195</v>
      </c>
      <c r="AE25" s="35"/>
      <c r="AP25" s="27" t="s">
        <v>99</v>
      </c>
      <c r="AR25" s="27" t="s">
        <v>78</v>
      </c>
      <c r="AV25" s="27"/>
    </row>
    <row r="26" spans="1:48" x14ac:dyDescent="0.15">
      <c r="A26" s="77" t="s">
        <v>24</v>
      </c>
      <c r="B26" s="77" t="s">
        <v>191</v>
      </c>
      <c r="C26" s="77">
        <v>2020</v>
      </c>
      <c r="D26" s="139" t="s">
        <v>370</v>
      </c>
      <c r="E26" s="77" t="s">
        <v>368</v>
      </c>
      <c r="F26" s="77" t="s">
        <v>369</v>
      </c>
      <c r="G26" s="77" t="s">
        <v>25</v>
      </c>
      <c r="H26" s="77" t="s">
        <v>113</v>
      </c>
      <c r="I26" s="77" t="s">
        <v>111</v>
      </c>
      <c r="J26" s="77" t="s">
        <v>27</v>
      </c>
      <c r="K26" s="77" t="s">
        <v>112</v>
      </c>
      <c r="L26" s="77">
        <v>1</v>
      </c>
      <c r="N26" s="77">
        <v>1</v>
      </c>
      <c r="O26" s="77">
        <v>1.1000000000000001</v>
      </c>
      <c r="P26" s="77">
        <v>1.25</v>
      </c>
      <c r="Q26" s="140">
        <f t="shared" si="0"/>
        <v>1.175</v>
      </c>
      <c r="R26" s="77">
        <v>10.199999999999999</v>
      </c>
      <c r="S26" s="77">
        <v>122</v>
      </c>
      <c r="T26" s="16">
        <f t="shared" si="1"/>
        <v>27</v>
      </c>
      <c r="U26" s="77">
        <v>98</v>
      </c>
      <c r="V26" s="16">
        <f t="shared" si="2"/>
        <v>2646</v>
      </c>
      <c r="W26" s="77">
        <v>3</v>
      </c>
      <c r="X26" s="77" t="s">
        <v>35</v>
      </c>
      <c r="Y26" s="77" t="s">
        <v>82</v>
      </c>
      <c r="Z26" s="77" t="s">
        <v>43</v>
      </c>
      <c r="AA26" s="77" t="s">
        <v>55</v>
      </c>
      <c r="AB26" s="34" t="s">
        <v>195</v>
      </c>
      <c r="AE26" s="35"/>
      <c r="AP26" s="27" t="s">
        <v>100</v>
      </c>
      <c r="AR26" s="80" t="s">
        <v>138</v>
      </c>
      <c r="AV26" s="28"/>
    </row>
    <row r="27" spans="1:48" x14ac:dyDescent="0.15">
      <c r="A27" s="77" t="s">
        <v>24</v>
      </c>
      <c r="B27" s="77" t="s">
        <v>191</v>
      </c>
      <c r="C27" s="77">
        <v>2020</v>
      </c>
      <c r="D27" s="139" t="s">
        <v>370</v>
      </c>
      <c r="E27" s="77" t="s">
        <v>368</v>
      </c>
      <c r="F27" s="77" t="s">
        <v>369</v>
      </c>
      <c r="G27" s="77" t="s">
        <v>25</v>
      </c>
      <c r="H27" s="77" t="s">
        <v>113</v>
      </c>
      <c r="I27" s="77" t="s">
        <v>111</v>
      </c>
      <c r="J27" s="77" t="s">
        <v>27</v>
      </c>
      <c r="K27" s="77" t="s">
        <v>112</v>
      </c>
      <c r="L27" s="77">
        <v>2</v>
      </c>
      <c r="N27" s="77">
        <v>1</v>
      </c>
      <c r="O27" s="77">
        <v>0.75</v>
      </c>
      <c r="P27" s="77">
        <v>0.8</v>
      </c>
      <c r="Q27" s="140">
        <f t="shared" si="0"/>
        <v>0.77500000000000002</v>
      </c>
      <c r="R27" s="77">
        <v>12.1</v>
      </c>
      <c r="S27" s="77">
        <v>118</v>
      </c>
      <c r="T27" s="16">
        <f t="shared" si="1"/>
        <v>30</v>
      </c>
      <c r="U27" s="77">
        <v>98</v>
      </c>
      <c r="V27" s="16">
        <f t="shared" si="2"/>
        <v>2940</v>
      </c>
      <c r="W27" s="77">
        <v>3</v>
      </c>
      <c r="X27" s="77" t="s">
        <v>35</v>
      </c>
      <c r="Y27" s="77" t="s">
        <v>82</v>
      </c>
      <c r="Z27" s="77" t="s">
        <v>43</v>
      </c>
      <c r="AA27" s="77" t="s">
        <v>55</v>
      </c>
      <c r="AB27" s="34" t="s">
        <v>195</v>
      </c>
      <c r="AE27" s="28"/>
      <c r="AP27" s="27" t="s">
        <v>101</v>
      </c>
      <c r="AR27" s="80" t="s">
        <v>159</v>
      </c>
    </row>
    <row r="28" spans="1:48" x14ac:dyDescent="0.15">
      <c r="A28" s="77" t="s">
        <v>24</v>
      </c>
      <c r="B28" s="77" t="s">
        <v>191</v>
      </c>
      <c r="C28" s="77">
        <v>2020</v>
      </c>
      <c r="D28" s="139" t="s">
        <v>370</v>
      </c>
      <c r="E28" s="77" t="s">
        <v>368</v>
      </c>
      <c r="F28" s="77" t="s">
        <v>369</v>
      </c>
      <c r="G28" s="77" t="s">
        <v>25</v>
      </c>
      <c r="H28" s="77" t="s">
        <v>113</v>
      </c>
      <c r="I28" s="77" t="s">
        <v>111</v>
      </c>
      <c r="J28" s="77" t="s">
        <v>27</v>
      </c>
      <c r="K28" s="77" t="s">
        <v>112</v>
      </c>
      <c r="L28" s="77">
        <v>3</v>
      </c>
      <c r="N28" s="77">
        <v>1</v>
      </c>
      <c r="O28" s="77">
        <v>0.5</v>
      </c>
      <c r="P28" s="77">
        <v>0.6</v>
      </c>
      <c r="Q28" s="140">
        <f t="shared" si="0"/>
        <v>0.55000000000000004</v>
      </c>
      <c r="R28" s="77">
        <v>10</v>
      </c>
      <c r="S28" s="77">
        <v>116</v>
      </c>
      <c r="T28" s="16">
        <f t="shared" si="1"/>
        <v>30</v>
      </c>
      <c r="U28" s="77">
        <v>98</v>
      </c>
      <c r="V28" s="16">
        <f t="shared" si="2"/>
        <v>2940</v>
      </c>
      <c r="W28" s="77">
        <v>3</v>
      </c>
      <c r="X28" s="77" t="s">
        <v>35</v>
      </c>
      <c r="Y28" s="77" t="s">
        <v>82</v>
      </c>
      <c r="Z28" s="77" t="s">
        <v>43</v>
      </c>
      <c r="AA28" s="77" t="s">
        <v>55</v>
      </c>
      <c r="AB28" s="34" t="s">
        <v>195</v>
      </c>
      <c r="AP28" s="27" t="s">
        <v>156</v>
      </c>
      <c r="AR28" s="80" t="s">
        <v>158</v>
      </c>
    </row>
    <row r="29" spans="1:48" x14ac:dyDescent="0.15">
      <c r="A29" s="77" t="s">
        <v>24</v>
      </c>
      <c r="B29" s="77" t="s">
        <v>191</v>
      </c>
      <c r="C29" s="77">
        <v>2020</v>
      </c>
      <c r="D29" s="139" t="s">
        <v>370</v>
      </c>
      <c r="E29" s="77" t="s">
        <v>368</v>
      </c>
      <c r="F29" s="77" t="s">
        <v>369</v>
      </c>
      <c r="G29" s="77" t="s">
        <v>25</v>
      </c>
      <c r="H29" s="77" t="s">
        <v>113</v>
      </c>
      <c r="I29" s="77" t="s">
        <v>165</v>
      </c>
      <c r="J29" s="77" t="s">
        <v>27</v>
      </c>
      <c r="K29" s="77" t="s">
        <v>112</v>
      </c>
      <c r="L29" s="77">
        <v>1</v>
      </c>
      <c r="N29" s="77">
        <v>5</v>
      </c>
      <c r="O29" s="77">
        <v>0.5</v>
      </c>
      <c r="P29" s="77">
        <v>0.7</v>
      </c>
      <c r="Q29" s="140">
        <f t="shared" si="0"/>
        <v>0.6</v>
      </c>
      <c r="R29" s="77">
        <v>11.9</v>
      </c>
      <c r="S29" s="77">
        <v>84</v>
      </c>
      <c r="T29" s="16">
        <f t="shared" si="1"/>
        <v>36</v>
      </c>
      <c r="U29" s="77">
        <v>398</v>
      </c>
      <c r="V29" s="16">
        <f t="shared" si="2"/>
        <v>2865.6</v>
      </c>
      <c r="W29" s="77">
        <v>2</v>
      </c>
      <c r="X29" s="77" t="s">
        <v>35</v>
      </c>
      <c r="Y29" s="77" t="s">
        <v>82</v>
      </c>
      <c r="Z29" s="77" t="s">
        <v>43</v>
      </c>
      <c r="AA29" s="77" t="s">
        <v>55</v>
      </c>
      <c r="AB29" s="34" t="s">
        <v>195</v>
      </c>
      <c r="AP29" s="27" t="s">
        <v>157</v>
      </c>
      <c r="AR29" s="28"/>
      <c r="AV29" s="28"/>
    </row>
    <row r="30" spans="1:48" x14ac:dyDescent="0.15">
      <c r="A30" s="77" t="s">
        <v>24</v>
      </c>
      <c r="B30" s="77" t="s">
        <v>191</v>
      </c>
      <c r="C30" s="77">
        <v>2020</v>
      </c>
      <c r="D30" s="139" t="s">
        <v>370</v>
      </c>
      <c r="E30" s="77" t="s">
        <v>368</v>
      </c>
      <c r="F30" s="77" t="s">
        <v>369</v>
      </c>
      <c r="G30" s="77" t="s">
        <v>25</v>
      </c>
      <c r="H30" s="77" t="s">
        <v>113</v>
      </c>
      <c r="I30" s="77" t="s">
        <v>165</v>
      </c>
      <c r="J30" s="77" t="s">
        <v>27</v>
      </c>
      <c r="K30" s="77" t="s">
        <v>112</v>
      </c>
      <c r="L30" s="77">
        <v>2</v>
      </c>
      <c r="N30" s="77">
        <v>5</v>
      </c>
      <c r="O30" s="77">
        <v>1</v>
      </c>
      <c r="P30" s="77">
        <v>1.1000000000000001</v>
      </c>
      <c r="Q30" s="140">
        <f t="shared" si="0"/>
        <v>1.05</v>
      </c>
      <c r="R30" s="77">
        <v>11.6</v>
      </c>
      <c r="S30" s="77">
        <v>86</v>
      </c>
      <c r="T30" s="16">
        <f t="shared" si="1"/>
        <v>36</v>
      </c>
      <c r="U30" s="77">
        <v>398</v>
      </c>
      <c r="V30" s="16">
        <f t="shared" si="2"/>
        <v>2865.6</v>
      </c>
      <c r="W30" s="77">
        <v>2</v>
      </c>
      <c r="X30" s="77" t="s">
        <v>35</v>
      </c>
      <c r="Y30" s="77" t="s">
        <v>82</v>
      </c>
      <c r="Z30" s="77" t="s">
        <v>43</v>
      </c>
      <c r="AA30" s="77" t="s">
        <v>55</v>
      </c>
      <c r="AB30" s="34" t="s">
        <v>195</v>
      </c>
      <c r="AP30" s="27"/>
      <c r="AR30" s="27"/>
    </row>
    <row r="31" spans="1:48" x14ac:dyDescent="0.15">
      <c r="A31" s="77" t="s">
        <v>24</v>
      </c>
      <c r="B31" s="77" t="s">
        <v>191</v>
      </c>
      <c r="C31" s="77">
        <v>2020</v>
      </c>
      <c r="D31" s="139" t="s">
        <v>370</v>
      </c>
      <c r="E31" s="77" t="s">
        <v>368</v>
      </c>
      <c r="F31" s="77" t="s">
        <v>369</v>
      </c>
      <c r="G31" s="77" t="s">
        <v>25</v>
      </c>
      <c r="H31" s="77" t="s">
        <v>113</v>
      </c>
      <c r="I31" s="77" t="s">
        <v>165</v>
      </c>
      <c r="J31" s="77" t="s">
        <v>27</v>
      </c>
      <c r="K31" s="77" t="s">
        <v>112</v>
      </c>
      <c r="L31" s="77">
        <v>3</v>
      </c>
      <c r="N31" s="77">
        <v>5</v>
      </c>
      <c r="O31" s="77">
        <v>1.1000000000000001</v>
      </c>
      <c r="P31" s="77">
        <v>1</v>
      </c>
      <c r="Q31" s="140">
        <f t="shared" si="0"/>
        <v>1.05</v>
      </c>
      <c r="R31" s="77">
        <v>11.1</v>
      </c>
      <c r="S31" s="77">
        <v>85</v>
      </c>
      <c r="T31" s="16">
        <f t="shared" si="1"/>
        <v>36</v>
      </c>
      <c r="U31" s="77">
        <v>398</v>
      </c>
      <c r="V31" s="16">
        <f t="shared" si="2"/>
        <v>2865.6</v>
      </c>
      <c r="W31" s="77">
        <v>2</v>
      </c>
      <c r="X31" s="77" t="s">
        <v>35</v>
      </c>
      <c r="Y31" s="77" t="s">
        <v>82</v>
      </c>
      <c r="Z31" s="77" t="s">
        <v>43</v>
      </c>
      <c r="AA31" s="77" t="s">
        <v>55</v>
      </c>
      <c r="AB31" s="34" t="s">
        <v>195</v>
      </c>
      <c r="AP31" s="27"/>
      <c r="AR31" s="27"/>
    </row>
    <row r="32" spans="1:48" x14ac:dyDescent="0.15">
      <c r="A32" s="77" t="s">
        <v>24</v>
      </c>
      <c r="B32" s="77" t="s">
        <v>191</v>
      </c>
      <c r="C32" s="77">
        <v>2020</v>
      </c>
      <c r="D32" s="139" t="s">
        <v>370</v>
      </c>
      <c r="E32" s="77" t="s">
        <v>368</v>
      </c>
      <c r="F32" s="77" t="s">
        <v>369</v>
      </c>
      <c r="G32" s="77" t="s">
        <v>25</v>
      </c>
      <c r="H32" s="77" t="s">
        <v>166</v>
      </c>
      <c r="I32" s="77" t="s">
        <v>111</v>
      </c>
      <c r="J32" s="77" t="s">
        <v>27</v>
      </c>
      <c r="K32" s="77" t="s">
        <v>112</v>
      </c>
      <c r="L32" s="77">
        <v>1</v>
      </c>
      <c r="N32" s="77">
        <v>1</v>
      </c>
      <c r="O32" s="77">
        <v>1.25</v>
      </c>
      <c r="P32" s="77">
        <v>1.2</v>
      </c>
      <c r="Q32" s="140">
        <f t="shared" si="0"/>
        <v>1.2250000000000001</v>
      </c>
      <c r="R32" s="77">
        <v>17.3</v>
      </c>
      <c r="S32" s="77">
        <v>124</v>
      </c>
      <c r="T32" s="16">
        <f t="shared" si="1"/>
        <v>27</v>
      </c>
      <c r="U32" s="77">
        <v>128</v>
      </c>
      <c r="V32" s="16">
        <f t="shared" si="2"/>
        <v>3456</v>
      </c>
      <c r="W32" s="77">
        <v>6</v>
      </c>
      <c r="X32" s="77" t="s">
        <v>35</v>
      </c>
      <c r="Y32" s="77" t="s">
        <v>82</v>
      </c>
      <c r="Z32" s="77" t="s">
        <v>43</v>
      </c>
      <c r="AA32" s="77" t="s">
        <v>55</v>
      </c>
      <c r="AB32" s="34" t="s">
        <v>195</v>
      </c>
      <c r="AP32" s="28"/>
      <c r="AR32" s="28"/>
    </row>
    <row r="33" spans="1:28" x14ac:dyDescent="0.15">
      <c r="A33" s="77" t="s">
        <v>24</v>
      </c>
      <c r="B33" s="77" t="s">
        <v>191</v>
      </c>
      <c r="C33" s="77">
        <v>2020</v>
      </c>
      <c r="D33" s="139" t="s">
        <v>370</v>
      </c>
      <c r="E33" s="77" t="s">
        <v>368</v>
      </c>
      <c r="F33" s="77" t="s">
        <v>369</v>
      </c>
      <c r="G33" s="77" t="s">
        <v>25</v>
      </c>
      <c r="H33" s="77" t="s">
        <v>166</v>
      </c>
      <c r="I33" s="77" t="s">
        <v>111</v>
      </c>
      <c r="J33" s="77" t="s">
        <v>27</v>
      </c>
      <c r="K33" s="77" t="s">
        <v>112</v>
      </c>
      <c r="L33" s="77">
        <v>2</v>
      </c>
      <c r="N33" s="77">
        <v>1</v>
      </c>
      <c r="O33" s="77">
        <v>1.1000000000000001</v>
      </c>
      <c r="P33" s="77">
        <v>1</v>
      </c>
      <c r="Q33" s="140">
        <f t="shared" si="0"/>
        <v>1.05</v>
      </c>
      <c r="R33" s="77">
        <v>16.899999999999999</v>
      </c>
      <c r="S33" s="77">
        <v>123</v>
      </c>
      <c r="T33" s="16">
        <f t="shared" si="1"/>
        <v>27</v>
      </c>
      <c r="U33" s="77">
        <v>128</v>
      </c>
      <c r="V33" s="16">
        <f t="shared" si="2"/>
        <v>3456</v>
      </c>
      <c r="W33" s="77">
        <v>6</v>
      </c>
      <c r="X33" s="77" t="s">
        <v>35</v>
      </c>
      <c r="Y33" s="77" t="s">
        <v>82</v>
      </c>
      <c r="Z33" s="77" t="s">
        <v>43</v>
      </c>
      <c r="AA33" s="77" t="s">
        <v>55</v>
      </c>
      <c r="AB33" s="34" t="s">
        <v>195</v>
      </c>
    </row>
    <row r="34" spans="1:28" x14ac:dyDescent="0.15">
      <c r="A34" s="77" t="s">
        <v>24</v>
      </c>
      <c r="B34" s="77" t="s">
        <v>191</v>
      </c>
      <c r="C34" s="77">
        <v>2020</v>
      </c>
      <c r="D34" s="139" t="s">
        <v>370</v>
      </c>
      <c r="E34" s="77" t="s">
        <v>368</v>
      </c>
      <c r="F34" s="77" t="s">
        <v>369</v>
      </c>
      <c r="G34" s="77" t="s">
        <v>25</v>
      </c>
      <c r="H34" s="77" t="s">
        <v>166</v>
      </c>
      <c r="I34" s="77" t="s">
        <v>111</v>
      </c>
      <c r="J34" s="77" t="s">
        <v>27</v>
      </c>
      <c r="K34" s="77" t="s">
        <v>112</v>
      </c>
      <c r="L34" s="77">
        <v>3</v>
      </c>
      <c r="N34" s="77">
        <v>1</v>
      </c>
      <c r="O34" s="77">
        <v>0.8</v>
      </c>
      <c r="P34" s="77">
        <v>0.9</v>
      </c>
      <c r="Q34" s="140">
        <f t="shared" si="0"/>
        <v>0.85000000000000009</v>
      </c>
      <c r="R34" s="77">
        <v>16.8</v>
      </c>
      <c r="S34" s="77">
        <v>120</v>
      </c>
      <c r="T34" s="16">
        <f t="shared" si="1"/>
        <v>30</v>
      </c>
      <c r="U34" s="77">
        <v>128</v>
      </c>
      <c r="V34" s="16">
        <f t="shared" si="2"/>
        <v>3840</v>
      </c>
      <c r="W34" s="77">
        <v>6</v>
      </c>
      <c r="X34" s="77" t="s">
        <v>35</v>
      </c>
      <c r="Y34" s="77" t="s">
        <v>82</v>
      </c>
      <c r="Z34" s="77" t="s">
        <v>43</v>
      </c>
      <c r="AA34" s="77" t="s">
        <v>55</v>
      </c>
      <c r="AB34" s="34" t="s">
        <v>195</v>
      </c>
    </row>
    <row r="35" spans="1:28" x14ac:dyDescent="0.15">
      <c r="A35" s="77" t="s">
        <v>24</v>
      </c>
      <c r="B35" s="77" t="s">
        <v>191</v>
      </c>
      <c r="C35" s="77">
        <v>2020</v>
      </c>
      <c r="D35" s="139" t="s">
        <v>370</v>
      </c>
      <c r="E35" s="77" t="s">
        <v>368</v>
      </c>
      <c r="F35" s="77" t="s">
        <v>369</v>
      </c>
      <c r="G35" s="77" t="s">
        <v>25</v>
      </c>
      <c r="H35" s="77" t="s">
        <v>166</v>
      </c>
      <c r="I35" s="77" t="s">
        <v>165</v>
      </c>
      <c r="J35" s="77" t="s">
        <v>27</v>
      </c>
      <c r="K35" s="77" t="s">
        <v>112</v>
      </c>
      <c r="L35" s="77">
        <v>1</v>
      </c>
      <c r="N35" s="77">
        <v>4</v>
      </c>
      <c r="O35" s="77">
        <v>1.25</v>
      </c>
      <c r="P35" s="77">
        <v>1.2</v>
      </c>
      <c r="Q35" s="140">
        <f t="shared" si="0"/>
        <v>1.2250000000000001</v>
      </c>
      <c r="R35" s="77">
        <v>12.1</v>
      </c>
      <c r="S35" s="77">
        <v>87</v>
      </c>
      <c r="T35" s="16">
        <f t="shared" si="1"/>
        <v>36</v>
      </c>
      <c r="U35" s="77">
        <v>498</v>
      </c>
      <c r="V35" s="16">
        <f t="shared" si="2"/>
        <v>4482</v>
      </c>
      <c r="W35" s="77">
        <v>1</v>
      </c>
      <c r="X35" s="77" t="s">
        <v>35</v>
      </c>
      <c r="Y35" s="77" t="s">
        <v>82</v>
      </c>
      <c r="Z35" s="77" t="s">
        <v>43</v>
      </c>
      <c r="AA35" s="77" t="s">
        <v>55</v>
      </c>
      <c r="AB35" s="34" t="s">
        <v>195</v>
      </c>
    </row>
    <row r="36" spans="1:28" x14ac:dyDescent="0.15">
      <c r="A36" s="77" t="s">
        <v>24</v>
      </c>
      <c r="B36" s="77" t="s">
        <v>191</v>
      </c>
      <c r="C36" s="77">
        <v>2020</v>
      </c>
      <c r="D36" s="139" t="s">
        <v>370</v>
      </c>
      <c r="E36" s="77" t="s">
        <v>368</v>
      </c>
      <c r="F36" s="77" t="s">
        <v>369</v>
      </c>
      <c r="G36" s="77" t="s">
        <v>25</v>
      </c>
      <c r="H36" s="77" t="s">
        <v>166</v>
      </c>
      <c r="I36" s="77" t="s">
        <v>165</v>
      </c>
      <c r="J36" s="77" t="s">
        <v>27</v>
      </c>
      <c r="K36" s="77" t="s">
        <v>112</v>
      </c>
      <c r="L36" s="77">
        <v>2</v>
      </c>
      <c r="N36" s="77">
        <v>4</v>
      </c>
      <c r="O36" s="77">
        <v>0.9</v>
      </c>
      <c r="P36" s="77">
        <v>0.8</v>
      </c>
      <c r="Q36" s="140">
        <f t="shared" si="0"/>
        <v>0.85000000000000009</v>
      </c>
      <c r="R36" s="77">
        <v>10.9</v>
      </c>
      <c r="S36" s="77">
        <v>89</v>
      </c>
      <c r="T36" s="16">
        <f t="shared" si="1"/>
        <v>36</v>
      </c>
      <c r="U36" s="77">
        <v>498</v>
      </c>
      <c r="V36" s="16">
        <f t="shared" si="2"/>
        <v>4482</v>
      </c>
      <c r="W36" s="77">
        <v>1</v>
      </c>
      <c r="X36" s="77" t="s">
        <v>35</v>
      </c>
      <c r="Y36" s="77" t="s">
        <v>82</v>
      </c>
      <c r="Z36" s="77" t="s">
        <v>43</v>
      </c>
      <c r="AA36" s="77" t="s">
        <v>55</v>
      </c>
      <c r="AB36" s="34" t="s">
        <v>195</v>
      </c>
    </row>
    <row r="37" spans="1:28" x14ac:dyDescent="0.15">
      <c r="A37" s="77" t="s">
        <v>24</v>
      </c>
      <c r="B37" s="77" t="s">
        <v>191</v>
      </c>
      <c r="C37" s="77">
        <v>2020</v>
      </c>
      <c r="D37" s="139" t="s">
        <v>370</v>
      </c>
      <c r="E37" s="77" t="s">
        <v>368</v>
      </c>
      <c r="F37" s="77" t="s">
        <v>369</v>
      </c>
      <c r="G37" s="77" t="s">
        <v>25</v>
      </c>
      <c r="H37" s="77" t="s">
        <v>166</v>
      </c>
      <c r="I37" s="77" t="s">
        <v>165</v>
      </c>
      <c r="J37" s="77" t="s">
        <v>27</v>
      </c>
      <c r="K37" s="77" t="s">
        <v>112</v>
      </c>
      <c r="L37" s="77">
        <v>3</v>
      </c>
      <c r="N37" s="77">
        <v>4</v>
      </c>
      <c r="O37" s="34">
        <v>1.25</v>
      </c>
      <c r="P37" s="34">
        <v>1.1000000000000001</v>
      </c>
      <c r="Q37" s="140">
        <f t="shared" si="0"/>
        <v>1.175</v>
      </c>
      <c r="R37" s="77">
        <v>11.6</v>
      </c>
      <c r="S37" s="77">
        <v>85</v>
      </c>
      <c r="T37" s="16">
        <f t="shared" si="1"/>
        <v>36</v>
      </c>
      <c r="U37" s="77">
        <v>498</v>
      </c>
      <c r="V37" s="16">
        <f t="shared" si="2"/>
        <v>4482</v>
      </c>
      <c r="W37" s="77">
        <v>1</v>
      </c>
      <c r="X37" s="77" t="s">
        <v>35</v>
      </c>
      <c r="Y37" s="77" t="s">
        <v>82</v>
      </c>
      <c r="Z37" s="77" t="s">
        <v>43</v>
      </c>
      <c r="AA37" s="77" t="s">
        <v>55</v>
      </c>
      <c r="AB37" s="34" t="s">
        <v>195</v>
      </c>
    </row>
    <row r="38" spans="1:28" x14ac:dyDescent="0.15">
      <c r="A38" s="77" t="s">
        <v>24</v>
      </c>
      <c r="B38" s="77" t="s">
        <v>191</v>
      </c>
      <c r="C38" s="77">
        <v>2020</v>
      </c>
      <c r="D38" s="139" t="s">
        <v>370</v>
      </c>
      <c r="E38" s="77" t="s">
        <v>193</v>
      </c>
      <c r="F38" s="77" t="s">
        <v>380</v>
      </c>
      <c r="G38" s="77" t="s">
        <v>25</v>
      </c>
      <c r="H38" s="77" t="s">
        <v>113</v>
      </c>
      <c r="I38" s="77" t="s">
        <v>111</v>
      </c>
      <c r="J38" s="77" t="s">
        <v>27</v>
      </c>
      <c r="K38" s="77" t="s">
        <v>112</v>
      </c>
      <c r="L38" s="77">
        <v>1</v>
      </c>
      <c r="N38" s="77">
        <v>1</v>
      </c>
      <c r="O38" s="34">
        <v>1</v>
      </c>
      <c r="P38" s="34">
        <v>1</v>
      </c>
      <c r="Q38" s="140">
        <f t="shared" si="0"/>
        <v>1</v>
      </c>
      <c r="R38" s="77">
        <v>12.2</v>
      </c>
      <c r="S38" s="77">
        <v>127</v>
      </c>
      <c r="T38" s="16">
        <f t="shared" si="1"/>
        <v>27</v>
      </c>
      <c r="U38" s="77">
        <v>98</v>
      </c>
      <c r="V38" s="16">
        <f t="shared" si="2"/>
        <v>2646</v>
      </c>
      <c r="W38" s="77">
        <v>4</v>
      </c>
      <c r="X38" s="77" t="s">
        <v>35</v>
      </c>
      <c r="Y38" s="77" t="s">
        <v>72</v>
      </c>
      <c r="Z38" s="77" t="s">
        <v>74</v>
      </c>
      <c r="AA38" s="77" t="s">
        <v>43</v>
      </c>
      <c r="AB38" s="34" t="s">
        <v>195</v>
      </c>
    </row>
    <row r="39" spans="1:28" x14ac:dyDescent="0.15">
      <c r="A39" s="77" t="s">
        <v>24</v>
      </c>
      <c r="B39" s="77" t="s">
        <v>191</v>
      </c>
      <c r="C39" s="77">
        <v>2020</v>
      </c>
      <c r="D39" s="139" t="s">
        <v>370</v>
      </c>
      <c r="E39" s="77" t="s">
        <v>193</v>
      </c>
      <c r="F39" s="77" t="s">
        <v>380</v>
      </c>
      <c r="G39" s="77" t="s">
        <v>25</v>
      </c>
      <c r="H39" s="77" t="s">
        <v>113</v>
      </c>
      <c r="I39" s="77" t="s">
        <v>111</v>
      </c>
      <c r="J39" s="77" t="s">
        <v>27</v>
      </c>
      <c r="K39" s="77" t="s">
        <v>112</v>
      </c>
      <c r="L39" s="77">
        <v>2</v>
      </c>
      <c r="N39" s="77">
        <v>1</v>
      </c>
      <c r="O39" s="77">
        <v>0.8</v>
      </c>
      <c r="P39" s="77">
        <v>0.75</v>
      </c>
      <c r="Q39" s="140">
        <f t="shared" si="0"/>
        <v>0.77500000000000002</v>
      </c>
      <c r="R39" s="34">
        <v>12.3</v>
      </c>
      <c r="S39" s="77">
        <v>119</v>
      </c>
      <c r="T39" s="16">
        <f t="shared" si="1"/>
        <v>30</v>
      </c>
      <c r="U39" s="77">
        <v>98</v>
      </c>
      <c r="V39" s="16">
        <f t="shared" si="2"/>
        <v>2940</v>
      </c>
      <c r="W39" s="77">
        <v>4</v>
      </c>
      <c r="X39" s="77" t="s">
        <v>35</v>
      </c>
      <c r="Y39" s="77" t="s">
        <v>72</v>
      </c>
      <c r="Z39" s="77" t="s">
        <v>74</v>
      </c>
      <c r="AA39" s="77" t="s">
        <v>43</v>
      </c>
      <c r="AB39" s="34" t="s">
        <v>195</v>
      </c>
    </row>
    <row r="40" spans="1:28" x14ac:dyDescent="0.15">
      <c r="A40" s="77" t="s">
        <v>24</v>
      </c>
      <c r="B40" s="77" t="s">
        <v>191</v>
      </c>
      <c r="C40" s="77">
        <v>2020</v>
      </c>
      <c r="D40" s="139" t="s">
        <v>370</v>
      </c>
      <c r="E40" s="77" t="s">
        <v>193</v>
      </c>
      <c r="F40" s="77" t="s">
        <v>380</v>
      </c>
      <c r="G40" s="77" t="s">
        <v>25</v>
      </c>
      <c r="H40" s="77" t="s">
        <v>113</v>
      </c>
      <c r="I40" s="77" t="s">
        <v>111</v>
      </c>
      <c r="J40" s="77" t="s">
        <v>27</v>
      </c>
      <c r="K40" s="77" t="s">
        <v>112</v>
      </c>
      <c r="L40" s="77">
        <v>3</v>
      </c>
      <c r="N40" s="77">
        <v>1</v>
      </c>
      <c r="O40" s="77">
        <v>1.2</v>
      </c>
      <c r="P40" s="77">
        <v>1.2</v>
      </c>
      <c r="Q40" s="140">
        <f t="shared" si="0"/>
        <v>1.2</v>
      </c>
      <c r="R40" s="77">
        <v>12.5</v>
      </c>
      <c r="S40" s="77">
        <v>124</v>
      </c>
      <c r="T40" s="16">
        <f t="shared" si="1"/>
        <v>27</v>
      </c>
      <c r="U40" s="77">
        <v>98</v>
      </c>
      <c r="V40" s="16">
        <f t="shared" si="2"/>
        <v>2646</v>
      </c>
      <c r="W40" s="77">
        <v>4</v>
      </c>
      <c r="X40" s="77" t="s">
        <v>35</v>
      </c>
      <c r="Y40" s="77" t="s">
        <v>72</v>
      </c>
      <c r="Z40" s="77" t="s">
        <v>74</v>
      </c>
      <c r="AA40" s="77" t="s">
        <v>43</v>
      </c>
      <c r="AB40" s="34" t="s">
        <v>195</v>
      </c>
    </row>
    <row r="41" spans="1:28" ht="12.75" customHeight="1" x14ac:dyDescent="0.15">
      <c r="A41" s="77" t="s">
        <v>24</v>
      </c>
      <c r="B41" s="77" t="s">
        <v>191</v>
      </c>
      <c r="C41" s="77">
        <v>2020</v>
      </c>
      <c r="D41" s="139" t="s">
        <v>370</v>
      </c>
      <c r="E41" s="77" t="s">
        <v>193</v>
      </c>
      <c r="F41" s="77" t="s">
        <v>380</v>
      </c>
      <c r="G41" s="77" t="s">
        <v>25</v>
      </c>
      <c r="H41" s="77" t="s">
        <v>113</v>
      </c>
      <c r="I41" s="77" t="s">
        <v>111</v>
      </c>
      <c r="J41" s="77" t="s">
        <v>27</v>
      </c>
      <c r="K41" s="77" t="s">
        <v>112</v>
      </c>
      <c r="L41" s="77">
        <v>1</v>
      </c>
      <c r="N41" s="77">
        <v>8</v>
      </c>
      <c r="O41" s="77">
        <v>0.7</v>
      </c>
      <c r="P41" s="77">
        <v>0.7</v>
      </c>
      <c r="Q41" s="140">
        <f t="shared" si="0"/>
        <v>0.7</v>
      </c>
      <c r="R41" s="77">
        <v>11.5</v>
      </c>
      <c r="S41" s="77">
        <v>86</v>
      </c>
      <c r="T41" s="16">
        <f t="shared" si="1"/>
        <v>36</v>
      </c>
      <c r="U41" s="77">
        <v>598</v>
      </c>
      <c r="V41" s="16">
        <f t="shared" si="2"/>
        <v>2691</v>
      </c>
      <c r="W41" s="77">
        <v>6</v>
      </c>
      <c r="X41" s="77" t="s">
        <v>35</v>
      </c>
      <c r="Y41" s="77" t="s">
        <v>72</v>
      </c>
      <c r="Z41" s="77" t="s">
        <v>74</v>
      </c>
      <c r="AA41" s="77" t="s">
        <v>43</v>
      </c>
      <c r="AB41" s="34" t="s">
        <v>195</v>
      </c>
    </row>
    <row r="42" spans="1:28" x14ac:dyDescent="0.15">
      <c r="A42" s="77" t="s">
        <v>24</v>
      </c>
      <c r="B42" s="77" t="s">
        <v>191</v>
      </c>
      <c r="C42" s="77">
        <v>2020</v>
      </c>
      <c r="D42" s="139" t="s">
        <v>370</v>
      </c>
      <c r="E42" s="77" t="s">
        <v>193</v>
      </c>
      <c r="F42" s="77" t="s">
        <v>380</v>
      </c>
      <c r="G42" s="77" t="s">
        <v>25</v>
      </c>
      <c r="H42" s="77" t="s">
        <v>113</v>
      </c>
      <c r="I42" s="77" t="s">
        <v>111</v>
      </c>
      <c r="J42" s="77" t="s">
        <v>27</v>
      </c>
      <c r="K42" s="77" t="s">
        <v>112</v>
      </c>
      <c r="L42" s="77">
        <v>2</v>
      </c>
      <c r="N42" s="77">
        <v>8</v>
      </c>
      <c r="O42" s="77">
        <v>0.5</v>
      </c>
      <c r="P42" s="77">
        <v>0.6</v>
      </c>
      <c r="Q42" s="140">
        <f t="shared" si="0"/>
        <v>0.55000000000000004</v>
      </c>
      <c r="R42" s="77">
        <v>10.3</v>
      </c>
      <c r="S42" s="77">
        <v>89</v>
      </c>
      <c r="T42" s="16">
        <f t="shared" si="1"/>
        <v>36</v>
      </c>
      <c r="U42" s="77">
        <v>598</v>
      </c>
      <c r="V42" s="16">
        <f t="shared" si="2"/>
        <v>2691</v>
      </c>
      <c r="W42" s="77">
        <v>6</v>
      </c>
      <c r="X42" s="77" t="s">
        <v>35</v>
      </c>
      <c r="Y42" s="77" t="s">
        <v>72</v>
      </c>
      <c r="Z42" s="77" t="s">
        <v>74</v>
      </c>
      <c r="AA42" s="77" t="s">
        <v>43</v>
      </c>
      <c r="AB42" s="34" t="s">
        <v>195</v>
      </c>
    </row>
    <row r="43" spans="1:28" x14ac:dyDescent="0.15">
      <c r="A43" s="77" t="s">
        <v>24</v>
      </c>
      <c r="B43" s="77" t="s">
        <v>191</v>
      </c>
      <c r="C43" s="77">
        <v>2020</v>
      </c>
      <c r="D43" s="139" t="s">
        <v>370</v>
      </c>
      <c r="E43" s="77" t="s">
        <v>193</v>
      </c>
      <c r="F43" s="77" t="s">
        <v>380</v>
      </c>
      <c r="G43" s="77" t="s">
        <v>25</v>
      </c>
      <c r="H43" s="77" t="s">
        <v>113</v>
      </c>
      <c r="I43" s="77" t="s">
        <v>111</v>
      </c>
      <c r="J43" s="77" t="s">
        <v>27</v>
      </c>
      <c r="K43" s="77" t="s">
        <v>112</v>
      </c>
      <c r="L43" s="77">
        <v>3</v>
      </c>
      <c r="N43" s="77">
        <v>8</v>
      </c>
      <c r="O43" s="77">
        <v>0.8</v>
      </c>
      <c r="P43" s="77">
        <v>0.75</v>
      </c>
      <c r="Q43" s="140">
        <f t="shared" si="0"/>
        <v>0.77500000000000002</v>
      </c>
      <c r="R43" s="77">
        <v>11.6</v>
      </c>
      <c r="S43" s="77">
        <v>85</v>
      </c>
      <c r="T43" s="16">
        <f t="shared" si="1"/>
        <v>36</v>
      </c>
      <c r="U43" s="77">
        <v>598</v>
      </c>
      <c r="V43" s="16">
        <f t="shared" si="2"/>
        <v>2691</v>
      </c>
      <c r="W43" s="77">
        <v>6</v>
      </c>
      <c r="X43" s="77" t="s">
        <v>35</v>
      </c>
      <c r="Y43" s="77" t="s">
        <v>72</v>
      </c>
      <c r="Z43" s="77" t="s">
        <v>74</v>
      </c>
      <c r="AA43" s="77" t="s">
        <v>43</v>
      </c>
      <c r="AB43" s="34" t="s">
        <v>195</v>
      </c>
    </row>
    <row r="44" spans="1:28" x14ac:dyDescent="0.15">
      <c r="A44" s="77" t="s">
        <v>24</v>
      </c>
      <c r="B44" s="77" t="s">
        <v>191</v>
      </c>
      <c r="C44" s="77">
        <v>2020</v>
      </c>
      <c r="D44" s="139" t="s">
        <v>370</v>
      </c>
      <c r="E44" s="77" t="s">
        <v>193</v>
      </c>
      <c r="F44" s="77" t="s">
        <v>380</v>
      </c>
      <c r="G44" s="77" t="s">
        <v>25</v>
      </c>
      <c r="H44" s="77" t="s">
        <v>113</v>
      </c>
      <c r="I44" s="77" t="s">
        <v>111</v>
      </c>
      <c r="J44" s="77" t="s">
        <v>27</v>
      </c>
      <c r="K44" s="77" t="s">
        <v>112</v>
      </c>
      <c r="L44" s="77">
        <v>1</v>
      </c>
      <c r="N44" s="77">
        <v>10</v>
      </c>
      <c r="O44" s="77">
        <v>0.75</v>
      </c>
      <c r="P44" s="77">
        <v>0.7</v>
      </c>
      <c r="Q44" s="140">
        <f t="shared" si="0"/>
        <v>0.72499999999999998</v>
      </c>
      <c r="R44" s="77">
        <v>12.4</v>
      </c>
      <c r="S44" s="77">
        <v>91</v>
      </c>
      <c r="T44" s="16">
        <f t="shared" si="1"/>
        <v>36</v>
      </c>
      <c r="U44" s="77">
        <v>398</v>
      </c>
      <c r="V44" s="16">
        <f t="shared" si="2"/>
        <v>1432.8</v>
      </c>
      <c r="W44" s="77">
        <v>3</v>
      </c>
      <c r="X44" s="77" t="s">
        <v>35</v>
      </c>
      <c r="Y44" s="77" t="s">
        <v>72</v>
      </c>
      <c r="Z44" s="77" t="s">
        <v>74</v>
      </c>
      <c r="AA44" s="77" t="s">
        <v>43</v>
      </c>
      <c r="AB44" s="34" t="s">
        <v>195</v>
      </c>
    </row>
    <row r="45" spans="1:28" x14ac:dyDescent="0.15">
      <c r="A45" s="77" t="s">
        <v>24</v>
      </c>
      <c r="B45" s="77" t="s">
        <v>191</v>
      </c>
      <c r="C45" s="77">
        <v>2020</v>
      </c>
      <c r="D45" s="139" t="s">
        <v>370</v>
      </c>
      <c r="E45" s="77" t="s">
        <v>193</v>
      </c>
      <c r="F45" s="77" t="s">
        <v>380</v>
      </c>
      <c r="G45" s="77" t="s">
        <v>25</v>
      </c>
      <c r="H45" s="77" t="s">
        <v>113</v>
      </c>
      <c r="I45" s="77" t="s">
        <v>111</v>
      </c>
      <c r="J45" s="77" t="s">
        <v>27</v>
      </c>
      <c r="K45" s="77" t="s">
        <v>112</v>
      </c>
      <c r="L45" s="77">
        <v>2</v>
      </c>
      <c r="N45" s="77">
        <v>10</v>
      </c>
      <c r="O45" s="77">
        <v>0.7</v>
      </c>
      <c r="P45" s="77">
        <v>0.8</v>
      </c>
      <c r="Q45" s="140">
        <f t="shared" si="0"/>
        <v>0.75</v>
      </c>
      <c r="R45" s="77">
        <v>11.5</v>
      </c>
      <c r="S45" s="77">
        <v>86</v>
      </c>
      <c r="T45" s="16">
        <f t="shared" si="1"/>
        <v>36</v>
      </c>
      <c r="U45" s="77">
        <v>398</v>
      </c>
      <c r="V45" s="16">
        <f t="shared" si="2"/>
        <v>1432.8</v>
      </c>
      <c r="W45" s="77">
        <v>3</v>
      </c>
      <c r="X45" s="77" t="s">
        <v>35</v>
      </c>
      <c r="Y45" s="77" t="s">
        <v>72</v>
      </c>
      <c r="Z45" s="77" t="s">
        <v>74</v>
      </c>
      <c r="AA45" s="77" t="s">
        <v>43</v>
      </c>
      <c r="AB45" s="34" t="s">
        <v>195</v>
      </c>
    </row>
    <row r="46" spans="1:28" x14ac:dyDescent="0.15">
      <c r="A46" s="77" t="s">
        <v>24</v>
      </c>
      <c r="B46" s="77" t="s">
        <v>191</v>
      </c>
      <c r="C46" s="77">
        <v>2020</v>
      </c>
      <c r="D46" s="139" t="s">
        <v>370</v>
      </c>
      <c r="E46" s="77" t="s">
        <v>193</v>
      </c>
      <c r="F46" s="77" t="s">
        <v>380</v>
      </c>
      <c r="G46" s="77" t="s">
        <v>25</v>
      </c>
      <c r="H46" s="77" t="s">
        <v>113</v>
      </c>
      <c r="I46" s="77" t="s">
        <v>111</v>
      </c>
      <c r="J46" s="77" t="s">
        <v>27</v>
      </c>
      <c r="K46" s="77" t="s">
        <v>112</v>
      </c>
      <c r="L46" s="77">
        <v>3</v>
      </c>
      <c r="N46" s="77">
        <v>10</v>
      </c>
      <c r="O46" s="77">
        <v>0.75</v>
      </c>
      <c r="P46" s="34">
        <v>0.8</v>
      </c>
      <c r="Q46" s="140">
        <f t="shared" si="0"/>
        <v>0.77500000000000002</v>
      </c>
      <c r="R46" s="77">
        <v>12.8</v>
      </c>
      <c r="S46" s="77">
        <v>95</v>
      </c>
      <c r="T46" s="16">
        <f t="shared" si="1"/>
        <v>36</v>
      </c>
      <c r="U46" s="77">
        <v>398</v>
      </c>
      <c r="V46" s="16">
        <f t="shared" si="2"/>
        <v>1432.8</v>
      </c>
      <c r="W46" s="77">
        <v>3</v>
      </c>
      <c r="X46" s="77" t="s">
        <v>35</v>
      </c>
      <c r="Y46" s="77" t="s">
        <v>72</v>
      </c>
      <c r="Z46" s="77" t="s">
        <v>74</v>
      </c>
      <c r="AA46" s="77" t="s">
        <v>43</v>
      </c>
      <c r="AB46" s="34" t="s">
        <v>195</v>
      </c>
    </row>
    <row r="47" spans="1:28" x14ac:dyDescent="0.15">
      <c r="A47" s="77" t="s">
        <v>24</v>
      </c>
      <c r="B47" s="77" t="s">
        <v>191</v>
      </c>
      <c r="C47" s="77">
        <v>2020</v>
      </c>
      <c r="D47" s="139" t="s">
        <v>370</v>
      </c>
      <c r="E47" s="77" t="s">
        <v>193</v>
      </c>
      <c r="F47" s="77" t="s">
        <v>380</v>
      </c>
      <c r="G47" s="77" t="s">
        <v>25</v>
      </c>
      <c r="H47" s="77" t="s">
        <v>166</v>
      </c>
      <c r="I47" s="77" t="s">
        <v>111</v>
      </c>
      <c r="J47" s="77" t="s">
        <v>27</v>
      </c>
      <c r="K47" s="77" t="s">
        <v>112</v>
      </c>
      <c r="L47" s="77">
        <v>1</v>
      </c>
      <c r="N47" s="77">
        <v>1</v>
      </c>
      <c r="O47" s="77">
        <v>0.8</v>
      </c>
      <c r="P47" s="77">
        <v>0.9</v>
      </c>
      <c r="Q47" s="140">
        <f t="shared" si="0"/>
        <v>0.85000000000000009</v>
      </c>
      <c r="R47" s="77">
        <v>14.9</v>
      </c>
      <c r="S47" s="77">
        <v>117</v>
      </c>
      <c r="T47" s="16">
        <f t="shared" si="1"/>
        <v>30</v>
      </c>
      <c r="U47" s="77">
        <v>98</v>
      </c>
      <c r="V47" s="16">
        <f t="shared" si="2"/>
        <v>2940</v>
      </c>
      <c r="W47" s="77">
        <v>14</v>
      </c>
      <c r="X47" s="77" t="s">
        <v>35</v>
      </c>
      <c r="Y47" s="77" t="s">
        <v>72</v>
      </c>
      <c r="Z47" s="77" t="s">
        <v>74</v>
      </c>
      <c r="AA47" s="77" t="s">
        <v>43</v>
      </c>
      <c r="AB47" s="34" t="s">
        <v>195</v>
      </c>
    </row>
    <row r="48" spans="1:28" x14ac:dyDescent="0.15">
      <c r="A48" s="77" t="s">
        <v>24</v>
      </c>
      <c r="B48" s="77" t="s">
        <v>191</v>
      </c>
      <c r="C48" s="77">
        <v>2020</v>
      </c>
      <c r="D48" s="139" t="s">
        <v>370</v>
      </c>
      <c r="E48" s="77" t="s">
        <v>193</v>
      </c>
      <c r="F48" s="77" t="s">
        <v>380</v>
      </c>
      <c r="G48" s="77" t="s">
        <v>25</v>
      </c>
      <c r="H48" s="77" t="s">
        <v>166</v>
      </c>
      <c r="I48" s="77" t="s">
        <v>111</v>
      </c>
      <c r="J48" s="77" t="s">
        <v>27</v>
      </c>
      <c r="K48" s="77" t="s">
        <v>112</v>
      </c>
      <c r="L48" s="77">
        <v>2</v>
      </c>
      <c r="N48" s="77">
        <v>1</v>
      </c>
      <c r="O48" s="77">
        <v>0.7</v>
      </c>
      <c r="P48" s="77">
        <v>0.75</v>
      </c>
      <c r="Q48" s="140">
        <f t="shared" si="0"/>
        <v>0.72499999999999998</v>
      </c>
      <c r="R48" s="77">
        <v>12.9</v>
      </c>
      <c r="S48" s="77">
        <v>121</v>
      </c>
      <c r="T48" s="16">
        <f t="shared" si="1"/>
        <v>27</v>
      </c>
      <c r="U48" s="77">
        <v>98</v>
      </c>
      <c r="V48" s="16">
        <f t="shared" si="2"/>
        <v>2646</v>
      </c>
      <c r="W48" s="77">
        <v>14</v>
      </c>
      <c r="X48" s="77" t="s">
        <v>35</v>
      </c>
      <c r="Y48" s="77" t="s">
        <v>72</v>
      </c>
      <c r="Z48" s="77" t="s">
        <v>74</v>
      </c>
      <c r="AA48" s="77" t="s">
        <v>43</v>
      </c>
      <c r="AB48" s="34" t="s">
        <v>195</v>
      </c>
    </row>
    <row r="49" spans="1:28" x14ac:dyDescent="0.15">
      <c r="A49" s="77" t="s">
        <v>24</v>
      </c>
      <c r="B49" s="77" t="s">
        <v>191</v>
      </c>
      <c r="C49" s="77">
        <v>2020</v>
      </c>
      <c r="D49" s="139" t="s">
        <v>370</v>
      </c>
      <c r="E49" s="77" t="s">
        <v>193</v>
      </c>
      <c r="F49" s="77" t="s">
        <v>380</v>
      </c>
      <c r="G49" s="77" t="s">
        <v>25</v>
      </c>
      <c r="H49" s="77" t="s">
        <v>166</v>
      </c>
      <c r="I49" s="77" t="s">
        <v>275</v>
      </c>
      <c r="J49" s="77" t="s">
        <v>27</v>
      </c>
      <c r="K49" s="77" t="s">
        <v>112</v>
      </c>
      <c r="L49" s="77">
        <v>3</v>
      </c>
      <c r="N49" s="77">
        <v>1</v>
      </c>
      <c r="O49" s="77">
        <v>0.6</v>
      </c>
      <c r="P49" s="34">
        <v>0.7</v>
      </c>
      <c r="Q49" s="140">
        <f t="shared" si="0"/>
        <v>0.64999999999999991</v>
      </c>
      <c r="R49" s="77">
        <v>17.5</v>
      </c>
      <c r="S49" s="77">
        <v>119</v>
      </c>
      <c r="T49" s="16">
        <f t="shared" si="1"/>
        <v>30</v>
      </c>
      <c r="U49" s="77">
        <v>98</v>
      </c>
      <c r="V49" s="16">
        <f t="shared" si="2"/>
        <v>2940</v>
      </c>
      <c r="W49" s="77">
        <v>14</v>
      </c>
      <c r="X49" s="77" t="s">
        <v>35</v>
      </c>
      <c r="Y49" s="77" t="s">
        <v>72</v>
      </c>
      <c r="Z49" s="77" t="s">
        <v>74</v>
      </c>
      <c r="AA49" s="77" t="s">
        <v>43</v>
      </c>
      <c r="AB49" s="34" t="s">
        <v>195</v>
      </c>
    </row>
    <row r="50" spans="1:28" x14ac:dyDescent="0.15">
      <c r="A50" s="77" t="s">
        <v>24</v>
      </c>
      <c r="B50" s="77" t="s">
        <v>191</v>
      </c>
      <c r="C50" s="77">
        <v>2020</v>
      </c>
      <c r="D50" s="139" t="s">
        <v>370</v>
      </c>
      <c r="E50" s="77" t="s">
        <v>193</v>
      </c>
      <c r="F50" s="77" t="s">
        <v>380</v>
      </c>
      <c r="G50" s="77" t="s">
        <v>25</v>
      </c>
      <c r="H50" s="77" t="s">
        <v>166</v>
      </c>
      <c r="I50" s="77" t="s">
        <v>111</v>
      </c>
      <c r="J50" s="77" t="s">
        <v>27</v>
      </c>
      <c r="K50" s="77" t="s">
        <v>112</v>
      </c>
      <c r="L50" s="77">
        <v>1</v>
      </c>
      <c r="N50" s="77">
        <v>4</v>
      </c>
      <c r="O50" s="77">
        <v>1</v>
      </c>
      <c r="P50" s="77">
        <v>0.8</v>
      </c>
      <c r="Q50" s="140">
        <f t="shared" si="0"/>
        <v>0.9</v>
      </c>
      <c r="R50" s="77">
        <v>12</v>
      </c>
      <c r="S50" s="77">
        <v>120</v>
      </c>
      <c r="T50" s="16">
        <f t="shared" si="1"/>
        <v>30</v>
      </c>
      <c r="U50" s="77">
        <v>498</v>
      </c>
      <c r="V50" s="16">
        <f t="shared" si="2"/>
        <v>3735</v>
      </c>
      <c r="W50" s="77">
        <v>1</v>
      </c>
      <c r="X50" s="77" t="s">
        <v>35</v>
      </c>
      <c r="Y50" s="77" t="s">
        <v>72</v>
      </c>
      <c r="Z50" s="77" t="s">
        <v>74</v>
      </c>
      <c r="AA50" s="77" t="s">
        <v>43</v>
      </c>
      <c r="AB50" s="34" t="s">
        <v>195</v>
      </c>
    </row>
    <row r="51" spans="1:28" x14ac:dyDescent="0.15">
      <c r="A51" s="77" t="s">
        <v>24</v>
      </c>
      <c r="B51" s="77" t="s">
        <v>191</v>
      </c>
      <c r="C51" s="77">
        <v>2020</v>
      </c>
      <c r="D51" s="139" t="s">
        <v>370</v>
      </c>
      <c r="E51" s="77" t="s">
        <v>193</v>
      </c>
      <c r="F51" s="77" t="s">
        <v>380</v>
      </c>
      <c r="G51" s="77" t="s">
        <v>25</v>
      </c>
      <c r="H51" s="77" t="s">
        <v>166</v>
      </c>
      <c r="I51" s="77" t="s">
        <v>111</v>
      </c>
      <c r="J51" s="77" t="s">
        <v>27</v>
      </c>
      <c r="K51" s="77" t="s">
        <v>112</v>
      </c>
      <c r="L51" s="77">
        <v>2</v>
      </c>
      <c r="N51" s="77">
        <v>4</v>
      </c>
      <c r="O51" s="77">
        <v>1</v>
      </c>
      <c r="P51" s="77">
        <v>1</v>
      </c>
      <c r="Q51" s="140">
        <f t="shared" si="0"/>
        <v>1</v>
      </c>
      <c r="R51" s="77">
        <v>11.9</v>
      </c>
      <c r="S51" s="77">
        <v>123</v>
      </c>
      <c r="T51" s="16">
        <f t="shared" si="1"/>
        <v>27</v>
      </c>
      <c r="U51" s="77">
        <v>498</v>
      </c>
      <c r="V51" s="16">
        <f t="shared" si="2"/>
        <v>3361.5</v>
      </c>
      <c r="W51" s="77">
        <v>1</v>
      </c>
      <c r="X51" s="77" t="s">
        <v>35</v>
      </c>
      <c r="Y51" s="77" t="s">
        <v>72</v>
      </c>
      <c r="Z51" s="77" t="s">
        <v>74</v>
      </c>
      <c r="AA51" s="77" t="s">
        <v>43</v>
      </c>
      <c r="AB51" s="34" t="s">
        <v>195</v>
      </c>
    </row>
    <row r="52" spans="1:28" x14ac:dyDescent="0.15">
      <c r="A52" s="77" t="s">
        <v>24</v>
      </c>
      <c r="B52" s="77" t="s">
        <v>191</v>
      </c>
      <c r="C52" s="77">
        <v>2020</v>
      </c>
      <c r="D52" s="139" t="s">
        <v>370</v>
      </c>
      <c r="E52" s="77" t="s">
        <v>193</v>
      </c>
      <c r="F52" s="77" t="s">
        <v>380</v>
      </c>
      <c r="G52" s="77" t="s">
        <v>25</v>
      </c>
      <c r="H52" s="77" t="s">
        <v>166</v>
      </c>
      <c r="I52" s="77" t="s">
        <v>111</v>
      </c>
      <c r="J52" s="77" t="s">
        <v>27</v>
      </c>
      <c r="K52" s="77" t="s">
        <v>112</v>
      </c>
      <c r="L52" s="77">
        <v>3</v>
      </c>
      <c r="N52" s="77">
        <v>4</v>
      </c>
      <c r="O52" s="77">
        <v>1.1000000000000001</v>
      </c>
      <c r="P52" s="77">
        <v>0.9</v>
      </c>
      <c r="Q52" s="140">
        <f t="shared" si="0"/>
        <v>1</v>
      </c>
      <c r="R52" s="77">
        <v>11.4</v>
      </c>
      <c r="S52" s="77">
        <v>114</v>
      </c>
      <c r="T52" s="16">
        <f t="shared" si="1"/>
        <v>30</v>
      </c>
      <c r="U52" s="77">
        <v>498</v>
      </c>
      <c r="V52" s="16">
        <f t="shared" si="2"/>
        <v>3735</v>
      </c>
      <c r="W52" s="77">
        <v>1</v>
      </c>
      <c r="X52" s="77" t="s">
        <v>35</v>
      </c>
      <c r="Y52" s="77" t="s">
        <v>72</v>
      </c>
      <c r="Z52" s="77" t="s">
        <v>74</v>
      </c>
      <c r="AA52" s="77" t="s">
        <v>43</v>
      </c>
      <c r="AB52" s="34" t="s">
        <v>195</v>
      </c>
    </row>
    <row r="53" spans="1:28" x14ac:dyDescent="0.15">
      <c r="A53" s="77" t="s">
        <v>24</v>
      </c>
      <c r="B53" s="77" t="s">
        <v>191</v>
      </c>
      <c r="C53" s="77">
        <v>2020</v>
      </c>
      <c r="D53" s="139" t="s">
        <v>370</v>
      </c>
      <c r="E53" s="77" t="s">
        <v>193</v>
      </c>
      <c r="F53" s="77" t="s">
        <v>380</v>
      </c>
      <c r="G53" s="77" t="s">
        <v>25</v>
      </c>
      <c r="H53" s="77" t="s">
        <v>166</v>
      </c>
      <c r="I53" s="77" t="s">
        <v>111</v>
      </c>
      <c r="J53" s="77" t="s">
        <v>27</v>
      </c>
      <c r="K53" s="77" t="s">
        <v>112</v>
      </c>
      <c r="L53" s="77">
        <v>1</v>
      </c>
      <c r="N53" s="77">
        <v>8</v>
      </c>
      <c r="O53" s="77">
        <v>0.8</v>
      </c>
      <c r="P53" s="77">
        <v>0.8</v>
      </c>
      <c r="Q53" s="140">
        <f t="shared" si="0"/>
        <v>0.8</v>
      </c>
      <c r="R53" s="77">
        <v>16.8</v>
      </c>
      <c r="S53" s="77">
        <v>83</v>
      </c>
      <c r="T53" s="16">
        <f t="shared" si="1"/>
        <v>39</v>
      </c>
      <c r="U53" s="77">
        <v>680</v>
      </c>
      <c r="V53" s="16">
        <f t="shared" si="2"/>
        <v>3315</v>
      </c>
      <c r="W53" s="77">
        <v>3</v>
      </c>
      <c r="X53" s="77" t="s">
        <v>35</v>
      </c>
      <c r="Y53" s="77" t="s">
        <v>72</v>
      </c>
      <c r="Z53" s="77" t="s">
        <v>74</v>
      </c>
      <c r="AA53" s="77" t="s">
        <v>43</v>
      </c>
      <c r="AB53" s="34" t="s">
        <v>195</v>
      </c>
    </row>
    <row r="54" spans="1:28" x14ac:dyDescent="0.15">
      <c r="A54" s="77" t="s">
        <v>24</v>
      </c>
      <c r="B54" s="77" t="s">
        <v>191</v>
      </c>
      <c r="C54" s="77">
        <v>2020</v>
      </c>
      <c r="D54" s="139" t="s">
        <v>370</v>
      </c>
      <c r="E54" s="77" t="s">
        <v>193</v>
      </c>
      <c r="F54" s="77" t="s">
        <v>380</v>
      </c>
      <c r="G54" s="77" t="s">
        <v>25</v>
      </c>
      <c r="H54" s="77" t="s">
        <v>166</v>
      </c>
      <c r="I54" s="77" t="s">
        <v>111</v>
      </c>
      <c r="J54" s="77" t="s">
        <v>27</v>
      </c>
      <c r="K54" s="77" t="s">
        <v>112</v>
      </c>
      <c r="L54" s="77">
        <v>2</v>
      </c>
      <c r="N54" s="77">
        <v>8</v>
      </c>
      <c r="O54" s="77">
        <v>0.9</v>
      </c>
      <c r="P54" s="77">
        <v>0.8</v>
      </c>
      <c r="Q54" s="140">
        <f t="shared" si="0"/>
        <v>0.85000000000000009</v>
      </c>
      <c r="R54" s="77">
        <v>12.3</v>
      </c>
      <c r="S54" s="77">
        <v>88</v>
      </c>
      <c r="T54" s="16">
        <f t="shared" si="1"/>
        <v>36</v>
      </c>
      <c r="U54" s="77">
        <v>680</v>
      </c>
      <c r="V54" s="16">
        <f t="shared" si="2"/>
        <v>3060</v>
      </c>
      <c r="W54" s="77">
        <v>3</v>
      </c>
      <c r="X54" s="77" t="s">
        <v>35</v>
      </c>
      <c r="Y54" s="77" t="s">
        <v>72</v>
      </c>
      <c r="Z54" s="77" t="s">
        <v>74</v>
      </c>
      <c r="AA54" s="77" t="s">
        <v>43</v>
      </c>
      <c r="AB54" s="34" t="s">
        <v>195</v>
      </c>
    </row>
    <row r="55" spans="1:28" x14ac:dyDescent="0.15">
      <c r="A55" s="77" t="s">
        <v>24</v>
      </c>
      <c r="B55" s="77" t="s">
        <v>191</v>
      </c>
      <c r="C55" s="77">
        <v>2020</v>
      </c>
      <c r="D55" s="139" t="s">
        <v>370</v>
      </c>
      <c r="E55" s="77" t="s">
        <v>193</v>
      </c>
      <c r="F55" s="77" t="s">
        <v>380</v>
      </c>
      <c r="G55" s="77" t="s">
        <v>25</v>
      </c>
      <c r="H55" s="77" t="s">
        <v>166</v>
      </c>
      <c r="I55" s="77" t="s">
        <v>111</v>
      </c>
      <c r="J55" s="77" t="s">
        <v>27</v>
      </c>
      <c r="K55" s="77" t="s">
        <v>112</v>
      </c>
      <c r="L55" s="77">
        <v>3</v>
      </c>
      <c r="N55" s="77">
        <v>8</v>
      </c>
      <c r="O55" s="77">
        <v>0.5</v>
      </c>
      <c r="P55" s="77">
        <v>0.5</v>
      </c>
      <c r="Q55" s="140">
        <f t="shared" si="0"/>
        <v>0.5</v>
      </c>
      <c r="R55" s="77">
        <v>16.3</v>
      </c>
      <c r="S55" s="77">
        <v>118</v>
      </c>
      <c r="T55" s="16">
        <f t="shared" si="1"/>
        <v>30</v>
      </c>
      <c r="U55" s="77">
        <v>680</v>
      </c>
      <c r="V55" s="16">
        <f t="shared" si="2"/>
        <v>2550</v>
      </c>
      <c r="W55" s="77">
        <v>3</v>
      </c>
      <c r="X55" s="77" t="s">
        <v>35</v>
      </c>
      <c r="Y55" s="77" t="s">
        <v>72</v>
      </c>
      <c r="Z55" s="77" t="s">
        <v>74</v>
      </c>
      <c r="AA55" s="77" t="s">
        <v>43</v>
      </c>
      <c r="AB55" s="34" t="s">
        <v>195</v>
      </c>
    </row>
    <row r="56" spans="1:28" x14ac:dyDescent="0.15">
      <c r="A56" s="77" t="s">
        <v>24</v>
      </c>
      <c r="B56" s="77" t="s">
        <v>191</v>
      </c>
      <c r="C56" s="77">
        <v>2020</v>
      </c>
      <c r="D56" s="139" t="s">
        <v>370</v>
      </c>
      <c r="E56" s="77" t="s">
        <v>376</v>
      </c>
      <c r="F56" s="77" t="s">
        <v>377</v>
      </c>
      <c r="G56" s="77" t="s">
        <v>25</v>
      </c>
      <c r="H56" s="77" t="s">
        <v>113</v>
      </c>
      <c r="I56" s="77" t="s">
        <v>111</v>
      </c>
      <c r="J56" s="77" t="s">
        <v>27</v>
      </c>
      <c r="K56" s="77" t="s">
        <v>112</v>
      </c>
      <c r="L56" s="77">
        <v>1</v>
      </c>
      <c r="N56" s="77">
        <v>1</v>
      </c>
      <c r="O56" s="77">
        <v>0.5</v>
      </c>
      <c r="P56" s="77">
        <v>0.5</v>
      </c>
      <c r="Q56" s="140">
        <f t="shared" si="0"/>
        <v>0.5</v>
      </c>
      <c r="R56" s="77">
        <v>11.5</v>
      </c>
      <c r="S56" s="77">
        <v>107</v>
      </c>
      <c r="T56" s="16">
        <f t="shared" si="1"/>
        <v>33</v>
      </c>
      <c r="U56" s="77">
        <v>100</v>
      </c>
      <c r="V56" s="16">
        <f t="shared" si="2"/>
        <v>3300</v>
      </c>
      <c r="W56" s="77">
        <v>1</v>
      </c>
      <c r="X56" s="77" t="s">
        <v>35</v>
      </c>
      <c r="Y56" s="77" t="s">
        <v>72</v>
      </c>
      <c r="Z56" s="77" t="s">
        <v>36</v>
      </c>
      <c r="AA56" s="77" t="s">
        <v>43</v>
      </c>
      <c r="AB56" s="34" t="s">
        <v>195</v>
      </c>
    </row>
    <row r="57" spans="1:28" x14ac:dyDescent="0.15">
      <c r="A57" s="77" t="s">
        <v>24</v>
      </c>
      <c r="B57" s="77" t="s">
        <v>191</v>
      </c>
      <c r="C57" s="77">
        <v>2020</v>
      </c>
      <c r="D57" s="139" t="s">
        <v>370</v>
      </c>
      <c r="E57" s="77" t="s">
        <v>376</v>
      </c>
      <c r="F57" s="77" t="s">
        <v>377</v>
      </c>
      <c r="G57" s="77" t="s">
        <v>25</v>
      </c>
      <c r="H57" s="77" t="s">
        <v>113</v>
      </c>
      <c r="I57" s="77" t="s">
        <v>111</v>
      </c>
      <c r="J57" s="77" t="s">
        <v>27</v>
      </c>
      <c r="K57" s="77" t="s">
        <v>112</v>
      </c>
      <c r="L57" s="77">
        <v>2</v>
      </c>
      <c r="N57" s="77">
        <v>1</v>
      </c>
      <c r="O57" s="77">
        <v>0.8</v>
      </c>
      <c r="P57" s="77">
        <v>0.8</v>
      </c>
      <c r="Q57" s="140">
        <f t="shared" si="0"/>
        <v>0.8</v>
      </c>
      <c r="R57" s="77">
        <v>10.3</v>
      </c>
      <c r="S57" s="77">
        <v>110</v>
      </c>
      <c r="T57" s="16">
        <f t="shared" si="1"/>
        <v>33</v>
      </c>
      <c r="U57" s="77">
        <v>100</v>
      </c>
      <c r="V57" s="16">
        <f t="shared" si="2"/>
        <v>3300</v>
      </c>
      <c r="W57" s="77">
        <v>1</v>
      </c>
      <c r="X57" s="77" t="s">
        <v>35</v>
      </c>
      <c r="Y57" s="77" t="s">
        <v>72</v>
      </c>
      <c r="Z57" s="77" t="s">
        <v>36</v>
      </c>
      <c r="AA57" s="77" t="s">
        <v>43</v>
      </c>
      <c r="AB57" s="34" t="s">
        <v>195</v>
      </c>
    </row>
    <row r="58" spans="1:28" x14ac:dyDescent="0.15">
      <c r="A58" s="77" t="s">
        <v>24</v>
      </c>
      <c r="B58" s="77" t="s">
        <v>191</v>
      </c>
      <c r="C58" s="77">
        <v>2020</v>
      </c>
      <c r="D58" s="139" t="s">
        <v>370</v>
      </c>
      <c r="E58" s="77" t="s">
        <v>376</v>
      </c>
      <c r="F58" s="77" t="s">
        <v>377</v>
      </c>
      <c r="G58" s="77" t="s">
        <v>25</v>
      </c>
      <c r="H58" s="77" t="s">
        <v>113</v>
      </c>
      <c r="I58" s="77" t="s">
        <v>111</v>
      </c>
      <c r="J58" s="77" t="s">
        <v>27</v>
      </c>
      <c r="K58" s="77" t="s">
        <v>112</v>
      </c>
      <c r="L58" s="77">
        <v>3</v>
      </c>
      <c r="N58" s="77">
        <v>1</v>
      </c>
      <c r="O58" s="77">
        <v>0.5</v>
      </c>
      <c r="P58" s="77">
        <v>0.5</v>
      </c>
      <c r="Q58" s="140">
        <f t="shared" si="0"/>
        <v>0.5</v>
      </c>
      <c r="R58" s="77">
        <v>10</v>
      </c>
      <c r="S58" s="77">
        <v>114</v>
      </c>
      <c r="T58" s="16">
        <f t="shared" si="1"/>
        <v>30</v>
      </c>
      <c r="U58" s="77">
        <v>100</v>
      </c>
      <c r="V58" s="16">
        <f t="shared" si="2"/>
        <v>3000</v>
      </c>
      <c r="W58" s="77">
        <v>1</v>
      </c>
      <c r="X58" s="77" t="s">
        <v>35</v>
      </c>
      <c r="Y58" s="77" t="s">
        <v>72</v>
      </c>
      <c r="Z58" s="77" t="s">
        <v>36</v>
      </c>
      <c r="AA58" s="77" t="s">
        <v>43</v>
      </c>
      <c r="AB58" s="34" t="s">
        <v>195</v>
      </c>
    </row>
    <row r="59" spans="1:28" x14ac:dyDescent="0.15">
      <c r="A59" s="77" t="s">
        <v>24</v>
      </c>
      <c r="B59" s="77" t="s">
        <v>191</v>
      </c>
      <c r="C59" s="77">
        <v>2020</v>
      </c>
      <c r="D59" s="139" t="s">
        <v>370</v>
      </c>
      <c r="E59" s="77" t="s">
        <v>376</v>
      </c>
      <c r="F59" s="77" t="s">
        <v>377</v>
      </c>
      <c r="G59" s="77" t="s">
        <v>25</v>
      </c>
      <c r="H59" s="77" t="s">
        <v>113</v>
      </c>
      <c r="I59" s="77" t="s">
        <v>111</v>
      </c>
      <c r="J59" s="77" t="s">
        <v>27</v>
      </c>
      <c r="K59" s="77" t="s">
        <v>112</v>
      </c>
      <c r="L59" s="77">
        <v>1</v>
      </c>
      <c r="N59" s="77">
        <v>4</v>
      </c>
      <c r="O59" s="77">
        <v>0.5</v>
      </c>
      <c r="P59" s="77">
        <v>0.5</v>
      </c>
      <c r="Q59" s="140">
        <f t="shared" si="0"/>
        <v>0.5</v>
      </c>
      <c r="R59" s="77">
        <v>10</v>
      </c>
      <c r="S59" s="77">
        <v>89</v>
      </c>
      <c r="T59" s="16">
        <f t="shared" si="1"/>
        <v>36</v>
      </c>
      <c r="U59" s="77">
        <v>298</v>
      </c>
      <c r="V59" s="16">
        <f t="shared" si="2"/>
        <v>2682</v>
      </c>
      <c r="W59" s="77">
        <v>2</v>
      </c>
      <c r="X59" s="77" t="s">
        <v>35</v>
      </c>
      <c r="Y59" s="77" t="s">
        <v>72</v>
      </c>
      <c r="Z59" s="77" t="s">
        <v>36</v>
      </c>
      <c r="AA59" s="77" t="s">
        <v>43</v>
      </c>
      <c r="AB59" s="34" t="s">
        <v>195</v>
      </c>
    </row>
    <row r="60" spans="1:28" x14ac:dyDescent="0.15">
      <c r="A60" s="77" t="s">
        <v>24</v>
      </c>
      <c r="B60" s="77" t="s">
        <v>191</v>
      </c>
      <c r="C60" s="77">
        <v>2020</v>
      </c>
      <c r="D60" s="139" t="s">
        <v>370</v>
      </c>
      <c r="E60" s="77" t="s">
        <v>376</v>
      </c>
      <c r="F60" s="77" t="s">
        <v>377</v>
      </c>
      <c r="G60" s="77" t="s">
        <v>25</v>
      </c>
      <c r="H60" s="77" t="s">
        <v>113</v>
      </c>
      <c r="I60" s="77" t="s">
        <v>111</v>
      </c>
      <c r="J60" s="77" t="s">
        <v>27</v>
      </c>
      <c r="K60" s="77" t="s">
        <v>112</v>
      </c>
      <c r="L60" s="77">
        <v>2</v>
      </c>
      <c r="N60" s="77">
        <v>4</v>
      </c>
      <c r="O60" s="77">
        <v>0.8</v>
      </c>
      <c r="P60" s="77">
        <v>0.9</v>
      </c>
      <c r="Q60" s="140">
        <f t="shared" si="0"/>
        <v>0.85000000000000009</v>
      </c>
      <c r="R60" s="77">
        <v>10.8</v>
      </c>
      <c r="S60" s="77">
        <v>101</v>
      </c>
      <c r="T60" s="16">
        <f t="shared" si="1"/>
        <v>33</v>
      </c>
      <c r="U60" s="77">
        <v>298</v>
      </c>
      <c r="V60" s="16">
        <f t="shared" si="2"/>
        <v>2458.5</v>
      </c>
      <c r="W60" s="77">
        <v>2</v>
      </c>
      <c r="X60" s="77" t="s">
        <v>35</v>
      </c>
      <c r="Y60" s="77" t="s">
        <v>72</v>
      </c>
      <c r="Z60" s="77" t="s">
        <v>36</v>
      </c>
      <c r="AA60" s="77" t="s">
        <v>43</v>
      </c>
      <c r="AB60" s="34" t="s">
        <v>195</v>
      </c>
    </row>
    <row r="61" spans="1:28" x14ac:dyDescent="0.15">
      <c r="A61" s="77" t="s">
        <v>24</v>
      </c>
      <c r="B61" s="77" t="s">
        <v>191</v>
      </c>
      <c r="C61" s="77">
        <v>2020</v>
      </c>
      <c r="D61" s="139" t="s">
        <v>370</v>
      </c>
      <c r="E61" s="77" t="s">
        <v>376</v>
      </c>
      <c r="F61" s="77" t="s">
        <v>377</v>
      </c>
      <c r="G61" s="77" t="s">
        <v>25</v>
      </c>
      <c r="H61" s="77" t="s">
        <v>113</v>
      </c>
      <c r="I61" s="77" t="s">
        <v>111</v>
      </c>
      <c r="J61" s="77" t="s">
        <v>27</v>
      </c>
      <c r="K61" s="77" t="s">
        <v>112</v>
      </c>
      <c r="L61" s="77">
        <v>3</v>
      </c>
      <c r="N61" s="77">
        <v>4</v>
      </c>
      <c r="O61" s="77">
        <v>0.7</v>
      </c>
      <c r="P61" s="77">
        <v>0.8</v>
      </c>
      <c r="Q61" s="140">
        <f t="shared" si="0"/>
        <v>0.75</v>
      </c>
      <c r="R61" s="77">
        <v>11.4</v>
      </c>
      <c r="S61" s="77">
        <v>96</v>
      </c>
      <c r="T61" s="16">
        <f t="shared" si="1"/>
        <v>36</v>
      </c>
      <c r="U61" s="77">
        <v>298</v>
      </c>
      <c r="V61" s="16">
        <f t="shared" si="2"/>
        <v>2682</v>
      </c>
      <c r="W61" s="77">
        <v>2</v>
      </c>
      <c r="X61" s="77" t="s">
        <v>35</v>
      </c>
      <c r="Y61" s="77" t="s">
        <v>72</v>
      </c>
      <c r="Z61" s="77" t="s">
        <v>36</v>
      </c>
      <c r="AA61" s="77" t="s">
        <v>43</v>
      </c>
      <c r="AB61" s="34" t="s">
        <v>195</v>
      </c>
    </row>
    <row r="62" spans="1:28" x14ac:dyDescent="0.15">
      <c r="A62" s="77" t="s">
        <v>24</v>
      </c>
      <c r="B62" s="77" t="s">
        <v>191</v>
      </c>
      <c r="C62" s="77">
        <v>2020</v>
      </c>
      <c r="D62" s="139" t="s">
        <v>370</v>
      </c>
      <c r="E62" s="77" t="s">
        <v>376</v>
      </c>
      <c r="F62" s="77" t="s">
        <v>377</v>
      </c>
      <c r="G62" s="77" t="s">
        <v>25</v>
      </c>
      <c r="H62" s="77" t="s">
        <v>166</v>
      </c>
      <c r="I62" s="77" t="s">
        <v>111</v>
      </c>
      <c r="J62" s="77" t="s">
        <v>27</v>
      </c>
      <c r="K62" s="77" t="s">
        <v>112</v>
      </c>
      <c r="L62" s="77">
        <v>1</v>
      </c>
      <c r="N62" s="77">
        <v>1</v>
      </c>
      <c r="O62" s="77">
        <v>0.8</v>
      </c>
      <c r="P62" s="77">
        <v>0.9</v>
      </c>
      <c r="Q62" s="140">
        <f t="shared" si="0"/>
        <v>0.85000000000000009</v>
      </c>
      <c r="R62" s="77">
        <v>17.2</v>
      </c>
      <c r="S62" s="77">
        <v>127</v>
      </c>
      <c r="T62" s="16">
        <f t="shared" si="1"/>
        <v>27</v>
      </c>
      <c r="U62" s="77">
        <v>100</v>
      </c>
      <c r="V62" s="16">
        <f t="shared" si="2"/>
        <v>2700</v>
      </c>
      <c r="W62" s="77">
        <v>1</v>
      </c>
      <c r="X62" s="77" t="s">
        <v>35</v>
      </c>
      <c r="Y62" s="77" t="s">
        <v>72</v>
      </c>
      <c r="Z62" s="77" t="s">
        <v>36</v>
      </c>
      <c r="AA62" s="77" t="s">
        <v>43</v>
      </c>
      <c r="AB62" s="34" t="s">
        <v>195</v>
      </c>
    </row>
    <row r="63" spans="1:28" x14ac:dyDescent="0.15">
      <c r="A63" s="77" t="s">
        <v>24</v>
      </c>
      <c r="B63" s="77" t="s">
        <v>191</v>
      </c>
      <c r="C63" s="77">
        <v>2020</v>
      </c>
      <c r="D63" s="139" t="s">
        <v>370</v>
      </c>
      <c r="E63" s="77" t="s">
        <v>376</v>
      </c>
      <c r="F63" s="77" t="s">
        <v>377</v>
      </c>
      <c r="G63" s="77" t="s">
        <v>25</v>
      </c>
      <c r="H63" s="77" t="s">
        <v>166</v>
      </c>
      <c r="I63" s="77" t="s">
        <v>111</v>
      </c>
      <c r="J63" s="77" t="s">
        <v>27</v>
      </c>
      <c r="K63" s="77" t="s">
        <v>112</v>
      </c>
      <c r="L63" s="77">
        <v>2</v>
      </c>
      <c r="N63" s="77">
        <v>1</v>
      </c>
      <c r="O63" s="77">
        <v>0.8</v>
      </c>
      <c r="P63" s="77">
        <v>0.8</v>
      </c>
      <c r="Q63" s="140">
        <f t="shared" si="0"/>
        <v>0.8</v>
      </c>
      <c r="R63" s="77">
        <v>13.6</v>
      </c>
      <c r="S63" s="77">
        <v>121</v>
      </c>
      <c r="T63" s="16">
        <f t="shared" si="1"/>
        <v>27</v>
      </c>
      <c r="U63" s="77">
        <v>100</v>
      </c>
      <c r="V63" s="16">
        <f t="shared" si="2"/>
        <v>2700</v>
      </c>
      <c r="W63" s="77">
        <v>1</v>
      </c>
      <c r="X63" s="77" t="s">
        <v>35</v>
      </c>
      <c r="Y63" s="77" t="s">
        <v>72</v>
      </c>
      <c r="Z63" s="77" t="s">
        <v>36</v>
      </c>
      <c r="AA63" s="77" t="s">
        <v>43</v>
      </c>
      <c r="AB63" s="34" t="s">
        <v>195</v>
      </c>
    </row>
    <row r="64" spans="1:28" x14ac:dyDescent="0.15">
      <c r="A64" s="77" t="s">
        <v>24</v>
      </c>
      <c r="B64" s="77" t="s">
        <v>191</v>
      </c>
      <c r="C64" s="77">
        <v>2020</v>
      </c>
      <c r="D64" s="139" t="s">
        <v>370</v>
      </c>
      <c r="E64" s="77" t="s">
        <v>376</v>
      </c>
      <c r="F64" s="77" t="s">
        <v>377</v>
      </c>
      <c r="G64" s="77" t="s">
        <v>25</v>
      </c>
      <c r="H64" s="77" t="s">
        <v>166</v>
      </c>
      <c r="I64" s="77" t="s">
        <v>111</v>
      </c>
      <c r="J64" s="77" t="s">
        <v>27</v>
      </c>
      <c r="K64" s="77" t="s">
        <v>112</v>
      </c>
      <c r="L64" s="77">
        <v>3</v>
      </c>
      <c r="N64" s="77">
        <v>1</v>
      </c>
      <c r="O64" s="77">
        <v>0.6</v>
      </c>
      <c r="P64" s="77">
        <v>0.7</v>
      </c>
      <c r="Q64" s="140">
        <f t="shared" si="0"/>
        <v>0.64999999999999991</v>
      </c>
      <c r="R64" s="77">
        <v>19.2</v>
      </c>
      <c r="S64" s="77">
        <v>127</v>
      </c>
      <c r="T64" s="16">
        <f t="shared" si="1"/>
        <v>27</v>
      </c>
      <c r="U64" s="77">
        <v>100</v>
      </c>
      <c r="V64" s="16">
        <f t="shared" si="2"/>
        <v>2700</v>
      </c>
      <c r="W64" s="77">
        <v>1</v>
      </c>
      <c r="X64" s="77" t="s">
        <v>35</v>
      </c>
      <c r="Y64" s="77" t="s">
        <v>72</v>
      </c>
      <c r="Z64" s="77" t="s">
        <v>36</v>
      </c>
      <c r="AA64" s="77" t="s">
        <v>43</v>
      </c>
      <c r="AB64" s="34" t="s">
        <v>195</v>
      </c>
    </row>
    <row r="65" spans="1:28" x14ac:dyDescent="0.15">
      <c r="A65" s="77" t="s">
        <v>24</v>
      </c>
      <c r="B65" s="77" t="s">
        <v>191</v>
      </c>
      <c r="C65" s="77">
        <v>2020</v>
      </c>
      <c r="D65" s="139" t="s">
        <v>370</v>
      </c>
      <c r="E65" s="77" t="s">
        <v>376</v>
      </c>
      <c r="F65" s="77" t="s">
        <v>377</v>
      </c>
      <c r="G65" s="77" t="s">
        <v>25</v>
      </c>
      <c r="H65" s="77" t="s">
        <v>166</v>
      </c>
      <c r="I65" s="77" t="s">
        <v>111</v>
      </c>
      <c r="J65" s="77" t="s">
        <v>27</v>
      </c>
      <c r="K65" s="77" t="s">
        <v>112</v>
      </c>
      <c r="L65" s="77">
        <v>1</v>
      </c>
      <c r="N65" s="77">
        <v>4</v>
      </c>
      <c r="O65" s="77">
        <v>1</v>
      </c>
      <c r="P65" s="77">
        <v>0.8</v>
      </c>
      <c r="Q65" s="140">
        <f t="shared" si="0"/>
        <v>0.9</v>
      </c>
      <c r="R65" s="77">
        <v>16.2</v>
      </c>
      <c r="S65" s="77">
        <v>104</v>
      </c>
      <c r="T65" s="16">
        <f t="shared" si="1"/>
        <v>33</v>
      </c>
      <c r="U65" s="77">
        <v>498</v>
      </c>
      <c r="V65" s="16">
        <f t="shared" si="2"/>
        <v>4108.5</v>
      </c>
      <c r="W65" s="77">
        <v>1</v>
      </c>
      <c r="X65" s="77" t="s">
        <v>35</v>
      </c>
      <c r="Y65" s="77" t="s">
        <v>72</v>
      </c>
      <c r="Z65" s="77" t="s">
        <v>36</v>
      </c>
      <c r="AA65" s="77" t="s">
        <v>43</v>
      </c>
      <c r="AB65" s="34" t="s">
        <v>195</v>
      </c>
    </row>
    <row r="66" spans="1:28" x14ac:dyDescent="0.15">
      <c r="A66" s="77" t="s">
        <v>24</v>
      </c>
      <c r="B66" s="77" t="s">
        <v>191</v>
      </c>
      <c r="C66" s="77">
        <v>2020</v>
      </c>
      <c r="D66" s="139" t="s">
        <v>370</v>
      </c>
      <c r="E66" s="77" t="s">
        <v>376</v>
      </c>
      <c r="F66" s="77" t="s">
        <v>377</v>
      </c>
      <c r="G66" s="77" t="s">
        <v>25</v>
      </c>
      <c r="H66" s="77" t="s">
        <v>166</v>
      </c>
      <c r="I66" s="77" t="s">
        <v>111</v>
      </c>
      <c r="J66" s="77" t="s">
        <v>27</v>
      </c>
      <c r="K66" s="77" t="s">
        <v>112</v>
      </c>
      <c r="L66" s="77">
        <v>2</v>
      </c>
      <c r="N66" s="77">
        <v>4</v>
      </c>
      <c r="O66" s="77">
        <v>0.9</v>
      </c>
      <c r="P66" s="77">
        <v>1.1000000000000001</v>
      </c>
      <c r="Q66" s="140">
        <f t="shared" ref="Q66:Q77" si="3">IF(OR(O66="",P66=""),"",AVERAGE(O66,P66))</f>
        <v>1</v>
      </c>
      <c r="R66" s="77">
        <v>17.2</v>
      </c>
      <c r="S66" s="77">
        <v>106</v>
      </c>
      <c r="T66" s="16">
        <f t="shared" ref="T66:T129" si="4">IF(H66="","",IF(OR(H66="GREEN",H66="GK"),IF(S66&gt;=$AX$2,VLOOKUP(S66,$AX$2:$AY$12,2,1),""),IF(S66&gt;=$AZ$2,VLOOKUP(S66,$AZ$2:$BA$12,2,1),"")))</f>
        <v>33</v>
      </c>
      <c r="U66" s="77">
        <v>498</v>
      </c>
      <c r="V66" s="16">
        <f t="shared" ref="V66:V129" si="5">IF(OR(N66="",U66="",T66=""),"",U66/N66*T66)</f>
        <v>4108.5</v>
      </c>
      <c r="W66" s="77">
        <v>1</v>
      </c>
      <c r="X66" s="77" t="s">
        <v>35</v>
      </c>
      <c r="Y66" s="77" t="s">
        <v>72</v>
      </c>
      <c r="Z66" s="77" t="s">
        <v>36</v>
      </c>
      <c r="AA66" s="77" t="s">
        <v>43</v>
      </c>
      <c r="AB66" s="34" t="s">
        <v>195</v>
      </c>
    </row>
    <row r="67" spans="1:28" x14ac:dyDescent="0.15">
      <c r="A67" s="77" t="s">
        <v>24</v>
      </c>
      <c r="B67" s="77" t="s">
        <v>191</v>
      </c>
      <c r="C67" s="77">
        <v>2020</v>
      </c>
      <c r="D67" s="139" t="s">
        <v>370</v>
      </c>
      <c r="E67" s="77" t="s">
        <v>376</v>
      </c>
      <c r="F67" s="77" t="s">
        <v>377</v>
      </c>
      <c r="G67" s="77" t="s">
        <v>25</v>
      </c>
      <c r="H67" s="77" t="s">
        <v>166</v>
      </c>
      <c r="I67" s="77" t="s">
        <v>111</v>
      </c>
      <c r="J67" s="77" t="s">
        <v>27</v>
      </c>
      <c r="K67" s="77" t="s">
        <v>112</v>
      </c>
      <c r="L67" s="77">
        <v>3</v>
      </c>
      <c r="N67" s="77">
        <v>4</v>
      </c>
      <c r="O67" s="77">
        <v>1.25</v>
      </c>
      <c r="P67" s="77">
        <v>1.2</v>
      </c>
      <c r="Q67" s="140">
        <f t="shared" si="3"/>
        <v>1.2250000000000001</v>
      </c>
      <c r="R67" s="77">
        <v>12</v>
      </c>
      <c r="S67" s="77">
        <v>94</v>
      </c>
      <c r="T67" s="16">
        <f t="shared" si="4"/>
        <v>36</v>
      </c>
      <c r="U67" s="77">
        <v>498</v>
      </c>
      <c r="V67" s="16">
        <f t="shared" si="5"/>
        <v>4482</v>
      </c>
      <c r="W67" s="77">
        <v>1</v>
      </c>
      <c r="X67" s="77" t="s">
        <v>35</v>
      </c>
      <c r="Y67" s="77" t="s">
        <v>72</v>
      </c>
      <c r="Z67" s="77" t="s">
        <v>36</v>
      </c>
      <c r="AA67" s="77" t="s">
        <v>43</v>
      </c>
      <c r="AB67" s="34" t="s">
        <v>195</v>
      </c>
    </row>
    <row r="68" spans="1:28" x14ac:dyDescent="0.15">
      <c r="A68" s="77" t="s">
        <v>24</v>
      </c>
      <c r="B68" s="77" t="s">
        <v>191</v>
      </c>
      <c r="C68" s="77">
        <v>2020</v>
      </c>
      <c r="D68" s="139" t="s">
        <v>370</v>
      </c>
      <c r="E68" s="77" t="s">
        <v>303</v>
      </c>
      <c r="F68" s="77" t="s">
        <v>373</v>
      </c>
      <c r="G68" s="77" t="s">
        <v>25</v>
      </c>
      <c r="H68" s="77" t="s">
        <v>113</v>
      </c>
      <c r="I68" s="77" t="s">
        <v>111</v>
      </c>
      <c r="J68" s="77" t="s">
        <v>27</v>
      </c>
      <c r="K68" s="77" t="s">
        <v>112</v>
      </c>
      <c r="L68" s="77">
        <v>1</v>
      </c>
      <c r="N68" s="77">
        <v>1</v>
      </c>
      <c r="O68" s="77">
        <v>1.5</v>
      </c>
      <c r="P68" s="77">
        <v>1.5</v>
      </c>
      <c r="Q68" s="140">
        <f t="shared" si="3"/>
        <v>1.5</v>
      </c>
      <c r="R68" s="77">
        <v>9.8000000000000007</v>
      </c>
      <c r="S68" s="77">
        <v>128</v>
      </c>
      <c r="T68" s="16">
        <f t="shared" si="4"/>
        <v>27</v>
      </c>
      <c r="U68" s="77">
        <v>98</v>
      </c>
      <c r="V68" s="16">
        <f t="shared" si="5"/>
        <v>2646</v>
      </c>
      <c r="W68" s="77">
        <v>2</v>
      </c>
      <c r="X68" s="77" t="s">
        <v>35</v>
      </c>
      <c r="Y68" s="77" t="s">
        <v>64</v>
      </c>
      <c r="Z68" s="77" t="s">
        <v>55</v>
      </c>
      <c r="AA68" s="77" t="s">
        <v>43</v>
      </c>
      <c r="AB68" s="34" t="s">
        <v>195</v>
      </c>
    </row>
    <row r="69" spans="1:28" x14ac:dyDescent="0.15">
      <c r="A69" s="77" t="s">
        <v>24</v>
      </c>
      <c r="B69" s="77" t="s">
        <v>191</v>
      </c>
      <c r="C69" s="77">
        <v>2020</v>
      </c>
      <c r="D69" s="139" t="s">
        <v>370</v>
      </c>
      <c r="E69" s="77" t="s">
        <v>303</v>
      </c>
      <c r="F69" s="77" t="s">
        <v>373</v>
      </c>
      <c r="G69" s="77" t="s">
        <v>25</v>
      </c>
      <c r="H69" s="77" t="s">
        <v>113</v>
      </c>
      <c r="I69" s="77" t="s">
        <v>111</v>
      </c>
      <c r="J69" s="77" t="s">
        <v>27</v>
      </c>
      <c r="K69" s="77" t="s">
        <v>112</v>
      </c>
      <c r="L69" s="77">
        <v>2</v>
      </c>
      <c r="N69" s="77">
        <v>1</v>
      </c>
      <c r="O69" s="77">
        <v>1.1000000000000001</v>
      </c>
      <c r="P69" s="77">
        <v>1.2</v>
      </c>
      <c r="Q69" s="140">
        <f t="shared" si="3"/>
        <v>1.1499999999999999</v>
      </c>
      <c r="R69" s="77">
        <v>11.6</v>
      </c>
      <c r="S69" s="77">
        <v>125</v>
      </c>
      <c r="T69" s="16">
        <f t="shared" si="4"/>
        <v>27</v>
      </c>
      <c r="U69" s="77">
        <v>98</v>
      </c>
      <c r="V69" s="16">
        <f t="shared" si="5"/>
        <v>2646</v>
      </c>
      <c r="W69" s="77">
        <v>2</v>
      </c>
      <c r="X69" s="77" t="s">
        <v>35</v>
      </c>
      <c r="Y69" s="77" t="s">
        <v>64</v>
      </c>
      <c r="Z69" s="77" t="s">
        <v>55</v>
      </c>
      <c r="AA69" s="77" t="s">
        <v>43</v>
      </c>
      <c r="AB69" s="34" t="s">
        <v>195</v>
      </c>
    </row>
    <row r="70" spans="1:28" x14ac:dyDescent="0.15">
      <c r="A70" s="77" t="s">
        <v>24</v>
      </c>
      <c r="B70" s="77" t="s">
        <v>191</v>
      </c>
      <c r="C70" s="77">
        <v>2020</v>
      </c>
      <c r="D70" s="139" t="s">
        <v>370</v>
      </c>
      <c r="E70" s="77" t="s">
        <v>303</v>
      </c>
      <c r="F70" s="77" t="s">
        <v>373</v>
      </c>
      <c r="G70" s="77" t="s">
        <v>25</v>
      </c>
      <c r="H70" s="77" t="s">
        <v>113</v>
      </c>
      <c r="I70" s="77" t="s">
        <v>111</v>
      </c>
      <c r="J70" s="77" t="s">
        <v>27</v>
      </c>
      <c r="K70" s="77" t="s">
        <v>112</v>
      </c>
      <c r="L70" s="77">
        <v>3</v>
      </c>
      <c r="N70" s="77">
        <v>1</v>
      </c>
      <c r="O70" s="77">
        <v>0.8</v>
      </c>
      <c r="P70" s="77">
        <v>1</v>
      </c>
      <c r="Q70" s="140">
        <f t="shared" si="3"/>
        <v>0.9</v>
      </c>
      <c r="R70" s="77">
        <v>9.6999999999999993</v>
      </c>
      <c r="S70" s="77">
        <v>122</v>
      </c>
      <c r="T70" s="16">
        <f t="shared" si="4"/>
        <v>27</v>
      </c>
      <c r="U70" s="77">
        <v>98</v>
      </c>
      <c r="V70" s="16">
        <f t="shared" si="5"/>
        <v>2646</v>
      </c>
      <c r="W70" s="77">
        <v>2</v>
      </c>
      <c r="X70" s="77" t="s">
        <v>35</v>
      </c>
      <c r="Y70" s="77" t="s">
        <v>64</v>
      </c>
      <c r="Z70" s="77" t="s">
        <v>55</v>
      </c>
      <c r="AA70" s="77" t="s">
        <v>43</v>
      </c>
      <c r="AB70" s="34" t="s">
        <v>195</v>
      </c>
    </row>
    <row r="71" spans="1:28" x14ac:dyDescent="0.15">
      <c r="A71" s="77" t="s">
        <v>24</v>
      </c>
      <c r="B71" s="77" t="s">
        <v>191</v>
      </c>
      <c r="C71" s="77">
        <v>2020</v>
      </c>
      <c r="D71" s="139" t="s">
        <v>370</v>
      </c>
      <c r="E71" s="77" t="s">
        <v>303</v>
      </c>
      <c r="F71" s="77" t="s">
        <v>373</v>
      </c>
      <c r="G71" s="77" t="s">
        <v>25</v>
      </c>
      <c r="H71" s="77" t="s">
        <v>113</v>
      </c>
      <c r="I71" s="77" t="s">
        <v>111</v>
      </c>
      <c r="J71" s="77" t="s">
        <v>27</v>
      </c>
      <c r="K71" s="77" t="s">
        <v>112</v>
      </c>
      <c r="L71" s="77">
        <v>1</v>
      </c>
      <c r="N71" s="77">
        <v>8</v>
      </c>
      <c r="O71" s="77">
        <v>0.7</v>
      </c>
      <c r="P71" s="77">
        <v>0.7</v>
      </c>
      <c r="Q71" s="140">
        <f t="shared" si="3"/>
        <v>0.7</v>
      </c>
      <c r="R71" s="77">
        <v>11.6</v>
      </c>
      <c r="S71" s="77">
        <v>80</v>
      </c>
      <c r="T71" s="16">
        <f t="shared" si="4"/>
        <v>39</v>
      </c>
      <c r="U71" s="77">
        <v>598</v>
      </c>
      <c r="V71" s="16">
        <f t="shared" si="5"/>
        <v>2915.25</v>
      </c>
      <c r="W71" s="77">
        <v>1</v>
      </c>
      <c r="X71" s="77" t="s">
        <v>35</v>
      </c>
      <c r="Y71" s="77" t="s">
        <v>64</v>
      </c>
      <c r="Z71" s="77" t="s">
        <v>55</v>
      </c>
      <c r="AA71" s="77" t="s">
        <v>43</v>
      </c>
      <c r="AB71" s="34" t="s">
        <v>195</v>
      </c>
    </row>
    <row r="72" spans="1:28" x14ac:dyDescent="0.15">
      <c r="A72" s="77" t="s">
        <v>24</v>
      </c>
      <c r="B72" s="77" t="s">
        <v>191</v>
      </c>
      <c r="C72" s="77">
        <v>2020</v>
      </c>
      <c r="D72" s="139" t="s">
        <v>370</v>
      </c>
      <c r="E72" s="77" t="s">
        <v>303</v>
      </c>
      <c r="F72" s="77" t="s">
        <v>373</v>
      </c>
      <c r="G72" s="77" t="s">
        <v>25</v>
      </c>
      <c r="H72" s="77" t="s">
        <v>113</v>
      </c>
      <c r="I72" s="77" t="s">
        <v>111</v>
      </c>
      <c r="J72" s="77" t="s">
        <v>27</v>
      </c>
      <c r="K72" s="77" t="s">
        <v>112</v>
      </c>
      <c r="L72" s="77">
        <v>2</v>
      </c>
      <c r="N72" s="77">
        <v>8</v>
      </c>
      <c r="O72" s="77">
        <v>1</v>
      </c>
      <c r="P72" s="77">
        <v>1</v>
      </c>
      <c r="Q72" s="140">
        <f t="shared" si="3"/>
        <v>1</v>
      </c>
      <c r="R72" s="77">
        <v>11</v>
      </c>
      <c r="S72" s="77">
        <v>81</v>
      </c>
      <c r="T72" s="16">
        <f t="shared" si="4"/>
        <v>39</v>
      </c>
      <c r="U72" s="77">
        <v>598</v>
      </c>
      <c r="V72" s="16">
        <f t="shared" si="5"/>
        <v>2915.25</v>
      </c>
      <c r="W72" s="77">
        <v>1</v>
      </c>
      <c r="X72" s="77" t="s">
        <v>35</v>
      </c>
      <c r="Y72" s="77" t="s">
        <v>64</v>
      </c>
      <c r="Z72" s="77" t="s">
        <v>55</v>
      </c>
      <c r="AA72" s="77" t="s">
        <v>43</v>
      </c>
      <c r="AB72" s="34" t="s">
        <v>195</v>
      </c>
    </row>
    <row r="73" spans="1:28" x14ac:dyDescent="0.15">
      <c r="A73" s="77" t="s">
        <v>24</v>
      </c>
      <c r="B73" s="77" t="s">
        <v>191</v>
      </c>
      <c r="C73" s="77">
        <v>2020</v>
      </c>
      <c r="D73" s="139" t="s">
        <v>370</v>
      </c>
      <c r="E73" s="77" t="s">
        <v>303</v>
      </c>
      <c r="F73" s="77" t="s">
        <v>373</v>
      </c>
      <c r="G73" s="77" t="s">
        <v>25</v>
      </c>
      <c r="H73" s="77" t="s">
        <v>113</v>
      </c>
      <c r="I73" s="77" t="s">
        <v>111</v>
      </c>
      <c r="J73" s="77" t="s">
        <v>27</v>
      </c>
      <c r="K73" s="77" t="s">
        <v>112</v>
      </c>
      <c r="L73" s="77">
        <v>3</v>
      </c>
      <c r="N73" s="77">
        <v>8</v>
      </c>
      <c r="O73" s="77">
        <v>1</v>
      </c>
      <c r="P73" s="77">
        <v>1</v>
      </c>
      <c r="Q73" s="140">
        <f t="shared" si="3"/>
        <v>1</v>
      </c>
      <c r="R73" s="77">
        <v>11.8</v>
      </c>
      <c r="S73" s="77">
        <v>84</v>
      </c>
      <c r="T73" s="16">
        <f t="shared" si="4"/>
        <v>36</v>
      </c>
      <c r="U73" s="77">
        <v>598</v>
      </c>
      <c r="V73" s="16">
        <f t="shared" si="5"/>
        <v>2691</v>
      </c>
      <c r="W73" s="77">
        <v>1</v>
      </c>
      <c r="X73" s="77" t="s">
        <v>35</v>
      </c>
      <c r="Y73" s="77" t="s">
        <v>64</v>
      </c>
      <c r="Z73" s="77" t="s">
        <v>55</v>
      </c>
      <c r="AA73" s="77" t="s">
        <v>43</v>
      </c>
      <c r="AB73" s="34" t="s">
        <v>195</v>
      </c>
    </row>
    <row r="74" spans="1:28" x14ac:dyDescent="0.15">
      <c r="A74" s="77" t="s">
        <v>24</v>
      </c>
      <c r="B74" s="77" t="s">
        <v>191</v>
      </c>
      <c r="C74" s="77">
        <v>2020</v>
      </c>
      <c r="D74" s="139" t="s">
        <v>370</v>
      </c>
      <c r="E74" s="77" t="s">
        <v>303</v>
      </c>
      <c r="F74" s="77" t="s">
        <v>373</v>
      </c>
      <c r="G74" s="77" t="s">
        <v>25</v>
      </c>
      <c r="H74" s="77" t="s">
        <v>166</v>
      </c>
      <c r="I74" s="77" t="s">
        <v>111</v>
      </c>
      <c r="J74" s="77" t="s">
        <v>27</v>
      </c>
      <c r="K74" s="77" t="s">
        <v>112</v>
      </c>
      <c r="L74" s="77">
        <v>1</v>
      </c>
      <c r="N74" s="77">
        <v>1</v>
      </c>
      <c r="O74" s="77">
        <v>1.5</v>
      </c>
      <c r="P74" s="77">
        <v>1.5</v>
      </c>
      <c r="Q74" s="140">
        <f t="shared" si="3"/>
        <v>1.5</v>
      </c>
      <c r="R74" s="77">
        <v>19.3</v>
      </c>
      <c r="S74" s="77">
        <v>122</v>
      </c>
      <c r="T74" s="16">
        <f t="shared" si="4"/>
        <v>27</v>
      </c>
      <c r="U74" s="77">
        <v>128</v>
      </c>
      <c r="V74" s="16">
        <f t="shared" si="5"/>
        <v>3456</v>
      </c>
      <c r="W74" s="77">
        <v>4</v>
      </c>
      <c r="X74" s="77" t="s">
        <v>35</v>
      </c>
      <c r="Y74" s="77" t="s">
        <v>64</v>
      </c>
      <c r="Z74" s="77" t="s">
        <v>55</v>
      </c>
      <c r="AA74" s="77" t="s">
        <v>43</v>
      </c>
      <c r="AB74" s="34" t="s">
        <v>195</v>
      </c>
    </row>
    <row r="75" spans="1:28" x14ac:dyDescent="0.15">
      <c r="A75" s="77" t="s">
        <v>24</v>
      </c>
      <c r="B75" s="77" t="s">
        <v>191</v>
      </c>
      <c r="C75" s="77">
        <v>2020</v>
      </c>
      <c r="D75" s="139" t="s">
        <v>370</v>
      </c>
      <c r="E75" s="77" t="s">
        <v>303</v>
      </c>
      <c r="F75" s="77" t="s">
        <v>373</v>
      </c>
      <c r="G75" s="77" t="s">
        <v>25</v>
      </c>
      <c r="H75" s="77" t="s">
        <v>166</v>
      </c>
      <c r="I75" s="77" t="s">
        <v>111</v>
      </c>
      <c r="J75" s="77" t="s">
        <v>27</v>
      </c>
      <c r="K75" s="77" t="s">
        <v>112</v>
      </c>
      <c r="L75" s="77">
        <v>2</v>
      </c>
      <c r="N75" s="77">
        <v>1</v>
      </c>
      <c r="O75" s="77">
        <v>1.75</v>
      </c>
      <c r="P75" s="77">
        <v>1.75</v>
      </c>
      <c r="Q75" s="140">
        <f t="shared" si="3"/>
        <v>1.75</v>
      </c>
      <c r="R75" s="77">
        <v>18.7</v>
      </c>
      <c r="S75" s="77">
        <v>126</v>
      </c>
      <c r="T75" s="16">
        <f t="shared" si="4"/>
        <v>27</v>
      </c>
      <c r="U75" s="77">
        <v>128</v>
      </c>
      <c r="V75" s="16">
        <f t="shared" si="5"/>
        <v>3456</v>
      </c>
      <c r="W75" s="77">
        <v>4</v>
      </c>
      <c r="X75" s="77" t="s">
        <v>35</v>
      </c>
      <c r="Y75" s="77" t="s">
        <v>64</v>
      </c>
      <c r="Z75" s="77" t="s">
        <v>55</v>
      </c>
      <c r="AA75" s="77" t="s">
        <v>43</v>
      </c>
      <c r="AB75" s="34" t="s">
        <v>195</v>
      </c>
    </row>
    <row r="76" spans="1:28" x14ac:dyDescent="0.15">
      <c r="A76" s="77" t="s">
        <v>24</v>
      </c>
      <c r="B76" s="77" t="s">
        <v>191</v>
      </c>
      <c r="C76" s="77">
        <v>2020</v>
      </c>
      <c r="D76" s="139" t="s">
        <v>370</v>
      </c>
      <c r="E76" s="77" t="s">
        <v>303</v>
      </c>
      <c r="F76" s="77" t="s">
        <v>373</v>
      </c>
      <c r="G76" s="77" t="s">
        <v>25</v>
      </c>
      <c r="H76" s="77" t="s">
        <v>166</v>
      </c>
      <c r="I76" s="77" t="s">
        <v>111</v>
      </c>
      <c r="J76" s="77" t="s">
        <v>27</v>
      </c>
      <c r="K76" s="77" t="s">
        <v>112</v>
      </c>
      <c r="L76" s="77">
        <v>3</v>
      </c>
      <c r="N76" s="77">
        <v>1</v>
      </c>
      <c r="O76" s="77">
        <v>1.2</v>
      </c>
      <c r="P76" s="77">
        <v>1</v>
      </c>
      <c r="Q76" s="140">
        <f t="shared" si="3"/>
        <v>1.1000000000000001</v>
      </c>
      <c r="R76" s="77">
        <v>17.7</v>
      </c>
      <c r="S76" s="77">
        <v>125</v>
      </c>
      <c r="T76" s="16">
        <f t="shared" si="4"/>
        <v>27</v>
      </c>
      <c r="U76" s="77">
        <v>128</v>
      </c>
      <c r="V76" s="16">
        <f t="shared" si="5"/>
        <v>3456</v>
      </c>
      <c r="W76" s="77">
        <v>4</v>
      </c>
      <c r="X76" s="77" t="s">
        <v>35</v>
      </c>
      <c r="Y76" s="77" t="s">
        <v>64</v>
      </c>
      <c r="Z76" s="77" t="s">
        <v>55</v>
      </c>
      <c r="AA76" s="77" t="s">
        <v>43</v>
      </c>
      <c r="AB76" s="34" t="s">
        <v>195</v>
      </c>
    </row>
    <row r="77" spans="1:28" x14ac:dyDescent="0.15">
      <c r="A77" s="77" t="s">
        <v>24</v>
      </c>
      <c r="B77" s="77" t="s">
        <v>191</v>
      </c>
      <c r="C77" s="77">
        <v>2020</v>
      </c>
      <c r="D77" s="139" t="s">
        <v>370</v>
      </c>
      <c r="E77" s="77" t="s">
        <v>303</v>
      </c>
      <c r="F77" s="77" t="s">
        <v>373</v>
      </c>
      <c r="G77" s="77" t="s">
        <v>25</v>
      </c>
      <c r="H77" s="77" t="s">
        <v>166</v>
      </c>
      <c r="I77" s="77" t="s">
        <v>111</v>
      </c>
      <c r="J77" s="77" t="s">
        <v>27</v>
      </c>
      <c r="K77" s="77" t="s">
        <v>112</v>
      </c>
      <c r="L77" s="77">
        <v>1</v>
      </c>
      <c r="N77" s="77">
        <v>8</v>
      </c>
      <c r="O77" s="77">
        <v>0.8</v>
      </c>
      <c r="P77" s="77">
        <v>1</v>
      </c>
      <c r="Q77" s="140">
        <f t="shared" si="3"/>
        <v>0.9</v>
      </c>
      <c r="R77" s="77">
        <v>17.8</v>
      </c>
      <c r="S77" s="77">
        <v>93</v>
      </c>
      <c r="T77" s="16">
        <f t="shared" si="4"/>
        <v>36</v>
      </c>
      <c r="U77" s="77">
        <v>780</v>
      </c>
      <c r="V77" s="16">
        <f t="shared" si="5"/>
        <v>3510</v>
      </c>
      <c r="W77" s="77">
        <v>2</v>
      </c>
      <c r="X77" s="77" t="s">
        <v>35</v>
      </c>
      <c r="Y77" s="77" t="s">
        <v>64</v>
      </c>
      <c r="Z77" s="77" t="s">
        <v>55</v>
      </c>
      <c r="AA77" s="77" t="s">
        <v>43</v>
      </c>
      <c r="AB77" s="34" t="s">
        <v>195</v>
      </c>
    </row>
    <row r="78" spans="1:28" x14ac:dyDescent="0.15">
      <c r="A78" s="77" t="s">
        <v>24</v>
      </c>
      <c r="B78" s="77" t="s">
        <v>191</v>
      </c>
      <c r="C78" s="77">
        <v>2020</v>
      </c>
      <c r="D78" s="139" t="s">
        <v>370</v>
      </c>
      <c r="E78" s="77" t="s">
        <v>303</v>
      </c>
      <c r="F78" s="77" t="s">
        <v>373</v>
      </c>
      <c r="G78" s="77" t="s">
        <v>25</v>
      </c>
      <c r="H78" s="77" t="s">
        <v>166</v>
      </c>
      <c r="I78" s="77" t="s">
        <v>111</v>
      </c>
      <c r="J78" s="77" t="s">
        <v>27</v>
      </c>
      <c r="K78" s="77" t="s">
        <v>112</v>
      </c>
      <c r="L78" s="77">
        <v>2</v>
      </c>
      <c r="N78" s="77">
        <v>8</v>
      </c>
      <c r="O78" s="77">
        <v>0.75</v>
      </c>
      <c r="P78" s="34">
        <v>0.7</v>
      </c>
      <c r="Q78" s="140">
        <f>IF(OR(O78="",P78=""),"",AVERAGE(O78,P78))</f>
        <v>0.72499999999999998</v>
      </c>
      <c r="R78" s="77">
        <v>12</v>
      </c>
      <c r="S78" s="77">
        <v>89</v>
      </c>
      <c r="T78" s="16">
        <f t="shared" si="4"/>
        <v>36</v>
      </c>
      <c r="U78" s="77">
        <v>780</v>
      </c>
      <c r="V78" s="16">
        <f t="shared" si="5"/>
        <v>3510</v>
      </c>
      <c r="W78" s="77">
        <v>2</v>
      </c>
      <c r="X78" s="77" t="s">
        <v>35</v>
      </c>
      <c r="Y78" s="77" t="s">
        <v>64</v>
      </c>
      <c r="Z78" s="77" t="s">
        <v>55</v>
      </c>
      <c r="AA78" s="77" t="s">
        <v>43</v>
      </c>
      <c r="AB78" s="34" t="s">
        <v>195</v>
      </c>
    </row>
    <row r="79" spans="1:28" x14ac:dyDescent="0.15">
      <c r="A79" s="77" t="s">
        <v>24</v>
      </c>
      <c r="B79" s="77" t="s">
        <v>191</v>
      </c>
      <c r="C79" s="77">
        <v>2020</v>
      </c>
      <c r="D79" s="139" t="s">
        <v>370</v>
      </c>
      <c r="E79" s="77" t="s">
        <v>303</v>
      </c>
      <c r="F79" s="77" t="s">
        <v>373</v>
      </c>
      <c r="G79" s="77" t="s">
        <v>25</v>
      </c>
      <c r="H79" s="77" t="s">
        <v>166</v>
      </c>
      <c r="I79" s="77" t="s">
        <v>111</v>
      </c>
      <c r="J79" s="77" t="s">
        <v>27</v>
      </c>
      <c r="K79" s="77" t="s">
        <v>112</v>
      </c>
      <c r="L79" s="77">
        <v>3</v>
      </c>
      <c r="N79" s="77">
        <v>8</v>
      </c>
      <c r="O79" s="77">
        <v>0.8</v>
      </c>
      <c r="P79" s="77">
        <v>0.8</v>
      </c>
      <c r="Q79" s="140">
        <f>IF(OR(O79="",P79=""),"",AVERAGE(O79,P79))</f>
        <v>0.8</v>
      </c>
      <c r="R79" s="77">
        <v>17.8</v>
      </c>
      <c r="S79" s="77">
        <v>91</v>
      </c>
      <c r="T79" s="16">
        <f t="shared" si="4"/>
        <v>36</v>
      </c>
      <c r="U79" s="77">
        <v>780</v>
      </c>
      <c r="V79" s="16">
        <f t="shared" si="5"/>
        <v>3510</v>
      </c>
      <c r="W79" s="77">
        <v>2</v>
      </c>
      <c r="X79" s="77" t="s">
        <v>35</v>
      </c>
      <c r="Y79" s="77" t="s">
        <v>64</v>
      </c>
      <c r="Z79" s="77" t="s">
        <v>55</v>
      </c>
      <c r="AA79" s="77" t="s">
        <v>43</v>
      </c>
      <c r="AB79" s="34" t="s">
        <v>195</v>
      </c>
    </row>
    <row r="80" spans="1:28" x14ac:dyDescent="0.15">
      <c r="A80" s="77" t="s">
        <v>24</v>
      </c>
      <c r="B80" s="77" t="s">
        <v>191</v>
      </c>
      <c r="C80" s="77">
        <v>2020</v>
      </c>
      <c r="D80" s="139" t="s">
        <v>370</v>
      </c>
      <c r="E80" s="77" t="s">
        <v>378</v>
      </c>
      <c r="F80" s="77" t="s">
        <v>379</v>
      </c>
      <c r="G80" s="77" t="s">
        <v>25</v>
      </c>
      <c r="H80" s="77" t="s">
        <v>113</v>
      </c>
      <c r="I80" s="77" t="s">
        <v>111</v>
      </c>
      <c r="J80" s="77" t="s">
        <v>27</v>
      </c>
      <c r="K80" s="77" t="s">
        <v>112</v>
      </c>
      <c r="L80" s="77">
        <v>1</v>
      </c>
      <c r="N80" s="77">
        <v>1</v>
      </c>
      <c r="O80" s="77">
        <v>0.8</v>
      </c>
      <c r="P80" s="77">
        <v>0.7</v>
      </c>
      <c r="Q80" s="140">
        <f t="shared" ref="Q80:Q160" si="6">IF(OR(O80="",P80=""),"",AVERAGE(O80,P80))</f>
        <v>0.75</v>
      </c>
      <c r="R80" s="77">
        <v>11.5</v>
      </c>
      <c r="S80" s="77">
        <v>123</v>
      </c>
      <c r="T80" s="16">
        <f t="shared" si="4"/>
        <v>27</v>
      </c>
      <c r="U80" s="77">
        <v>98</v>
      </c>
      <c r="V80" s="16">
        <f t="shared" si="5"/>
        <v>2646</v>
      </c>
      <c r="W80" s="77">
        <v>5</v>
      </c>
      <c r="X80" s="77" t="s">
        <v>35</v>
      </c>
      <c r="Y80" s="77" t="s">
        <v>43</v>
      </c>
      <c r="Z80" s="77" t="s">
        <v>72</v>
      </c>
      <c r="AA80" s="77" t="s">
        <v>82</v>
      </c>
      <c r="AB80" s="34" t="s">
        <v>195</v>
      </c>
    </row>
    <row r="81" spans="1:28" x14ac:dyDescent="0.15">
      <c r="A81" s="77" t="s">
        <v>24</v>
      </c>
      <c r="B81" s="77" t="s">
        <v>191</v>
      </c>
      <c r="C81" s="77">
        <v>2020</v>
      </c>
      <c r="D81" s="139" t="s">
        <v>370</v>
      </c>
      <c r="E81" s="77" t="s">
        <v>378</v>
      </c>
      <c r="F81" s="77" t="s">
        <v>379</v>
      </c>
      <c r="G81" s="77" t="s">
        <v>25</v>
      </c>
      <c r="H81" s="77" t="s">
        <v>113</v>
      </c>
      <c r="I81" s="77" t="s">
        <v>111</v>
      </c>
      <c r="J81" s="77" t="s">
        <v>27</v>
      </c>
      <c r="K81" s="77" t="s">
        <v>112</v>
      </c>
      <c r="L81" s="77">
        <v>2</v>
      </c>
      <c r="N81" s="77">
        <v>1</v>
      </c>
      <c r="O81" s="77">
        <v>1</v>
      </c>
      <c r="P81" s="77">
        <v>1</v>
      </c>
      <c r="Q81" s="140">
        <f t="shared" si="6"/>
        <v>1</v>
      </c>
      <c r="R81" s="77">
        <v>12.2</v>
      </c>
      <c r="S81" s="77">
        <v>124</v>
      </c>
      <c r="T81" s="16">
        <f t="shared" si="4"/>
        <v>27</v>
      </c>
      <c r="U81" s="77">
        <v>98</v>
      </c>
      <c r="V81" s="16">
        <f t="shared" si="5"/>
        <v>2646</v>
      </c>
      <c r="W81" s="77">
        <v>5</v>
      </c>
      <c r="X81" s="77" t="s">
        <v>35</v>
      </c>
      <c r="Y81" s="77" t="s">
        <v>43</v>
      </c>
      <c r="Z81" s="77" t="s">
        <v>72</v>
      </c>
      <c r="AA81" s="77" t="s">
        <v>82</v>
      </c>
      <c r="AB81" s="34" t="s">
        <v>195</v>
      </c>
    </row>
    <row r="82" spans="1:28" x14ac:dyDescent="0.15">
      <c r="A82" s="77" t="s">
        <v>24</v>
      </c>
      <c r="B82" s="77" t="s">
        <v>191</v>
      </c>
      <c r="C82" s="77">
        <v>2020</v>
      </c>
      <c r="D82" s="139" t="s">
        <v>370</v>
      </c>
      <c r="E82" s="77" t="s">
        <v>378</v>
      </c>
      <c r="F82" s="77" t="s">
        <v>379</v>
      </c>
      <c r="G82" s="77" t="s">
        <v>25</v>
      </c>
      <c r="H82" s="77" t="s">
        <v>113</v>
      </c>
      <c r="I82" s="77" t="s">
        <v>111</v>
      </c>
      <c r="J82" s="77" t="s">
        <v>27</v>
      </c>
      <c r="K82" s="77" t="s">
        <v>112</v>
      </c>
      <c r="L82" s="77">
        <v>3</v>
      </c>
      <c r="N82" s="77">
        <v>1</v>
      </c>
      <c r="O82" s="77">
        <v>0.5</v>
      </c>
      <c r="P82" s="77">
        <v>0.6</v>
      </c>
      <c r="Q82" s="140">
        <f t="shared" si="6"/>
        <v>0.55000000000000004</v>
      </c>
      <c r="R82" s="77">
        <v>9.8000000000000007</v>
      </c>
      <c r="S82" s="77">
        <v>127</v>
      </c>
      <c r="T82" s="16">
        <f t="shared" si="4"/>
        <v>27</v>
      </c>
      <c r="U82" s="77">
        <v>98</v>
      </c>
      <c r="V82" s="16">
        <f t="shared" si="5"/>
        <v>2646</v>
      </c>
      <c r="W82" s="77">
        <v>5</v>
      </c>
      <c r="X82" s="77" t="s">
        <v>35</v>
      </c>
      <c r="Y82" s="77" t="s">
        <v>43</v>
      </c>
      <c r="Z82" s="77" t="s">
        <v>72</v>
      </c>
      <c r="AA82" s="77" t="s">
        <v>82</v>
      </c>
      <c r="AB82" s="34" t="s">
        <v>195</v>
      </c>
    </row>
    <row r="83" spans="1:28" x14ac:dyDescent="0.15">
      <c r="A83" s="77" t="s">
        <v>24</v>
      </c>
      <c r="B83" s="77" t="s">
        <v>191</v>
      </c>
      <c r="C83" s="77">
        <v>2020</v>
      </c>
      <c r="D83" s="139" t="s">
        <v>370</v>
      </c>
      <c r="E83" s="77" t="s">
        <v>378</v>
      </c>
      <c r="F83" s="77" t="s">
        <v>379</v>
      </c>
      <c r="G83" s="77" t="s">
        <v>25</v>
      </c>
      <c r="H83" s="77" t="s">
        <v>113</v>
      </c>
      <c r="I83" s="77" t="s">
        <v>111</v>
      </c>
      <c r="J83" s="77" t="s">
        <v>27</v>
      </c>
      <c r="K83" s="77" t="s">
        <v>112</v>
      </c>
      <c r="L83" s="77">
        <v>1</v>
      </c>
      <c r="N83" s="77">
        <v>8</v>
      </c>
      <c r="O83" s="77">
        <v>0.9</v>
      </c>
      <c r="P83" s="77">
        <v>1</v>
      </c>
      <c r="Q83" s="140">
        <f t="shared" si="6"/>
        <v>0.95</v>
      </c>
      <c r="R83" s="77">
        <v>10.6</v>
      </c>
      <c r="S83" s="77">
        <v>83</v>
      </c>
      <c r="T83" s="16">
        <f t="shared" si="4"/>
        <v>39</v>
      </c>
      <c r="U83" s="77">
        <v>500</v>
      </c>
      <c r="V83" s="16">
        <f t="shared" si="5"/>
        <v>2437.5</v>
      </c>
      <c r="W83" s="77">
        <v>4</v>
      </c>
      <c r="X83" s="77" t="s">
        <v>35</v>
      </c>
      <c r="Y83" s="77" t="s">
        <v>43</v>
      </c>
      <c r="Z83" s="77" t="s">
        <v>72</v>
      </c>
      <c r="AA83" s="77" t="s">
        <v>82</v>
      </c>
      <c r="AB83" s="34" t="s">
        <v>195</v>
      </c>
    </row>
    <row r="84" spans="1:28" x14ac:dyDescent="0.15">
      <c r="A84" s="77" t="s">
        <v>24</v>
      </c>
      <c r="B84" s="77" t="s">
        <v>191</v>
      </c>
      <c r="C84" s="77">
        <v>2020</v>
      </c>
      <c r="D84" s="139" t="s">
        <v>370</v>
      </c>
      <c r="E84" s="77" t="s">
        <v>378</v>
      </c>
      <c r="F84" s="77" t="s">
        <v>379</v>
      </c>
      <c r="G84" s="77" t="s">
        <v>25</v>
      </c>
      <c r="H84" s="77" t="s">
        <v>113</v>
      </c>
      <c r="I84" s="77" t="s">
        <v>111</v>
      </c>
      <c r="J84" s="77" t="s">
        <v>27</v>
      </c>
      <c r="K84" s="77" t="s">
        <v>112</v>
      </c>
      <c r="L84" s="77">
        <v>2</v>
      </c>
      <c r="N84" s="77">
        <v>8</v>
      </c>
      <c r="O84" s="77">
        <v>1.1000000000000001</v>
      </c>
      <c r="P84" s="77">
        <v>1.1000000000000001</v>
      </c>
      <c r="Q84" s="140">
        <f t="shared" si="6"/>
        <v>1.1000000000000001</v>
      </c>
      <c r="R84" s="77">
        <v>11.3</v>
      </c>
      <c r="S84" s="77">
        <v>86</v>
      </c>
      <c r="T84" s="16">
        <f t="shared" si="4"/>
        <v>36</v>
      </c>
      <c r="U84" s="77">
        <v>500</v>
      </c>
      <c r="V84" s="16">
        <f t="shared" si="5"/>
        <v>2250</v>
      </c>
      <c r="W84" s="77">
        <v>4</v>
      </c>
      <c r="X84" s="77" t="s">
        <v>35</v>
      </c>
      <c r="Y84" s="77" t="s">
        <v>43</v>
      </c>
      <c r="Z84" s="77" t="s">
        <v>72</v>
      </c>
      <c r="AA84" s="77" t="s">
        <v>82</v>
      </c>
      <c r="AB84" s="34" t="s">
        <v>195</v>
      </c>
    </row>
    <row r="85" spans="1:28" x14ac:dyDescent="0.15">
      <c r="A85" s="77" t="s">
        <v>24</v>
      </c>
      <c r="B85" s="77" t="s">
        <v>191</v>
      </c>
      <c r="C85" s="77">
        <v>2020</v>
      </c>
      <c r="D85" s="139" t="s">
        <v>370</v>
      </c>
      <c r="E85" s="77" t="s">
        <v>378</v>
      </c>
      <c r="F85" s="77" t="s">
        <v>379</v>
      </c>
      <c r="G85" s="77" t="s">
        <v>25</v>
      </c>
      <c r="H85" s="77" t="s">
        <v>113</v>
      </c>
      <c r="I85" s="77" t="s">
        <v>111</v>
      </c>
      <c r="J85" s="77" t="s">
        <v>27</v>
      </c>
      <c r="K85" s="77" t="s">
        <v>112</v>
      </c>
      <c r="L85" s="77">
        <v>3</v>
      </c>
      <c r="N85" s="77">
        <v>8</v>
      </c>
      <c r="O85" s="77">
        <v>0.9</v>
      </c>
      <c r="P85" s="77">
        <v>1</v>
      </c>
      <c r="Q85" s="140">
        <f t="shared" si="6"/>
        <v>0.95</v>
      </c>
      <c r="R85" s="77">
        <v>11.7</v>
      </c>
      <c r="S85" s="77">
        <v>84</v>
      </c>
      <c r="T85" s="16">
        <f t="shared" si="4"/>
        <v>36</v>
      </c>
      <c r="U85" s="77">
        <v>500</v>
      </c>
      <c r="V85" s="16">
        <f t="shared" si="5"/>
        <v>2250</v>
      </c>
      <c r="W85" s="77">
        <v>4</v>
      </c>
      <c r="X85" s="77" t="s">
        <v>35</v>
      </c>
      <c r="Y85" s="77" t="s">
        <v>43</v>
      </c>
      <c r="Z85" s="77" t="s">
        <v>72</v>
      </c>
      <c r="AA85" s="77" t="s">
        <v>82</v>
      </c>
      <c r="AB85" s="34" t="s">
        <v>195</v>
      </c>
    </row>
    <row r="86" spans="1:28" x14ac:dyDescent="0.15">
      <c r="A86" s="77" t="s">
        <v>24</v>
      </c>
      <c r="B86" s="34" t="s">
        <v>191</v>
      </c>
      <c r="C86" s="77">
        <v>2020</v>
      </c>
      <c r="D86" s="139" t="s">
        <v>370</v>
      </c>
      <c r="E86" s="77" t="s">
        <v>378</v>
      </c>
      <c r="F86" s="77" t="s">
        <v>379</v>
      </c>
      <c r="G86" s="77" t="s">
        <v>25</v>
      </c>
      <c r="H86" s="77" t="s">
        <v>166</v>
      </c>
      <c r="I86" s="77" t="s">
        <v>111</v>
      </c>
      <c r="J86" s="77" t="s">
        <v>27</v>
      </c>
      <c r="K86" s="77" t="s">
        <v>112</v>
      </c>
      <c r="L86" s="77">
        <v>1</v>
      </c>
      <c r="N86" s="77">
        <v>1</v>
      </c>
      <c r="O86" s="77">
        <v>1</v>
      </c>
      <c r="P86" s="77">
        <v>0.9</v>
      </c>
      <c r="Q86" s="140">
        <f t="shared" si="6"/>
        <v>0.95</v>
      </c>
      <c r="R86" s="77">
        <v>11.9</v>
      </c>
      <c r="S86" s="77">
        <v>93</v>
      </c>
      <c r="T86" s="16">
        <f t="shared" si="4"/>
        <v>36</v>
      </c>
      <c r="U86" s="77">
        <v>98</v>
      </c>
      <c r="V86" s="16">
        <f t="shared" si="5"/>
        <v>3528</v>
      </c>
      <c r="W86" s="77">
        <v>3</v>
      </c>
      <c r="X86" s="77" t="s">
        <v>35</v>
      </c>
      <c r="Y86" s="77" t="s">
        <v>43</v>
      </c>
      <c r="Z86" s="77" t="s">
        <v>72</v>
      </c>
      <c r="AA86" s="77" t="s">
        <v>82</v>
      </c>
      <c r="AB86" s="34" t="s">
        <v>195</v>
      </c>
    </row>
    <row r="87" spans="1:28" x14ac:dyDescent="0.15">
      <c r="A87" s="77" t="s">
        <v>24</v>
      </c>
      <c r="B87" s="34" t="s">
        <v>191</v>
      </c>
      <c r="C87" s="77">
        <v>2020</v>
      </c>
      <c r="D87" s="139" t="s">
        <v>370</v>
      </c>
      <c r="E87" s="77" t="s">
        <v>378</v>
      </c>
      <c r="F87" s="77" t="s">
        <v>379</v>
      </c>
      <c r="G87" s="77" t="s">
        <v>25</v>
      </c>
      <c r="H87" s="77" t="s">
        <v>166</v>
      </c>
      <c r="I87" s="77" t="s">
        <v>111</v>
      </c>
      <c r="J87" s="77" t="s">
        <v>27</v>
      </c>
      <c r="K87" s="77" t="s">
        <v>112</v>
      </c>
      <c r="L87" s="77">
        <v>2</v>
      </c>
      <c r="N87" s="77">
        <v>1</v>
      </c>
      <c r="O87" s="77">
        <v>0.75</v>
      </c>
      <c r="P87" s="77">
        <v>0.75</v>
      </c>
      <c r="Q87" s="140">
        <f t="shared" si="6"/>
        <v>0.75</v>
      </c>
      <c r="R87" s="77">
        <v>17.2</v>
      </c>
      <c r="S87" s="77">
        <v>89</v>
      </c>
      <c r="T87" s="16">
        <f t="shared" si="4"/>
        <v>36</v>
      </c>
      <c r="U87" s="77">
        <v>98</v>
      </c>
      <c r="V87" s="16">
        <f t="shared" si="5"/>
        <v>3528</v>
      </c>
      <c r="W87" s="77">
        <v>3</v>
      </c>
      <c r="X87" s="77" t="s">
        <v>35</v>
      </c>
      <c r="Y87" s="77" t="s">
        <v>43</v>
      </c>
      <c r="Z87" s="77" t="s">
        <v>72</v>
      </c>
      <c r="AA87" s="77" t="s">
        <v>82</v>
      </c>
      <c r="AB87" s="34" t="s">
        <v>195</v>
      </c>
    </row>
    <row r="88" spans="1:28" x14ac:dyDescent="0.15">
      <c r="A88" s="77" t="s">
        <v>24</v>
      </c>
      <c r="B88" s="34" t="s">
        <v>191</v>
      </c>
      <c r="C88" s="77">
        <v>2020</v>
      </c>
      <c r="D88" s="139" t="s">
        <v>370</v>
      </c>
      <c r="E88" s="77" t="s">
        <v>378</v>
      </c>
      <c r="F88" s="77" t="s">
        <v>379</v>
      </c>
      <c r="G88" s="77" t="s">
        <v>25</v>
      </c>
      <c r="H88" s="77" t="s">
        <v>166</v>
      </c>
      <c r="I88" s="77" t="s">
        <v>111</v>
      </c>
      <c r="J88" s="77" t="s">
        <v>27</v>
      </c>
      <c r="K88" s="77" t="s">
        <v>112</v>
      </c>
      <c r="L88" s="77">
        <v>3</v>
      </c>
      <c r="N88" s="77">
        <v>1</v>
      </c>
      <c r="O88" s="77">
        <v>0.75</v>
      </c>
      <c r="P88" s="77">
        <v>0.6</v>
      </c>
      <c r="Q88" s="140">
        <f t="shared" si="6"/>
        <v>0.67500000000000004</v>
      </c>
      <c r="R88" s="77">
        <v>17.2</v>
      </c>
      <c r="S88" s="77">
        <v>85</v>
      </c>
      <c r="T88" s="16">
        <f t="shared" si="4"/>
        <v>36</v>
      </c>
      <c r="U88" s="77">
        <v>98</v>
      </c>
      <c r="V88" s="16">
        <f t="shared" si="5"/>
        <v>3528</v>
      </c>
      <c r="W88" s="77">
        <v>3</v>
      </c>
      <c r="X88" s="77" t="s">
        <v>35</v>
      </c>
      <c r="Y88" s="77" t="s">
        <v>43</v>
      </c>
      <c r="Z88" s="77" t="s">
        <v>72</v>
      </c>
      <c r="AA88" s="77" t="s">
        <v>82</v>
      </c>
      <c r="AB88" s="34" t="s">
        <v>195</v>
      </c>
    </row>
    <row r="89" spans="1:28" x14ac:dyDescent="0.15">
      <c r="A89" s="77" t="s">
        <v>24</v>
      </c>
      <c r="B89" s="34" t="s">
        <v>191</v>
      </c>
      <c r="C89" s="77">
        <v>2020</v>
      </c>
      <c r="D89" s="139" t="s">
        <v>370</v>
      </c>
      <c r="E89" s="77" t="s">
        <v>378</v>
      </c>
      <c r="F89" s="77" t="s">
        <v>379</v>
      </c>
      <c r="G89" s="77" t="s">
        <v>25</v>
      </c>
      <c r="H89" s="77" t="s">
        <v>166</v>
      </c>
      <c r="I89" s="77" t="s">
        <v>111</v>
      </c>
      <c r="J89" s="77" t="s">
        <v>27</v>
      </c>
      <c r="K89" s="77" t="s">
        <v>112</v>
      </c>
      <c r="L89" s="77">
        <v>1</v>
      </c>
      <c r="N89" s="77">
        <v>4</v>
      </c>
      <c r="O89" s="77">
        <v>1</v>
      </c>
      <c r="P89" s="77">
        <v>0.8</v>
      </c>
      <c r="Q89" s="140">
        <f t="shared" si="6"/>
        <v>0.9</v>
      </c>
      <c r="R89" s="77">
        <v>15.5</v>
      </c>
      <c r="S89" s="77">
        <v>107</v>
      </c>
      <c r="T89" s="16">
        <f t="shared" si="4"/>
        <v>33</v>
      </c>
      <c r="U89" s="77">
        <v>498</v>
      </c>
      <c r="V89" s="16">
        <f t="shared" si="5"/>
        <v>4108.5</v>
      </c>
      <c r="W89" s="77">
        <v>6</v>
      </c>
      <c r="X89" s="77" t="s">
        <v>35</v>
      </c>
      <c r="Y89" s="77" t="s">
        <v>43</v>
      </c>
      <c r="Z89" s="77" t="s">
        <v>72</v>
      </c>
      <c r="AA89" s="77" t="s">
        <v>82</v>
      </c>
      <c r="AB89" s="34" t="s">
        <v>195</v>
      </c>
    </row>
    <row r="90" spans="1:28" x14ac:dyDescent="0.15">
      <c r="A90" s="77" t="s">
        <v>24</v>
      </c>
      <c r="B90" s="34" t="s">
        <v>191</v>
      </c>
      <c r="C90" s="77">
        <v>2020</v>
      </c>
      <c r="D90" s="139" t="s">
        <v>370</v>
      </c>
      <c r="E90" s="77" t="s">
        <v>378</v>
      </c>
      <c r="F90" s="77" t="s">
        <v>379</v>
      </c>
      <c r="G90" s="77" t="s">
        <v>25</v>
      </c>
      <c r="H90" s="77" t="s">
        <v>166</v>
      </c>
      <c r="I90" s="77" t="s">
        <v>275</v>
      </c>
      <c r="J90" s="77" t="s">
        <v>27</v>
      </c>
      <c r="K90" s="77" t="s">
        <v>112</v>
      </c>
      <c r="L90" s="77">
        <v>2</v>
      </c>
      <c r="N90" s="77">
        <v>4</v>
      </c>
      <c r="O90" s="77">
        <v>1.2</v>
      </c>
      <c r="P90" s="77">
        <v>1</v>
      </c>
      <c r="Q90" s="140">
        <f t="shared" si="6"/>
        <v>1.1000000000000001</v>
      </c>
      <c r="R90" s="77">
        <v>17.3</v>
      </c>
      <c r="S90" s="77">
        <v>107</v>
      </c>
      <c r="T90" s="16">
        <f t="shared" si="4"/>
        <v>33</v>
      </c>
      <c r="U90" s="77">
        <v>498</v>
      </c>
      <c r="V90" s="16">
        <f t="shared" si="5"/>
        <v>4108.5</v>
      </c>
      <c r="W90" s="77">
        <v>6</v>
      </c>
      <c r="X90" s="77" t="s">
        <v>35</v>
      </c>
      <c r="Y90" s="77" t="s">
        <v>43</v>
      </c>
      <c r="Z90" s="77" t="s">
        <v>72</v>
      </c>
      <c r="AA90" s="77" t="s">
        <v>82</v>
      </c>
      <c r="AB90" s="34" t="s">
        <v>195</v>
      </c>
    </row>
    <row r="91" spans="1:28" x14ac:dyDescent="0.15">
      <c r="A91" s="77" t="s">
        <v>24</v>
      </c>
      <c r="B91" s="34" t="s">
        <v>191</v>
      </c>
      <c r="C91" s="77">
        <v>2020</v>
      </c>
      <c r="D91" s="139" t="s">
        <v>370</v>
      </c>
      <c r="E91" s="77" t="s">
        <v>378</v>
      </c>
      <c r="F91" s="77" t="s">
        <v>379</v>
      </c>
      <c r="G91" s="77" t="s">
        <v>25</v>
      </c>
      <c r="H91" s="77" t="s">
        <v>166</v>
      </c>
      <c r="I91" s="77" t="s">
        <v>111</v>
      </c>
      <c r="J91" s="77" t="s">
        <v>27</v>
      </c>
      <c r="K91" s="77" t="s">
        <v>112</v>
      </c>
      <c r="L91" s="77">
        <v>3</v>
      </c>
      <c r="N91" s="77">
        <v>4</v>
      </c>
      <c r="O91" s="77">
        <v>1.1000000000000001</v>
      </c>
      <c r="P91" s="77">
        <v>1.2</v>
      </c>
      <c r="Q91" s="140">
        <f t="shared" si="6"/>
        <v>1.1499999999999999</v>
      </c>
      <c r="R91" s="77">
        <v>14.8</v>
      </c>
      <c r="S91" s="77">
        <v>113</v>
      </c>
      <c r="T91" s="16">
        <f t="shared" si="4"/>
        <v>30</v>
      </c>
      <c r="U91" s="77">
        <v>498</v>
      </c>
      <c r="V91" s="16">
        <f t="shared" si="5"/>
        <v>3735</v>
      </c>
      <c r="W91" s="77">
        <v>6</v>
      </c>
      <c r="X91" s="77" t="s">
        <v>35</v>
      </c>
      <c r="Y91" s="77" t="s">
        <v>43</v>
      </c>
      <c r="Z91" s="77" t="s">
        <v>72</v>
      </c>
      <c r="AA91" s="77" t="s">
        <v>82</v>
      </c>
      <c r="AB91" s="34" t="s">
        <v>195</v>
      </c>
    </row>
    <row r="92" spans="1:28" x14ac:dyDescent="0.15">
      <c r="A92" s="77" t="s">
        <v>24</v>
      </c>
      <c r="B92" s="77" t="s">
        <v>191</v>
      </c>
      <c r="C92" s="77">
        <v>2020</v>
      </c>
      <c r="D92" s="77" t="s">
        <v>370</v>
      </c>
      <c r="E92" s="77" t="s">
        <v>383</v>
      </c>
      <c r="F92" s="77" t="s">
        <v>377</v>
      </c>
      <c r="G92" s="77" t="s">
        <v>25</v>
      </c>
      <c r="H92" s="77" t="s">
        <v>113</v>
      </c>
      <c r="I92" s="77" t="s">
        <v>111</v>
      </c>
      <c r="J92" s="77" t="s">
        <v>27</v>
      </c>
      <c r="K92" s="77" t="s">
        <v>112</v>
      </c>
      <c r="L92" s="77">
        <v>1</v>
      </c>
      <c r="N92" s="77">
        <v>1</v>
      </c>
      <c r="O92" s="77">
        <v>1.75</v>
      </c>
      <c r="P92" s="77">
        <v>1.75</v>
      </c>
      <c r="Q92" s="140">
        <f t="shared" si="6"/>
        <v>1.75</v>
      </c>
      <c r="R92" s="77">
        <v>13.6</v>
      </c>
      <c r="S92" s="77">
        <v>122</v>
      </c>
      <c r="T92" s="16">
        <f t="shared" si="4"/>
        <v>27</v>
      </c>
      <c r="U92" s="77">
        <v>98</v>
      </c>
      <c r="V92" s="16">
        <f t="shared" si="5"/>
        <v>2646</v>
      </c>
      <c r="W92" s="77">
        <v>2</v>
      </c>
      <c r="X92" s="77" t="s">
        <v>35</v>
      </c>
      <c r="Y92" s="77" t="s">
        <v>74</v>
      </c>
      <c r="Z92" s="77" t="s">
        <v>43</v>
      </c>
      <c r="AA92" s="77" t="s">
        <v>55</v>
      </c>
      <c r="AB92" s="77" t="s">
        <v>195</v>
      </c>
    </row>
    <row r="93" spans="1:28" x14ac:dyDescent="0.15">
      <c r="A93" s="77" t="s">
        <v>24</v>
      </c>
      <c r="B93" s="77" t="s">
        <v>191</v>
      </c>
      <c r="C93" s="77">
        <v>2020</v>
      </c>
      <c r="D93" s="77" t="s">
        <v>370</v>
      </c>
      <c r="E93" s="77" t="s">
        <v>383</v>
      </c>
      <c r="F93" s="77" t="s">
        <v>377</v>
      </c>
      <c r="G93" s="77" t="s">
        <v>25</v>
      </c>
      <c r="H93" s="77" t="s">
        <v>113</v>
      </c>
      <c r="I93" s="77" t="s">
        <v>111</v>
      </c>
      <c r="J93" s="77" t="s">
        <v>27</v>
      </c>
      <c r="K93" s="77" t="s">
        <v>112</v>
      </c>
      <c r="L93" s="77">
        <v>2</v>
      </c>
      <c r="N93" s="77">
        <v>1</v>
      </c>
      <c r="O93" s="77">
        <v>0.75</v>
      </c>
      <c r="P93" s="77">
        <v>0.6</v>
      </c>
      <c r="Q93" s="140">
        <f t="shared" si="6"/>
        <v>0.67500000000000004</v>
      </c>
      <c r="R93" s="77">
        <v>13.4</v>
      </c>
      <c r="S93" s="77">
        <v>119</v>
      </c>
      <c r="T93" s="16">
        <f t="shared" si="4"/>
        <v>30</v>
      </c>
      <c r="U93" s="77">
        <v>98</v>
      </c>
      <c r="V93" s="16">
        <f t="shared" si="5"/>
        <v>2940</v>
      </c>
      <c r="W93" s="77">
        <v>2</v>
      </c>
      <c r="X93" s="77" t="s">
        <v>35</v>
      </c>
      <c r="Y93" s="77" t="s">
        <v>74</v>
      </c>
      <c r="Z93" s="77" t="s">
        <v>43</v>
      </c>
      <c r="AA93" s="77" t="s">
        <v>55</v>
      </c>
      <c r="AB93" s="77" t="s">
        <v>195</v>
      </c>
    </row>
    <row r="94" spans="1:28" x14ac:dyDescent="0.15">
      <c r="A94" s="77" t="s">
        <v>24</v>
      </c>
      <c r="B94" s="77" t="s">
        <v>191</v>
      </c>
      <c r="C94" s="77">
        <v>2020</v>
      </c>
      <c r="D94" s="77" t="s">
        <v>370</v>
      </c>
      <c r="E94" s="77" t="s">
        <v>383</v>
      </c>
      <c r="F94" s="77" t="s">
        <v>377</v>
      </c>
      <c r="G94" s="77" t="s">
        <v>25</v>
      </c>
      <c r="H94" s="77" t="s">
        <v>113</v>
      </c>
      <c r="I94" s="77" t="s">
        <v>111</v>
      </c>
      <c r="J94" s="77" t="s">
        <v>27</v>
      </c>
      <c r="K94" s="77" t="s">
        <v>112</v>
      </c>
      <c r="L94" s="77">
        <v>3</v>
      </c>
      <c r="N94" s="77">
        <v>1</v>
      </c>
      <c r="O94" s="77">
        <v>1.25</v>
      </c>
      <c r="P94" s="77">
        <v>1.1000000000000001</v>
      </c>
      <c r="Q94" s="140">
        <f t="shared" si="6"/>
        <v>1.175</v>
      </c>
      <c r="R94" s="77">
        <v>13.4</v>
      </c>
      <c r="S94" s="77">
        <v>122</v>
      </c>
      <c r="T94" s="16">
        <f t="shared" si="4"/>
        <v>27</v>
      </c>
      <c r="U94" s="77">
        <v>98</v>
      </c>
      <c r="V94" s="16">
        <f t="shared" si="5"/>
        <v>2646</v>
      </c>
      <c r="W94" s="77">
        <v>2</v>
      </c>
      <c r="X94" s="77" t="s">
        <v>35</v>
      </c>
      <c r="Y94" s="77" t="s">
        <v>74</v>
      </c>
      <c r="Z94" s="77" t="s">
        <v>43</v>
      </c>
      <c r="AA94" s="77" t="s">
        <v>55</v>
      </c>
      <c r="AB94" s="77" t="s">
        <v>195</v>
      </c>
    </row>
    <row r="95" spans="1:28" x14ac:dyDescent="0.15">
      <c r="A95" s="77" t="s">
        <v>24</v>
      </c>
      <c r="B95" s="77" t="s">
        <v>191</v>
      </c>
      <c r="C95" s="77">
        <v>2020</v>
      </c>
      <c r="D95" s="77" t="s">
        <v>370</v>
      </c>
      <c r="E95" s="77" t="s">
        <v>383</v>
      </c>
      <c r="F95" s="77" t="s">
        <v>377</v>
      </c>
      <c r="G95" s="77" t="s">
        <v>25</v>
      </c>
      <c r="H95" s="77" t="s">
        <v>113</v>
      </c>
      <c r="I95" s="77" t="s">
        <v>111</v>
      </c>
      <c r="J95" s="77" t="s">
        <v>27</v>
      </c>
      <c r="K95" s="77" t="s">
        <v>112</v>
      </c>
      <c r="L95" s="77">
        <v>1</v>
      </c>
      <c r="N95" s="77">
        <v>8</v>
      </c>
      <c r="O95" s="77">
        <v>1</v>
      </c>
      <c r="P95" s="77">
        <v>0.9</v>
      </c>
      <c r="Q95" s="140">
        <f t="shared" si="6"/>
        <v>0.95</v>
      </c>
      <c r="R95" s="77">
        <v>13.4</v>
      </c>
      <c r="S95" s="77">
        <v>85</v>
      </c>
      <c r="T95" s="16">
        <f t="shared" si="4"/>
        <v>36</v>
      </c>
      <c r="U95" s="77">
        <v>580</v>
      </c>
      <c r="V95" s="16">
        <f t="shared" si="5"/>
        <v>2610</v>
      </c>
      <c r="W95" s="77">
        <v>1</v>
      </c>
      <c r="X95" s="77" t="s">
        <v>35</v>
      </c>
      <c r="Y95" s="77" t="s">
        <v>74</v>
      </c>
      <c r="Z95" s="77" t="s">
        <v>43</v>
      </c>
      <c r="AA95" s="77" t="s">
        <v>55</v>
      </c>
      <c r="AB95" s="77" t="s">
        <v>195</v>
      </c>
    </row>
    <row r="96" spans="1:28" x14ac:dyDescent="0.15">
      <c r="A96" s="77" t="s">
        <v>24</v>
      </c>
      <c r="B96" s="77" t="s">
        <v>191</v>
      </c>
      <c r="C96" s="77">
        <v>2020</v>
      </c>
      <c r="D96" s="77" t="s">
        <v>370</v>
      </c>
      <c r="E96" s="77" t="s">
        <v>383</v>
      </c>
      <c r="F96" s="77" t="s">
        <v>377</v>
      </c>
      <c r="G96" s="77" t="s">
        <v>25</v>
      </c>
      <c r="H96" s="77" t="s">
        <v>113</v>
      </c>
      <c r="I96" s="77" t="s">
        <v>111</v>
      </c>
      <c r="J96" s="77" t="s">
        <v>27</v>
      </c>
      <c r="K96" s="77" t="s">
        <v>112</v>
      </c>
      <c r="L96" s="77">
        <v>2</v>
      </c>
      <c r="N96" s="77">
        <v>8</v>
      </c>
      <c r="O96" s="77">
        <v>0.8</v>
      </c>
      <c r="P96" s="77">
        <v>0.9</v>
      </c>
      <c r="Q96" s="140">
        <f t="shared" si="6"/>
        <v>0.85000000000000009</v>
      </c>
      <c r="R96" s="77">
        <v>13.4</v>
      </c>
      <c r="S96" s="77">
        <v>84</v>
      </c>
      <c r="T96" s="16">
        <f t="shared" si="4"/>
        <v>36</v>
      </c>
      <c r="U96" s="77">
        <v>580</v>
      </c>
      <c r="V96" s="16">
        <f t="shared" si="5"/>
        <v>2610</v>
      </c>
      <c r="W96" s="77">
        <v>1</v>
      </c>
      <c r="X96" s="77" t="s">
        <v>35</v>
      </c>
      <c r="Y96" s="77" t="s">
        <v>74</v>
      </c>
      <c r="Z96" s="77" t="s">
        <v>43</v>
      </c>
      <c r="AA96" s="77" t="s">
        <v>55</v>
      </c>
      <c r="AB96" s="77" t="s">
        <v>195</v>
      </c>
    </row>
    <row r="97" spans="1:28" x14ac:dyDescent="0.15">
      <c r="A97" s="77" t="s">
        <v>24</v>
      </c>
      <c r="B97" s="77" t="s">
        <v>191</v>
      </c>
      <c r="C97" s="77">
        <v>2020</v>
      </c>
      <c r="D97" s="77" t="s">
        <v>370</v>
      </c>
      <c r="E97" s="77" t="s">
        <v>383</v>
      </c>
      <c r="F97" s="77" t="s">
        <v>377</v>
      </c>
      <c r="G97" s="77" t="s">
        <v>25</v>
      </c>
      <c r="H97" s="77" t="s">
        <v>113</v>
      </c>
      <c r="I97" s="77" t="s">
        <v>111</v>
      </c>
      <c r="J97" s="77" t="s">
        <v>27</v>
      </c>
      <c r="K97" s="77" t="s">
        <v>112</v>
      </c>
      <c r="L97" s="77">
        <v>3</v>
      </c>
      <c r="N97" s="77">
        <v>8</v>
      </c>
      <c r="O97" s="77">
        <v>0.8</v>
      </c>
      <c r="P97" s="77">
        <v>0.8</v>
      </c>
      <c r="Q97" s="140">
        <f t="shared" si="6"/>
        <v>0.8</v>
      </c>
      <c r="R97" s="77">
        <v>14.4</v>
      </c>
      <c r="S97" s="77">
        <v>83</v>
      </c>
      <c r="T97" s="16">
        <f t="shared" si="4"/>
        <v>39</v>
      </c>
      <c r="U97" s="77">
        <v>580</v>
      </c>
      <c r="V97" s="16">
        <f t="shared" si="5"/>
        <v>2827.5</v>
      </c>
      <c r="W97" s="77">
        <v>1</v>
      </c>
      <c r="X97" s="77" t="s">
        <v>35</v>
      </c>
      <c r="Y97" s="77" t="s">
        <v>74</v>
      </c>
      <c r="Z97" s="77" t="s">
        <v>43</v>
      </c>
      <c r="AA97" s="77" t="s">
        <v>55</v>
      </c>
      <c r="AB97" s="77" t="s">
        <v>195</v>
      </c>
    </row>
    <row r="98" spans="1:28" x14ac:dyDescent="0.15">
      <c r="A98" s="77" t="s">
        <v>24</v>
      </c>
      <c r="B98" s="77" t="s">
        <v>191</v>
      </c>
      <c r="C98" s="77">
        <v>2020</v>
      </c>
      <c r="D98" s="77" t="s">
        <v>370</v>
      </c>
      <c r="E98" s="77" t="s">
        <v>383</v>
      </c>
      <c r="F98" s="77" t="s">
        <v>377</v>
      </c>
      <c r="G98" s="77" t="s">
        <v>25</v>
      </c>
      <c r="H98" s="77" t="s">
        <v>166</v>
      </c>
      <c r="I98" s="77" t="s">
        <v>111</v>
      </c>
      <c r="J98" s="77" t="s">
        <v>27</v>
      </c>
      <c r="K98" s="77" t="s">
        <v>112</v>
      </c>
      <c r="L98" s="77">
        <v>1</v>
      </c>
      <c r="N98" s="77">
        <v>1</v>
      </c>
      <c r="O98" s="77">
        <v>1</v>
      </c>
      <c r="P98" s="77">
        <v>1</v>
      </c>
      <c r="Q98" s="140">
        <f t="shared" si="6"/>
        <v>1</v>
      </c>
      <c r="R98" s="77">
        <v>15.1</v>
      </c>
      <c r="S98" s="77">
        <v>121</v>
      </c>
      <c r="T98" s="16">
        <f t="shared" si="4"/>
        <v>27</v>
      </c>
      <c r="U98" s="77">
        <v>128</v>
      </c>
      <c r="V98" s="16">
        <f t="shared" si="5"/>
        <v>3456</v>
      </c>
      <c r="W98" s="77">
        <v>4</v>
      </c>
      <c r="X98" s="77" t="s">
        <v>35</v>
      </c>
      <c r="Y98" s="77" t="s">
        <v>74</v>
      </c>
      <c r="Z98" s="77" t="s">
        <v>43</v>
      </c>
      <c r="AA98" s="77" t="s">
        <v>55</v>
      </c>
      <c r="AB98" s="77" t="s">
        <v>195</v>
      </c>
    </row>
    <row r="99" spans="1:28" x14ac:dyDescent="0.15">
      <c r="A99" s="77" t="s">
        <v>24</v>
      </c>
      <c r="B99" s="77" t="s">
        <v>191</v>
      </c>
      <c r="C99" s="77">
        <v>2020</v>
      </c>
      <c r="D99" s="77" t="s">
        <v>370</v>
      </c>
      <c r="E99" s="77" t="s">
        <v>383</v>
      </c>
      <c r="F99" s="77" t="s">
        <v>377</v>
      </c>
      <c r="G99" s="77" t="s">
        <v>25</v>
      </c>
      <c r="H99" s="77" t="s">
        <v>166</v>
      </c>
      <c r="I99" s="77" t="s">
        <v>111</v>
      </c>
      <c r="J99" s="77" t="s">
        <v>27</v>
      </c>
      <c r="K99" s="77" t="s">
        <v>112</v>
      </c>
      <c r="L99" s="77">
        <v>2</v>
      </c>
      <c r="N99" s="77">
        <v>1</v>
      </c>
      <c r="O99" s="77">
        <v>0.8</v>
      </c>
      <c r="P99" s="77">
        <v>1</v>
      </c>
      <c r="Q99" s="140">
        <f t="shared" si="6"/>
        <v>0.9</v>
      </c>
      <c r="R99" s="77">
        <v>15.4</v>
      </c>
      <c r="S99" s="77">
        <v>120</v>
      </c>
      <c r="T99" s="16">
        <f t="shared" si="4"/>
        <v>30</v>
      </c>
      <c r="U99" s="77">
        <v>128</v>
      </c>
      <c r="V99" s="16">
        <f t="shared" si="5"/>
        <v>3840</v>
      </c>
      <c r="W99" s="77">
        <v>4</v>
      </c>
      <c r="X99" s="77" t="s">
        <v>35</v>
      </c>
      <c r="Y99" s="77" t="s">
        <v>74</v>
      </c>
      <c r="Z99" s="77" t="s">
        <v>43</v>
      </c>
      <c r="AA99" s="77" t="s">
        <v>55</v>
      </c>
      <c r="AB99" s="77" t="s">
        <v>195</v>
      </c>
    </row>
    <row r="100" spans="1:28" x14ac:dyDescent="0.15">
      <c r="A100" s="77" t="s">
        <v>24</v>
      </c>
      <c r="B100" s="77" t="s">
        <v>191</v>
      </c>
      <c r="C100" s="77">
        <v>2020</v>
      </c>
      <c r="D100" s="77" t="s">
        <v>370</v>
      </c>
      <c r="E100" s="77" t="s">
        <v>383</v>
      </c>
      <c r="F100" s="77" t="s">
        <v>377</v>
      </c>
      <c r="G100" s="77" t="s">
        <v>25</v>
      </c>
      <c r="H100" s="77" t="s">
        <v>166</v>
      </c>
      <c r="I100" s="77" t="s">
        <v>111</v>
      </c>
      <c r="J100" s="77" t="s">
        <v>27</v>
      </c>
      <c r="K100" s="77" t="s">
        <v>112</v>
      </c>
      <c r="L100" s="77">
        <v>3</v>
      </c>
      <c r="N100" s="77">
        <v>1</v>
      </c>
      <c r="O100" s="77">
        <v>1.1000000000000001</v>
      </c>
      <c r="P100" s="77">
        <v>0.9</v>
      </c>
      <c r="Q100" s="140">
        <f t="shared" si="6"/>
        <v>1</v>
      </c>
      <c r="R100" s="77">
        <v>16.899999999999999</v>
      </c>
      <c r="S100" s="77">
        <v>123</v>
      </c>
      <c r="T100" s="16">
        <f t="shared" si="4"/>
        <v>27</v>
      </c>
      <c r="U100" s="77">
        <v>128</v>
      </c>
      <c r="V100" s="16">
        <f t="shared" si="5"/>
        <v>3456</v>
      </c>
      <c r="W100" s="77">
        <v>4</v>
      </c>
      <c r="X100" s="77" t="s">
        <v>35</v>
      </c>
      <c r="Y100" s="77" t="s">
        <v>74</v>
      </c>
      <c r="Z100" s="77" t="s">
        <v>43</v>
      </c>
      <c r="AA100" s="77" t="s">
        <v>55</v>
      </c>
      <c r="AB100" s="77" t="s">
        <v>195</v>
      </c>
    </row>
    <row r="101" spans="1:28" x14ac:dyDescent="0.15">
      <c r="A101" s="77" t="s">
        <v>24</v>
      </c>
      <c r="B101" s="77" t="s">
        <v>191</v>
      </c>
      <c r="C101" s="77">
        <v>2020</v>
      </c>
      <c r="D101" s="77" t="s">
        <v>370</v>
      </c>
      <c r="E101" s="77" t="s">
        <v>383</v>
      </c>
      <c r="F101" s="77" t="s">
        <v>377</v>
      </c>
      <c r="G101" s="77" t="s">
        <v>25</v>
      </c>
      <c r="H101" s="77" t="s">
        <v>166</v>
      </c>
      <c r="I101" s="77" t="s">
        <v>111</v>
      </c>
      <c r="J101" s="77" t="s">
        <v>27</v>
      </c>
      <c r="K101" s="77" t="s">
        <v>112</v>
      </c>
      <c r="L101" s="77">
        <v>1</v>
      </c>
      <c r="N101" s="77">
        <v>8</v>
      </c>
      <c r="O101" s="77">
        <v>1</v>
      </c>
      <c r="P101" s="77">
        <v>1</v>
      </c>
      <c r="Q101" s="140">
        <f t="shared" si="6"/>
        <v>1</v>
      </c>
      <c r="R101" s="77">
        <v>13.7</v>
      </c>
      <c r="S101" s="77">
        <v>82</v>
      </c>
      <c r="T101" s="16">
        <f t="shared" si="4"/>
        <v>39</v>
      </c>
      <c r="U101" s="77">
        <v>780</v>
      </c>
      <c r="V101" s="16">
        <f t="shared" si="5"/>
        <v>3802.5</v>
      </c>
      <c r="W101" s="77">
        <v>1</v>
      </c>
      <c r="X101" s="77" t="s">
        <v>35</v>
      </c>
      <c r="Y101" s="77" t="s">
        <v>74</v>
      </c>
      <c r="Z101" s="77" t="s">
        <v>43</v>
      </c>
      <c r="AA101" s="77" t="s">
        <v>55</v>
      </c>
      <c r="AB101" s="77" t="s">
        <v>195</v>
      </c>
    </row>
    <row r="102" spans="1:28" x14ac:dyDescent="0.15">
      <c r="A102" s="77" t="s">
        <v>24</v>
      </c>
      <c r="B102" s="77" t="s">
        <v>191</v>
      </c>
      <c r="C102" s="77">
        <v>2020</v>
      </c>
      <c r="D102" s="77" t="s">
        <v>370</v>
      </c>
      <c r="E102" s="77" t="s">
        <v>383</v>
      </c>
      <c r="F102" s="77" t="s">
        <v>377</v>
      </c>
      <c r="G102" s="77" t="s">
        <v>25</v>
      </c>
      <c r="H102" s="77" t="s">
        <v>166</v>
      </c>
      <c r="I102" s="77" t="s">
        <v>111</v>
      </c>
      <c r="J102" s="77" t="s">
        <v>27</v>
      </c>
      <c r="K102" s="77" t="s">
        <v>112</v>
      </c>
      <c r="L102" s="77">
        <v>2</v>
      </c>
      <c r="N102" s="77">
        <v>8</v>
      </c>
      <c r="O102" s="77">
        <v>1</v>
      </c>
      <c r="P102" s="77">
        <v>1</v>
      </c>
      <c r="Q102" s="140">
        <f t="shared" si="6"/>
        <v>1</v>
      </c>
      <c r="R102" s="77">
        <v>14.1</v>
      </c>
      <c r="S102" s="77">
        <v>83</v>
      </c>
      <c r="T102" s="16">
        <f t="shared" si="4"/>
        <v>39</v>
      </c>
      <c r="U102" s="77">
        <v>780</v>
      </c>
      <c r="V102" s="16">
        <f t="shared" si="5"/>
        <v>3802.5</v>
      </c>
      <c r="W102" s="77">
        <v>1</v>
      </c>
      <c r="X102" s="77" t="s">
        <v>35</v>
      </c>
      <c r="Y102" s="77" t="s">
        <v>74</v>
      </c>
      <c r="Z102" s="77" t="s">
        <v>43</v>
      </c>
      <c r="AA102" s="77" t="s">
        <v>55</v>
      </c>
      <c r="AB102" s="77" t="s">
        <v>195</v>
      </c>
    </row>
    <row r="103" spans="1:28" x14ac:dyDescent="0.15">
      <c r="A103" s="77" t="s">
        <v>24</v>
      </c>
      <c r="B103" s="77" t="s">
        <v>191</v>
      </c>
      <c r="C103" s="77">
        <v>2020</v>
      </c>
      <c r="D103" s="77" t="s">
        <v>370</v>
      </c>
      <c r="E103" s="77" t="s">
        <v>383</v>
      </c>
      <c r="F103" s="77" t="s">
        <v>377</v>
      </c>
      <c r="G103" s="77" t="s">
        <v>25</v>
      </c>
      <c r="H103" s="77" t="s">
        <v>166</v>
      </c>
      <c r="I103" s="77" t="s">
        <v>111</v>
      </c>
      <c r="J103" s="77" t="s">
        <v>27</v>
      </c>
      <c r="K103" s="77" t="s">
        <v>112</v>
      </c>
      <c r="L103" s="77">
        <v>3</v>
      </c>
      <c r="N103" s="77">
        <v>8</v>
      </c>
      <c r="O103" s="77">
        <v>1</v>
      </c>
      <c r="P103" s="77">
        <v>1</v>
      </c>
      <c r="Q103" s="140">
        <f t="shared" si="6"/>
        <v>1</v>
      </c>
      <c r="R103" s="77">
        <v>13.4</v>
      </c>
      <c r="S103" s="77">
        <v>80</v>
      </c>
      <c r="T103" s="16">
        <f t="shared" si="4"/>
        <v>39</v>
      </c>
      <c r="U103" s="77">
        <v>780</v>
      </c>
      <c r="V103" s="16">
        <f t="shared" si="5"/>
        <v>3802.5</v>
      </c>
      <c r="W103" s="77">
        <v>1</v>
      </c>
      <c r="X103" s="77" t="s">
        <v>35</v>
      </c>
      <c r="Y103" s="77" t="s">
        <v>74</v>
      </c>
      <c r="Z103" s="77" t="s">
        <v>43</v>
      </c>
      <c r="AA103" s="77" t="s">
        <v>55</v>
      </c>
      <c r="AB103" s="77" t="s">
        <v>195</v>
      </c>
    </row>
    <row r="104" spans="1:28" x14ac:dyDescent="0.15">
      <c r="A104" s="77" t="s">
        <v>24</v>
      </c>
      <c r="B104" s="77" t="s">
        <v>191</v>
      </c>
      <c r="C104" s="77">
        <v>2020</v>
      </c>
      <c r="D104" s="77" t="s">
        <v>370</v>
      </c>
      <c r="E104" s="77" t="s">
        <v>384</v>
      </c>
      <c r="F104" s="77" t="s">
        <v>382</v>
      </c>
      <c r="G104" s="77" t="s">
        <v>25</v>
      </c>
      <c r="H104" s="77" t="s">
        <v>113</v>
      </c>
      <c r="I104" s="77" t="s">
        <v>111</v>
      </c>
      <c r="J104" s="77" t="s">
        <v>27</v>
      </c>
      <c r="K104" s="77" t="s">
        <v>112</v>
      </c>
      <c r="L104" s="77">
        <v>1</v>
      </c>
      <c r="N104" s="77">
        <v>1</v>
      </c>
      <c r="O104" s="77">
        <v>0.75</v>
      </c>
      <c r="P104" s="77">
        <v>0.8</v>
      </c>
      <c r="Q104" s="140">
        <f t="shared" si="6"/>
        <v>0.77500000000000002</v>
      </c>
      <c r="R104" s="77">
        <v>13.7</v>
      </c>
      <c r="S104" s="77">
        <v>91</v>
      </c>
      <c r="T104" s="16">
        <f t="shared" si="4"/>
        <v>36</v>
      </c>
      <c r="U104" s="77">
        <v>78</v>
      </c>
      <c r="V104" s="16">
        <f t="shared" si="5"/>
        <v>2808</v>
      </c>
      <c r="W104" s="77">
        <v>2</v>
      </c>
      <c r="X104" s="77" t="s">
        <v>35</v>
      </c>
      <c r="Y104" s="77" t="s">
        <v>72</v>
      </c>
      <c r="Z104" s="77" t="s">
        <v>55</v>
      </c>
      <c r="AA104" s="77" t="s">
        <v>82</v>
      </c>
      <c r="AB104" s="77" t="s">
        <v>195</v>
      </c>
    </row>
    <row r="105" spans="1:28" x14ac:dyDescent="0.15">
      <c r="A105" s="77" t="s">
        <v>24</v>
      </c>
      <c r="B105" s="77" t="s">
        <v>191</v>
      </c>
      <c r="C105" s="77">
        <v>2020</v>
      </c>
      <c r="D105" s="77" t="s">
        <v>370</v>
      </c>
      <c r="E105" s="77" t="s">
        <v>384</v>
      </c>
      <c r="F105" s="77" t="s">
        <v>382</v>
      </c>
      <c r="G105" s="77" t="s">
        <v>25</v>
      </c>
      <c r="H105" s="77" t="s">
        <v>113</v>
      </c>
      <c r="I105" s="77" t="s">
        <v>111</v>
      </c>
      <c r="J105" s="77" t="s">
        <v>27</v>
      </c>
      <c r="K105" s="77" t="s">
        <v>112</v>
      </c>
      <c r="L105" s="77">
        <v>2</v>
      </c>
      <c r="N105" s="77">
        <v>1</v>
      </c>
      <c r="O105" s="77">
        <v>0.75</v>
      </c>
      <c r="P105" s="77">
        <v>0.7</v>
      </c>
      <c r="Q105" s="140">
        <f t="shared" si="6"/>
        <v>0.72499999999999998</v>
      </c>
      <c r="R105" s="77">
        <v>12.1</v>
      </c>
      <c r="S105" s="77">
        <v>86</v>
      </c>
      <c r="T105" s="16">
        <f t="shared" si="4"/>
        <v>36</v>
      </c>
      <c r="U105" s="77">
        <v>78</v>
      </c>
      <c r="V105" s="16">
        <f t="shared" si="5"/>
        <v>2808</v>
      </c>
      <c r="W105" s="77">
        <v>2</v>
      </c>
      <c r="X105" s="77" t="s">
        <v>35</v>
      </c>
      <c r="Y105" s="77" t="s">
        <v>72</v>
      </c>
      <c r="Z105" s="77" t="s">
        <v>55</v>
      </c>
      <c r="AA105" s="77" t="s">
        <v>82</v>
      </c>
      <c r="AB105" s="77" t="s">
        <v>195</v>
      </c>
    </row>
    <row r="106" spans="1:28" x14ac:dyDescent="0.15">
      <c r="A106" s="77" t="s">
        <v>24</v>
      </c>
      <c r="B106" s="77" t="s">
        <v>191</v>
      </c>
      <c r="C106" s="77">
        <v>2020</v>
      </c>
      <c r="D106" s="77" t="s">
        <v>370</v>
      </c>
      <c r="E106" s="77" t="s">
        <v>384</v>
      </c>
      <c r="F106" s="77" t="s">
        <v>382</v>
      </c>
      <c r="G106" s="77" t="s">
        <v>25</v>
      </c>
      <c r="H106" s="77" t="s">
        <v>113</v>
      </c>
      <c r="I106" s="77" t="s">
        <v>111</v>
      </c>
      <c r="J106" s="77" t="s">
        <v>27</v>
      </c>
      <c r="K106" s="77" t="s">
        <v>112</v>
      </c>
      <c r="L106" s="77">
        <v>3</v>
      </c>
      <c r="N106" s="77">
        <v>1</v>
      </c>
      <c r="O106" s="77">
        <v>0.8</v>
      </c>
      <c r="P106" s="77">
        <v>0.75</v>
      </c>
      <c r="Q106" s="140">
        <f t="shared" si="6"/>
        <v>0.77500000000000002</v>
      </c>
      <c r="R106" s="77">
        <v>13.3</v>
      </c>
      <c r="S106" s="77">
        <v>90</v>
      </c>
      <c r="T106" s="16">
        <f t="shared" si="4"/>
        <v>36</v>
      </c>
      <c r="U106" s="77">
        <v>78</v>
      </c>
      <c r="V106" s="16">
        <f t="shared" si="5"/>
        <v>2808</v>
      </c>
      <c r="W106" s="77">
        <v>2</v>
      </c>
      <c r="X106" s="77" t="s">
        <v>35</v>
      </c>
      <c r="Y106" s="77" t="s">
        <v>72</v>
      </c>
      <c r="Z106" s="77" t="s">
        <v>55</v>
      </c>
      <c r="AA106" s="77" t="s">
        <v>82</v>
      </c>
      <c r="AB106" s="77" t="s">
        <v>195</v>
      </c>
    </row>
    <row r="107" spans="1:28" x14ac:dyDescent="0.15">
      <c r="A107" s="77" t="s">
        <v>24</v>
      </c>
      <c r="B107" s="77" t="s">
        <v>191</v>
      </c>
      <c r="C107" s="77">
        <v>2020</v>
      </c>
      <c r="D107" s="77" t="s">
        <v>370</v>
      </c>
      <c r="E107" s="77" t="s">
        <v>384</v>
      </c>
      <c r="F107" s="77" t="s">
        <v>382</v>
      </c>
      <c r="G107" s="77" t="s">
        <v>25</v>
      </c>
      <c r="H107" s="77" t="s">
        <v>113</v>
      </c>
      <c r="I107" s="77" t="s">
        <v>111</v>
      </c>
      <c r="J107" s="77" t="s">
        <v>27</v>
      </c>
      <c r="K107" s="77" t="s">
        <v>112</v>
      </c>
      <c r="L107" s="77">
        <v>1</v>
      </c>
      <c r="N107" s="77">
        <v>4</v>
      </c>
      <c r="O107" s="77">
        <v>1</v>
      </c>
      <c r="P107" s="77">
        <v>0.8</v>
      </c>
      <c r="Q107" s="140">
        <f t="shared" si="6"/>
        <v>0.9</v>
      </c>
      <c r="R107" s="77">
        <v>14.4</v>
      </c>
      <c r="S107" s="77">
        <v>113</v>
      </c>
      <c r="T107" s="16">
        <f t="shared" si="4"/>
        <v>30</v>
      </c>
      <c r="U107" s="77">
        <v>398</v>
      </c>
      <c r="V107" s="16">
        <f t="shared" si="5"/>
        <v>2985</v>
      </c>
      <c r="W107" s="77">
        <v>1</v>
      </c>
      <c r="X107" s="77" t="s">
        <v>35</v>
      </c>
      <c r="Y107" s="77" t="s">
        <v>72</v>
      </c>
      <c r="Z107" s="77" t="s">
        <v>55</v>
      </c>
      <c r="AA107" s="77" t="s">
        <v>82</v>
      </c>
      <c r="AB107" s="77" t="s">
        <v>195</v>
      </c>
    </row>
    <row r="108" spans="1:28" x14ac:dyDescent="0.15">
      <c r="A108" s="77" t="s">
        <v>24</v>
      </c>
      <c r="B108" s="77" t="s">
        <v>191</v>
      </c>
      <c r="C108" s="77">
        <v>2020</v>
      </c>
      <c r="D108" s="77" t="s">
        <v>370</v>
      </c>
      <c r="E108" s="77" t="s">
        <v>384</v>
      </c>
      <c r="F108" s="77" t="s">
        <v>382</v>
      </c>
      <c r="G108" s="77" t="s">
        <v>25</v>
      </c>
      <c r="H108" s="77" t="s">
        <v>113</v>
      </c>
      <c r="I108" s="77" t="s">
        <v>111</v>
      </c>
      <c r="J108" s="77" t="s">
        <v>27</v>
      </c>
      <c r="K108" s="77" t="s">
        <v>112</v>
      </c>
      <c r="L108" s="77">
        <v>2</v>
      </c>
      <c r="N108" s="77">
        <v>4</v>
      </c>
      <c r="O108" s="77">
        <v>1</v>
      </c>
      <c r="P108" s="77">
        <v>1</v>
      </c>
      <c r="Q108" s="140">
        <f t="shared" si="6"/>
        <v>1</v>
      </c>
      <c r="R108" s="77">
        <v>18.100000000000001</v>
      </c>
      <c r="S108" s="77">
        <v>107</v>
      </c>
      <c r="T108" s="16">
        <f t="shared" si="4"/>
        <v>33</v>
      </c>
      <c r="U108" s="77">
        <v>398</v>
      </c>
      <c r="V108" s="16">
        <f t="shared" si="5"/>
        <v>3283.5</v>
      </c>
      <c r="W108" s="77">
        <v>1</v>
      </c>
      <c r="X108" s="77" t="s">
        <v>35</v>
      </c>
      <c r="Y108" s="77" t="s">
        <v>72</v>
      </c>
      <c r="Z108" s="77" t="s">
        <v>55</v>
      </c>
      <c r="AA108" s="77" t="s">
        <v>82</v>
      </c>
      <c r="AB108" s="77" t="s">
        <v>195</v>
      </c>
    </row>
    <row r="109" spans="1:28" x14ac:dyDescent="0.15">
      <c r="A109" s="77" t="s">
        <v>24</v>
      </c>
      <c r="B109" s="77" t="s">
        <v>191</v>
      </c>
      <c r="C109" s="77">
        <v>2020</v>
      </c>
      <c r="D109" s="77" t="s">
        <v>370</v>
      </c>
      <c r="E109" s="77" t="s">
        <v>384</v>
      </c>
      <c r="F109" s="77" t="s">
        <v>382</v>
      </c>
      <c r="G109" s="77" t="s">
        <v>25</v>
      </c>
      <c r="H109" s="77" t="s">
        <v>113</v>
      </c>
      <c r="I109" s="77" t="s">
        <v>111</v>
      </c>
      <c r="J109" s="77" t="s">
        <v>27</v>
      </c>
      <c r="K109" s="77" t="s">
        <v>112</v>
      </c>
      <c r="L109" s="77">
        <v>3</v>
      </c>
      <c r="N109" s="77">
        <v>4</v>
      </c>
      <c r="O109" s="77">
        <v>0.75</v>
      </c>
      <c r="P109" s="77">
        <v>0.7</v>
      </c>
      <c r="Q109" s="140">
        <f t="shared" si="6"/>
        <v>0.72499999999999998</v>
      </c>
      <c r="R109" s="77">
        <v>15.4</v>
      </c>
      <c r="S109" s="77">
        <v>106</v>
      </c>
      <c r="T109" s="16">
        <f t="shared" si="4"/>
        <v>33</v>
      </c>
      <c r="U109" s="77">
        <v>398</v>
      </c>
      <c r="V109" s="16">
        <f t="shared" si="5"/>
        <v>3283.5</v>
      </c>
      <c r="W109" s="77">
        <v>1</v>
      </c>
      <c r="X109" s="77" t="s">
        <v>35</v>
      </c>
      <c r="Y109" s="77" t="s">
        <v>72</v>
      </c>
      <c r="Z109" s="77" t="s">
        <v>55</v>
      </c>
      <c r="AA109" s="77" t="s">
        <v>82</v>
      </c>
      <c r="AB109" s="77" t="s">
        <v>195</v>
      </c>
    </row>
    <row r="110" spans="1:28" x14ac:dyDescent="0.15">
      <c r="A110" s="77" t="s">
        <v>24</v>
      </c>
      <c r="B110" s="77" t="s">
        <v>191</v>
      </c>
      <c r="C110" s="77">
        <v>2020</v>
      </c>
      <c r="D110" s="77" t="s">
        <v>370</v>
      </c>
      <c r="E110" s="77" t="s">
        <v>384</v>
      </c>
      <c r="F110" s="77" t="s">
        <v>382</v>
      </c>
      <c r="G110" s="77" t="s">
        <v>25</v>
      </c>
      <c r="H110" s="77" t="s">
        <v>166</v>
      </c>
      <c r="I110" s="77" t="s">
        <v>111</v>
      </c>
      <c r="J110" s="77" t="s">
        <v>27</v>
      </c>
      <c r="K110" s="77" t="s">
        <v>112</v>
      </c>
      <c r="L110" s="77">
        <v>1</v>
      </c>
      <c r="N110" s="77">
        <v>1</v>
      </c>
      <c r="O110" s="77">
        <v>1.2</v>
      </c>
      <c r="P110" s="77">
        <v>1.1000000000000001</v>
      </c>
      <c r="Q110" s="140">
        <f t="shared" si="6"/>
        <v>1.1499999999999999</v>
      </c>
      <c r="R110" s="77">
        <v>13.7</v>
      </c>
      <c r="S110" s="77">
        <v>115</v>
      </c>
      <c r="T110" s="16">
        <f t="shared" si="4"/>
        <v>30</v>
      </c>
      <c r="U110" s="77">
        <v>128</v>
      </c>
      <c r="V110" s="16">
        <f t="shared" si="5"/>
        <v>3840</v>
      </c>
      <c r="W110" s="77">
        <v>2</v>
      </c>
      <c r="X110" s="77" t="s">
        <v>35</v>
      </c>
      <c r="Y110" s="77" t="s">
        <v>72</v>
      </c>
      <c r="Z110" s="77" t="s">
        <v>55</v>
      </c>
      <c r="AA110" s="77" t="s">
        <v>82</v>
      </c>
      <c r="AB110" s="77" t="s">
        <v>195</v>
      </c>
    </row>
    <row r="111" spans="1:28" x14ac:dyDescent="0.15">
      <c r="A111" s="77" t="s">
        <v>24</v>
      </c>
      <c r="B111" s="77" t="s">
        <v>191</v>
      </c>
      <c r="C111" s="77">
        <v>2020</v>
      </c>
      <c r="D111" s="77" t="s">
        <v>370</v>
      </c>
      <c r="E111" s="77" t="s">
        <v>384</v>
      </c>
      <c r="F111" s="77" t="s">
        <v>382</v>
      </c>
      <c r="G111" s="77" t="s">
        <v>25</v>
      </c>
      <c r="H111" s="77" t="s">
        <v>166</v>
      </c>
      <c r="I111" s="77" t="s">
        <v>111</v>
      </c>
      <c r="J111" s="77" t="s">
        <v>27</v>
      </c>
      <c r="K111" s="77" t="s">
        <v>112</v>
      </c>
      <c r="L111" s="77">
        <v>2</v>
      </c>
      <c r="N111" s="77">
        <v>1</v>
      </c>
      <c r="O111" s="77">
        <v>0.75</v>
      </c>
      <c r="P111" s="77">
        <v>0.7</v>
      </c>
      <c r="Q111" s="140">
        <f t="shared" si="6"/>
        <v>0.72499999999999998</v>
      </c>
      <c r="R111" s="77">
        <v>15</v>
      </c>
      <c r="S111" s="77">
        <v>114</v>
      </c>
      <c r="T111" s="16">
        <f t="shared" si="4"/>
        <v>30</v>
      </c>
      <c r="U111" s="77">
        <v>128</v>
      </c>
      <c r="V111" s="16">
        <f t="shared" si="5"/>
        <v>3840</v>
      </c>
      <c r="W111" s="77">
        <v>2</v>
      </c>
      <c r="X111" s="77" t="s">
        <v>35</v>
      </c>
      <c r="Y111" s="77" t="s">
        <v>72</v>
      </c>
      <c r="Z111" s="77" t="s">
        <v>55</v>
      </c>
      <c r="AA111" s="77" t="s">
        <v>82</v>
      </c>
      <c r="AB111" s="77" t="s">
        <v>195</v>
      </c>
    </row>
    <row r="112" spans="1:28" x14ac:dyDescent="0.15">
      <c r="A112" s="77" t="s">
        <v>24</v>
      </c>
      <c r="B112" s="77" t="s">
        <v>191</v>
      </c>
      <c r="C112" s="77">
        <v>2020</v>
      </c>
      <c r="D112" s="77" t="s">
        <v>370</v>
      </c>
      <c r="E112" s="77" t="s">
        <v>384</v>
      </c>
      <c r="F112" s="77" t="s">
        <v>382</v>
      </c>
      <c r="G112" s="77" t="s">
        <v>25</v>
      </c>
      <c r="H112" s="77" t="s">
        <v>166</v>
      </c>
      <c r="I112" s="77" t="s">
        <v>111</v>
      </c>
      <c r="J112" s="77" t="s">
        <v>27</v>
      </c>
      <c r="K112" s="77" t="s">
        <v>112</v>
      </c>
      <c r="L112" s="77">
        <v>3</v>
      </c>
      <c r="N112" s="77">
        <v>1</v>
      </c>
      <c r="O112" s="77">
        <v>0.75</v>
      </c>
      <c r="P112" s="77">
        <v>0.75</v>
      </c>
      <c r="Q112" s="140">
        <f t="shared" si="6"/>
        <v>0.75</v>
      </c>
      <c r="R112" s="77">
        <v>15.2</v>
      </c>
      <c r="S112" s="77">
        <v>117</v>
      </c>
      <c r="T112" s="16">
        <f t="shared" si="4"/>
        <v>30</v>
      </c>
      <c r="U112" s="77">
        <v>128</v>
      </c>
      <c r="V112" s="16">
        <f t="shared" si="5"/>
        <v>3840</v>
      </c>
      <c r="W112" s="77">
        <v>2</v>
      </c>
      <c r="X112" s="77" t="s">
        <v>35</v>
      </c>
      <c r="Y112" s="77" t="s">
        <v>72</v>
      </c>
      <c r="Z112" s="77" t="s">
        <v>55</v>
      </c>
      <c r="AA112" s="77" t="s">
        <v>82</v>
      </c>
      <c r="AB112" s="77" t="s">
        <v>195</v>
      </c>
    </row>
    <row r="113" spans="1:28" x14ac:dyDescent="0.15">
      <c r="A113" s="77" t="s">
        <v>24</v>
      </c>
      <c r="B113" s="77" t="s">
        <v>191</v>
      </c>
      <c r="C113" s="77">
        <v>2020</v>
      </c>
      <c r="D113" s="77" t="s">
        <v>370</v>
      </c>
      <c r="E113" s="77" t="s">
        <v>384</v>
      </c>
      <c r="F113" s="77" t="s">
        <v>382</v>
      </c>
      <c r="G113" s="77" t="s">
        <v>25</v>
      </c>
      <c r="H113" s="77" t="s">
        <v>166</v>
      </c>
      <c r="I113" s="77" t="s">
        <v>111</v>
      </c>
      <c r="J113" s="77" t="s">
        <v>27</v>
      </c>
      <c r="K113" s="77" t="s">
        <v>112</v>
      </c>
      <c r="L113" s="77">
        <v>1</v>
      </c>
      <c r="N113" s="77">
        <v>4</v>
      </c>
      <c r="O113" s="77">
        <v>0.75</v>
      </c>
      <c r="P113" s="77">
        <v>0.7</v>
      </c>
      <c r="Q113" s="140">
        <f t="shared" si="6"/>
        <v>0.72499999999999998</v>
      </c>
      <c r="R113" s="77">
        <v>13.5</v>
      </c>
      <c r="S113" s="77">
        <v>110</v>
      </c>
      <c r="T113" s="16">
        <f t="shared" si="4"/>
        <v>33</v>
      </c>
      <c r="U113" s="77">
        <v>398</v>
      </c>
      <c r="V113" s="16">
        <f t="shared" si="5"/>
        <v>3283.5</v>
      </c>
      <c r="W113" s="77">
        <v>1</v>
      </c>
      <c r="X113" s="77" t="s">
        <v>35</v>
      </c>
      <c r="Y113" s="77" t="s">
        <v>72</v>
      </c>
      <c r="Z113" s="77" t="s">
        <v>55</v>
      </c>
      <c r="AA113" s="77" t="s">
        <v>82</v>
      </c>
      <c r="AB113" s="77" t="s">
        <v>195</v>
      </c>
    </row>
    <row r="114" spans="1:28" x14ac:dyDescent="0.15">
      <c r="A114" s="77" t="s">
        <v>24</v>
      </c>
      <c r="B114" s="77" t="s">
        <v>191</v>
      </c>
      <c r="C114" s="77">
        <v>2020</v>
      </c>
      <c r="D114" s="77" t="s">
        <v>370</v>
      </c>
      <c r="E114" s="77" t="s">
        <v>384</v>
      </c>
      <c r="F114" s="77" t="s">
        <v>382</v>
      </c>
      <c r="G114" s="77" t="s">
        <v>25</v>
      </c>
      <c r="H114" s="77" t="s">
        <v>166</v>
      </c>
      <c r="I114" s="77" t="s">
        <v>111</v>
      </c>
      <c r="J114" s="77" t="s">
        <v>27</v>
      </c>
      <c r="K114" s="77" t="s">
        <v>112</v>
      </c>
      <c r="L114" s="77">
        <v>2</v>
      </c>
      <c r="N114" s="77">
        <v>4</v>
      </c>
      <c r="O114" s="77">
        <v>0.7</v>
      </c>
      <c r="P114" s="77">
        <v>0.75</v>
      </c>
      <c r="Q114" s="140">
        <f t="shared" si="6"/>
        <v>0.72499999999999998</v>
      </c>
      <c r="R114" s="77">
        <v>15.4</v>
      </c>
      <c r="S114" s="77">
        <v>113</v>
      </c>
      <c r="T114" s="16">
        <f t="shared" si="4"/>
        <v>30</v>
      </c>
      <c r="U114" s="77">
        <v>398</v>
      </c>
      <c r="V114" s="16">
        <f t="shared" si="5"/>
        <v>2985</v>
      </c>
      <c r="W114" s="77">
        <v>1</v>
      </c>
      <c r="X114" s="77" t="s">
        <v>35</v>
      </c>
      <c r="Y114" s="77" t="s">
        <v>72</v>
      </c>
      <c r="Z114" s="77" t="s">
        <v>55</v>
      </c>
      <c r="AA114" s="77" t="s">
        <v>82</v>
      </c>
      <c r="AB114" s="77" t="s">
        <v>195</v>
      </c>
    </row>
    <row r="115" spans="1:28" x14ac:dyDescent="0.15">
      <c r="A115" s="77" t="s">
        <v>24</v>
      </c>
      <c r="B115" s="77" t="s">
        <v>191</v>
      </c>
      <c r="C115" s="77">
        <v>2020</v>
      </c>
      <c r="D115" s="77" t="s">
        <v>370</v>
      </c>
      <c r="E115" s="77" t="s">
        <v>384</v>
      </c>
      <c r="F115" s="77" t="s">
        <v>382</v>
      </c>
      <c r="G115" s="77" t="s">
        <v>25</v>
      </c>
      <c r="H115" s="77" t="s">
        <v>166</v>
      </c>
      <c r="I115" s="77" t="s">
        <v>111</v>
      </c>
      <c r="J115" s="77" t="s">
        <v>27</v>
      </c>
      <c r="K115" s="77" t="s">
        <v>112</v>
      </c>
      <c r="L115" s="77">
        <v>3</v>
      </c>
      <c r="N115" s="77">
        <v>4</v>
      </c>
      <c r="O115" s="77">
        <v>1</v>
      </c>
      <c r="P115" s="77">
        <v>1</v>
      </c>
      <c r="Q115" s="140">
        <f t="shared" si="6"/>
        <v>1</v>
      </c>
      <c r="R115" s="77">
        <v>14.4</v>
      </c>
      <c r="S115" s="77">
        <v>113</v>
      </c>
      <c r="T115" s="16">
        <f t="shared" si="4"/>
        <v>30</v>
      </c>
      <c r="U115" s="77">
        <v>398</v>
      </c>
      <c r="V115" s="16">
        <f t="shared" si="5"/>
        <v>2985</v>
      </c>
      <c r="W115" s="77">
        <v>1</v>
      </c>
      <c r="X115" s="77" t="s">
        <v>35</v>
      </c>
      <c r="Y115" s="77" t="s">
        <v>72</v>
      </c>
      <c r="Z115" s="77" t="s">
        <v>55</v>
      </c>
      <c r="AA115" s="77" t="s">
        <v>82</v>
      </c>
      <c r="AB115" s="77" t="s">
        <v>195</v>
      </c>
    </row>
    <row r="116" spans="1:28" x14ac:dyDescent="0.15">
      <c r="A116" s="77" t="s">
        <v>24</v>
      </c>
      <c r="B116" s="77" t="s">
        <v>191</v>
      </c>
      <c r="C116" s="77">
        <v>2020</v>
      </c>
      <c r="D116" s="77" t="s">
        <v>370</v>
      </c>
      <c r="E116" s="77" t="s">
        <v>371</v>
      </c>
      <c r="F116" s="77" t="s">
        <v>372</v>
      </c>
      <c r="G116" s="77" t="s">
        <v>25</v>
      </c>
      <c r="H116" s="77" t="s">
        <v>113</v>
      </c>
      <c r="I116" s="77" t="s">
        <v>111</v>
      </c>
      <c r="J116" s="77" t="s">
        <v>27</v>
      </c>
      <c r="K116" s="77" t="s">
        <v>112</v>
      </c>
      <c r="L116" s="77">
        <v>1</v>
      </c>
      <c r="N116" s="77">
        <v>1</v>
      </c>
      <c r="O116" s="77">
        <v>1</v>
      </c>
      <c r="P116" s="77">
        <v>1.1000000000000001</v>
      </c>
      <c r="Q116" s="140">
        <f t="shared" si="6"/>
        <v>1.05</v>
      </c>
      <c r="R116" s="77">
        <v>13.9</v>
      </c>
      <c r="S116" s="77">
        <v>119</v>
      </c>
      <c r="T116" s="16">
        <f t="shared" si="4"/>
        <v>30</v>
      </c>
      <c r="U116" s="77">
        <v>93</v>
      </c>
      <c r="V116" s="16">
        <f t="shared" si="5"/>
        <v>2790</v>
      </c>
      <c r="W116" s="77">
        <v>3</v>
      </c>
      <c r="X116" s="77" t="s">
        <v>35</v>
      </c>
      <c r="Y116" s="77" t="s">
        <v>43</v>
      </c>
      <c r="Z116" s="77" t="s">
        <v>72</v>
      </c>
      <c r="AA116" s="77" t="s">
        <v>82</v>
      </c>
      <c r="AB116" s="77" t="s">
        <v>195</v>
      </c>
    </row>
    <row r="117" spans="1:28" x14ac:dyDescent="0.15">
      <c r="A117" s="77" t="s">
        <v>24</v>
      </c>
      <c r="B117" s="77" t="s">
        <v>191</v>
      </c>
      <c r="C117" s="77">
        <v>2020</v>
      </c>
      <c r="D117" s="77" t="s">
        <v>370</v>
      </c>
      <c r="E117" s="77" t="s">
        <v>371</v>
      </c>
      <c r="F117" s="77" t="s">
        <v>372</v>
      </c>
      <c r="G117" s="77" t="s">
        <v>25</v>
      </c>
      <c r="H117" s="77" t="s">
        <v>113</v>
      </c>
      <c r="I117" s="77" t="s">
        <v>111</v>
      </c>
      <c r="J117" s="77" t="s">
        <v>27</v>
      </c>
      <c r="K117" s="77" t="s">
        <v>112</v>
      </c>
      <c r="L117" s="77">
        <v>2</v>
      </c>
      <c r="N117" s="77">
        <v>1</v>
      </c>
      <c r="O117" s="77">
        <v>0.8</v>
      </c>
      <c r="P117" s="77">
        <v>0.9</v>
      </c>
      <c r="Q117" s="140">
        <f t="shared" si="6"/>
        <v>0.85000000000000009</v>
      </c>
      <c r="R117" s="77">
        <v>13.5</v>
      </c>
      <c r="S117" s="77">
        <v>117</v>
      </c>
      <c r="T117" s="16">
        <f t="shared" si="4"/>
        <v>30</v>
      </c>
      <c r="U117" s="77">
        <v>93</v>
      </c>
      <c r="V117" s="16">
        <f t="shared" si="5"/>
        <v>2790</v>
      </c>
      <c r="W117" s="77">
        <v>3</v>
      </c>
      <c r="X117" s="77" t="s">
        <v>35</v>
      </c>
      <c r="Y117" s="77" t="s">
        <v>43</v>
      </c>
      <c r="Z117" s="77" t="s">
        <v>72</v>
      </c>
      <c r="AA117" s="77" t="s">
        <v>82</v>
      </c>
      <c r="AB117" s="77" t="s">
        <v>195</v>
      </c>
    </row>
    <row r="118" spans="1:28" x14ac:dyDescent="0.15">
      <c r="A118" s="77" t="s">
        <v>24</v>
      </c>
      <c r="B118" s="77" t="s">
        <v>191</v>
      </c>
      <c r="C118" s="77">
        <v>2020</v>
      </c>
      <c r="D118" s="77" t="s">
        <v>370</v>
      </c>
      <c r="E118" s="77" t="s">
        <v>371</v>
      </c>
      <c r="F118" s="77" t="s">
        <v>372</v>
      </c>
      <c r="G118" s="77" t="s">
        <v>25</v>
      </c>
      <c r="H118" s="77" t="s">
        <v>113</v>
      </c>
      <c r="I118" s="77" t="s">
        <v>111</v>
      </c>
      <c r="J118" s="77" t="s">
        <v>27</v>
      </c>
      <c r="K118" s="77" t="s">
        <v>112</v>
      </c>
      <c r="L118" s="77">
        <v>3</v>
      </c>
      <c r="N118" s="77">
        <v>1</v>
      </c>
      <c r="O118" s="77">
        <v>0.7</v>
      </c>
      <c r="P118" s="77">
        <v>0.75</v>
      </c>
      <c r="Q118" s="140">
        <f t="shared" si="6"/>
        <v>0.72499999999999998</v>
      </c>
      <c r="R118" s="77">
        <v>12.5</v>
      </c>
      <c r="S118" s="77">
        <v>118</v>
      </c>
      <c r="T118" s="16">
        <f t="shared" si="4"/>
        <v>30</v>
      </c>
      <c r="U118" s="77">
        <v>93</v>
      </c>
      <c r="V118" s="16">
        <f t="shared" si="5"/>
        <v>2790</v>
      </c>
      <c r="W118" s="77">
        <v>3</v>
      </c>
      <c r="X118" s="77" t="s">
        <v>35</v>
      </c>
      <c r="Y118" s="77" t="s">
        <v>43</v>
      </c>
      <c r="Z118" s="77" t="s">
        <v>72</v>
      </c>
      <c r="AA118" s="77" t="s">
        <v>82</v>
      </c>
      <c r="AB118" s="77" t="s">
        <v>195</v>
      </c>
    </row>
    <row r="119" spans="1:28" x14ac:dyDescent="0.15">
      <c r="A119" s="77" t="s">
        <v>24</v>
      </c>
      <c r="B119" s="77" t="s">
        <v>191</v>
      </c>
      <c r="C119" s="77">
        <v>2020</v>
      </c>
      <c r="D119" s="77" t="s">
        <v>370</v>
      </c>
      <c r="E119" s="77" t="s">
        <v>371</v>
      </c>
      <c r="F119" s="77" t="s">
        <v>372</v>
      </c>
      <c r="G119" s="77" t="s">
        <v>25</v>
      </c>
      <c r="H119" s="77" t="s">
        <v>113</v>
      </c>
      <c r="I119" s="77" t="s">
        <v>111</v>
      </c>
      <c r="J119" s="77" t="s">
        <v>27</v>
      </c>
      <c r="K119" s="77" t="s">
        <v>112</v>
      </c>
      <c r="L119" s="77">
        <v>1</v>
      </c>
      <c r="N119" s="77">
        <v>5</v>
      </c>
      <c r="O119" s="77">
        <v>0.75</v>
      </c>
      <c r="P119" s="77">
        <v>0.6</v>
      </c>
      <c r="Q119" s="140">
        <f t="shared" si="6"/>
        <v>0.67500000000000004</v>
      </c>
      <c r="R119" s="77">
        <v>11.8</v>
      </c>
      <c r="S119" s="77">
        <v>83</v>
      </c>
      <c r="T119" s="16">
        <f t="shared" si="4"/>
        <v>39</v>
      </c>
      <c r="U119" s="77">
        <v>398</v>
      </c>
      <c r="V119" s="16">
        <f t="shared" si="5"/>
        <v>3104.3999999999996</v>
      </c>
      <c r="W119" s="77">
        <v>2</v>
      </c>
      <c r="X119" s="77" t="s">
        <v>35</v>
      </c>
      <c r="Y119" s="77" t="s">
        <v>43</v>
      </c>
      <c r="Z119" s="77" t="s">
        <v>72</v>
      </c>
      <c r="AA119" s="77" t="s">
        <v>82</v>
      </c>
      <c r="AB119" s="77" t="s">
        <v>195</v>
      </c>
    </row>
    <row r="120" spans="1:28" x14ac:dyDescent="0.15">
      <c r="A120" s="77" t="s">
        <v>24</v>
      </c>
      <c r="B120" s="77" t="s">
        <v>191</v>
      </c>
      <c r="C120" s="77">
        <v>2020</v>
      </c>
      <c r="D120" s="77" t="s">
        <v>370</v>
      </c>
      <c r="E120" s="77" t="s">
        <v>371</v>
      </c>
      <c r="F120" s="77" t="s">
        <v>372</v>
      </c>
      <c r="G120" s="77" t="s">
        <v>25</v>
      </c>
      <c r="H120" s="77" t="s">
        <v>113</v>
      </c>
      <c r="I120" s="77" t="s">
        <v>111</v>
      </c>
      <c r="J120" s="77" t="s">
        <v>27</v>
      </c>
      <c r="K120" s="77" t="s">
        <v>112</v>
      </c>
      <c r="L120" s="77">
        <v>2</v>
      </c>
      <c r="N120" s="77">
        <v>5</v>
      </c>
      <c r="O120" s="77">
        <v>0.5</v>
      </c>
      <c r="P120" s="77">
        <v>0.5</v>
      </c>
      <c r="Q120" s="140">
        <f t="shared" si="6"/>
        <v>0.5</v>
      </c>
      <c r="R120" s="77">
        <v>14.4</v>
      </c>
      <c r="S120" s="77">
        <v>86</v>
      </c>
      <c r="T120" s="16">
        <f t="shared" si="4"/>
        <v>36</v>
      </c>
      <c r="U120" s="77">
        <v>398</v>
      </c>
      <c r="V120" s="16">
        <f t="shared" si="5"/>
        <v>2865.6</v>
      </c>
      <c r="W120" s="77">
        <v>2</v>
      </c>
      <c r="X120" s="77" t="s">
        <v>35</v>
      </c>
      <c r="Y120" s="77" t="s">
        <v>43</v>
      </c>
      <c r="Z120" s="77" t="s">
        <v>72</v>
      </c>
      <c r="AA120" s="77" t="s">
        <v>82</v>
      </c>
      <c r="AB120" s="77" t="s">
        <v>195</v>
      </c>
    </row>
    <row r="121" spans="1:28" x14ac:dyDescent="0.15">
      <c r="A121" s="77" t="s">
        <v>24</v>
      </c>
      <c r="B121" s="77" t="s">
        <v>191</v>
      </c>
      <c r="C121" s="77">
        <v>2020</v>
      </c>
      <c r="D121" s="77" t="s">
        <v>370</v>
      </c>
      <c r="E121" s="77" t="s">
        <v>371</v>
      </c>
      <c r="F121" s="77" t="s">
        <v>372</v>
      </c>
      <c r="G121" s="77" t="s">
        <v>25</v>
      </c>
      <c r="H121" s="77" t="s">
        <v>113</v>
      </c>
      <c r="I121" s="77" t="s">
        <v>111</v>
      </c>
      <c r="J121" s="77" t="s">
        <v>27</v>
      </c>
      <c r="K121" s="77" t="s">
        <v>112</v>
      </c>
      <c r="L121" s="77">
        <v>3</v>
      </c>
      <c r="N121" s="77">
        <v>5</v>
      </c>
      <c r="O121" s="77">
        <v>0.9</v>
      </c>
      <c r="P121" s="77">
        <v>0.8</v>
      </c>
      <c r="Q121" s="141">
        <f t="shared" si="6"/>
        <v>0.85000000000000009</v>
      </c>
      <c r="R121" s="77">
        <v>14.4</v>
      </c>
      <c r="S121" s="77">
        <v>82</v>
      </c>
      <c r="T121" s="16">
        <f t="shared" si="4"/>
        <v>39</v>
      </c>
      <c r="U121" s="77">
        <v>398</v>
      </c>
      <c r="V121" s="16">
        <f t="shared" si="5"/>
        <v>3104.3999999999996</v>
      </c>
      <c r="W121" s="77">
        <v>2</v>
      </c>
      <c r="X121" s="77" t="s">
        <v>35</v>
      </c>
      <c r="Y121" s="77" t="s">
        <v>43</v>
      </c>
      <c r="Z121" s="77" t="s">
        <v>72</v>
      </c>
      <c r="AA121" s="77" t="s">
        <v>82</v>
      </c>
      <c r="AB121" s="77" t="s">
        <v>195</v>
      </c>
    </row>
    <row r="122" spans="1:28" x14ac:dyDescent="0.15">
      <c r="A122" s="77" t="s">
        <v>24</v>
      </c>
      <c r="B122" s="77" t="s">
        <v>191</v>
      </c>
      <c r="C122" s="77">
        <v>2020</v>
      </c>
      <c r="D122" s="77" t="s">
        <v>370</v>
      </c>
      <c r="E122" s="77" t="s">
        <v>371</v>
      </c>
      <c r="F122" s="77" t="s">
        <v>372</v>
      </c>
      <c r="G122" s="77" t="s">
        <v>25</v>
      </c>
      <c r="H122" s="77" t="s">
        <v>113</v>
      </c>
      <c r="I122" s="77" t="s">
        <v>111</v>
      </c>
      <c r="J122" s="77" t="s">
        <v>27</v>
      </c>
      <c r="K122" s="77" t="s">
        <v>112</v>
      </c>
      <c r="L122" s="77">
        <v>1</v>
      </c>
      <c r="N122" s="77">
        <v>8</v>
      </c>
      <c r="O122" s="77">
        <v>0.8</v>
      </c>
      <c r="P122" s="77">
        <v>0.75</v>
      </c>
      <c r="Q122" s="141">
        <f t="shared" si="6"/>
        <v>0.77500000000000002</v>
      </c>
      <c r="R122" s="77">
        <v>13.4</v>
      </c>
      <c r="S122" s="77">
        <v>80</v>
      </c>
      <c r="T122" s="16">
        <f t="shared" si="4"/>
        <v>39</v>
      </c>
      <c r="U122" s="77">
        <v>498</v>
      </c>
      <c r="V122" s="16">
        <f t="shared" si="5"/>
        <v>2427.75</v>
      </c>
      <c r="W122" s="77">
        <v>2</v>
      </c>
      <c r="X122" s="77" t="s">
        <v>35</v>
      </c>
      <c r="Y122" s="77" t="s">
        <v>43</v>
      </c>
      <c r="Z122" s="77" t="s">
        <v>72</v>
      </c>
      <c r="AA122" s="77" t="s">
        <v>82</v>
      </c>
      <c r="AB122" s="77" t="s">
        <v>195</v>
      </c>
    </row>
    <row r="123" spans="1:28" x14ac:dyDescent="0.15">
      <c r="A123" s="77" t="s">
        <v>24</v>
      </c>
      <c r="B123" s="77" t="s">
        <v>191</v>
      </c>
      <c r="C123" s="77">
        <v>2020</v>
      </c>
      <c r="D123" s="77" t="s">
        <v>370</v>
      </c>
      <c r="E123" s="77" t="s">
        <v>371</v>
      </c>
      <c r="F123" s="77" t="s">
        <v>372</v>
      </c>
      <c r="G123" s="77" t="s">
        <v>25</v>
      </c>
      <c r="H123" s="77" t="s">
        <v>113</v>
      </c>
      <c r="I123" s="77" t="s">
        <v>111</v>
      </c>
      <c r="J123" s="77" t="s">
        <v>27</v>
      </c>
      <c r="K123" s="77" t="s">
        <v>112</v>
      </c>
      <c r="L123" s="77">
        <v>2</v>
      </c>
      <c r="N123" s="77">
        <v>8</v>
      </c>
      <c r="O123" s="77">
        <v>0.9</v>
      </c>
      <c r="P123" s="77">
        <v>0.8</v>
      </c>
      <c r="Q123" s="141">
        <f t="shared" si="6"/>
        <v>0.85000000000000009</v>
      </c>
      <c r="R123" s="77">
        <v>12.9</v>
      </c>
      <c r="S123" s="77">
        <v>83</v>
      </c>
      <c r="T123" s="16">
        <f t="shared" si="4"/>
        <v>39</v>
      </c>
      <c r="U123" s="77">
        <v>498</v>
      </c>
      <c r="V123" s="16">
        <f t="shared" si="5"/>
        <v>2427.75</v>
      </c>
      <c r="W123" s="77">
        <v>2</v>
      </c>
      <c r="X123" s="77" t="s">
        <v>35</v>
      </c>
      <c r="Y123" s="77" t="s">
        <v>43</v>
      </c>
      <c r="Z123" s="77" t="s">
        <v>72</v>
      </c>
      <c r="AA123" s="77" t="s">
        <v>82</v>
      </c>
      <c r="AB123" s="77" t="s">
        <v>195</v>
      </c>
    </row>
    <row r="124" spans="1:28" x14ac:dyDescent="0.15">
      <c r="A124" s="77" t="s">
        <v>24</v>
      </c>
      <c r="B124" s="77" t="s">
        <v>191</v>
      </c>
      <c r="C124" s="77">
        <v>2020</v>
      </c>
      <c r="D124" s="77" t="s">
        <v>370</v>
      </c>
      <c r="E124" s="77" t="s">
        <v>371</v>
      </c>
      <c r="F124" s="77" t="s">
        <v>372</v>
      </c>
      <c r="G124" s="77" t="s">
        <v>25</v>
      </c>
      <c r="H124" s="77" t="s">
        <v>113</v>
      </c>
      <c r="I124" s="77" t="s">
        <v>111</v>
      </c>
      <c r="J124" s="77" t="s">
        <v>27</v>
      </c>
      <c r="K124" s="77" t="s">
        <v>112</v>
      </c>
      <c r="L124" s="77">
        <v>3</v>
      </c>
      <c r="N124" s="77">
        <v>8</v>
      </c>
      <c r="O124" s="77">
        <v>0.8</v>
      </c>
      <c r="P124" s="77">
        <v>0.75</v>
      </c>
      <c r="Q124" s="141">
        <f t="shared" si="6"/>
        <v>0.77500000000000002</v>
      </c>
      <c r="R124" s="77">
        <v>13.4</v>
      </c>
      <c r="S124" s="77">
        <v>85</v>
      </c>
      <c r="T124" s="16">
        <f t="shared" si="4"/>
        <v>36</v>
      </c>
      <c r="U124" s="77">
        <v>498</v>
      </c>
      <c r="V124" s="16">
        <f t="shared" si="5"/>
        <v>2241</v>
      </c>
      <c r="W124" s="77">
        <v>2</v>
      </c>
      <c r="X124" s="77" t="s">
        <v>35</v>
      </c>
      <c r="Y124" s="77" t="s">
        <v>43</v>
      </c>
      <c r="Z124" s="77" t="s">
        <v>72</v>
      </c>
      <c r="AA124" s="77" t="s">
        <v>82</v>
      </c>
      <c r="AB124" s="77" t="s">
        <v>195</v>
      </c>
    </row>
    <row r="125" spans="1:28" x14ac:dyDescent="0.15">
      <c r="A125" s="77" t="s">
        <v>24</v>
      </c>
      <c r="B125" s="77" t="s">
        <v>191</v>
      </c>
      <c r="C125" s="77">
        <v>2020</v>
      </c>
      <c r="D125" s="77" t="s">
        <v>370</v>
      </c>
      <c r="E125" s="77" t="s">
        <v>371</v>
      </c>
      <c r="F125" s="77" t="s">
        <v>372</v>
      </c>
      <c r="G125" s="77" t="s">
        <v>25</v>
      </c>
      <c r="H125" s="77" t="s">
        <v>166</v>
      </c>
      <c r="I125" s="77" t="s">
        <v>111</v>
      </c>
      <c r="J125" s="77" t="s">
        <v>27</v>
      </c>
      <c r="K125" s="77" t="s">
        <v>112</v>
      </c>
      <c r="L125" s="77">
        <v>1</v>
      </c>
      <c r="N125" s="77">
        <v>1</v>
      </c>
      <c r="O125" s="77">
        <v>0.9</v>
      </c>
      <c r="P125" s="77">
        <v>0.8</v>
      </c>
      <c r="Q125" s="141">
        <f t="shared" si="6"/>
        <v>0.85000000000000009</v>
      </c>
      <c r="R125" s="77">
        <v>16.899999999999999</v>
      </c>
      <c r="S125" s="77">
        <v>127</v>
      </c>
      <c r="T125" s="16">
        <f t="shared" si="4"/>
        <v>27</v>
      </c>
      <c r="U125" s="77">
        <v>93</v>
      </c>
      <c r="V125" s="16">
        <f t="shared" si="5"/>
        <v>2511</v>
      </c>
      <c r="W125" s="77">
        <v>7</v>
      </c>
      <c r="X125" s="77" t="s">
        <v>35</v>
      </c>
      <c r="Y125" s="77" t="s">
        <v>43</v>
      </c>
      <c r="Z125" s="77" t="s">
        <v>72</v>
      </c>
      <c r="AA125" s="77" t="s">
        <v>82</v>
      </c>
      <c r="AB125" s="77" t="s">
        <v>195</v>
      </c>
    </row>
    <row r="126" spans="1:28" x14ac:dyDescent="0.15">
      <c r="A126" s="77" t="s">
        <v>24</v>
      </c>
      <c r="B126" s="77" t="s">
        <v>191</v>
      </c>
      <c r="C126" s="77">
        <v>2020</v>
      </c>
      <c r="D126" s="77" t="s">
        <v>370</v>
      </c>
      <c r="E126" s="77" t="s">
        <v>371</v>
      </c>
      <c r="F126" s="77" t="s">
        <v>372</v>
      </c>
      <c r="G126" s="77" t="s">
        <v>25</v>
      </c>
      <c r="H126" s="77" t="s">
        <v>166</v>
      </c>
      <c r="I126" s="77" t="s">
        <v>111</v>
      </c>
      <c r="J126" s="77" t="s">
        <v>27</v>
      </c>
      <c r="K126" s="77" t="s">
        <v>112</v>
      </c>
      <c r="L126" s="77">
        <v>2</v>
      </c>
      <c r="N126" s="77">
        <v>1</v>
      </c>
      <c r="O126" s="77">
        <v>1.1000000000000001</v>
      </c>
      <c r="P126" s="77">
        <v>1</v>
      </c>
      <c r="Q126" s="141">
        <f t="shared" si="6"/>
        <v>1.05</v>
      </c>
      <c r="R126" s="77">
        <v>15.2</v>
      </c>
      <c r="S126" s="77">
        <v>125</v>
      </c>
      <c r="T126" s="16">
        <f t="shared" si="4"/>
        <v>27</v>
      </c>
      <c r="U126" s="77">
        <v>93</v>
      </c>
      <c r="V126" s="16">
        <f t="shared" si="5"/>
        <v>2511</v>
      </c>
      <c r="W126" s="77">
        <v>7</v>
      </c>
      <c r="X126" s="77" t="s">
        <v>35</v>
      </c>
      <c r="Y126" s="77" t="s">
        <v>43</v>
      </c>
      <c r="Z126" s="77" t="s">
        <v>72</v>
      </c>
      <c r="AA126" s="77" t="s">
        <v>82</v>
      </c>
      <c r="AB126" s="77" t="s">
        <v>195</v>
      </c>
    </row>
    <row r="127" spans="1:28" x14ac:dyDescent="0.15">
      <c r="A127" s="77" t="s">
        <v>24</v>
      </c>
      <c r="B127" s="77" t="s">
        <v>191</v>
      </c>
      <c r="C127" s="77">
        <v>2020</v>
      </c>
      <c r="D127" s="77" t="s">
        <v>370</v>
      </c>
      <c r="E127" s="77" t="s">
        <v>371</v>
      </c>
      <c r="F127" s="77" t="s">
        <v>372</v>
      </c>
      <c r="G127" s="77" t="s">
        <v>25</v>
      </c>
      <c r="H127" s="77" t="s">
        <v>166</v>
      </c>
      <c r="I127" s="77" t="s">
        <v>111</v>
      </c>
      <c r="J127" s="77" t="s">
        <v>27</v>
      </c>
      <c r="K127" s="77" t="s">
        <v>112</v>
      </c>
      <c r="L127" s="77">
        <v>3</v>
      </c>
      <c r="N127" s="77">
        <v>1</v>
      </c>
      <c r="O127" s="77">
        <v>1.1000000000000001</v>
      </c>
      <c r="P127" s="77">
        <v>1.25</v>
      </c>
      <c r="Q127" s="141">
        <f t="shared" si="6"/>
        <v>1.175</v>
      </c>
      <c r="R127" s="77">
        <v>19.600000000000001</v>
      </c>
      <c r="S127" s="77">
        <v>124</v>
      </c>
      <c r="T127" s="16">
        <f t="shared" si="4"/>
        <v>27</v>
      </c>
      <c r="U127" s="77">
        <v>93</v>
      </c>
      <c r="V127" s="16">
        <f t="shared" si="5"/>
        <v>2511</v>
      </c>
      <c r="W127" s="77">
        <v>7</v>
      </c>
      <c r="X127" s="77" t="s">
        <v>35</v>
      </c>
      <c r="Y127" s="77" t="s">
        <v>43</v>
      </c>
      <c r="Z127" s="77" t="s">
        <v>72</v>
      </c>
      <c r="AA127" s="77" t="s">
        <v>82</v>
      </c>
      <c r="AB127" s="77" t="s">
        <v>195</v>
      </c>
    </row>
    <row r="128" spans="1:28" x14ac:dyDescent="0.15">
      <c r="A128" s="77" t="s">
        <v>24</v>
      </c>
      <c r="B128" s="77" t="s">
        <v>191</v>
      </c>
      <c r="C128" s="77">
        <v>2020</v>
      </c>
      <c r="D128" s="77" t="s">
        <v>370</v>
      </c>
      <c r="E128" s="77" t="s">
        <v>371</v>
      </c>
      <c r="F128" s="77" t="s">
        <v>372</v>
      </c>
      <c r="G128" s="77" t="s">
        <v>25</v>
      </c>
      <c r="H128" s="77" t="s">
        <v>166</v>
      </c>
      <c r="I128" s="77" t="s">
        <v>111</v>
      </c>
      <c r="J128" s="77" t="s">
        <v>27</v>
      </c>
      <c r="K128" s="77" t="s">
        <v>112</v>
      </c>
      <c r="L128" s="77">
        <v>1</v>
      </c>
      <c r="N128" s="77">
        <v>4</v>
      </c>
      <c r="O128" s="77">
        <v>0.8</v>
      </c>
      <c r="P128" s="77">
        <v>0.75</v>
      </c>
      <c r="Q128" s="141">
        <f t="shared" si="6"/>
        <v>0.77500000000000002</v>
      </c>
      <c r="R128" s="77">
        <v>18.5</v>
      </c>
      <c r="S128" s="77">
        <v>126</v>
      </c>
      <c r="T128" s="16">
        <f t="shared" si="4"/>
        <v>27</v>
      </c>
      <c r="U128" s="77">
        <v>398</v>
      </c>
      <c r="V128" s="16">
        <f t="shared" si="5"/>
        <v>2686.5</v>
      </c>
      <c r="W128" s="77">
        <v>7</v>
      </c>
      <c r="X128" s="77" t="s">
        <v>35</v>
      </c>
      <c r="Y128" s="77" t="s">
        <v>43</v>
      </c>
      <c r="Z128" s="77" t="s">
        <v>72</v>
      </c>
      <c r="AA128" s="77" t="s">
        <v>82</v>
      </c>
      <c r="AB128" s="77" t="s">
        <v>195</v>
      </c>
    </row>
    <row r="129" spans="1:28" x14ac:dyDescent="0.15">
      <c r="A129" s="77" t="s">
        <v>24</v>
      </c>
      <c r="B129" s="77" t="s">
        <v>191</v>
      </c>
      <c r="C129" s="77">
        <v>2020</v>
      </c>
      <c r="D129" s="77" t="s">
        <v>370</v>
      </c>
      <c r="E129" s="77" t="s">
        <v>371</v>
      </c>
      <c r="F129" s="77" t="s">
        <v>372</v>
      </c>
      <c r="G129" s="77" t="s">
        <v>25</v>
      </c>
      <c r="H129" s="77" t="s">
        <v>166</v>
      </c>
      <c r="I129" s="77" t="s">
        <v>111</v>
      </c>
      <c r="J129" s="77" t="s">
        <v>27</v>
      </c>
      <c r="K129" s="77" t="s">
        <v>112</v>
      </c>
      <c r="L129" s="77">
        <v>2</v>
      </c>
      <c r="N129" s="77">
        <v>4</v>
      </c>
      <c r="O129" s="77">
        <v>0.8</v>
      </c>
      <c r="P129" s="77">
        <v>1</v>
      </c>
      <c r="Q129" s="141">
        <f t="shared" si="6"/>
        <v>0.9</v>
      </c>
      <c r="R129" s="77">
        <v>18.399999999999999</v>
      </c>
      <c r="S129" s="77">
        <v>121</v>
      </c>
      <c r="T129" s="16">
        <f t="shared" si="4"/>
        <v>27</v>
      </c>
      <c r="U129" s="77">
        <v>398</v>
      </c>
      <c r="V129" s="16">
        <f t="shared" si="5"/>
        <v>2686.5</v>
      </c>
      <c r="W129" s="77">
        <v>7</v>
      </c>
      <c r="X129" s="77" t="s">
        <v>35</v>
      </c>
      <c r="Y129" s="77" t="s">
        <v>43</v>
      </c>
      <c r="Z129" s="77" t="s">
        <v>72</v>
      </c>
      <c r="AA129" s="77" t="s">
        <v>82</v>
      </c>
      <c r="AB129" s="77" t="s">
        <v>195</v>
      </c>
    </row>
    <row r="130" spans="1:28" x14ac:dyDescent="0.15">
      <c r="A130" s="77" t="s">
        <v>24</v>
      </c>
      <c r="B130" s="77" t="s">
        <v>191</v>
      </c>
      <c r="C130" s="77">
        <v>2020</v>
      </c>
      <c r="D130" s="77" t="s">
        <v>370</v>
      </c>
      <c r="E130" s="77" t="s">
        <v>371</v>
      </c>
      <c r="F130" s="77" t="s">
        <v>372</v>
      </c>
      <c r="G130" s="77" t="s">
        <v>25</v>
      </c>
      <c r="H130" s="77" t="s">
        <v>166</v>
      </c>
      <c r="I130" s="77" t="s">
        <v>111</v>
      </c>
      <c r="J130" s="77" t="s">
        <v>27</v>
      </c>
      <c r="K130" s="77" t="s">
        <v>112</v>
      </c>
      <c r="L130" s="77">
        <v>3</v>
      </c>
      <c r="N130" s="77">
        <v>4</v>
      </c>
      <c r="O130" s="77">
        <v>1.1000000000000001</v>
      </c>
      <c r="P130" s="77">
        <v>1</v>
      </c>
      <c r="Q130" s="141">
        <f t="shared" si="6"/>
        <v>1.05</v>
      </c>
      <c r="R130" s="77">
        <v>18.899999999999999</v>
      </c>
      <c r="S130" s="77">
        <v>124</v>
      </c>
      <c r="T130" s="16">
        <f t="shared" ref="T130:T160" si="7">IF(H130="","",IF(OR(H130="GREEN",H130="GK"),IF(S130&gt;=$AX$2,VLOOKUP(S130,$AX$2:$AY$12,2,1),""),IF(S130&gt;=$AZ$2,VLOOKUP(S130,$AZ$2:$BA$12,2,1),"")))</f>
        <v>27</v>
      </c>
      <c r="U130" s="77">
        <v>398</v>
      </c>
      <c r="V130" s="16">
        <f t="shared" ref="V130:V160" si="8">IF(OR(N130="",U130="",T130=""),"",U130/N130*T130)</f>
        <v>2686.5</v>
      </c>
      <c r="W130" s="77">
        <v>7</v>
      </c>
      <c r="X130" s="77" t="s">
        <v>35</v>
      </c>
      <c r="Y130" s="77" t="s">
        <v>43</v>
      </c>
      <c r="Z130" s="77" t="s">
        <v>72</v>
      </c>
      <c r="AA130" s="77" t="s">
        <v>82</v>
      </c>
      <c r="AB130" s="77" t="s">
        <v>195</v>
      </c>
    </row>
    <row r="131" spans="1:28" x14ac:dyDescent="0.15">
      <c r="A131" s="77" t="s">
        <v>24</v>
      </c>
      <c r="B131" s="77" t="s">
        <v>191</v>
      </c>
      <c r="C131" s="77">
        <v>2020</v>
      </c>
      <c r="D131" s="77" t="s">
        <v>370</v>
      </c>
      <c r="E131" s="77" t="s">
        <v>371</v>
      </c>
      <c r="F131" s="77" t="s">
        <v>372</v>
      </c>
      <c r="G131" s="77" t="s">
        <v>25</v>
      </c>
      <c r="H131" s="77" t="s">
        <v>166</v>
      </c>
      <c r="I131" s="77" t="s">
        <v>111</v>
      </c>
      <c r="J131" s="77" t="s">
        <v>27</v>
      </c>
      <c r="K131" s="77" t="s">
        <v>112</v>
      </c>
      <c r="L131" s="77">
        <v>1</v>
      </c>
      <c r="N131" s="77">
        <v>8</v>
      </c>
      <c r="O131" s="77">
        <v>0.6</v>
      </c>
      <c r="P131" s="77">
        <v>0.7</v>
      </c>
      <c r="Q131" s="141">
        <f t="shared" si="6"/>
        <v>0.64999999999999991</v>
      </c>
      <c r="R131" s="77">
        <v>19.8</v>
      </c>
      <c r="S131" s="77">
        <v>110</v>
      </c>
      <c r="T131" s="16">
        <f t="shared" si="7"/>
        <v>33</v>
      </c>
      <c r="U131" s="77">
        <v>698</v>
      </c>
      <c r="V131" s="16">
        <f t="shared" si="8"/>
        <v>2879.25</v>
      </c>
      <c r="W131" s="77">
        <v>7</v>
      </c>
      <c r="X131" s="77" t="s">
        <v>35</v>
      </c>
      <c r="Y131" s="77" t="s">
        <v>43</v>
      </c>
      <c r="Z131" s="77" t="s">
        <v>72</v>
      </c>
      <c r="AA131" s="77" t="s">
        <v>82</v>
      </c>
      <c r="AB131" s="77" t="s">
        <v>195</v>
      </c>
    </row>
    <row r="132" spans="1:28" x14ac:dyDescent="0.15">
      <c r="A132" s="77" t="s">
        <v>24</v>
      </c>
      <c r="B132" s="77" t="s">
        <v>191</v>
      </c>
      <c r="C132" s="77">
        <v>2020</v>
      </c>
      <c r="D132" s="77" t="s">
        <v>370</v>
      </c>
      <c r="E132" s="77" t="s">
        <v>371</v>
      </c>
      <c r="F132" s="77" t="s">
        <v>372</v>
      </c>
      <c r="G132" s="77" t="s">
        <v>25</v>
      </c>
      <c r="H132" s="77" t="s">
        <v>166</v>
      </c>
      <c r="I132" s="77" t="s">
        <v>111</v>
      </c>
      <c r="J132" s="77" t="s">
        <v>27</v>
      </c>
      <c r="K132" s="77" t="s">
        <v>112</v>
      </c>
      <c r="L132" s="77">
        <v>2</v>
      </c>
      <c r="N132" s="77">
        <v>8</v>
      </c>
      <c r="O132" s="77">
        <v>0.8</v>
      </c>
      <c r="P132" s="77">
        <v>0.75</v>
      </c>
      <c r="Q132" s="141">
        <f t="shared" si="6"/>
        <v>0.77500000000000002</v>
      </c>
      <c r="R132" s="77">
        <v>20.8</v>
      </c>
      <c r="S132" s="77">
        <v>116</v>
      </c>
      <c r="T132" s="16">
        <f t="shared" si="7"/>
        <v>30</v>
      </c>
      <c r="U132" s="77">
        <v>698</v>
      </c>
      <c r="V132" s="16">
        <f t="shared" si="8"/>
        <v>2617.5</v>
      </c>
      <c r="W132" s="77">
        <v>7</v>
      </c>
      <c r="X132" s="77" t="s">
        <v>35</v>
      </c>
      <c r="Y132" s="77" t="s">
        <v>43</v>
      </c>
      <c r="Z132" s="77" t="s">
        <v>72</v>
      </c>
      <c r="AA132" s="77" t="s">
        <v>82</v>
      </c>
      <c r="AB132" s="77" t="s">
        <v>195</v>
      </c>
    </row>
    <row r="133" spans="1:28" x14ac:dyDescent="0.15">
      <c r="A133" s="77" t="s">
        <v>24</v>
      </c>
      <c r="B133" s="77" t="s">
        <v>191</v>
      </c>
      <c r="C133" s="77">
        <v>2020</v>
      </c>
      <c r="D133" s="77" t="s">
        <v>370</v>
      </c>
      <c r="E133" s="77" t="s">
        <v>371</v>
      </c>
      <c r="F133" s="77" t="s">
        <v>372</v>
      </c>
      <c r="G133" s="77" t="s">
        <v>25</v>
      </c>
      <c r="H133" s="77" t="s">
        <v>166</v>
      </c>
      <c r="I133" s="77" t="s">
        <v>111</v>
      </c>
      <c r="J133" s="77" t="s">
        <v>27</v>
      </c>
      <c r="K133" s="77" t="s">
        <v>112</v>
      </c>
      <c r="L133" s="77">
        <v>3</v>
      </c>
      <c r="N133" s="77">
        <v>8</v>
      </c>
      <c r="O133" s="77">
        <v>1</v>
      </c>
      <c r="P133" s="77">
        <v>1</v>
      </c>
      <c r="Q133" s="141">
        <f t="shared" si="6"/>
        <v>1</v>
      </c>
      <c r="R133" s="77">
        <v>18.399999999999999</v>
      </c>
      <c r="S133" s="77">
        <v>112</v>
      </c>
      <c r="T133" s="16">
        <f t="shared" si="7"/>
        <v>33</v>
      </c>
      <c r="U133" s="77">
        <v>698</v>
      </c>
      <c r="V133" s="16">
        <f t="shared" si="8"/>
        <v>2879.25</v>
      </c>
      <c r="W133" s="77">
        <v>7</v>
      </c>
      <c r="X133" s="77" t="s">
        <v>35</v>
      </c>
      <c r="Y133" s="77" t="s">
        <v>43</v>
      </c>
      <c r="Z133" s="77" t="s">
        <v>72</v>
      </c>
      <c r="AA133" s="77" t="s">
        <v>82</v>
      </c>
      <c r="AB133" s="77" t="s">
        <v>195</v>
      </c>
    </row>
    <row r="134" spans="1:28" x14ac:dyDescent="0.15">
      <c r="Q134" s="141" t="str">
        <f t="shared" si="6"/>
        <v/>
      </c>
      <c r="T134" s="16" t="str">
        <f t="shared" si="7"/>
        <v/>
      </c>
      <c r="V134" s="16" t="str">
        <f t="shared" si="8"/>
        <v/>
      </c>
    </row>
    <row r="135" spans="1:28" x14ac:dyDescent="0.15">
      <c r="Q135" s="141" t="str">
        <f t="shared" si="6"/>
        <v/>
      </c>
      <c r="T135" s="16" t="str">
        <f t="shared" si="7"/>
        <v/>
      </c>
      <c r="V135" s="16" t="str">
        <f t="shared" si="8"/>
        <v/>
      </c>
    </row>
    <row r="136" spans="1:28" x14ac:dyDescent="0.15">
      <c r="Q136" s="141" t="str">
        <f t="shared" si="6"/>
        <v/>
      </c>
      <c r="T136" s="16" t="str">
        <f t="shared" si="7"/>
        <v/>
      </c>
      <c r="V136" s="16" t="str">
        <f t="shared" si="8"/>
        <v/>
      </c>
    </row>
    <row r="137" spans="1:28" x14ac:dyDescent="0.15">
      <c r="Q137" s="141" t="str">
        <f t="shared" si="6"/>
        <v/>
      </c>
      <c r="T137" s="16" t="str">
        <f t="shared" si="7"/>
        <v/>
      </c>
      <c r="V137" s="16" t="str">
        <f t="shared" si="8"/>
        <v/>
      </c>
    </row>
    <row r="138" spans="1:28" x14ac:dyDescent="0.15">
      <c r="Q138" s="141" t="str">
        <f t="shared" si="6"/>
        <v/>
      </c>
      <c r="T138" s="16" t="str">
        <f t="shared" si="7"/>
        <v/>
      </c>
      <c r="V138" s="16" t="str">
        <f t="shared" si="8"/>
        <v/>
      </c>
    </row>
    <row r="139" spans="1:28" x14ac:dyDescent="0.15">
      <c r="Q139" s="141" t="str">
        <f t="shared" si="6"/>
        <v/>
      </c>
      <c r="T139" s="16" t="str">
        <f t="shared" si="7"/>
        <v/>
      </c>
      <c r="V139" s="16" t="str">
        <f t="shared" si="8"/>
        <v/>
      </c>
    </row>
    <row r="140" spans="1:28" x14ac:dyDescent="0.15">
      <c r="Q140" s="141" t="str">
        <f t="shared" si="6"/>
        <v/>
      </c>
      <c r="T140" s="16" t="str">
        <f t="shared" si="7"/>
        <v/>
      </c>
      <c r="V140" s="16" t="str">
        <f t="shared" si="8"/>
        <v/>
      </c>
    </row>
    <row r="141" spans="1:28" x14ac:dyDescent="0.15">
      <c r="Q141" s="141" t="str">
        <f t="shared" si="6"/>
        <v/>
      </c>
      <c r="T141" s="16" t="str">
        <f t="shared" si="7"/>
        <v/>
      </c>
      <c r="V141" s="16" t="str">
        <f t="shared" si="8"/>
        <v/>
      </c>
    </row>
    <row r="142" spans="1:28" x14ac:dyDescent="0.15">
      <c r="Q142" s="141" t="str">
        <f t="shared" si="6"/>
        <v/>
      </c>
      <c r="T142" s="16" t="str">
        <f t="shared" si="7"/>
        <v/>
      </c>
      <c r="V142" s="16" t="str">
        <f t="shared" si="8"/>
        <v/>
      </c>
    </row>
    <row r="143" spans="1:28" x14ac:dyDescent="0.15">
      <c r="Q143" s="141" t="str">
        <f t="shared" si="6"/>
        <v/>
      </c>
      <c r="T143" s="16" t="str">
        <f t="shared" si="7"/>
        <v/>
      </c>
      <c r="V143" s="16" t="str">
        <f t="shared" si="8"/>
        <v/>
      </c>
    </row>
    <row r="144" spans="1:28" x14ac:dyDescent="0.15">
      <c r="Q144" s="141" t="str">
        <f t="shared" si="6"/>
        <v/>
      </c>
      <c r="T144" s="16" t="str">
        <f t="shared" si="7"/>
        <v/>
      </c>
      <c r="V144" s="16" t="str">
        <f t="shared" si="8"/>
        <v/>
      </c>
    </row>
    <row r="145" spans="17:22" x14ac:dyDescent="0.15">
      <c r="Q145" s="141" t="str">
        <f t="shared" si="6"/>
        <v/>
      </c>
      <c r="T145" s="16" t="str">
        <f t="shared" si="7"/>
        <v/>
      </c>
      <c r="V145" s="16" t="str">
        <f t="shared" si="8"/>
        <v/>
      </c>
    </row>
    <row r="146" spans="17:22" x14ac:dyDescent="0.15">
      <c r="Q146" s="141" t="str">
        <f t="shared" si="6"/>
        <v/>
      </c>
      <c r="T146" s="16" t="str">
        <f t="shared" si="7"/>
        <v/>
      </c>
      <c r="V146" s="16" t="str">
        <f t="shared" si="8"/>
        <v/>
      </c>
    </row>
    <row r="147" spans="17:22" x14ac:dyDescent="0.15">
      <c r="Q147" s="141" t="str">
        <f t="shared" si="6"/>
        <v/>
      </c>
      <c r="T147" s="16" t="str">
        <f t="shared" si="7"/>
        <v/>
      </c>
      <c r="V147" s="16" t="str">
        <f t="shared" si="8"/>
        <v/>
      </c>
    </row>
    <row r="148" spans="17:22" x14ac:dyDescent="0.15">
      <c r="Q148" s="141" t="str">
        <f t="shared" si="6"/>
        <v/>
      </c>
      <c r="T148" s="16" t="str">
        <f t="shared" si="7"/>
        <v/>
      </c>
      <c r="V148" s="16" t="str">
        <f t="shared" si="8"/>
        <v/>
      </c>
    </row>
    <row r="149" spans="17:22" x14ac:dyDescent="0.15">
      <c r="Q149" s="141" t="str">
        <f t="shared" si="6"/>
        <v/>
      </c>
      <c r="T149" s="16" t="str">
        <f t="shared" si="7"/>
        <v/>
      </c>
      <c r="V149" s="16" t="str">
        <f t="shared" si="8"/>
        <v/>
      </c>
    </row>
    <row r="150" spans="17:22" x14ac:dyDescent="0.15">
      <c r="Q150" s="141" t="str">
        <f t="shared" si="6"/>
        <v/>
      </c>
      <c r="T150" s="16" t="str">
        <f t="shared" si="7"/>
        <v/>
      </c>
      <c r="V150" s="16" t="str">
        <f t="shared" si="8"/>
        <v/>
      </c>
    </row>
    <row r="151" spans="17:22" x14ac:dyDescent="0.15">
      <c r="Q151" s="141" t="str">
        <f t="shared" si="6"/>
        <v/>
      </c>
      <c r="T151" s="16" t="str">
        <f t="shared" si="7"/>
        <v/>
      </c>
      <c r="V151" s="16" t="str">
        <f t="shared" si="8"/>
        <v/>
      </c>
    </row>
    <row r="152" spans="17:22" x14ac:dyDescent="0.15">
      <c r="Q152" s="141" t="str">
        <f t="shared" si="6"/>
        <v/>
      </c>
      <c r="T152" s="16" t="str">
        <f t="shared" si="7"/>
        <v/>
      </c>
      <c r="V152" s="16" t="str">
        <f t="shared" si="8"/>
        <v/>
      </c>
    </row>
    <row r="153" spans="17:22" x14ac:dyDescent="0.15">
      <c r="Q153" s="141" t="str">
        <f t="shared" si="6"/>
        <v/>
      </c>
      <c r="T153" s="16" t="str">
        <f t="shared" si="7"/>
        <v/>
      </c>
      <c r="V153" s="16" t="str">
        <f t="shared" si="8"/>
        <v/>
      </c>
    </row>
    <row r="154" spans="17:22" x14ac:dyDescent="0.15">
      <c r="Q154" s="141" t="str">
        <f t="shared" si="6"/>
        <v/>
      </c>
      <c r="T154" s="16" t="str">
        <f t="shared" si="7"/>
        <v/>
      </c>
      <c r="V154" s="16" t="str">
        <f t="shared" si="8"/>
        <v/>
      </c>
    </row>
    <row r="155" spans="17:22" x14ac:dyDescent="0.15">
      <c r="Q155" s="141" t="str">
        <f t="shared" si="6"/>
        <v/>
      </c>
      <c r="T155" s="16" t="str">
        <f t="shared" si="7"/>
        <v/>
      </c>
      <c r="V155" s="16" t="str">
        <f t="shared" si="8"/>
        <v/>
      </c>
    </row>
    <row r="156" spans="17:22" x14ac:dyDescent="0.15">
      <c r="Q156" s="141" t="str">
        <f t="shared" si="6"/>
        <v/>
      </c>
      <c r="T156" s="16" t="str">
        <f t="shared" si="7"/>
        <v/>
      </c>
      <c r="V156" s="16" t="str">
        <f t="shared" si="8"/>
        <v/>
      </c>
    </row>
    <row r="157" spans="17:22" x14ac:dyDescent="0.15">
      <c r="Q157" s="141" t="str">
        <f t="shared" si="6"/>
        <v/>
      </c>
      <c r="T157" s="16" t="str">
        <f t="shared" si="7"/>
        <v/>
      </c>
      <c r="V157" s="16" t="str">
        <f t="shared" si="8"/>
        <v/>
      </c>
    </row>
    <row r="158" spans="17:22" x14ac:dyDescent="0.15">
      <c r="Q158" s="141" t="str">
        <f t="shared" si="6"/>
        <v/>
      </c>
      <c r="T158" s="16" t="str">
        <f t="shared" si="7"/>
        <v/>
      </c>
      <c r="V158" s="16" t="str">
        <f t="shared" si="8"/>
        <v/>
      </c>
    </row>
    <row r="159" spans="17:22" x14ac:dyDescent="0.15">
      <c r="Q159" s="141" t="str">
        <f t="shared" si="6"/>
        <v/>
      </c>
      <c r="T159" s="16" t="str">
        <f t="shared" si="7"/>
        <v/>
      </c>
      <c r="V159" s="16" t="str">
        <f t="shared" si="8"/>
        <v/>
      </c>
    </row>
    <row r="160" spans="17:22" x14ac:dyDescent="0.15">
      <c r="Q160" s="141" t="str">
        <f t="shared" si="6"/>
        <v/>
      </c>
      <c r="T160" s="16" t="str">
        <f t="shared" si="7"/>
        <v/>
      </c>
      <c r="V160" s="16" t="str">
        <f t="shared" si="8"/>
        <v/>
      </c>
    </row>
  </sheetData>
  <autoFilter ref="A1:BA120" xr:uid="{00000000-0009-0000-0000-000000000000}"/>
  <phoneticPr fontId="3"/>
  <dataValidations count="18">
    <dataValidation type="list" allowBlank="1" showInputMessage="1" showErrorMessage="1" sqref="F158:F1048576 F1:F148" xr:uid="{4690ECED-A8C0-4B77-A405-D26C5073CF78}">
      <formula1>$AH$2:$AH$11</formula1>
    </dataValidation>
    <dataValidation type="list" allowBlank="1" showInputMessage="1" showErrorMessage="1" sqref="K2:K1000" xr:uid="{62DE9A46-4043-4C52-812A-7C810A105DFB}">
      <formula1>$AR$2:$AR$28</formula1>
    </dataValidation>
    <dataValidation type="list" allowBlank="1" showInputMessage="1" showErrorMessage="1" sqref="J2:J1000" xr:uid="{69890A73-A4DE-41B1-8875-98AA013CB64F}">
      <formula1>$AP$2:$AP$29</formula1>
    </dataValidation>
    <dataValidation type="list" allowBlank="1" showInputMessage="1" showErrorMessage="1" sqref="H2:H1184" xr:uid="{2CB3F83E-0A3D-4D12-9017-9C927E64165C}">
      <formula1>$AL$2:$AL$9</formula1>
    </dataValidation>
    <dataValidation type="decimal" allowBlank="1" showInputMessage="1" showErrorMessage="1" error="硬度を正しく入力して下さい。" sqref="O2:P497" xr:uid="{D0FA0EA4-864B-48FB-B3ED-62762FB3F64E}">
      <formula1>0</formula1>
      <formula2>7</formula2>
    </dataValidation>
    <dataValidation type="list" allowBlank="1" showInputMessage="1" showErrorMessage="1" sqref="Y2:AA497" xr:uid="{72753931-11E4-4EBD-B4AF-832D429ED5A7}">
      <formula1>$AV$2:$AV$21</formula1>
    </dataValidation>
    <dataValidation type="list" allowBlank="1" showInputMessage="1" showErrorMessage="1" sqref="A3:A497" xr:uid="{B1E8F4F2-EFE6-40DC-82F1-BDAFF7B2C8A8}">
      <formula1>$AE$2:$AE$19</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E152E33D-5CE5-425E-A677-A75F23783018}">
      <formula1>$AH$2:$AH$10</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99F74668-4200-4DEB-8D24-996DB43D2E4C}">
      <formula1>$AV$2:$AV$20</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ED1D149-1E08-4553-8CCF-C56526AE26FA}">
      <formula1>$AL$5:$AL$9</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20D3BB77-19D7-4564-9261-4D459D8252EF}">
      <formula1>$AT$2:$AT$3</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BAB17C1F-26EE-4721-8AA6-0E9E3D947AB9}">
      <formula1>$AR$2:$AR$30</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64D044EC-19A4-4BE0-9793-833AA3302E79}">
      <formula1>$AP$2:$AP$15</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25E8AAF9-8C0E-4E88-BCCE-559B5D786C4D}">
      <formula1>$AN$5:$AN$6</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148 G158:G497" xr:uid="{02EB4E17-2BF5-4396-A3BD-82447088D902}">
      <formula1>$AJ$2:$AJ$4</formula1>
    </dataValidation>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148 E158:E497" xr:uid="{CC653E15-E8D7-486C-BAC5-4B422EE4262D}">
      <formula1>$AG$2:$AG$11</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10B277C6-5C39-41C5-B282-E1AFC6D6010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AE72E06D-1F98-49B6-862D-EA9661AB3D7C}">
      <formula1>$AE$2:$AE$22</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00B80-7276-418C-BA6B-C90093290BA2}">
  <dimension ref="A1:BA136"/>
  <sheetViews>
    <sheetView zoomScale="85" zoomScaleNormal="85" workbookViewId="0">
      <pane ySplit="1" topLeftCell="A2" activePane="bottomLeft" state="frozen"/>
      <selection pane="bottomLeft" activeCell="A2" sqref="A2"/>
    </sheetView>
  </sheetViews>
  <sheetFormatPr defaultColWidth="9" defaultRowHeight="13.5" x14ac:dyDescent="0.15"/>
  <cols>
    <col min="1" max="3" width="9" style="77"/>
    <col min="4" max="4" width="11" style="77" customWidth="1"/>
    <col min="5" max="5" width="10.875" style="77" customWidth="1"/>
    <col min="6" max="16" width="9" style="77"/>
    <col min="17" max="17" width="9" style="16"/>
    <col min="18" max="18" width="9" style="77"/>
    <col min="19" max="19" width="11.625" style="77" customWidth="1"/>
    <col min="20" max="20" width="9" style="16"/>
    <col min="21" max="21" width="9" style="77"/>
    <col min="22" max="22" width="9" style="16"/>
    <col min="23" max="32" width="9" style="77"/>
    <col min="33" max="33" width="14.375" style="77" customWidth="1"/>
    <col min="34" max="34" width="11.375" style="77" customWidth="1"/>
    <col min="35" max="16384" width="9" style="77"/>
  </cols>
  <sheetData>
    <row r="1" spans="1:53" ht="45" x14ac:dyDescent="0.15">
      <c r="A1" s="40" t="s">
        <v>0</v>
      </c>
      <c r="B1" s="92" t="s">
        <v>175</v>
      </c>
      <c r="C1" s="92" t="s">
        <v>176</v>
      </c>
      <c r="D1" s="93" t="s">
        <v>2</v>
      </c>
      <c r="E1" s="83" t="s">
        <v>3</v>
      </c>
      <c r="F1" s="83" t="s">
        <v>4</v>
      </c>
      <c r="G1" s="83" t="s">
        <v>5</v>
      </c>
      <c r="H1" s="83" t="s">
        <v>6</v>
      </c>
      <c r="I1" s="83" t="s">
        <v>7</v>
      </c>
      <c r="J1" s="83" t="s">
        <v>8</v>
      </c>
      <c r="K1" s="83" t="s">
        <v>9</v>
      </c>
      <c r="L1" s="93" t="s">
        <v>177</v>
      </c>
      <c r="M1" s="93" t="s">
        <v>178</v>
      </c>
      <c r="N1" s="93" t="s">
        <v>11</v>
      </c>
      <c r="O1" s="93" t="s">
        <v>179</v>
      </c>
      <c r="P1" s="93" t="s">
        <v>180</v>
      </c>
      <c r="Q1" s="94" t="s">
        <v>181</v>
      </c>
      <c r="R1" s="93" t="s">
        <v>182</v>
      </c>
      <c r="S1" s="93" t="s">
        <v>183</v>
      </c>
      <c r="T1" s="94" t="s">
        <v>13</v>
      </c>
      <c r="U1" s="93" t="s">
        <v>92</v>
      </c>
      <c r="V1" s="95" t="s">
        <v>14</v>
      </c>
      <c r="W1" s="93" t="s">
        <v>184</v>
      </c>
      <c r="X1" s="83" t="s">
        <v>16</v>
      </c>
      <c r="Y1" s="83" t="s">
        <v>17</v>
      </c>
      <c r="Z1" s="83" t="s">
        <v>18</v>
      </c>
      <c r="AA1" s="83" t="s">
        <v>19</v>
      </c>
      <c r="AB1" s="42" t="s">
        <v>185</v>
      </c>
      <c r="AE1" s="96" t="s">
        <v>0</v>
      </c>
      <c r="AF1" s="97"/>
      <c r="AG1" s="96" t="s">
        <v>3</v>
      </c>
      <c r="AH1" s="96" t="s">
        <v>4</v>
      </c>
      <c r="AI1" s="97"/>
      <c r="AJ1" s="96" t="s">
        <v>5</v>
      </c>
      <c r="AK1" s="97"/>
      <c r="AL1" s="10" t="s">
        <v>6</v>
      </c>
      <c r="AM1" s="97"/>
      <c r="AN1" s="10" t="s">
        <v>7</v>
      </c>
      <c r="AO1" s="97"/>
      <c r="AP1" s="10" t="s">
        <v>20</v>
      </c>
      <c r="AQ1" s="97"/>
      <c r="AR1" s="10" t="s">
        <v>9</v>
      </c>
      <c r="AS1" s="97"/>
      <c r="AT1" s="11" t="s">
        <v>186</v>
      </c>
      <c r="AU1" s="97"/>
      <c r="AV1" s="10" t="s">
        <v>22</v>
      </c>
      <c r="AX1" s="98" t="s">
        <v>187</v>
      </c>
      <c r="AY1" s="99" t="s">
        <v>188</v>
      </c>
      <c r="AZ1" s="99" t="s">
        <v>189</v>
      </c>
      <c r="BA1" s="100" t="s">
        <v>190</v>
      </c>
    </row>
    <row r="2" spans="1:53" x14ac:dyDescent="0.15">
      <c r="A2" s="77" t="s">
        <v>30</v>
      </c>
      <c r="B2" s="77" t="s">
        <v>191</v>
      </c>
      <c r="C2" s="77">
        <v>2020</v>
      </c>
      <c r="D2" s="101" t="s">
        <v>192</v>
      </c>
      <c r="E2" s="77" t="s">
        <v>193</v>
      </c>
      <c r="F2" s="77" t="s">
        <v>194</v>
      </c>
      <c r="G2" s="77" t="s">
        <v>25</v>
      </c>
      <c r="H2" s="77" t="s">
        <v>113</v>
      </c>
      <c r="I2" s="77" t="s">
        <v>111</v>
      </c>
      <c r="J2" s="77" t="s">
        <v>27</v>
      </c>
      <c r="K2" s="77" t="s">
        <v>112</v>
      </c>
      <c r="L2" s="77">
        <v>1</v>
      </c>
      <c r="N2" s="77">
        <v>1</v>
      </c>
      <c r="O2" s="77">
        <v>0.65</v>
      </c>
      <c r="P2" s="77">
        <v>0.5</v>
      </c>
      <c r="Q2" s="102">
        <f t="shared" ref="Q2:Q65" si="0">IF(OR(O2="",P2=""),"",AVERAGE(O2,P2))</f>
        <v>0.57499999999999996</v>
      </c>
      <c r="R2" s="77">
        <v>16.399999999999999</v>
      </c>
      <c r="S2" s="77">
        <v>132</v>
      </c>
      <c r="T2" s="16">
        <f t="shared" ref="T2:T65" si="1">IF(H2="","",IF(OR(H2="GREEN",H2="GK"),IF(S2&gt;=$AX$2,VLOOKUP(S2,$AX$2:$AY$10,2,1),""),IF(S2&gt;=$AZ$2,VLOOKUP(S2,$AZ$2:$BA$10,2,1),"")))</f>
        <v>25</v>
      </c>
      <c r="U2" s="77">
        <v>98</v>
      </c>
      <c r="V2" s="16">
        <f t="shared" ref="V2:V16" si="2">IF(OR(N2="",U2="",T2=""),"",U2/N2*T2)</f>
        <v>2450</v>
      </c>
      <c r="W2" s="77">
        <v>1</v>
      </c>
      <c r="X2" s="77" t="s">
        <v>35</v>
      </c>
      <c r="Y2" s="77" t="s">
        <v>82</v>
      </c>
      <c r="Z2" s="77" t="s">
        <v>72</v>
      </c>
      <c r="AA2" s="77" t="s">
        <v>55</v>
      </c>
      <c r="AB2" s="77" t="s">
        <v>195</v>
      </c>
      <c r="AE2" s="103" t="s">
        <v>24</v>
      </c>
      <c r="AG2" s="104" t="s">
        <v>193</v>
      </c>
      <c r="AH2" s="105" t="s">
        <v>194</v>
      </c>
      <c r="AJ2" s="50" t="s">
        <v>25</v>
      </c>
      <c r="AL2" s="106" t="s">
        <v>196</v>
      </c>
      <c r="AN2" s="50" t="s">
        <v>26</v>
      </c>
      <c r="AP2" s="50" t="s">
        <v>27</v>
      </c>
      <c r="AR2" s="50" t="s">
        <v>112</v>
      </c>
      <c r="AT2" s="50" t="s">
        <v>28</v>
      </c>
      <c r="AV2" s="50" t="s">
        <v>29</v>
      </c>
      <c r="AX2" s="107">
        <v>1</v>
      </c>
      <c r="AY2" s="108">
        <v>50</v>
      </c>
      <c r="AZ2" s="108">
        <v>1</v>
      </c>
      <c r="BA2" s="109">
        <v>50</v>
      </c>
    </row>
    <row r="3" spans="1:53" x14ac:dyDescent="0.15">
      <c r="A3" s="77" t="s">
        <v>30</v>
      </c>
      <c r="B3" s="77" t="s">
        <v>191</v>
      </c>
      <c r="C3" s="77">
        <v>2020</v>
      </c>
      <c r="D3" s="101" t="s">
        <v>192</v>
      </c>
      <c r="E3" s="77" t="s">
        <v>193</v>
      </c>
      <c r="F3" s="77" t="s">
        <v>194</v>
      </c>
      <c r="G3" s="77" t="s">
        <v>25</v>
      </c>
      <c r="H3" s="77" t="s">
        <v>113</v>
      </c>
      <c r="I3" s="77" t="s">
        <v>111</v>
      </c>
      <c r="J3" s="77" t="s">
        <v>27</v>
      </c>
      <c r="K3" s="77" t="s">
        <v>112</v>
      </c>
      <c r="L3" s="77">
        <v>2</v>
      </c>
      <c r="N3" s="77">
        <v>1</v>
      </c>
      <c r="O3" s="77">
        <v>0.35</v>
      </c>
      <c r="P3" s="77">
        <v>0.3</v>
      </c>
      <c r="Q3" s="102">
        <f t="shared" si="0"/>
        <v>0.32499999999999996</v>
      </c>
      <c r="R3" s="77">
        <v>16.899999999999999</v>
      </c>
      <c r="S3" s="77">
        <v>129</v>
      </c>
      <c r="T3" s="16">
        <f t="shared" si="1"/>
        <v>25</v>
      </c>
      <c r="U3" s="77">
        <v>98</v>
      </c>
      <c r="V3" s="16">
        <f t="shared" si="2"/>
        <v>2450</v>
      </c>
      <c r="W3" s="77">
        <v>1</v>
      </c>
      <c r="X3" s="77" t="s">
        <v>35</v>
      </c>
      <c r="Y3" s="77" t="s">
        <v>82</v>
      </c>
      <c r="Z3" s="77" t="s">
        <v>72</v>
      </c>
      <c r="AA3" s="77" t="s">
        <v>55</v>
      </c>
      <c r="AB3" s="77" t="s">
        <v>195</v>
      </c>
      <c r="AE3" s="22" t="s">
        <v>30</v>
      </c>
      <c r="AG3" s="110" t="s">
        <v>197</v>
      </c>
      <c r="AH3" s="110" t="s">
        <v>194</v>
      </c>
      <c r="AJ3" s="80" t="s">
        <v>31</v>
      </c>
      <c r="AL3" s="80" t="s">
        <v>198</v>
      </c>
      <c r="AN3" s="80" t="s">
        <v>32</v>
      </c>
      <c r="AP3" s="80" t="s">
        <v>33</v>
      </c>
      <c r="AR3" s="80" t="s">
        <v>34</v>
      </c>
      <c r="AT3" s="80" t="s">
        <v>35</v>
      </c>
      <c r="AV3" s="80" t="s">
        <v>36</v>
      </c>
      <c r="AX3" s="24">
        <v>72</v>
      </c>
      <c r="AY3" s="25">
        <v>46</v>
      </c>
      <c r="AZ3" s="25">
        <v>71</v>
      </c>
      <c r="BA3" s="26">
        <v>42</v>
      </c>
    </row>
    <row r="4" spans="1:53" x14ac:dyDescent="0.15">
      <c r="A4" s="77" t="s">
        <v>30</v>
      </c>
      <c r="B4" s="77" t="s">
        <v>191</v>
      </c>
      <c r="C4" s="77">
        <v>2020</v>
      </c>
      <c r="D4" s="101" t="s">
        <v>199</v>
      </c>
      <c r="E4" s="77" t="s">
        <v>193</v>
      </c>
      <c r="F4" s="77" t="s">
        <v>194</v>
      </c>
      <c r="G4" s="77" t="s">
        <v>25</v>
      </c>
      <c r="H4" s="77" t="s">
        <v>113</v>
      </c>
      <c r="I4" s="77" t="s">
        <v>111</v>
      </c>
      <c r="J4" s="77" t="s">
        <v>27</v>
      </c>
      <c r="K4" s="77" t="s">
        <v>112</v>
      </c>
      <c r="L4" s="77">
        <v>3</v>
      </c>
      <c r="N4" s="77">
        <v>1</v>
      </c>
      <c r="O4" s="77">
        <v>0.4</v>
      </c>
      <c r="P4" s="77">
        <v>0.4</v>
      </c>
      <c r="Q4" s="102">
        <f t="shared" si="0"/>
        <v>0.4</v>
      </c>
      <c r="R4" s="77">
        <v>15.9</v>
      </c>
      <c r="S4" s="77">
        <v>134</v>
      </c>
      <c r="T4" s="16">
        <f t="shared" si="1"/>
        <v>25</v>
      </c>
      <c r="U4" s="77">
        <v>98</v>
      </c>
      <c r="V4" s="16">
        <f t="shared" si="2"/>
        <v>2450</v>
      </c>
      <c r="W4" s="77">
        <v>1</v>
      </c>
      <c r="X4" s="77" t="s">
        <v>35</v>
      </c>
      <c r="Y4" s="77" t="s">
        <v>82</v>
      </c>
      <c r="Z4" s="77" t="s">
        <v>72</v>
      </c>
      <c r="AA4" s="77" t="s">
        <v>55</v>
      </c>
      <c r="AB4" s="77" t="s">
        <v>195</v>
      </c>
      <c r="AE4" s="22" t="s">
        <v>23</v>
      </c>
      <c r="AG4" s="110" t="s">
        <v>197</v>
      </c>
      <c r="AH4" s="110" t="s">
        <v>200</v>
      </c>
      <c r="AJ4" s="27" t="s">
        <v>37</v>
      </c>
      <c r="AL4" s="80" t="s">
        <v>201</v>
      </c>
      <c r="AN4" s="28" t="s">
        <v>202</v>
      </c>
      <c r="AP4" s="80" t="s">
        <v>203</v>
      </c>
      <c r="AR4" s="80" t="s">
        <v>204</v>
      </c>
      <c r="AT4" s="28"/>
      <c r="AV4" s="80" t="s">
        <v>39</v>
      </c>
      <c r="AX4" s="24">
        <v>75</v>
      </c>
      <c r="AY4" s="25">
        <v>42</v>
      </c>
      <c r="AZ4" s="25">
        <v>76</v>
      </c>
      <c r="BA4" s="26">
        <v>39</v>
      </c>
    </row>
    <row r="5" spans="1:53" ht="13.5" customHeight="1" x14ac:dyDescent="0.15">
      <c r="A5" s="77" t="s">
        <v>30</v>
      </c>
      <c r="B5" s="77" t="s">
        <v>191</v>
      </c>
      <c r="C5" s="77">
        <v>2020</v>
      </c>
      <c r="D5" s="101" t="s">
        <v>199</v>
      </c>
      <c r="E5" s="77" t="s">
        <v>193</v>
      </c>
      <c r="F5" s="77" t="s">
        <v>194</v>
      </c>
      <c r="G5" s="77" t="s">
        <v>25</v>
      </c>
      <c r="H5" s="77" t="s">
        <v>171</v>
      </c>
      <c r="I5" s="77" t="s">
        <v>111</v>
      </c>
      <c r="J5" s="77" t="s">
        <v>27</v>
      </c>
      <c r="K5" s="77" t="s">
        <v>112</v>
      </c>
      <c r="L5" s="77">
        <v>1</v>
      </c>
      <c r="N5" s="77">
        <v>8</v>
      </c>
      <c r="O5" s="77">
        <v>0.6</v>
      </c>
      <c r="P5" s="77">
        <v>0.7</v>
      </c>
      <c r="Q5" s="102">
        <f t="shared" si="0"/>
        <v>0.64999999999999991</v>
      </c>
      <c r="R5" s="77">
        <v>13.1</v>
      </c>
      <c r="S5" s="77">
        <v>105</v>
      </c>
      <c r="T5" s="16">
        <f t="shared" si="1"/>
        <v>33</v>
      </c>
      <c r="U5" s="77">
        <v>498</v>
      </c>
      <c r="V5" s="16">
        <f t="shared" si="2"/>
        <v>2054.25</v>
      </c>
      <c r="W5" s="77">
        <v>4</v>
      </c>
      <c r="X5" s="77" t="s">
        <v>35</v>
      </c>
      <c r="Y5" s="77" t="s">
        <v>82</v>
      </c>
      <c r="Z5" s="77" t="s">
        <v>72</v>
      </c>
      <c r="AA5" s="77" t="s">
        <v>55</v>
      </c>
      <c r="AB5" s="77" t="s">
        <v>195</v>
      </c>
      <c r="AE5" s="22" t="s">
        <v>40</v>
      </c>
      <c r="AG5" s="110" t="s">
        <v>205</v>
      </c>
      <c r="AH5" s="110" t="s">
        <v>194</v>
      </c>
      <c r="AJ5" s="28"/>
      <c r="AL5" s="80" t="s">
        <v>113</v>
      </c>
      <c r="AN5" s="111" t="s">
        <v>111</v>
      </c>
      <c r="AP5" s="80" t="s">
        <v>206</v>
      </c>
      <c r="AR5" s="80" t="s">
        <v>42</v>
      </c>
      <c r="AV5" s="80" t="s">
        <v>43</v>
      </c>
      <c r="AX5" s="24">
        <v>84</v>
      </c>
      <c r="AY5" s="25">
        <v>39</v>
      </c>
      <c r="AZ5" s="25">
        <v>84</v>
      </c>
      <c r="BA5" s="26">
        <v>36</v>
      </c>
    </row>
    <row r="6" spans="1:53" x14ac:dyDescent="0.15">
      <c r="A6" s="77" t="s">
        <v>30</v>
      </c>
      <c r="B6" s="77" t="s">
        <v>191</v>
      </c>
      <c r="C6" s="77">
        <v>2020</v>
      </c>
      <c r="D6" s="101" t="s">
        <v>199</v>
      </c>
      <c r="E6" s="77" t="s">
        <v>193</v>
      </c>
      <c r="F6" s="77" t="s">
        <v>194</v>
      </c>
      <c r="G6" s="77" t="s">
        <v>25</v>
      </c>
      <c r="H6" s="77" t="s">
        <v>113</v>
      </c>
      <c r="I6" s="77" t="s">
        <v>111</v>
      </c>
      <c r="J6" s="77" t="s">
        <v>27</v>
      </c>
      <c r="K6" s="77" t="s">
        <v>112</v>
      </c>
      <c r="L6" s="77">
        <v>2</v>
      </c>
      <c r="N6" s="77">
        <v>8</v>
      </c>
      <c r="O6" s="77">
        <v>0.4</v>
      </c>
      <c r="P6" s="77">
        <v>0.55000000000000004</v>
      </c>
      <c r="Q6" s="102">
        <f t="shared" si="0"/>
        <v>0.47500000000000003</v>
      </c>
      <c r="R6" s="77">
        <v>14.7</v>
      </c>
      <c r="S6" s="77">
        <v>110</v>
      </c>
      <c r="T6" s="16">
        <f t="shared" si="1"/>
        <v>33</v>
      </c>
      <c r="U6" s="77">
        <v>498</v>
      </c>
      <c r="V6" s="16">
        <f t="shared" si="2"/>
        <v>2054.25</v>
      </c>
      <c r="W6" s="77">
        <v>4</v>
      </c>
      <c r="X6" s="77" t="s">
        <v>35</v>
      </c>
      <c r="Y6" s="77" t="s">
        <v>82</v>
      </c>
      <c r="Z6" s="77" t="s">
        <v>72</v>
      </c>
      <c r="AA6" s="77" t="s">
        <v>55</v>
      </c>
      <c r="AB6" s="77" t="s">
        <v>195</v>
      </c>
      <c r="AE6" s="22" t="s">
        <v>44</v>
      </c>
      <c r="AG6" s="110" t="s">
        <v>205</v>
      </c>
      <c r="AH6" s="110" t="s">
        <v>207</v>
      </c>
      <c r="AL6" s="80" t="s">
        <v>208</v>
      </c>
      <c r="AN6" s="111" t="s">
        <v>165</v>
      </c>
      <c r="AP6" s="80" t="s">
        <v>41</v>
      </c>
      <c r="AR6" s="80" t="s">
        <v>46</v>
      </c>
      <c r="AV6" s="80" t="s">
        <v>47</v>
      </c>
      <c r="AX6" s="24">
        <v>97</v>
      </c>
      <c r="AY6" s="25">
        <v>36</v>
      </c>
      <c r="AZ6" s="25">
        <v>99</v>
      </c>
      <c r="BA6" s="26">
        <v>33</v>
      </c>
    </row>
    <row r="7" spans="1:53" x14ac:dyDescent="0.15">
      <c r="A7" s="77" t="s">
        <v>30</v>
      </c>
      <c r="B7" s="77" t="s">
        <v>191</v>
      </c>
      <c r="C7" s="77">
        <v>2020</v>
      </c>
      <c r="D7" s="101" t="s">
        <v>199</v>
      </c>
      <c r="E7" s="77" t="s">
        <v>193</v>
      </c>
      <c r="F7" s="77" t="s">
        <v>194</v>
      </c>
      <c r="G7" s="77" t="s">
        <v>25</v>
      </c>
      <c r="H7" s="77" t="s">
        <v>113</v>
      </c>
      <c r="I7" s="77" t="s">
        <v>111</v>
      </c>
      <c r="J7" s="77" t="s">
        <v>27</v>
      </c>
      <c r="K7" s="77" t="s">
        <v>112</v>
      </c>
      <c r="L7" s="77">
        <v>3</v>
      </c>
      <c r="N7" s="77">
        <v>8</v>
      </c>
      <c r="O7" s="77">
        <v>0.35</v>
      </c>
      <c r="P7" s="77">
        <v>0.3</v>
      </c>
      <c r="Q7" s="102">
        <f t="shared" si="0"/>
        <v>0.32499999999999996</v>
      </c>
      <c r="R7" s="77">
        <v>16.8</v>
      </c>
      <c r="S7" s="77">
        <v>103</v>
      </c>
      <c r="T7" s="16">
        <f t="shared" si="1"/>
        <v>33</v>
      </c>
      <c r="U7" s="77">
        <v>498</v>
      </c>
      <c r="V7" s="16">
        <f t="shared" si="2"/>
        <v>2054.25</v>
      </c>
      <c r="W7" s="77">
        <v>4</v>
      </c>
      <c r="X7" s="77" t="s">
        <v>35</v>
      </c>
      <c r="Y7" s="77" t="s">
        <v>82</v>
      </c>
      <c r="Z7" s="77" t="s">
        <v>72</v>
      </c>
      <c r="AA7" s="77" t="s">
        <v>55</v>
      </c>
      <c r="AB7" s="77" t="s">
        <v>195</v>
      </c>
      <c r="AE7" s="22" t="s">
        <v>48</v>
      </c>
      <c r="AG7" s="110" t="s">
        <v>209</v>
      </c>
      <c r="AH7" s="110" t="s">
        <v>207</v>
      </c>
      <c r="AL7" s="80" t="s">
        <v>210</v>
      </c>
      <c r="AP7" s="80" t="s">
        <v>45</v>
      </c>
      <c r="AR7" s="80" t="s">
        <v>211</v>
      </c>
      <c r="AV7" s="80" t="s">
        <v>51</v>
      </c>
      <c r="AX7" s="24">
        <v>109</v>
      </c>
      <c r="AY7" s="25">
        <v>33</v>
      </c>
      <c r="AZ7" s="25">
        <v>113</v>
      </c>
      <c r="BA7" s="26">
        <v>30</v>
      </c>
    </row>
    <row r="8" spans="1:53" x14ac:dyDescent="0.15">
      <c r="A8" s="77" t="s">
        <v>30</v>
      </c>
      <c r="B8" s="77" t="s">
        <v>191</v>
      </c>
      <c r="C8" s="77">
        <v>2020</v>
      </c>
      <c r="D8" s="101" t="s">
        <v>199</v>
      </c>
      <c r="E8" s="77" t="s">
        <v>193</v>
      </c>
      <c r="F8" s="77" t="s">
        <v>194</v>
      </c>
      <c r="G8" s="77" t="s">
        <v>25</v>
      </c>
      <c r="H8" s="77" t="s">
        <v>166</v>
      </c>
      <c r="I8" s="77" t="s">
        <v>111</v>
      </c>
      <c r="J8" s="77" t="s">
        <v>27</v>
      </c>
      <c r="K8" s="77" t="s">
        <v>112</v>
      </c>
      <c r="L8" s="77">
        <v>1</v>
      </c>
      <c r="N8" s="77">
        <v>1</v>
      </c>
      <c r="O8" s="77">
        <v>1</v>
      </c>
      <c r="P8" s="77">
        <v>0.85</v>
      </c>
      <c r="Q8" s="102">
        <f t="shared" si="0"/>
        <v>0.92500000000000004</v>
      </c>
      <c r="R8" s="77">
        <v>16.8</v>
      </c>
      <c r="S8" s="77">
        <v>129</v>
      </c>
      <c r="T8" s="112">
        <f t="shared" si="1"/>
        <v>25</v>
      </c>
      <c r="U8" s="77">
        <v>98</v>
      </c>
      <c r="V8" s="112">
        <f t="shared" si="2"/>
        <v>2450</v>
      </c>
      <c r="W8" s="77">
        <v>3</v>
      </c>
      <c r="X8" s="77" t="s">
        <v>35</v>
      </c>
      <c r="Y8" s="77" t="s">
        <v>82</v>
      </c>
      <c r="Z8" s="77" t="s">
        <v>72</v>
      </c>
      <c r="AA8" s="77" t="s">
        <v>55</v>
      </c>
      <c r="AB8" s="77" t="s">
        <v>195</v>
      </c>
      <c r="AE8" s="22" t="s">
        <v>46</v>
      </c>
      <c r="AG8" s="110" t="s">
        <v>212</v>
      </c>
      <c r="AH8" s="110" t="s">
        <v>213</v>
      </c>
      <c r="AL8" s="80" t="s">
        <v>166</v>
      </c>
      <c r="AP8" s="80" t="s">
        <v>49</v>
      </c>
      <c r="AR8" s="80" t="s">
        <v>67</v>
      </c>
      <c r="AV8" s="80" t="s">
        <v>82</v>
      </c>
      <c r="AX8" s="24">
        <v>119</v>
      </c>
      <c r="AY8" s="25">
        <v>30</v>
      </c>
      <c r="AZ8" s="25">
        <v>121</v>
      </c>
      <c r="BA8" s="26">
        <v>27</v>
      </c>
    </row>
    <row r="9" spans="1:53" x14ac:dyDescent="0.15">
      <c r="A9" s="77" t="s">
        <v>30</v>
      </c>
      <c r="B9" s="77" t="s">
        <v>191</v>
      </c>
      <c r="C9" s="77">
        <v>2020</v>
      </c>
      <c r="D9" s="101" t="s">
        <v>199</v>
      </c>
      <c r="E9" s="77" t="s">
        <v>193</v>
      </c>
      <c r="F9" s="77" t="s">
        <v>194</v>
      </c>
      <c r="G9" s="77" t="s">
        <v>25</v>
      </c>
      <c r="H9" s="77" t="s">
        <v>166</v>
      </c>
      <c r="I9" s="77" t="s">
        <v>111</v>
      </c>
      <c r="J9" s="77" t="s">
        <v>27</v>
      </c>
      <c r="K9" s="77" t="s">
        <v>112</v>
      </c>
      <c r="L9" s="77">
        <v>2</v>
      </c>
      <c r="N9" s="77">
        <v>1</v>
      </c>
      <c r="O9" s="77">
        <v>1.05</v>
      </c>
      <c r="P9" s="77">
        <v>0.9</v>
      </c>
      <c r="Q9" s="102">
        <f t="shared" si="0"/>
        <v>0.97500000000000009</v>
      </c>
      <c r="R9" s="77">
        <v>14.9</v>
      </c>
      <c r="S9" s="77">
        <v>129</v>
      </c>
      <c r="T9" s="112">
        <f t="shared" si="1"/>
        <v>25</v>
      </c>
      <c r="U9" s="77">
        <v>98</v>
      </c>
      <c r="V9" s="16">
        <f t="shared" si="2"/>
        <v>2450</v>
      </c>
      <c r="W9" s="77">
        <v>3</v>
      </c>
      <c r="X9" s="77" t="s">
        <v>35</v>
      </c>
      <c r="Y9" s="77" t="s">
        <v>82</v>
      </c>
      <c r="Z9" s="77" t="s">
        <v>72</v>
      </c>
      <c r="AA9" s="77" t="s">
        <v>55</v>
      </c>
      <c r="AB9" s="77" t="s">
        <v>195</v>
      </c>
      <c r="AE9" s="22" t="s">
        <v>214</v>
      </c>
      <c r="AG9" s="110" t="s">
        <v>215</v>
      </c>
      <c r="AH9" s="110" t="s">
        <v>216</v>
      </c>
      <c r="AL9" s="80" t="s">
        <v>217</v>
      </c>
      <c r="AP9" s="80" t="s">
        <v>80</v>
      </c>
      <c r="AR9" s="80" t="s">
        <v>218</v>
      </c>
      <c r="AV9" s="80" t="s">
        <v>86</v>
      </c>
      <c r="AX9" s="24">
        <v>128</v>
      </c>
      <c r="AY9" s="25">
        <v>27</v>
      </c>
      <c r="AZ9" s="25">
        <v>129</v>
      </c>
      <c r="BA9" s="26">
        <v>25</v>
      </c>
    </row>
    <row r="10" spans="1:53" x14ac:dyDescent="0.15">
      <c r="A10" s="77" t="s">
        <v>30</v>
      </c>
      <c r="B10" s="77" t="s">
        <v>191</v>
      </c>
      <c r="C10" s="77">
        <v>2020</v>
      </c>
      <c r="D10" s="101" t="s">
        <v>199</v>
      </c>
      <c r="E10" s="77" t="s">
        <v>193</v>
      </c>
      <c r="F10" s="77" t="s">
        <v>194</v>
      </c>
      <c r="G10" s="77" t="s">
        <v>25</v>
      </c>
      <c r="H10" s="77" t="s">
        <v>166</v>
      </c>
      <c r="I10" s="77" t="s">
        <v>111</v>
      </c>
      <c r="J10" s="77" t="s">
        <v>27</v>
      </c>
      <c r="K10" s="77" t="s">
        <v>112</v>
      </c>
      <c r="L10" s="77">
        <v>3</v>
      </c>
      <c r="N10" s="77">
        <v>1</v>
      </c>
      <c r="O10" s="77">
        <v>0.9</v>
      </c>
      <c r="P10" s="77">
        <v>0.95</v>
      </c>
      <c r="Q10" s="102">
        <f t="shared" si="0"/>
        <v>0.92500000000000004</v>
      </c>
      <c r="R10" s="77">
        <v>13.8</v>
      </c>
      <c r="S10" s="77">
        <v>134</v>
      </c>
      <c r="T10" s="112">
        <f t="shared" si="1"/>
        <v>25</v>
      </c>
      <c r="U10" s="77">
        <v>98</v>
      </c>
      <c r="V10" s="16">
        <f t="shared" si="2"/>
        <v>2450</v>
      </c>
      <c r="W10" s="77">
        <v>3</v>
      </c>
      <c r="X10" s="77" t="s">
        <v>35</v>
      </c>
      <c r="Y10" s="77" t="s">
        <v>82</v>
      </c>
      <c r="Z10" s="77" t="s">
        <v>72</v>
      </c>
      <c r="AA10" s="77" t="s">
        <v>55</v>
      </c>
      <c r="AB10" s="77" t="s">
        <v>195</v>
      </c>
      <c r="AE10" s="22" t="s">
        <v>219</v>
      </c>
      <c r="AG10" s="110" t="s">
        <v>212</v>
      </c>
      <c r="AH10" s="110" t="s">
        <v>220</v>
      </c>
      <c r="AP10" s="80" t="s">
        <v>84</v>
      </c>
      <c r="AR10" s="80" t="s">
        <v>221</v>
      </c>
      <c r="AV10" s="80" t="s">
        <v>90</v>
      </c>
      <c r="AX10" s="24">
        <v>138</v>
      </c>
      <c r="AY10" s="25">
        <v>25</v>
      </c>
      <c r="AZ10" s="25">
        <v>138</v>
      </c>
      <c r="BA10" s="26">
        <v>22</v>
      </c>
    </row>
    <row r="11" spans="1:53" x14ac:dyDescent="0.15">
      <c r="A11" s="77" t="s">
        <v>30</v>
      </c>
      <c r="B11" s="77" t="s">
        <v>191</v>
      </c>
      <c r="C11" s="77">
        <v>2020</v>
      </c>
      <c r="D11" s="101" t="s">
        <v>199</v>
      </c>
      <c r="E11" s="77" t="s">
        <v>193</v>
      </c>
      <c r="F11" s="77" t="s">
        <v>194</v>
      </c>
      <c r="G11" s="77" t="s">
        <v>25</v>
      </c>
      <c r="H11" s="77" t="s">
        <v>166</v>
      </c>
      <c r="I11" s="77" t="s">
        <v>111</v>
      </c>
      <c r="J11" s="77" t="s">
        <v>27</v>
      </c>
      <c r="K11" s="77" t="s">
        <v>112</v>
      </c>
      <c r="L11" s="77">
        <v>1</v>
      </c>
      <c r="N11" s="77">
        <v>8</v>
      </c>
      <c r="O11" s="77">
        <v>1.3</v>
      </c>
      <c r="P11" s="77">
        <v>1.1000000000000001</v>
      </c>
      <c r="Q11" s="102">
        <f t="shared" si="0"/>
        <v>1.2000000000000002</v>
      </c>
      <c r="R11" s="77">
        <v>14.9</v>
      </c>
      <c r="S11" s="77">
        <v>120</v>
      </c>
      <c r="T11" s="112">
        <f t="shared" si="1"/>
        <v>30</v>
      </c>
      <c r="U11" s="77">
        <v>798</v>
      </c>
      <c r="V11" s="112">
        <f t="shared" si="2"/>
        <v>2992.5</v>
      </c>
      <c r="W11" s="77">
        <v>3</v>
      </c>
      <c r="X11" s="77" t="s">
        <v>35</v>
      </c>
      <c r="Y11" s="77" t="s">
        <v>82</v>
      </c>
      <c r="Z11" s="77" t="s">
        <v>72</v>
      </c>
      <c r="AA11" s="77" t="s">
        <v>55</v>
      </c>
      <c r="AB11" s="77" t="s">
        <v>195</v>
      </c>
      <c r="AE11" s="22" t="s">
        <v>54</v>
      </c>
      <c r="AG11" s="110" t="s">
        <v>222</v>
      </c>
      <c r="AH11" s="110" t="s">
        <v>223</v>
      </c>
      <c r="AP11" s="80" t="s">
        <v>88</v>
      </c>
      <c r="AR11" s="80" t="s">
        <v>224</v>
      </c>
      <c r="AV11" s="80" t="s">
        <v>55</v>
      </c>
      <c r="AX11" s="24">
        <v>151</v>
      </c>
      <c r="AY11" s="25">
        <v>22</v>
      </c>
      <c r="AZ11" s="25">
        <v>152</v>
      </c>
      <c r="BA11" s="26">
        <v>18</v>
      </c>
    </row>
    <row r="12" spans="1:53" x14ac:dyDescent="0.15">
      <c r="A12" s="77" t="s">
        <v>30</v>
      </c>
      <c r="B12" s="77" t="s">
        <v>191</v>
      </c>
      <c r="C12" s="77">
        <v>2020</v>
      </c>
      <c r="D12" s="101" t="s">
        <v>199</v>
      </c>
      <c r="E12" s="77" t="s">
        <v>193</v>
      </c>
      <c r="F12" s="77" t="s">
        <v>194</v>
      </c>
      <c r="G12" s="77" t="s">
        <v>25</v>
      </c>
      <c r="H12" s="77" t="s">
        <v>166</v>
      </c>
      <c r="I12" s="77" t="s">
        <v>111</v>
      </c>
      <c r="J12" s="77" t="s">
        <v>27</v>
      </c>
      <c r="K12" s="77" t="s">
        <v>112</v>
      </c>
      <c r="L12" s="77">
        <v>2</v>
      </c>
      <c r="N12" s="77">
        <v>8</v>
      </c>
      <c r="O12" s="77">
        <v>1</v>
      </c>
      <c r="P12" s="77">
        <v>1.1499999999999999</v>
      </c>
      <c r="Q12" s="102">
        <f t="shared" si="0"/>
        <v>1.075</v>
      </c>
      <c r="R12" s="77">
        <v>16.8</v>
      </c>
      <c r="S12" s="77">
        <v>115</v>
      </c>
      <c r="T12" s="112">
        <f t="shared" si="1"/>
        <v>30</v>
      </c>
      <c r="U12" s="77">
        <v>798</v>
      </c>
      <c r="V12" s="16">
        <f t="shared" si="2"/>
        <v>2992.5</v>
      </c>
      <c r="W12" s="77">
        <v>3</v>
      </c>
      <c r="X12" s="77" t="s">
        <v>35</v>
      </c>
      <c r="Y12" s="77" t="s">
        <v>82</v>
      </c>
      <c r="Z12" s="77" t="s">
        <v>72</v>
      </c>
      <c r="AA12" s="77" t="s">
        <v>55</v>
      </c>
      <c r="AB12" s="77" t="s">
        <v>195</v>
      </c>
      <c r="AE12" s="22" t="s">
        <v>225</v>
      </c>
      <c r="AG12" s="22"/>
      <c r="AH12" s="22"/>
      <c r="AP12" s="80" t="s">
        <v>53</v>
      </c>
      <c r="AR12" s="80" t="s">
        <v>226</v>
      </c>
      <c r="AV12" s="80" t="s">
        <v>58</v>
      </c>
      <c r="AX12" s="31">
        <v>180</v>
      </c>
      <c r="AY12" s="32">
        <v>18</v>
      </c>
      <c r="AZ12" s="32">
        <v>181</v>
      </c>
      <c r="BA12" s="33">
        <v>16</v>
      </c>
    </row>
    <row r="13" spans="1:53" x14ac:dyDescent="0.15">
      <c r="A13" s="77" t="s">
        <v>30</v>
      </c>
      <c r="B13" s="77" t="s">
        <v>191</v>
      </c>
      <c r="C13" s="77">
        <v>2020</v>
      </c>
      <c r="D13" s="101" t="s">
        <v>199</v>
      </c>
      <c r="E13" s="77" t="s">
        <v>193</v>
      </c>
      <c r="F13" s="77" t="s">
        <v>194</v>
      </c>
      <c r="G13" s="77" t="s">
        <v>25</v>
      </c>
      <c r="H13" s="77" t="s">
        <v>166</v>
      </c>
      <c r="I13" s="77" t="s">
        <v>111</v>
      </c>
      <c r="J13" s="77" t="s">
        <v>27</v>
      </c>
      <c r="K13" s="77" t="s">
        <v>112</v>
      </c>
      <c r="L13" s="77">
        <v>3</v>
      </c>
      <c r="N13" s="77">
        <v>8</v>
      </c>
      <c r="O13" s="77">
        <v>1.05</v>
      </c>
      <c r="P13" s="77">
        <v>0.9</v>
      </c>
      <c r="Q13" s="102">
        <f t="shared" si="0"/>
        <v>0.97500000000000009</v>
      </c>
      <c r="R13" s="77">
        <v>13.9</v>
      </c>
      <c r="S13" s="77">
        <v>115</v>
      </c>
      <c r="T13" s="112">
        <f t="shared" si="1"/>
        <v>30</v>
      </c>
      <c r="U13" s="77">
        <v>798</v>
      </c>
      <c r="V13" s="16">
        <f t="shared" si="2"/>
        <v>2992.5</v>
      </c>
      <c r="W13" s="77">
        <v>3</v>
      </c>
      <c r="X13" s="77" t="s">
        <v>35</v>
      </c>
      <c r="Y13" s="77" t="s">
        <v>82</v>
      </c>
      <c r="Z13" s="77" t="s">
        <v>72</v>
      </c>
      <c r="AA13" s="77" t="s">
        <v>55</v>
      </c>
      <c r="AB13" s="77" t="s">
        <v>195</v>
      </c>
      <c r="AE13" s="22" t="s">
        <v>227</v>
      </c>
      <c r="AG13" s="80"/>
      <c r="AH13" s="80"/>
      <c r="AP13" s="80" t="s">
        <v>57</v>
      </c>
      <c r="AR13" s="80" t="s">
        <v>219</v>
      </c>
      <c r="AV13" s="80" t="s">
        <v>61</v>
      </c>
    </row>
    <row r="14" spans="1:53" x14ac:dyDescent="0.15">
      <c r="A14" s="77" t="s">
        <v>30</v>
      </c>
      <c r="B14" s="77" t="s">
        <v>191</v>
      </c>
      <c r="C14" s="77">
        <v>2020</v>
      </c>
      <c r="D14" s="101" t="s">
        <v>199</v>
      </c>
      <c r="E14" s="77" t="s">
        <v>197</v>
      </c>
      <c r="F14" s="77" t="s">
        <v>194</v>
      </c>
      <c r="G14" s="77" t="s">
        <v>25</v>
      </c>
      <c r="H14" s="77" t="s">
        <v>166</v>
      </c>
      <c r="I14" s="77" t="s">
        <v>165</v>
      </c>
      <c r="J14" s="77" t="s">
        <v>27</v>
      </c>
      <c r="K14" s="77" t="s">
        <v>112</v>
      </c>
      <c r="L14" s="77">
        <v>1</v>
      </c>
      <c r="N14" s="77">
        <v>2</v>
      </c>
      <c r="O14" s="77">
        <v>0.65</v>
      </c>
      <c r="P14" s="77">
        <v>0.7</v>
      </c>
      <c r="Q14" s="102">
        <f t="shared" si="0"/>
        <v>0.67500000000000004</v>
      </c>
      <c r="R14" s="77">
        <v>15.2</v>
      </c>
      <c r="S14" s="77">
        <v>124</v>
      </c>
      <c r="T14" s="112">
        <f t="shared" si="1"/>
        <v>27</v>
      </c>
      <c r="U14" s="77">
        <v>298</v>
      </c>
      <c r="V14" s="16">
        <f t="shared" si="2"/>
        <v>4023</v>
      </c>
      <c r="W14" s="77">
        <v>2</v>
      </c>
      <c r="X14" s="77" t="s">
        <v>35</v>
      </c>
      <c r="Y14" s="77" t="s">
        <v>82</v>
      </c>
      <c r="Z14" s="77" t="s">
        <v>43</v>
      </c>
      <c r="AA14" s="77" t="s">
        <v>55</v>
      </c>
      <c r="AB14" s="77" t="s">
        <v>195</v>
      </c>
      <c r="AE14" s="22" t="s">
        <v>81</v>
      </c>
      <c r="AG14" s="80"/>
      <c r="AH14" s="80"/>
      <c r="AP14" s="80" t="s">
        <v>60</v>
      </c>
      <c r="AR14" s="80" t="s">
        <v>228</v>
      </c>
      <c r="AV14" s="80" t="s">
        <v>64</v>
      </c>
    </row>
    <row r="15" spans="1:53" x14ac:dyDescent="0.15">
      <c r="A15" s="77" t="s">
        <v>30</v>
      </c>
      <c r="B15" s="77" t="s">
        <v>191</v>
      </c>
      <c r="C15" s="77">
        <v>2020</v>
      </c>
      <c r="D15" s="101" t="s">
        <v>199</v>
      </c>
      <c r="E15" s="77" t="s">
        <v>197</v>
      </c>
      <c r="F15" s="77" t="s">
        <v>194</v>
      </c>
      <c r="G15" s="77" t="s">
        <v>25</v>
      </c>
      <c r="H15" s="77" t="s">
        <v>166</v>
      </c>
      <c r="I15" s="77" t="s">
        <v>165</v>
      </c>
      <c r="J15" s="77" t="s">
        <v>27</v>
      </c>
      <c r="K15" s="77" t="s">
        <v>112</v>
      </c>
      <c r="L15" s="77">
        <v>2</v>
      </c>
      <c r="N15" s="77">
        <v>2</v>
      </c>
      <c r="O15" s="77">
        <v>0.5</v>
      </c>
      <c r="P15" s="77">
        <v>0.45</v>
      </c>
      <c r="Q15" s="102">
        <f t="shared" si="0"/>
        <v>0.47499999999999998</v>
      </c>
      <c r="R15" s="77">
        <v>14.9</v>
      </c>
      <c r="S15" s="77">
        <v>123</v>
      </c>
      <c r="T15" s="112">
        <f t="shared" si="1"/>
        <v>27</v>
      </c>
      <c r="U15" s="77">
        <v>298</v>
      </c>
      <c r="V15" s="16">
        <f t="shared" si="2"/>
        <v>4023</v>
      </c>
      <c r="W15" s="77">
        <v>2</v>
      </c>
      <c r="X15" s="77" t="s">
        <v>35</v>
      </c>
      <c r="Y15" s="77" t="s">
        <v>82</v>
      </c>
      <c r="Z15" s="77" t="s">
        <v>43</v>
      </c>
      <c r="AA15" s="77" t="s">
        <v>55</v>
      </c>
      <c r="AB15" s="77" t="s">
        <v>195</v>
      </c>
      <c r="AE15" s="22" t="s">
        <v>229</v>
      </c>
      <c r="AG15" s="80"/>
      <c r="AH15" s="80"/>
      <c r="AP15" s="80" t="s">
        <v>63</v>
      </c>
      <c r="AR15" s="80" t="s">
        <v>66</v>
      </c>
      <c r="AV15" s="80" t="s">
        <v>91</v>
      </c>
    </row>
    <row r="16" spans="1:53" x14ac:dyDescent="0.15">
      <c r="A16" s="77" t="s">
        <v>30</v>
      </c>
      <c r="B16" s="77" t="s">
        <v>191</v>
      </c>
      <c r="C16" s="77">
        <v>2020</v>
      </c>
      <c r="D16" s="101" t="s">
        <v>199</v>
      </c>
      <c r="E16" s="77" t="s">
        <v>197</v>
      </c>
      <c r="F16" s="77" t="s">
        <v>194</v>
      </c>
      <c r="G16" s="77" t="s">
        <v>25</v>
      </c>
      <c r="H16" s="77" t="s">
        <v>166</v>
      </c>
      <c r="I16" s="77" t="s">
        <v>165</v>
      </c>
      <c r="J16" s="77" t="s">
        <v>27</v>
      </c>
      <c r="K16" s="77" t="s">
        <v>112</v>
      </c>
      <c r="L16" s="77">
        <v>3</v>
      </c>
      <c r="N16" s="77">
        <v>2</v>
      </c>
      <c r="O16" s="77">
        <v>0.6</v>
      </c>
      <c r="P16" s="77">
        <v>0.5</v>
      </c>
      <c r="Q16" s="102">
        <f t="shared" si="0"/>
        <v>0.55000000000000004</v>
      </c>
      <c r="R16" s="77">
        <v>16.100000000000001</v>
      </c>
      <c r="S16" s="77">
        <v>128</v>
      </c>
      <c r="T16" s="112">
        <f t="shared" si="1"/>
        <v>27</v>
      </c>
      <c r="U16" s="77">
        <v>298</v>
      </c>
      <c r="V16" s="16">
        <f t="shared" si="2"/>
        <v>4023</v>
      </c>
      <c r="W16" s="77">
        <v>2</v>
      </c>
      <c r="X16" s="77" t="s">
        <v>35</v>
      </c>
      <c r="Y16" s="77" t="s">
        <v>82</v>
      </c>
      <c r="Z16" s="77" t="s">
        <v>43</v>
      </c>
      <c r="AA16" s="77" t="s">
        <v>55</v>
      </c>
      <c r="AB16" s="77" t="s">
        <v>195</v>
      </c>
      <c r="AE16" s="22" t="s">
        <v>230</v>
      </c>
      <c r="AG16" s="28"/>
      <c r="AH16" s="28"/>
      <c r="AP16" s="80" t="s">
        <v>66</v>
      </c>
      <c r="AR16" s="80" t="s">
        <v>50</v>
      </c>
      <c r="AV16" s="80" t="s">
        <v>70</v>
      </c>
    </row>
    <row r="17" spans="1:48" x14ac:dyDescent="0.15">
      <c r="A17" s="77" t="s">
        <v>30</v>
      </c>
      <c r="B17" s="77" t="s">
        <v>191</v>
      </c>
      <c r="C17" s="77">
        <v>2020</v>
      </c>
      <c r="D17" s="101" t="s">
        <v>199</v>
      </c>
      <c r="E17" s="77" t="s">
        <v>197</v>
      </c>
      <c r="F17" s="77" t="s">
        <v>194</v>
      </c>
      <c r="G17" s="77" t="s">
        <v>25</v>
      </c>
      <c r="H17" s="77" t="s">
        <v>166</v>
      </c>
      <c r="I17" s="77" t="s">
        <v>111</v>
      </c>
      <c r="J17" s="77" t="s">
        <v>27</v>
      </c>
      <c r="K17" s="77" t="s">
        <v>112</v>
      </c>
      <c r="L17" s="77">
        <v>1</v>
      </c>
      <c r="N17" s="77">
        <v>1</v>
      </c>
      <c r="O17" s="77">
        <v>0.4</v>
      </c>
      <c r="P17" s="77">
        <v>0.4</v>
      </c>
      <c r="Q17" s="102">
        <f t="shared" si="0"/>
        <v>0.4</v>
      </c>
      <c r="R17" s="77">
        <v>14.2</v>
      </c>
      <c r="S17" s="77">
        <v>124</v>
      </c>
      <c r="T17" s="112">
        <f t="shared" si="1"/>
        <v>27</v>
      </c>
      <c r="U17" s="77">
        <v>98</v>
      </c>
      <c r="V17" s="16">
        <f>IF(OR(N17="",U17="",T17=""),"",U17/N17*T17)</f>
        <v>2646</v>
      </c>
      <c r="W17" s="77">
        <v>3</v>
      </c>
      <c r="X17" s="77" t="s">
        <v>35</v>
      </c>
      <c r="Y17" s="77" t="s">
        <v>82</v>
      </c>
      <c r="Z17" s="77" t="s">
        <v>43</v>
      </c>
      <c r="AA17" s="77" t="s">
        <v>55</v>
      </c>
      <c r="AB17" s="77" t="s">
        <v>195</v>
      </c>
      <c r="AE17" s="22" t="s">
        <v>231</v>
      </c>
      <c r="AP17" s="27" t="s">
        <v>232</v>
      </c>
      <c r="AR17" s="80" t="s">
        <v>81</v>
      </c>
      <c r="AV17" s="80" t="s">
        <v>72</v>
      </c>
    </row>
    <row r="18" spans="1:48" x14ac:dyDescent="0.15">
      <c r="A18" s="77" t="s">
        <v>30</v>
      </c>
      <c r="B18" s="77" t="s">
        <v>191</v>
      </c>
      <c r="C18" s="77">
        <v>2020</v>
      </c>
      <c r="D18" s="101" t="s">
        <v>199</v>
      </c>
      <c r="E18" s="77" t="s">
        <v>197</v>
      </c>
      <c r="F18" s="77" t="s">
        <v>194</v>
      </c>
      <c r="G18" s="77" t="s">
        <v>25</v>
      </c>
      <c r="H18" s="77" t="s">
        <v>166</v>
      </c>
      <c r="I18" s="77" t="s">
        <v>111</v>
      </c>
      <c r="J18" s="77" t="s">
        <v>27</v>
      </c>
      <c r="K18" s="77" t="s">
        <v>112</v>
      </c>
      <c r="L18" s="77">
        <v>2</v>
      </c>
      <c r="N18" s="77">
        <v>1</v>
      </c>
      <c r="O18" s="77">
        <v>0.4</v>
      </c>
      <c r="P18" s="77">
        <v>0.5</v>
      </c>
      <c r="Q18" s="102">
        <f t="shared" si="0"/>
        <v>0.45</v>
      </c>
      <c r="R18" s="77">
        <v>14.3</v>
      </c>
      <c r="S18" s="77">
        <v>123</v>
      </c>
      <c r="T18" s="112">
        <f t="shared" si="1"/>
        <v>27</v>
      </c>
      <c r="U18" s="77">
        <v>98</v>
      </c>
      <c r="V18" s="16">
        <f>IF(OR(N18="",U18="",T18=""),"",U18/N18*T18)</f>
        <v>2646</v>
      </c>
      <c r="W18" s="77">
        <v>3</v>
      </c>
      <c r="X18" s="77" t="s">
        <v>35</v>
      </c>
      <c r="Y18" s="77" t="s">
        <v>82</v>
      </c>
      <c r="Z18" s="77" t="s">
        <v>43</v>
      </c>
      <c r="AA18" s="77" t="s">
        <v>55</v>
      </c>
      <c r="AB18" s="77" t="s">
        <v>195</v>
      </c>
      <c r="AE18" s="22" t="s">
        <v>224</v>
      </c>
      <c r="AP18" s="27" t="s">
        <v>233</v>
      </c>
      <c r="AR18" s="80" t="s">
        <v>85</v>
      </c>
      <c r="AV18" s="80" t="s">
        <v>74</v>
      </c>
    </row>
    <row r="19" spans="1:48" x14ac:dyDescent="0.15">
      <c r="A19" s="77" t="s">
        <v>30</v>
      </c>
      <c r="B19" s="77" t="s">
        <v>191</v>
      </c>
      <c r="C19" s="77">
        <v>2020</v>
      </c>
      <c r="D19" s="101" t="s">
        <v>199</v>
      </c>
      <c r="E19" s="77" t="s">
        <v>197</v>
      </c>
      <c r="F19" s="77" t="s">
        <v>194</v>
      </c>
      <c r="G19" s="77" t="s">
        <v>25</v>
      </c>
      <c r="H19" s="77" t="s">
        <v>166</v>
      </c>
      <c r="I19" s="77" t="s">
        <v>111</v>
      </c>
      <c r="J19" s="77" t="s">
        <v>27</v>
      </c>
      <c r="K19" s="77" t="s">
        <v>112</v>
      </c>
      <c r="L19" s="77">
        <v>3</v>
      </c>
      <c r="N19" s="77">
        <v>1</v>
      </c>
      <c r="O19" s="77">
        <v>0.25</v>
      </c>
      <c r="P19" s="77">
        <v>0.3</v>
      </c>
      <c r="Q19" s="102">
        <f t="shared" si="0"/>
        <v>0.27500000000000002</v>
      </c>
      <c r="R19" s="77">
        <v>14.9</v>
      </c>
      <c r="S19" s="77">
        <v>122</v>
      </c>
      <c r="T19" s="112">
        <f t="shared" si="1"/>
        <v>27</v>
      </c>
      <c r="U19" s="77">
        <v>98</v>
      </c>
      <c r="V19" s="16">
        <f>IF(OR(N19="",U19="",T19=""),"",U19/N19*T19)</f>
        <v>2646</v>
      </c>
      <c r="W19" s="77">
        <v>3</v>
      </c>
      <c r="X19" s="77" t="s">
        <v>35</v>
      </c>
      <c r="Y19" s="77" t="s">
        <v>82</v>
      </c>
      <c r="Z19" s="77" t="s">
        <v>43</v>
      </c>
      <c r="AA19" s="77" t="s">
        <v>55</v>
      </c>
      <c r="AB19" s="77" t="s">
        <v>195</v>
      </c>
      <c r="AE19" s="35" t="s">
        <v>218</v>
      </c>
      <c r="AP19" s="27" t="s">
        <v>234</v>
      </c>
      <c r="AR19" s="80" t="s">
        <v>235</v>
      </c>
      <c r="AV19" s="80" t="s">
        <v>76</v>
      </c>
    </row>
    <row r="20" spans="1:48" x14ac:dyDescent="0.15">
      <c r="A20" s="77" t="s">
        <v>30</v>
      </c>
      <c r="B20" s="77" t="s">
        <v>191</v>
      </c>
      <c r="C20" s="77">
        <v>2020</v>
      </c>
      <c r="D20" s="101" t="s">
        <v>199</v>
      </c>
      <c r="E20" s="77" t="s">
        <v>197</v>
      </c>
      <c r="F20" s="77" t="s">
        <v>194</v>
      </c>
      <c r="G20" s="77" t="s">
        <v>25</v>
      </c>
      <c r="H20" s="77" t="s">
        <v>166</v>
      </c>
      <c r="I20" s="77" t="s">
        <v>111</v>
      </c>
      <c r="J20" s="77" t="s">
        <v>27</v>
      </c>
      <c r="K20" s="77" t="s">
        <v>112</v>
      </c>
      <c r="L20" s="77">
        <v>1</v>
      </c>
      <c r="N20" s="77">
        <v>7</v>
      </c>
      <c r="O20" s="77">
        <v>0.3</v>
      </c>
      <c r="P20" s="77">
        <v>0.4</v>
      </c>
      <c r="Q20" s="102">
        <f t="shared" si="0"/>
        <v>0.35</v>
      </c>
      <c r="R20" s="77">
        <v>14.2</v>
      </c>
      <c r="S20" s="77">
        <v>102</v>
      </c>
      <c r="T20" s="112">
        <f t="shared" si="1"/>
        <v>33</v>
      </c>
      <c r="U20" s="77">
        <v>598</v>
      </c>
      <c r="V20" s="112">
        <f>IF(OR(N20="",U20="",T20=""),"",U20/N20*T20)</f>
        <v>2819.1428571428573</v>
      </c>
      <c r="W20" s="77">
        <v>2</v>
      </c>
      <c r="X20" s="77" t="s">
        <v>35</v>
      </c>
      <c r="Y20" s="77" t="s">
        <v>82</v>
      </c>
      <c r="Z20" s="77" t="s">
        <v>43</v>
      </c>
      <c r="AA20" s="77" t="s">
        <v>55</v>
      </c>
      <c r="AB20" s="77" t="s">
        <v>195</v>
      </c>
      <c r="AE20" s="35"/>
      <c r="AP20" s="27" t="s">
        <v>236</v>
      </c>
      <c r="AR20" s="80" t="s">
        <v>89</v>
      </c>
      <c r="AV20" s="27" t="s">
        <v>237</v>
      </c>
    </row>
    <row r="21" spans="1:48" x14ac:dyDescent="0.15">
      <c r="A21" s="77" t="s">
        <v>30</v>
      </c>
      <c r="B21" s="77" t="s">
        <v>191</v>
      </c>
      <c r="C21" s="77">
        <v>2020</v>
      </c>
      <c r="D21" s="101" t="s">
        <v>199</v>
      </c>
      <c r="E21" s="77" t="s">
        <v>197</v>
      </c>
      <c r="F21" s="77" t="s">
        <v>194</v>
      </c>
      <c r="G21" s="77" t="s">
        <v>25</v>
      </c>
      <c r="H21" s="77" t="s">
        <v>166</v>
      </c>
      <c r="I21" s="77" t="s">
        <v>111</v>
      </c>
      <c r="J21" s="77" t="s">
        <v>27</v>
      </c>
      <c r="K21" s="77" t="s">
        <v>112</v>
      </c>
      <c r="L21" s="77">
        <v>2</v>
      </c>
      <c r="N21" s="77">
        <v>7</v>
      </c>
      <c r="O21" s="77">
        <v>0.4</v>
      </c>
      <c r="P21" s="77">
        <v>0.4</v>
      </c>
      <c r="Q21" s="102">
        <f t="shared" si="0"/>
        <v>0.4</v>
      </c>
      <c r="R21" s="77">
        <v>12.8</v>
      </c>
      <c r="S21" s="77">
        <v>102</v>
      </c>
      <c r="T21" s="112">
        <f t="shared" si="1"/>
        <v>33</v>
      </c>
      <c r="U21" s="77">
        <v>598</v>
      </c>
      <c r="V21" s="16">
        <f t="shared" ref="V21:V84" si="3">IF(OR(N21="",U21="",T21=""),"",U21/N21*T21)</f>
        <v>2819.1428571428573</v>
      </c>
      <c r="W21" s="77">
        <v>2</v>
      </c>
      <c r="X21" s="77" t="s">
        <v>35</v>
      </c>
      <c r="Y21" s="77" t="s">
        <v>82</v>
      </c>
      <c r="Z21" s="77" t="s">
        <v>43</v>
      </c>
      <c r="AA21" s="77" t="s">
        <v>55</v>
      </c>
      <c r="AB21" s="77" t="s">
        <v>195</v>
      </c>
      <c r="AE21" s="28"/>
      <c r="AP21" s="27" t="s">
        <v>238</v>
      </c>
      <c r="AR21" s="80" t="s">
        <v>54</v>
      </c>
      <c r="AV21" s="27" t="s">
        <v>239</v>
      </c>
    </row>
    <row r="22" spans="1:48" x14ac:dyDescent="0.15">
      <c r="A22" s="77" t="s">
        <v>30</v>
      </c>
      <c r="B22" s="77" t="s">
        <v>191</v>
      </c>
      <c r="C22" s="77">
        <v>2020</v>
      </c>
      <c r="D22" s="101" t="s">
        <v>199</v>
      </c>
      <c r="E22" s="77" t="s">
        <v>197</v>
      </c>
      <c r="F22" s="77" t="s">
        <v>194</v>
      </c>
      <c r="G22" s="77" t="s">
        <v>25</v>
      </c>
      <c r="H22" s="77" t="s">
        <v>166</v>
      </c>
      <c r="I22" s="77" t="s">
        <v>111</v>
      </c>
      <c r="J22" s="77" t="s">
        <v>27</v>
      </c>
      <c r="K22" s="77" t="s">
        <v>112</v>
      </c>
      <c r="L22" s="77">
        <v>3</v>
      </c>
      <c r="N22" s="77">
        <v>7</v>
      </c>
      <c r="O22" s="77">
        <v>0.5</v>
      </c>
      <c r="P22" s="77">
        <v>0.35</v>
      </c>
      <c r="Q22" s="102">
        <f t="shared" si="0"/>
        <v>0.42499999999999999</v>
      </c>
      <c r="R22" s="77">
        <v>11</v>
      </c>
      <c r="S22" s="77">
        <v>104</v>
      </c>
      <c r="T22" s="112">
        <f t="shared" si="1"/>
        <v>33</v>
      </c>
      <c r="U22" s="77">
        <v>598</v>
      </c>
      <c r="V22" s="16">
        <f t="shared" si="3"/>
        <v>2819.1428571428573</v>
      </c>
      <c r="W22" s="77">
        <v>2</v>
      </c>
      <c r="X22" s="77" t="s">
        <v>35</v>
      </c>
      <c r="Y22" s="77" t="s">
        <v>82</v>
      </c>
      <c r="Z22" s="77" t="s">
        <v>43</v>
      </c>
      <c r="AA22" s="77" t="s">
        <v>55</v>
      </c>
      <c r="AB22" s="77" t="s">
        <v>195</v>
      </c>
      <c r="AP22" s="27" t="s">
        <v>240</v>
      </c>
      <c r="AR22" s="80" t="s">
        <v>69</v>
      </c>
      <c r="AV22" s="27"/>
    </row>
    <row r="23" spans="1:48" x14ac:dyDescent="0.15">
      <c r="A23" s="77" t="s">
        <v>30</v>
      </c>
      <c r="B23" s="77" t="s">
        <v>191</v>
      </c>
      <c r="C23" s="77">
        <v>2020</v>
      </c>
      <c r="D23" s="101" t="s">
        <v>199</v>
      </c>
      <c r="E23" s="77" t="s">
        <v>197</v>
      </c>
      <c r="F23" s="77" t="s">
        <v>194</v>
      </c>
      <c r="G23" s="77" t="s">
        <v>25</v>
      </c>
      <c r="H23" s="77" t="s">
        <v>166</v>
      </c>
      <c r="I23" s="77" t="s">
        <v>111</v>
      </c>
      <c r="J23" s="77" t="s">
        <v>27</v>
      </c>
      <c r="K23" s="77" t="s">
        <v>112</v>
      </c>
      <c r="L23" s="77">
        <v>1</v>
      </c>
      <c r="N23" s="77">
        <v>4</v>
      </c>
      <c r="O23" s="77">
        <v>0.45</v>
      </c>
      <c r="P23" s="77">
        <v>0.6</v>
      </c>
      <c r="Q23" s="102">
        <f t="shared" si="0"/>
        <v>0.52500000000000002</v>
      </c>
      <c r="R23" s="77">
        <v>13.1</v>
      </c>
      <c r="S23" s="77">
        <v>116</v>
      </c>
      <c r="T23" s="112">
        <f t="shared" si="1"/>
        <v>30</v>
      </c>
      <c r="U23" s="77">
        <v>498</v>
      </c>
      <c r="V23" s="112">
        <f t="shared" si="3"/>
        <v>3735</v>
      </c>
      <c r="W23" s="77">
        <v>2</v>
      </c>
      <c r="X23" s="77" t="s">
        <v>35</v>
      </c>
      <c r="Y23" s="77" t="s">
        <v>82</v>
      </c>
      <c r="Z23" s="77" t="s">
        <v>43</v>
      </c>
      <c r="AA23" s="77" t="s">
        <v>55</v>
      </c>
      <c r="AB23" s="77" t="s">
        <v>195</v>
      </c>
      <c r="AP23" s="27" t="s">
        <v>241</v>
      </c>
      <c r="AR23" s="28" t="s">
        <v>242</v>
      </c>
      <c r="AV23" s="28"/>
    </row>
    <row r="24" spans="1:48" x14ac:dyDescent="0.15">
      <c r="A24" s="77" t="s">
        <v>30</v>
      </c>
      <c r="B24" s="77" t="s">
        <v>191</v>
      </c>
      <c r="C24" s="77">
        <v>2020</v>
      </c>
      <c r="D24" s="101" t="s">
        <v>199</v>
      </c>
      <c r="E24" s="77" t="s">
        <v>197</v>
      </c>
      <c r="F24" s="77" t="s">
        <v>194</v>
      </c>
      <c r="G24" s="77" t="s">
        <v>25</v>
      </c>
      <c r="H24" s="77" t="s">
        <v>166</v>
      </c>
      <c r="I24" s="77" t="s">
        <v>111</v>
      </c>
      <c r="J24" s="77" t="s">
        <v>27</v>
      </c>
      <c r="K24" s="77" t="s">
        <v>112</v>
      </c>
      <c r="L24" s="77">
        <v>2</v>
      </c>
      <c r="N24" s="77">
        <v>4</v>
      </c>
      <c r="O24" s="77">
        <v>0.6</v>
      </c>
      <c r="P24" s="77">
        <v>0.75</v>
      </c>
      <c r="Q24" s="102">
        <f t="shared" si="0"/>
        <v>0.67500000000000004</v>
      </c>
      <c r="R24" s="77">
        <v>13.4</v>
      </c>
      <c r="S24" s="77">
        <v>112</v>
      </c>
      <c r="T24" s="112">
        <f t="shared" si="1"/>
        <v>33</v>
      </c>
      <c r="U24" s="77">
        <v>498</v>
      </c>
      <c r="V24" s="112">
        <f t="shared" si="3"/>
        <v>4108.5</v>
      </c>
      <c r="W24" s="77">
        <v>2</v>
      </c>
      <c r="X24" s="77" t="s">
        <v>35</v>
      </c>
      <c r="Y24" s="77" t="s">
        <v>82</v>
      </c>
      <c r="Z24" s="77" t="s">
        <v>43</v>
      </c>
      <c r="AA24" s="77" t="s">
        <v>55</v>
      </c>
      <c r="AB24" s="77" t="s">
        <v>195</v>
      </c>
      <c r="AP24" s="27" t="s">
        <v>243</v>
      </c>
    </row>
    <row r="25" spans="1:48" x14ac:dyDescent="0.15">
      <c r="A25" s="77" t="s">
        <v>30</v>
      </c>
      <c r="B25" s="77" t="s">
        <v>191</v>
      </c>
      <c r="C25" s="77">
        <v>2020</v>
      </c>
      <c r="D25" s="101" t="s">
        <v>199</v>
      </c>
      <c r="E25" s="77" t="s">
        <v>197</v>
      </c>
      <c r="F25" s="77" t="s">
        <v>194</v>
      </c>
      <c r="G25" s="77" t="s">
        <v>25</v>
      </c>
      <c r="H25" s="77" t="s">
        <v>166</v>
      </c>
      <c r="I25" s="77" t="s">
        <v>111</v>
      </c>
      <c r="J25" s="77" t="s">
        <v>27</v>
      </c>
      <c r="K25" s="77" t="s">
        <v>112</v>
      </c>
      <c r="L25" s="77">
        <v>3</v>
      </c>
      <c r="N25" s="77">
        <v>4</v>
      </c>
      <c r="O25" s="77">
        <v>0.7</v>
      </c>
      <c r="P25" s="77">
        <v>0.7</v>
      </c>
      <c r="Q25" s="102">
        <f t="shared" si="0"/>
        <v>0.7</v>
      </c>
      <c r="R25" s="77">
        <v>15.2</v>
      </c>
      <c r="S25" s="77">
        <v>114</v>
      </c>
      <c r="T25" s="112">
        <f t="shared" si="1"/>
        <v>30</v>
      </c>
      <c r="U25" s="77">
        <v>498</v>
      </c>
      <c r="V25" s="112">
        <f t="shared" si="3"/>
        <v>3735</v>
      </c>
      <c r="W25" s="77">
        <v>2</v>
      </c>
      <c r="X25" s="77" t="s">
        <v>35</v>
      </c>
      <c r="Y25" s="77" t="s">
        <v>82</v>
      </c>
      <c r="Z25" s="77" t="s">
        <v>43</v>
      </c>
      <c r="AA25" s="77" t="s">
        <v>55</v>
      </c>
      <c r="AB25" s="77" t="s">
        <v>195</v>
      </c>
      <c r="AP25" s="77" t="s">
        <v>244</v>
      </c>
    </row>
    <row r="26" spans="1:48" x14ac:dyDescent="0.15">
      <c r="A26" s="77" t="s">
        <v>30</v>
      </c>
      <c r="B26" s="77" t="s">
        <v>191</v>
      </c>
      <c r="C26" s="77">
        <v>2020</v>
      </c>
      <c r="D26" s="101" t="s">
        <v>199</v>
      </c>
      <c r="E26" s="77" t="s">
        <v>197</v>
      </c>
      <c r="F26" s="77" t="s">
        <v>194</v>
      </c>
      <c r="G26" s="77" t="s">
        <v>25</v>
      </c>
      <c r="H26" s="77" t="s">
        <v>113</v>
      </c>
      <c r="I26" s="77" t="s">
        <v>111</v>
      </c>
      <c r="J26" s="77" t="s">
        <v>27</v>
      </c>
      <c r="K26" s="77" t="s">
        <v>112</v>
      </c>
      <c r="L26" s="77">
        <v>1</v>
      </c>
      <c r="N26" s="77">
        <v>1</v>
      </c>
      <c r="O26" s="77">
        <v>0.3</v>
      </c>
      <c r="P26" s="77">
        <v>0.25</v>
      </c>
      <c r="Q26" s="102">
        <f t="shared" si="0"/>
        <v>0.27500000000000002</v>
      </c>
      <c r="R26" s="77">
        <v>16.2</v>
      </c>
      <c r="S26" s="77">
        <v>123</v>
      </c>
      <c r="T26" s="112">
        <f t="shared" si="1"/>
        <v>27</v>
      </c>
      <c r="U26" s="77">
        <v>98</v>
      </c>
      <c r="V26" s="112">
        <f t="shared" si="3"/>
        <v>2646</v>
      </c>
      <c r="W26" s="77">
        <v>2</v>
      </c>
      <c r="X26" s="77" t="s">
        <v>35</v>
      </c>
      <c r="Y26" s="77" t="s">
        <v>82</v>
      </c>
      <c r="Z26" s="77" t="s">
        <v>43</v>
      </c>
      <c r="AA26" s="77" t="s">
        <v>55</v>
      </c>
      <c r="AB26" s="77" t="s">
        <v>195</v>
      </c>
    </row>
    <row r="27" spans="1:48" x14ac:dyDescent="0.15">
      <c r="A27" s="77" t="s">
        <v>30</v>
      </c>
      <c r="B27" s="77" t="s">
        <v>191</v>
      </c>
      <c r="C27" s="77">
        <v>2020</v>
      </c>
      <c r="D27" s="101" t="s">
        <v>199</v>
      </c>
      <c r="E27" s="77" t="s">
        <v>197</v>
      </c>
      <c r="F27" s="77" t="s">
        <v>194</v>
      </c>
      <c r="G27" s="77" t="s">
        <v>25</v>
      </c>
      <c r="H27" s="77" t="s">
        <v>113</v>
      </c>
      <c r="I27" s="77" t="s">
        <v>111</v>
      </c>
      <c r="J27" s="77" t="s">
        <v>27</v>
      </c>
      <c r="K27" s="77" t="s">
        <v>112</v>
      </c>
      <c r="L27" s="77">
        <v>2</v>
      </c>
      <c r="N27" s="77">
        <v>1</v>
      </c>
      <c r="O27" s="77">
        <v>0.5</v>
      </c>
      <c r="P27" s="77">
        <v>0.5</v>
      </c>
      <c r="Q27" s="102">
        <f t="shared" si="0"/>
        <v>0.5</v>
      </c>
      <c r="R27" s="77">
        <v>13.7</v>
      </c>
      <c r="S27" s="77">
        <v>120</v>
      </c>
      <c r="T27" s="112">
        <f t="shared" si="1"/>
        <v>30</v>
      </c>
      <c r="U27" s="77">
        <v>98</v>
      </c>
      <c r="V27" s="112">
        <f t="shared" si="3"/>
        <v>2940</v>
      </c>
      <c r="W27" s="77">
        <v>2</v>
      </c>
      <c r="X27" s="77" t="s">
        <v>35</v>
      </c>
      <c r="Y27" s="77" t="s">
        <v>82</v>
      </c>
      <c r="Z27" s="77" t="s">
        <v>43</v>
      </c>
      <c r="AA27" s="77" t="s">
        <v>55</v>
      </c>
      <c r="AB27" s="77" t="s">
        <v>195</v>
      </c>
    </row>
    <row r="28" spans="1:48" x14ac:dyDescent="0.15">
      <c r="A28" s="77" t="s">
        <v>30</v>
      </c>
      <c r="B28" s="77" t="s">
        <v>191</v>
      </c>
      <c r="C28" s="77">
        <v>2020</v>
      </c>
      <c r="D28" s="101" t="s">
        <v>199</v>
      </c>
      <c r="E28" s="77" t="s">
        <v>197</v>
      </c>
      <c r="F28" s="77" t="s">
        <v>194</v>
      </c>
      <c r="G28" s="77" t="s">
        <v>25</v>
      </c>
      <c r="H28" s="77" t="s">
        <v>113</v>
      </c>
      <c r="I28" s="77" t="s">
        <v>111</v>
      </c>
      <c r="J28" s="77" t="s">
        <v>27</v>
      </c>
      <c r="K28" s="77" t="s">
        <v>112</v>
      </c>
      <c r="L28" s="77">
        <v>3</v>
      </c>
      <c r="N28" s="77">
        <v>1</v>
      </c>
      <c r="O28" s="77">
        <v>0.4</v>
      </c>
      <c r="P28" s="77">
        <v>0.45</v>
      </c>
      <c r="Q28" s="102">
        <f t="shared" si="0"/>
        <v>0.42500000000000004</v>
      </c>
      <c r="R28" s="77">
        <v>13.3</v>
      </c>
      <c r="S28" s="77">
        <v>122</v>
      </c>
      <c r="T28" s="112">
        <f t="shared" si="1"/>
        <v>27</v>
      </c>
      <c r="U28" s="77">
        <v>98</v>
      </c>
      <c r="V28" s="112">
        <f t="shared" si="3"/>
        <v>2646</v>
      </c>
      <c r="W28" s="77">
        <v>2</v>
      </c>
      <c r="X28" s="77" t="s">
        <v>35</v>
      </c>
      <c r="Y28" s="77" t="s">
        <v>82</v>
      </c>
      <c r="Z28" s="77" t="s">
        <v>43</v>
      </c>
      <c r="AA28" s="77" t="s">
        <v>55</v>
      </c>
      <c r="AB28" s="77" t="s">
        <v>195</v>
      </c>
    </row>
    <row r="29" spans="1:48" x14ac:dyDescent="0.15">
      <c r="A29" s="77" t="s">
        <v>30</v>
      </c>
      <c r="B29" s="77" t="s">
        <v>191</v>
      </c>
      <c r="C29" s="77">
        <v>2020</v>
      </c>
      <c r="D29" s="101" t="s">
        <v>199</v>
      </c>
      <c r="E29" s="77" t="s">
        <v>197</v>
      </c>
      <c r="F29" s="77" t="s">
        <v>194</v>
      </c>
      <c r="G29" s="77" t="s">
        <v>25</v>
      </c>
      <c r="H29" s="77" t="s">
        <v>113</v>
      </c>
      <c r="I29" s="77" t="s">
        <v>111</v>
      </c>
      <c r="J29" s="77" t="s">
        <v>27</v>
      </c>
      <c r="K29" s="77" t="s">
        <v>112</v>
      </c>
      <c r="L29" s="77">
        <v>1</v>
      </c>
      <c r="N29" s="77">
        <v>9</v>
      </c>
      <c r="O29" s="77">
        <v>0.85</v>
      </c>
      <c r="P29" s="77">
        <v>0.85</v>
      </c>
      <c r="Q29" s="102">
        <f t="shared" si="0"/>
        <v>0.85</v>
      </c>
      <c r="R29" s="77">
        <v>14.1</v>
      </c>
      <c r="S29" s="77">
        <v>102</v>
      </c>
      <c r="T29" s="112">
        <f t="shared" si="1"/>
        <v>33</v>
      </c>
      <c r="U29" s="77">
        <v>580</v>
      </c>
      <c r="V29" s="112">
        <f t="shared" si="3"/>
        <v>2126.6666666666665</v>
      </c>
      <c r="W29" s="77">
        <v>2</v>
      </c>
      <c r="X29" s="77" t="s">
        <v>35</v>
      </c>
      <c r="Y29" s="77" t="s">
        <v>82</v>
      </c>
      <c r="Z29" s="77" t="s">
        <v>43</v>
      </c>
      <c r="AA29" s="77" t="s">
        <v>55</v>
      </c>
      <c r="AB29" s="77" t="s">
        <v>195</v>
      </c>
    </row>
    <row r="30" spans="1:48" x14ac:dyDescent="0.15">
      <c r="A30" s="77" t="s">
        <v>30</v>
      </c>
      <c r="B30" s="77" t="s">
        <v>191</v>
      </c>
      <c r="C30" s="77">
        <v>2020</v>
      </c>
      <c r="D30" s="101" t="s">
        <v>199</v>
      </c>
      <c r="E30" s="77" t="s">
        <v>197</v>
      </c>
      <c r="F30" s="77" t="s">
        <v>194</v>
      </c>
      <c r="G30" s="77" t="s">
        <v>25</v>
      </c>
      <c r="H30" s="77" t="s">
        <v>113</v>
      </c>
      <c r="I30" s="77" t="s">
        <v>111</v>
      </c>
      <c r="J30" s="77" t="s">
        <v>27</v>
      </c>
      <c r="K30" s="77" t="s">
        <v>112</v>
      </c>
      <c r="L30" s="77">
        <v>2</v>
      </c>
      <c r="N30" s="77">
        <v>9</v>
      </c>
      <c r="O30" s="77">
        <v>0.7</v>
      </c>
      <c r="P30" s="77">
        <v>0.65</v>
      </c>
      <c r="Q30" s="102">
        <f t="shared" si="0"/>
        <v>0.67500000000000004</v>
      </c>
      <c r="R30" s="77">
        <v>14.5</v>
      </c>
      <c r="S30" s="77">
        <v>100</v>
      </c>
      <c r="T30" s="112">
        <f t="shared" si="1"/>
        <v>33</v>
      </c>
      <c r="U30" s="77">
        <v>580</v>
      </c>
      <c r="V30" s="112">
        <f t="shared" si="3"/>
        <v>2126.6666666666665</v>
      </c>
      <c r="W30" s="77">
        <v>2</v>
      </c>
      <c r="X30" s="77" t="s">
        <v>35</v>
      </c>
      <c r="Y30" s="77" t="s">
        <v>82</v>
      </c>
      <c r="Z30" s="77" t="s">
        <v>43</v>
      </c>
      <c r="AA30" s="77" t="s">
        <v>55</v>
      </c>
      <c r="AB30" s="77" t="s">
        <v>195</v>
      </c>
    </row>
    <row r="31" spans="1:48" x14ac:dyDescent="0.15">
      <c r="A31" s="77" t="s">
        <v>30</v>
      </c>
      <c r="B31" s="77" t="s">
        <v>191</v>
      </c>
      <c r="C31" s="77">
        <v>2020</v>
      </c>
      <c r="D31" s="101" t="s">
        <v>199</v>
      </c>
      <c r="E31" s="77" t="s">
        <v>197</v>
      </c>
      <c r="F31" s="77" t="s">
        <v>194</v>
      </c>
      <c r="G31" s="77" t="s">
        <v>25</v>
      </c>
      <c r="H31" s="77" t="s">
        <v>113</v>
      </c>
      <c r="I31" s="77" t="s">
        <v>111</v>
      </c>
      <c r="J31" s="77" t="s">
        <v>27</v>
      </c>
      <c r="K31" s="77" t="s">
        <v>112</v>
      </c>
      <c r="L31" s="77">
        <v>3</v>
      </c>
      <c r="N31" s="77">
        <v>9</v>
      </c>
      <c r="O31" s="77">
        <v>0.6</v>
      </c>
      <c r="P31" s="77">
        <v>0.7</v>
      </c>
      <c r="Q31" s="102">
        <f t="shared" si="0"/>
        <v>0.64999999999999991</v>
      </c>
      <c r="R31" s="77">
        <v>14.1</v>
      </c>
      <c r="S31" s="77">
        <v>95</v>
      </c>
      <c r="T31" s="112">
        <f t="shared" si="1"/>
        <v>36</v>
      </c>
      <c r="U31" s="77">
        <v>580</v>
      </c>
      <c r="V31" s="112">
        <f t="shared" si="3"/>
        <v>2320</v>
      </c>
      <c r="W31" s="77">
        <v>2</v>
      </c>
      <c r="X31" s="77" t="s">
        <v>35</v>
      </c>
      <c r="Y31" s="77" t="s">
        <v>82</v>
      </c>
      <c r="Z31" s="77" t="s">
        <v>43</v>
      </c>
      <c r="AA31" s="77" t="s">
        <v>55</v>
      </c>
      <c r="AB31" s="77" t="s">
        <v>195</v>
      </c>
    </row>
    <row r="32" spans="1:48" x14ac:dyDescent="0.15">
      <c r="A32" s="77" t="s">
        <v>30</v>
      </c>
      <c r="B32" s="77" t="s">
        <v>191</v>
      </c>
      <c r="C32" s="77">
        <v>2020</v>
      </c>
      <c r="D32" s="101" t="s">
        <v>199</v>
      </c>
      <c r="E32" s="77" t="s">
        <v>197</v>
      </c>
      <c r="F32" s="77" t="s">
        <v>194</v>
      </c>
      <c r="G32" s="77" t="s">
        <v>25</v>
      </c>
      <c r="H32" s="77" t="s">
        <v>113</v>
      </c>
      <c r="I32" s="77" t="s">
        <v>111</v>
      </c>
      <c r="J32" s="77" t="s">
        <v>27</v>
      </c>
      <c r="K32" s="77" t="s">
        <v>112</v>
      </c>
      <c r="L32" s="77">
        <v>1</v>
      </c>
      <c r="N32" s="77">
        <v>5</v>
      </c>
      <c r="O32" s="77">
        <v>0.95</v>
      </c>
      <c r="P32" s="77">
        <v>0.8</v>
      </c>
      <c r="Q32" s="102">
        <f t="shared" si="0"/>
        <v>0.875</v>
      </c>
      <c r="R32" s="77">
        <v>12.2</v>
      </c>
      <c r="S32" s="77">
        <v>103</v>
      </c>
      <c r="T32" s="112">
        <f t="shared" si="1"/>
        <v>33</v>
      </c>
      <c r="U32" s="77">
        <v>398</v>
      </c>
      <c r="V32" s="112">
        <f t="shared" si="3"/>
        <v>2626.7999999999997</v>
      </c>
      <c r="W32" s="77">
        <v>2</v>
      </c>
      <c r="X32" s="77" t="s">
        <v>35</v>
      </c>
      <c r="Y32" s="77" t="s">
        <v>82</v>
      </c>
      <c r="Z32" s="77" t="s">
        <v>43</v>
      </c>
      <c r="AA32" s="77" t="s">
        <v>55</v>
      </c>
      <c r="AB32" s="77" t="s">
        <v>195</v>
      </c>
    </row>
    <row r="33" spans="1:28" x14ac:dyDescent="0.15">
      <c r="A33" s="77" t="s">
        <v>30</v>
      </c>
      <c r="B33" s="77" t="s">
        <v>191</v>
      </c>
      <c r="C33" s="77">
        <v>2020</v>
      </c>
      <c r="D33" s="101" t="s">
        <v>199</v>
      </c>
      <c r="E33" s="77" t="s">
        <v>197</v>
      </c>
      <c r="F33" s="77" t="s">
        <v>194</v>
      </c>
      <c r="G33" s="77" t="s">
        <v>25</v>
      </c>
      <c r="H33" s="77" t="s">
        <v>113</v>
      </c>
      <c r="I33" s="77" t="s">
        <v>111</v>
      </c>
      <c r="J33" s="77" t="s">
        <v>27</v>
      </c>
      <c r="K33" s="77" t="s">
        <v>112</v>
      </c>
      <c r="L33" s="77">
        <v>2</v>
      </c>
      <c r="N33" s="77">
        <v>5</v>
      </c>
      <c r="O33" s="77">
        <v>0.8</v>
      </c>
      <c r="P33" s="77">
        <v>0.8</v>
      </c>
      <c r="Q33" s="102">
        <f t="shared" si="0"/>
        <v>0.8</v>
      </c>
      <c r="R33" s="77">
        <v>11.2</v>
      </c>
      <c r="S33" s="77">
        <v>102</v>
      </c>
      <c r="T33" s="112">
        <f t="shared" si="1"/>
        <v>33</v>
      </c>
      <c r="U33" s="77">
        <v>398</v>
      </c>
      <c r="V33" s="16">
        <f t="shared" si="3"/>
        <v>2626.7999999999997</v>
      </c>
      <c r="W33" s="77">
        <v>2</v>
      </c>
      <c r="X33" s="77" t="s">
        <v>35</v>
      </c>
      <c r="Y33" s="77" t="s">
        <v>82</v>
      </c>
      <c r="Z33" s="77" t="s">
        <v>43</v>
      </c>
      <c r="AA33" s="77" t="s">
        <v>55</v>
      </c>
      <c r="AB33" s="77" t="s">
        <v>195</v>
      </c>
    </row>
    <row r="34" spans="1:28" x14ac:dyDescent="0.15">
      <c r="A34" s="77" t="s">
        <v>30</v>
      </c>
      <c r="B34" s="77" t="s">
        <v>191</v>
      </c>
      <c r="C34" s="77">
        <v>2020</v>
      </c>
      <c r="D34" s="101" t="s">
        <v>199</v>
      </c>
      <c r="E34" s="77" t="s">
        <v>197</v>
      </c>
      <c r="F34" s="77" t="s">
        <v>194</v>
      </c>
      <c r="G34" s="77" t="s">
        <v>25</v>
      </c>
      <c r="H34" s="77" t="s">
        <v>113</v>
      </c>
      <c r="I34" s="77" t="s">
        <v>111</v>
      </c>
      <c r="J34" s="77" t="s">
        <v>27</v>
      </c>
      <c r="K34" s="77" t="s">
        <v>112</v>
      </c>
      <c r="L34" s="77">
        <v>3</v>
      </c>
      <c r="N34" s="77">
        <v>5</v>
      </c>
      <c r="O34" s="77">
        <v>0.9</v>
      </c>
      <c r="P34" s="77">
        <v>0.95</v>
      </c>
      <c r="Q34" s="102">
        <f t="shared" si="0"/>
        <v>0.92500000000000004</v>
      </c>
      <c r="R34" s="77">
        <v>12.6</v>
      </c>
      <c r="S34" s="77">
        <v>94</v>
      </c>
      <c r="T34" s="112">
        <f t="shared" si="1"/>
        <v>36</v>
      </c>
      <c r="U34" s="77">
        <v>398</v>
      </c>
      <c r="V34" s="16">
        <f t="shared" si="3"/>
        <v>2865.6</v>
      </c>
      <c r="W34" s="77">
        <v>2</v>
      </c>
      <c r="X34" s="77" t="s">
        <v>35</v>
      </c>
      <c r="Y34" s="77" t="s">
        <v>82</v>
      </c>
      <c r="Z34" s="77" t="s">
        <v>43</v>
      </c>
      <c r="AA34" s="77" t="s">
        <v>55</v>
      </c>
      <c r="AB34" s="77" t="s">
        <v>195</v>
      </c>
    </row>
    <row r="35" spans="1:28" x14ac:dyDescent="0.15">
      <c r="A35" s="77" t="s">
        <v>30</v>
      </c>
      <c r="B35" s="77" t="s">
        <v>191</v>
      </c>
      <c r="C35" s="77">
        <v>2020</v>
      </c>
      <c r="D35" s="101" t="s">
        <v>199</v>
      </c>
      <c r="E35" s="77" t="s">
        <v>197</v>
      </c>
      <c r="F35" s="77" t="s">
        <v>200</v>
      </c>
      <c r="G35" s="77" t="s">
        <v>25</v>
      </c>
      <c r="H35" s="77" t="s">
        <v>166</v>
      </c>
      <c r="I35" s="77" t="s">
        <v>111</v>
      </c>
      <c r="J35" s="77" t="s">
        <v>27</v>
      </c>
      <c r="K35" s="77" t="s">
        <v>112</v>
      </c>
      <c r="L35" s="77">
        <v>1</v>
      </c>
      <c r="N35" s="77">
        <v>1</v>
      </c>
      <c r="O35" s="77">
        <v>0.25</v>
      </c>
      <c r="P35" s="77">
        <v>0.3</v>
      </c>
      <c r="Q35" s="102">
        <f t="shared" si="0"/>
        <v>0.27500000000000002</v>
      </c>
      <c r="R35" s="77">
        <v>13</v>
      </c>
      <c r="S35" s="77">
        <v>122</v>
      </c>
      <c r="T35" s="16">
        <f t="shared" si="1"/>
        <v>27</v>
      </c>
      <c r="U35" s="77">
        <v>138</v>
      </c>
      <c r="V35" s="16">
        <f t="shared" si="3"/>
        <v>3726</v>
      </c>
      <c r="W35" s="77">
        <v>1</v>
      </c>
      <c r="X35" s="77" t="s">
        <v>35</v>
      </c>
      <c r="Y35" s="77" t="s">
        <v>72</v>
      </c>
      <c r="Z35" s="77" t="s">
        <v>82</v>
      </c>
      <c r="AA35" s="77" t="s">
        <v>55</v>
      </c>
      <c r="AB35" s="77" t="s">
        <v>195</v>
      </c>
    </row>
    <row r="36" spans="1:28" x14ac:dyDescent="0.15">
      <c r="A36" s="77" t="s">
        <v>30</v>
      </c>
      <c r="B36" s="77" t="s">
        <v>191</v>
      </c>
      <c r="C36" s="77">
        <v>2020</v>
      </c>
      <c r="D36" s="101" t="s">
        <v>199</v>
      </c>
      <c r="E36" s="77" t="s">
        <v>197</v>
      </c>
      <c r="F36" s="77" t="s">
        <v>200</v>
      </c>
      <c r="G36" s="77" t="s">
        <v>25</v>
      </c>
      <c r="H36" s="77" t="s">
        <v>166</v>
      </c>
      <c r="I36" s="77" t="s">
        <v>111</v>
      </c>
      <c r="J36" s="77" t="s">
        <v>27</v>
      </c>
      <c r="K36" s="77" t="s">
        <v>112</v>
      </c>
      <c r="L36" s="77">
        <v>2</v>
      </c>
      <c r="N36" s="77">
        <v>1</v>
      </c>
      <c r="O36" s="77">
        <v>0.4</v>
      </c>
      <c r="P36" s="77">
        <v>0.35</v>
      </c>
      <c r="Q36" s="102">
        <f t="shared" si="0"/>
        <v>0.375</v>
      </c>
      <c r="R36" s="77">
        <v>13.1</v>
      </c>
      <c r="S36" s="77">
        <v>120</v>
      </c>
      <c r="T36" s="16">
        <f t="shared" si="1"/>
        <v>30</v>
      </c>
      <c r="U36" s="77">
        <v>138</v>
      </c>
      <c r="V36" s="16">
        <f t="shared" si="3"/>
        <v>4140</v>
      </c>
      <c r="W36" s="77">
        <v>1</v>
      </c>
      <c r="X36" s="77" t="s">
        <v>35</v>
      </c>
      <c r="Y36" s="77" t="s">
        <v>72</v>
      </c>
      <c r="Z36" s="77" t="s">
        <v>82</v>
      </c>
      <c r="AA36" s="77" t="s">
        <v>55</v>
      </c>
      <c r="AB36" s="77" t="s">
        <v>195</v>
      </c>
    </row>
    <row r="37" spans="1:28" x14ac:dyDescent="0.15">
      <c r="A37" s="77" t="s">
        <v>30</v>
      </c>
      <c r="B37" s="77" t="s">
        <v>191</v>
      </c>
      <c r="C37" s="77">
        <v>2020</v>
      </c>
      <c r="D37" s="101" t="s">
        <v>199</v>
      </c>
      <c r="E37" s="77" t="s">
        <v>197</v>
      </c>
      <c r="F37" s="77" t="s">
        <v>200</v>
      </c>
      <c r="G37" s="77" t="s">
        <v>25</v>
      </c>
      <c r="H37" s="77" t="s">
        <v>166</v>
      </c>
      <c r="I37" s="77" t="s">
        <v>111</v>
      </c>
      <c r="J37" s="77" t="s">
        <v>27</v>
      </c>
      <c r="K37" s="77" t="s">
        <v>112</v>
      </c>
      <c r="L37" s="77">
        <v>3</v>
      </c>
      <c r="N37" s="77">
        <v>1</v>
      </c>
      <c r="O37" s="77">
        <v>0.6</v>
      </c>
      <c r="P37" s="77">
        <v>0.45</v>
      </c>
      <c r="Q37" s="102">
        <f t="shared" si="0"/>
        <v>0.52500000000000002</v>
      </c>
      <c r="R37" s="77">
        <v>12.8</v>
      </c>
      <c r="S37" s="77">
        <v>123</v>
      </c>
      <c r="T37" s="16">
        <f t="shared" si="1"/>
        <v>27</v>
      </c>
      <c r="U37" s="77">
        <v>138</v>
      </c>
      <c r="V37" s="16">
        <f t="shared" si="3"/>
        <v>3726</v>
      </c>
      <c r="W37" s="77">
        <v>1</v>
      </c>
      <c r="X37" s="77" t="s">
        <v>35</v>
      </c>
      <c r="Y37" s="77" t="s">
        <v>72</v>
      </c>
      <c r="Z37" s="77" t="s">
        <v>82</v>
      </c>
      <c r="AA37" s="77" t="s">
        <v>55</v>
      </c>
      <c r="AB37" s="77" t="s">
        <v>195</v>
      </c>
    </row>
    <row r="38" spans="1:28" x14ac:dyDescent="0.15">
      <c r="A38" s="77" t="s">
        <v>30</v>
      </c>
      <c r="B38" s="77" t="s">
        <v>191</v>
      </c>
      <c r="C38" s="77">
        <v>2020</v>
      </c>
      <c r="D38" s="101" t="s">
        <v>199</v>
      </c>
      <c r="E38" s="77" t="s">
        <v>197</v>
      </c>
      <c r="F38" s="77" t="s">
        <v>200</v>
      </c>
      <c r="G38" s="77" t="s">
        <v>25</v>
      </c>
      <c r="H38" s="77" t="s">
        <v>166</v>
      </c>
      <c r="I38" s="77" t="s">
        <v>111</v>
      </c>
      <c r="J38" s="77" t="s">
        <v>27</v>
      </c>
      <c r="K38" s="77" t="s">
        <v>112</v>
      </c>
      <c r="L38" s="77">
        <v>1</v>
      </c>
      <c r="N38" s="77">
        <v>4</v>
      </c>
      <c r="O38" s="77">
        <v>0.8</v>
      </c>
      <c r="P38" s="77">
        <v>0.65</v>
      </c>
      <c r="Q38" s="102">
        <f t="shared" si="0"/>
        <v>0.72500000000000009</v>
      </c>
      <c r="R38" s="77">
        <v>12.6</v>
      </c>
      <c r="S38" s="77">
        <v>113</v>
      </c>
      <c r="T38" s="112">
        <f t="shared" si="1"/>
        <v>30</v>
      </c>
      <c r="U38" s="77">
        <v>498</v>
      </c>
      <c r="V38" s="112">
        <f t="shared" si="3"/>
        <v>3735</v>
      </c>
      <c r="W38" s="77">
        <v>2</v>
      </c>
      <c r="X38" s="77" t="s">
        <v>35</v>
      </c>
      <c r="Y38" s="77" t="s">
        <v>72</v>
      </c>
      <c r="Z38" s="77" t="s">
        <v>82</v>
      </c>
      <c r="AA38" s="77" t="s">
        <v>55</v>
      </c>
      <c r="AB38" s="77" t="s">
        <v>195</v>
      </c>
    </row>
    <row r="39" spans="1:28" x14ac:dyDescent="0.15">
      <c r="A39" s="77" t="s">
        <v>30</v>
      </c>
      <c r="B39" s="77" t="s">
        <v>191</v>
      </c>
      <c r="C39" s="77">
        <v>2020</v>
      </c>
      <c r="D39" s="101" t="s">
        <v>199</v>
      </c>
      <c r="E39" s="77" t="s">
        <v>197</v>
      </c>
      <c r="F39" s="77" t="s">
        <v>200</v>
      </c>
      <c r="G39" s="77" t="s">
        <v>25</v>
      </c>
      <c r="H39" s="77" t="s">
        <v>166</v>
      </c>
      <c r="I39" s="77" t="s">
        <v>111</v>
      </c>
      <c r="J39" s="77" t="s">
        <v>27</v>
      </c>
      <c r="K39" s="77" t="s">
        <v>112</v>
      </c>
      <c r="L39" s="77">
        <v>2</v>
      </c>
      <c r="N39" s="77">
        <v>4</v>
      </c>
      <c r="O39" s="77">
        <v>0.75</v>
      </c>
      <c r="P39" s="77">
        <v>0.5</v>
      </c>
      <c r="Q39" s="102">
        <f t="shared" si="0"/>
        <v>0.625</v>
      </c>
      <c r="R39" s="77">
        <v>15.9</v>
      </c>
      <c r="S39" s="77">
        <v>112</v>
      </c>
      <c r="T39" s="112">
        <f t="shared" si="1"/>
        <v>33</v>
      </c>
      <c r="U39" s="77">
        <v>498</v>
      </c>
      <c r="V39" s="112">
        <f t="shared" si="3"/>
        <v>4108.5</v>
      </c>
      <c r="W39" s="77">
        <v>2</v>
      </c>
      <c r="X39" s="77" t="s">
        <v>35</v>
      </c>
      <c r="Y39" s="77" t="s">
        <v>72</v>
      </c>
      <c r="Z39" s="77" t="s">
        <v>82</v>
      </c>
      <c r="AA39" s="77" t="s">
        <v>55</v>
      </c>
      <c r="AB39" s="77" t="s">
        <v>195</v>
      </c>
    </row>
    <row r="40" spans="1:28" x14ac:dyDescent="0.15">
      <c r="A40" s="77" t="s">
        <v>30</v>
      </c>
      <c r="B40" s="77" t="s">
        <v>191</v>
      </c>
      <c r="C40" s="77">
        <v>2020</v>
      </c>
      <c r="D40" s="101" t="s">
        <v>199</v>
      </c>
      <c r="E40" s="77" t="s">
        <v>197</v>
      </c>
      <c r="F40" s="77" t="s">
        <v>200</v>
      </c>
      <c r="G40" s="77" t="s">
        <v>25</v>
      </c>
      <c r="H40" s="77" t="s">
        <v>166</v>
      </c>
      <c r="I40" s="77" t="s">
        <v>111</v>
      </c>
      <c r="J40" s="77" t="s">
        <v>27</v>
      </c>
      <c r="K40" s="77" t="s">
        <v>112</v>
      </c>
      <c r="L40" s="77">
        <v>3</v>
      </c>
      <c r="N40" s="77">
        <v>4</v>
      </c>
      <c r="O40" s="77">
        <v>0.75</v>
      </c>
      <c r="P40" s="77">
        <v>0.65</v>
      </c>
      <c r="Q40" s="102">
        <f t="shared" si="0"/>
        <v>0.7</v>
      </c>
      <c r="R40" s="77">
        <v>15.5</v>
      </c>
      <c r="S40" s="77">
        <v>114</v>
      </c>
      <c r="T40" s="112">
        <f t="shared" si="1"/>
        <v>30</v>
      </c>
      <c r="U40" s="77">
        <v>498</v>
      </c>
      <c r="V40" s="112">
        <f t="shared" si="3"/>
        <v>3735</v>
      </c>
      <c r="W40" s="77">
        <v>2</v>
      </c>
      <c r="X40" s="77" t="s">
        <v>35</v>
      </c>
      <c r="Y40" s="77" t="s">
        <v>72</v>
      </c>
      <c r="Z40" s="77" t="s">
        <v>82</v>
      </c>
      <c r="AA40" s="77" t="s">
        <v>55</v>
      </c>
      <c r="AB40" s="77" t="s">
        <v>195</v>
      </c>
    </row>
    <row r="41" spans="1:28" x14ac:dyDescent="0.15">
      <c r="A41" s="77" t="s">
        <v>30</v>
      </c>
      <c r="B41" s="77" t="s">
        <v>191</v>
      </c>
      <c r="C41" s="77">
        <v>2020</v>
      </c>
      <c r="D41" s="101" t="s">
        <v>199</v>
      </c>
      <c r="E41" s="77" t="s">
        <v>197</v>
      </c>
      <c r="F41" s="77" t="s">
        <v>200</v>
      </c>
      <c r="G41" s="77" t="s">
        <v>25</v>
      </c>
      <c r="H41" s="77" t="s">
        <v>166</v>
      </c>
      <c r="I41" s="77" t="s">
        <v>111</v>
      </c>
      <c r="J41" s="77" t="s">
        <v>27</v>
      </c>
      <c r="K41" s="77" t="s">
        <v>112</v>
      </c>
      <c r="L41" s="77">
        <v>1</v>
      </c>
      <c r="N41" s="77">
        <v>6</v>
      </c>
      <c r="O41" s="77">
        <v>0.4</v>
      </c>
      <c r="P41" s="77">
        <v>0.55000000000000004</v>
      </c>
      <c r="Q41" s="102">
        <f t="shared" si="0"/>
        <v>0.47500000000000003</v>
      </c>
      <c r="R41" s="77">
        <v>16.2</v>
      </c>
      <c r="S41" s="77">
        <v>111</v>
      </c>
      <c r="T41" s="112">
        <f t="shared" si="1"/>
        <v>33</v>
      </c>
      <c r="U41" s="77">
        <v>598</v>
      </c>
      <c r="V41" s="112">
        <f t="shared" si="3"/>
        <v>3289</v>
      </c>
      <c r="W41" s="77">
        <v>2</v>
      </c>
      <c r="X41" s="77" t="s">
        <v>35</v>
      </c>
      <c r="Y41" s="77" t="s">
        <v>72</v>
      </c>
      <c r="Z41" s="77" t="s">
        <v>82</v>
      </c>
      <c r="AA41" s="77" t="s">
        <v>55</v>
      </c>
      <c r="AB41" s="77" t="s">
        <v>195</v>
      </c>
    </row>
    <row r="42" spans="1:28" x14ac:dyDescent="0.15">
      <c r="A42" s="77" t="s">
        <v>30</v>
      </c>
      <c r="B42" s="77" t="s">
        <v>191</v>
      </c>
      <c r="C42" s="77">
        <v>2020</v>
      </c>
      <c r="D42" s="101" t="s">
        <v>199</v>
      </c>
      <c r="E42" s="77" t="s">
        <v>197</v>
      </c>
      <c r="F42" s="77" t="s">
        <v>200</v>
      </c>
      <c r="G42" s="77" t="s">
        <v>25</v>
      </c>
      <c r="H42" s="77" t="s">
        <v>166</v>
      </c>
      <c r="I42" s="77" t="s">
        <v>111</v>
      </c>
      <c r="J42" s="77" t="s">
        <v>27</v>
      </c>
      <c r="K42" s="77" t="s">
        <v>112</v>
      </c>
      <c r="L42" s="77">
        <v>2</v>
      </c>
      <c r="N42" s="77">
        <v>6</v>
      </c>
      <c r="O42" s="77">
        <v>0.25</v>
      </c>
      <c r="P42" s="77">
        <v>0.3</v>
      </c>
      <c r="Q42" s="102">
        <f t="shared" si="0"/>
        <v>0.27500000000000002</v>
      </c>
      <c r="R42" s="77">
        <v>14.7</v>
      </c>
      <c r="S42" s="77">
        <v>110</v>
      </c>
      <c r="T42" s="112">
        <f t="shared" si="1"/>
        <v>33</v>
      </c>
      <c r="U42" s="77">
        <v>598</v>
      </c>
      <c r="V42" s="16">
        <f t="shared" si="3"/>
        <v>3289</v>
      </c>
      <c r="W42" s="77">
        <v>2</v>
      </c>
      <c r="X42" s="77" t="s">
        <v>35</v>
      </c>
      <c r="Y42" s="77" t="s">
        <v>72</v>
      </c>
      <c r="Z42" s="77" t="s">
        <v>82</v>
      </c>
      <c r="AA42" s="77" t="s">
        <v>55</v>
      </c>
      <c r="AB42" s="77" t="s">
        <v>195</v>
      </c>
    </row>
    <row r="43" spans="1:28" x14ac:dyDescent="0.15">
      <c r="A43" s="77" t="s">
        <v>30</v>
      </c>
      <c r="B43" s="77" t="s">
        <v>191</v>
      </c>
      <c r="C43" s="77">
        <v>2020</v>
      </c>
      <c r="D43" s="101" t="s">
        <v>199</v>
      </c>
      <c r="E43" s="77" t="s">
        <v>197</v>
      </c>
      <c r="F43" s="77" t="s">
        <v>200</v>
      </c>
      <c r="G43" s="77" t="s">
        <v>25</v>
      </c>
      <c r="H43" s="77" t="s">
        <v>166</v>
      </c>
      <c r="I43" s="77" t="s">
        <v>111</v>
      </c>
      <c r="J43" s="77" t="s">
        <v>27</v>
      </c>
      <c r="K43" s="77" t="s">
        <v>112</v>
      </c>
      <c r="L43" s="77">
        <v>3</v>
      </c>
      <c r="N43" s="77">
        <v>6</v>
      </c>
      <c r="O43" s="77">
        <v>0.3</v>
      </c>
      <c r="P43" s="77">
        <v>0.45</v>
      </c>
      <c r="Q43" s="102">
        <f t="shared" si="0"/>
        <v>0.375</v>
      </c>
      <c r="R43" s="77">
        <v>17.2</v>
      </c>
      <c r="S43" s="77">
        <v>114</v>
      </c>
      <c r="T43" s="112">
        <f t="shared" si="1"/>
        <v>30</v>
      </c>
      <c r="U43" s="77">
        <v>598</v>
      </c>
      <c r="V43" s="16">
        <f t="shared" si="3"/>
        <v>2990</v>
      </c>
      <c r="W43" s="77">
        <v>2</v>
      </c>
      <c r="X43" s="77" t="s">
        <v>35</v>
      </c>
      <c r="Y43" s="77" t="s">
        <v>72</v>
      </c>
      <c r="Z43" s="77" t="s">
        <v>82</v>
      </c>
      <c r="AA43" s="77" t="s">
        <v>55</v>
      </c>
      <c r="AB43" s="77" t="s">
        <v>195</v>
      </c>
    </row>
    <row r="44" spans="1:28" x14ac:dyDescent="0.15">
      <c r="A44" s="77" t="s">
        <v>30</v>
      </c>
      <c r="B44" s="77" t="s">
        <v>191</v>
      </c>
      <c r="C44" s="77">
        <v>2020</v>
      </c>
      <c r="D44" s="101" t="s">
        <v>199</v>
      </c>
      <c r="E44" s="77" t="s">
        <v>197</v>
      </c>
      <c r="F44" s="77" t="s">
        <v>200</v>
      </c>
      <c r="G44" s="77" t="s">
        <v>25</v>
      </c>
      <c r="H44" s="77" t="s">
        <v>113</v>
      </c>
      <c r="I44" s="77" t="s">
        <v>111</v>
      </c>
      <c r="J44" s="77" t="s">
        <v>27</v>
      </c>
      <c r="K44" s="77" t="s">
        <v>112</v>
      </c>
      <c r="L44" s="77">
        <v>1</v>
      </c>
      <c r="N44" s="77">
        <v>1</v>
      </c>
      <c r="O44" s="77">
        <v>0.65</v>
      </c>
      <c r="P44" s="77">
        <v>0.7</v>
      </c>
      <c r="Q44" s="102">
        <f t="shared" si="0"/>
        <v>0.67500000000000004</v>
      </c>
      <c r="R44" s="77">
        <v>16.8</v>
      </c>
      <c r="S44" s="77">
        <v>126</v>
      </c>
      <c r="T44" s="16">
        <f t="shared" si="1"/>
        <v>27</v>
      </c>
      <c r="U44" s="77">
        <v>138</v>
      </c>
      <c r="V44" s="16">
        <f t="shared" si="3"/>
        <v>3726</v>
      </c>
      <c r="W44" s="77">
        <v>1</v>
      </c>
      <c r="X44" s="77" t="s">
        <v>35</v>
      </c>
      <c r="Y44" s="77" t="s">
        <v>72</v>
      </c>
      <c r="Z44" s="77" t="s">
        <v>82</v>
      </c>
      <c r="AA44" s="77" t="s">
        <v>55</v>
      </c>
      <c r="AB44" s="77" t="s">
        <v>195</v>
      </c>
    </row>
    <row r="45" spans="1:28" x14ac:dyDescent="0.15">
      <c r="A45" s="77" t="s">
        <v>30</v>
      </c>
      <c r="B45" s="77" t="s">
        <v>191</v>
      </c>
      <c r="C45" s="77">
        <v>2020</v>
      </c>
      <c r="D45" s="101" t="s">
        <v>199</v>
      </c>
      <c r="E45" s="77" t="s">
        <v>197</v>
      </c>
      <c r="F45" s="77" t="s">
        <v>200</v>
      </c>
      <c r="G45" s="77" t="s">
        <v>25</v>
      </c>
      <c r="H45" s="77" t="s">
        <v>113</v>
      </c>
      <c r="I45" s="77" t="s">
        <v>111</v>
      </c>
      <c r="J45" s="77" t="s">
        <v>27</v>
      </c>
      <c r="K45" s="77" t="s">
        <v>112</v>
      </c>
      <c r="L45" s="77">
        <v>2</v>
      </c>
      <c r="N45" s="77">
        <v>1</v>
      </c>
      <c r="O45" s="77">
        <v>0.4</v>
      </c>
      <c r="P45" s="77">
        <v>0.55000000000000004</v>
      </c>
      <c r="Q45" s="102">
        <f t="shared" si="0"/>
        <v>0.47500000000000003</v>
      </c>
      <c r="R45" s="77">
        <v>17.399999999999999</v>
      </c>
      <c r="S45" s="77">
        <v>122</v>
      </c>
      <c r="T45" s="16">
        <f t="shared" si="1"/>
        <v>27</v>
      </c>
      <c r="U45" s="77">
        <v>138</v>
      </c>
      <c r="V45" s="16">
        <f t="shared" si="3"/>
        <v>3726</v>
      </c>
      <c r="W45" s="77">
        <v>1</v>
      </c>
      <c r="X45" s="77" t="s">
        <v>35</v>
      </c>
      <c r="Y45" s="77" t="s">
        <v>72</v>
      </c>
      <c r="Z45" s="77" t="s">
        <v>82</v>
      </c>
      <c r="AA45" s="77" t="s">
        <v>55</v>
      </c>
      <c r="AB45" s="77" t="s">
        <v>195</v>
      </c>
    </row>
    <row r="46" spans="1:28" x14ac:dyDescent="0.15">
      <c r="A46" s="77" t="s">
        <v>30</v>
      </c>
      <c r="B46" s="77" t="s">
        <v>191</v>
      </c>
      <c r="C46" s="77">
        <v>2020</v>
      </c>
      <c r="D46" s="101" t="s">
        <v>199</v>
      </c>
      <c r="E46" s="77" t="s">
        <v>197</v>
      </c>
      <c r="F46" s="77" t="s">
        <v>200</v>
      </c>
      <c r="G46" s="77" t="s">
        <v>25</v>
      </c>
      <c r="H46" s="77" t="s">
        <v>113</v>
      </c>
      <c r="I46" s="77" t="s">
        <v>111</v>
      </c>
      <c r="J46" s="77" t="s">
        <v>27</v>
      </c>
      <c r="K46" s="77" t="s">
        <v>112</v>
      </c>
      <c r="L46" s="77">
        <v>3</v>
      </c>
      <c r="N46" s="77">
        <v>1</v>
      </c>
      <c r="O46" s="77">
        <v>0.55000000000000004</v>
      </c>
      <c r="P46" s="77">
        <v>0.65</v>
      </c>
      <c r="Q46" s="102">
        <f t="shared" si="0"/>
        <v>0.60000000000000009</v>
      </c>
      <c r="R46" s="77">
        <v>15.1</v>
      </c>
      <c r="S46" s="77">
        <v>124</v>
      </c>
      <c r="T46" s="16">
        <f t="shared" si="1"/>
        <v>27</v>
      </c>
      <c r="U46" s="77">
        <v>138</v>
      </c>
      <c r="V46" s="16">
        <f t="shared" si="3"/>
        <v>3726</v>
      </c>
      <c r="W46" s="77">
        <v>1</v>
      </c>
      <c r="X46" s="77" t="s">
        <v>35</v>
      </c>
      <c r="Y46" s="77" t="s">
        <v>72</v>
      </c>
      <c r="Z46" s="77" t="s">
        <v>82</v>
      </c>
      <c r="AA46" s="77" t="s">
        <v>55</v>
      </c>
      <c r="AB46" s="77" t="s">
        <v>195</v>
      </c>
    </row>
    <row r="47" spans="1:28" x14ac:dyDescent="0.15">
      <c r="A47" s="77" t="s">
        <v>30</v>
      </c>
      <c r="B47" s="77" t="s">
        <v>191</v>
      </c>
      <c r="C47" s="77">
        <v>2020</v>
      </c>
      <c r="D47" s="101" t="s">
        <v>199</v>
      </c>
      <c r="E47" s="77" t="s">
        <v>197</v>
      </c>
      <c r="F47" s="77" t="s">
        <v>200</v>
      </c>
      <c r="G47" s="77" t="s">
        <v>25</v>
      </c>
      <c r="H47" s="77" t="s">
        <v>113</v>
      </c>
      <c r="I47" s="77" t="s">
        <v>111</v>
      </c>
      <c r="J47" s="77" t="s">
        <v>27</v>
      </c>
      <c r="K47" s="77" t="s">
        <v>112</v>
      </c>
      <c r="L47" s="77">
        <v>1</v>
      </c>
      <c r="N47" s="77">
        <v>5</v>
      </c>
      <c r="O47" s="77">
        <v>0.3</v>
      </c>
      <c r="P47" s="77">
        <v>0.3</v>
      </c>
      <c r="Q47" s="102">
        <f t="shared" si="0"/>
        <v>0.3</v>
      </c>
      <c r="R47" s="77">
        <v>12.9</v>
      </c>
      <c r="S47" s="77">
        <v>120</v>
      </c>
      <c r="T47" s="16">
        <f t="shared" si="1"/>
        <v>30</v>
      </c>
      <c r="U47" s="77">
        <v>398</v>
      </c>
      <c r="V47" s="16">
        <f t="shared" si="3"/>
        <v>2388</v>
      </c>
      <c r="W47" s="77">
        <v>2</v>
      </c>
      <c r="X47" s="77" t="s">
        <v>35</v>
      </c>
      <c r="Y47" s="77" t="s">
        <v>72</v>
      </c>
      <c r="Z47" s="77" t="s">
        <v>82</v>
      </c>
      <c r="AA47" s="77" t="s">
        <v>55</v>
      </c>
      <c r="AB47" s="77" t="s">
        <v>195</v>
      </c>
    </row>
    <row r="48" spans="1:28" x14ac:dyDescent="0.15">
      <c r="A48" s="77" t="s">
        <v>30</v>
      </c>
      <c r="B48" s="77" t="s">
        <v>191</v>
      </c>
      <c r="C48" s="77">
        <v>2020</v>
      </c>
      <c r="D48" s="101" t="s">
        <v>199</v>
      </c>
      <c r="E48" s="77" t="s">
        <v>197</v>
      </c>
      <c r="F48" s="77" t="s">
        <v>200</v>
      </c>
      <c r="G48" s="77" t="s">
        <v>25</v>
      </c>
      <c r="H48" s="77" t="s">
        <v>113</v>
      </c>
      <c r="I48" s="77" t="s">
        <v>111</v>
      </c>
      <c r="J48" s="77" t="s">
        <v>27</v>
      </c>
      <c r="K48" s="77" t="s">
        <v>112</v>
      </c>
      <c r="L48" s="77">
        <v>2</v>
      </c>
      <c r="N48" s="77">
        <v>5</v>
      </c>
      <c r="O48" s="77">
        <v>0.3</v>
      </c>
      <c r="P48" s="77">
        <v>0.35</v>
      </c>
      <c r="Q48" s="102">
        <f t="shared" si="0"/>
        <v>0.32499999999999996</v>
      </c>
      <c r="R48" s="77">
        <v>16.399999999999999</v>
      </c>
      <c r="S48" s="77">
        <v>112</v>
      </c>
      <c r="T48" s="16">
        <f t="shared" si="1"/>
        <v>33</v>
      </c>
      <c r="U48" s="77">
        <v>398</v>
      </c>
      <c r="V48" s="16">
        <f t="shared" si="3"/>
        <v>2626.7999999999997</v>
      </c>
      <c r="W48" s="77">
        <v>2</v>
      </c>
      <c r="X48" s="77" t="s">
        <v>35</v>
      </c>
      <c r="Y48" s="77" t="s">
        <v>72</v>
      </c>
      <c r="Z48" s="77" t="s">
        <v>82</v>
      </c>
      <c r="AA48" s="77" t="s">
        <v>55</v>
      </c>
      <c r="AB48" s="77" t="s">
        <v>195</v>
      </c>
    </row>
    <row r="49" spans="1:28" x14ac:dyDescent="0.15">
      <c r="A49" s="77" t="s">
        <v>30</v>
      </c>
      <c r="B49" s="77" t="s">
        <v>191</v>
      </c>
      <c r="C49" s="77">
        <v>2020</v>
      </c>
      <c r="D49" s="101" t="s">
        <v>199</v>
      </c>
      <c r="E49" s="77" t="s">
        <v>197</v>
      </c>
      <c r="F49" s="77" t="s">
        <v>200</v>
      </c>
      <c r="G49" s="77" t="s">
        <v>25</v>
      </c>
      <c r="H49" s="77" t="s">
        <v>113</v>
      </c>
      <c r="I49" s="77" t="s">
        <v>111</v>
      </c>
      <c r="J49" s="77" t="s">
        <v>27</v>
      </c>
      <c r="K49" s="77" t="s">
        <v>112</v>
      </c>
      <c r="L49" s="77">
        <v>3</v>
      </c>
      <c r="N49" s="77">
        <v>5</v>
      </c>
      <c r="O49" s="77">
        <v>0.25</v>
      </c>
      <c r="P49" s="77">
        <v>0.25</v>
      </c>
      <c r="Q49" s="102">
        <f t="shared" si="0"/>
        <v>0.25</v>
      </c>
      <c r="R49" s="77">
        <v>14</v>
      </c>
      <c r="S49" s="77">
        <v>115</v>
      </c>
      <c r="T49" s="16">
        <f t="shared" si="1"/>
        <v>30</v>
      </c>
      <c r="U49" s="77">
        <v>398</v>
      </c>
      <c r="V49" s="16">
        <f t="shared" si="3"/>
        <v>2388</v>
      </c>
      <c r="W49" s="77">
        <v>2</v>
      </c>
      <c r="X49" s="77" t="s">
        <v>35</v>
      </c>
      <c r="Y49" s="77" t="s">
        <v>72</v>
      </c>
      <c r="Z49" s="77" t="s">
        <v>82</v>
      </c>
      <c r="AA49" s="77" t="s">
        <v>55</v>
      </c>
      <c r="AB49" s="77" t="s">
        <v>195</v>
      </c>
    </row>
    <row r="50" spans="1:28" x14ac:dyDescent="0.15">
      <c r="A50" s="77" t="s">
        <v>30</v>
      </c>
      <c r="B50" s="77" t="s">
        <v>191</v>
      </c>
      <c r="C50" s="77">
        <v>2020</v>
      </c>
      <c r="D50" s="101" t="s">
        <v>199</v>
      </c>
      <c r="E50" s="77" t="s">
        <v>197</v>
      </c>
      <c r="F50" s="77" t="s">
        <v>200</v>
      </c>
      <c r="G50" s="77" t="s">
        <v>25</v>
      </c>
      <c r="H50" s="77" t="s">
        <v>113</v>
      </c>
      <c r="I50" s="77" t="s">
        <v>111</v>
      </c>
      <c r="J50" s="77" t="s">
        <v>27</v>
      </c>
      <c r="K50" s="77" t="s">
        <v>112</v>
      </c>
      <c r="L50" s="77">
        <v>1</v>
      </c>
      <c r="N50" s="77">
        <v>7</v>
      </c>
      <c r="O50" s="77">
        <v>0.5</v>
      </c>
      <c r="P50" s="77">
        <v>0.45</v>
      </c>
      <c r="Q50" s="102">
        <f t="shared" si="0"/>
        <v>0.47499999999999998</v>
      </c>
      <c r="R50" s="77">
        <v>16</v>
      </c>
      <c r="S50" s="77">
        <v>100</v>
      </c>
      <c r="T50" s="16">
        <f t="shared" si="1"/>
        <v>33</v>
      </c>
      <c r="U50" s="77">
        <v>580</v>
      </c>
      <c r="V50" s="16">
        <f t="shared" si="3"/>
        <v>2734.2857142857142</v>
      </c>
      <c r="W50" s="77">
        <v>2</v>
      </c>
      <c r="X50" s="77" t="s">
        <v>35</v>
      </c>
      <c r="Y50" s="77" t="s">
        <v>72</v>
      </c>
      <c r="Z50" s="77" t="s">
        <v>82</v>
      </c>
      <c r="AA50" s="77" t="s">
        <v>55</v>
      </c>
      <c r="AB50" s="77" t="s">
        <v>195</v>
      </c>
    </row>
    <row r="51" spans="1:28" x14ac:dyDescent="0.15">
      <c r="A51" s="77" t="s">
        <v>30</v>
      </c>
      <c r="B51" s="77" t="s">
        <v>191</v>
      </c>
      <c r="C51" s="77">
        <v>2020</v>
      </c>
      <c r="D51" s="101" t="s">
        <v>199</v>
      </c>
      <c r="E51" s="77" t="s">
        <v>197</v>
      </c>
      <c r="F51" s="77" t="s">
        <v>200</v>
      </c>
      <c r="G51" s="77" t="s">
        <v>25</v>
      </c>
      <c r="H51" s="77" t="s">
        <v>113</v>
      </c>
      <c r="I51" s="77" t="s">
        <v>111</v>
      </c>
      <c r="J51" s="77" t="s">
        <v>27</v>
      </c>
      <c r="K51" s="77" t="s">
        <v>112</v>
      </c>
      <c r="L51" s="77">
        <v>2</v>
      </c>
      <c r="N51" s="77">
        <v>7</v>
      </c>
      <c r="O51" s="77">
        <v>0.45</v>
      </c>
      <c r="P51" s="77">
        <v>0.45</v>
      </c>
      <c r="Q51" s="102">
        <f t="shared" si="0"/>
        <v>0.45</v>
      </c>
      <c r="R51" s="77">
        <v>16.2</v>
      </c>
      <c r="S51" s="77">
        <v>102</v>
      </c>
      <c r="T51" s="16">
        <f t="shared" si="1"/>
        <v>33</v>
      </c>
      <c r="U51" s="77">
        <v>580</v>
      </c>
      <c r="V51" s="16">
        <f t="shared" si="3"/>
        <v>2734.2857142857142</v>
      </c>
      <c r="W51" s="77">
        <v>2</v>
      </c>
      <c r="X51" s="77" t="s">
        <v>35</v>
      </c>
      <c r="Y51" s="77" t="s">
        <v>72</v>
      </c>
      <c r="Z51" s="77" t="s">
        <v>82</v>
      </c>
      <c r="AA51" s="77" t="s">
        <v>55</v>
      </c>
      <c r="AB51" s="77" t="s">
        <v>195</v>
      </c>
    </row>
    <row r="52" spans="1:28" x14ac:dyDescent="0.15">
      <c r="A52" s="77" t="s">
        <v>30</v>
      </c>
      <c r="B52" s="77" t="s">
        <v>191</v>
      </c>
      <c r="C52" s="77">
        <v>2020</v>
      </c>
      <c r="D52" s="101" t="s">
        <v>199</v>
      </c>
      <c r="E52" s="77" t="s">
        <v>197</v>
      </c>
      <c r="F52" s="77" t="s">
        <v>200</v>
      </c>
      <c r="G52" s="77" t="s">
        <v>25</v>
      </c>
      <c r="H52" s="77" t="s">
        <v>113</v>
      </c>
      <c r="I52" s="77" t="s">
        <v>111</v>
      </c>
      <c r="J52" s="77" t="s">
        <v>27</v>
      </c>
      <c r="K52" s="77" t="s">
        <v>112</v>
      </c>
      <c r="L52" s="77">
        <v>3</v>
      </c>
      <c r="N52" s="77">
        <v>7</v>
      </c>
      <c r="O52" s="77">
        <v>0.4</v>
      </c>
      <c r="P52" s="77">
        <v>0.5</v>
      </c>
      <c r="Q52" s="102">
        <f t="shared" si="0"/>
        <v>0.45</v>
      </c>
      <c r="R52" s="77">
        <v>15.2</v>
      </c>
      <c r="S52" s="77">
        <v>103</v>
      </c>
      <c r="T52" s="16">
        <f t="shared" si="1"/>
        <v>33</v>
      </c>
      <c r="U52" s="77">
        <v>580</v>
      </c>
      <c r="V52" s="16">
        <f t="shared" si="3"/>
        <v>2734.2857142857142</v>
      </c>
      <c r="W52" s="77">
        <v>2</v>
      </c>
      <c r="X52" s="77" t="s">
        <v>35</v>
      </c>
      <c r="Y52" s="77" t="s">
        <v>72</v>
      </c>
      <c r="Z52" s="77" t="s">
        <v>82</v>
      </c>
      <c r="AA52" s="77" t="s">
        <v>55</v>
      </c>
      <c r="AB52" s="77" t="s">
        <v>195</v>
      </c>
    </row>
    <row r="53" spans="1:28" x14ac:dyDescent="0.15">
      <c r="A53" s="77" t="s">
        <v>30</v>
      </c>
      <c r="B53" s="77" t="s">
        <v>191</v>
      </c>
      <c r="C53" s="77">
        <v>2020</v>
      </c>
      <c r="D53" s="101" t="s">
        <v>199</v>
      </c>
      <c r="E53" s="77" t="s">
        <v>205</v>
      </c>
      <c r="F53" s="77" t="s">
        <v>194</v>
      </c>
      <c r="G53" s="77" t="s">
        <v>25</v>
      </c>
      <c r="H53" s="77" t="s">
        <v>113</v>
      </c>
      <c r="I53" s="77" t="s">
        <v>111</v>
      </c>
      <c r="J53" s="77" t="s">
        <v>27</v>
      </c>
      <c r="K53" s="77" t="s">
        <v>112</v>
      </c>
      <c r="L53" s="77">
        <v>1</v>
      </c>
      <c r="N53" s="77">
        <v>1</v>
      </c>
      <c r="O53" s="77">
        <v>1.2</v>
      </c>
      <c r="P53" s="77">
        <v>1.5</v>
      </c>
      <c r="Q53" s="102">
        <f t="shared" si="0"/>
        <v>1.35</v>
      </c>
      <c r="R53" s="77">
        <v>9.6</v>
      </c>
      <c r="S53" s="77">
        <v>126</v>
      </c>
      <c r="T53" s="16">
        <f t="shared" si="1"/>
        <v>27</v>
      </c>
      <c r="U53" s="77">
        <v>100</v>
      </c>
      <c r="V53" s="16">
        <f t="shared" si="3"/>
        <v>2700</v>
      </c>
      <c r="W53" s="77">
        <v>1</v>
      </c>
      <c r="X53" s="77" t="s">
        <v>35</v>
      </c>
      <c r="Y53" s="77" t="s">
        <v>72</v>
      </c>
      <c r="Z53" s="77" t="s">
        <v>55</v>
      </c>
      <c r="AA53" s="77" t="s">
        <v>82</v>
      </c>
      <c r="AB53" s="77" t="s">
        <v>195</v>
      </c>
    </row>
    <row r="54" spans="1:28" x14ac:dyDescent="0.15">
      <c r="A54" s="77" t="s">
        <v>30</v>
      </c>
      <c r="B54" s="77" t="s">
        <v>191</v>
      </c>
      <c r="C54" s="77">
        <v>2020</v>
      </c>
      <c r="D54" s="101" t="s">
        <v>199</v>
      </c>
      <c r="E54" s="77" t="s">
        <v>205</v>
      </c>
      <c r="F54" s="77" t="s">
        <v>194</v>
      </c>
      <c r="G54" s="77" t="s">
        <v>25</v>
      </c>
      <c r="H54" s="77" t="s">
        <v>113</v>
      </c>
      <c r="I54" s="77" t="s">
        <v>111</v>
      </c>
      <c r="J54" s="77" t="s">
        <v>27</v>
      </c>
      <c r="K54" s="77" t="s">
        <v>112</v>
      </c>
      <c r="L54" s="77">
        <v>2</v>
      </c>
      <c r="N54" s="77">
        <v>1</v>
      </c>
      <c r="O54" s="77">
        <v>1.3</v>
      </c>
      <c r="P54" s="77">
        <v>1.35</v>
      </c>
      <c r="Q54" s="102">
        <f t="shared" si="0"/>
        <v>1.3250000000000002</v>
      </c>
      <c r="R54" s="77">
        <v>10.199999999999999</v>
      </c>
      <c r="S54" s="77">
        <v>125</v>
      </c>
      <c r="T54" s="16">
        <f t="shared" si="1"/>
        <v>27</v>
      </c>
      <c r="U54" s="77">
        <v>100</v>
      </c>
      <c r="V54" s="16">
        <f t="shared" si="3"/>
        <v>2700</v>
      </c>
      <c r="W54" s="77">
        <v>1</v>
      </c>
      <c r="X54" s="77" t="s">
        <v>35</v>
      </c>
      <c r="Y54" s="77" t="s">
        <v>72</v>
      </c>
      <c r="Z54" s="77" t="s">
        <v>55</v>
      </c>
      <c r="AA54" s="77" t="s">
        <v>82</v>
      </c>
      <c r="AB54" s="77" t="s">
        <v>195</v>
      </c>
    </row>
    <row r="55" spans="1:28" x14ac:dyDescent="0.15">
      <c r="A55" s="77" t="s">
        <v>30</v>
      </c>
      <c r="B55" s="77" t="s">
        <v>191</v>
      </c>
      <c r="C55" s="77">
        <v>2020</v>
      </c>
      <c r="D55" s="101" t="s">
        <v>199</v>
      </c>
      <c r="E55" s="77" t="s">
        <v>205</v>
      </c>
      <c r="F55" s="77" t="s">
        <v>194</v>
      </c>
      <c r="G55" s="77" t="s">
        <v>25</v>
      </c>
      <c r="H55" s="77" t="s">
        <v>113</v>
      </c>
      <c r="I55" s="77" t="s">
        <v>111</v>
      </c>
      <c r="J55" s="77" t="s">
        <v>27</v>
      </c>
      <c r="K55" s="77" t="s">
        <v>112</v>
      </c>
      <c r="L55" s="77">
        <v>3</v>
      </c>
      <c r="N55" s="77">
        <v>1</v>
      </c>
      <c r="O55" s="77">
        <v>1</v>
      </c>
      <c r="P55" s="77">
        <v>1.25</v>
      </c>
      <c r="Q55" s="102">
        <f t="shared" si="0"/>
        <v>1.125</v>
      </c>
      <c r="R55" s="77">
        <v>11.8</v>
      </c>
      <c r="S55" s="77">
        <v>122</v>
      </c>
      <c r="T55" s="16">
        <f t="shared" si="1"/>
        <v>27</v>
      </c>
      <c r="U55" s="77">
        <v>100</v>
      </c>
      <c r="V55" s="16">
        <f t="shared" si="3"/>
        <v>2700</v>
      </c>
      <c r="W55" s="77">
        <v>1</v>
      </c>
      <c r="X55" s="77" t="s">
        <v>35</v>
      </c>
      <c r="Y55" s="77" t="s">
        <v>72</v>
      </c>
      <c r="Z55" s="77" t="s">
        <v>55</v>
      </c>
      <c r="AA55" s="77" t="s">
        <v>82</v>
      </c>
      <c r="AB55" s="77" t="s">
        <v>195</v>
      </c>
    </row>
    <row r="56" spans="1:28" x14ac:dyDescent="0.15">
      <c r="A56" s="77" t="s">
        <v>30</v>
      </c>
      <c r="B56" s="77" t="s">
        <v>191</v>
      </c>
      <c r="C56" s="77">
        <v>2020</v>
      </c>
      <c r="D56" s="101" t="s">
        <v>199</v>
      </c>
      <c r="E56" s="77" t="s">
        <v>205</v>
      </c>
      <c r="F56" s="77" t="s">
        <v>194</v>
      </c>
      <c r="G56" s="77" t="s">
        <v>25</v>
      </c>
      <c r="H56" s="77" t="s">
        <v>166</v>
      </c>
      <c r="I56" s="77" t="s">
        <v>111</v>
      </c>
      <c r="J56" s="77" t="s">
        <v>27</v>
      </c>
      <c r="K56" s="77" t="s">
        <v>112</v>
      </c>
      <c r="L56" s="77">
        <v>1</v>
      </c>
      <c r="N56" s="77">
        <v>1</v>
      </c>
      <c r="O56" s="77">
        <v>0.25</v>
      </c>
      <c r="P56" s="77">
        <v>0.3</v>
      </c>
      <c r="Q56" s="102">
        <f t="shared" si="0"/>
        <v>0.27500000000000002</v>
      </c>
      <c r="R56" s="77">
        <v>15.6</v>
      </c>
      <c r="S56" s="77">
        <v>124</v>
      </c>
      <c r="T56" s="16">
        <f t="shared" si="1"/>
        <v>27</v>
      </c>
      <c r="U56" s="77">
        <v>100</v>
      </c>
      <c r="V56" s="16">
        <f t="shared" si="3"/>
        <v>2700</v>
      </c>
      <c r="W56" s="77">
        <v>3</v>
      </c>
      <c r="X56" s="77" t="s">
        <v>35</v>
      </c>
      <c r="Y56" s="77" t="s">
        <v>72</v>
      </c>
      <c r="Z56" s="77" t="s">
        <v>55</v>
      </c>
      <c r="AA56" s="77" t="s">
        <v>82</v>
      </c>
      <c r="AB56" s="77" t="s">
        <v>195</v>
      </c>
    </row>
    <row r="57" spans="1:28" x14ac:dyDescent="0.15">
      <c r="A57" s="77" t="s">
        <v>30</v>
      </c>
      <c r="B57" s="77" t="s">
        <v>191</v>
      </c>
      <c r="C57" s="77">
        <v>2020</v>
      </c>
      <c r="D57" s="101" t="s">
        <v>199</v>
      </c>
      <c r="E57" s="77" t="s">
        <v>205</v>
      </c>
      <c r="F57" s="77" t="s">
        <v>194</v>
      </c>
      <c r="G57" s="77" t="s">
        <v>25</v>
      </c>
      <c r="H57" s="77" t="s">
        <v>166</v>
      </c>
      <c r="I57" s="77" t="s">
        <v>111</v>
      </c>
      <c r="J57" s="77" t="s">
        <v>27</v>
      </c>
      <c r="K57" s="77" t="s">
        <v>112</v>
      </c>
      <c r="L57" s="77">
        <v>2</v>
      </c>
      <c r="N57" s="77">
        <v>1</v>
      </c>
      <c r="O57" s="77">
        <v>0.3</v>
      </c>
      <c r="P57" s="77">
        <v>0.35</v>
      </c>
      <c r="Q57" s="102">
        <f t="shared" si="0"/>
        <v>0.32499999999999996</v>
      </c>
      <c r="R57" s="77">
        <v>12.8</v>
      </c>
      <c r="S57" s="77">
        <v>126</v>
      </c>
      <c r="T57" s="16">
        <f t="shared" si="1"/>
        <v>27</v>
      </c>
      <c r="U57" s="77">
        <v>100</v>
      </c>
      <c r="V57" s="16">
        <f t="shared" si="3"/>
        <v>2700</v>
      </c>
      <c r="W57" s="77">
        <v>3</v>
      </c>
      <c r="X57" s="77" t="s">
        <v>35</v>
      </c>
      <c r="Y57" s="77" t="s">
        <v>72</v>
      </c>
      <c r="Z57" s="77" t="s">
        <v>55</v>
      </c>
      <c r="AA57" s="77" t="s">
        <v>82</v>
      </c>
      <c r="AB57" s="77" t="s">
        <v>195</v>
      </c>
    </row>
    <row r="58" spans="1:28" x14ac:dyDescent="0.15">
      <c r="A58" s="77" t="s">
        <v>30</v>
      </c>
      <c r="B58" s="77" t="s">
        <v>191</v>
      </c>
      <c r="C58" s="77">
        <v>2020</v>
      </c>
      <c r="D58" s="101" t="s">
        <v>199</v>
      </c>
      <c r="E58" s="77" t="s">
        <v>205</v>
      </c>
      <c r="F58" s="77" t="s">
        <v>194</v>
      </c>
      <c r="G58" s="77" t="s">
        <v>25</v>
      </c>
      <c r="H58" s="77" t="s">
        <v>166</v>
      </c>
      <c r="I58" s="77" t="s">
        <v>111</v>
      </c>
      <c r="J58" s="77" t="s">
        <v>27</v>
      </c>
      <c r="K58" s="77" t="s">
        <v>112</v>
      </c>
      <c r="L58" s="77">
        <v>3</v>
      </c>
      <c r="N58" s="77">
        <v>1</v>
      </c>
      <c r="O58" s="77">
        <v>0.3</v>
      </c>
      <c r="P58" s="77">
        <v>0.4</v>
      </c>
      <c r="Q58" s="102">
        <f t="shared" si="0"/>
        <v>0.35</v>
      </c>
      <c r="R58" s="77">
        <v>16.2</v>
      </c>
      <c r="S58" s="77">
        <v>122</v>
      </c>
      <c r="T58" s="16">
        <f t="shared" si="1"/>
        <v>27</v>
      </c>
      <c r="U58" s="77">
        <v>100</v>
      </c>
      <c r="V58" s="16">
        <f t="shared" si="3"/>
        <v>2700</v>
      </c>
      <c r="W58" s="77">
        <v>3</v>
      </c>
      <c r="X58" s="77" t="s">
        <v>35</v>
      </c>
      <c r="Y58" s="77" t="s">
        <v>72</v>
      </c>
      <c r="Z58" s="77" t="s">
        <v>55</v>
      </c>
      <c r="AA58" s="77" t="s">
        <v>82</v>
      </c>
      <c r="AB58" s="77" t="s">
        <v>195</v>
      </c>
    </row>
    <row r="59" spans="1:28" x14ac:dyDescent="0.15">
      <c r="A59" s="77" t="s">
        <v>30</v>
      </c>
      <c r="B59" s="77" t="s">
        <v>191</v>
      </c>
      <c r="C59" s="77">
        <v>2020</v>
      </c>
      <c r="D59" s="101" t="s">
        <v>199</v>
      </c>
      <c r="E59" s="77" t="s">
        <v>205</v>
      </c>
      <c r="F59" s="77" t="s">
        <v>194</v>
      </c>
      <c r="G59" s="77" t="s">
        <v>25</v>
      </c>
      <c r="H59" s="77" t="s">
        <v>166</v>
      </c>
      <c r="I59" s="77" t="s">
        <v>111</v>
      </c>
      <c r="J59" s="77" t="s">
        <v>27</v>
      </c>
      <c r="K59" s="77" t="s">
        <v>112</v>
      </c>
      <c r="L59" s="77">
        <v>1</v>
      </c>
      <c r="N59" s="77">
        <v>10</v>
      </c>
      <c r="O59" s="77">
        <v>0.65</v>
      </c>
      <c r="P59" s="77">
        <v>0.7</v>
      </c>
      <c r="Q59" s="102">
        <f t="shared" si="0"/>
        <v>0.67500000000000004</v>
      </c>
      <c r="R59" s="77">
        <v>13.1</v>
      </c>
      <c r="S59" s="77">
        <v>120</v>
      </c>
      <c r="T59" s="16">
        <f t="shared" si="1"/>
        <v>30</v>
      </c>
      <c r="U59" s="77">
        <v>1250</v>
      </c>
      <c r="V59" s="16">
        <f t="shared" si="3"/>
        <v>3750</v>
      </c>
      <c r="W59" s="77">
        <v>3</v>
      </c>
      <c r="X59" s="77" t="s">
        <v>35</v>
      </c>
      <c r="Y59" s="77" t="s">
        <v>72</v>
      </c>
      <c r="Z59" s="77" t="s">
        <v>55</v>
      </c>
      <c r="AA59" s="77" t="s">
        <v>82</v>
      </c>
      <c r="AB59" s="77" t="s">
        <v>195</v>
      </c>
    </row>
    <row r="60" spans="1:28" x14ac:dyDescent="0.15">
      <c r="A60" s="77" t="s">
        <v>30</v>
      </c>
      <c r="B60" s="77" t="s">
        <v>191</v>
      </c>
      <c r="C60" s="77">
        <v>2020</v>
      </c>
      <c r="D60" s="101" t="s">
        <v>199</v>
      </c>
      <c r="E60" s="77" t="s">
        <v>205</v>
      </c>
      <c r="F60" s="77" t="s">
        <v>194</v>
      </c>
      <c r="G60" s="77" t="s">
        <v>25</v>
      </c>
      <c r="H60" s="77" t="s">
        <v>166</v>
      </c>
      <c r="I60" s="77" t="s">
        <v>111</v>
      </c>
      <c r="J60" s="77" t="s">
        <v>27</v>
      </c>
      <c r="K60" s="77" t="s">
        <v>112</v>
      </c>
      <c r="L60" s="77">
        <v>2</v>
      </c>
      <c r="N60" s="77">
        <v>10</v>
      </c>
      <c r="O60" s="77">
        <v>0.4</v>
      </c>
      <c r="P60" s="77">
        <v>0.6</v>
      </c>
      <c r="Q60" s="102">
        <f t="shared" si="0"/>
        <v>0.5</v>
      </c>
      <c r="R60" s="77">
        <v>17</v>
      </c>
      <c r="S60" s="77">
        <v>118</v>
      </c>
      <c r="T60" s="16">
        <f t="shared" si="1"/>
        <v>30</v>
      </c>
      <c r="U60" s="77">
        <v>1250</v>
      </c>
      <c r="V60" s="16">
        <f t="shared" si="3"/>
        <v>3750</v>
      </c>
      <c r="W60" s="77">
        <v>3</v>
      </c>
      <c r="X60" s="77" t="s">
        <v>35</v>
      </c>
      <c r="Y60" s="77" t="s">
        <v>72</v>
      </c>
      <c r="Z60" s="77" t="s">
        <v>55</v>
      </c>
      <c r="AA60" s="77" t="s">
        <v>82</v>
      </c>
      <c r="AB60" s="77" t="s">
        <v>195</v>
      </c>
    </row>
    <row r="61" spans="1:28" x14ac:dyDescent="0.15">
      <c r="A61" s="77" t="s">
        <v>30</v>
      </c>
      <c r="B61" s="77" t="s">
        <v>191</v>
      </c>
      <c r="C61" s="77">
        <v>2020</v>
      </c>
      <c r="D61" s="101" t="s">
        <v>199</v>
      </c>
      <c r="E61" s="77" t="s">
        <v>205</v>
      </c>
      <c r="F61" s="77" t="s">
        <v>194</v>
      </c>
      <c r="G61" s="77" t="s">
        <v>25</v>
      </c>
      <c r="H61" s="77" t="s">
        <v>166</v>
      </c>
      <c r="I61" s="77" t="s">
        <v>111</v>
      </c>
      <c r="J61" s="77" t="s">
        <v>27</v>
      </c>
      <c r="K61" s="77" t="s">
        <v>112</v>
      </c>
      <c r="L61" s="77">
        <v>3</v>
      </c>
      <c r="N61" s="77">
        <v>10</v>
      </c>
      <c r="O61" s="77">
        <v>0.5</v>
      </c>
      <c r="P61" s="77">
        <v>0.55000000000000004</v>
      </c>
      <c r="Q61" s="102">
        <f t="shared" si="0"/>
        <v>0.52500000000000002</v>
      </c>
      <c r="R61" s="77">
        <v>14.9</v>
      </c>
      <c r="S61" s="77">
        <v>116</v>
      </c>
      <c r="T61" s="16">
        <f t="shared" si="1"/>
        <v>30</v>
      </c>
      <c r="U61" s="77">
        <v>1250</v>
      </c>
      <c r="V61" s="16">
        <f t="shared" si="3"/>
        <v>3750</v>
      </c>
      <c r="W61" s="77">
        <v>3</v>
      </c>
      <c r="X61" s="77" t="s">
        <v>35</v>
      </c>
      <c r="Y61" s="77" t="s">
        <v>72</v>
      </c>
      <c r="Z61" s="77" t="s">
        <v>55</v>
      </c>
      <c r="AA61" s="77" t="s">
        <v>82</v>
      </c>
      <c r="AB61" s="77" t="s">
        <v>195</v>
      </c>
    </row>
    <row r="62" spans="1:28" x14ac:dyDescent="0.15">
      <c r="A62" s="77" t="s">
        <v>30</v>
      </c>
      <c r="B62" s="77" t="s">
        <v>191</v>
      </c>
      <c r="C62" s="77">
        <v>2020</v>
      </c>
      <c r="D62" s="101" t="s">
        <v>199</v>
      </c>
      <c r="E62" s="77" t="s">
        <v>205</v>
      </c>
      <c r="F62" s="77" t="s">
        <v>207</v>
      </c>
      <c r="G62" s="77" t="s">
        <v>25</v>
      </c>
      <c r="H62" s="77" t="s">
        <v>166</v>
      </c>
      <c r="I62" s="77" t="s">
        <v>111</v>
      </c>
      <c r="J62" s="77" t="s">
        <v>27</v>
      </c>
      <c r="K62" s="77" t="s">
        <v>112</v>
      </c>
      <c r="L62" s="77">
        <v>1</v>
      </c>
      <c r="N62" s="77">
        <v>1</v>
      </c>
      <c r="O62" s="77">
        <v>0.9</v>
      </c>
      <c r="P62" s="77">
        <v>0.8</v>
      </c>
      <c r="Q62" s="102">
        <f t="shared" si="0"/>
        <v>0.85000000000000009</v>
      </c>
      <c r="R62" s="77">
        <v>14.2</v>
      </c>
      <c r="S62" s="77">
        <v>125</v>
      </c>
      <c r="T62" s="16">
        <f t="shared" si="1"/>
        <v>27</v>
      </c>
      <c r="U62" s="77">
        <v>128</v>
      </c>
      <c r="V62" s="16">
        <f t="shared" si="3"/>
        <v>3456</v>
      </c>
      <c r="W62" s="77">
        <v>2</v>
      </c>
      <c r="X62" s="77" t="s">
        <v>35</v>
      </c>
      <c r="Y62" s="77" t="s">
        <v>72</v>
      </c>
      <c r="Z62" s="77" t="s">
        <v>82</v>
      </c>
      <c r="AA62" s="77" t="s">
        <v>74</v>
      </c>
      <c r="AB62" s="77" t="s">
        <v>195</v>
      </c>
    </row>
    <row r="63" spans="1:28" x14ac:dyDescent="0.15">
      <c r="A63" s="77" t="s">
        <v>30</v>
      </c>
      <c r="B63" s="77" t="s">
        <v>191</v>
      </c>
      <c r="C63" s="77">
        <v>2020</v>
      </c>
      <c r="D63" s="101" t="s">
        <v>199</v>
      </c>
      <c r="E63" s="77" t="s">
        <v>205</v>
      </c>
      <c r="F63" s="77" t="s">
        <v>207</v>
      </c>
      <c r="G63" s="77" t="s">
        <v>25</v>
      </c>
      <c r="H63" s="77" t="s">
        <v>166</v>
      </c>
      <c r="I63" s="77" t="s">
        <v>111</v>
      </c>
      <c r="J63" s="77" t="s">
        <v>27</v>
      </c>
      <c r="K63" s="77" t="s">
        <v>112</v>
      </c>
      <c r="L63" s="77">
        <v>2</v>
      </c>
      <c r="N63" s="77">
        <v>1</v>
      </c>
      <c r="O63" s="77">
        <v>0.8</v>
      </c>
      <c r="P63" s="77">
        <v>0.95</v>
      </c>
      <c r="Q63" s="102">
        <f t="shared" si="0"/>
        <v>0.875</v>
      </c>
      <c r="R63" s="77">
        <v>13.8</v>
      </c>
      <c r="S63" s="77">
        <v>126</v>
      </c>
      <c r="T63" s="16">
        <f t="shared" si="1"/>
        <v>27</v>
      </c>
      <c r="U63" s="77">
        <v>128</v>
      </c>
      <c r="V63" s="16">
        <f t="shared" si="3"/>
        <v>3456</v>
      </c>
      <c r="W63" s="77">
        <v>2</v>
      </c>
      <c r="X63" s="77" t="s">
        <v>35</v>
      </c>
      <c r="Y63" s="77" t="s">
        <v>72</v>
      </c>
      <c r="Z63" s="77" t="s">
        <v>82</v>
      </c>
      <c r="AA63" s="77" t="s">
        <v>74</v>
      </c>
      <c r="AB63" s="77" t="s">
        <v>195</v>
      </c>
    </row>
    <row r="64" spans="1:28" x14ac:dyDescent="0.15">
      <c r="A64" s="77" t="s">
        <v>30</v>
      </c>
      <c r="B64" s="77" t="s">
        <v>191</v>
      </c>
      <c r="C64" s="77">
        <v>2020</v>
      </c>
      <c r="D64" s="101" t="s">
        <v>199</v>
      </c>
      <c r="E64" s="77" t="s">
        <v>205</v>
      </c>
      <c r="F64" s="77" t="s">
        <v>207</v>
      </c>
      <c r="G64" s="77" t="s">
        <v>25</v>
      </c>
      <c r="H64" s="77" t="s">
        <v>166</v>
      </c>
      <c r="I64" s="77" t="s">
        <v>111</v>
      </c>
      <c r="J64" s="77" t="s">
        <v>27</v>
      </c>
      <c r="K64" s="77" t="s">
        <v>112</v>
      </c>
      <c r="L64" s="77">
        <v>3</v>
      </c>
      <c r="N64" s="77">
        <v>1</v>
      </c>
      <c r="O64" s="77">
        <v>0.95</v>
      </c>
      <c r="P64" s="77">
        <v>1</v>
      </c>
      <c r="Q64" s="102">
        <f t="shared" si="0"/>
        <v>0.97499999999999998</v>
      </c>
      <c r="R64" s="77">
        <v>12.2</v>
      </c>
      <c r="S64" s="77">
        <v>128</v>
      </c>
      <c r="T64" s="16">
        <f t="shared" si="1"/>
        <v>27</v>
      </c>
      <c r="U64" s="77">
        <v>128</v>
      </c>
      <c r="V64" s="16">
        <f t="shared" si="3"/>
        <v>3456</v>
      </c>
      <c r="W64" s="77">
        <v>2</v>
      </c>
      <c r="X64" s="77" t="s">
        <v>35</v>
      </c>
      <c r="Y64" s="77" t="s">
        <v>72</v>
      </c>
      <c r="Z64" s="77" t="s">
        <v>82</v>
      </c>
      <c r="AA64" s="77" t="s">
        <v>74</v>
      </c>
      <c r="AB64" s="77" t="s">
        <v>195</v>
      </c>
    </row>
    <row r="65" spans="1:28" x14ac:dyDescent="0.15">
      <c r="A65" s="77" t="s">
        <v>30</v>
      </c>
      <c r="B65" s="77" t="s">
        <v>191</v>
      </c>
      <c r="C65" s="77">
        <v>2020</v>
      </c>
      <c r="D65" s="101" t="s">
        <v>199</v>
      </c>
      <c r="E65" s="77" t="s">
        <v>205</v>
      </c>
      <c r="F65" s="77" t="s">
        <v>207</v>
      </c>
      <c r="G65" s="77" t="s">
        <v>25</v>
      </c>
      <c r="H65" s="77" t="s">
        <v>166</v>
      </c>
      <c r="I65" s="77" t="s">
        <v>111</v>
      </c>
      <c r="J65" s="77" t="s">
        <v>27</v>
      </c>
      <c r="K65" s="77" t="s">
        <v>112</v>
      </c>
      <c r="L65" s="77">
        <v>1</v>
      </c>
      <c r="N65" s="77">
        <v>4</v>
      </c>
      <c r="O65" s="77">
        <v>0.45</v>
      </c>
      <c r="P65" s="77">
        <v>0.4</v>
      </c>
      <c r="Q65" s="102">
        <f t="shared" si="0"/>
        <v>0.42500000000000004</v>
      </c>
      <c r="R65" s="77">
        <v>16.3</v>
      </c>
      <c r="S65" s="77">
        <v>120</v>
      </c>
      <c r="T65" s="16">
        <f t="shared" si="1"/>
        <v>30</v>
      </c>
      <c r="U65" s="77">
        <v>498</v>
      </c>
      <c r="V65" s="16">
        <f t="shared" si="3"/>
        <v>3735</v>
      </c>
      <c r="W65" s="77">
        <v>2</v>
      </c>
      <c r="X65" s="77" t="s">
        <v>35</v>
      </c>
      <c r="Y65" s="77" t="s">
        <v>72</v>
      </c>
      <c r="Z65" s="77" t="s">
        <v>82</v>
      </c>
      <c r="AA65" s="77" t="s">
        <v>74</v>
      </c>
      <c r="AB65" s="77" t="s">
        <v>195</v>
      </c>
    </row>
    <row r="66" spans="1:28" x14ac:dyDescent="0.15">
      <c r="A66" s="77" t="s">
        <v>30</v>
      </c>
      <c r="B66" s="77" t="s">
        <v>191</v>
      </c>
      <c r="C66" s="77">
        <v>2020</v>
      </c>
      <c r="D66" s="101" t="s">
        <v>199</v>
      </c>
      <c r="E66" s="77" t="s">
        <v>205</v>
      </c>
      <c r="F66" s="77" t="s">
        <v>207</v>
      </c>
      <c r="G66" s="77" t="s">
        <v>25</v>
      </c>
      <c r="H66" s="77" t="s">
        <v>166</v>
      </c>
      <c r="I66" s="77" t="s">
        <v>111</v>
      </c>
      <c r="J66" s="77" t="s">
        <v>27</v>
      </c>
      <c r="K66" s="77" t="s">
        <v>112</v>
      </c>
      <c r="L66" s="77">
        <v>2</v>
      </c>
      <c r="N66" s="77">
        <v>4</v>
      </c>
      <c r="O66" s="77">
        <v>0.45</v>
      </c>
      <c r="P66" s="77">
        <v>0.3</v>
      </c>
      <c r="Q66" s="102">
        <f t="shared" ref="Q66:Q129" si="4">IF(OR(O66="",P66=""),"",AVERAGE(O66,P66))</f>
        <v>0.375</v>
      </c>
      <c r="R66" s="77">
        <v>12.8</v>
      </c>
      <c r="S66" s="77">
        <v>120</v>
      </c>
      <c r="T66" s="16">
        <f t="shared" ref="T66:T67" si="5">IF(H66="","",IF(OR(H66="GREEN",H66="GK"),IF(S66&gt;=$AX$2,VLOOKUP(S66,$AX$2:$AY$10,2,1),""),IF(S66&gt;=$AZ$2,VLOOKUP(S66,$AZ$2:$BA$10,2,1),"")))</f>
        <v>30</v>
      </c>
      <c r="U66" s="77">
        <v>498</v>
      </c>
      <c r="V66" s="16">
        <f t="shared" si="3"/>
        <v>3735</v>
      </c>
      <c r="W66" s="77">
        <v>2</v>
      </c>
      <c r="X66" s="77" t="s">
        <v>35</v>
      </c>
      <c r="Y66" s="77" t="s">
        <v>72</v>
      </c>
      <c r="Z66" s="77" t="s">
        <v>82</v>
      </c>
      <c r="AA66" s="77" t="s">
        <v>74</v>
      </c>
      <c r="AB66" s="77" t="s">
        <v>195</v>
      </c>
    </row>
    <row r="67" spans="1:28" x14ac:dyDescent="0.15">
      <c r="A67" s="77" t="s">
        <v>30</v>
      </c>
      <c r="B67" s="77" t="s">
        <v>191</v>
      </c>
      <c r="C67" s="77">
        <v>2020</v>
      </c>
      <c r="D67" s="101" t="s">
        <v>199</v>
      </c>
      <c r="E67" s="77" t="s">
        <v>205</v>
      </c>
      <c r="F67" s="77" t="s">
        <v>207</v>
      </c>
      <c r="G67" s="77" t="s">
        <v>25</v>
      </c>
      <c r="H67" s="77" t="s">
        <v>166</v>
      </c>
      <c r="I67" s="77" t="s">
        <v>111</v>
      </c>
      <c r="J67" s="77" t="s">
        <v>27</v>
      </c>
      <c r="K67" s="77" t="s">
        <v>112</v>
      </c>
      <c r="L67" s="77">
        <v>3</v>
      </c>
      <c r="N67" s="77">
        <v>4</v>
      </c>
      <c r="O67" s="77">
        <v>0.25</v>
      </c>
      <c r="P67" s="77">
        <v>0.25</v>
      </c>
      <c r="Q67" s="102">
        <f t="shared" si="4"/>
        <v>0.25</v>
      </c>
      <c r="R67" s="77">
        <v>15.2</v>
      </c>
      <c r="S67" s="77">
        <v>117</v>
      </c>
      <c r="T67" s="16">
        <f t="shared" si="5"/>
        <v>30</v>
      </c>
      <c r="U67" s="77">
        <v>498</v>
      </c>
      <c r="V67" s="16">
        <f t="shared" si="3"/>
        <v>3735</v>
      </c>
      <c r="W67" s="77">
        <v>2</v>
      </c>
      <c r="X67" s="77" t="s">
        <v>35</v>
      </c>
      <c r="Y67" s="77" t="s">
        <v>72</v>
      </c>
      <c r="Z67" s="77" t="s">
        <v>82</v>
      </c>
      <c r="AA67" s="77" t="s">
        <v>74</v>
      </c>
      <c r="AB67" s="77" t="s">
        <v>195</v>
      </c>
    </row>
    <row r="68" spans="1:28" x14ac:dyDescent="0.15">
      <c r="A68" s="77" t="s">
        <v>30</v>
      </c>
      <c r="B68" s="77" t="s">
        <v>191</v>
      </c>
      <c r="C68" s="77">
        <v>2020</v>
      </c>
      <c r="D68" s="101" t="s">
        <v>199</v>
      </c>
      <c r="E68" s="77" t="s">
        <v>205</v>
      </c>
      <c r="F68" s="77" t="s">
        <v>207</v>
      </c>
      <c r="G68" s="77" t="s">
        <v>25</v>
      </c>
      <c r="H68" s="77" t="s">
        <v>113</v>
      </c>
      <c r="I68" s="77" t="s">
        <v>111</v>
      </c>
      <c r="J68" s="77" t="s">
        <v>27</v>
      </c>
      <c r="K68" s="77" t="s">
        <v>112</v>
      </c>
      <c r="L68" s="77">
        <v>1</v>
      </c>
      <c r="N68" s="77">
        <v>1</v>
      </c>
      <c r="O68" s="77">
        <v>0.25</v>
      </c>
      <c r="P68" s="77">
        <v>0.25</v>
      </c>
      <c r="Q68" s="102">
        <f t="shared" si="4"/>
        <v>0.25</v>
      </c>
      <c r="R68" s="77">
        <v>14.4</v>
      </c>
      <c r="S68" s="77">
        <v>126</v>
      </c>
      <c r="T68" s="16">
        <f t="shared" ref="T68:T73" si="6">IF(H68="","",IF(OR(H68="GREEN",H68="GK"),IF(S68&gt;=$AX$2,VLOOKUP(S68,$AX$2:$AY$12,2,1),""),IF(S68&gt;=$AZ$2,VLOOKUP(S68,$AZ$2:$BA$12,2,1),"")))</f>
        <v>27</v>
      </c>
      <c r="U68" s="77">
        <v>100</v>
      </c>
      <c r="V68" s="16">
        <f t="shared" si="3"/>
        <v>2700</v>
      </c>
      <c r="W68" s="77">
        <v>1</v>
      </c>
      <c r="X68" s="77" t="s">
        <v>35</v>
      </c>
      <c r="Y68" s="77" t="s">
        <v>72</v>
      </c>
      <c r="Z68" s="77" t="s">
        <v>82</v>
      </c>
      <c r="AA68" s="77" t="s">
        <v>74</v>
      </c>
      <c r="AB68" s="77" t="s">
        <v>195</v>
      </c>
    </row>
    <row r="69" spans="1:28" x14ac:dyDescent="0.15">
      <c r="A69" s="77" t="s">
        <v>30</v>
      </c>
      <c r="B69" s="77" t="s">
        <v>191</v>
      </c>
      <c r="C69" s="77">
        <v>2020</v>
      </c>
      <c r="D69" s="101" t="s">
        <v>199</v>
      </c>
      <c r="E69" s="77" t="s">
        <v>205</v>
      </c>
      <c r="F69" s="77" t="s">
        <v>207</v>
      </c>
      <c r="G69" s="77" t="s">
        <v>25</v>
      </c>
      <c r="H69" s="77" t="s">
        <v>113</v>
      </c>
      <c r="I69" s="77" t="s">
        <v>111</v>
      </c>
      <c r="J69" s="77" t="s">
        <v>27</v>
      </c>
      <c r="K69" s="77" t="s">
        <v>112</v>
      </c>
      <c r="L69" s="77">
        <v>2</v>
      </c>
      <c r="N69" s="77">
        <v>1</v>
      </c>
      <c r="O69" s="77">
        <v>0.3</v>
      </c>
      <c r="P69" s="77">
        <v>0.3</v>
      </c>
      <c r="Q69" s="102">
        <f t="shared" si="4"/>
        <v>0.3</v>
      </c>
      <c r="R69" s="77">
        <v>13.3</v>
      </c>
      <c r="S69" s="77">
        <v>124</v>
      </c>
      <c r="T69" s="16">
        <f t="shared" si="6"/>
        <v>27</v>
      </c>
      <c r="U69" s="77">
        <v>100</v>
      </c>
      <c r="V69" s="16">
        <f t="shared" si="3"/>
        <v>2700</v>
      </c>
      <c r="W69" s="77">
        <v>1</v>
      </c>
      <c r="X69" s="77" t="s">
        <v>35</v>
      </c>
      <c r="Y69" s="77" t="s">
        <v>72</v>
      </c>
      <c r="Z69" s="77" t="s">
        <v>82</v>
      </c>
      <c r="AA69" s="77" t="s">
        <v>74</v>
      </c>
      <c r="AB69" s="77" t="s">
        <v>195</v>
      </c>
    </row>
    <row r="70" spans="1:28" x14ac:dyDescent="0.15">
      <c r="A70" s="77" t="s">
        <v>30</v>
      </c>
      <c r="B70" s="77" t="s">
        <v>191</v>
      </c>
      <c r="C70" s="77">
        <v>2020</v>
      </c>
      <c r="D70" s="101" t="s">
        <v>199</v>
      </c>
      <c r="E70" s="77" t="s">
        <v>205</v>
      </c>
      <c r="F70" s="77" t="s">
        <v>207</v>
      </c>
      <c r="G70" s="77" t="s">
        <v>25</v>
      </c>
      <c r="H70" s="77" t="s">
        <v>113</v>
      </c>
      <c r="I70" s="77" t="s">
        <v>111</v>
      </c>
      <c r="J70" s="77" t="s">
        <v>27</v>
      </c>
      <c r="K70" s="77" t="s">
        <v>112</v>
      </c>
      <c r="L70" s="77">
        <v>3</v>
      </c>
      <c r="N70" s="77">
        <v>1</v>
      </c>
      <c r="O70" s="77">
        <v>0.25</v>
      </c>
      <c r="P70" s="77">
        <v>0.3</v>
      </c>
      <c r="Q70" s="102">
        <f t="shared" si="4"/>
        <v>0.27500000000000002</v>
      </c>
      <c r="R70" s="77">
        <v>12.8</v>
      </c>
      <c r="S70" s="77">
        <v>127</v>
      </c>
      <c r="T70" s="16">
        <f t="shared" si="6"/>
        <v>27</v>
      </c>
      <c r="U70" s="77">
        <v>100</v>
      </c>
      <c r="V70" s="16">
        <f t="shared" si="3"/>
        <v>2700</v>
      </c>
      <c r="W70" s="77">
        <v>1</v>
      </c>
      <c r="X70" s="77" t="s">
        <v>35</v>
      </c>
      <c r="Y70" s="77" t="s">
        <v>72</v>
      </c>
      <c r="Z70" s="77" t="s">
        <v>82</v>
      </c>
      <c r="AA70" s="77" t="s">
        <v>74</v>
      </c>
      <c r="AB70" s="77" t="s">
        <v>195</v>
      </c>
    </row>
    <row r="71" spans="1:28" x14ac:dyDescent="0.15">
      <c r="A71" s="77" t="s">
        <v>30</v>
      </c>
      <c r="B71" s="77" t="s">
        <v>191</v>
      </c>
      <c r="C71" s="77">
        <v>2020</v>
      </c>
      <c r="D71" s="101" t="s">
        <v>199</v>
      </c>
      <c r="E71" s="77" t="s">
        <v>205</v>
      </c>
      <c r="F71" s="77" t="s">
        <v>207</v>
      </c>
      <c r="G71" s="77" t="s">
        <v>25</v>
      </c>
      <c r="H71" s="77" t="s">
        <v>113</v>
      </c>
      <c r="I71" s="77" t="s">
        <v>111</v>
      </c>
      <c r="J71" s="77" t="s">
        <v>27</v>
      </c>
      <c r="K71" s="77" t="s">
        <v>112</v>
      </c>
      <c r="L71" s="77">
        <v>1</v>
      </c>
      <c r="N71" s="77">
        <v>4</v>
      </c>
      <c r="O71" s="77">
        <v>0.45</v>
      </c>
      <c r="P71" s="77">
        <v>0.4</v>
      </c>
      <c r="Q71" s="102">
        <f t="shared" si="4"/>
        <v>0.42500000000000004</v>
      </c>
      <c r="R71" s="77">
        <v>15.6</v>
      </c>
      <c r="S71" s="77">
        <v>115</v>
      </c>
      <c r="T71" s="16">
        <f t="shared" si="6"/>
        <v>30</v>
      </c>
      <c r="U71" s="77">
        <v>398</v>
      </c>
      <c r="V71" s="16">
        <f t="shared" si="3"/>
        <v>2985</v>
      </c>
      <c r="W71" s="77">
        <v>1</v>
      </c>
      <c r="X71" s="77" t="s">
        <v>35</v>
      </c>
      <c r="Y71" s="77" t="s">
        <v>72</v>
      </c>
      <c r="Z71" s="77" t="s">
        <v>82</v>
      </c>
      <c r="AA71" s="77" t="s">
        <v>74</v>
      </c>
      <c r="AB71" s="77" t="s">
        <v>195</v>
      </c>
    </row>
    <row r="72" spans="1:28" x14ac:dyDescent="0.15">
      <c r="A72" s="77" t="s">
        <v>30</v>
      </c>
      <c r="B72" s="77" t="s">
        <v>191</v>
      </c>
      <c r="C72" s="77">
        <v>2020</v>
      </c>
      <c r="D72" s="101" t="s">
        <v>199</v>
      </c>
      <c r="E72" s="77" t="s">
        <v>205</v>
      </c>
      <c r="F72" s="77" t="s">
        <v>207</v>
      </c>
      <c r="G72" s="77" t="s">
        <v>25</v>
      </c>
      <c r="H72" s="77" t="s">
        <v>113</v>
      </c>
      <c r="I72" s="77" t="s">
        <v>111</v>
      </c>
      <c r="J72" s="77" t="s">
        <v>27</v>
      </c>
      <c r="K72" s="77" t="s">
        <v>112</v>
      </c>
      <c r="L72" s="77">
        <v>2</v>
      </c>
      <c r="N72" s="77">
        <v>4</v>
      </c>
      <c r="O72" s="77">
        <v>0.5</v>
      </c>
      <c r="P72" s="77">
        <v>0.5</v>
      </c>
      <c r="Q72" s="102">
        <f t="shared" si="4"/>
        <v>0.5</v>
      </c>
      <c r="R72" s="77">
        <v>16</v>
      </c>
      <c r="S72" s="77">
        <v>120</v>
      </c>
      <c r="T72" s="16">
        <f t="shared" si="6"/>
        <v>30</v>
      </c>
      <c r="U72" s="77">
        <v>398</v>
      </c>
      <c r="V72" s="16">
        <f t="shared" si="3"/>
        <v>2985</v>
      </c>
      <c r="W72" s="77">
        <v>1</v>
      </c>
      <c r="X72" s="77" t="s">
        <v>35</v>
      </c>
      <c r="Y72" s="77" t="s">
        <v>72</v>
      </c>
      <c r="Z72" s="77" t="s">
        <v>82</v>
      </c>
      <c r="AA72" s="77" t="s">
        <v>74</v>
      </c>
      <c r="AB72" s="77" t="s">
        <v>195</v>
      </c>
    </row>
    <row r="73" spans="1:28" x14ac:dyDescent="0.15">
      <c r="A73" s="77" t="s">
        <v>30</v>
      </c>
      <c r="B73" s="77" t="s">
        <v>191</v>
      </c>
      <c r="C73" s="77">
        <v>2020</v>
      </c>
      <c r="D73" s="101" t="s">
        <v>199</v>
      </c>
      <c r="E73" s="77" t="s">
        <v>205</v>
      </c>
      <c r="F73" s="77" t="s">
        <v>207</v>
      </c>
      <c r="G73" s="77" t="s">
        <v>25</v>
      </c>
      <c r="H73" s="77" t="s">
        <v>113</v>
      </c>
      <c r="I73" s="77" t="s">
        <v>111</v>
      </c>
      <c r="J73" s="77" t="s">
        <v>27</v>
      </c>
      <c r="K73" s="77" t="s">
        <v>112</v>
      </c>
      <c r="L73" s="77">
        <v>3</v>
      </c>
      <c r="N73" s="77">
        <v>4</v>
      </c>
      <c r="O73" s="77">
        <v>0.6</v>
      </c>
      <c r="P73" s="77">
        <v>0.6</v>
      </c>
      <c r="Q73" s="102">
        <f t="shared" si="4"/>
        <v>0.6</v>
      </c>
      <c r="R73" s="77">
        <v>15.5</v>
      </c>
      <c r="S73" s="77">
        <v>117</v>
      </c>
      <c r="T73" s="16">
        <f t="shared" si="6"/>
        <v>30</v>
      </c>
      <c r="U73" s="77">
        <v>398</v>
      </c>
      <c r="V73" s="16">
        <f t="shared" si="3"/>
        <v>2985</v>
      </c>
      <c r="W73" s="77">
        <v>1</v>
      </c>
      <c r="X73" s="77" t="s">
        <v>35</v>
      </c>
      <c r="Y73" s="77" t="s">
        <v>72</v>
      </c>
      <c r="Z73" s="77" t="s">
        <v>82</v>
      </c>
      <c r="AA73" s="77" t="s">
        <v>74</v>
      </c>
      <c r="AB73" s="77" t="s">
        <v>195</v>
      </c>
    </row>
    <row r="74" spans="1:28" x14ac:dyDescent="0.15">
      <c r="A74" s="77" t="s">
        <v>30</v>
      </c>
      <c r="B74" s="77" t="s">
        <v>191</v>
      </c>
      <c r="C74" s="77">
        <v>2020</v>
      </c>
      <c r="D74" s="101" t="s">
        <v>199</v>
      </c>
      <c r="E74" s="77" t="s">
        <v>209</v>
      </c>
      <c r="F74" s="77" t="s">
        <v>207</v>
      </c>
      <c r="G74" s="77" t="s">
        <v>25</v>
      </c>
      <c r="H74" s="77" t="s">
        <v>113</v>
      </c>
      <c r="I74" s="77" t="s">
        <v>111</v>
      </c>
      <c r="J74" s="77" t="s">
        <v>27</v>
      </c>
      <c r="K74" s="77" t="s">
        <v>112</v>
      </c>
      <c r="L74" s="77">
        <v>1</v>
      </c>
      <c r="N74" s="77">
        <v>1</v>
      </c>
      <c r="O74" s="77">
        <v>0.35</v>
      </c>
      <c r="P74" s="77">
        <v>0.4</v>
      </c>
      <c r="Q74" s="102">
        <f t="shared" si="4"/>
        <v>0.375</v>
      </c>
      <c r="R74" s="77">
        <v>15.8</v>
      </c>
      <c r="S74" s="77">
        <v>116</v>
      </c>
      <c r="T74" s="16">
        <f>IF(H74="","",IF(OR(H74="GREEN",H74="GK"),IF(S74&gt;=$AX$2,VLOOKUP(S74,$AX$2:$AY$10,2,1),""),IF(S74&gt;=$AZ$2,VLOOKUP(S74,$AZ$2:$BA$10,2,1),"")))</f>
        <v>30</v>
      </c>
      <c r="U74" s="77">
        <v>87</v>
      </c>
      <c r="V74" s="16">
        <f t="shared" si="3"/>
        <v>2610</v>
      </c>
      <c r="W74" s="77">
        <v>3</v>
      </c>
      <c r="X74" s="77" t="s">
        <v>35</v>
      </c>
      <c r="Y74" s="77" t="s">
        <v>82</v>
      </c>
      <c r="Z74" s="77" t="s">
        <v>72</v>
      </c>
      <c r="AA74" s="77" t="s">
        <v>55</v>
      </c>
      <c r="AB74" s="77" t="s">
        <v>195</v>
      </c>
    </row>
    <row r="75" spans="1:28" x14ac:dyDescent="0.15">
      <c r="A75" s="77" t="s">
        <v>30</v>
      </c>
      <c r="B75" s="77" t="s">
        <v>191</v>
      </c>
      <c r="C75" s="77">
        <v>2020</v>
      </c>
      <c r="D75" s="101" t="s">
        <v>199</v>
      </c>
      <c r="E75" s="77" t="s">
        <v>209</v>
      </c>
      <c r="F75" s="77" t="s">
        <v>207</v>
      </c>
      <c r="G75" s="77" t="s">
        <v>25</v>
      </c>
      <c r="H75" s="77" t="s">
        <v>113</v>
      </c>
      <c r="I75" s="77" t="s">
        <v>111</v>
      </c>
      <c r="J75" s="77" t="s">
        <v>27</v>
      </c>
      <c r="K75" s="77" t="s">
        <v>112</v>
      </c>
      <c r="L75" s="77">
        <v>2</v>
      </c>
      <c r="N75" s="77">
        <v>1</v>
      </c>
      <c r="O75" s="77">
        <v>0.95</v>
      </c>
      <c r="P75" s="77">
        <v>1</v>
      </c>
      <c r="Q75" s="102">
        <f t="shared" si="4"/>
        <v>0.97499999999999998</v>
      </c>
      <c r="R75" s="77">
        <v>17.399999999999999</v>
      </c>
      <c r="S75" s="77">
        <v>120</v>
      </c>
      <c r="T75" s="16">
        <f>IF(H75="","",IF(OR(H75="GREEN",H75="GK"),IF(S75&gt;=$AX$2,VLOOKUP(S75,$AX$2:$AY$10,2,1),""),IF(S75&gt;=$AZ$2,VLOOKUP(S75,$AZ$2:$BA$10,2,1),"")))</f>
        <v>30</v>
      </c>
      <c r="U75" s="77">
        <v>87</v>
      </c>
      <c r="V75" s="16">
        <f t="shared" si="3"/>
        <v>2610</v>
      </c>
      <c r="W75" s="77">
        <v>3</v>
      </c>
      <c r="X75" s="77" t="s">
        <v>35</v>
      </c>
      <c r="Y75" s="77" t="s">
        <v>82</v>
      </c>
      <c r="Z75" s="77" t="s">
        <v>72</v>
      </c>
      <c r="AA75" s="77" t="s">
        <v>55</v>
      </c>
      <c r="AB75" s="77" t="s">
        <v>195</v>
      </c>
    </row>
    <row r="76" spans="1:28" x14ac:dyDescent="0.15">
      <c r="A76" s="77" t="s">
        <v>30</v>
      </c>
      <c r="B76" s="77" t="s">
        <v>191</v>
      </c>
      <c r="C76" s="77">
        <v>2020</v>
      </c>
      <c r="D76" s="101" t="s">
        <v>199</v>
      </c>
      <c r="E76" s="77" t="s">
        <v>209</v>
      </c>
      <c r="F76" s="77" t="s">
        <v>207</v>
      </c>
      <c r="G76" s="77" t="s">
        <v>25</v>
      </c>
      <c r="H76" s="77" t="s">
        <v>113</v>
      </c>
      <c r="I76" s="77" t="s">
        <v>111</v>
      </c>
      <c r="J76" s="77" t="s">
        <v>27</v>
      </c>
      <c r="K76" s="77" t="s">
        <v>112</v>
      </c>
      <c r="L76" s="77">
        <v>3</v>
      </c>
      <c r="N76" s="77">
        <v>1</v>
      </c>
      <c r="O76" s="77">
        <v>0.95</v>
      </c>
      <c r="P76" s="77">
        <v>1</v>
      </c>
      <c r="Q76" s="102">
        <f t="shared" si="4"/>
        <v>0.97499999999999998</v>
      </c>
      <c r="R76" s="77">
        <v>16.899999999999999</v>
      </c>
      <c r="S76" s="77">
        <v>117</v>
      </c>
      <c r="T76" s="16">
        <f>IF(H76="","",IF(OR(H76="GREEN",H76="GK"),IF(S76&gt;=$AX$2,VLOOKUP(S76,$AX$2:$AY$10,2,1),""),IF(S76&gt;=$AZ$2,VLOOKUP(S76,$AZ$2:$BA$10,2,1),"")))</f>
        <v>30</v>
      </c>
      <c r="U76" s="77">
        <v>87</v>
      </c>
      <c r="V76" s="16">
        <f t="shared" si="3"/>
        <v>2610</v>
      </c>
      <c r="W76" s="77">
        <v>3</v>
      </c>
      <c r="X76" s="77" t="s">
        <v>35</v>
      </c>
      <c r="Y76" s="77" t="s">
        <v>82</v>
      </c>
      <c r="Z76" s="77" t="s">
        <v>72</v>
      </c>
      <c r="AA76" s="77" t="s">
        <v>55</v>
      </c>
      <c r="AB76" s="77" t="s">
        <v>195</v>
      </c>
    </row>
    <row r="77" spans="1:28" x14ac:dyDescent="0.15">
      <c r="A77" s="77" t="s">
        <v>30</v>
      </c>
      <c r="B77" s="77" t="s">
        <v>191</v>
      </c>
      <c r="C77" s="77">
        <v>2020</v>
      </c>
      <c r="D77" s="101" t="s">
        <v>199</v>
      </c>
      <c r="E77" s="77" t="s">
        <v>209</v>
      </c>
      <c r="F77" s="77" t="s">
        <v>207</v>
      </c>
      <c r="G77" s="77" t="s">
        <v>25</v>
      </c>
      <c r="H77" s="77" t="s">
        <v>113</v>
      </c>
      <c r="I77" s="77" t="s">
        <v>111</v>
      </c>
      <c r="J77" s="77" t="s">
        <v>27</v>
      </c>
      <c r="K77" s="77" t="s">
        <v>112</v>
      </c>
      <c r="L77" s="77">
        <v>1</v>
      </c>
      <c r="N77" s="77">
        <v>10</v>
      </c>
      <c r="O77" s="77">
        <v>0.85</v>
      </c>
      <c r="P77" s="77">
        <v>0.9</v>
      </c>
      <c r="Q77" s="102">
        <f t="shared" si="4"/>
        <v>0.875</v>
      </c>
      <c r="R77" s="77">
        <v>16.899999999999999</v>
      </c>
      <c r="S77" s="77">
        <v>101</v>
      </c>
      <c r="T77" s="16">
        <f t="shared" ref="T77:T136" si="7">IF(H77="","",IF(OR(H77="GREEN",H77="GK"),IF(S77&gt;=$AX$2,VLOOKUP(S77,$AX$2:$AY$10,2,1),""),IF(S77&gt;=$AZ$2,VLOOKUP(S77,$AZ$2:$BA$10,2,1),"")))</f>
        <v>33</v>
      </c>
      <c r="U77" s="77">
        <v>597</v>
      </c>
      <c r="V77" s="16">
        <f t="shared" si="3"/>
        <v>1970.1000000000001</v>
      </c>
      <c r="W77" s="77">
        <v>2</v>
      </c>
      <c r="X77" s="77" t="s">
        <v>35</v>
      </c>
      <c r="Y77" s="77" t="s">
        <v>82</v>
      </c>
      <c r="Z77" s="77" t="s">
        <v>72</v>
      </c>
      <c r="AA77" s="77" t="s">
        <v>55</v>
      </c>
      <c r="AB77" s="77" t="s">
        <v>195</v>
      </c>
    </row>
    <row r="78" spans="1:28" x14ac:dyDescent="0.15">
      <c r="A78" s="77" t="s">
        <v>30</v>
      </c>
      <c r="B78" s="77" t="s">
        <v>191</v>
      </c>
      <c r="C78" s="77">
        <v>2020</v>
      </c>
      <c r="D78" s="101" t="s">
        <v>199</v>
      </c>
      <c r="E78" s="77" t="s">
        <v>209</v>
      </c>
      <c r="F78" s="77" t="s">
        <v>207</v>
      </c>
      <c r="G78" s="77" t="s">
        <v>25</v>
      </c>
      <c r="H78" s="77" t="s">
        <v>113</v>
      </c>
      <c r="I78" s="77" t="s">
        <v>111</v>
      </c>
      <c r="J78" s="77" t="s">
        <v>27</v>
      </c>
      <c r="K78" s="77" t="s">
        <v>112</v>
      </c>
      <c r="L78" s="77">
        <v>2</v>
      </c>
      <c r="N78" s="77">
        <v>10</v>
      </c>
      <c r="O78" s="77">
        <v>0.3</v>
      </c>
      <c r="P78" s="77">
        <v>0.35</v>
      </c>
      <c r="Q78" s="102">
        <f t="shared" si="4"/>
        <v>0.32499999999999996</v>
      </c>
      <c r="R78" s="77">
        <v>15.4</v>
      </c>
      <c r="S78" s="77">
        <v>104</v>
      </c>
      <c r="T78" s="16">
        <f t="shared" si="7"/>
        <v>33</v>
      </c>
      <c r="U78" s="77">
        <v>597</v>
      </c>
      <c r="V78" s="16">
        <f t="shared" si="3"/>
        <v>1970.1000000000001</v>
      </c>
      <c r="W78" s="77">
        <v>2</v>
      </c>
      <c r="X78" s="77" t="s">
        <v>35</v>
      </c>
      <c r="Y78" s="77" t="s">
        <v>82</v>
      </c>
      <c r="Z78" s="77" t="s">
        <v>72</v>
      </c>
      <c r="AA78" s="77" t="s">
        <v>55</v>
      </c>
      <c r="AB78" s="77" t="s">
        <v>195</v>
      </c>
    </row>
    <row r="79" spans="1:28" x14ac:dyDescent="0.15">
      <c r="A79" s="77" t="s">
        <v>30</v>
      </c>
      <c r="B79" s="77" t="s">
        <v>191</v>
      </c>
      <c r="C79" s="77">
        <v>2020</v>
      </c>
      <c r="D79" s="101" t="s">
        <v>199</v>
      </c>
      <c r="E79" s="77" t="s">
        <v>209</v>
      </c>
      <c r="F79" s="77" t="s">
        <v>207</v>
      </c>
      <c r="G79" s="77" t="s">
        <v>25</v>
      </c>
      <c r="H79" s="77" t="s">
        <v>113</v>
      </c>
      <c r="I79" s="77" t="s">
        <v>111</v>
      </c>
      <c r="J79" s="77" t="s">
        <v>27</v>
      </c>
      <c r="K79" s="77" t="s">
        <v>112</v>
      </c>
      <c r="L79" s="77">
        <v>3</v>
      </c>
      <c r="N79" s="77">
        <v>10</v>
      </c>
      <c r="O79" s="77">
        <v>0.6</v>
      </c>
      <c r="P79" s="77">
        <v>0.6</v>
      </c>
      <c r="Q79" s="102">
        <f t="shared" si="4"/>
        <v>0.6</v>
      </c>
      <c r="R79" s="77">
        <v>15.7</v>
      </c>
      <c r="S79" s="77">
        <v>106</v>
      </c>
      <c r="T79" s="16">
        <f t="shared" si="7"/>
        <v>33</v>
      </c>
      <c r="U79" s="77">
        <v>597</v>
      </c>
      <c r="V79" s="16">
        <f t="shared" si="3"/>
        <v>1970.1000000000001</v>
      </c>
      <c r="W79" s="77">
        <v>2</v>
      </c>
      <c r="X79" s="77" t="s">
        <v>35</v>
      </c>
      <c r="Y79" s="77" t="s">
        <v>82</v>
      </c>
      <c r="Z79" s="77" t="s">
        <v>72</v>
      </c>
      <c r="AA79" s="77" t="s">
        <v>55</v>
      </c>
      <c r="AB79" s="77" t="s">
        <v>195</v>
      </c>
    </row>
    <row r="80" spans="1:28" x14ac:dyDescent="0.15">
      <c r="A80" s="77" t="s">
        <v>30</v>
      </c>
      <c r="B80" s="77" t="s">
        <v>191</v>
      </c>
      <c r="C80" s="77">
        <v>2020</v>
      </c>
      <c r="D80" s="101" t="s">
        <v>199</v>
      </c>
      <c r="E80" s="77" t="s">
        <v>209</v>
      </c>
      <c r="F80" s="77" t="s">
        <v>207</v>
      </c>
      <c r="G80" s="77" t="s">
        <v>25</v>
      </c>
      <c r="H80" s="77" t="s">
        <v>166</v>
      </c>
      <c r="I80" s="77" t="s">
        <v>111</v>
      </c>
      <c r="J80" s="77" t="s">
        <v>27</v>
      </c>
      <c r="K80" s="77" t="s">
        <v>112</v>
      </c>
      <c r="L80" s="77">
        <v>1</v>
      </c>
      <c r="N80" s="77">
        <v>1</v>
      </c>
      <c r="O80" s="77">
        <v>0.5</v>
      </c>
      <c r="P80" s="77">
        <v>0.55000000000000004</v>
      </c>
      <c r="Q80" s="102">
        <f t="shared" si="4"/>
        <v>0.52500000000000002</v>
      </c>
      <c r="R80" s="77">
        <v>15.9</v>
      </c>
      <c r="S80" s="77">
        <v>122</v>
      </c>
      <c r="T80" s="16">
        <f t="shared" si="7"/>
        <v>27</v>
      </c>
      <c r="U80" s="77">
        <v>87</v>
      </c>
      <c r="V80" s="16">
        <f t="shared" si="3"/>
        <v>2349</v>
      </c>
      <c r="W80" s="77">
        <v>1</v>
      </c>
      <c r="X80" s="77" t="s">
        <v>35</v>
      </c>
      <c r="Y80" s="77" t="s">
        <v>82</v>
      </c>
      <c r="Z80" s="77" t="s">
        <v>72</v>
      </c>
      <c r="AA80" s="77" t="s">
        <v>55</v>
      </c>
      <c r="AB80" s="77" t="s">
        <v>195</v>
      </c>
    </row>
    <row r="81" spans="1:28" x14ac:dyDescent="0.15">
      <c r="A81" s="77" t="s">
        <v>30</v>
      </c>
      <c r="B81" s="77" t="s">
        <v>191</v>
      </c>
      <c r="C81" s="77">
        <v>2020</v>
      </c>
      <c r="D81" s="101" t="s">
        <v>199</v>
      </c>
      <c r="E81" s="77" t="s">
        <v>209</v>
      </c>
      <c r="F81" s="77" t="s">
        <v>207</v>
      </c>
      <c r="G81" s="77" t="s">
        <v>25</v>
      </c>
      <c r="H81" s="77" t="s">
        <v>166</v>
      </c>
      <c r="I81" s="77" t="s">
        <v>111</v>
      </c>
      <c r="J81" s="77" t="s">
        <v>27</v>
      </c>
      <c r="K81" s="77" t="s">
        <v>112</v>
      </c>
      <c r="L81" s="77">
        <v>2</v>
      </c>
      <c r="N81" s="77">
        <v>1</v>
      </c>
      <c r="O81" s="77">
        <v>0.85</v>
      </c>
      <c r="P81" s="77">
        <v>0.8</v>
      </c>
      <c r="Q81" s="102">
        <f t="shared" si="4"/>
        <v>0.82499999999999996</v>
      </c>
      <c r="R81" s="77">
        <v>16.100000000000001</v>
      </c>
      <c r="S81" s="77">
        <v>120</v>
      </c>
      <c r="T81" s="16">
        <f t="shared" si="7"/>
        <v>30</v>
      </c>
      <c r="U81" s="77">
        <v>87</v>
      </c>
      <c r="V81" s="16">
        <f t="shared" si="3"/>
        <v>2610</v>
      </c>
      <c r="W81" s="77">
        <v>1</v>
      </c>
      <c r="X81" s="77" t="s">
        <v>35</v>
      </c>
      <c r="Y81" s="77" t="s">
        <v>82</v>
      </c>
      <c r="Z81" s="77" t="s">
        <v>72</v>
      </c>
      <c r="AA81" s="77" t="s">
        <v>55</v>
      </c>
      <c r="AB81" s="77" t="s">
        <v>195</v>
      </c>
    </row>
    <row r="82" spans="1:28" x14ac:dyDescent="0.15">
      <c r="A82" s="77" t="s">
        <v>30</v>
      </c>
      <c r="B82" s="77" t="s">
        <v>191</v>
      </c>
      <c r="C82" s="77">
        <v>2020</v>
      </c>
      <c r="D82" s="101" t="s">
        <v>199</v>
      </c>
      <c r="E82" s="77" t="s">
        <v>209</v>
      </c>
      <c r="F82" s="77" t="s">
        <v>207</v>
      </c>
      <c r="G82" s="77" t="s">
        <v>25</v>
      </c>
      <c r="H82" s="77" t="s">
        <v>166</v>
      </c>
      <c r="I82" s="77" t="s">
        <v>111</v>
      </c>
      <c r="J82" s="77" t="s">
        <v>27</v>
      </c>
      <c r="K82" s="77" t="s">
        <v>112</v>
      </c>
      <c r="L82" s="77">
        <v>3</v>
      </c>
      <c r="N82" s="77">
        <v>1</v>
      </c>
      <c r="O82" s="77">
        <v>0.7</v>
      </c>
      <c r="P82" s="77">
        <v>0.65</v>
      </c>
      <c r="Q82" s="102">
        <f t="shared" si="4"/>
        <v>0.67500000000000004</v>
      </c>
      <c r="R82" s="77">
        <v>15.7</v>
      </c>
      <c r="S82" s="77">
        <v>120</v>
      </c>
      <c r="T82" s="16">
        <f t="shared" si="7"/>
        <v>30</v>
      </c>
      <c r="U82" s="77">
        <v>87</v>
      </c>
      <c r="V82" s="16">
        <f t="shared" si="3"/>
        <v>2610</v>
      </c>
      <c r="W82" s="77">
        <v>1</v>
      </c>
      <c r="X82" s="77" t="s">
        <v>35</v>
      </c>
      <c r="Y82" s="77" t="s">
        <v>82</v>
      </c>
      <c r="Z82" s="77" t="s">
        <v>72</v>
      </c>
      <c r="AA82" s="77" t="s">
        <v>55</v>
      </c>
      <c r="AB82" s="77" t="s">
        <v>195</v>
      </c>
    </row>
    <row r="83" spans="1:28" x14ac:dyDescent="0.15">
      <c r="A83" s="77" t="s">
        <v>30</v>
      </c>
      <c r="B83" s="77" t="s">
        <v>191</v>
      </c>
      <c r="C83" s="77">
        <v>2020</v>
      </c>
      <c r="D83" s="101" t="s">
        <v>199</v>
      </c>
      <c r="E83" s="77" t="s">
        <v>209</v>
      </c>
      <c r="F83" s="77" t="s">
        <v>207</v>
      </c>
      <c r="G83" s="77" t="s">
        <v>25</v>
      </c>
      <c r="H83" s="77" t="s">
        <v>166</v>
      </c>
      <c r="I83" s="77" t="s">
        <v>111</v>
      </c>
      <c r="J83" s="77" t="s">
        <v>27</v>
      </c>
      <c r="K83" s="77" t="s">
        <v>112</v>
      </c>
      <c r="L83" s="77">
        <v>1</v>
      </c>
      <c r="N83" s="77">
        <v>10</v>
      </c>
      <c r="O83" s="77">
        <v>0.45</v>
      </c>
      <c r="P83" s="77">
        <v>0.6</v>
      </c>
      <c r="Q83" s="102">
        <f t="shared" si="4"/>
        <v>0.52500000000000002</v>
      </c>
      <c r="R83" s="77">
        <v>15.8</v>
      </c>
      <c r="S83" s="77">
        <v>102</v>
      </c>
      <c r="T83" s="16">
        <f t="shared" si="7"/>
        <v>33</v>
      </c>
      <c r="U83" s="77">
        <v>670</v>
      </c>
      <c r="V83" s="16">
        <f t="shared" si="3"/>
        <v>2211</v>
      </c>
      <c r="W83" s="77">
        <v>2</v>
      </c>
      <c r="X83" s="77" t="s">
        <v>35</v>
      </c>
      <c r="Y83" s="77" t="s">
        <v>82</v>
      </c>
      <c r="Z83" s="77" t="s">
        <v>72</v>
      </c>
      <c r="AA83" s="77" t="s">
        <v>55</v>
      </c>
      <c r="AB83" s="77" t="s">
        <v>195</v>
      </c>
    </row>
    <row r="84" spans="1:28" x14ac:dyDescent="0.15">
      <c r="A84" s="77" t="s">
        <v>30</v>
      </c>
      <c r="B84" s="77" t="s">
        <v>191</v>
      </c>
      <c r="C84" s="77">
        <v>2020</v>
      </c>
      <c r="D84" s="101" t="s">
        <v>199</v>
      </c>
      <c r="E84" s="77" t="s">
        <v>209</v>
      </c>
      <c r="F84" s="77" t="s">
        <v>207</v>
      </c>
      <c r="G84" s="77" t="s">
        <v>25</v>
      </c>
      <c r="H84" s="77" t="s">
        <v>166</v>
      </c>
      <c r="I84" s="77" t="s">
        <v>111</v>
      </c>
      <c r="J84" s="77" t="s">
        <v>27</v>
      </c>
      <c r="K84" s="77" t="s">
        <v>112</v>
      </c>
      <c r="L84" s="77">
        <v>2</v>
      </c>
      <c r="N84" s="77">
        <v>10</v>
      </c>
      <c r="O84" s="77">
        <v>0.4</v>
      </c>
      <c r="P84" s="77">
        <v>0.5</v>
      </c>
      <c r="Q84" s="102">
        <f t="shared" si="4"/>
        <v>0.45</v>
      </c>
      <c r="R84" s="77">
        <v>16.7</v>
      </c>
      <c r="S84" s="77">
        <v>104</v>
      </c>
      <c r="T84" s="16">
        <f t="shared" si="7"/>
        <v>33</v>
      </c>
      <c r="U84" s="77">
        <v>670</v>
      </c>
      <c r="V84" s="16">
        <f t="shared" si="3"/>
        <v>2211</v>
      </c>
      <c r="W84" s="77">
        <v>2</v>
      </c>
      <c r="X84" s="77" t="s">
        <v>35</v>
      </c>
      <c r="Y84" s="77" t="s">
        <v>82</v>
      </c>
      <c r="Z84" s="77" t="s">
        <v>72</v>
      </c>
      <c r="AA84" s="77" t="s">
        <v>55</v>
      </c>
      <c r="AB84" s="77" t="s">
        <v>195</v>
      </c>
    </row>
    <row r="85" spans="1:28" x14ac:dyDescent="0.15">
      <c r="A85" s="77" t="s">
        <v>30</v>
      </c>
      <c r="B85" s="77" t="s">
        <v>191</v>
      </c>
      <c r="C85" s="77">
        <v>2020</v>
      </c>
      <c r="D85" s="101" t="s">
        <v>199</v>
      </c>
      <c r="E85" s="77" t="s">
        <v>209</v>
      </c>
      <c r="F85" s="77" t="s">
        <v>207</v>
      </c>
      <c r="G85" s="77" t="s">
        <v>25</v>
      </c>
      <c r="H85" s="77" t="s">
        <v>166</v>
      </c>
      <c r="I85" s="77" t="s">
        <v>111</v>
      </c>
      <c r="J85" s="77" t="s">
        <v>27</v>
      </c>
      <c r="K85" s="77" t="s">
        <v>112</v>
      </c>
      <c r="L85" s="77">
        <v>3</v>
      </c>
      <c r="N85" s="77">
        <v>10</v>
      </c>
      <c r="O85" s="77">
        <v>0.35</v>
      </c>
      <c r="P85" s="77">
        <v>0.45</v>
      </c>
      <c r="Q85" s="102">
        <f t="shared" si="4"/>
        <v>0.4</v>
      </c>
      <c r="R85" s="77">
        <v>14.7</v>
      </c>
      <c r="S85" s="77">
        <v>106</v>
      </c>
      <c r="T85" s="16">
        <f t="shared" si="7"/>
        <v>33</v>
      </c>
      <c r="U85" s="77">
        <v>670</v>
      </c>
      <c r="V85" s="16">
        <f t="shared" ref="V85:V136" si="8">IF(OR(N85="",U85="",T85=""),"",U85/N85*T85)</f>
        <v>2211</v>
      </c>
      <c r="W85" s="77">
        <v>2</v>
      </c>
      <c r="X85" s="77" t="s">
        <v>35</v>
      </c>
      <c r="Y85" s="77" t="s">
        <v>82</v>
      </c>
      <c r="Z85" s="77" t="s">
        <v>72</v>
      </c>
      <c r="AA85" s="77" t="s">
        <v>55</v>
      </c>
      <c r="AB85" s="77" t="s">
        <v>195</v>
      </c>
    </row>
    <row r="86" spans="1:28" x14ac:dyDescent="0.15">
      <c r="A86" s="77" t="s">
        <v>30</v>
      </c>
      <c r="B86" s="77" t="s">
        <v>191</v>
      </c>
      <c r="C86" s="77">
        <v>2020</v>
      </c>
      <c r="D86" s="101" t="s">
        <v>199</v>
      </c>
      <c r="E86" s="77" t="s">
        <v>212</v>
      </c>
      <c r="F86" s="77" t="s">
        <v>213</v>
      </c>
      <c r="G86" s="77" t="s">
        <v>25</v>
      </c>
      <c r="H86" s="77" t="s">
        <v>166</v>
      </c>
      <c r="I86" s="77" t="s">
        <v>111</v>
      </c>
      <c r="J86" s="77" t="s">
        <v>27</v>
      </c>
      <c r="K86" s="77" t="s">
        <v>112</v>
      </c>
      <c r="L86" s="77">
        <v>1</v>
      </c>
      <c r="N86" s="77">
        <v>1</v>
      </c>
      <c r="O86" s="77">
        <v>0.55000000000000004</v>
      </c>
      <c r="P86" s="77">
        <v>0.6</v>
      </c>
      <c r="Q86" s="102">
        <f t="shared" si="4"/>
        <v>0.57499999999999996</v>
      </c>
      <c r="R86" s="77">
        <v>15.2</v>
      </c>
      <c r="S86" s="77">
        <v>123</v>
      </c>
      <c r="T86" s="16">
        <f t="shared" si="7"/>
        <v>27</v>
      </c>
      <c r="U86" s="77">
        <v>128</v>
      </c>
      <c r="V86" s="16">
        <f t="shared" si="8"/>
        <v>3456</v>
      </c>
      <c r="W86" s="77">
        <v>2</v>
      </c>
      <c r="X86" s="77" t="s">
        <v>35</v>
      </c>
      <c r="Y86" s="77" t="s">
        <v>74</v>
      </c>
      <c r="Z86" s="77" t="s">
        <v>72</v>
      </c>
      <c r="AA86" s="77" t="s">
        <v>55</v>
      </c>
      <c r="AB86" s="77" t="s">
        <v>195</v>
      </c>
    </row>
    <row r="87" spans="1:28" x14ac:dyDescent="0.15">
      <c r="A87" s="77" t="s">
        <v>30</v>
      </c>
      <c r="B87" s="77" t="s">
        <v>191</v>
      </c>
      <c r="C87" s="77">
        <v>2020</v>
      </c>
      <c r="D87" s="101" t="s">
        <v>199</v>
      </c>
      <c r="E87" s="77" t="s">
        <v>212</v>
      </c>
      <c r="F87" s="77" t="s">
        <v>213</v>
      </c>
      <c r="G87" s="77" t="s">
        <v>25</v>
      </c>
      <c r="H87" s="77" t="s">
        <v>166</v>
      </c>
      <c r="I87" s="77" t="s">
        <v>111</v>
      </c>
      <c r="J87" s="77" t="s">
        <v>27</v>
      </c>
      <c r="K87" s="77" t="s">
        <v>112</v>
      </c>
      <c r="L87" s="77">
        <v>2</v>
      </c>
      <c r="N87" s="77">
        <v>1</v>
      </c>
      <c r="O87" s="77">
        <v>0.55000000000000004</v>
      </c>
      <c r="P87" s="77">
        <v>0.6</v>
      </c>
      <c r="Q87" s="102">
        <f t="shared" si="4"/>
        <v>0.57499999999999996</v>
      </c>
      <c r="R87" s="77">
        <v>13.8</v>
      </c>
      <c r="S87" s="77">
        <v>124</v>
      </c>
      <c r="T87" s="16">
        <f t="shared" si="7"/>
        <v>27</v>
      </c>
      <c r="U87" s="77">
        <v>128</v>
      </c>
      <c r="V87" s="16">
        <f t="shared" si="8"/>
        <v>3456</v>
      </c>
      <c r="W87" s="77">
        <v>2</v>
      </c>
      <c r="X87" s="77" t="s">
        <v>35</v>
      </c>
      <c r="Y87" s="77" t="s">
        <v>74</v>
      </c>
      <c r="Z87" s="77" t="s">
        <v>72</v>
      </c>
      <c r="AA87" s="77" t="s">
        <v>55</v>
      </c>
      <c r="AB87" s="77" t="s">
        <v>195</v>
      </c>
    </row>
    <row r="88" spans="1:28" x14ac:dyDescent="0.15">
      <c r="A88" s="77" t="s">
        <v>30</v>
      </c>
      <c r="B88" s="77" t="s">
        <v>191</v>
      </c>
      <c r="C88" s="77">
        <v>2020</v>
      </c>
      <c r="D88" s="101" t="s">
        <v>199</v>
      </c>
      <c r="E88" s="77" t="s">
        <v>212</v>
      </c>
      <c r="F88" s="77" t="s">
        <v>213</v>
      </c>
      <c r="G88" s="77" t="s">
        <v>25</v>
      </c>
      <c r="H88" s="77" t="s">
        <v>166</v>
      </c>
      <c r="I88" s="77" t="s">
        <v>111</v>
      </c>
      <c r="J88" s="77" t="s">
        <v>27</v>
      </c>
      <c r="K88" s="77" t="s">
        <v>112</v>
      </c>
      <c r="L88" s="77">
        <v>3</v>
      </c>
      <c r="N88" s="77">
        <v>1</v>
      </c>
      <c r="O88" s="77">
        <v>0.6</v>
      </c>
      <c r="P88" s="77">
        <v>0.45</v>
      </c>
      <c r="Q88" s="102">
        <f t="shared" si="4"/>
        <v>0.52500000000000002</v>
      </c>
      <c r="R88" s="77">
        <v>16</v>
      </c>
      <c r="S88" s="77">
        <v>126</v>
      </c>
      <c r="T88" s="16">
        <f t="shared" si="7"/>
        <v>27</v>
      </c>
      <c r="U88" s="77">
        <v>128</v>
      </c>
      <c r="V88" s="16">
        <f t="shared" si="8"/>
        <v>3456</v>
      </c>
      <c r="W88" s="77">
        <v>2</v>
      </c>
      <c r="X88" s="77" t="s">
        <v>35</v>
      </c>
      <c r="Y88" s="77" t="s">
        <v>74</v>
      </c>
      <c r="Z88" s="77" t="s">
        <v>72</v>
      </c>
      <c r="AA88" s="77" t="s">
        <v>55</v>
      </c>
      <c r="AB88" s="77" t="s">
        <v>195</v>
      </c>
    </row>
    <row r="89" spans="1:28" x14ac:dyDescent="0.15">
      <c r="A89" s="77" t="s">
        <v>30</v>
      </c>
      <c r="B89" s="77" t="s">
        <v>191</v>
      </c>
      <c r="C89" s="77">
        <v>2020</v>
      </c>
      <c r="D89" s="101" t="s">
        <v>199</v>
      </c>
      <c r="E89" s="77" t="s">
        <v>212</v>
      </c>
      <c r="F89" s="77" t="s">
        <v>213</v>
      </c>
      <c r="G89" s="77" t="s">
        <v>25</v>
      </c>
      <c r="H89" s="77" t="s">
        <v>166</v>
      </c>
      <c r="I89" s="77" t="s">
        <v>111</v>
      </c>
      <c r="J89" s="77" t="s">
        <v>27</v>
      </c>
      <c r="K89" s="77" t="s">
        <v>112</v>
      </c>
      <c r="L89" s="77">
        <v>1</v>
      </c>
      <c r="N89" s="77">
        <v>4</v>
      </c>
      <c r="O89" s="77">
        <v>0.4</v>
      </c>
      <c r="P89" s="77">
        <v>0.3</v>
      </c>
      <c r="Q89" s="102">
        <f t="shared" si="4"/>
        <v>0.35</v>
      </c>
      <c r="R89" s="77">
        <v>12.8</v>
      </c>
      <c r="S89" s="77">
        <v>120</v>
      </c>
      <c r="T89" s="16">
        <f t="shared" si="7"/>
        <v>30</v>
      </c>
      <c r="U89" s="77">
        <v>498</v>
      </c>
      <c r="V89" s="16">
        <f t="shared" si="8"/>
        <v>3735</v>
      </c>
      <c r="W89" s="77">
        <v>2</v>
      </c>
      <c r="X89" s="77" t="s">
        <v>35</v>
      </c>
      <c r="Y89" s="77" t="s">
        <v>74</v>
      </c>
      <c r="Z89" s="77" t="s">
        <v>72</v>
      </c>
      <c r="AA89" s="77" t="s">
        <v>55</v>
      </c>
      <c r="AB89" s="77" t="s">
        <v>195</v>
      </c>
    </row>
    <row r="90" spans="1:28" x14ac:dyDescent="0.15">
      <c r="A90" s="77" t="s">
        <v>30</v>
      </c>
      <c r="B90" s="77" t="s">
        <v>191</v>
      </c>
      <c r="C90" s="77">
        <v>2020</v>
      </c>
      <c r="D90" s="101" t="s">
        <v>199</v>
      </c>
      <c r="E90" s="77" t="s">
        <v>212</v>
      </c>
      <c r="F90" s="77" t="s">
        <v>213</v>
      </c>
      <c r="G90" s="77" t="s">
        <v>25</v>
      </c>
      <c r="H90" s="77" t="s">
        <v>166</v>
      </c>
      <c r="I90" s="77" t="s">
        <v>111</v>
      </c>
      <c r="J90" s="77" t="s">
        <v>27</v>
      </c>
      <c r="K90" s="77" t="s">
        <v>112</v>
      </c>
      <c r="L90" s="77">
        <v>2</v>
      </c>
      <c r="N90" s="77">
        <v>4</v>
      </c>
      <c r="O90" s="77">
        <v>0.35</v>
      </c>
      <c r="P90" s="77">
        <v>0.3</v>
      </c>
      <c r="Q90" s="102">
        <f t="shared" si="4"/>
        <v>0.32499999999999996</v>
      </c>
      <c r="R90" s="77">
        <v>14.1</v>
      </c>
      <c r="S90" s="77">
        <v>120</v>
      </c>
      <c r="T90" s="16">
        <f t="shared" si="7"/>
        <v>30</v>
      </c>
      <c r="U90" s="77">
        <v>498</v>
      </c>
      <c r="V90" s="16">
        <f t="shared" si="8"/>
        <v>3735</v>
      </c>
      <c r="W90" s="77">
        <v>2</v>
      </c>
      <c r="X90" s="77" t="s">
        <v>35</v>
      </c>
      <c r="Y90" s="77" t="s">
        <v>74</v>
      </c>
      <c r="Z90" s="77" t="s">
        <v>72</v>
      </c>
      <c r="AA90" s="77" t="s">
        <v>55</v>
      </c>
      <c r="AB90" s="77" t="s">
        <v>195</v>
      </c>
    </row>
    <row r="91" spans="1:28" x14ac:dyDescent="0.15">
      <c r="A91" s="77" t="s">
        <v>30</v>
      </c>
      <c r="B91" s="77" t="s">
        <v>191</v>
      </c>
      <c r="C91" s="77">
        <v>2020</v>
      </c>
      <c r="D91" s="101" t="s">
        <v>199</v>
      </c>
      <c r="E91" s="77" t="s">
        <v>212</v>
      </c>
      <c r="F91" s="77" t="s">
        <v>213</v>
      </c>
      <c r="G91" s="77" t="s">
        <v>25</v>
      </c>
      <c r="H91" s="77" t="s">
        <v>166</v>
      </c>
      <c r="I91" s="77" t="s">
        <v>111</v>
      </c>
      <c r="J91" s="77" t="s">
        <v>27</v>
      </c>
      <c r="K91" s="77" t="s">
        <v>112</v>
      </c>
      <c r="L91" s="77">
        <v>3</v>
      </c>
      <c r="N91" s="77">
        <v>4</v>
      </c>
      <c r="O91" s="77">
        <v>0.45</v>
      </c>
      <c r="P91" s="77">
        <v>0.5</v>
      </c>
      <c r="Q91" s="102">
        <f t="shared" si="4"/>
        <v>0.47499999999999998</v>
      </c>
      <c r="R91" s="77">
        <v>13.4</v>
      </c>
      <c r="S91" s="77">
        <v>116</v>
      </c>
      <c r="T91" s="16">
        <f t="shared" si="7"/>
        <v>30</v>
      </c>
      <c r="U91" s="77">
        <v>498</v>
      </c>
      <c r="V91" s="16">
        <f t="shared" si="8"/>
        <v>3735</v>
      </c>
      <c r="W91" s="77">
        <v>2</v>
      </c>
      <c r="X91" s="77" t="s">
        <v>35</v>
      </c>
      <c r="Y91" s="77" t="s">
        <v>74</v>
      </c>
      <c r="Z91" s="77" t="s">
        <v>72</v>
      </c>
      <c r="AA91" s="77" t="s">
        <v>55</v>
      </c>
      <c r="AB91" s="77" t="s">
        <v>195</v>
      </c>
    </row>
    <row r="92" spans="1:28" x14ac:dyDescent="0.15">
      <c r="A92" s="77" t="s">
        <v>30</v>
      </c>
      <c r="B92" s="77" t="s">
        <v>191</v>
      </c>
      <c r="C92" s="77">
        <v>2020</v>
      </c>
      <c r="D92" s="101" t="s">
        <v>199</v>
      </c>
      <c r="E92" s="77" t="s">
        <v>212</v>
      </c>
      <c r="F92" s="77" t="s">
        <v>213</v>
      </c>
      <c r="G92" s="77" t="s">
        <v>25</v>
      </c>
      <c r="H92" s="77" t="s">
        <v>113</v>
      </c>
      <c r="I92" s="77" t="s">
        <v>111</v>
      </c>
      <c r="J92" s="77" t="s">
        <v>27</v>
      </c>
      <c r="K92" s="77" t="s">
        <v>112</v>
      </c>
      <c r="L92" s="77">
        <v>1</v>
      </c>
      <c r="N92" s="77">
        <v>1</v>
      </c>
      <c r="O92" s="77">
        <v>0.3</v>
      </c>
      <c r="P92" s="77">
        <v>0.35</v>
      </c>
      <c r="Q92" s="102">
        <f t="shared" si="4"/>
        <v>0.32499999999999996</v>
      </c>
      <c r="R92" s="77">
        <v>14.7</v>
      </c>
      <c r="S92" s="77">
        <v>126</v>
      </c>
      <c r="T92" s="16">
        <f t="shared" si="7"/>
        <v>27</v>
      </c>
      <c r="U92" s="77">
        <v>128</v>
      </c>
      <c r="V92" s="16">
        <f t="shared" si="8"/>
        <v>3456</v>
      </c>
      <c r="W92" s="77">
        <v>2</v>
      </c>
      <c r="X92" s="77" t="s">
        <v>35</v>
      </c>
      <c r="Y92" s="77" t="s">
        <v>74</v>
      </c>
      <c r="Z92" s="77" t="s">
        <v>72</v>
      </c>
      <c r="AA92" s="77" t="s">
        <v>55</v>
      </c>
      <c r="AB92" s="77" t="s">
        <v>195</v>
      </c>
    </row>
    <row r="93" spans="1:28" x14ac:dyDescent="0.15">
      <c r="A93" s="77" t="s">
        <v>30</v>
      </c>
      <c r="B93" s="77" t="s">
        <v>191</v>
      </c>
      <c r="C93" s="77">
        <v>2020</v>
      </c>
      <c r="D93" s="101" t="s">
        <v>199</v>
      </c>
      <c r="E93" s="77" t="s">
        <v>212</v>
      </c>
      <c r="F93" s="77" t="s">
        <v>213</v>
      </c>
      <c r="G93" s="77" t="s">
        <v>25</v>
      </c>
      <c r="H93" s="77" t="s">
        <v>113</v>
      </c>
      <c r="I93" s="77" t="s">
        <v>111</v>
      </c>
      <c r="J93" s="77" t="s">
        <v>27</v>
      </c>
      <c r="K93" s="77" t="s">
        <v>112</v>
      </c>
      <c r="L93" s="77">
        <v>2</v>
      </c>
      <c r="N93" s="77">
        <v>1</v>
      </c>
      <c r="O93" s="77">
        <v>0.45</v>
      </c>
      <c r="P93" s="77">
        <v>0.5</v>
      </c>
      <c r="Q93" s="102">
        <f t="shared" si="4"/>
        <v>0.47499999999999998</v>
      </c>
      <c r="R93" s="77">
        <v>13.3</v>
      </c>
      <c r="S93" s="77">
        <v>127</v>
      </c>
      <c r="T93" s="16">
        <f t="shared" si="7"/>
        <v>27</v>
      </c>
      <c r="U93" s="77">
        <v>128</v>
      </c>
      <c r="V93" s="16">
        <f t="shared" si="8"/>
        <v>3456</v>
      </c>
      <c r="W93" s="77">
        <v>2</v>
      </c>
      <c r="X93" s="77" t="s">
        <v>35</v>
      </c>
      <c r="Y93" s="77" t="s">
        <v>74</v>
      </c>
      <c r="Z93" s="77" t="s">
        <v>72</v>
      </c>
      <c r="AA93" s="77" t="s">
        <v>55</v>
      </c>
      <c r="AB93" s="77" t="s">
        <v>195</v>
      </c>
    </row>
    <row r="94" spans="1:28" x14ac:dyDescent="0.15">
      <c r="A94" s="77" t="s">
        <v>30</v>
      </c>
      <c r="B94" s="77" t="s">
        <v>191</v>
      </c>
      <c r="C94" s="77">
        <v>2020</v>
      </c>
      <c r="D94" s="101" t="s">
        <v>199</v>
      </c>
      <c r="E94" s="77" t="s">
        <v>212</v>
      </c>
      <c r="F94" s="77" t="s">
        <v>213</v>
      </c>
      <c r="G94" s="77" t="s">
        <v>25</v>
      </c>
      <c r="H94" s="77" t="s">
        <v>113</v>
      </c>
      <c r="I94" s="77" t="s">
        <v>111</v>
      </c>
      <c r="J94" s="77" t="s">
        <v>27</v>
      </c>
      <c r="K94" s="77" t="s">
        <v>112</v>
      </c>
      <c r="L94" s="77">
        <v>3</v>
      </c>
      <c r="N94" s="77">
        <v>1</v>
      </c>
      <c r="O94" s="77">
        <v>0.6</v>
      </c>
      <c r="P94" s="77">
        <v>0.65</v>
      </c>
      <c r="Q94" s="102">
        <f t="shared" si="4"/>
        <v>0.625</v>
      </c>
      <c r="R94" s="77">
        <v>15.1</v>
      </c>
      <c r="S94" s="77">
        <v>125</v>
      </c>
      <c r="T94" s="16">
        <f t="shared" si="7"/>
        <v>27</v>
      </c>
      <c r="U94" s="77">
        <v>128</v>
      </c>
      <c r="V94" s="16">
        <f t="shared" si="8"/>
        <v>3456</v>
      </c>
      <c r="W94" s="77">
        <v>2</v>
      </c>
      <c r="X94" s="77" t="s">
        <v>35</v>
      </c>
      <c r="Y94" s="77" t="s">
        <v>74</v>
      </c>
      <c r="Z94" s="77" t="s">
        <v>72</v>
      </c>
      <c r="AA94" s="77" t="s">
        <v>55</v>
      </c>
      <c r="AB94" s="77" t="s">
        <v>195</v>
      </c>
    </row>
    <row r="95" spans="1:28" x14ac:dyDescent="0.15">
      <c r="A95" s="77" t="s">
        <v>30</v>
      </c>
      <c r="B95" s="77" t="s">
        <v>191</v>
      </c>
      <c r="C95" s="77">
        <v>2020</v>
      </c>
      <c r="D95" s="101" t="s">
        <v>199</v>
      </c>
      <c r="E95" s="77" t="s">
        <v>212</v>
      </c>
      <c r="F95" s="77" t="s">
        <v>213</v>
      </c>
      <c r="G95" s="77" t="s">
        <v>25</v>
      </c>
      <c r="H95" s="77" t="s">
        <v>113</v>
      </c>
      <c r="I95" s="77" t="s">
        <v>111</v>
      </c>
      <c r="J95" s="77" t="s">
        <v>27</v>
      </c>
      <c r="K95" s="77" t="s">
        <v>112</v>
      </c>
      <c r="L95" s="77">
        <v>1</v>
      </c>
      <c r="N95" s="77">
        <v>5</v>
      </c>
      <c r="O95" s="77">
        <v>0.85</v>
      </c>
      <c r="P95" s="77">
        <v>0.45</v>
      </c>
      <c r="Q95" s="102">
        <f t="shared" si="4"/>
        <v>0.65</v>
      </c>
      <c r="R95" s="77">
        <v>16.5</v>
      </c>
      <c r="S95" s="77">
        <v>120</v>
      </c>
      <c r="T95" s="16">
        <f t="shared" si="7"/>
        <v>30</v>
      </c>
      <c r="U95" s="77">
        <v>380</v>
      </c>
      <c r="V95" s="16">
        <f t="shared" si="8"/>
        <v>2280</v>
      </c>
      <c r="W95" s="77">
        <v>2</v>
      </c>
      <c r="X95" s="77" t="s">
        <v>35</v>
      </c>
      <c r="Y95" s="77" t="s">
        <v>74</v>
      </c>
      <c r="Z95" s="77" t="s">
        <v>72</v>
      </c>
      <c r="AA95" s="77" t="s">
        <v>55</v>
      </c>
      <c r="AB95" s="77" t="s">
        <v>195</v>
      </c>
    </row>
    <row r="96" spans="1:28" x14ac:dyDescent="0.15">
      <c r="A96" s="77" t="s">
        <v>30</v>
      </c>
      <c r="B96" s="77" t="s">
        <v>191</v>
      </c>
      <c r="C96" s="77">
        <v>2020</v>
      </c>
      <c r="D96" s="101" t="s">
        <v>199</v>
      </c>
      <c r="E96" s="77" t="s">
        <v>212</v>
      </c>
      <c r="F96" s="77" t="s">
        <v>213</v>
      </c>
      <c r="G96" s="77" t="s">
        <v>25</v>
      </c>
      <c r="H96" s="77" t="s">
        <v>113</v>
      </c>
      <c r="I96" s="77" t="s">
        <v>111</v>
      </c>
      <c r="J96" s="77" t="s">
        <v>27</v>
      </c>
      <c r="K96" s="77" t="s">
        <v>112</v>
      </c>
      <c r="L96" s="77">
        <v>2</v>
      </c>
      <c r="N96" s="77">
        <v>5</v>
      </c>
      <c r="O96" s="77">
        <v>0.5</v>
      </c>
      <c r="P96" s="77">
        <v>0.5</v>
      </c>
      <c r="Q96" s="102">
        <f t="shared" si="4"/>
        <v>0.5</v>
      </c>
      <c r="R96" s="77">
        <v>14.7</v>
      </c>
      <c r="S96" s="77">
        <v>120</v>
      </c>
      <c r="T96" s="16">
        <f t="shared" si="7"/>
        <v>30</v>
      </c>
      <c r="U96" s="77">
        <v>380</v>
      </c>
      <c r="V96" s="16">
        <f t="shared" si="8"/>
        <v>2280</v>
      </c>
      <c r="W96" s="77">
        <v>2</v>
      </c>
      <c r="X96" s="77" t="s">
        <v>35</v>
      </c>
      <c r="Y96" s="77" t="s">
        <v>74</v>
      </c>
      <c r="Z96" s="77" t="s">
        <v>72</v>
      </c>
      <c r="AA96" s="77" t="s">
        <v>55</v>
      </c>
      <c r="AB96" s="77" t="s">
        <v>195</v>
      </c>
    </row>
    <row r="97" spans="1:28" x14ac:dyDescent="0.15">
      <c r="A97" s="77" t="s">
        <v>30</v>
      </c>
      <c r="B97" s="77" t="s">
        <v>191</v>
      </c>
      <c r="C97" s="77">
        <v>2020</v>
      </c>
      <c r="D97" s="101" t="s">
        <v>199</v>
      </c>
      <c r="E97" s="77" t="s">
        <v>212</v>
      </c>
      <c r="F97" s="77" t="s">
        <v>213</v>
      </c>
      <c r="G97" s="77" t="s">
        <v>25</v>
      </c>
      <c r="H97" s="77" t="s">
        <v>113</v>
      </c>
      <c r="I97" s="77" t="s">
        <v>111</v>
      </c>
      <c r="J97" s="77" t="s">
        <v>27</v>
      </c>
      <c r="K97" s="77" t="s">
        <v>112</v>
      </c>
      <c r="L97" s="77">
        <v>3</v>
      </c>
      <c r="N97" s="77">
        <v>5</v>
      </c>
      <c r="O97" s="77">
        <v>0.5</v>
      </c>
      <c r="P97" s="77">
        <v>0.55000000000000004</v>
      </c>
      <c r="Q97" s="102">
        <f t="shared" si="4"/>
        <v>0.52500000000000002</v>
      </c>
      <c r="R97" s="77">
        <v>15.4</v>
      </c>
      <c r="S97" s="77">
        <v>122</v>
      </c>
      <c r="T97" s="16">
        <f t="shared" si="7"/>
        <v>27</v>
      </c>
      <c r="U97" s="77">
        <v>380</v>
      </c>
      <c r="V97" s="16">
        <f t="shared" si="8"/>
        <v>2052</v>
      </c>
      <c r="W97" s="77">
        <v>2</v>
      </c>
      <c r="X97" s="77" t="s">
        <v>35</v>
      </c>
      <c r="Y97" s="77" t="s">
        <v>74</v>
      </c>
      <c r="Z97" s="77" t="s">
        <v>72</v>
      </c>
      <c r="AA97" s="77" t="s">
        <v>55</v>
      </c>
      <c r="AB97" s="77" t="s">
        <v>195</v>
      </c>
    </row>
    <row r="98" spans="1:28" x14ac:dyDescent="0.15">
      <c r="A98" s="77" t="s">
        <v>30</v>
      </c>
      <c r="B98" s="77" t="s">
        <v>191</v>
      </c>
      <c r="C98" s="77">
        <v>2020</v>
      </c>
      <c r="D98" s="101" t="s">
        <v>199</v>
      </c>
      <c r="E98" s="77" t="s">
        <v>212</v>
      </c>
      <c r="F98" s="77" t="s">
        <v>213</v>
      </c>
      <c r="G98" s="77" t="s">
        <v>25</v>
      </c>
      <c r="H98" s="77" t="s">
        <v>166</v>
      </c>
      <c r="I98" s="77" t="s">
        <v>111</v>
      </c>
      <c r="J98" s="77" t="s">
        <v>27</v>
      </c>
      <c r="K98" s="77" t="s">
        <v>112</v>
      </c>
      <c r="L98" s="77">
        <v>1</v>
      </c>
      <c r="N98" s="77">
        <v>3</v>
      </c>
      <c r="O98" s="77">
        <v>0.4</v>
      </c>
      <c r="P98" s="77">
        <v>0.55000000000000004</v>
      </c>
      <c r="Q98" s="102">
        <f t="shared" si="4"/>
        <v>0.47500000000000003</v>
      </c>
      <c r="R98" s="77">
        <v>15.2</v>
      </c>
      <c r="S98" s="77">
        <v>129</v>
      </c>
      <c r="T98" s="112">
        <f t="shared" si="7"/>
        <v>25</v>
      </c>
      <c r="U98" s="77">
        <v>398</v>
      </c>
      <c r="V98" s="112">
        <f t="shared" si="8"/>
        <v>3316.6666666666665</v>
      </c>
      <c r="W98" s="77">
        <v>2</v>
      </c>
      <c r="X98" s="77" t="s">
        <v>35</v>
      </c>
      <c r="Y98" s="77" t="s">
        <v>74</v>
      </c>
      <c r="Z98" s="77" t="s">
        <v>72</v>
      </c>
      <c r="AA98" s="77" t="s">
        <v>55</v>
      </c>
      <c r="AB98" s="77" t="s">
        <v>195</v>
      </c>
    </row>
    <row r="99" spans="1:28" x14ac:dyDescent="0.15">
      <c r="A99" s="77" t="s">
        <v>30</v>
      </c>
      <c r="B99" s="77" t="s">
        <v>191</v>
      </c>
      <c r="C99" s="77">
        <v>2020</v>
      </c>
      <c r="D99" s="101" t="s">
        <v>199</v>
      </c>
      <c r="E99" s="77" t="s">
        <v>212</v>
      </c>
      <c r="F99" s="77" t="s">
        <v>213</v>
      </c>
      <c r="G99" s="77" t="s">
        <v>25</v>
      </c>
      <c r="H99" s="77" t="s">
        <v>166</v>
      </c>
      <c r="I99" s="77" t="s">
        <v>111</v>
      </c>
      <c r="J99" s="77" t="s">
        <v>27</v>
      </c>
      <c r="K99" s="77" t="s">
        <v>112</v>
      </c>
      <c r="L99" s="77">
        <v>2</v>
      </c>
      <c r="N99" s="77">
        <v>3</v>
      </c>
      <c r="O99" s="77">
        <v>0.3</v>
      </c>
      <c r="P99" s="77">
        <v>0.25</v>
      </c>
      <c r="Q99" s="102">
        <f t="shared" si="4"/>
        <v>0.27500000000000002</v>
      </c>
      <c r="R99" s="77">
        <v>14.5</v>
      </c>
      <c r="S99" s="77">
        <v>130</v>
      </c>
      <c r="T99" s="112">
        <f t="shared" si="7"/>
        <v>25</v>
      </c>
      <c r="U99" s="77">
        <v>398</v>
      </c>
      <c r="V99" s="112">
        <f t="shared" si="8"/>
        <v>3316.6666666666665</v>
      </c>
      <c r="W99" s="77">
        <v>2</v>
      </c>
      <c r="X99" s="77" t="s">
        <v>35</v>
      </c>
      <c r="Y99" s="77" t="s">
        <v>74</v>
      </c>
      <c r="Z99" s="77" t="s">
        <v>72</v>
      </c>
      <c r="AA99" s="77" t="s">
        <v>55</v>
      </c>
      <c r="AB99" s="77" t="s">
        <v>195</v>
      </c>
    </row>
    <row r="100" spans="1:28" x14ac:dyDescent="0.15">
      <c r="A100" s="77" t="s">
        <v>30</v>
      </c>
      <c r="B100" s="77" t="s">
        <v>191</v>
      </c>
      <c r="C100" s="77">
        <v>2020</v>
      </c>
      <c r="D100" s="101" t="s">
        <v>199</v>
      </c>
      <c r="E100" s="77" t="s">
        <v>212</v>
      </c>
      <c r="F100" s="77" t="s">
        <v>213</v>
      </c>
      <c r="G100" s="77" t="s">
        <v>25</v>
      </c>
      <c r="H100" s="77" t="s">
        <v>166</v>
      </c>
      <c r="I100" s="77" t="s">
        <v>111</v>
      </c>
      <c r="J100" s="77" t="s">
        <v>27</v>
      </c>
      <c r="K100" s="77" t="s">
        <v>112</v>
      </c>
      <c r="L100" s="77">
        <v>3</v>
      </c>
      <c r="N100" s="77">
        <v>3</v>
      </c>
      <c r="O100" s="77">
        <v>0.5</v>
      </c>
      <c r="P100" s="77">
        <v>0.4</v>
      </c>
      <c r="Q100" s="102">
        <f t="shared" si="4"/>
        <v>0.45</v>
      </c>
      <c r="R100" s="77">
        <v>14.7</v>
      </c>
      <c r="S100" s="77">
        <v>133</v>
      </c>
      <c r="T100" s="112">
        <f t="shared" si="7"/>
        <v>25</v>
      </c>
      <c r="U100" s="77">
        <v>398</v>
      </c>
      <c r="V100" s="112">
        <f t="shared" si="8"/>
        <v>3316.6666666666665</v>
      </c>
      <c r="W100" s="77">
        <v>2</v>
      </c>
      <c r="X100" s="77" t="s">
        <v>35</v>
      </c>
      <c r="Y100" s="77" t="s">
        <v>74</v>
      </c>
      <c r="Z100" s="77" t="s">
        <v>72</v>
      </c>
      <c r="AA100" s="77" t="s">
        <v>55</v>
      </c>
      <c r="AB100" s="77" t="s">
        <v>195</v>
      </c>
    </row>
    <row r="101" spans="1:28" x14ac:dyDescent="0.15">
      <c r="A101" s="77" t="s">
        <v>30</v>
      </c>
      <c r="B101" s="77" t="s">
        <v>191</v>
      </c>
      <c r="C101" s="77">
        <v>2020</v>
      </c>
      <c r="D101" s="101" t="s">
        <v>199</v>
      </c>
      <c r="E101" s="77" t="s">
        <v>212</v>
      </c>
      <c r="F101" s="77" t="s">
        <v>220</v>
      </c>
      <c r="G101" s="77" t="s">
        <v>25</v>
      </c>
      <c r="H101" s="77" t="s">
        <v>166</v>
      </c>
      <c r="I101" s="77" t="s">
        <v>111</v>
      </c>
      <c r="J101" s="77" t="s">
        <v>27</v>
      </c>
      <c r="K101" s="77" t="s">
        <v>112</v>
      </c>
      <c r="L101" s="77">
        <v>1</v>
      </c>
      <c r="N101" s="77">
        <v>1</v>
      </c>
      <c r="O101" s="77">
        <v>0.65</v>
      </c>
      <c r="P101" s="77">
        <v>0.85</v>
      </c>
      <c r="Q101" s="102">
        <f t="shared" si="4"/>
        <v>0.75</v>
      </c>
      <c r="R101" s="77">
        <v>14.1</v>
      </c>
      <c r="S101" s="77">
        <v>126</v>
      </c>
      <c r="T101" s="16">
        <f t="shared" si="7"/>
        <v>27</v>
      </c>
      <c r="U101" s="77">
        <v>128</v>
      </c>
      <c r="V101" s="16">
        <f t="shared" si="8"/>
        <v>3456</v>
      </c>
      <c r="W101" s="77">
        <v>2</v>
      </c>
      <c r="X101" s="77" t="s">
        <v>35</v>
      </c>
      <c r="Y101" s="77" t="s">
        <v>74</v>
      </c>
      <c r="Z101" s="77" t="s">
        <v>72</v>
      </c>
      <c r="AA101" s="77" t="s">
        <v>82</v>
      </c>
      <c r="AB101" s="77" t="s">
        <v>195</v>
      </c>
    </row>
    <row r="102" spans="1:28" x14ac:dyDescent="0.15">
      <c r="A102" s="77" t="s">
        <v>30</v>
      </c>
      <c r="B102" s="77" t="s">
        <v>191</v>
      </c>
      <c r="C102" s="77">
        <v>2020</v>
      </c>
      <c r="D102" s="101" t="s">
        <v>199</v>
      </c>
      <c r="E102" s="77" t="s">
        <v>212</v>
      </c>
      <c r="F102" s="77" t="s">
        <v>220</v>
      </c>
      <c r="G102" s="77" t="s">
        <v>25</v>
      </c>
      <c r="H102" s="77" t="s">
        <v>166</v>
      </c>
      <c r="I102" s="77" t="s">
        <v>111</v>
      </c>
      <c r="J102" s="77" t="s">
        <v>27</v>
      </c>
      <c r="K102" s="77" t="s">
        <v>112</v>
      </c>
      <c r="L102" s="77">
        <v>2</v>
      </c>
      <c r="N102" s="77">
        <v>1</v>
      </c>
      <c r="O102" s="77">
        <v>0.65</v>
      </c>
      <c r="P102" s="77">
        <v>0.5</v>
      </c>
      <c r="Q102" s="102">
        <f t="shared" si="4"/>
        <v>0.57499999999999996</v>
      </c>
      <c r="R102" s="77">
        <v>15.9</v>
      </c>
      <c r="S102" s="77">
        <v>124</v>
      </c>
      <c r="T102" s="16">
        <f t="shared" si="7"/>
        <v>27</v>
      </c>
      <c r="U102" s="77">
        <v>128</v>
      </c>
      <c r="V102" s="16">
        <f t="shared" si="8"/>
        <v>3456</v>
      </c>
      <c r="W102" s="77">
        <v>2</v>
      </c>
      <c r="X102" s="77" t="s">
        <v>35</v>
      </c>
      <c r="Y102" s="77" t="s">
        <v>74</v>
      </c>
      <c r="Z102" s="77" t="s">
        <v>72</v>
      </c>
      <c r="AA102" s="77" t="s">
        <v>82</v>
      </c>
      <c r="AB102" s="77" t="s">
        <v>195</v>
      </c>
    </row>
    <row r="103" spans="1:28" x14ac:dyDescent="0.15">
      <c r="A103" s="77" t="s">
        <v>30</v>
      </c>
      <c r="B103" s="77" t="s">
        <v>191</v>
      </c>
      <c r="C103" s="77">
        <v>2020</v>
      </c>
      <c r="D103" s="101" t="s">
        <v>199</v>
      </c>
      <c r="E103" s="77" t="s">
        <v>212</v>
      </c>
      <c r="F103" s="77" t="s">
        <v>220</v>
      </c>
      <c r="G103" s="77" t="s">
        <v>25</v>
      </c>
      <c r="H103" s="77" t="s">
        <v>166</v>
      </c>
      <c r="I103" s="77" t="s">
        <v>111</v>
      </c>
      <c r="J103" s="77" t="s">
        <v>27</v>
      </c>
      <c r="K103" s="77" t="s">
        <v>112</v>
      </c>
      <c r="L103" s="77">
        <v>3</v>
      </c>
      <c r="N103" s="77">
        <v>1</v>
      </c>
      <c r="O103" s="77">
        <v>0.45</v>
      </c>
      <c r="P103" s="77">
        <v>0.5</v>
      </c>
      <c r="Q103" s="102">
        <f t="shared" si="4"/>
        <v>0.47499999999999998</v>
      </c>
      <c r="R103" s="77">
        <v>17.8</v>
      </c>
      <c r="S103" s="77">
        <v>122</v>
      </c>
      <c r="T103" s="16">
        <f t="shared" si="7"/>
        <v>27</v>
      </c>
      <c r="U103" s="77">
        <v>128</v>
      </c>
      <c r="V103" s="16">
        <f t="shared" si="8"/>
        <v>3456</v>
      </c>
      <c r="W103" s="77">
        <v>2</v>
      </c>
      <c r="X103" s="77" t="s">
        <v>35</v>
      </c>
      <c r="Y103" s="77" t="s">
        <v>74</v>
      </c>
      <c r="Z103" s="77" t="s">
        <v>72</v>
      </c>
      <c r="AA103" s="77" t="s">
        <v>82</v>
      </c>
      <c r="AB103" s="77" t="s">
        <v>195</v>
      </c>
    </row>
    <row r="104" spans="1:28" x14ac:dyDescent="0.15">
      <c r="A104" s="77" t="s">
        <v>30</v>
      </c>
      <c r="B104" s="77" t="s">
        <v>191</v>
      </c>
      <c r="C104" s="77">
        <v>2020</v>
      </c>
      <c r="D104" s="101" t="s">
        <v>199</v>
      </c>
      <c r="E104" s="77" t="s">
        <v>212</v>
      </c>
      <c r="F104" s="77" t="s">
        <v>220</v>
      </c>
      <c r="G104" s="77" t="s">
        <v>25</v>
      </c>
      <c r="H104" s="77" t="s">
        <v>166</v>
      </c>
      <c r="I104" s="77" t="s">
        <v>111</v>
      </c>
      <c r="J104" s="77" t="s">
        <v>27</v>
      </c>
      <c r="K104" s="77" t="s">
        <v>112</v>
      </c>
      <c r="L104" s="77">
        <v>1</v>
      </c>
      <c r="N104" s="77">
        <v>3</v>
      </c>
      <c r="O104" s="77">
        <v>0.5</v>
      </c>
      <c r="P104" s="77">
        <v>0.4</v>
      </c>
      <c r="Q104" s="102">
        <f t="shared" si="4"/>
        <v>0.45</v>
      </c>
      <c r="R104" s="77">
        <v>14.8</v>
      </c>
      <c r="S104" s="77">
        <v>144</v>
      </c>
      <c r="T104" s="16">
        <f t="shared" si="7"/>
        <v>22</v>
      </c>
      <c r="U104" s="77">
        <v>498</v>
      </c>
      <c r="V104" s="16">
        <f t="shared" si="8"/>
        <v>3652</v>
      </c>
      <c r="W104" s="77">
        <v>1</v>
      </c>
      <c r="X104" s="77" t="s">
        <v>35</v>
      </c>
      <c r="Y104" s="77" t="s">
        <v>74</v>
      </c>
      <c r="Z104" s="77" t="s">
        <v>72</v>
      </c>
      <c r="AA104" s="77" t="s">
        <v>82</v>
      </c>
      <c r="AB104" s="77" t="s">
        <v>195</v>
      </c>
    </row>
    <row r="105" spans="1:28" x14ac:dyDescent="0.15">
      <c r="A105" s="77" t="s">
        <v>30</v>
      </c>
      <c r="B105" s="77" t="s">
        <v>191</v>
      </c>
      <c r="C105" s="77">
        <v>2020</v>
      </c>
      <c r="D105" s="101" t="s">
        <v>199</v>
      </c>
      <c r="E105" s="77" t="s">
        <v>212</v>
      </c>
      <c r="F105" s="77" t="s">
        <v>220</v>
      </c>
      <c r="G105" s="77" t="s">
        <v>25</v>
      </c>
      <c r="H105" s="77" t="s">
        <v>166</v>
      </c>
      <c r="I105" s="77" t="s">
        <v>111</v>
      </c>
      <c r="J105" s="77" t="s">
        <v>27</v>
      </c>
      <c r="K105" s="77" t="s">
        <v>112</v>
      </c>
      <c r="L105" s="77">
        <v>2</v>
      </c>
      <c r="N105" s="77">
        <v>3</v>
      </c>
      <c r="O105" s="77">
        <v>0.65</v>
      </c>
      <c r="P105" s="77">
        <v>0.45</v>
      </c>
      <c r="Q105" s="102">
        <f t="shared" si="4"/>
        <v>0.55000000000000004</v>
      </c>
      <c r="R105" s="77">
        <v>15.8</v>
      </c>
      <c r="S105" s="77">
        <v>139</v>
      </c>
      <c r="T105" s="16">
        <f t="shared" si="7"/>
        <v>22</v>
      </c>
      <c r="U105" s="77">
        <v>498</v>
      </c>
      <c r="V105" s="16">
        <f t="shared" si="8"/>
        <v>3652</v>
      </c>
      <c r="W105" s="77">
        <v>1</v>
      </c>
      <c r="X105" s="77" t="s">
        <v>35</v>
      </c>
      <c r="Y105" s="77" t="s">
        <v>74</v>
      </c>
      <c r="Z105" s="77" t="s">
        <v>72</v>
      </c>
      <c r="AA105" s="77" t="s">
        <v>82</v>
      </c>
      <c r="AB105" s="77" t="s">
        <v>195</v>
      </c>
    </row>
    <row r="106" spans="1:28" x14ac:dyDescent="0.15">
      <c r="A106" s="77" t="s">
        <v>30</v>
      </c>
      <c r="B106" s="77" t="s">
        <v>191</v>
      </c>
      <c r="C106" s="77">
        <v>2020</v>
      </c>
      <c r="D106" s="101" t="s">
        <v>199</v>
      </c>
      <c r="E106" s="77" t="s">
        <v>212</v>
      </c>
      <c r="F106" s="77" t="s">
        <v>220</v>
      </c>
      <c r="G106" s="77" t="s">
        <v>25</v>
      </c>
      <c r="H106" s="77" t="s">
        <v>166</v>
      </c>
      <c r="I106" s="77" t="s">
        <v>111</v>
      </c>
      <c r="J106" s="77" t="s">
        <v>27</v>
      </c>
      <c r="K106" s="77" t="s">
        <v>112</v>
      </c>
      <c r="L106" s="77">
        <v>3</v>
      </c>
      <c r="N106" s="77">
        <v>3</v>
      </c>
      <c r="O106" s="77">
        <v>0.3</v>
      </c>
      <c r="P106" s="77">
        <v>0.45</v>
      </c>
      <c r="Q106" s="102">
        <f t="shared" si="4"/>
        <v>0.375</v>
      </c>
      <c r="R106" s="77">
        <v>18.399999999999999</v>
      </c>
      <c r="S106" s="77">
        <v>138</v>
      </c>
      <c r="T106" s="16">
        <f t="shared" si="7"/>
        <v>22</v>
      </c>
      <c r="U106" s="77">
        <v>498</v>
      </c>
      <c r="V106" s="16">
        <f t="shared" si="8"/>
        <v>3652</v>
      </c>
      <c r="W106" s="77">
        <v>1</v>
      </c>
      <c r="X106" s="77" t="s">
        <v>35</v>
      </c>
      <c r="Y106" s="77" t="s">
        <v>74</v>
      </c>
      <c r="Z106" s="77" t="s">
        <v>72</v>
      </c>
      <c r="AA106" s="77" t="s">
        <v>82</v>
      </c>
      <c r="AB106" s="77" t="s">
        <v>195</v>
      </c>
    </row>
    <row r="107" spans="1:28" x14ac:dyDescent="0.15">
      <c r="A107" s="77" t="s">
        <v>30</v>
      </c>
      <c r="B107" s="77" t="s">
        <v>191</v>
      </c>
      <c r="C107" s="77">
        <v>2020</v>
      </c>
      <c r="D107" s="101" t="s">
        <v>199</v>
      </c>
      <c r="E107" s="77" t="s">
        <v>212</v>
      </c>
      <c r="F107" s="77" t="s">
        <v>220</v>
      </c>
      <c r="G107" s="77" t="s">
        <v>25</v>
      </c>
      <c r="H107" s="77" t="s">
        <v>166</v>
      </c>
      <c r="I107" s="77" t="s">
        <v>111</v>
      </c>
      <c r="J107" s="77" t="s">
        <v>27</v>
      </c>
      <c r="K107" s="77" t="s">
        <v>112</v>
      </c>
      <c r="L107" s="77">
        <v>1</v>
      </c>
      <c r="N107" s="77">
        <v>4</v>
      </c>
      <c r="O107" s="77">
        <v>0.25</v>
      </c>
      <c r="P107" s="77">
        <v>0.3</v>
      </c>
      <c r="Q107" s="102">
        <f t="shared" si="4"/>
        <v>0.27500000000000002</v>
      </c>
      <c r="R107" s="77">
        <v>17.899999999999999</v>
      </c>
      <c r="S107" s="77">
        <v>113</v>
      </c>
      <c r="T107" s="16">
        <f t="shared" si="7"/>
        <v>30</v>
      </c>
      <c r="U107" s="77">
        <v>498</v>
      </c>
      <c r="V107" s="16">
        <f t="shared" si="8"/>
        <v>3735</v>
      </c>
      <c r="W107" s="77">
        <v>2</v>
      </c>
      <c r="X107" s="77" t="s">
        <v>35</v>
      </c>
      <c r="Y107" s="77" t="s">
        <v>74</v>
      </c>
      <c r="Z107" s="77" t="s">
        <v>72</v>
      </c>
      <c r="AA107" s="77" t="s">
        <v>82</v>
      </c>
      <c r="AB107" s="77" t="s">
        <v>195</v>
      </c>
    </row>
    <row r="108" spans="1:28" x14ac:dyDescent="0.15">
      <c r="A108" s="77" t="s">
        <v>30</v>
      </c>
      <c r="B108" s="77" t="s">
        <v>191</v>
      </c>
      <c r="C108" s="77">
        <v>2020</v>
      </c>
      <c r="D108" s="101" t="s">
        <v>199</v>
      </c>
      <c r="E108" s="77" t="s">
        <v>212</v>
      </c>
      <c r="F108" s="77" t="s">
        <v>220</v>
      </c>
      <c r="G108" s="77" t="s">
        <v>25</v>
      </c>
      <c r="H108" s="77" t="s">
        <v>166</v>
      </c>
      <c r="I108" s="77" t="s">
        <v>111</v>
      </c>
      <c r="J108" s="77" t="s">
        <v>27</v>
      </c>
      <c r="K108" s="77" t="s">
        <v>112</v>
      </c>
      <c r="L108" s="77">
        <v>2</v>
      </c>
      <c r="N108" s="77">
        <v>4</v>
      </c>
      <c r="O108" s="77">
        <v>0.25</v>
      </c>
      <c r="P108" s="77">
        <v>0.3</v>
      </c>
      <c r="Q108" s="102">
        <f t="shared" si="4"/>
        <v>0.27500000000000002</v>
      </c>
      <c r="R108" s="77">
        <v>16.2</v>
      </c>
      <c r="S108" s="77">
        <v>114</v>
      </c>
      <c r="T108" s="16">
        <f t="shared" si="7"/>
        <v>30</v>
      </c>
      <c r="U108" s="77">
        <v>498</v>
      </c>
      <c r="V108" s="16">
        <f t="shared" si="8"/>
        <v>3735</v>
      </c>
      <c r="W108" s="77">
        <v>2</v>
      </c>
      <c r="X108" s="77" t="s">
        <v>35</v>
      </c>
      <c r="Y108" s="77" t="s">
        <v>74</v>
      </c>
      <c r="Z108" s="77" t="s">
        <v>72</v>
      </c>
      <c r="AA108" s="77" t="s">
        <v>82</v>
      </c>
      <c r="AB108" s="77" t="s">
        <v>195</v>
      </c>
    </row>
    <row r="109" spans="1:28" x14ac:dyDescent="0.15">
      <c r="A109" s="77" t="s">
        <v>30</v>
      </c>
      <c r="B109" s="77" t="s">
        <v>191</v>
      </c>
      <c r="C109" s="77">
        <v>2020</v>
      </c>
      <c r="D109" s="101" t="s">
        <v>199</v>
      </c>
      <c r="E109" s="77" t="s">
        <v>212</v>
      </c>
      <c r="F109" s="77" t="s">
        <v>220</v>
      </c>
      <c r="G109" s="77" t="s">
        <v>25</v>
      </c>
      <c r="H109" s="77" t="s">
        <v>166</v>
      </c>
      <c r="I109" s="77" t="s">
        <v>111</v>
      </c>
      <c r="J109" s="77" t="s">
        <v>27</v>
      </c>
      <c r="K109" s="77" t="s">
        <v>112</v>
      </c>
      <c r="L109" s="77">
        <v>3</v>
      </c>
      <c r="N109" s="77">
        <v>4</v>
      </c>
      <c r="O109" s="77">
        <v>0.25</v>
      </c>
      <c r="P109" s="77">
        <v>0.45</v>
      </c>
      <c r="Q109" s="102">
        <f t="shared" si="4"/>
        <v>0.35</v>
      </c>
      <c r="R109" s="77">
        <v>16.2</v>
      </c>
      <c r="S109" s="77">
        <v>115</v>
      </c>
      <c r="T109" s="16">
        <f t="shared" si="7"/>
        <v>30</v>
      </c>
      <c r="U109" s="77">
        <v>498</v>
      </c>
      <c r="V109" s="16">
        <f t="shared" si="8"/>
        <v>3735</v>
      </c>
      <c r="W109" s="77">
        <v>2</v>
      </c>
      <c r="X109" s="77" t="s">
        <v>35</v>
      </c>
      <c r="Y109" s="77" t="s">
        <v>74</v>
      </c>
      <c r="Z109" s="77" t="s">
        <v>72</v>
      </c>
      <c r="AA109" s="77" t="s">
        <v>82</v>
      </c>
      <c r="AB109" s="77" t="s">
        <v>195</v>
      </c>
    </row>
    <row r="110" spans="1:28" x14ac:dyDescent="0.15">
      <c r="A110" s="77" t="s">
        <v>30</v>
      </c>
      <c r="B110" s="77" t="s">
        <v>191</v>
      </c>
      <c r="C110" s="77">
        <v>2020</v>
      </c>
      <c r="D110" s="101" t="s">
        <v>199</v>
      </c>
      <c r="E110" s="77" t="s">
        <v>212</v>
      </c>
      <c r="F110" s="77" t="s">
        <v>220</v>
      </c>
      <c r="G110" s="77" t="s">
        <v>25</v>
      </c>
      <c r="H110" s="77" t="s">
        <v>113</v>
      </c>
      <c r="I110" s="77" t="s">
        <v>111</v>
      </c>
      <c r="J110" s="77" t="s">
        <v>27</v>
      </c>
      <c r="K110" s="77" t="s">
        <v>112</v>
      </c>
      <c r="L110" s="77">
        <v>1</v>
      </c>
      <c r="N110" s="77">
        <v>1</v>
      </c>
      <c r="O110" s="77">
        <v>0.35</v>
      </c>
      <c r="P110" s="77">
        <v>0.5</v>
      </c>
      <c r="Q110" s="102">
        <f t="shared" si="4"/>
        <v>0.42499999999999999</v>
      </c>
      <c r="R110" s="77">
        <v>16.5</v>
      </c>
      <c r="S110" s="77">
        <v>122</v>
      </c>
      <c r="T110" s="112">
        <f t="shared" si="7"/>
        <v>27</v>
      </c>
      <c r="U110" s="77">
        <v>128</v>
      </c>
      <c r="V110" s="112">
        <f t="shared" si="8"/>
        <v>3456</v>
      </c>
      <c r="W110" s="77">
        <v>2</v>
      </c>
      <c r="X110" s="77" t="s">
        <v>35</v>
      </c>
      <c r="Y110" s="77" t="s">
        <v>74</v>
      </c>
      <c r="Z110" s="77" t="s">
        <v>72</v>
      </c>
      <c r="AA110" s="77" t="s">
        <v>82</v>
      </c>
      <c r="AB110" s="77" t="s">
        <v>195</v>
      </c>
    </row>
    <row r="111" spans="1:28" x14ac:dyDescent="0.15">
      <c r="A111" s="77" t="s">
        <v>30</v>
      </c>
      <c r="B111" s="77" t="s">
        <v>191</v>
      </c>
      <c r="C111" s="77">
        <v>2020</v>
      </c>
      <c r="D111" s="101" t="s">
        <v>199</v>
      </c>
      <c r="E111" s="77" t="s">
        <v>212</v>
      </c>
      <c r="F111" s="77" t="s">
        <v>220</v>
      </c>
      <c r="G111" s="77" t="s">
        <v>25</v>
      </c>
      <c r="H111" s="77" t="s">
        <v>113</v>
      </c>
      <c r="I111" s="77" t="s">
        <v>111</v>
      </c>
      <c r="J111" s="77" t="s">
        <v>27</v>
      </c>
      <c r="K111" s="77" t="s">
        <v>112</v>
      </c>
      <c r="L111" s="77">
        <v>2</v>
      </c>
      <c r="N111" s="77">
        <v>1</v>
      </c>
      <c r="O111" s="77">
        <v>0.45</v>
      </c>
      <c r="P111" s="77">
        <v>0.55000000000000004</v>
      </c>
      <c r="Q111" s="102">
        <f t="shared" si="4"/>
        <v>0.5</v>
      </c>
      <c r="R111" s="77">
        <v>15.4</v>
      </c>
      <c r="S111" s="77">
        <v>121</v>
      </c>
      <c r="T111" s="112">
        <f t="shared" si="7"/>
        <v>27</v>
      </c>
      <c r="U111" s="77">
        <v>128</v>
      </c>
      <c r="V111" s="112">
        <f t="shared" si="8"/>
        <v>3456</v>
      </c>
      <c r="W111" s="77">
        <v>2</v>
      </c>
      <c r="X111" s="77" t="s">
        <v>35</v>
      </c>
      <c r="Y111" s="77" t="s">
        <v>74</v>
      </c>
      <c r="Z111" s="77" t="s">
        <v>72</v>
      </c>
      <c r="AA111" s="77" t="s">
        <v>82</v>
      </c>
      <c r="AB111" s="77" t="s">
        <v>195</v>
      </c>
    </row>
    <row r="112" spans="1:28" x14ac:dyDescent="0.15">
      <c r="A112" s="77" t="s">
        <v>30</v>
      </c>
      <c r="B112" s="77" t="s">
        <v>191</v>
      </c>
      <c r="C112" s="77">
        <v>2020</v>
      </c>
      <c r="D112" s="101" t="s">
        <v>199</v>
      </c>
      <c r="E112" s="77" t="s">
        <v>212</v>
      </c>
      <c r="F112" s="77" t="s">
        <v>220</v>
      </c>
      <c r="G112" s="77" t="s">
        <v>25</v>
      </c>
      <c r="H112" s="77" t="s">
        <v>113</v>
      </c>
      <c r="I112" s="77" t="s">
        <v>111</v>
      </c>
      <c r="J112" s="77" t="s">
        <v>27</v>
      </c>
      <c r="K112" s="77" t="s">
        <v>112</v>
      </c>
      <c r="L112" s="77">
        <v>3</v>
      </c>
      <c r="N112" s="77">
        <v>1</v>
      </c>
      <c r="O112" s="77">
        <v>0.5</v>
      </c>
      <c r="P112" s="77">
        <v>0.45</v>
      </c>
      <c r="Q112" s="102">
        <f t="shared" si="4"/>
        <v>0.47499999999999998</v>
      </c>
      <c r="R112" s="77">
        <v>15.9</v>
      </c>
      <c r="S112" s="77">
        <v>120</v>
      </c>
      <c r="T112" s="112">
        <f t="shared" si="7"/>
        <v>30</v>
      </c>
      <c r="U112" s="77">
        <v>128</v>
      </c>
      <c r="V112" s="112">
        <f t="shared" si="8"/>
        <v>3840</v>
      </c>
      <c r="W112" s="77">
        <v>2</v>
      </c>
      <c r="X112" s="77" t="s">
        <v>35</v>
      </c>
      <c r="Y112" s="77" t="s">
        <v>74</v>
      </c>
      <c r="Z112" s="77" t="s">
        <v>72</v>
      </c>
      <c r="AA112" s="77" t="s">
        <v>82</v>
      </c>
      <c r="AB112" s="77" t="s">
        <v>195</v>
      </c>
    </row>
    <row r="113" spans="1:28" x14ac:dyDescent="0.15">
      <c r="A113" s="77" t="s">
        <v>30</v>
      </c>
      <c r="B113" s="77" t="s">
        <v>191</v>
      </c>
      <c r="C113" s="77">
        <v>2020</v>
      </c>
      <c r="D113" s="101" t="s">
        <v>199</v>
      </c>
      <c r="E113" s="77" t="s">
        <v>212</v>
      </c>
      <c r="F113" s="77" t="s">
        <v>220</v>
      </c>
      <c r="G113" s="77" t="s">
        <v>25</v>
      </c>
      <c r="H113" s="77" t="s">
        <v>113</v>
      </c>
      <c r="I113" s="77" t="s">
        <v>111</v>
      </c>
      <c r="J113" s="77" t="s">
        <v>27</v>
      </c>
      <c r="K113" s="77" t="s">
        <v>112</v>
      </c>
      <c r="L113" s="77">
        <v>1</v>
      </c>
      <c r="N113" s="77">
        <v>5</v>
      </c>
      <c r="O113" s="77">
        <v>0.55000000000000004</v>
      </c>
      <c r="P113" s="77">
        <v>0.45</v>
      </c>
      <c r="Q113" s="102">
        <f t="shared" si="4"/>
        <v>0.5</v>
      </c>
      <c r="R113" s="77">
        <v>13.4</v>
      </c>
      <c r="S113" s="77">
        <v>116</v>
      </c>
      <c r="T113" s="112">
        <f t="shared" si="7"/>
        <v>30</v>
      </c>
      <c r="U113" s="77">
        <v>380</v>
      </c>
      <c r="V113" s="112">
        <f t="shared" si="8"/>
        <v>2280</v>
      </c>
      <c r="W113" s="77">
        <v>2</v>
      </c>
      <c r="X113" s="77" t="s">
        <v>35</v>
      </c>
      <c r="Y113" s="77" t="s">
        <v>74</v>
      </c>
      <c r="Z113" s="77" t="s">
        <v>72</v>
      </c>
      <c r="AA113" s="77" t="s">
        <v>82</v>
      </c>
      <c r="AB113" s="77" t="s">
        <v>195</v>
      </c>
    </row>
    <row r="114" spans="1:28" x14ac:dyDescent="0.15">
      <c r="A114" s="77" t="s">
        <v>30</v>
      </c>
      <c r="B114" s="77" t="s">
        <v>191</v>
      </c>
      <c r="C114" s="77">
        <v>2020</v>
      </c>
      <c r="D114" s="101" t="s">
        <v>199</v>
      </c>
      <c r="E114" s="77" t="s">
        <v>212</v>
      </c>
      <c r="F114" s="77" t="s">
        <v>220</v>
      </c>
      <c r="G114" s="77" t="s">
        <v>25</v>
      </c>
      <c r="H114" s="77" t="s">
        <v>113</v>
      </c>
      <c r="I114" s="77" t="s">
        <v>111</v>
      </c>
      <c r="J114" s="77" t="s">
        <v>27</v>
      </c>
      <c r="K114" s="77" t="s">
        <v>112</v>
      </c>
      <c r="L114" s="77">
        <v>2</v>
      </c>
      <c r="N114" s="77">
        <v>5</v>
      </c>
      <c r="O114" s="77">
        <v>0.7</v>
      </c>
      <c r="P114" s="77">
        <v>0.65</v>
      </c>
      <c r="Q114" s="102">
        <f t="shared" si="4"/>
        <v>0.67500000000000004</v>
      </c>
      <c r="R114" s="77">
        <v>14.6</v>
      </c>
      <c r="S114" s="77">
        <v>114</v>
      </c>
      <c r="T114" s="112">
        <f t="shared" si="7"/>
        <v>30</v>
      </c>
      <c r="U114" s="77">
        <v>380</v>
      </c>
      <c r="V114" s="16">
        <f t="shared" si="8"/>
        <v>2280</v>
      </c>
      <c r="W114" s="77">
        <v>2</v>
      </c>
      <c r="X114" s="77" t="s">
        <v>35</v>
      </c>
      <c r="Y114" s="77" t="s">
        <v>74</v>
      </c>
      <c r="Z114" s="77" t="s">
        <v>72</v>
      </c>
      <c r="AA114" s="77" t="s">
        <v>82</v>
      </c>
      <c r="AB114" s="77" t="s">
        <v>195</v>
      </c>
    </row>
    <row r="115" spans="1:28" x14ac:dyDescent="0.15">
      <c r="A115" s="77" t="s">
        <v>30</v>
      </c>
      <c r="B115" s="77" t="s">
        <v>191</v>
      </c>
      <c r="C115" s="77">
        <v>2020</v>
      </c>
      <c r="D115" s="101" t="s">
        <v>199</v>
      </c>
      <c r="E115" s="77" t="s">
        <v>212</v>
      </c>
      <c r="F115" s="77" t="s">
        <v>220</v>
      </c>
      <c r="G115" s="77" t="s">
        <v>25</v>
      </c>
      <c r="H115" s="77" t="s">
        <v>113</v>
      </c>
      <c r="I115" s="77" t="s">
        <v>111</v>
      </c>
      <c r="J115" s="77" t="s">
        <v>27</v>
      </c>
      <c r="K115" s="77" t="s">
        <v>112</v>
      </c>
      <c r="L115" s="77">
        <v>3</v>
      </c>
      <c r="N115" s="77">
        <v>5</v>
      </c>
      <c r="O115" s="77">
        <v>0.45</v>
      </c>
      <c r="P115" s="77">
        <v>0.5</v>
      </c>
      <c r="Q115" s="102">
        <f t="shared" si="4"/>
        <v>0.47499999999999998</v>
      </c>
      <c r="R115" s="77">
        <v>14.2</v>
      </c>
      <c r="S115" s="77">
        <v>120</v>
      </c>
      <c r="T115" s="112">
        <f t="shared" si="7"/>
        <v>30</v>
      </c>
      <c r="U115" s="77">
        <v>380</v>
      </c>
      <c r="V115" s="16">
        <f t="shared" si="8"/>
        <v>2280</v>
      </c>
      <c r="W115" s="77">
        <v>2</v>
      </c>
      <c r="X115" s="77" t="s">
        <v>35</v>
      </c>
      <c r="Y115" s="77" t="s">
        <v>74</v>
      </c>
      <c r="Z115" s="77" t="s">
        <v>72</v>
      </c>
      <c r="AA115" s="77" t="s">
        <v>82</v>
      </c>
      <c r="AB115" s="77" t="s">
        <v>195</v>
      </c>
    </row>
    <row r="116" spans="1:28" x14ac:dyDescent="0.15">
      <c r="A116" s="77" t="s">
        <v>30</v>
      </c>
      <c r="B116" s="77" t="s">
        <v>191</v>
      </c>
      <c r="C116" s="77">
        <v>2020</v>
      </c>
      <c r="D116" s="101" t="s">
        <v>199</v>
      </c>
      <c r="E116" s="77" t="s">
        <v>215</v>
      </c>
      <c r="F116" s="77" t="s">
        <v>216</v>
      </c>
      <c r="G116" s="77" t="s">
        <v>25</v>
      </c>
      <c r="H116" s="77" t="s">
        <v>166</v>
      </c>
      <c r="I116" s="77" t="s">
        <v>111</v>
      </c>
      <c r="J116" s="77" t="s">
        <v>27</v>
      </c>
      <c r="K116" s="77" t="s">
        <v>112</v>
      </c>
      <c r="L116" s="77">
        <v>1</v>
      </c>
      <c r="N116" s="77">
        <v>1</v>
      </c>
      <c r="O116" s="77">
        <v>0.6</v>
      </c>
      <c r="P116" s="77">
        <v>0.45</v>
      </c>
      <c r="Q116" s="102">
        <f t="shared" si="4"/>
        <v>0.52500000000000002</v>
      </c>
      <c r="R116" s="77">
        <v>13.8</v>
      </c>
      <c r="S116" s="77">
        <v>123</v>
      </c>
      <c r="T116" s="16">
        <f t="shared" si="7"/>
        <v>27</v>
      </c>
      <c r="U116" s="77">
        <v>100</v>
      </c>
      <c r="V116" s="16">
        <f t="shared" si="8"/>
        <v>2700</v>
      </c>
      <c r="W116" s="77">
        <v>3</v>
      </c>
      <c r="X116" s="77" t="s">
        <v>35</v>
      </c>
      <c r="Y116" s="77" t="s">
        <v>82</v>
      </c>
      <c r="Z116" s="77" t="s">
        <v>72</v>
      </c>
      <c r="AA116" s="77" t="s">
        <v>55</v>
      </c>
      <c r="AB116" s="77" t="s">
        <v>195</v>
      </c>
    </row>
    <row r="117" spans="1:28" x14ac:dyDescent="0.15">
      <c r="A117" s="77" t="s">
        <v>30</v>
      </c>
      <c r="B117" s="77" t="s">
        <v>191</v>
      </c>
      <c r="C117" s="77">
        <v>2020</v>
      </c>
      <c r="D117" s="101" t="s">
        <v>199</v>
      </c>
      <c r="E117" s="77" t="s">
        <v>215</v>
      </c>
      <c r="F117" s="77" t="s">
        <v>216</v>
      </c>
      <c r="G117" s="77" t="s">
        <v>25</v>
      </c>
      <c r="H117" s="77" t="s">
        <v>166</v>
      </c>
      <c r="I117" s="77" t="s">
        <v>111</v>
      </c>
      <c r="J117" s="77" t="s">
        <v>27</v>
      </c>
      <c r="K117" s="77" t="s">
        <v>112</v>
      </c>
      <c r="L117" s="77">
        <v>2</v>
      </c>
      <c r="N117" s="77">
        <v>1</v>
      </c>
      <c r="O117" s="77">
        <v>0.85</v>
      </c>
      <c r="P117" s="77">
        <v>0.75</v>
      </c>
      <c r="Q117" s="102">
        <f t="shared" si="4"/>
        <v>0.8</v>
      </c>
      <c r="R117" s="77">
        <v>15.2</v>
      </c>
      <c r="S117" s="77">
        <v>120</v>
      </c>
      <c r="T117" s="16">
        <f t="shared" si="7"/>
        <v>30</v>
      </c>
      <c r="U117" s="77">
        <v>100</v>
      </c>
      <c r="V117" s="16">
        <f t="shared" si="8"/>
        <v>3000</v>
      </c>
      <c r="W117" s="77">
        <v>3</v>
      </c>
      <c r="X117" s="77" t="s">
        <v>35</v>
      </c>
      <c r="Y117" s="77" t="s">
        <v>82</v>
      </c>
      <c r="Z117" s="77" t="s">
        <v>72</v>
      </c>
      <c r="AA117" s="77" t="s">
        <v>55</v>
      </c>
      <c r="AB117" s="77" t="s">
        <v>195</v>
      </c>
    </row>
    <row r="118" spans="1:28" x14ac:dyDescent="0.15">
      <c r="A118" s="77" t="s">
        <v>30</v>
      </c>
      <c r="B118" s="77" t="s">
        <v>191</v>
      </c>
      <c r="C118" s="77">
        <v>2020</v>
      </c>
      <c r="D118" s="101" t="s">
        <v>199</v>
      </c>
      <c r="E118" s="77" t="s">
        <v>215</v>
      </c>
      <c r="F118" s="77" t="s">
        <v>216</v>
      </c>
      <c r="G118" s="77" t="s">
        <v>25</v>
      </c>
      <c r="H118" s="77" t="s">
        <v>166</v>
      </c>
      <c r="I118" s="77" t="s">
        <v>111</v>
      </c>
      <c r="J118" s="77" t="s">
        <v>27</v>
      </c>
      <c r="K118" s="77" t="s">
        <v>112</v>
      </c>
      <c r="L118" s="77">
        <v>3</v>
      </c>
      <c r="N118" s="77">
        <v>1</v>
      </c>
      <c r="O118" s="77">
        <v>1.05</v>
      </c>
      <c r="P118" s="77">
        <v>0.85</v>
      </c>
      <c r="Q118" s="102">
        <f t="shared" si="4"/>
        <v>0.95</v>
      </c>
      <c r="R118" s="77">
        <v>15.7</v>
      </c>
      <c r="S118" s="77">
        <v>124</v>
      </c>
      <c r="T118" s="16">
        <f t="shared" si="7"/>
        <v>27</v>
      </c>
      <c r="U118" s="77">
        <v>100</v>
      </c>
      <c r="V118" s="16">
        <f t="shared" si="8"/>
        <v>2700</v>
      </c>
      <c r="W118" s="77">
        <v>3</v>
      </c>
      <c r="X118" s="77" t="s">
        <v>35</v>
      </c>
      <c r="Y118" s="77" t="s">
        <v>82</v>
      </c>
      <c r="Z118" s="77" t="s">
        <v>72</v>
      </c>
      <c r="AA118" s="77" t="s">
        <v>55</v>
      </c>
      <c r="AB118" s="77" t="s">
        <v>195</v>
      </c>
    </row>
    <row r="119" spans="1:28" x14ac:dyDescent="0.15">
      <c r="A119" s="77" t="s">
        <v>30</v>
      </c>
      <c r="B119" s="77" t="s">
        <v>191</v>
      </c>
      <c r="C119" s="77">
        <v>2020</v>
      </c>
      <c r="D119" s="101" t="s">
        <v>199</v>
      </c>
      <c r="E119" s="77" t="s">
        <v>215</v>
      </c>
      <c r="F119" s="77" t="s">
        <v>216</v>
      </c>
      <c r="G119" s="77" t="s">
        <v>25</v>
      </c>
      <c r="H119" s="77" t="s">
        <v>113</v>
      </c>
      <c r="I119" s="77" t="s">
        <v>111</v>
      </c>
      <c r="J119" s="77" t="s">
        <v>27</v>
      </c>
      <c r="K119" s="77" t="s">
        <v>112</v>
      </c>
      <c r="L119" s="77">
        <v>1</v>
      </c>
      <c r="N119" s="77">
        <v>1</v>
      </c>
      <c r="O119" s="77">
        <v>0.45</v>
      </c>
      <c r="P119" s="77">
        <v>0.65</v>
      </c>
      <c r="Q119" s="102">
        <f t="shared" si="4"/>
        <v>0.55000000000000004</v>
      </c>
      <c r="R119" s="77">
        <v>15</v>
      </c>
      <c r="S119" s="77">
        <v>118</v>
      </c>
      <c r="T119" s="16">
        <f t="shared" si="7"/>
        <v>30</v>
      </c>
      <c r="U119" s="77">
        <v>100</v>
      </c>
      <c r="V119" s="16">
        <f t="shared" si="8"/>
        <v>3000</v>
      </c>
      <c r="W119" s="77">
        <v>3</v>
      </c>
      <c r="X119" s="77" t="s">
        <v>35</v>
      </c>
      <c r="Y119" s="77" t="s">
        <v>82</v>
      </c>
      <c r="Z119" s="77" t="s">
        <v>72</v>
      </c>
      <c r="AA119" s="77" t="s">
        <v>55</v>
      </c>
      <c r="AB119" s="77" t="s">
        <v>195</v>
      </c>
    </row>
    <row r="120" spans="1:28" x14ac:dyDescent="0.15">
      <c r="A120" s="77" t="s">
        <v>30</v>
      </c>
      <c r="B120" s="77" t="s">
        <v>191</v>
      </c>
      <c r="C120" s="77">
        <v>2020</v>
      </c>
      <c r="D120" s="101" t="s">
        <v>199</v>
      </c>
      <c r="E120" s="77" t="s">
        <v>215</v>
      </c>
      <c r="F120" s="77" t="s">
        <v>216</v>
      </c>
      <c r="G120" s="77" t="s">
        <v>25</v>
      </c>
      <c r="H120" s="77" t="s">
        <v>113</v>
      </c>
      <c r="I120" s="77" t="s">
        <v>111</v>
      </c>
      <c r="J120" s="77" t="s">
        <v>27</v>
      </c>
      <c r="K120" s="77" t="s">
        <v>112</v>
      </c>
      <c r="L120" s="77">
        <v>2</v>
      </c>
      <c r="N120" s="77">
        <v>1</v>
      </c>
      <c r="O120" s="77">
        <v>1.2</v>
      </c>
      <c r="P120" s="77">
        <v>1.05</v>
      </c>
      <c r="Q120" s="102">
        <f t="shared" si="4"/>
        <v>1.125</v>
      </c>
      <c r="R120" s="77">
        <v>13.2</v>
      </c>
      <c r="S120" s="77">
        <v>120</v>
      </c>
      <c r="T120" s="16">
        <f t="shared" si="7"/>
        <v>30</v>
      </c>
      <c r="U120" s="77">
        <v>100</v>
      </c>
      <c r="V120" s="16">
        <f t="shared" si="8"/>
        <v>3000</v>
      </c>
      <c r="W120" s="77">
        <v>3</v>
      </c>
      <c r="X120" s="77" t="s">
        <v>35</v>
      </c>
      <c r="Y120" s="77" t="s">
        <v>82</v>
      </c>
      <c r="Z120" s="77" t="s">
        <v>72</v>
      </c>
      <c r="AA120" s="77" t="s">
        <v>55</v>
      </c>
      <c r="AB120" s="77" t="s">
        <v>195</v>
      </c>
    </row>
    <row r="121" spans="1:28" x14ac:dyDescent="0.15">
      <c r="A121" s="77" t="s">
        <v>30</v>
      </c>
      <c r="B121" s="77" t="s">
        <v>191</v>
      </c>
      <c r="C121" s="77">
        <v>2020</v>
      </c>
      <c r="D121" s="101" t="s">
        <v>199</v>
      </c>
      <c r="E121" s="77" t="s">
        <v>215</v>
      </c>
      <c r="F121" s="77" t="s">
        <v>216</v>
      </c>
      <c r="G121" s="77" t="s">
        <v>25</v>
      </c>
      <c r="H121" s="77" t="s">
        <v>113</v>
      </c>
      <c r="I121" s="77" t="s">
        <v>111</v>
      </c>
      <c r="J121" s="77" t="s">
        <v>27</v>
      </c>
      <c r="K121" s="77" t="s">
        <v>112</v>
      </c>
      <c r="L121" s="77">
        <v>3</v>
      </c>
      <c r="N121" s="77">
        <v>1</v>
      </c>
      <c r="O121" s="77">
        <v>1</v>
      </c>
      <c r="P121" s="77">
        <v>0.8</v>
      </c>
      <c r="Q121" s="102">
        <f t="shared" si="4"/>
        <v>0.9</v>
      </c>
      <c r="R121" s="77">
        <v>12.9</v>
      </c>
      <c r="S121" s="77">
        <v>115</v>
      </c>
      <c r="T121" s="16">
        <f t="shared" si="7"/>
        <v>30</v>
      </c>
      <c r="U121" s="77">
        <v>100</v>
      </c>
      <c r="V121" s="16">
        <f t="shared" si="8"/>
        <v>3000</v>
      </c>
      <c r="W121" s="77">
        <v>3</v>
      </c>
      <c r="X121" s="77" t="s">
        <v>35</v>
      </c>
      <c r="Y121" s="77" t="s">
        <v>82</v>
      </c>
      <c r="Z121" s="77" t="s">
        <v>72</v>
      </c>
      <c r="AA121" s="77" t="s">
        <v>55</v>
      </c>
      <c r="AB121" s="77" t="s">
        <v>195</v>
      </c>
    </row>
    <row r="122" spans="1:28" x14ac:dyDescent="0.15">
      <c r="A122" s="77" t="s">
        <v>30</v>
      </c>
      <c r="B122" s="77" t="s">
        <v>191</v>
      </c>
      <c r="C122" s="77">
        <v>2020</v>
      </c>
      <c r="D122" s="101" t="s">
        <v>199</v>
      </c>
      <c r="E122" s="77" t="s">
        <v>215</v>
      </c>
      <c r="F122" s="77" t="s">
        <v>216</v>
      </c>
      <c r="G122" s="77" t="s">
        <v>25</v>
      </c>
      <c r="H122" s="77" t="s">
        <v>113</v>
      </c>
      <c r="I122" s="77" t="s">
        <v>111</v>
      </c>
      <c r="J122" s="77" t="s">
        <v>27</v>
      </c>
      <c r="K122" s="77" t="s">
        <v>112</v>
      </c>
      <c r="L122" s="77">
        <v>1</v>
      </c>
      <c r="N122" s="77">
        <v>8</v>
      </c>
      <c r="O122" s="77">
        <v>0.5</v>
      </c>
      <c r="P122" s="77">
        <v>0.5</v>
      </c>
      <c r="Q122" s="102">
        <f t="shared" si="4"/>
        <v>0.5</v>
      </c>
      <c r="R122" s="77">
        <v>14.3</v>
      </c>
      <c r="S122" s="77">
        <v>120</v>
      </c>
      <c r="T122" s="16">
        <f t="shared" si="7"/>
        <v>30</v>
      </c>
      <c r="U122" s="77">
        <v>780</v>
      </c>
      <c r="V122" s="16">
        <f t="shared" si="8"/>
        <v>2925</v>
      </c>
      <c r="W122" s="77">
        <v>2</v>
      </c>
      <c r="X122" s="77" t="s">
        <v>35</v>
      </c>
      <c r="Y122" s="77" t="s">
        <v>82</v>
      </c>
      <c r="Z122" s="77" t="s">
        <v>72</v>
      </c>
      <c r="AA122" s="77" t="s">
        <v>55</v>
      </c>
      <c r="AB122" s="77" t="s">
        <v>195</v>
      </c>
    </row>
    <row r="123" spans="1:28" x14ac:dyDescent="0.15">
      <c r="A123" s="77" t="s">
        <v>30</v>
      </c>
      <c r="B123" s="77" t="s">
        <v>191</v>
      </c>
      <c r="C123" s="77">
        <v>2020</v>
      </c>
      <c r="D123" s="101" t="s">
        <v>199</v>
      </c>
      <c r="E123" s="77" t="s">
        <v>215</v>
      </c>
      <c r="F123" s="77" t="s">
        <v>216</v>
      </c>
      <c r="G123" s="77" t="s">
        <v>25</v>
      </c>
      <c r="H123" s="77" t="s">
        <v>113</v>
      </c>
      <c r="I123" s="77" t="s">
        <v>111</v>
      </c>
      <c r="J123" s="77" t="s">
        <v>27</v>
      </c>
      <c r="K123" s="77" t="s">
        <v>112</v>
      </c>
      <c r="L123" s="77">
        <v>2</v>
      </c>
      <c r="N123" s="77">
        <v>8</v>
      </c>
      <c r="O123" s="77">
        <v>0.5</v>
      </c>
      <c r="P123" s="77">
        <v>0.55000000000000004</v>
      </c>
      <c r="Q123" s="102">
        <f t="shared" si="4"/>
        <v>0.52500000000000002</v>
      </c>
      <c r="R123" s="77">
        <v>14.5</v>
      </c>
      <c r="S123" s="77">
        <v>118</v>
      </c>
      <c r="T123" s="16">
        <f t="shared" si="7"/>
        <v>30</v>
      </c>
      <c r="U123" s="77">
        <v>780</v>
      </c>
      <c r="V123" s="16">
        <f t="shared" si="8"/>
        <v>2925</v>
      </c>
      <c r="W123" s="77">
        <v>2</v>
      </c>
      <c r="X123" s="77" t="s">
        <v>35</v>
      </c>
      <c r="Y123" s="77" t="s">
        <v>82</v>
      </c>
      <c r="Z123" s="77" t="s">
        <v>72</v>
      </c>
      <c r="AA123" s="77" t="s">
        <v>55</v>
      </c>
      <c r="AB123" s="77" t="s">
        <v>195</v>
      </c>
    </row>
    <row r="124" spans="1:28" x14ac:dyDescent="0.15">
      <c r="A124" s="77" t="s">
        <v>30</v>
      </c>
      <c r="B124" s="77" t="s">
        <v>191</v>
      </c>
      <c r="C124" s="77">
        <v>2020</v>
      </c>
      <c r="D124" s="101" t="s">
        <v>199</v>
      </c>
      <c r="E124" s="77" t="s">
        <v>215</v>
      </c>
      <c r="F124" s="77" t="s">
        <v>216</v>
      </c>
      <c r="G124" s="77" t="s">
        <v>25</v>
      </c>
      <c r="H124" s="77" t="s">
        <v>113</v>
      </c>
      <c r="I124" s="77" t="s">
        <v>111</v>
      </c>
      <c r="J124" s="77" t="s">
        <v>27</v>
      </c>
      <c r="K124" s="77" t="s">
        <v>112</v>
      </c>
      <c r="L124" s="77">
        <v>3</v>
      </c>
      <c r="N124" s="77">
        <v>8</v>
      </c>
      <c r="O124" s="77">
        <v>0.4</v>
      </c>
      <c r="P124" s="77">
        <v>0.55000000000000004</v>
      </c>
      <c r="Q124" s="102">
        <f t="shared" si="4"/>
        <v>0.47500000000000003</v>
      </c>
      <c r="R124" s="77">
        <v>12.5</v>
      </c>
      <c r="S124" s="77">
        <v>120</v>
      </c>
      <c r="T124" s="16">
        <f t="shared" si="7"/>
        <v>30</v>
      </c>
      <c r="U124" s="77">
        <v>780</v>
      </c>
      <c r="V124" s="16">
        <f t="shared" si="8"/>
        <v>2925</v>
      </c>
      <c r="W124" s="77">
        <v>2</v>
      </c>
      <c r="X124" s="77" t="s">
        <v>35</v>
      </c>
      <c r="Y124" s="77" t="s">
        <v>82</v>
      </c>
      <c r="Z124" s="77" t="s">
        <v>72</v>
      </c>
      <c r="AA124" s="77" t="s">
        <v>55</v>
      </c>
      <c r="AB124" s="77" t="s">
        <v>195</v>
      </c>
    </row>
    <row r="125" spans="1:28" x14ac:dyDescent="0.15">
      <c r="A125" s="77" t="s">
        <v>30</v>
      </c>
      <c r="B125" s="77" t="s">
        <v>191</v>
      </c>
      <c r="C125" s="77">
        <v>2020</v>
      </c>
      <c r="D125" s="101" t="s">
        <v>199</v>
      </c>
      <c r="E125" s="77" t="s">
        <v>222</v>
      </c>
      <c r="F125" s="77" t="s">
        <v>223</v>
      </c>
      <c r="G125" s="77" t="s">
        <v>25</v>
      </c>
      <c r="H125" s="77" t="s">
        <v>166</v>
      </c>
      <c r="I125" s="77" t="s">
        <v>111</v>
      </c>
      <c r="J125" s="77" t="s">
        <v>27</v>
      </c>
      <c r="K125" s="77" t="s">
        <v>112</v>
      </c>
      <c r="L125" s="77">
        <v>1</v>
      </c>
      <c r="N125" s="77">
        <v>1</v>
      </c>
      <c r="O125" s="77">
        <v>0.3</v>
      </c>
      <c r="P125" s="77">
        <v>0.25</v>
      </c>
      <c r="Q125" s="102">
        <f t="shared" si="4"/>
        <v>0.27500000000000002</v>
      </c>
      <c r="R125" s="77">
        <v>15.3</v>
      </c>
      <c r="S125" s="77">
        <v>123</v>
      </c>
      <c r="T125" s="16">
        <f t="shared" si="7"/>
        <v>27</v>
      </c>
      <c r="U125" s="77">
        <v>99</v>
      </c>
      <c r="V125" s="16">
        <f t="shared" si="8"/>
        <v>2673</v>
      </c>
      <c r="W125" s="77">
        <v>2</v>
      </c>
      <c r="X125" s="77" t="s">
        <v>35</v>
      </c>
      <c r="Y125" s="77" t="s">
        <v>74</v>
      </c>
      <c r="Z125" s="77" t="s">
        <v>82</v>
      </c>
      <c r="AA125" s="77" t="s">
        <v>55</v>
      </c>
      <c r="AB125" s="77" t="s">
        <v>195</v>
      </c>
    </row>
    <row r="126" spans="1:28" x14ac:dyDescent="0.15">
      <c r="A126" s="77" t="s">
        <v>30</v>
      </c>
      <c r="B126" s="77" t="s">
        <v>191</v>
      </c>
      <c r="C126" s="77">
        <v>2020</v>
      </c>
      <c r="D126" s="101" t="s">
        <v>199</v>
      </c>
      <c r="E126" s="77" t="s">
        <v>222</v>
      </c>
      <c r="F126" s="77" t="s">
        <v>223</v>
      </c>
      <c r="G126" s="77" t="s">
        <v>25</v>
      </c>
      <c r="H126" s="77" t="s">
        <v>166</v>
      </c>
      <c r="I126" s="77" t="s">
        <v>111</v>
      </c>
      <c r="J126" s="77" t="s">
        <v>27</v>
      </c>
      <c r="K126" s="77" t="s">
        <v>112</v>
      </c>
      <c r="L126" s="77">
        <v>2</v>
      </c>
      <c r="N126" s="77">
        <v>1</v>
      </c>
      <c r="O126" s="77">
        <v>0.5</v>
      </c>
      <c r="P126" s="77">
        <v>0.4</v>
      </c>
      <c r="Q126" s="102">
        <f t="shared" si="4"/>
        <v>0.45</v>
      </c>
      <c r="R126" s="77">
        <v>15.1</v>
      </c>
      <c r="S126" s="77">
        <v>124</v>
      </c>
      <c r="T126" s="16">
        <f t="shared" si="7"/>
        <v>27</v>
      </c>
      <c r="U126" s="77">
        <v>99</v>
      </c>
      <c r="V126" s="16">
        <f t="shared" si="8"/>
        <v>2673</v>
      </c>
      <c r="W126" s="77">
        <v>2</v>
      </c>
      <c r="X126" s="77" t="s">
        <v>35</v>
      </c>
      <c r="Y126" s="77" t="s">
        <v>74</v>
      </c>
      <c r="Z126" s="77" t="s">
        <v>82</v>
      </c>
      <c r="AA126" s="77" t="s">
        <v>55</v>
      </c>
      <c r="AB126" s="77" t="s">
        <v>195</v>
      </c>
    </row>
    <row r="127" spans="1:28" x14ac:dyDescent="0.15">
      <c r="A127" s="77" t="s">
        <v>30</v>
      </c>
      <c r="B127" s="77" t="s">
        <v>191</v>
      </c>
      <c r="C127" s="77">
        <v>2020</v>
      </c>
      <c r="D127" s="101" t="s">
        <v>199</v>
      </c>
      <c r="E127" s="77" t="s">
        <v>222</v>
      </c>
      <c r="F127" s="77" t="s">
        <v>223</v>
      </c>
      <c r="G127" s="77" t="s">
        <v>25</v>
      </c>
      <c r="H127" s="77" t="s">
        <v>166</v>
      </c>
      <c r="I127" s="77" t="s">
        <v>111</v>
      </c>
      <c r="J127" s="77" t="s">
        <v>27</v>
      </c>
      <c r="K127" s="77" t="s">
        <v>112</v>
      </c>
      <c r="L127" s="77">
        <v>3</v>
      </c>
      <c r="N127" s="77">
        <v>1</v>
      </c>
      <c r="O127" s="77">
        <v>0.65</v>
      </c>
      <c r="P127" s="77">
        <v>0.85</v>
      </c>
      <c r="Q127" s="102">
        <f t="shared" si="4"/>
        <v>0.75</v>
      </c>
      <c r="R127" s="77">
        <v>14.2</v>
      </c>
      <c r="S127" s="77">
        <v>126</v>
      </c>
      <c r="T127" s="16">
        <f t="shared" si="7"/>
        <v>27</v>
      </c>
      <c r="U127" s="77">
        <v>99</v>
      </c>
      <c r="V127" s="16">
        <f t="shared" si="8"/>
        <v>2673</v>
      </c>
      <c r="W127" s="77">
        <v>2</v>
      </c>
      <c r="X127" s="77" t="s">
        <v>35</v>
      </c>
      <c r="Y127" s="77" t="s">
        <v>74</v>
      </c>
      <c r="Z127" s="77" t="s">
        <v>82</v>
      </c>
      <c r="AA127" s="77" t="s">
        <v>55</v>
      </c>
      <c r="AB127" s="77" t="s">
        <v>195</v>
      </c>
    </row>
    <row r="128" spans="1:28" x14ac:dyDescent="0.15">
      <c r="A128" s="77" t="s">
        <v>30</v>
      </c>
      <c r="B128" s="77" t="s">
        <v>191</v>
      </c>
      <c r="C128" s="77">
        <v>2020</v>
      </c>
      <c r="D128" s="101" t="s">
        <v>199</v>
      </c>
      <c r="E128" s="77" t="s">
        <v>222</v>
      </c>
      <c r="F128" s="77" t="s">
        <v>223</v>
      </c>
      <c r="G128" s="77" t="s">
        <v>25</v>
      </c>
      <c r="H128" s="77" t="s">
        <v>166</v>
      </c>
      <c r="I128" s="77" t="s">
        <v>111</v>
      </c>
      <c r="J128" s="77" t="s">
        <v>27</v>
      </c>
      <c r="K128" s="77" t="s">
        <v>112</v>
      </c>
      <c r="L128" s="77">
        <v>1</v>
      </c>
      <c r="N128" s="77">
        <v>4</v>
      </c>
      <c r="O128" s="77">
        <v>1.1499999999999999</v>
      </c>
      <c r="P128" s="77">
        <v>1</v>
      </c>
      <c r="Q128" s="102">
        <f t="shared" si="4"/>
        <v>1.075</v>
      </c>
      <c r="R128" s="77">
        <v>13.2</v>
      </c>
      <c r="S128" s="77">
        <v>120</v>
      </c>
      <c r="T128" s="16">
        <f t="shared" si="7"/>
        <v>30</v>
      </c>
      <c r="U128" s="113">
        <v>377</v>
      </c>
      <c r="V128" s="16">
        <f t="shared" si="8"/>
        <v>2827.5</v>
      </c>
      <c r="W128" s="77">
        <v>1</v>
      </c>
      <c r="X128" s="77" t="s">
        <v>35</v>
      </c>
      <c r="Y128" s="77" t="s">
        <v>74</v>
      </c>
      <c r="Z128" s="77" t="s">
        <v>82</v>
      </c>
      <c r="AA128" s="77" t="s">
        <v>55</v>
      </c>
      <c r="AB128" s="77" t="s">
        <v>195</v>
      </c>
    </row>
    <row r="129" spans="1:28" x14ac:dyDescent="0.15">
      <c r="A129" s="77" t="s">
        <v>30</v>
      </c>
      <c r="B129" s="77" t="s">
        <v>191</v>
      </c>
      <c r="C129" s="77">
        <v>2020</v>
      </c>
      <c r="D129" s="101" t="s">
        <v>199</v>
      </c>
      <c r="E129" s="77" t="s">
        <v>222</v>
      </c>
      <c r="F129" s="77" t="s">
        <v>223</v>
      </c>
      <c r="G129" s="77" t="s">
        <v>25</v>
      </c>
      <c r="H129" s="77" t="s">
        <v>166</v>
      </c>
      <c r="I129" s="77" t="s">
        <v>111</v>
      </c>
      <c r="J129" s="77" t="s">
        <v>27</v>
      </c>
      <c r="K129" s="77" t="s">
        <v>112</v>
      </c>
      <c r="L129" s="77">
        <v>2</v>
      </c>
      <c r="N129" s="77">
        <v>4</v>
      </c>
      <c r="O129" s="77">
        <v>0.85</v>
      </c>
      <c r="P129" s="77">
        <v>1.05</v>
      </c>
      <c r="Q129" s="102">
        <f t="shared" si="4"/>
        <v>0.95</v>
      </c>
      <c r="R129" s="77">
        <v>13.7</v>
      </c>
      <c r="S129" s="77">
        <v>115</v>
      </c>
      <c r="T129" s="16">
        <f t="shared" si="7"/>
        <v>30</v>
      </c>
      <c r="U129" s="113">
        <v>377</v>
      </c>
      <c r="V129" s="16">
        <f t="shared" si="8"/>
        <v>2827.5</v>
      </c>
      <c r="W129" s="77">
        <v>1</v>
      </c>
      <c r="X129" s="77" t="s">
        <v>35</v>
      </c>
      <c r="Y129" s="77" t="s">
        <v>74</v>
      </c>
      <c r="Z129" s="77" t="s">
        <v>82</v>
      </c>
      <c r="AA129" s="77" t="s">
        <v>55</v>
      </c>
      <c r="AB129" s="77" t="s">
        <v>195</v>
      </c>
    </row>
    <row r="130" spans="1:28" x14ac:dyDescent="0.15">
      <c r="A130" s="77" t="s">
        <v>30</v>
      </c>
      <c r="B130" s="77" t="s">
        <v>191</v>
      </c>
      <c r="C130" s="77">
        <v>2020</v>
      </c>
      <c r="D130" s="101" t="s">
        <v>199</v>
      </c>
      <c r="E130" s="77" t="s">
        <v>222</v>
      </c>
      <c r="F130" s="77" t="s">
        <v>223</v>
      </c>
      <c r="G130" s="77" t="s">
        <v>25</v>
      </c>
      <c r="H130" s="77" t="s">
        <v>166</v>
      </c>
      <c r="I130" s="77" t="s">
        <v>111</v>
      </c>
      <c r="J130" s="77" t="s">
        <v>27</v>
      </c>
      <c r="K130" s="77" t="s">
        <v>112</v>
      </c>
      <c r="L130" s="77">
        <v>3</v>
      </c>
      <c r="N130" s="77">
        <v>4</v>
      </c>
      <c r="O130" s="77">
        <v>0.8</v>
      </c>
      <c r="P130" s="77">
        <v>0.8</v>
      </c>
      <c r="Q130" s="102">
        <f t="shared" ref="Q130:Q136" si="9">IF(OR(O130="",P130=""),"",AVERAGE(O130,P130))</f>
        <v>0.8</v>
      </c>
      <c r="R130" s="77">
        <v>14.2</v>
      </c>
      <c r="S130" s="77">
        <v>117</v>
      </c>
      <c r="T130" s="16">
        <f t="shared" si="7"/>
        <v>30</v>
      </c>
      <c r="U130" s="113">
        <v>377</v>
      </c>
      <c r="V130" s="16">
        <f t="shared" si="8"/>
        <v>2827.5</v>
      </c>
      <c r="W130" s="77">
        <v>1</v>
      </c>
      <c r="X130" s="77" t="s">
        <v>35</v>
      </c>
      <c r="Y130" s="77" t="s">
        <v>74</v>
      </c>
      <c r="Z130" s="77" t="s">
        <v>82</v>
      </c>
      <c r="AA130" s="77" t="s">
        <v>55</v>
      </c>
      <c r="AB130" s="77" t="s">
        <v>195</v>
      </c>
    </row>
    <row r="131" spans="1:28" x14ac:dyDescent="0.15">
      <c r="A131" s="77" t="s">
        <v>30</v>
      </c>
      <c r="B131" s="77" t="s">
        <v>191</v>
      </c>
      <c r="C131" s="77">
        <v>2020</v>
      </c>
      <c r="D131" s="101" t="s">
        <v>199</v>
      </c>
      <c r="E131" s="77" t="s">
        <v>222</v>
      </c>
      <c r="F131" s="77" t="s">
        <v>223</v>
      </c>
      <c r="G131" s="77" t="s">
        <v>25</v>
      </c>
      <c r="H131" s="77" t="s">
        <v>113</v>
      </c>
      <c r="I131" s="77" t="s">
        <v>111</v>
      </c>
      <c r="J131" s="77" t="s">
        <v>27</v>
      </c>
      <c r="K131" s="77" t="s">
        <v>112</v>
      </c>
      <c r="L131" s="77">
        <v>1</v>
      </c>
      <c r="N131" s="77">
        <v>1</v>
      </c>
      <c r="O131" s="77">
        <v>0.65</v>
      </c>
      <c r="P131" s="77">
        <v>0.6</v>
      </c>
      <c r="Q131" s="102">
        <f t="shared" si="9"/>
        <v>0.625</v>
      </c>
      <c r="R131" s="77">
        <v>14</v>
      </c>
      <c r="S131" s="77">
        <v>124</v>
      </c>
      <c r="T131" s="16">
        <f t="shared" si="7"/>
        <v>27</v>
      </c>
      <c r="U131" s="113">
        <v>99</v>
      </c>
      <c r="V131" s="16">
        <f t="shared" si="8"/>
        <v>2673</v>
      </c>
      <c r="W131" s="77">
        <v>2</v>
      </c>
      <c r="X131" s="77" t="s">
        <v>35</v>
      </c>
      <c r="Y131" s="77" t="s">
        <v>74</v>
      </c>
      <c r="Z131" s="77" t="s">
        <v>82</v>
      </c>
      <c r="AA131" s="77" t="s">
        <v>55</v>
      </c>
      <c r="AB131" s="77" t="s">
        <v>195</v>
      </c>
    </row>
    <row r="132" spans="1:28" x14ac:dyDescent="0.15">
      <c r="A132" s="77" t="s">
        <v>30</v>
      </c>
      <c r="B132" s="77" t="s">
        <v>191</v>
      </c>
      <c r="C132" s="77">
        <v>2020</v>
      </c>
      <c r="D132" s="101" t="s">
        <v>199</v>
      </c>
      <c r="E132" s="77" t="s">
        <v>222</v>
      </c>
      <c r="F132" s="77" t="s">
        <v>223</v>
      </c>
      <c r="G132" s="77" t="s">
        <v>25</v>
      </c>
      <c r="H132" s="77" t="s">
        <v>113</v>
      </c>
      <c r="I132" s="77" t="s">
        <v>111</v>
      </c>
      <c r="J132" s="77" t="s">
        <v>27</v>
      </c>
      <c r="K132" s="77" t="s">
        <v>112</v>
      </c>
      <c r="L132" s="77">
        <v>2</v>
      </c>
      <c r="N132" s="77">
        <v>1</v>
      </c>
      <c r="O132" s="77">
        <v>0.8</v>
      </c>
      <c r="P132" s="77">
        <v>0.95</v>
      </c>
      <c r="Q132" s="102">
        <f t="shared" si="9"/>
        <v>0.875</v>
      </c>
      <c r="R132" s="77">
        <v>13.2</v>
      </c>
      <c r="S132" s="77">
        <v>122</v>
      </c>
      <c r="T132" s="16">
        <f t="shared" si="7"/>
        <v>27</v>
      </c>
      <c r="U132" s="113">
        <v>99</v>
      </c>
      <c r="V132" s="16">
        <f t="shared" si="8"/>
        <v>2673</v>
      </c>
      <c r="W132" s="77">
        <v>2</v>
      </c>
      <c r="X132" s="77" t="s">
        <v>35</v>
      </c>
      <c r="Y132" s="77" t="s">
        <v>74</v>
      </c>
      <c r="Z132" s="77" t="s">
        <v>82</v>
      </c>
      <c r="AA132" s="77" t="s">
        <v>55</v>
      </c>
      <c r="AB132" s="77" t="s">
        <v>195</v>
      </c>
    </row>
    <row r="133" spans="1:28" x14ac:dyDescent="0.15">
      <c r="A133" s="77" t="s">
        <v>30</v>
      </c>
      <c r="B133" s="77" t="s">
        <v>191</v>
      </c>
      <c r="C133" s="77">
        <v>2020</v>
      </c>
      <c r="D133" s="101" t="s">
        <v>199</v>
      </c>
      <c r="E133" s="77" t="s">
        <v>222</v>
      </c>
      <c r="F133" s="77" t="s">
        <v>223</v>
      </c>
      <c r="G133" s="77" t="s">
        <v>25</v>
      </c>
      <c r="H133" s="77" t="s">
        <v>113</v>
      </c>
      <c r="I133" s="77" t="s">
        <v>111</v>
      </c>
      <c r="J133" s="77" t="s">
        <v>27</v>
      </c>
      <c r="K133" s="77" t="s">
        <v>112</v>
      </c>
      <c r="L133" s="77">
        <v>3</v>
      </c>
      <c r="N133" s="77">
        <v>1</v>
      </c>
      <c r="O133" s="77">
        <v>0.8</v>
      </c>
      <c r="P133" s="77">
        <v>0.7</v>
      </c>
      <c r="Q133" s="102">
        <f t="shared" si="9"/>
        <v>0.75</v>
      </c>
      <c r="R133" s="77">
        <v>12.2</v>
      </c>
      <c r="S133" s="77">
        <v>125</v>
      </c>
      <c r="T133" s="16">
        <f t="shared" si="7"/>
        <v>27</v>
      </c>
      <c r="U133" s="113">
        <v>99</v>
      </c>
      <c r="V133" s="16">
        <f t="shared" si="8"/>
        <v>2673</v>
      </c>
      <c r="W133" s="77">
        <v>2</v>
      </c>
      <c r="X133" s="77" t="s">
        <v>35</v>
      </c>
      <c r="Y133" s="77" t="s">
        <v>74</v>
      </c>
      <c r="Z133" s="77" t="s">
        <v>82</v>
      </c>
      <c r="AA133" s="77" t="s">
        <v>55</v>
      </c>
      <c r="AB133" s="77" t="s">
        <v>195</v>
      </c>
    </row>
    <row r="134" spans="1:28" x14ac:dyDescent="0.15">
      <c r="A134" s="77" t="s">
        <v>30</v>
      </c>
      <c r="B134" s="77" t="s">
        <v>191</v>
      </c>
      <c r="C134" s="77">
        <v>2020</v>
      </c>
      <c r="D134" s="101" t="s">
        <v>199</v>
      </c>
      <c r="E134" s="77" t="s">
        <v>222</v>
      </c>
      <c r="F134" s="77" t="s">
        <v>223</v>
      </c>
      <c r="G134" s="77" t="s">
        <v>25</v>
      </c>
      <c r="H134" s="77" t="s">
        <v>113</v>
      </c>
      <c r="I134" s="77" t="s">
        <v>111</v>
      </c>
      <c r="J134" s="77" t="s">
        <v>27</v>
      </c>
      <c r="K134" s="77" t="s">
        <v>112</v>
      </c>
      <c r="L134" s="77">
        <v>1</v>
      </c>
      <c r="N134" s="77">
        <v>5</v>
      </c>
      <c r="O134" s="77">
        <v>0.65</v>
      </c>
      <c r="P134" s="77">
        <v>0.7</v>
      </c>
      <c r="Q134" s="102">
        <f t="shared" si="9"/>
        <v>0.67500000000000004</v>
      </c>
      <c r="R134" s="77">
        <v>12.5</v>
      </c>
      <c r="S134" s="77">
        <v>118</v>
      </c>
      <c r="T134" s="16">
        <f t="shared" si="7"/>
        <v>30</v>
      </c>
      <c r="U134" s="113">
        <v>377</v>
      </c>
      <c r="V134" s="16">
        <f t="shared" si="8"/>
        <v>2262</v>
      </c>
      <c r="W134" s="77">
        <v>2</v>
      </c>
      <c r="X134" s="77" t="s">
        <v>35</v>
      </c>
      <c r="Y134" s="77" t="s">
        <v>74</v>
      </c>
      <c r="Z134" s="77" t="s">
        <v>82</v>
      </c>
      <c r="AA134" s="77" t="s">
        <v>55</v>
      </c>
      <c r="AB134" s="77" t="s">
        <v>195</v>
      </c>
    </row>
    <row r="135" spans="1:28" x14ac:dyDescent="0.15">
      <c r="A135" s="77" t="s">
        <v>30</v>
      </c>
      <c r="B135" s="77" t="s">
        <v>191</v>
      </c>
      <c r="C135" s="77">
        <v>2020</v>
      </c>
      <c r="D135" s="101" t="s">
        <v>199</v>
      </c>
      <c r="E135" s="77" t="s">
        <v>222</v>
      </c>
      <c r="F135" s="77" t="s">
        <v>223</v>
      </c>
      <c r="G135" s="77" t="s">
        <v>25</v>
      </c>
      <c r="H135" s="77" t="s">
        <v>113</v>
      </c>
      <c r="I135" s="77" t="s">
        <v>111</v>
      </c>
      <c r="J135" s="77" t="s">
        <v>27</v>
      </c>
      <c r="K135" s="77" t="s">
        <v>112</v>
      </c>
      <c r="L135" s="77">
        <v>2</v>
      </c>
      <c r="N135" s="77">
        <v>5</v>
      </c>
      <c r="O135" s="77">
        <v>0.5</v>
      </c>
      <c r="P135" s="77">
        <v>0.45</v>
      </c>
      <c r="Q135" s="102">
        <f t="shared" si="9"/>
        <v>0.47499999999999998</v>
      </c>
      <c r="R135" s="77">
        <v>12.9</v>
      </c>
      <c r="S135" s="77">
        <v>120</v>
      </c>
      <c r="T135" s="16">
        <f t="shared" si="7"/>
        <v>30</v>
      </c>
      <c r="U135" s="113">
        <v>377</v>
      </c>
      <c r="V135" s="16">
        <f t="shared" si="8"/>
        <v>2262</v>
      </c>
      <c r="W135" s="77">
        <v>2</v>
      </c>
      <c r="X135" s="77" t="s">
        <v>35</v>
      </c>
      <c r="Y135" s="77" t="s">
        <v>74</v>
      </c>
      <c r="Z135" s="77" t="s">
        <v>82</v>
      </c>
      <c r="AA135" s="77" t="s">
        <v>55</v>
      </c>
      <c r="AB135" s="77" t="s">
        <v>195</v>
      </c>
    </row>
    <row r="136" spans="1:28" x14ac:dyDescent="0.15">
      <c r="A136" s="77" t="s">
        <v>30</v>
      </c>
      <c r="B136" s="77" t="s">
        <v>191</v>
      </c>
      <c r="C136" s="77">
        <v>2020</v>
      </c>
      <c r="D136" s="101" t="s">
        <v>199</v>
      </c>
      <c r="E136" s="77" t="s">
        <v>222</v>
      </c>
      <c r="F136" s="77" t="s">
        <v>223</v>
      </c>
      <c r="G136" s="77" t="s">
        <v>25</v>
      </c>
      <c r="H136" s="77" t="s">
        <v>113</v>
      </c>
      <c r="I136" s="77" t="s">
        <v>111</v>
      </c>
      <c r="J136" s="77" t="s">
        <v>27</v>
      </c>
      <c r="K136" s="77" t="s">
        <v>112</v>
      </c>
      <c r="L136" s="77">
        <v>3</v>
      </c>
      <c r="N136" s="77">
        <v>5</v>
      </c>
      <c r="O136" s="77">
        <v>0.7</v>
      </c>
      <c r="P136" s="77">
        <v>0.6</v>
      </c>
      <c r="Q136" s="102">
        <f t="shared" si="9"/>
        <v>0.64999999999999991</v>
      </c>
      <c r="R136" s="77">
        <v>13.8</v>
      </c>
      <c r="S136" s="77">
        <v>117</v>
      </c>
      <c r="T136" s="16">
        <f t="shared" si="7"/>
        <v>30</v>
      </c>
      <c r="U136" s="113">
        <v>377</v>
      </c>
      <c r="V136" s="16">
        <f t="shared" si="8"/>
        <v>2262</v>
      </c>
      <c r="W136" s="77">
        <v>2</v>
      </c>
      <c r="X136" s="77" t="s">
        <v>35</v>
      </c>
      <c r="Y136" s="77" t="s">
        <v>74</v>
      </c>
      <c r="Z136" s="77" t="s">
        <v>82</v>
      </c>
      <c r="AA136" s="77" t="s">
        <v>55</v>
      </c>
      <c r="AB136" s="77" t="s">
        <v>195</v>
      </c>
    </row>
  </sheetData>
  <autoFilter ref="A1:BA136" xr:uid="{00000000-0009-0000-0000-000001000000}"/>
  <phoneticPr fontId="3"/>
  <dataValidations count="19">
    <dataValidation type="list" allowBlank="1" showInputMessage="1" showErrorMessage="1" sqref="Y137:AA303" xr:uid="{89CBCC13-44F6-4E0D-A40E-05CDDA49E3CC}">
      <formula1>$AV$2:$AV$16</formula1>
    </dataValidation>
    <dataValidation type="list" allowBlank="1" showInputMessage="1" showErrorMessage="1" sqref="K137:K303" xr:uid="{652042DD-A558-4E0A-80FE-2BC3C7B14F86}">
      <formula1>$AR$2:$AR$19</formula1>
    </dataValidation>
    <dataValidation type="list" allowBlank="1" showInputMessage="1" showErrorMessage="1" sqref="J137:J303" xr:uid="{B94CC14C-3C02-4458-9470-C9C39B4BCAF0}">
      <formula1>$AP$2:$AP$19</formula1>
    </dataValidation>
    <dataValidation type="list" allowBlank="1" showInputMessage="1" showErrorMessage="1" sqref="F137:F303" xr:uid="{FC7E8AB5-71C0-444D-A1C3-E1039931DCD2}">
      <formula1>$AH$2:$AH$9</formula1>
    </dataValidation>
    <dataValidation type="list" allowBlank="1" showInputMessage="1" showErrorMessage="1" sqref="E137:E303" xr:uid="{7F7B4C74-44A3-456D-B68E-252BBFDDB412}">
      <formula1>$AG$2:$AG$10</formula1>
    </dataValidation>
    <dataValidation type="list" allowBlank="1" showInputMessage="1" showErrorMessage="1" sqref="A137:A303" xr:uid="{66B091BB-231A-4B36-925B-C0CDC296B3C0}">
      <formula1>$AE$2:$AE$16</formula1>
    </dataValidation>
    <dataValidation type="decimal" allowBlank="1" showInputMessage="1" showErrorMessage="1" error="硬度を正しく入力して下さい。" sqref="O2:P303" xr:uid="{2BA36E63-24CF-43CA-8C06-1E4E19D05063}">
      <formula1>0</formula1>
      <formula2>7</formula2>
    </dataValidation>
    <dataValidation type="list" allowBlank="1" showInputMessage="1" showErrorMessage="1" sqref="X2:X303" xr:uid="{1317D7EE-B06A-4064-A8AE-312C8E52E4B5}">
      <formula1>$AT$2:$AT$3</formula1>
    </dataValidation>
    <dataValidation type="list" allowBlank="1" showInputMessage="1" showErrorMessage="1" sqref="J2:J136" xr:uid="{65C19ED2-578D-448B-A7FF-CA5A9EBCFD54}">
      <formula1>$AP$2:$AP$27</formula1>
    </dataValidation>
    <dataValidation type="list" allowBlank="1" showInputMessage="1" showErrorMessage="1" sqref="I2:I303" xr:uid="{1EEB41EB-255C-4CE7-AD53-9829A3401A69}">
      <formula1>$AN$5:$AN$6</formula1>
    </dataValidation>
    <dataValidation type="list" allowBlank="1" showInputMessage="1" showErrorMessage="1" sqref="H2:H1244" xr:uid="{45B14BCB-7D73-412A-8323-F4C1B79ED893}">
      <formula1>$AL$2:$AL$9</formula1>
    </dataValidation>
    <dataValidation type="list" allowBlank="1" showInputMessage="1" showErrorMessage="1" sqref="F2:F136" xr:uid="{60A95C4F-D9C0-4FF1-96D6-86B44DED9F72}">
      <formula1>$AH$2:$AH$11</formula1>
    </dataValidation>
    <dataValidation type="list" allowBlank="1" showInputMessage="1" showErrorMessage="1" sqref="E2:E136" xr:uid="{1F8B1CFF-1157-4473-91DD-111028518EC6}">
      <formula1>$AG$2:$AG$11</formula1>
    </dataValidation>
    <dataValidation type="list" allowBlank="1" showInputMessage="1" showErrorMessage="1" sqref="A3:A136" xr:uid="{95320B7F-1B9B-41C5-B1EC-1A49AFBA2778}">
      <formula1>$AE$2:$AE$19</formula1>
    </dataValidation>
    <dataValidation type="list" allowBlank="1" showInputMessage="1" showErrorMessage="1" sqref="G2:G303" xr:uid="{646FB40E-B5B1-483D-8623-E6144F1C502B}">
      <formula1>$AJ$2:$AJ$4</formula1>
    </dataValidation>
    <dataValidation type="list" allowBlank="1" showInputMessage="1" showErrorMessage="1" sqref="Y2:AA136" xr:uid="{C5AA06B4-53B1-44AB-9494-8F073FB9B026}">
      <formula1>$AV$2:$AV$23</formula1>
    </dataValidation>
    <dataValidation type="list" allowBlank="1" showInputMessage="1" showErrorMessage="1" sqref="K2:K117" xr:uid="{213995DB-A034-4261-8632-789BBCB1CE5A}">
      <formula1>$AR$2:$AR$26</formula1>
    </dataValidation>
    <dataValidation allowBlank="1" showInputMessage="1" showErrorMessage="1" sqref="B3:B67" xr:uid="{3B5CE80B-5A41-44E1-A497-5DA3D90E9F7E}"/>
    <dataValidation type="list" allowBlank="1" showInputMessage="1" showErrorMessage="1" sqref="K118:K136" xr:uid="{D8F5D3E5-50FD-48EE-8983-2AA8800B875F}">
      <formula1>$AR$2:$AR$25</formula1>
    </dataValidation>
  </dataValidations>
  <pageMargins left="0.69930555555555596" right="0.69930555555555596"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13F83-572D-485E-87E5-EDED0B889853}">
  <dimension ref="A1:BA154"/>
  <sheetViews>
    <sheetView zoomScale="85" zoomScaleNormal="85" workbookViewId="0">
      <pane ySplit="1" topLeftCell="A2" activePane="bottomLeft" state="frozen"/>
      <selection pane="bottomLeft" activeCell="A2" sqref="A2"/>
    </sheetView>
  </sheetViews>
  <sheetFormatPr defaultColWidth="9" defaultRowHeight="13.5" x14ac:dyDescent="0.15"/>
  <cols>
    <col min="1" max="3" width="9" style="77"/>
    <col min="4" max="4" width="10.5" style="77" customWidth="1"/>
    <col min="5" max="13" width="9" style="77"/>
    <col min="14" max="14" width="9.5" style="77" customWidth="1"/>
    <col min="15" max="16" width="9" style="77"/>
    <col min="17" max="17" width="9" style="16"/>
    <col min="18" max="19" width="9" style="77"/>
    <col min="20" max="20" width="9" style="16"/>
    <col min="21" max="21" width="9" style="77"/>
    <col min="22" max="22" width="9" style="16"/>
    <col min="23" max="32" width="9" style="77"/>
    <col min="33" max="33" width="15.875" style="77" customWidth="1"/>
    <col min="34" max="34" width="11.375" style="77" customWidth="1"/>
    <col min="35" max="259" width="9" style="77"/>
    <col min="260" max="260" width="10.5" style="77" customWidth="1"/>
    <col min="261" max="269" width="9" style="77"/>
    <col min="270" max="270" width="9.5" style="77" customWidth="1"/>
    <col min="271" max="288" width="9" style="77"/>
    <col min="289" max="289" width="15.875" style="77" customWidth="1"/>
    <col min="290" max="290" width="11.375" style="77" customWidth="1"/>
    <col min="291" max="515" width="9" style="77"/>
    <col min="516" max="516" width="10.5" style="77" customWidth="1"/>
    <col min="517" max="525" width="9" style="77"/>
    <col min="526" max="526" width="9.5" style="77" customWidth="1"/>
    <col min="527" max="544" width="9" style="77"/>
    <col min="545" max="545" width="15.875" style="77" customWidth="1"/>
    <col min="546" max="546" width="11.375" style="77" customWidth="1"/>
    <col min="547" max="771" width="9" style="77"/>
    <col min="772" max="772" width="10.5" style="77" customWidth="1"/>
    <col min="773" max="781" width="9" style="77"/>
    <col min="782" max="782" width="9.5" style="77" customWidth="1"/>
    <col min="783" max="800" width="9" style="77"/>
    <col min="801" max="801" width="15.875" style="77" customWidth="1"/>
    <col min="802" max="802" width="11.375" style="77" customWidth="1"/>
    <col min="803" max="1027" width="9" style="77"/>
    <col min="1028" max="1028" width="10.5" style="77" customWidth="1"/>
    <col min="1029" max="1037" width="9" style="77"/>
    <col min="1038" max="1038" width="9.5" style="77" customWidth="1"/>
    <col min="1039" max="1056" width="9" style="77"/>
    <col min="1057" max="1057" width="15.875" style="77" customWidth="1"/>
    <col min="1058" max="1058" width="11.375" style="77" customWidth="1"/>
    <col min="1059" max="1283" width="9" style="77"/>
    <col min="1284" max="1284" width="10.5" style="77" customWidth="1"/>
    <col min="1285" max="1293" width="9" style="77"/>
    <col min="1294" max="1294" width="9.5" style="77" customWidth="1"/>
    <col min="1295" max="1312" width="9" style="77"/>
    <col min="1313" max="1313" width="15.875" style="77" customWidth="1"/>
    <col min="1314" max="1314" width="11.375" style="77" customWidth="1"/>
    <col min="1315" max="1539" width="9" style="77"/>
    <col min="1540" max="1540" width="10.5" style="77" customWidth="1"/>
    <col min="1541" max="1549" width="9" style="77"/>
    <col min="1550" max="1550" width="9.5" style="77" customWidth="1"/>
    <col min="1551" max="1568" width="9" style="77"/>
    <col min="1569" max="1569" width="15.875" style="77" customWidth="1"/>
    <col min="1570" max="1570" width="11.375" style="77" customWidth="1"/>
    <col min="1571" max="1795" width="9" style="77"/>
    <col min="1796" max="1796" width="10.5" style="77" customWidth="1"/>
    <col min="1797" max="1805" width="9" style="77"/>
    <col min="1806" max="1806" width="9.5" style="77" customWidth="1"/>
    <col min="1807" max="1824" width="9" style="77"/>
    <col min="1825" max="1825" width="15.875" style="77" customWidth="1"/>
    <col min="1826" max="1826" width="11.375" style="77" customWidth="1"/>
    <col min="1827" max="2051" width="9" style="77"/>
    <col min="2052" max="2052" width="10.5" style="77" customWidth="1"/>
    <col min="2053" max="2061" width="9" style="77"/>
    <col min="2062" max="2062" width="9.5" style="77" customWidth="1"/>
    <col min="2063" max="2080" width="9" style="77"/>
    <col min="2081" max="2081" width="15.875" style="77" customWidth="1"/>
    <col min="2082" max="2082" width="11.375" style="77" customWidth="1"/>
    <col min="2083" max="2307" width="9" style="77"/>
    <col min="2308" max="2308" width="10.5" style="77" customWidth="1"/>
    <col min="2309" max="2317" width="9" style="77"/>
    <col min="2318" max="2318" width="9.5" style="77" customWidth="1"/>
    <col min="2319" max="2336" width="9" style="77"/>
    <col min="2337" max="2337" width="15.875" style="77" customWidth="1"/>
    <col min="2338" max="2338" width="11.375" style="77" customWidth="1"/>
    <col min="2339" max="2563" width="9" style="77"/>
    <col min="2564" max="2564" width="10.5" style="77" customWidth="1"/>
    <col min="2565" max="2573" width="9" style="77"/>
    <col min="2574" max="2574" width="9.5" style="77" customWidth="1"/>
    <col min="2575" max="2592" width="9" style="77"/>
    <col min="2593" max="2593" width="15.875" style="77" customWidth="1"/>
    <col min="2594" max="2594" width="11.375" style="77" customWidth="1"/>
    <col min="2595" max="2819" width="9" style="77"/>
    <col min="2820" max="2820" width="10.5" style="77" customWidth="1"/>
    <col min="2821" max="2829" width="9" style="77"/>
    <col min="2830" max="2830" width="9.5" style="77" customWidth="1"/>
    <col min="2831" max="2848" width="9" style="77"/>
    <col min="2849" max="2849" width="15.875" style="77" customWidth="1"/>
    <col min="2850" max="2850" width="11.375" style="77" customWidth="1"/>
    <col min="2851" max="3075" width="9" style="77"/>
    <col min="3076" max="3076" width="10.5" style="77" customWidth="1"/>
    <col min="3077" max="3085" width="9" style="77"/>
    <col min="3086" max="3086" width="9.5" style="77" customWidth="1"/>
    <col min="3087" max="3104" width="9" style="77"/>
    <col min="3105" max="3105" width="15.875" style="77" customWidth="1"/>
    <col min="3106" max="3106" width="11.375" style="77" customWidth="1"/>
    <col min="3107" max="3331" width="9" style="77"/>
    <col min="3332" max="3332" width="10.5" style="77" customWidth="1"/>
    <col min="3333" max="3341" width="9" style="77"/>
    <col min="3342" max="3342" width="9.5" style="77" customWidth="1"/>
    <col min="3343" max="3360" width="9" style="77"/>
    <col min="3361" max="3361" width="15.875" style="77" customWidth="1"/>
    <col min="3362" max="3362" width="11.375" style="77" customWidth="1"/>
    <col min="3363" max="3587" width="9" style="77"/>
    <col min="3588" max="3588" width="10.5" style="77" customWidth="1"/>
    <col min="3589" max="3597" width="9" style="77"/>
    <col min="3598" max="3598" width="9.5" style="77" customWidth="1"/>
    <col min="3599" max="3616" width="9" style="77"/>
    <col min="3617" max="3617" width="15.875" style="77" customWidth="1"/>
    <col min="3618" max="3618" width="11.375" style="77" customWidth="1"/>
    <col min="3619" max="3843" width="9" style="77"/>
    <col min="3844" max="3844" width="10.5" style="77" customWidth="1"/>
    <col min="3845" max="3853" width="9" style="77"/>
    <col min="3854" max="3854" width="9.5" style="77" customWidth="1"/>
    <col min="3855" max="3872" width="9" style="77"/>
    <col min="3873" max="3873" width="15.875" style="77" customWidth="1"/>
    <col min="3874" max="3874" width="11.375" style="77" customWidth="1"/>
    <col min="3875" max="4099" width="9" style="77"/>
    <col min="4100" max="4100" width="10.5" style="77" customWidth="1"/>
    <col min="4101" max="4109" width="9" style="77"/>
    <col min="4110" max="4110" width="9.5" style="77" customWidth="1"/>
    <col min="4111" max="4128" width="9" style="77"/>
    <col min="4129" max="4129" width="15.875" style="77" customWidth="1"/>
    <col min="4130" max="4130" width="11.375" style="77" customWidth="1"/>
    <col min="4131" max="4355" width="9" style="77"/>
    <col min="4356" max="4356" width="10.5" style="77" customWidth="1"/>
    <col min="4357" max="4365" width="9" style="77"/>
    <col min="4366" max="4366" width="9.5" style="77" customWidth="1"/>
    <col min="4367" max="4384" width="9" style="77"/>
    <col min="4385" max="4385" width="15.875" style="77" customWidth="1"/>
    <col min="4386" max="4386" width="11.375" style="77" customWidth="1"/>
    <col min="4387" max="4611" width="9" style="77"/>
    <col min="4612" max="4612" width="10.5" style="77" customWidth="1"/>
    <col min="4613" max="4621" width="9" style="77"/>
    <col min="4622" max="4622" width="9.5" style="77" customWidth="1"/>
    <col min="4623" max="4640" width="9" style="77"/>
    <col min="4641" max="4641" width="15.875" style="77" customWidth="1"/>
    <col min="4642" max="4642" width="11.375" style="77" customWidth="1"/>
    <col min="4643" max="4867" width="9" style="77"/>
    <col min="4868" max="4868" width="10.5" style="77" customWidth="1"/>
    <col min="4869" max="4877" width="9" style="77"/>
    <col min="4878" max="4878" width="9.5" style="77" customWidth="1"/>
    <col min="4879" max="4896" width="9" style="77"/>
    <col min="4897" max="4897" width="15.875" style="77" customWidth="1"/>
    <col min="4898" max="4898" width="11.375" style="77" customWidth="1"/>
    <col min="4899" max="5123" width="9" style="77"/>
    <col min="5124" max="5124" width="10.5" style="77" customWidth="1"/>
    <col min="5125" max="5133" width="9" style="77"/>
    <col min="5134" max="5134" width="9.5" style="77" customWidth="1"/>
    <col min="5135" max="5152" width="9" style="77"/>
    <col min="5153" max="5153" width="15.875" style="77" customWidth="1"/>
    <col min="5154" max="5154" width="11.375" style="77" customWidth="1"/>
    <col min="5155" max="5379" width="9" style="77"/>
    <col min="5380" max="5380" width="10.5" style="77" customWidth="1"/>
    <col min="5381" max="5389" width="9" style="77"/>
    <col min="5390" max="5390" width="9.5" style="77" customWidth="1"/>
    <col min="5391" max="5408" width="9" style="77"/>
    <col min="5409" max="5409" width="15.875" style="77" customWidth="1"/>
    <col min="5410" max="5410" width="11.375" style="77" customWidth="1"/>
    <col min="5411" max="5635" width="9" style="77"/>
    <col min="5636" max="5636" width="10.5" style="77" customWidth="1"/>
    <col min="5637" max="5645" width="9" style="77"/>
    <col min="5646" max="5646" width="9.5" style="77" customWidth="1"/>
    <col min="5647" max="5664" width="9" style="77"/>
    <col min="5665" max="5665" width="15.875" style="77" customWidth="1"/>
    <col min="5666" max="5666" width="11.375" style="77" customWidth="1"/>
    <col min="5667" max="5891" width="9" style="77"/>
    <col min="5892" max="5892" width="10.5" style="77" customWidth="1"/>
    <col min="5893" max="5901" width="9" style="77"/>
    <col min="5902" max="5902" width="9.5" style="77" customWidth="1"/>
    <col min="5903" max="5920" width="9" style="77"/>
    <col min="5921" max="5921" width="15.875" style="77" customWidth="1"/>
    <col min="5922" max="5922" width="11.375" style="77" customWidth="1"/>
    <col min="5923" max="6147" width="9" style="77"/>
    <col min="6148" max="6148" width="10.5" style="77" customWidth="1"/>
    <col min="6149" max="6157" width="9" style="77"/>
    <col min="6158" max="6158" width="9.5" style="77" customWidth="1"/>
    <col min="6159" max="6176" width="9" style="77"/>
    <col min="6177" max="6177" width="15.875" style="77" customWidth="1"/>
    <col min="6178" max="6178" width="11.375" style="77" customWidth="1"/>
    <col min="6179" max="6403" width="9" style="77"/>
    <col min="6404" max="6404" width="10.5" style="77" customWidth="1"/>
    <col min="6405" max="6413" width="9" style="77"/>
    <col min="6414" max="6414" width="9.5" style="77" customWidth="1"/>
    <col min="6415" max="6432" width="9" style="77"/>
    <col min="6433" max="6433" width="15.875" style="77" customWidth="1"/>
    <col min="6434" max="6434" width="11.375" style="77" customWidth="1"/>
    <col min="6435" max="6659" width="9" style="77"/>
    <col min="6660" max="6660" width="10.5" style="77" customWidth="1"/>
    <col min="6661" max="6669" width="9" style="77"/>
    <col min="6670" max="6670" width="9.5" style="77" customWidth="1"/>
    <col min="6671" max="6688" width="9" style="77"/>
    <col min="6689" max="6689" width="15.875" style="77" customWidth="1"/>
    <col min="6690" max="6690" width="11.375" style="77" customWidth="1"/>
    <col min="6691" max="6915" width="9" style="77"/>
    <col min="6916" max="6916" width="10.5" style="77" customWidth="1"/>
    <col min="6917" max="6925" width="9" style="77"/>
    <col min="6926" max="6926" width="9.5" style="77" customWidth="1"/>
    <col min="6927" max="6944" width="9" style="77"/>
    <col min="6945" max="6945" width="15.875" style="77" customWidth="1"/>
    <col min="6946" max="6946" width="11.375" style="77" customWidth="1"/>
    <col min="6947" max="7171" width="9" style="77"/>
    <col min="7172" max="7172" width="10.5" style="77" customWidth="1"/>
    <col min="7173" max="7181" width="9" style="77"/>
    <col min="7182" max="7182" width="9.5" style="77" customWidth="1"/>
    <col min="7183" max="7200" width="9" style="77"/>
    <col min="7201" max="7201" width="15.875" style="77" customWidth="1"/>
    <col min="7202" max="7202" width="11.375" style="77" customWidth="1"/>
    <col min="7203" max="7427" width="9" style="77"/>
    <col min="7428" max="7428" width="10.5" style="77" customWidth="1"/>
    <col min="7429" max="7437" width="9" style="77"/>
    <col min="7438" max="7438" width="9.5" style="77" customWidth="1"/>
    <col min="7439" max="7456" width="9" style="77"/>
    <col min="7457" max="7457" width="15.875" style="77" customWidth="1"/>
    <col min="7458" max="7458" width="11.375" style="77" customWidth="1"/>
    <col min="7459" max="7683" width="9" style="77"/>
    <col min="7684" max="7684" width="10.5" style="77" customWidth="1"/>
    <col min="7685" max="7693" width="9" style="77"/>
    <col min="7694" max="7694" width="9.5" style="77" customWidth="1"/>
    <col min="7695" max="7712" width="9" style="77"/>
    <col min="7713" max="7713" width="15.875" style="77" customWidth="1"/>
    <col min="7714" max="7714" width="11.375" style="77" customWidth="1"/>
    <col min="7715" max="7939" width="9" style="77"/>
    <col min="7940" max="7940" width="10.5" style="77" customWidth="1"/>
    <col min="7941" max="7949" width="9" style="77"/>
    <col min="7950" max="7950" width="9.5" style="77" customWidth="1"/>
    <col min="7951" max="7968" width="9" style="77"/>
    <col min="7969" max="7969" width="15.875" style="77" customWidth="1"/>
    <col min="7970" max="7970" width="11.375" style="77" customWidth="1"/>
    <col min="7971" max="8195" width="9" style="77"/>
    <col min="8196" max="8196" width="10.5" style="77" customWidth="1"/>
    <col min="8197" max="8205" width="9" style="77"/>
    <col min="8206" max="8206" width="9.5" style="77" customWidth="1"/>
    <col min="8207" max="8224" width="9" style="77"/>
    <col min="8225" max="8225" width="15.875" style="77" customWidth="1"/>
    <col min="8226" max="8226" width="11.375" style="77" customWidth="1"/>
    <col min="8227" max="8451" width="9" style="77"/>
    <col min="8452" max="8452" width="10.5" style="77" customWidth="1"/>
    <col min="8453" max="8461" width="9" style="77"/>
    <col min="8462" max="8462" width="9.5" style="77" customWidth="1"/>
    <col min="8463" max="8480" width="9" style="77"/>
    <col min="8481" max="8481" width="15.875" style="77" customWidth="1"/>
    <col min="8482" max="8482" width="11.375" style="77" customWidth="1"/>
    <col min="8483" max="8707" width="9" style="77"/>
    <col min="8708" max="8708" width="10.5" style="77" customWidth="1"/>
    <col min="8709" max="8717" width="9" style="77"/>
    <col min="8718" max="8718" width="9.5" style="77" customWidth="1"/>
    <col min="8719" max="8736" width="9" style="77"/>
    <col min="8737" max="8737" width="15.875" style="77" customWidth="1"/>
    <col min="8738" max="8738" width="11.375" style="77" customWidth="1"/>
    <col min="8739" max="8963" width="9" style="77"/>
    <col min="8964" max="8964" width="10.5" style="77" customWidth="1"/>
    <col min="8965" max="8973" width="9" style="77"/>
    <col min="8974" max="8974" width="9.5" style="77" customWidth="1"/>
    <col min="8975" max="8992" width="9" style="77"/>
    <col min="8993" max="8993" width="15.875" style="77" customWidth="1"/>
    <col min="8994" max="8994" width="11.375" style="77" customWidth="1"/>
    <col min="8995" max="9219" width="9" style="77"/>
    <col min="9220" max="9220" width="10.5" style="77" customWidth="1"/>
    <col min="9221" max="9229" width="9" style="77"/>
    <col min="9230" max="9230" width="9.5" style="77" customWidth="1"/>
    <col min="9231" max="9248" width="9" style="77"/>
    <col min="9249" max="9249" width="15.875" style="77" customWidth="1"/>
    <col min="9250" max="9250" width="11.375" style="77" customWidth="1"/>
    <col min="9251" max="9475" width="9" style="77"/>
    <col min="9476" max="9476" width="10.5" style="77" customWidth="1"/>
    <col min="9477" max="9485" width="9" style="77"/>
    <col min="9486" max="9486" width="9.5" style="77" customWidth="1"/>
    <col min="9487" max="9504" width="9" style="77"/>
    <col min="9505" max="9505" width="15.875" style="77" customWidth="1"/>
    <col min="9506" max="9506" width="11.375" style="77" customWidth="1"/>
    <col min="9507" max="9731" width="9" style="77"/>
    <col min="9732" max="9732" width="10.5" style="77" customWidth="1"/>
    <col min="9733" max="9741" width="9" style="77"/>
    <col min="9742" max="9742" width="9.5" style="77" customWidth="1"/>
    <col min="9743" max="9760" width="9" style="77"/>
    <col min="9761" max="9761" width="15.875" style="77" customWidth="1"/>
    <col min="9762" max="9762" width="11.375" style="77" customWidth="1"/>
    <col min="9763" max="9987" width="9" style="77"/>
    <col min="9988" max="9988" width="10.5" style="77" customWidth="1"/>
    <col min="9989" max="9997" width="9" style="77"/>
    <col min="9998" max="9998" width="9.5" style="77" customWidth="1"/>
    <col min="9999" max="10016" width="9" style="77"/>
    <col min="10017" max="10017" width="15.875" style="77" customWidth="1"/>
    <col min="10018" max="10018" width="11.375" style="77" customWidth="1"/>
    <col min="10019" max="10243" width="9" style="77"/>
    <col min="10244" max="10244" width="10.5" style="77" customWidth="1"/>
    <col min="10245" max="10253" width="9" style="77"/>
    <col min="10254" max="10254" width="9.5" style="77" customWidth="1"/>
    <col min="10255" max="10272" width="9" style="77"/>
    <col min="10273" max="10273" width="15.875" style="77" customWidth="1"/>
    <col min="10274" max="10274" width="11.375" style="77" customWidth="1"/>
    <col min="10275" max="10499" width="9" style="77"/>
    <col min="10500" max="10500" width="10.5" style="77" customWidth="1"/>
    <col min="10501" max="10509" width="9" style="77"/>
    <col min="10510" max="10510" width="9.5" style="77" customWidth="1"/>
    <col min="10511" max="10528" width="9" style="77"/>
    <col min="10529" max="10529" width="15.875" style="77" customWidth="1"/>
    <col min="10530" max="10530" width="11.375" style="77" customWidth="1"/>
    <col min="10531" max="10755" width="9" style="77"/>
    <col min="10756" max="10756" width="10.5" style="77" customWidth="1"/>
    <col min="10757" max="10765" width="9" style="77"/>
    <col min="10766" max="10766" width="9.5" style="77" customWidth="1"/>
    <col min="10767" max="10784" width="9" style="77"/>
    <col min="10785" max="10785" width="15.875" style="77" customWidth="1"/>
    <col min="10786" max="10786" width="11.375" style="77" customWidth="1"/>
    <col min="10787" max="11011" width="9" style="77"/>
    <col min="11012" max="11012" width="10.5" style="77" customWidth="1"/>
    <col min="11013" max="11021" width="9" style="77"/>
    <col min="11022" max="11022" width="9.5" style="77" customWidth="1"/>
    <col min="11023" max="11040" width="9" style="77"/>
    <col min="11041" max="11041" width="15.875" style="77" customWidth="1"/>
    <col min="11042" max="11042" width="11.375" style="77" customWidth="1"/>
    <col min="11043" max="11267" width="9" style="77"/>
    <col min="11268" max="11268" width="10.5" style="77" customWidth="1"/>
    <col min="11269" max="11277" width="9" style="77"/>
    <col min="11278" max="11278" width="9.5" style="77" customWidth="1"/>
    <col min="11279" max="11296" width="9" style="77"/>
    <col min="11297" max="11297" width="15.875" style="77" customWidth="1"/>
    <col min="11298" max="11298" width="11.375" style="77" customWidth="1"/>
    <col min="11299" max="11523" width="9" style="77"/>
    <col min="11524" max="11524" width="10.5" style="77" customWidth="1"/>
    <col min="11525" max="11533" width="9" style="77"/>
    <col min="11534" max="11534" width="9.5" style="77" customWidth="1"/>
    <col min="11535" max="11552" width="9" style="77"/>
    <col min="11553" max="11553" width="15.875" style="77" customWidth="1"/>
    <col min="11554" max="11554" width="11.375" style="77" customWidth="1"/>
    <col min="11555" max="11779" width="9" style="77"/>
    <col min="11780" max="11780" width="10.5" style="77" customWidth="1"/>
    <col min="11781" max="11789" width="9" style="77"/>
    <col min="11790" max="11790" width="9.5" style="77" customWidth="1"/>
    <col min="11791" max="11808" width="9" style="77"/>
    <col min="11809" max="11809" width="15.875" style="77" customWidth="1"/>
    <col min="11810" max="11810" width="11.375" style="77" customWidth="1"/>
    <col min="11811" max="12035" width="9" style="77"/>
    <col min="12036" max="12036" width="10.5" style="77" customWidth="1"/>
    <col min="12037" max="12045" width="9" style="77"/>
    <col min="12046" max="12046" width="9.5" style="77" customWidth="1"/>
    <col min="12047" max="12064" width="9" style="77"/>
    <col min="12065" max="12065" width="15.875" style="77" customWidth="1"/>
    <col min="12066" max="12066" width="11.375" style="77" customWidth="1"/>
    <col min="12067" max="12291" width="9" style="77"/>
    <col min="12292" max="12292" width="10.5" style="77" customWidth="1"/>
    <col min="12293" max="12301" width="9" style="77"/>
    <col min="12302" max="12302" width="9.5" style="77" customWidth="1"/>
    <col min="12303" max="12320" width="9" style="77"/>
    <col min="12321" max="12321" width="15.875" style="77" customWidth="1"/>
    <col min="12322" max="12322" width="11.375" style="77" customWidth="1"/>
    <col min="12323" max="12547" width="9" style="77"/>
    <col min="12548" max="12548" width="10.5" style="77" customWidth="1"/>
    <col min="12549" max="12557" width="9" style="77"/>
    <col min="12558" max="12558" width="9.5" style="77" customWidth="1"/>
    <col min="12559" max="12576" width="9" style="77"/>
    <col min="12577" max="12577" width="15.875" style="77" customWidth="1"/>
    <col min="12578" max="12578" width="11.375" style="77" customWidth="1"/>
    <col min="12579" max="12803" width="9" style="77"/>
    <col min="12804" max="12804" width="10.5" style="77" customWidth="1"/>
    <col min="12805" max="12813" width="9" style="77"/>
    <col min="12814" max="12814" width="9.5" style="77" customWidth="1"/>
    <col min="12815" max="12832" width="9" style="77"/>
    <col min="12833" max="12833" width="15.875" style="77" customWidth="1"/>
    <col min="12834" max="12834" width="11.375" style="77" customWidth="1"/>
    <col min="12835" max="13059" width="9" style="77"/>
    <col min="13060" max="13060" width="10.5" style="77" customWidth="1"/>
    <col min="13061" max="13069" width="9" style="77"/>
    <col min="13070" max="13070" width="9.5" style="77" customWidth="1"/>
    <col min="13071" max="13088" width="9" style="77"/>
    <col min="13089" max="13089" width="15.875" style="77" customWidth="1"/>
    <col min="13090" max="13090" width="11.375" style="77" customWidth="1"/>
    <col min="13091" max="13315" width="9" style="77"/>
    <col min="13316" max="13316" width="10.5" style="77" customWidth="1"/>
    <col min="13317" max="13325" width="9" style="77"/>
    <col min="13326" max="13326" width="9.5" style="77" customWidth="1"/>
    <col min="13327" max="13344" width="9" style="77"/>
    <col min="13345" max="13345" width="15.875" style="77" customWidth="1"/>
    <col min="13346" max="13346" width="11.375" style="77" customWidth="1"/>
    <col min="13347" max="13571" width="9" style="77"/>
    <col min="13572" max="13572" width="10.5" style="77" customWidth="1"/>
    <col min="13573" max="13581" width="9" style="77"/>
    <col min="13582" max="13582" width="9.5" style="77" customWidth="1"/>
    <col min="13583" max="13600" width="9" style="77"/>
    <col min="13601" max="13601" width="15.875" style="77" customWidth="1"/>
    <col min="13602" max="13602" width="11.375" style="77" customWidth="1"/>
    <col min="13603" max="13827" width="9" style="77"/>
    <col min="13828" max="13828" width="10.5" style="77" customWidth="1"/>
    <col min="13829" max="13837" width="9" style="77"/>
    <col min="13838" max="13838" width="9.5" style="77" customWidth="1"/>
    <col min="13839" max="13856" width="9" style="77"/>
    <col min="13857" max="13857" width="15.875" style="77" customWidth="1"/>
    <col min="13858" max="13858" width="11.375" style="77" customWidth="1"/>
    <col min="13859" max="14083" width="9" style="77"/>
    <col min="14084" max="14084" width="10.5" style="77" customWidth="1"/>
    <col min="14085" max="14093" width="9" style="77"/>
    <col min="14094" max="14094" width="9.5" style="77" customWidth="1"/>
    <col min="14095" max="14112" width="9" style="77"/>
    <col min="14113" max="14113" width="15.875" style="77" customWidth="1"/>
    <col min="14114" max="14114" width="11.375" style="77" customWidth="1"/>
    <col min="14115" max="14339" width="9" style="77"/>
    <col min="14340" max="14340" width="10.5" style="77" customWidth="1"/>
    <col min="14341" max="14349" width="9" style="77"/>
    <col min="14350" max="14350" width="9.5" style="77" customWidth="1"/>
    <col min="14351" max="14368" width="9" style="77"/>
    <col min="14369" max="14369" width="15.875" style="77" customWidth="1"/>
    <col min="14370" max="14370" width="11.375" style="77" customWidth="1"/>
    <col min="14371" max="14595" width="9" style="77"/>
    <col min="14596" max="14596" width="10.5" style="77" customWidth="1"/>
    <col min="14597" max="14605" width="9" style="77"/>
    <col min="14606" max="14606" width="9.5" style="77" customWidth="1"/>
    <col min="14607" max="14624" width="9" style="77"/>
    <col min="14625" max="14625" width="15.875" style="77" customWidth="1"/>
    <col min="14626" max="14626" width="11.375" style="77" customWidth="1"/>
    <col min="14627" max="14851" width="9" style="77"/>
    <col min="14852" max="14852" width="10.5" style="77" customWidth="1"/>
    <col min="14853" max="14861" width="9" style="77"/>
    <col min="14862" max="14862" width="9.5" style="77" customWidth="1"/>
    <col min="14863" max="14880" width="9" style="77"/>
    <col min="14881" max="14881" width="15.875" style="77" customWidth="1"/>
    <col min="14882" max="14882" width="11.375" style="77" customWidth="1"/>
    <col min="14883" max="15107" width="9" style="77"/>
    <col min="15108" max="15108" width="10.5" style="77" customWidth="1"/>
    <col min="15109" max="15117" width="9" style="77"/>
    <col min="15118" max="15118" width="9.5" style="77" customWidth="1"/>
    <col min="15119" max="15136" width="9" style="77"/>
    <col min="15137" max="15137" width="15.875" style="77" customWidth="1"/>
    <col min="15138" max="15138" width="11.375" style="77" customWidth="1"/>
    <col min="15139" max="15363" width="9" style="77"/>
    <col min="15364" max="15364" width="10.5" style="77" customWidth="1"/>
    <col min="15365" max="15373" width="9" style="77"/>
    <col min="15374" max="15374" width="9.5" style="77" customWidth="1"/>
    <col min="15375" max="15392" width="9" style="77"/>
    <col min="15393" max="15393" width="15.875" style="77" customWidth="1"/>
    <col min="15394" max="15394" width="11.375" style="77" customWidth="1"/>
    <col min="15395" max="15619" width="9" style="77"/>
    <col min="15620" max="15620" width="10.5" style="77" customWidth="1"/>
    <col min="15621" max="15629" width="9" style="77"/>
    <col min="15630" max="15630" width="9.5" style="77" customWidth="1"/>
    <col min="15631" max="15648" width="9" style="77"/>
    <col min="15649" max="15649" width="15.875" style="77" customWidth="1"/>
    <col min="15650" max="15650" width="11.375" style="77" customWidth="1"/>
    <col min="15651" max="15875" width="9" style="77"/>
    <col min="15876" max="15876" width="10.5" style="77" customWidth="1"/>
    <col min="15877" max="15885" width="9" style="77"/>
    <col min="15886" max="15886" width="9.5" style="77" customWidth="1"/>
    <col min="15887" max="15904" width="9" style="77"/>
    <col min="15905" max="15905" width="15.875" style="77" customWidth="1"/>
    <col min="15906" max="15906" width="11.375" style="77" customWidth="1"/>
    <col min="15907" max="16131" width="9" style="77"/>
    <col min="16132" max="16132" width="10.5" style="77" customWidth="1"/>
    <col min="16133" max="16141" width="9" style="77"/>
    <col min="16142" max="16142" width="9.5" style="77" customWidth="1"/>
    <col min="16143" max="16160" width="9" style="77"/>
    <col min="16161" max="16161" width="15.875" style="77" customWidth="1"/>
    <col min="16162" max="16162" width="11.375" style="77" customWidth="1"/>
    <col min="16163" max="16384" width="9" style="77"/>
  </cols>
  <sheetData>
    <row r="1" spans="1:53" ht="45" x14ac:dyDescent="0.15">
      <c r="A1" s="179" t="s">
        <v>0</v>
      </c>
      <c r="B1" s="92" t="s">
        <v>175</v>
      </c>
      <c r="C1" s="92" t="s">
        <v>176</v>
      </c>
      <c r="D1" s="93" t="s">
        <v>2</v>
      </c>
      <c r="E1" s="180" t="s">
        <v>3</v>
      </c>
      <c r="F1" s="180" t="s">
        <v>4</v>
      </c>
      <c r="G1" s="180" t="s">
        <v>5</v>
      </c>
      <c r="H1" s="180" t="s">
        <v>6</v>
      </c>
      <c r="I1" s="180" t="s">
        <v>7</v>
      </c>
      <c r="J1" s="180" t="s">
        <v>8</v>
      </c>
      <c r="K1" s="180" t="s">
        <v>9</v>
      </c>
      <c r="L1" s="93" t="s">
        <v>177</v>
      </c>
      <c r="M1" s="93" t="s">
        <v>178</v>
      </c>
      <c r="N1" s="93" t="s">
        <v>11</v>
      </c>
      <c r="O1" s="93" t="s">
        <v>179</v>
      </c>
      <c r="P1" s="93" t="s">
        <v>180</v>
      </c>
      <c r="Q1" s="3" t="s">
        <v>181</v>
      </c>
      <c r="R1" s="93" t="s">
        <v>182</v>
      </c>
      <c r="S1" s="93" t="s">
        <v>183</v>
      </c>
      <c r="T1" s="3" t="s">
        <v>13</v>
      </c>
      <c r="U1" s="114" t="s">
        <v>92</v>
      </c>
      <c r="V1" s="5" t="s">
        <v>14</v>
      </c>
      <c r="W1" s="93" t="s">
        <v>184</v>
      </c>
      <c r="X1" s="180" t="s">
        <v>16</v>
      </c>
      <c r="Y1" s="180" t="s">
        <v>17</v>
      </c>
      <c r="Z1" s="180" t="s">
        <v>18</v>
      </c>
      <c r="AA1" s="181" t="s">
        <v>19</v>
      </c>
      <c r="AB1" s="115" t="s">
        <v>185</v>
      </c>
      <c r="AE1" s="96" t="s">
        <v>0</v>
      </c>
      <c r="AF1" s="116"/>
      <c r="AG1" s="96" t="s">
        <v>3</v>
      </c>
      <c r="AH1" s="96" t="s">
        <v>4</v>
      </c>
      <c r="AI1" s="116"/>
      <c r="AJ1" s="96" t="s">
        <v>5</v>
      </c>
      <c r="AK1" s="116"/>
      <c r="AL1" s="10" t="s">
        <v>6</v>
      </c>
      <c r="AM1" s="116"/>
      <c r="AN1" s="10" t="s">
        <v>7</v>
      </c>
      <c r="AO1" s="116"/>
      <c r="AP1" s="10" t="s">
        <v>20</v>
      </c>
      <c r="AQ1" s="116"/>
      <c r="AR1" s="10" t="s">
        <v>9</v>
      </c>
      <c r="AS1" s="116"/>
      <c r="AT1" s="11" t="s">
        <v>186</v>
      </c>
      <c r="AU1" s="116"/>
      <c r="AV1" s="10" t="s">
        <v>22</v>
      </c>
      <c r="AX1" s="12" t="s">
        <v>388</v>
      </c>
      <c r="AY1" s="13" t="s">
        <v>188</v>
      </c>
      <c r="AZ1" s="13" t="s">
        <v>389</v>
      </c>
      <c r="BA1" s="14" t="s">
        <v>190</v>
      </c>
    </row>
    <row r="2" spans="1:53" x14ac:dyDescent="0.15">
      <c r="A2" s="77" t="s">
        <v>44</v>
      </c>
      <c r="B2" s="77" t="s">
        <v>191</v>
      </c>
      <c r="C2" s="77">
        <v>2020</v>
      </c>
      <c r="D2" s="182" t="s">
        <v>413</v>
      </c>
      <c r="E2" s="77" t="s">
        <v>414</v>
      </c>
      <c r="F2" s="77" t="s">
        <v>415</v>
      </c>
      <c r="G2" s="77" t="s">
        <v>31</v>
      </c>
      <c r="H2" s="77" t="s">
        <v>113</v>
      </c>
      <c r="I2" s="77" t="s">
        <v>165</v>
      </c>
      <c r="J2" s="77" t="s">
        <v>27</v>
      </c>
      <c r="K2" s="77" t="s">
        <v>112</v>
      </c>
      <c r="L2" s="77">
        <v>1</v>
      </c>
      <c r="N2" s="77">
        <v>4</v>
      </c>
      <c r="O2" s="77">
        <v>0.7</v>
      </c>
      <c r="P2" s="77">
        <v>0.7</v>
      </c>
      <c r="Q2" s="44">
        <f t="shared" ref="Q2:Q65" si="0">IF(OR(O2="",P2=""),"",AVERAGE(O2,P2))</f>
        <v>0.7</v>
      </c>
      <c r="R2" s="77">
        <v>13</v>
      </c>
      <c r="S2" s="77">
        <v>100</v>
      </c>
      <c r="T2" s="16">
        <f t="shared" ref="T2:T65" si="1">IF(H2="","",IF(OR(H2="GREEN",H2="GK"),IF(S2&gt;=$AX$2,VLOOKUP(S2,$AX$2:$AY$10,2,1),""),IF(S2&gt;=$AZ$2,VLOOKUP(S2,$AZ$2:$BA$10,2,1),"")))</f>
        <v>33</v>
      </c>
      <c r="U2" s="77">
        <v>499</v>
      </c>
      <c r="V2" s="16">
        <f t="shared" ref="V2:V65" si="2">IF(OR(N2="",U2="",T2=""),"",U2/N2*T2)</f>
        <v>4116.75</v>
      </c>
      <c r="W2" s="77">
        <v>2</v>
      </c>
      <c r="X2" s="77" t="s">
        <v>28</v>
      </c>
      <c r="Y2" s="77" t="s">
        <v>74</v>
      </c>
      <c r="Z2" s="77" t="s">
        <v>43</v>
      </c>
      <c r="AA2" s="77" t="s">
        <v>72</v>
      </c>
      <c r="AB2" s="77" t="s">
        <v>195</v>
      </c>
      <c r="AE2" s="103" t="s">
        <v>24</v>
      </c>
      <c r="AG2" s="80" t="s">
        <v>416</v>
      </c>
      <c r="AH2" s="183" t="s">
        <v>417</v>
      </c>
      <c r="AJ2" s="50" t="s">
        <v>25</v>
      </c>
      <c r="AL2" s="50" t="s">
        <v>196</v>
      </c>
      <c r="AN2" s="50" t="s">
        <v>26</v>
      </c>
      <c r="AP2" s="50" t="s">
        <v>27</v>
      </c>
      <c r="AR2" s="50" t="s">
        <v>112</v>
      </c>
      <c r="AT2" s="50" t="s">
        <v>28</v>
      </c>
      <c r="AV2" s="50" t="s">
        <v>29</v>
      </c>
      <c r="AX2" s="107">
        <v>1</v>
      </c>
      <c r="AY2" s="108">
        <v>50</v>
      </c>
      <c r="AZ2" s="108">
        <v>1</v>
      </c>
      <c r="BA2" s="109">
        <v>50</v>
      </c>
    </row>
    <row r="3" spans="1:53" x14ac:dyDescent="0.15">
      <c r="A3" s="77" t="s">
        <v>44</v>
      </c>
      <c r="B3" s="77" t="s">
        <v>191</v>
      </c>
      <c r="C3" s="77">
        <v>2020</v>
      </c>
      <c r="D3" s="182" t="s">
        <v>413</v>
      </c>
      <c r="E3" s="77" t="s">
        <v>414</v>
      </c>
      <c r="F3" s="77" t="s">
        <v>415</v>
      </c>
      <c r="G3" s="77" t="s">
        <v>31</v>
      </c>
      <c r="H3" s="77" t="s">
        <v>113</v>
      </c>
      <c r="I3" s="77" t="s">
        <v>165</v>
      </c>
      <c r="J3" s="77" t="s">
        <v>27</v>
      </c>
      <c r="K3" s="77" t="s">
        <v>112</v>
      </c>
      <c r="L3" s="77">
        <v>2</v>
      </c>
      <c r="N3" s="77">
        <v>4</v>
      </c>
      <c r="O3" s="77">
        <v>0.65</v>
      </c>
      <c r="P3" s="77">
        <v>0.65</v>
      </c>
      <c r="Q3" s="44">
        <f t="shared" si="0"/>
        <v>0.65</v>
      </c>
      <c r="R3" s="77">
        <v>15.2</v>
      </c>
      <c r="S3" s="77">
        <v>98</v>
      </c>
      <c r="T3" s="16">
        <f t="shared" si="1"/>
        <v>36</v>
      </c>
      <c r="U3" s="77">
        <v>499</v>
      </c>
      <c r="V3" s="16">
        <f t="shared" si="2"/>
        <v>4491</v>
      </c>
      <c r="W3" s="77">
        <v>2</v>
      </c>
      <c r="X3" s="77" t="s">
        <v>28</v>
      </c>
      <c r="Y3" s="77" t="s">
        <v>74</v>
      </c>
      <c r="Z3" s="77" t="s">
        <v>43</v>
      </c>
      <c r="AA3" s="77" t="s">
        <v>72</v>
      </c>
      <c r="AB3" s="77" t="s">
        <v>195</v>
      </c>
      <c r="AE3" s="22" t="s">
        <v>30</v>
      </c>
      <c r="AG3" s="80" t="s">
        <v>418</v>
      </c>
      <c r="AH3" s="183" t="s">
        <v>419</v>
      </c>
      <c r="AJ3" s="80" t="s">
        <v>31</v>
      </c>
      <c r="AL3" s="80" t="s">
        <v>198</v>
      </c>
      <c r="AN3" s="80" t="s">
        <v>32</v>
      </c>
      <c r="AP3" s="80" t="s">
        <v>33</v>
      </c>
      <c r="AR3" s="80" t="s">
        <v>34</v>
      </c>
      <c r="AT3" s="80" t="s">
        <v>35</v>
      </c>
      <c r="AV3" s="80" t="s">
        <v>36</v>
      </c>
      <c r="AX3" s="24">
        <v>72</v>
      </c>
      <c r="AY3" s="25">
        <v>46</v>
      </c>
      <c r="AZ3" s="25">
        <v>71</v>
      </c>
      <c r="BA3" s="26">
        <v>42</v>
      </c>
    </row>
    <row r="4" spans="1:53" x14ac:dyDescent="0.15">
      <c r="A4" s="77" t="s">
        <v>44</v>
      </c>
      <c r="B4" s="77" t="s">
        <v>191</v>
      </c>
      <c r="C4" s="77">
        <v>2020</v>
      </c>
      <c r="D4" s="182" t="s">
        <v>413</v>
      </c>
      <c r="E4" s="77" t="s">
        <v>414</v>
      </c>
      <c r="F4" s="77" t="s">
        <v>415</v>
      </c>
      <c r="G4" s="77" t="s">
        <v>31</v>
      </c>
      <c r="H4" s="77" t="s">
        <v>113</v>
      </c>
      <c r="I4" s="77" t="s">
        <v>165</v>
      </c>
      <c r="J4" s="77" t="s">
        <v>27</v>
      </c>
      <c r="K4" s="77" t="s">
        <v>112</v>
      </c>
      <c r="L4" s="77">
        <v>3</v>
      </c>
      <c r="N4" s="77">
        <v>4</v>
      </c>
      <c r="O4" s="77">
        <v>0.85</v>
      </c>
      <c r="P4" s="77">
        <v>0.85</v>
      </c>
      <c r="Q4" s="44">
        <f t="shared" si="0"/>
        <v>0.85</v>
      </c>
      <c r="R4" s="77">
        <v>12.9</v>
      </c>
      <c r="S4" s="77">
        <v>92</v>
      </c>
      <c r="T4" s="16">
        <f t="shared" si="1"/>
        <v>36</v>
      </c>
      <c r="U4" s="77">
        <v>499</v>
      </c>
      <c r="V4" s="16">
        <f t="shared" si="2"/>
        <v>4491</v>
      </c>
      <c r="W4" s="77">
        <v>2</v>
      </c>
      <c r="X4" s="77" t="s">
        <v>28</v>
      </c>
      <c r="Y4" s="77" t="s">
        <v>74</v>
      </c>
      <c r="Z4" s="77" t="s">
        <v>43</v>
      </c>
      <c r="AA4" s="77" t="s">
        <v>72</v>
      </c>
      <c r="AB4" s="77" t="s">
        <v>195</v>
      </c>
      <c r="AE4" s="22" t="s">
        <v>23</v>
      </c>
      <c r="AG4" s="80" t="s">
        <v>420</v>
      </c>
      <c r="AH4" s="183" t="s">
        <v>421</v>
      </c>
      <c r="AJ4" s="27" t="s">
        <v>37</v>
      </c>
      <c r="AL4" s="27" t="s">
        <v>201</v>
      </c>
      <c r="AN4" s="28" t="s">
        <v>202</v>
      </c>
      <c r="AP4" s="80" t="s">
        <v>203</v>
      </c>
      <c r="AR4" s="80" t="s">
        <v>204</v>
      </c>
      <c r="AT4" s="28"/>
      <c r="AV4" s="80" t="s">
        <v>39</v>
      </c>
      <c r="AX4" s="24">
        <v>75</v>
      </c>
      <c r="AY4" s="25">
        <v>42</v>
      </c>
      <c r="AZ4" s="25">
        <v>76</v>
      </c>
      <c r="BA4" s="26">
        <v>39</v>
      </c>
    </row>
    <row r="5" spans="1:53" x14ac:dyDescent="0.15">
      <c r="A5" s="77" t="s">
        <v>44</v>
      </c>
      <c r="B5" s="77" t="s">
        <v>191</v>
      </c>
      <c r="C5" s="77">
        <v>2020</v>
      </c>
      <c r="D5" s="182" t="s">
        <v>413</v>
      </c>
      <c r="E5" s="77" t="s">
        <v>414</v>
      </c>
      <c r="F5" s="77" t="s">
        <v>415</v>
      </c>
      <c r="G5" s="77" t="s">
        <v>31</v>
      </c>
      <c r="H5" s="77" t="s">
        <v>166</v>
      </c>
      <c r="I5" s="77" t="s">
        <v>165</v>
      </c>
      <c r="J5" s="77" t="s">
        <v>27</v>
      </c>
      <c r="K5" s="77" t="s">
        <v>112</v>
      </c>
      <c r="L5" s="77">
        <v>1</v>
      </c>
      <c r="N5" s="77">
        <v>1</v>
      </c>
      <c r="O5" s="77">
        <v>0.95</v>
      </c>
      <c r="P5" s="77">
        <v>0.8</v>
      </c>
      <c r="Q5" s="44">
        <f t="shared" si="0"/>
        <v>0.875</v>
      </c>
      <c r="R5" s="77">
        <v>17</v>
      </c>
      <c r="S5" s="77">
        <v>121</v>
      </c>
      <c r="T5" s="16">
        <f t="shared" si="1"/>
        <v>27</v>
      </c>
      <c r="U5" s="77">
        <v>159</v>
      </c>
      <c r="V5" s="16">
        <f t="shared" si="2"/>
        <v>4293</v>
      </c>
      <c r="W5" s="77">
        <v>4</v>
      </c>
      <c r="X5" s="77" t="s">
        <v>28</v>
      </c>
      <c r="Y5" s="77" t="s">
        <v>74</v>
      </c>
      <c r="Z5" s="77" t="s">
        <v>43</v>
      </c>
      <c r="AA5" s="77" t="s">
        <v>72</v>
      </c>
      <c r="AB5" s="77" t="s">
        <v>195</v>
      </c>
      <c r="AE5" s="22" t="s">
        <v>40</v>
      </c>
      <c r="AG5" s="80" t="s">
        <v>422</v>
      </c>
      <c r="AH5" s="183" t="s">
        <v>415</v>
      </c>
      <c r="AJ5" s="28"/>
      <c r="AL5" s="111" t="s">
        <v>113</v>
      </c>
      <c r="AN5" s="111" t="s">
        <v>111</v>
      </c>
      <c r="AP5" s="80" t="s">
        <v>206</v>
      </c>
      <c r="AR5" s="80" t="s">
        <v>42</v>
      </c>
      <c r="AV5" s="80" t="s">
        <v>43</v>
      </c>
      <c r="AX5" s="24">
        <v>84</v>
      </c>
      <c r="AY5" s="25">
        <v>39</v>
      </c>
      <c r="AZ5" s="25">
        <v>84</v>
      </c>
      <c r="BA5" s="26">
        <v>36</v>
      </c>
    </row>
    <row r="6" spans="1:53" x14ac:dyDescent="0.15">
      <c r="A6" s="77" t="s">
        <v>44</v>
      </c>
      <c r="B6" s="77" t="s">
        <v>191</v>
      </c>
      <c r="C6" s="77">
        <v>2020</v>
      </c>
      <c r="D6" s="182" t="s">
        <v>413</v>
      </c>
      <c r="E6" s="77" t="s">
        <v>414</v>
      </c>
      <c r="F6" s="77" t="s">
        <v>415</v>
      </c>
      <c r="G6" s="77" t="s">
        <v>31</v>
      </c>
      <c r="H6" s="77" t="s">
        <v>166</v>
      </c>
      <c r="I6" s="77" t="s">
        <v>165</v>
      </c>
      <c r="J6" s="77" t="s">
        <v>27</v>
      </c>
      <c r="K6" s="77" t="s">
        <v>112</v>
      </c>
      <c r="L6" s="77">
        <v>2</v>
      </c>
      <c r="M6" s="184"/>
      <c r="N6" s="77">
        <v>1</v>
      </c>
      <c r="O6" s="77">
        <v>0.75</v>
      </c>
      <c r="P6" s="77">
        <v>0.8</v>
      </c>
      <c r="Q6" s="44">
        <f t="shared" si="0"/>
        <v>0.77500000000000002</v>
      </c>
      <c r="R6" s="77">
        <v>16.7</v>
      </c>
      <c r="S6" s="77">
        <v>121</v>
      </c>
      <c r="T6" s="16">
        <f t="shared" si="1"/>
        <v>27</v>
      </c>
      <c r="U6" s="77">
        <v>159</v>
      </c>
      <c r="V6" s="16">
        <f t="shared" si="2"/>
        <v>4293</v>
      </c>
      <c r="W6" s="77">
        <v>4</v>
      </c>
      <c r="X6" s="77" t="s">
        <v>28</v>
      </c>
      <c r="Y6" s="77" t="s">
        <v>74</v>
      </c>
      <c r="Z6" s="77" t="s">
        <v>43</v>
      </c>
      <c r="AA6" s="77" t="s">
        <v>72</v>
      </c>
      <c r="AB6" s="77" t="s">
        <v>195</v>
      </c>
      <c r="AE6" s="22" t="s">
        <v>44</v>
      </c>
      <c r="AG6" s="80" t="s">
        <v>423</v>
      </c>
      <c r="AH6" s="183" t="s">
        <v>415</v>
      </c>
      <c r="AL6" s="111" t="s">
        <v>208</v>
      </c>
      <c r="AN6" s="111" t="s">
        <v>165</v>
      </c>
      <c r="AP6" s="80" t="s">
        <v>41</v>
      </c>
      <c r="AR6" s="80" t="s">
        <v>46</v>
      </c>
      <c r="AV6" s="80" t="s">
        <v>47</v>
      </c>
      <c r="AX6" s="24">
        <v>97</v>
      </c>
      <c r="AY6" s="25">
        <v>36</v>
      </c>
      <c r="AZ6" s="25">
        <v>99</v>
      </c>
      <c r="BA6" s="26">
        <v>33</v>
      </c>
    </row>
    <row r="7" spans="1:53" x14ac:dyDescent="0.15">
      <c r="A7" s="77" t="s">
        <v>44</v>
      </c>
      <c r="B7" s="77" t="s">
        <v>191</v>
      </c>
      <c r="C7" s="77">
        <v>2020</v>
      </c>
      <c r="D7" s="182" t="s">
        <v>413</v>
      </c>
      <c r="E7" s="77" t="s">
        <v>414</v>
      </c>
      <c r="F7" s="77" t="s">
        <v>415</v>
      </c>
      <c r="G7" s="77" t="s">
        <v>31</v>
      </c>
      <c r="H7" s="77" t="s">
        <v>166</v>
      </c>
      <c r="I7" s="77" t="s">
        <v>165</v>
      </c>
      <c r="J7" s="77" t="s">
        <v>27</v>
      </c>
      <c r="K7" s="77" t="s">
        <v>112</v>
      </c>
      <c r="L7" s="77">
        <v>3</v>
      </c>
      <c r="M7" s="184"/>
      <c r="N7" s="77">
        <v>1</v>
      </c>
      <c r="O7" s="77">
        <v>0.85</v>
      </c>
      <c r="P7" s="77">
        <v>0.85</v>
      </c>
      <c r="Q7" s="44">
        <f t="shared" si="0"/>
        <v>0.85</v>
      </c>
      <c r="R7" s="77">
        <v>17.600000000000001</v>
      </c>
      <c r="S7" s="77">
        <v>117</v>
      </c>
      <c r="T7" s="16">
        <f t="shared" si="1"/>
        <v>30</v>
      </c>
      <c r="U7" s="77">
        <v>159</v>
      </c>
      <c r="V7" s="16">
        <f t="shared" si="2"/>
        <v>4770</v>
      </c>
      <c r="W7" s="77">
        <v>4</v>
      </c>
      <c r="X7" s="77" t="s">
        <v>28</v>
      </c>
      <c r="Y7" s="77" t="s">
        <v>74</v>
      </c>
      <c r="Z7" s="77" t="s">
        <v>43</v>
      </c>
      <c r="AA7" s="77" t="s">
        <v>72</v>
      </c>
      <c r="AB7" s="77" t="s">
        <v>195</v>
      </c>
      <c r="AE7" s="22" t="s">
        <v>48</v>
      </c>
      <c r="AG7" s="80" t="s">
        <v>303</v>
      </c>
      <c r="AH7" s="183" t="s">
        <v>424</v>
      </c>
      <c r="AL7" s="127" t="s">
        <v>210</v>
      </c>
      <c r="AP7" s="80" t="s">
        <v>45</v>
      </c>
      <c r="AR7" s="80" t="s">
        <v>211</v>
      </c>
      <c r="AV7" s="80" t="s">
        <v>51</v>
      </c>
      <c r="AX7" s="24">
        <v>109</v>
      </c>
      <c r="AY7" s="25">
        <v>33</v>
      </c>
      <c r="AZ7" s="25">
        <v>113</v>
      </c>
      <c r="BA7" s="26">
        <v>30</v>
      </c>
    </row>
    <row r="8" spans="1:53" x14ac:dyDescent="0.15">
      <c r="A8" s="77" t="s">
        <v>44</v>
      </c>
      <c r="B8" s="77" t="s">
        <v>191</v>
      </c>
      <c r="C8" s="77">
        <v>2020</v>
      </c>
      <c r="D8" s="182" t="s">
        <v>413</v>
      </c>
      <c r="E8" s="77" t="s">
        <v>414</v>
      </c>
      <c r="F8" s="77" t="s">
        <v>415</v>
      </c>
      <c r="G8" s="77" t="s">
        <v>31</v>
      </c>
      <c r="H8" s="77" t="s">
        <v>166</v>
      </c>
      <c r="I8" s="77" t="s">
        <v>165</v>
      </c>
      <c r="J8" s="77" t="s">
        <v>27</v>
      </c>
      <c r="K8" s="77" t="s">
        <v>112</v>
      </c>
      <c r="L8" s="77">
        <v>1</v>
      </c>
      <c r="N8" s="77">
        <v>4</v>
      </c>
      <c r="O8" s="77">
        <v>0.75</v>
      </c>
      <c r="P8" s="77">
        <v>0.75</v>
      </c>
      <c r="Q8" s="44">
        <f t="shared" si="0"/>
        <v>0.75</v>
      </c>
      <c r="R8" s="77">
        <v>17.3</v>
      </c>
      <c r="S8" s="77">
        <v>101</v>
      </c>
      <c r="T8" s="16">
        <f t="shared" si="1"/>
        <v>33</v>
      </c>
      <c r="U8" s="77">
        <v>599</v>
      </c>
      <c r="V8" s="16">
        <f t="shared" si="2"/>
        <v>4941.75</v>
      </c>
      <c r="W8" s="77">
        <v>2</v>
      </c>
      <c r="X8" s="77" t="s">
        <v>28</v>
      </c>
      <c r="Y8" s="77" t="s">
        <v>74</v>
      </c>
      <c r="Z8" s="77" t="s">
        <v>43</v>
      </c>
      <c r="AA8" s="77" t="s">
        <v>72</v>
      </c>
      <c r="AB8" s="77" t="s">
        <v>195</v>
      </c>
      <c r="AE8" s="22" t="s">
        <v>46</v>
      </c>
      <c r="AG8" s="80" t="s">
        <v>425</v>
      </c>
      <c r="AH8" s="183" t="s">
        <v>424</v>
      </c>
      <c r="AL8" s="127" t="s">
        <v>166</v>
      </c>
      <c r="AP8" s="80" t="s">
        <v>49</v>
      </c>
      <c r="AR8" s="80" t="s">
        <v>67</v>
      </c>
      <c r="AV8" s="80" t="s">
        <v>82</v>
      </c>
      <c r="AX8" s="24">
        <v>119</v>
      </c>
      <c r="AY8" s="25">
        <v>30</v>
      </c>
      <c r="AZ8" s="25">
        <v>121</v>
      </c>
      <c r="BA8" s="26">
        <v>27</v>
      </c>
    </row>
    <row r="9" spans="1:53" x14ac:dyDescent="0.15">
      <c r="A9" s="77" t="s">
        <v>44</v>
      </c>
      <c r="B9" s="77" t="s">
        <v>191</v>
      </c>
      <c r="C9" s="77">
        <v>2020</v>
      </c>
      <c r="D9" s="182" t="s">
        <v>413</v>
      </c>
      <c r="E9" s="77" t="s">
        <v>414</v>
      </c>
      <c r="F9" s="77" t="s">
        <v>415</v>
      </c>
      <c r="G9" s="77" t="s">
        <v>31</v>
      </c>
      <c r="H9" s="77" t="s">
        <v>166</v>
      </c>
      <c r="I9" s="77" t="s">
        <v>165</v>
      </c>
      <c r="J9" s="77" t="s">
        <v>27</v>
      </c>
      <c r="K9" s="77" t="s">
        <v>112</v>
      </c>
      <c r="L9" s="77">
        <v>2</v>
      </c>
      <c r="M9" s="184"/>
      <c r="N9" s="77">
        <v>4</v>
      </c>
      <c r="O9" s="77">
        <v>0.6</v>
      </c>
      <c r="P9" s="77">
        <v>0.6</v>
      </c>
      <c r="Q9" s="44">
        <f t="shared" si="0"/>
        <v>0.6</v>
      </c>
      <c r="R9" s="77">
        <v>16.2</v>
      </c>
      <c r="S9" s="77">
        <v>97</v>
      </c>
      <c r="T9" s="16">
        <f t="shared" si="1"/>
        <v>36</v>
      </c>
      <c r="U9" s="77">
        <v>599</v>
      </c>
      <c r="V9" s="16">
        <f t="shared" si="2"/>
        <v>5391</v>
      </c>
      <c r="W9" s="77">
        <v>2</v>
      </c>
      <c r="X9" s="77" t="s">
        <v>28</v>
      </c>
      <c r="Y9" s="77" t="s">
        <v>74</v>
      </c>
      <c r="Z9" s="77" t="s">
        <v>43</v>
      </c>
      <c r="AA9" s="77" t="s">
        <v>72</v>
      </c>
      <c r="AB9" s="77" t="s">
        <v>195</v>
      </c>
      <c r="AE9" s="22" t="s">
        <v>214</v>
      </c>
      <c r="AG9" s="80" t="s">
        <v>414</v>
      </c>
      <c r="AH9" s="80" t="s">
        <v>419</v>
      </c>
      <c r="AL9" s="111" t="s">
        <v>217</v>
      </c>
      <c r="AP9" s="80" t="s">
        <v>80</v>
      </c>
      <c r="AR9" s="80" t="s">
        <v>218</v>
      </c>
      <c r="AV9" s="80" t="s">
        <v>86</v>
      </c>
      <c r="AX9" s="24">
        <v>128</v>
      </c>
      <c r="AY9" s="25">
        <v>27</v>
      </c>
      <c r="AZ9" s="25">
        <v>129</v>
      </c>
      <c r="BA9" s="26">
        <v>25</v>
      </c>
    </row>
    <row r="10" spans="1:53" x14ac:dyDescent="0.15">
      <c r="A10" s="77" t="s">
        <v>44</v>
      </c>
      <c r="B10" s="77" t="s">
        <v>191</v>
      </c>
      <c r="C10" s="77">
        <v>2020</v>
      </c>
      <c r="D10" s="182" t="s">
        <v>413</v>
      </c>
      <c r="E10" s="77" t="s">
        <v>414</v>
      </c>
      <c r="F10" s="77" t="s">
        <v>415</v>
      </c>
      <c r="G10" s="77" t="s">
        <v>31</v>
      </c>
      <c r="H10" s="77" t="s">
        <v>166</v>
      </c>
      <c r="I10" s="77" t="s">
        <v>165</v>
      </c>
      <c r="J10" s="77" t="s">
        <v>27</v>
      </c>
      <c r="K10" s="77" t="s">
        <v>112</v>
      </c>
      <c r="L10" s="77">
        <v>3</v>
      </c>
      <c r="M10" s="184"/>
      <c r="N10" s="77">
        <v>4</v>
      </c>
      <c r="O10" s="77">
        <v>0.6</v>
      </c>
      <c r="P10" s="77">
        <v>0.6</v>
      </c>
      <c r="Q10" s="44">
        <f t="shared" si="0"/>
        <v>0.6</v>
      </c>
      <c r="R10" s="77">
        <v>17.3</v>
      </c>
      <c r="S10" s="77">
        <v>99</v>
      </c>
      <c r="T10" s="16">
        <f t="shared" si="1"/>
        <v>33</v>
      </c>
      <c r="U10" s="77">
        <v>599</v>
      </c>
      <c r="V10" s="16">
        <f t="shared" si="2"/>
        <v>4941.75</v>
      </c>
      <c r="W10" s="77">
        <v>2</v>
      </c>
      <c r="X10" s="77" t="s">
        <v>28</v>
      </c>
      <c r="Y10" s="77" t="s">
        <v>74</v>
      </c>
      <c r="Z10" s="77" t="s">
        <v>43</v>
      </c>
      <c r="AA10" s="77" t="s">
        <v>72</v>
      </c>
      <c r="AB10" s="77" t="s">
        <v>195</v>
      </c>
      <c r="AE10" s="22" t="s">
        <v>219</v>
      </c>
      <c r="AG10" s="80" t="s">
        <v>303</v>
      </c>
      <c r="AH10" s="183" t="s">
        <v>415</v>
      </c>
      <c r="AL10" s="127"/>
      <c r="AP10" s="80" t="s">
        <v>84</v>
      </c>
      <c r="AR10" s="80" t="s">
        <v>221</v>
      </c>
      <c r="AV10" s="80" t="s">
        <v>90</v>
      </c>
      <c r="AX10" s="24">
        <v>138</v>
      </c>
      <c r="AY10" s="25">
        <v>25</v>
      </c>
      <c r="AZ10" s="25">
        <v>138</v>
      </c>
      <c r="BA10" s="26">
        <v>22</v>
      </c>
    </row>
    <row r="11" spans="1:53" x14ac:dyDescent="0.15">
      <c r="A11" s="77" t="s">
        <v>44</v>
      </c>
      <c r="B11" s="77" t="s">
        <v>191</v>
      </c>
      <c r="C11" s="77">
        <v>2020</v>
      </c>
      <c r="D11" s="182" t="s">
        <v>413</v>
      </c>
      <c r="E11" s="77" t="s">
        <v>414</v>
      </c>
      <c r="F11" s="77" t="s">
        <v>415</v>
      </c>
      <c r="G11" s="77" t="s">
        <v>31</v>
      </c>
      <c r="H11" s="77" t="s">
        <v>166</v>
      </c>
      <c r="I11" s="77" t="s">
        <v>165</v>
      </c>
      <c r="J11" s="77" t="s">
        <v>27</v>
      </c>
      <c r="K11" s="77" t="s">
        <v>112</v>
      </c>
      <c r="L11" s="77">
        <v>1</v>
      </c>
      <c r="N11" s="77">
        <v>8</v>
      </c>
      <c r="O11" s="77">
        <v>0.65</v>
      </c>
      <c r="P11" s="77">
        <v>0.65</v>
      </c>
      <c r="Q11" s="44">
        <f t="shared" si="0"/>
        <v>0.65</v>
      </c>
      <c r="R11" s="77">
        <v>17.7</v>
      </c>
      <c r="S11" s="77">
        <v>97</v>
      </c>
      <c r="T11" s="16">
        <f t="shared" si="1"/>
        <v>36</v>
      </c>
      <c r="U11" s="77">
        <v>999</v>
      </c>
      <c r="V11" s="16">
        <f t="shared" si="2"/>
        <v>4495.5</v>
      </c>
      <c r="W11" s="77">
        <v>2</v>
      </c>
      <c r="X11" s="77" t="s">
        <v>28</v>
      </c>
      <c r="Y11" s="77" t="s">
        <v>74</v>
      </c>
      <c r="Z11" s="77" t="s">
        <v>43</v>
      </c>
      <c r="AA11" s="77" t="s">
        <v>72</v>
      </c>
      <c r="AB11" s="77" t="s">
        <v>195</v>
      </c>
      <c r="AE11" s="22" t="s">
        <v>54</v>
      </c>
      <c r="AG11" s="80" t="s">
        <v>423</v>
      </c>
      <c r="AH11" s="183" t="s">
        <v>415</v>
      </c>
      <c r="AJ11" s="127"/>
      <c r="AP11" s="80" t="s">
        <v>88</v>
      </c>
      <c r="AR11" s="80" t="s">
        <v>224</v>
      </c>
      <c r="AV11" s="80" t="s">
        <v>55</v>
      </c>
    </row>
    <row r="12" spans="1:53" x14ac:dyDescent="0.15">
      <c r="A12" s="77" t="s">
        <v>44</v>
      </c>
      <c r="B12" s="77" t="s">
        <v>191</v>
      </c>
      <c r="C12" s="77">
        <v>2020</v>
      </c>
      <c r="D12" s="182" t="s">
        <v>413</v>
      </c>
      <c r="E12" s="77" t="s">
        <v>414</v>
      </c>
      <c r="F12" s="77" t="s">
        <v>415</v>
      </c>
      <c r="G12" s="77" t="s">
        <v>31</v>
      </c>
      <c r="H12" s="77" t="s">
        <v>166</v>
      </c>
      <c r="I12" s="77" t="s">
        <v>165</v>
      </c>
      <c r="J12" s="77" t="s">
        <v>27</v>
      </c>
      <c r="K12" s="77" t="s">
        <v>112</v>
      </c>
      <c r="L12" s="77">
        <v>2</v>
      </c>
      <c r="M12" s="184"/>
      <c r="N12" s="77">
        <v>8</v>
      </c>
      <c r="O12" s="77">
        <v>0.7</v>
      </c>
      <c r="P12" s="77">
        <v>0.7</v>
      </c>
      <c r="Q12" s="44">
        <f t="shared" si="0"/>
        <v>0.7</v>
      </c>
      <c r="R12" s="77">
        <v>17.8</v>
      </c>
      <c r="S12" s="77">
        <v>96</v>
      </c>
      <c r="T12" s="16">
        <f t="shared" si="1"/>
        <v>36</v>
      </c>
      <c r="U12" s="77">
        <v>999</v>
      </c>
      <c r="V12" s="16">
        <f t="shared" si="2"/>
        <v>4495.5</v>
      </c>
      <c r="W12" s="77">
        <v>2</v>
      </c>
      <c r="X12" s="77" t="s">
        <v>28</v>
      </c>
      <c r="Y12" s="77" t="s">
        <v>74</v>
      </c>
      <c r="Z12" s="77" t="s">
        <v>43</v>
      </c>
      <c r="AA12" s="77" t="s">
        <v>72</v>
      </c>
      <c r="AB12" s="77" t="s">
        <v>195</v>
      </c>
      <c r="AE12" s="22" t="s">
        <v>225</v>
      </c>
      <c r="AG12" s="80" t="s">
        <v>418</v>
      </c>
      <c r="AH12" s="183" t="s">
        <v>415</v>
      </c>
      <c r="AJ12" s="127"/>
      <c r="AP12" s="80" t="s">
        <v>53</v>
      </c>
      <c r="AR12" s="80" t="s">
        <v>226</v>
      </c>
      <c r="AV12" s="80" t="s">
        <v>58</v>
      </c>
    </row>
    <row r="13" spans="1:53" x14ac:dyDescent="0.15">
      <c r="A13" s="77" t="s">
        <v>44</v>
      </c>
      <c r="B13" s="77" t="s">
        <v>191</v>
      </c>
      <c r="C13" s="77">
        <v>2020</v>
      </c>
      <c r="D13" s="182" t="s">
        <v>413</v>
      </c>
      <c r="E13" s="77" t="s">
        <v>414</v>
      </c>
      <c r="F13" s="77" t="s">
        <v>415</v>
      </c>
      <c r="G13" s="77" t="s">
        <v>31</v>
      </c>
      <c r="H13" s="77" t="s">
        <v>166</v>
      </c>
      <c r="I13" s="77" t="s">
        <v>165</v>
      </c>
      <c r="J13" s="77" t="s">
        <v>27</v>
      </c>
      <c r="K13" s="77" t="s">
        <v>112</v>
      </c>
      <c r="L13" s="77">
        <v>3</v>
      </c>
      <c r="M13" s="184"/>
      <c r="N13" s="77">
        <v>8</v>
      </c>
      <c r="O13" s="77">
        <v>0.8</v>
      </c>
      <c r="P13" s="77">
        <v>0.75</v>
      </c>
      <c r="Q13" s="44">
        <f t="shared" si="0"/>
        <v>0.77500000000000002</v>
      </c>
      <c r="R13" s="77">
        <v>16.3</v>
      </c>
      <c r="S13" s="77">
        <v>93</v>
      </c>
      <c r="T13" s="16">
        <f t="shared" si="1"/>
        <v>36</v>
      </c>
      <c r="U13" s="77">
        <v>999</v>
      </c>
      <c r="V13" s="16">
        <f t="shared" si="2"/>
        <v>4495.5</v>
      </c>
      <c r="W13" s="77">
        <v>2</v>
      </c>
      <c r="X13" s="77" t="s">
        <v>28</v>
      </c>
      <c r="Y13" s="77" t="s">
        <v>74</v>
      </c>
      <c r="Z13" s="77" t="s">
        <v>43</v>
      </c>
      <c r="AA13" s="77" t="s">
        <v>72</v>
      </c>
      <c r="AB13" s="77" t="s">
        <v>195</v>
      </c>
      <c r="AE13" s="22" t="s">
        <v>227</v>
      </c>
      <c r="AP13" s="80" t="s">
        <v>57</v>
      </c>
      <c r="AR13" s="80" t="s">
        <v>219</v>
      </c>
      <c r="AV13" s="80" t="s">
        <v>61</v>
      </c>
    </row>
    <row r="14" spans="1:53" x14ac:dyDescent="0.15">
      <c r="A14" s="77" t="s">
        <v>44</v>
      </c>
      <c r="B14" s="77" t="s">
        <v>191</v>
      </c>
      <c r="C14" s="77">
        <v>2020</v>
      </c>
      <c r="D14" s="182" t="s">
        <v>413</v>
      </c>
      <c r="E14" s="77" t="s">
        <v>418</v>
      </c>
      <c r="F14" s="77" t="s">
        <v>419</v>
      </c>
      <c r="G14" s="77" t="s">
        <v>25</v>
      </c>
      <c r="H14" s="77" t="s">
        <v>113</v>
      </c>
      <c r="I14" s="77" t="s">
        <v>111</v>
      </c>
      <c r="J14" s="77" t="s">
        <v>27</v>
      </c>
      <c r="K14" s="77" t="s">
        <v>112</v>
      </c>
      <c r="L14" s="77">
        <v>1</v>
      </c>
      <c r="M14" s="184"/>
      <c r="N14" s="77">
        <v>1</v>
      </c>
      <c r="O14" s="77">
        <v>0.75</v>
      </c>
      <c r="P14" s="77">
        <v>0.8</v>
      </c>
      <c r="Q14" s="44">
        <f t="shared" si="0"/>
        <v>0.77500000000000002</v>
      </c>
      <c r="R14" s="77">
        <v>16.399999999999999</v>
      </c>
      <c r="S14" s="77">
        <v>126</v>
      </c>
      <c r="T14" s="16">
        <f t="shared" si="1"/>
        <v>27</v>
      </c>
      <c r="U14" s="77">
        <v>100</v>
      </c>
      <c r="V14" s="16">
        <f t="shared" si="2"/>
        <v>2700</v>
      </c>
      <c r="W14" s="77">
        <v>4</v>
      </c>
      <c r="X14" s="77" t="s">
        <v>35</v>
      </c>
      <c r="Y14" s="77" t="s">
        <v>74</v>
      </c>
      <c r="Z14" s="77" t="s">
        <v>72</v>
      </c>
      <c r="AA14" s="77" t="s">
        <v>43</v>
      </c>
      <c r="AB14" s="77" t="s">
        <v>195</v>
      </c>
      <c r="AE14" s="22" t="s">
        <v>81</v>
      </c>
      <c r="AP14" s="80" t="s">
        <v>60</v>
      </c>
      <c r="AR14" s="80" t="s">
        <v>228</v>
      </c>
      <c r="AV14" s="80" t="s">
        <v>64</v>
      </c>
    </row>
    <row r="15" spans="1:53" x14ac:dyDescent="0.15">
      <c r="A15" s="77" t="s">
        <v>44</v>
      </c>
      <c r="B15" s="77" t="s">
        <v>191</v>
      </c>
      <c r="C15" s="77">
        <v>2020</v>
      </c>
      <c r="D15" s="182" t="s">
        <v>413</v>
      </c>
      <c r="E15" s="77" t="s">
        <v>418</v>
      </c>
      <c r="F15" s="77" t="s">
        <v>419</v>
      </c>
      <c r="G15" s="77" t="s">
        <v>25</v>
      </c>
      <c r="H15" s="77" t="s">
        <v>113</v>
      </c>
      <c r="I15" s="77" t="s">
        <v>111</v>
      </c>
      <c r="J15" s="77" t="s">
        <v>27</v>
      </c>
      <c r="K15" s="77" t="s">
        <v>112</v>
      </c>
      <c r="L15" s="77">
        <v>2</v>
      </c>
      <c r="M15" s="184"/>
      <c r="N15" s="77">
        <v>1</v>
      </c>
      <c r="O15" s="77">
        <v>0.95</v>
      </c>
      <c r="P15" s="77">
        <v>0.9</v>
      </c>
      <c r="Q15" s="44">
        <f t="shared" si="0"/>
        <v>0.92500000000000004</v>
      </c>
      <c r="R15" s="77">
        <v>15</v>
      </c>
      <c r="S15" s="77">
        <v>134</v>
      </c>
      <c r="T15" s="16">
        <f t="shared" si="1"/>
        <v>25</v>
      </c>
      <c r="U15" s="77">
        <v>100</v>
      </c>
      <c r="V15" s="16">
        <f t="shared" si="2"/>
        <v>2500</v>
      </c>
      <c r="W15" s="77">
        <v>4</v>
      </c>
      <c r="X15" s="77" t="s">
        <v>35</v>
      </c>
      <c r="Y15" s="77" t="s">
        <v>74</v>
      </c>
      <c r="Z15" s="77" t="s">
        <v>72</v>
      </c>
      <c r="AA15" s="77" t="s">
        <v>43</v>
      </c>
      <c r="AB15" s="77" t="s">
        <v>195</v>
      </c>
      <c r="AE15" s="22" t="s">
        <v>229</v>
      </c>
      <c r="AP15" s="80" t="s">
        <v>63</v>
      </c>
      <c r="AR15" s="80" t="s">
        <v>66</v>
      </c>
      <c r="AV15" s="80" t="s">
        <v>91</v>
      </c>
    </row>
    <row r="16" spans="1:53" x14ac:dyDescent="0.15">
      <c r="A16" s="77" t="s">
        <v>44</v>
      </c>
      <c r="B16" s="77" t="s">
        <v>191</v>
      </c>
      <c r="C16" s="77">
        <v>2020</v>
      </c>
      <c r="D16" s="182" t="s">
        <v>413</v>
      </c>
      <c r="E16" s="77" t="s">
        <v>418</v>
      </c>
      <c r="F16" s="77" t="s">
        <v>419</v>
      </c>
      <c r="G16" s="77" t="s">
        <v>25</v>
      </c>
      <c r="H16" s="77" t="s">
        <v>113</v>
      </c>
      <c r="I16" s="77" t="s">
        <v>111</v>
      </c>
      <c r="J16" s="77" t="s">
        <v>27</v>
      </c>
      <c r="K16" s="77" t="s">
        <v>112</v>
      </c>
      <c r="L16" s="77">
        <v>3</v>
      </c>
      <c r="M16" s="184"/>
      <c r="N16" s="77">
        <v>1</v>
      </c>
      <c r="O16" s="77">
        <v>0.75</v>
      </c>
      <c r="P16" s="77">
        <v>0.85</v>
      </c>
      <c r="Q16" s="44">
        <f t="shared" si="0"/>
        <v>0.8</v>
      </c>
      <c r="R16" s="77">
        <v>16.5</v>
      </c>
      <c r="S16" s="77">
        <v>125</v>
      </c>
      <c r="T16" s="16">
        <f t="shared" si="1"/>
        <v>27</v>
      </c>
      <c r="U16" s="77">
        <v>100</v>
      </c>
      <c r="V16" s="16">
        <f t="shared" si="2"/>
        <v>2700</v>
      </c>
      <c r="W16" s="77">
        <v>4</v>
      </c>
      <c r="X16" s="77" t="s">
        <v>35</v>
      </c>
      <c r="Y16" s="77" t="s">
        <v>74</v>
      </c>
      <c r="Z16" s="77" t="s">
        <v>72</v>
      </c>
      <c r="AA16" s="77" t="s">
        <v>43</v>
      </c>
      <c r="AB16" s="77" t="s">
        <v>195</v>
      </c>
      <c r="AE16" s="22" t="s">
        <v>230</v>
      </c>
      <c r="AP16" s="80" t="s">
        <v>66</v>
      </c>
      <c r="AR16" s="80" t="s">
        <v>50</v>
      </c>
      <c r="AV16" s="80" t="s">
        <v>70</v>
      </c>
    </row>
    <row r="17" spans="1:48" x14ac:dyDescent="0.15">
      <c r="A17" s="77" t="s">
        <v>44</v>
      </c>
      <c r="B17" s="77" t="s">
        <v>191</v>
      </c>
      <c r="C17" s="77">
        <v>2020</v>
      </c>
      <c r="D17" s="182" t="s">
        <v>413</v>
      </c>
      <c r="E17" s="77" t="s">
        <v>418</v>
      </c>
      <c r="F17" s="77" t="s">
        <v>419</v>
      </c>
      <c r="G17" s="77" t="s">
        <v>25</v>
      </c>
      <c r="H17" s="77" t="s">
        <v>113</v>
      </c>
      <c r="I17" s="77" t="s">
        <v>275</v>
      </c>
      <c r="J17" s="77" t="s">
        <v>27</v>
      </c>
      <c r="K17" s="77" t="s">
        <v>112</v>
      </c>
      <c r="L17" s="77">
        <v>1</v>
      </c>
      <c r="M17" s="184"/>
      <c r="N17" s="77">
        <v>6</v>
      </c>
      <c r="O17" s="77">
        <v>0.75</v>
      </c>
      <c r="P17" s="77">
        <v>0.75</v>
      </c>
      <c r="Q17" s="44">
        <f t="shared" si="0"/>
        <v>0.75</v>
      </c>
      <c r="R17" s="77">
        <v>13.7</v>
      </c>
      <c r="S17" s="77">
        <v>101</v>
      </c>
      <c r="T17" s="16">
        <f t="shared" si="1"/>
        <v>33</v>
      </c>
      <c r="U17" s="77">
        <v>398</v>
      </c>
      <c r="V17" s="16">
        <f t="shared" si="2"/>
        <v>2189</v>
      </c>
      <c r="W17" s="77">
        <v>4</v>
      </c>
      <c r="X17" s="77" t="s">
        <v>35</v>
      </c>
      <c r="Y17" s="77" t="s">
        <v>74</v>
      </c>
      <c r="Z17" s="77" t="s">
        <v>72</v>
      </c>
      <c r="AA17" s="77" t="s">
        <v>43</v>
      </c>
      <c r="AB17" s="77" t="s">
        <v>195</v>
      </c>
      <c r="AE17" s="22" t="s">
        <v>231</v>
      </c>
      <c r="AP17" s="27" t="s">
        <v>232</v>
      </c>
      <c r="AR17" s="80" t="s">
        <v>81</v>
      </c>
      <c r="AV17" s="80" t="s">
        <v>72</v>
      </c>
    </row>
    <row r="18" spans="1:48" x14ac:dyDescent="0.15">
      <c r="A18" s="77" t="s">
        <v>44</v>
      </c>
      <c r="B18" s="77" t="s">
        <v>191</v>
      </c>
      <c r="C18" s="77">
        <v>2020</v>
      </c>
      <c r="D18" s="182" t="s">
        <v>413</v>
      </c>
      <c r="E18" s="77" t="s">
        <v>418</v>
      </c>
      <c r="F18" s="77" t="s">
        <v>419</v>
      </c>
      <c r="G18" s="77" t="s">
        <v>25</v>
      </c>
      <c r="H18" s="77" t="s">
        <v>113</v>
      </c>
      <c r="I18" s="77" t="s">
        <v>111</v>
      </c>
      <c r="J18" s="77" t="s">
        <v>27</v>
      </c>
      <c r="K18" s="77" t="s">
        <v>112</v>
      </c>
      <c r="L18" s="77">
        <v>2</v>
      </c>
      <c r="M18" s="184"/>
      <c r="N18" s="77">
        <v>6</v>
      </c>
      <c r="O18" s="77">
        <v>0.75</v>
      </c>
      <c r="P18" s="77">
        <v>0.75</v>
      </c>
      <c r="Q18" s="44">
        <f t="shared" si="0"/>
        <v>0.75</v>
      </c>
      <c r="R18" s="77">
        <v>13.5</v>
      </c>
      <c r="S18" s="77">
        <v>92</v>
      </c>
      <c r="T18" s="16">
        <f t="shared" si="1"/>
        <v>36</v>
      </c>
      <c r="U18" s="77">
        <v>398</v>
      </c>
      <c r="V18" s="16">
        <f t="shared" si="2"/>
        <v>2388</v>
      </c>
      <c r="W18" s="77">
        <v>4</v>
      </c>
      <c r="X18" s="77" t="s">
        <v>35</v>
      </c>
      <c r="Y18" s="77" t="s">
        <v>74</v>
      </c>
      <c r="Z18" s="77" t="s">
        <v>72</v>
      </c>
      <c r="AA18" s="77" t="s">
        <v>43</v>
      </c>
      <c r="AB18" s="77" t="s">
        <v>195</v>
      </c>
      <c r="AE18" s="22" t="s">
        <v>224</v>
      </c>
      <c r="AP18" s="27" t="s">
        <v>233</v>
      </c>
      <c r="AR18" s="80" t="s">
        <v>85</v>
      </c>
      <c r="AV18" s="80" t="s">
        <v>74</v>
      </c>
    </row>
    <row r="19" spans="1:48" x14ac:dyDescent="0.15">
      <c r="A19" s="77" t="s">
        <v>44</v>
      </c>
      <c r="B19" s="77" t="s">
        <v>191</v>
      </c>
      <c r="C19" s="77">
        <v>2020</v>
      </c>
      <c r="D19" s="182" t="s">
        <v>413</v>
      </c>
      <c r="E19" s="77" t="s">
        <v>418</v>
      </c>
      <c r="F19" s="77" t="s">
        <v>419</v>
      </c>
      <c r="G19" s="77" t="s">
        <v>25</v>
      </c>
      <c r="H19" s="77" t="s">
        <v>113</v>
      </c>
      <c r="I19" s="77" t="s">
        <v>111</v>
      </c>
      <c r="J19" s="77" t="s">
        <v>27</v>
      </c>
      <c r="K19" s="77" t="s">
        <v>112</v>
      </c>
      <c r="L19" s="77">
        <v>3</v>
      </c>
      <c r="M19" s="184"/>
      <c r="N19" s="77">
        <v>6</v>
      </c>
      <c r="O19" s="77">
        <v>1</v>
      </c>
      <c r="P19" s="77">
        <v>0.9</v>
      </c>
      <c r="Q19" s="44">
        <f t="shared" si="0"/>
        <v>0.95</v>
      </c>
      <c r="R19" s="77">
        <v>12.2</v>
      </c>
      <c r="S19" s="77">
        <v>92</v>
      </c>
      <c r="T19" s="16">
        <f t="shared" si="1"/>
        <v>36</v>
      </c>
      <c r="U19" s="77">
        <v>398</v>
      </c>
      <c r="V19" s="16">
        <f t="shared" si="2"/>
        <v>2388</v>
      </c>
      <c r="W19" s="77">
        <v>4</v>
      </c>
      <c r="X19" s="77" t="s">
        <v>35</v>
      </c>
      <c r="Y19" s="77" t="s">
        <v>74</v>
      </c>
      <c r="Z19" s="77" t="s">
        <v>72</v>
      </c>
      <c r="AA19" s="77" t="s">
        <v>43</v>
      </c>
      <c r="AB19" s="77" t="s">
        <v>195</v>
      </c>
      <c r="AE19" s="35" t="s">
        <v>218</v>
      </c>
      <c r="AP19" s="27" t="s">
        <v>234</v>
      </c>
      <c r="AR19" s="80" t="s">
        <v>235</v>
      </c>
      <c r="AV19" s="80" t="s">
        <v>76</v>
      </c>
    </row>
    <row r="20" spans="1:48" x14ac:dyDescent="0.15">
      <c r="A20" s="77" t="s">
        <v>44</v>
      </c>
      <c r="B20" s="77" t="s">
        <v>191</v>
      </c>
      <c r="C20" s="77">
        <v>2020</v>
      </c>
      <c r="D20" s="182" t="s">
        <v>413</v>
      </c>
      <c r="E20" s="77" t="s">
        <v>418</v>
      </c>
      <c r="F20" s="77" t="s">
        <v>419</v>
      </c>
      <c r="G20" s="77" t="s">
        <v>25</v>
      </c>
      <c r="H20" s="77" t="s">
        <v>166</v>
      </c>
      <c r="I20" s="77" t="s">
        <v>111</v>
      </c>
      <c r="J20" s="77" t="s">
        <v>27</v>
      </c>
      <c r="K20" s="77" t="s">
        <v>112</v>
      </c>
      <c r="L20" s="77">
        <v>1</v>
      </c>
      <c r="M20" s="184"/>
      <c r="N20" s="77">
        <v>1</v>
      </c>
      <c r="O20" s="77">
        <v>0.9</v>
      </c>
      <c r="P20" s="77">
        <v>0.8</v>
      </c>
      <c r="Q20" s="44">
        <f t="shared" si="0"/>
        <v>0.85000000000000009</v>
      </c>
      <c r="R20" s="77">
        <v>16.600000000000001</v>
      </c>
      <c r="S20" s="77">
        <v>133</v>
      </c>
      <c r="T20" s="16">
        <f t="shared" si="1"/>
        <v>25</v>
      </c>
      <c r="U20" s="77">
        <v>100</v>
      </c>
      <c r="V20" s="16">
        <f t="shared" si="2"/>
        <v>2500</v>
      </c>
      <c r="W20" s="77">
        <v>8</v>
      </c>
      <c r="X20" s="77" t="s">
        <v>35</v>
      </c>
      <c r="Y20" s="77" t="s">
        <v>74</v>
      </c>
      <c r="Z20" s="77" t="s">
        <v>72</v>
      </c>
      <c r="AA20" s="77" t="s">
        <v>43</v>
      </c>
      <c r="AB20" s="77" t="s">
        <v>195</v>
      </c>
      <c r="AP20" s="27" t="s">
        <v>236</v>
      </c>
      <c r="AR20" s="80" t="s">
        <v>89</v>
      </c>
      <c r="AV20" s="27" t="s">
        <v>237</v>
      </c>
    </row>
    <row r="21" spans="1:48" x14ac:dyDescent="0.15">
      <c r="A21" s="77" t="s">
        <v>44</v>
      </c>
      <c r="B21" s="77" t="s">
        <v>191</v>
      </c>
      <c r="C21" s="77">
        <v>2020</v>
      </c>
      <c r="D21" s="182" t="s">
        <v>413</v>
      </c>
      <c r="E21" s="77" t="s">
        <v>418</v>
      </c>
      <c r="F21" s="77" t="s">
        <v>419</v>
      </c>
      <c r="G21" s="77" t="s">
        <v>25</v>
      </c>
      <c r="H21" s="77" t="s">
        <v>166</v>
      </c>
      <c r="I21" s="77" t="s">
        <v>111</v>
      </c>
      <c r="J21" s="77" t="s">
        <v>27</v>
      </c>
      <c r="K21" s="77" t="s">
        <v>112</v>
      </c>
      <c r="L21" s="77">
        <v>2</v>
      </c>
      <c r="M21" s="184"/>
      <c r="N21" s="77">
        <v>1</v>
      </c>
      <c r="O21" s="77">
        <v>0.75</v>
      </c>
      <c r="P21" s="77">
        <v>0.7</v>
      </c>
      <c r="Q21" s="44">
        <f t="shared" si="0"/>
        <v>0.72499999999999998</v>
      </c>
      <c r="R21" s="77">
        <v>17.600000000000001</v>
      </c>
      <c r="S21" s="77">
        <v>133</v>
      </c>
      <c r="T21" s="16">
        <f t="shared" si="1"/>
        <v>25</v>
      </c>
      <c r="U21" s="77">
        <v>100</v>
      </c>
      <c r="V21" s="16">
        <f t="shared" si="2"/>
        <v>2500</v>
      </c>
      <c r="W21" s="77">
        <v>8</v>
      </c>
      <c r="X21" s="77" t="s">
        <v>35</v>
      </c>
      <c r="Y21" s="77" t="s">
        <v>74</v>
      </c>
      <c r="Z21" s="77" t="s">
        <v>72</v>
      </c>
      <c r="AA21" s="77" t="s">
        <v>43</v>
      </c>
      <c r="AB21" s="77" t="s">
        <v>195</v>
      </c>
      <c r="AP21" s="27" t="s">
        <v>238</v>
      </c>
      <c r="AR21" s="80" t="s">
        <v>54</v>
      </c>
      <c r="AV21" s="28" t="s">
        <v>239</v>
      </c>
    </row>
    <row r="22" spans="1:48" x14ac:dyDescent="0.15">
      <c r="A22" s="77" t="s">
        <v>44</v>
      </c>
      <c r="B22" s="77" t="s">
        <v>191</v>
      </c>
      <c r="C22" s="77">
        <v>2020</v>
      </c>
      <c r="D22" s="182" t="s">
        <v>413</v>
      </c>
      <c r="E22" s="77" t="s">
        <v>418</v>
      </c>
      <c r="F22" s="77" t="s">
        <v>419</v>
      </c>
      <c r="G22" s="77" t="s">
        <v>25</v>
      </c>
      <c r="H22" s="77" t="s">
        <v>166</v>
      </c>
      <c r="I22" s="77" t="s">
        <v>111</v>
      </c>
      <c r="J22" s="77" t="s">
        <v>27</v>
      </c>
      <c r="K22" s="77" t="s">
        <v>112</v>
      </c>
      <c r="L22" s="77">
        <v>3</v>
      </c>
      <c r="M22" s="184"/>
      <c r="N22" s="77">
        <v>1</v>
      </c>
      <c r="O22" s="77">
        <v>0.7</v>
      </c>
      <c r="P22" s="77">
        <v>0.7</v>
      </c>
      <c r="Q22" s="44">
        <f t="shared" si="0"/>
        <v>0.7</v>
      </c>
      <c r="R22" s="77">
        <v>17.899999999999999</v>
      </c>
      <c r="S22" s="77">
        <v>127</v>
      </c>
      <c r="T22" s="16">
        <f t="shared" si="1"/>
        <v>27</v>
      </c>
      <c r="U22" s="77">
        <v>100</v>
      </c>
      <c r="V22" s="16">
        <f t="shared" si="2"/>
        <v>2700</v>
      </c>
      <c r="W22" s="77">
        <v>8</v>
      </c>
      <c r="X22" s="77" t="s">
        <v>35</v>
      </c>
      <c r="Y22" s="77" t="s">
        <v>74</v>
      </c>
      <c r="Z22" s="77" t="s">
        <v>72</v>
      </c>
      <c r="AA22" s="77" t="s">
        <v>43</v>
      </c>
      <c r="AB22" s="77" t="s">
        <v>195</v>
      </c>
      <c r="AP22" s="27" t="s">
        <v>240</v>
      </c>
      <c r="AR22" s="80" t="s">
        <v>69</v>
      </c>
    </row>
    <row r="23" spans="1:48" x14ac:dyDescent="0.15">
      <c r="A23" s="77" t="s">
        <v>44</v>
      </c>
      <c r="B23" s="77" t="s">
        <v>191</v>
      </c>
      <c r="C23" s="77">
        <v>2020</v>
      </c>
      <c r="D23" s="182" t="s">
        <v>413</v>
      </c>
      <c r="E23" s="77" t="s">
        <v>418</v>
      </c>
      <c r="F23" s="77" t="s">
        <v>419</v>
      </c>
      <c r="G23" s="77" t="s">
        <v>25</v>
      </c>
      <c r="H23" s="77" t="s">
        <v>166</v>
      </c>
      <c r="I23" s="77" t="s">
        <v>111</v>
      </c>
      <c r="J23" s="77" t="s">
        <v>27</v>
      </c>
      <c r="K23" s="77" t="s">
        <v>112</v>
      </c>
      <c r="L23" s="77">
        <v>1</v>
      </c>
      <c r="M23" s="184"/>
      <c r="N23" s="77">
        <v>6</v>
      </c>
      <c r="O23" s="77">
        <v>0.6</v>
      </c>
      <c r="P23" s="77">
        <v>0.6</v>
      </c>
      <c r="Q23" s="44">
        <f t="shared" si="0"/>
        <v>0.6</v>
      </c>
      <c r="R23" s="77">
        <v>15.4</v>
      </c>
      <c r="S23" s="77">
        <v>101</v>
      </c>
      <c r="T23" s="16">
        <f t="shared" si="1"/>
        <v>33</v>
      </c>
      <c r="U23" s="77">
        <v>480</v>
      </c>
      <c r="V23" s="16">
        <f t="shared" si="2"/>
        <v>2640</v>
      </c>
      <c r="W23" s="77">
        <v>6</v>
      </c>
      <c r="X23" s="77" t="s">
        <v>35</v>
      </c>
      <c r="Y23" s="77" t="s">
        <v>74</v>
      </c>
      <c r="Z23" s="77" t="s">
        <v>72</v>
      </c>
      <c r="AA23" s="77" t="s">
        <v>43</v>
      </c>
      <c r="AB23" s="77" t="s">
        <v>195</v>
      </c>
      <c r="AP23" s="27" t="s">
        <v>406</v>
      </c>
      <c r="AR23" s="80" t="s">
        <v>48</v>
      </c>
    </row>
    <row r="24" spans="1:48" x14ac:dyDescent="0.15">
      <c r="A24" s="77" t="s">
        <v>44</v>
      </c>
      <c r="B24" s="77" t="s">
        <v>191</v>
      </c>
      <c r="C24" s="77">
        <v>2020</v>
      </c>
      <c r="D24" s="182" t="s">
        <v>413</v>
      </c>
      <c r="E24" s="77" t="s">
        <v>418</v>
      </c>
      <c r="F24" s="77" t="s">
        <v>419</v>
      </c>
      <c r="G24" s="77" t="s">
        <v>25</v>
      </c>
      <c r="H24" s="77" t="s">
        <v>166</v>
      </c>
      <c r="I24" s="77" t="s">
        <v>111</v>
      </c>
      <c r="J24" s="77" t="s">
        <v>27</v>
      </c>
      <c r="K24" s="77" t="s">
        <v>112</v>
      </c>
      <c r="L24" s="77">
        <v>2</v>
      </c>
      <c r="M24" s="184"/>
      <c r="N24" s="77">
        <v>6</v>
      </c>
      <c r="O24" s="77">
        <v>0.75</v>
      </c>
      <c r="P24" s="77">
        <v>0.8</v>
      </c>
      <c r="Q24" s="44">
        <f t="shared" si="0"/>
        <v>0.77500000000000002</v>
      </c>
      <c r="R24" s="77">
        <v>17.8</v>
      </c>
      <c r="S24" s="77">
        <v>106</v>
      </c>
      <c r="T24" s="16">
        <f t="shared" si="1"/>
        <v>33</v>
      </c>
      <c r="U24" s="77">
        <v>480</v>
      </c>
      <c r="V24" s="16">
        <f t="shared" si="2"/>
        <v>2640</v>
      </c>
      <c r="W24" s="77">
        <v>6</v>
      </c>
      <c r="X24" s="77" t="s">
        <v>35</v>
      </c>
      <c r="Y24" s="77" t="s">
        <v>74</v>
      </c>
      <c r="Z24" s="77" t="s">
        <v>72</v>
      </c>
      <c r="AA24" s="77" t="s">
        <v>43</v>
      </c>
      <c r="AB24" s="77" t="s">
        <v>195</v>
      </c>
      <c r="AP24" s="27" t="s">
        <v>407</v>
      </c>
      <c r="AR24" s="80" t="s">
        <v>77</v>
      </c>
    </row>
    <row r="25" spans="1:48" x14ac:dyDescent="0.15">
      <c r="A25" s="77" t="s">
        <v>44</v>
      </c>
      <c r="B25" s="77" t="s">
        <v>191</v>
      </c>
      <c r="C25" s="77">
        <v>2020</v>
      </c>
      <c r="D25" s="182" t="s">
        <v>413</v>
      </c>
      <c r="E25" s="77" t="s">
        <v>418</v>
      </c>
      <c r="F25" s="77" t="s">
        <v>419</v>
      </c>
      <c r="G25" s="77" t="s">
        <v>25</v>
      </c>
      <c r="H25" s="77" t="s">
        <v>166</v>
      </c>
      <c r="I25" s="77" t="s">
        <v>111</v>
      </c>
      <c r="J25" s="77" t="s">
        <v>27</v>
      </c>
      <c r="K25" s="77" t="s">
        <v>112</v>
      </c>
      <c r="L25" s="77">
        <v>3</v>
      </c>
      <c r="M25" s="184"/>
      <c r="N25" s="77">
        <v>6</v>
      </c>
      <c r="O25" s="77">
        <v>0.75</v>
      </c>
      <c r="P25" s="77">
        <v>0.75</v>
      </c>
      <c r="Q25" s="44">
        <f t="shared" si="0"/>
        <v>0.75</v>
      </c>
      <c r="R25" s="77">
        <v>17.899999999999999</v>
      </c>
      <c r="S25" s="77">
        <v>92</v>
      </c>
      <c r="T25" s="16">
        <f t="shared" si="1"/>
        <v>36</v>
      </c>
      <c r="U25" s="77">
        <v>480</v>
      </c>
      <c r="V25" s="16">
        <f t="shared" si="2"/>
        <v>2880</v>
      </c>
      <c r="W25" s="77">
        <v>6</v>
      </c>
      <c r="X25" s="77" t="s">
        <v>35</v>
      </c>
      <c r="Y25" s="77" t="s">
        <v>74</v>
      </c>
      <c r="Z25" s="77" t="s">
        <v>72</v>
      </c>
      <c r="AA25" s="77" t="s">
        <v>43</v>
      </c>
      <c r="AB25" s="77" t="s">
        <v>195</v>
      </c>
      <c r="AP25" s="27" t="s">
        <v>408</v>
      </c>
      <c r="AR25" s="27" t="s">
        <v>40</v>
      </c>
    </row>
    <row r="26" spans="1:48" x14ac:dyDescent="0.15">
      <c r="A26" s="77" t="s">
        <v>44</v>
      </c>
      <c r="B26" s="77" t="s">
        <v>191</v>
      </c>
      <c r="C26" s="77">
        <v>2020</v>
      </c>
      <c r="D26" s="182" t="s">
        <v>413</v>
      </c>
      <c r="E26" s="77" t="s">
        <v>303</v>
      </c>
      <c r="F26" s="77" t="s">
        <v>415</v>
      </c>
      <c r="G26" s="77" t="s">
        <v>25</v>
      </c>
      <c r="H26" s="77" t="s">
        <v>113</v>
      </c>
      <c r="I26" s="77" t="s">
        <v>111</v>
      </c>
      <c r="J26" s="77" t="s">
        <v>27</v>
      </c>
      <c r="K26" s="77" t="s">
        <v>112</v>
      </c>
      <c r="L26" s="77">
        <v>1</v>
      </c>
      <c r="M26" s="184"/>
      <c r="N26" s="77">
        <v>1</v>
      </c>
      <c r="O26" s="77">
        <v>0.8</v>
      </c>
      <c r="P26" s="77">
        <v>0.8</v>
      </c>
      <c r="Q26" s="44">
        <f t="shared" si="0"/>
        <v>0.8</v>
      </c>
      <c r="R26" s="77">
        <v>17.8</v>
      </c>
      <c r="S26" s="77">
        <v>120</v>
      </c>
      <c r="T26" s="16">
        <f t="shared" si="1"/>
        <v>30</v>
      </c>
      <c r="U26" s="77">
        <v>98</v>
      </c>
      <c r="V26" s="16">
        <f t="shared" si="2"/>
        <v>2940</v>
      </c>
      <c r="W26" s="77">
        <v>2</v>
      </c>
      <c r="X26" s="77" t="s">
        <v>35</v>
      </c>
      <c r="Y26" s="77" t="s">
        <v>74</v>
      </c>
      <c r="Z26" s="77" t="s">
        <v>72</v>
      </c>
      <c r="AA26" s="77" t="s">
        <v>43</v>
      </c>
      <c r="AB26" s="77" t="s">
        <v>195</v>
      </c>
      <c r="AP26" s="27" t="s">
        <v>241</v>
      </c>
      <c r="AR26" s="77" t="s">
        <v>242</v>
      </c>
    </row>
    <row r="27" spans="1:48" x14ac:dyDescent="0.15">
      <c r="A27" s="77" t="s">
        <v>44</v>
      </c>
      <c r="B27" s="77" t="s">
        <v>191</v>
      </c>
      <c r="C27" s="77">
        <v>2020</v>
      </c>
      <c r="D27" s="182" t="s">
        <v>413</v>
      </c>
      <c r="E27" s="77" t="s">
        <v>303</v>
      </c>
      <c r="F27" s="77" t="s">
        <v>415</v>
      </c>
      <c r="G27" s="77" t="s">
        <v>25</v>
      </c>
      <c r="H27" s="77" t="s">
        <v>113</v>
      </c>
      <c r="I27" s="77" t="s">
        <v>111</v>
      </c>
      <c r="J27" s="77" t="s">
        <v>27</v>
      </c>
      <c r="K27" s="77" t="s">
        <v>112</v>
      </c>
      <c r="L27" s="77">
        <v>2</v>
      </c>
      <c r="M27" s="184"/>
      <c r="N27" s="77">
        <v>1</v>
      </c>
      <c r="O27" s="77">
        <v>0.75</v>
      </c>
      <c r="P27" s="77">
        <v>0.85</v>
      </c>
      <c r="Q27" s="44">
        <f t="shared" si="0"/>
        <v>0.8</v>
      </c>
      <c r="R27" s="77">
        <v>16.3</v>
      </c>
      <c r="S27" s="77">
        <v>123</v>
      </c>
      <c r="T27" s="16">
        <f t="shared" si="1"/>
        <v>27</v>
      </c>
      <c r="U27" s="77">
        <v>98</v>
      </c>
      <c r="V27" s="16">
        <f t="shared" si="2"/>
        <v>2646</v>
      </c>
      <c r="W27" s="77">
        <v>2</v>
      </c>
      <c r="X27" s="77" t="s">
        <v>35</v>
      </c>
      <c r="Y27" s="77" t="s">
        <v>74</v>
      </c>
      <c r="Z27" s="77" t="s">
        <v>72</v>
      </c>
      <c r="AA27" s="77" t="s">
        <v>43</v>
      </c>
      <c r="AB27" s="77" t="s">
        <v>195</v>
      </c>
      <c r="AP27" s="27" t="s">
        <v>243</v>
      </c>
    </row>
    <row r="28" spans="1:48" x14ac:dyDescent="0.15">
      <c r="A28" s="77" t="s">
        <v>44</v>
      </c>
      <c r="B28" s="77" t="s">
        <v>191</v>
      </c>
      <c r="C28" s="77">
        <v>2020</v>
      </c>
      <c r="D28" s="182" t="s">
        <v>413</v>
      </c>
      <c r="E28" s="77" t="s">
        <v>303</v>
      </c>
      <c r="F28" s="77" t="s">
        <v>415</v>
      </c>
      <c r="G28" s="77" t="s">
        <v>25</v>
      </c>
      <c r="H28" s="77" t="s">
        <v>113</v>
      </c>
      <c r="I28" s="77" t="s">
        <v>111</v>
      </c>
      <c r="J28" s="77" t="s">
        <v>27</v>
      </c>
      <c r="K28" s="77" t="s">
        <v>112</v>
      </c>
      <c r="L28" s="77">
        <v>3</v>
      </c>
      <c r="M28" s="184"/>
      <c r="N28" s="77">
        <v>1</v>
      </c>
      <c r="O28" s="77">
        <v>0.9</v>
      </c>
      <c r="P28" s="77">
        <v>1</v>
      </c>
      <c r="Q28" s="44">
        <f t="shared" si="0"/>
        <v>0.95</v>
      </c>
      <c r="R28" s="77">
        <v>15.9</v>
      </c>
      <c r="S28" s="77">
        <v>123</v>
      </c>
      <c r="T28" s="16">
        <f t="shared" si="1"/>
        <v>27</v>
      </c>
      <c r="U28" s="77">
        <v>98</v>
      </c>
      <c r="V28" s="16">
        <f t="shared" si="2"/>
        <v>2646</v>
      </c>
      <c r="W28" s="77">
        <v>2</v>
      </c>
      <c r="X28" s="77" t="s">
        <v>35</v>
      </c>
      <c r="Y28" s="77" t="s">
        <v>74</v>
      </c>
      <c r="Z28" s="77" t="s">
        <v>72</v>
      </c>
      <c r="AA28" s="77" t="s">
        <v>43</v>
      </c>
      <c r="AB28" s="77" t="s">
        <v>195</v>
      </c>
    </row>
    <row r="29" spans="1:48" x14ac:dyDescent="0.15">
      <c r="A29" s="77" t="s">
        <v>44</v>
      </c>
      <c r="B29" s="77" t="s">
        <v>191</v>
      </c>
      <c r="C29" s="77">
        <v>2020</v>
      </c>
      <c r="D29" s="182" t="s">
        <v>413</v>
      </c>
      <c r="E29" s="77" t="s">
        <v>303</v>
      </c>
      <c r="F29" s="77" t="s">
        <v>415</v>
      </c>
      <c r="G29" s="77" t="s">
        <v>25</v>
      </c>
      <c r="H29" s="77" t="s">
        <v>113</v>
      </c>
      <c r="I29" s="77" t="s">
        <v>111</v>
      </c>
      <c r="J29" s="77" t="s">
        <v>27</v>
      </c>
      <c r="K29" s="77" t="s">
        <v>112</v>
      </c>
      <c r="L29" s="77">
        <v>1</v>
      </c>
      <c r="M29" s="184"/>
      <c r="N29" s="77">
        <v>5</v>
      </c>
      <c r="O29" s="77">
        <v>0.8</v>
      </c>
      <c r="P29" s="77">
        <v>0.8</v>
      </c>
      <c r="Q29" s="44">
        <f t="shared" si="0"/>
        <v>0.8</v>
      </c>
      <c r="R29" s="77">
        <v>15.9</v>
      </c>
      <c r="S29" s="77">
        <v>87</v>
      </c>
      <c r="T29" s="16">
        <f t="shared" si="1"/>
        <v>36</v>
      </c>
      <c r="U29" s="77">
        <v>398</v>
      </c>
      <c r="V29" s="16">
        <f t="shared" si="2"/>
        <v>2865.6</v>
      </c>
      <c r="W29" s="77">
        <v>2</v>
      </c>
      <c r="X29" s="77" t="s">
        <v>35</v>
      </c>
      <c r="Y29" s="77" t="s">
        <v>74</v>
      </c>
      <c r="Z29" s="77" t="s">
        <v>72</v>
      </c>
      <c r="AA29" s="77" t="s">
        <v>43</v>
      </c>
      <c r="AB29" s="77" t="s">
        <v>195</v>
      </c>
    </row>
    <row r="30" spans="1:48" x14ac:dyDescent="0.15">
      <c r="A30" s="77" t="s">
        <v>44</v>
      </c>
      <c r="B30" s="77" t="s">
        <v>191</v>
      </c>
      <c r="C30" s="77">
        <v>2020</v>
      </c>
      <c r="D30" s="182" t="s">
        <v>413</v>
      </c>
      <c r="E30" s="77" t="s">
        <v>303</v>
      </c>
      <c r="F30" s="77" t="s">
        <v>415</v>
      </c>
      <c r="G30" s="77" t="s">
        <v>25</v>
      </c>
      <c r="H30" s="77" t="s">
        <v>113</v>
      </c>
      <c r="I30" s="77" t="s">
        <v>111</v>
      </c>
      <c r="J30" s="77" t="s">
        <v>27</v>
      </c>
      <c r="K30" s="77" t="s">
        <v>112</v>
      </c>
      <c r="L30" s="77">
        <v>2</v>
      </c>
      <c r="M30" s="184"/>
      <c r="N30" s="77">
        <v>5</v>
      </c>
      <c r="O30" s="77">
        <v>0.75</v>
      </c>
      <c r="P30" s="77">
        <v>0.75</v>
      </c>
      <c r="Q30" s="44">
        <f t="shared" si="0"/>
        <v>0.75</v>
      </c>
      <c r="R30" s="77">
        <v>14.6</v>
      </c>
      <c r="S30" s="77">
        <v>80</v>
      </c>
      <c r="T30" s="16">
        <f t="shared" si="1"/>
        <v>39</v>
      </c>
      <c r="U30" s="77">
        <v>398</v>
      </c>
      <c r="V30" s="16">
        <f t="shared" si="2"/>
        <v>3104.3999999999996</v>
      </c>
      <c r="W30" s="77">
        <v>2</v>
      </c>
      <c r="X30" s="77" t="s">
        <v>35</v>
      </c>
      <c r="Y30" s="77" t="s">
        <v>74</v>
      </c>
      <c r="Z30" s="77" t="s">
        <v>72</v>
      </c>
      <c r="AA30" s="77" t="s">
        <v>43</v>
      </c>
      <c r="AB30" s="77" t="s">
        <v>195</v>
      </c>
    </row>
    <row r="31" spans="1:48" x14ac:dyDescent="0.15">
      <c r="A31" s="77" t="s">
        <v>44</v>
      </c>
      <c r="B31" s="77" t="s">
        <v>191</v>
      </c>
      <c r="C31" s="77">
        <v>2020</v>
      </c>
      <c r="D31" s="182" t="s">
        <v>413</v>
      </c>
      <c r="E31" s="77" t="s">
        <v>303</v>
      </c>
      <c r="F31" s="77" t="s">
        <v>415</v>
      </c>
      <c r="G31" s="77" t="s">
        <v>25</v>
      </c>
      <c r="H31" s="77" t="s">
        <v>113</v>
      </c>
      <c r="I31" s="77" t="s">
        <v>111</v>
      </c>
      <c r="J31" s="77" t="s">
        <v>27</v>
      </c>
      <c r="K31" s="77" t="s">
        <v>112</v>
      </c>
      <c r="L31" s="77">
        <v>3</v>
      </c>
      <c r="M31" s="184"/>
      <c r="N31" s="77">
        <v>5</v>
      </c>
      <c r="O31" s="77">
        <v>0.55000000000000004</v>
      </c>
      <c r="P31" s="77">
        <v>0.55000000000000004</v>
      </c>
      <c r="Q31" s="44">
        <f t="shared" si="0"/>
        <v>0.55000000000000004</v>
      </c>
      <c r="R31" s="77">
        <v>16.399999999999999</v>
      </c>
      <c r="S31" s="77">
        <v>90</v>
      </c>
      <c r="T31" s="16">
        <f t="shared" si="1"/>
        <v>36</v>
      </c>
      <c r="U31" s="77">
        <v>398</v>
      </c>
      <c r="V31" s="16">
        <f t="shared" si="2"/>
        <v>2865.6</v>
      </c>
      <c r="W31" s="77">
        <v>2</v>
      </c>
      <c r="X31" s="77" t="s">
        <v>35</v>
      </c>
      <c r="Y31" s="77" t="s">
        <v>74</v>
      </c>
      <c r="Z31" s="77" t="s">
        <v>72</v>
      </c>
      <c r="AA31" s="77" t="s">
        <v>43</v>
      </c>
      <c r="AB31" s="77" t="s">
        <v>195</v>
      </c>
    </row>
    <row r="32" spans="1:48" x14ac:dyDescent="0.15">
      <c r="A32" s="77" t="s">
        <v>44</v>
      </c>
      <c r="B32" s="77" t="s">
        <v>191</v>
      </c>
      <c r="C32" s="77">
        <v>2020</v>
      </c>
      <c r="D32" s="182" t="s">
        <v>413</v>
      </c>
      <c r="E32" s="77" t="s">
        <v>303</v>
      </c>
      <c r="F32" s="77" t="s">
        <v>415</v>
      </c>
      <c r="G32" s="77" t="s">
        <v>25</v>
      </c>
      <c r="H32" s="77" t="s">
        <v>113</v>
      </c>
      <c r="I32" s="77" t="s">
        <v>111</v>
      </c>
      <c r="J32" s="77" t="s">
        <v>27</v>
      </c>
      <c r="K32" s="77" t="s">
        <v>112</v>
      </c>
      <c r="L32" s="77">
        <v>1</v>
      </c>
      <c r="M32" s="184"/>
      <c r="N32" s="77">
        <v>8</v>
      </c>
      <c r="O32" s="77">
        <v>0.65</v>
      </c>
      <c r="P32" s="77">
        <v>0.7</v>
      </c>
      <c r="Q32" s="44">
        <f t="shared" si="0"/>
        <v>0.67500000000000004</v>
      </c>
      <c r="R32" s="77">
        <v>12.5</v>
      </c>
      <c r="S32" s="77">
        <v>93</v>
      </c>
      <c r="T32" s="16">
        <f t="shared" si="1"/>
        <v>36</v>
      </c>
      <c r="U32" s="77">
        <v>498</v>
      </c>
      <c r="V32" s="16">
        <f t="shared" si="2"/>
        <v>2241</v>
      </c>
      <c r="W32" s="77">
        <v>1</v>
      </c>
      <c r="X32" s="77" t="s">
        <v>35</v>
      </c>
      <c r="Y32" s="77" t="s">
        <v>74</v>
      </c>
      <c r="Z32" s="77" t="s">
        <v>72</v>
      </c>
      <c r="AA32" s="77" t="s">
        <v>43</v>
      </c>
      <c r="AB32" s="77" t="s">
        <v>195</v>
      </c>
    </row>
    <row r="33" spans="1:28" x14ac:dyDescent="0.15">
      <c r="A33" s="77" t="s">
        <v>44</v>
      </c>
      <c r="B33" s="77" t="s">
        <v>191</v>
      </c>
      <c r="C33" s="77">
        <v>2020</v>
      </c>
      <c r="D33" s="182" t="s">
        <v>413</v>
      </c>
      <c r="E33" s="77" t="s">
        <v>303</v>
      </c>
      <c r="F33" s="77" t="s">
        <v>415</v>
      </c>
      <c r="G33" s="77" t="s">
        <v>25</v>
      </c>
      <c r="H33" s="77" t="s">
        <v>113</v>
      </c>
      <c r="I33" s="77" t="s">
        <v>111</v>
      </c>
      <c r="J33" s="77" t="s">
        <v>27</v>
      </c>
      <c r="K33" s="77" t="s">
        <v>112</v>
      </c>
      <c r="L33" s="77">
        <v>2</v>
      </c>
      <c r="M33" s="184"/>
      <c r="N33" s="77">
        <v>8</v>
      </c>
      <c r="O33" s="77">
        <v>1.2</v>
      </c>
      <c r="P33" s="77">
        <v>1.3</v>
      </c>
      <c r="Q33" s="44">
        <f t="shared" si="0"/>
        <v>1.25</v>
      </c>
      <c r="R33" s="77">
        <v>15.3</v>
      </c>
      <c r="S33" s="77">
        <v>88</v>
      </c>
      <c r="T33" s="16">
        <f t="shared" si="1"/>
        <v>36</v>
      </c>
      <c r="U33" s="77">
        <v>498</v>
      </c>
      <c r="V33" s="16">
        <f t="shared" si="2"/>
        <v>2241</v>
      </c>
      <c r="W33" s="77">
        <v>1</v>
      </c>
      <c r="X33" s="77" t="s">
        <v>35</v>
      </c>
      <c r="Y33" s="77" t="s">
        <v>74</v>
      </c>
      <c r="Z33" s="77" t="s">
        <v>72</v>
      </c>
      <c r="AA33" s="77" t="s">
        <v>43</v>
      </c>
      <c r="AB33" s="77" t="s">
        <v>195</v>
      </c>
    </row>
    <row r="34" spans="1:28" x14ac:dyDescent="0.15">
      <c r="A34" s="77" t="s">
        <v>44</v>
      </c>
      <c r="B34" s="77" t="s">
        <v>191</v>
      </c>
      <c r="C34" s="77">
        <v>2020</v>
      </c>
      <c r="D34" s="182" t="s">
        <v>413</v>
      </c>
      <c r="E34" s="77" t="s">
        <v>303</v>
      </c>
      <c r="F34" s="77" t="s">
        <v>415</v>
      </c>
      <c r="G34" s="77" t="s">
        <v>25</v>
      </c>
      <c r="H34" s="77" t="s">
        <v>113</v>
      </c>
      <c r="I34" s="77" t="s">
        <v>111</v>
      </c>
      <c r="J34" s="77" t="s">
        <v>27</v>
      </c>
      <c r="K34" s="77" t="s">
        <v>112</v>
      </c>
      <c r="L34" s="77">
        <v>3</v>
      </c>
      <c r="M34" s="184"/>
      <c r="N34" s="77">
        <v>8</v>
      </c>
      <c r="O34" s="77">
        <v>1.1000000000000001</v>
      </c>
      <c r="P34" s="77">
        <v>1.1000000000000001</v>
      </c>
      <c r="Q34" s="44">
        <f t="shared" si="0"/>
        <v>1.1000000000000001</v>
      </c>
      <c r="R34" s="77">
        <v>15</v>
      </c>
      <c r="S34" s="77">
        <v>85</v>
      </c>
      <c r="T34" s="16">
        <f t="shared" si="1"/>
        <v>36</v>
      </c>
      <c r="U34" s="77">
        <v>498</v>
      </c>
      <c r="V34" s="16">
        <f t="shared" si="2"/>
        <v>2241</v>
      </c>
      <c r="W34" s="77">
        <v>1</v>
      </c>
      <c r="X34" s="77" t="s">
        <v>35</v>
      </c>
      <c r="Y34" s="77" t="s">
        <v>74</v>
      </c>
      <c r="Z34" s="77" t="s">
        <v>72</v>
      </c>
      <c r="AA34" s="77" t="s">
        <v>43</v>
      </c>
      <c r="AB34" s="77" t="s">
        <v>195</v>
      </c>
    </row>
    <row r="35" spans="1:28" x14ac:dyDescent="0.15">
      <c r="A35" s="77" t="s">
        <v>44</v>
      </c>
      <c r="B35" s="77" t="s">
        <v>191</v>
      </c>
      <c r="C35" s="77">
        <v>2020</v>
      </c>
      <c r="D35" s="182" t="s">
        <v>413</v>
      </c>
      <c r="E35" s="77" t="s">
        <v>303</v>
      </c>
      <c r="F35" s="77" t="s">
        <v>415</v>
      </c>
      <c r="G35" s="77" t="s">
        <v>25</v>
      </c>
      <c r="H35" s="77" t="s">
        <v>166</v>
      </c>
      <c r="I35" s="77" t="s">
        <v>111</v>
      </c>
      <c r="J35" s="77" t="s">
        <v>27</v>
      </c>
      <c r="K35" s="77" t="s">
        <v>112</v>
      </c>
      <c r="L35" s="77">
        <v>1</v>
      </c>
      <c r="M35" s="184"/>
      <c r="N35" s="77">
        <v>1</v>
      </c>
      <c r="O35" s="77">
        <v>0.65</v>
      </c>
      <c r="P35" s="77">
        <v>0.6</v>
      </c>
      <c r="Q35" s="44">
        <f t="shared" si="0"/>
        <v>0.625</v>
      </c>
      <c r="R35" s="77">
        <v>17.2</v>
      </c>
      <c r="S35" s="77">
        <v>108</v>
      </c>
      <c r="T35" s="16">
        <f t="shared" si="1"/>
        <v>33</v>
      </c>
      <c r="U35" s="77">
        <v>128</v>
      </c>
      <c r="V35" s="16">
        <f t="shared" si="2"/>
        <v>4224</v>
      </c>
      <c r="W35" s="77">
        <v>2</v>
      </c>
      <c r="X35" s="77" t="s">
        <v>35</v>
      </c>
      <c r="Y35" s="77" t="s">
        <v>74</v>
      </c>
      <c r="Z35" s="77" t="s">
        <v>72</v>
      </c>
      <c r="AA35" s="77" t="s">
        <v>43</v>
      </c>
      <c r="AB35" s="77" t="s">
        <v>195</v>
      </c>
    </row>
    <row r="36" spans="1:28" x14ac:dyDescent="0.15">
      <c r="A36" s="77" t="s">
        <v>44</v>
      </c>
      <c r="B36" s="77" t="s">
        <v>191</v>
      </c>
      <c r="C36" s="77">
        <v>2020</v>
      </c>
      <c r="D36" s="182" t="s">
        <v>413</v>
      </c>
      <c r="E36" s="77" t="s">
        <v>303</v>
      </c>
      <c r="F36" s="77" t="s">
        <v>415</v>
      </c>
      <c r="G36" s="77" t="s">
        <v>25</v>
      </c>
      <c r="H36" s="77" t="s">
        <v>166</v>
      </c>
      <c r="I36" s="77" t="s">
        <v>111</v>
      </c>
      <c r="J36" s="77" t="s">
        <v>27</v>
      </c>
      <c r="K36" s="77" t="s">
        <v>112</v>
      </c>
      <c r="L36" s="77">
        <v>2</v>
      </c>
      <c r="M36" s="184"/>
      <c r="N36" s="77">
        <v>1</v>
      </c>
      <c r="O36" s="77">
        <v>0.75</v>
      </c>
      <c r="P36" s="77">
        <v>0.75</v>
      </c>
      <c r="Q36" s="44">
        <f t="shared" si="0"/>
        <v>0.75</v>
      </c>
      <c r="R36" s="77">
        <v>16.600000000000001</v>
      </c>
      <c r="S36" s="77">
        <v>111</v>
      </c>
      <c r="T36" s="16">
        <f t="shared" si="1"/>
        <v>33</v>
      </c>
      <c r="U36" s="77">
        <v>128</v>
      </c>
      <c r="V36" s="16">
        <f t="shared" si="2"/>
        <v>4224</v>
      </c>
      <c r="W36" s="77">
        <v>2</v>
      </c>
      <c r="X36" s="77" t="s">
        <v>35</v>
      </c>
      <c r="Y36" s="77" t="s">
        <v>74</v>
      </c>
      <c r="Z36" s="77" t="s">
        <v>72</v>
      </c>
      <c r="AA36" s="77" t="s">
        <v>43</v>
      </c>
      <c r="AB36" s="77" t="s">
        <v>195</v>
      </c>
    </row>
    <row r="37" spans="1:28" x14ac:dyDescent="0.15">
      <c r="A37" s="77" t="s">
        <v>44</v>
      </c>
      <c r="B37" s="77" t="s">
        <v>191</v>
      </c>
      <c r="C37" s="77">
        <v>2020</v>
      </c>
      <c r="D37" s="182" t="s">
        <v>413</v>
      </c>
      <c r="E37" s="77" t="s">
        <v>303</v>
      </c>
      <c r="F37" s="77" t="s">
        <v>415</v>
      </c>
      <c r="G37" s="77" t="s">
        <v>25</v>
      </c>
      <c r="H37" s="77" t="s">
        <v>166</v>
      </c>
      <c r="I37" s="77" t="s">
        <v>111</v>
      </c>
      <c r="J37" s="77" t="s">
        <v>27</v>
      </c>
      <c r="K37" s="77" t="s">
        <v>112</v>
      </c>
      <c r="L37" s="77">
        <v>3</v>
      </c>
      <c r="M37" s="184"/>
      <c r="N37" s="77">
        <v>1</v>
      </c>
      <c r="O37" s="77">
        <v>0.8</v>
      </c>
      <c r="P37" s="77">
        <v>0.75</v>
      </c>
      <c r="Q37" s="44">
        <f t="shared" si="0"/>
        <v>0.77500000000000002</v>
      </c>
      <c r="R37" s="77">
        <v>17.100000000000001</v>
      </c>
      <c r="S37" s="77">
        <v>112</v>
      </c>
      <c r="T37" s="16">
        <f t="shared" si="1"/>
        <v>33</v>
      </c>
      <c r="U37" s="77">
        <v>128</v>
      </c>
      <c r="V37" s="16">
        <f t="shared" si="2"/>
        <v>4224</v>
      </c>
      <c r="W37" s="77">
        <v>2</v>
      </c>
      <c r="X37" s="77" t="s">
        <v>35</v>
      </c>
      <c r="Y37" s="77" t="s">
        <v>74</v>
      </c>
      <c r="Z37" s="77" t="s">
        <v>72</v>
      </c>
      <c r="AA37" s="77" t="s">
        <v>43</v>
      </c>
      <c r="AB37" s="77" t="s">
        <v>195</v>
      </c>
    </row>
    <row r="38" spans="1:28" x14ac:dyDescent="0.15">
      <c r="A38" s="77" t="s">
        <v>44</v>
      </c>
      <c r="B38" s="77" t="s">
        <v>191</v>
      </c>
      <c r="C38" s="77">
        <v>2020</v>
      </c>
      <c r="D38" s="182" t="s">
        <v>413</v>
      </c>
      <c r="E38" s="77" t="s">
        <v>303</v>
      </c>
      <c r="F38" s="77" t="s">
        <v>415</v>
      </c>
      <c r="G38" s="77" t="s">
        <v>25</v>
      </c>
      <c r="H38" s="77" t="s">
        <v>166</v>
      </c>
      <c r="I38" s="77" t="s">
        <v>111</v>
      </c>
      <c r="J38" s="77" t="s">
        <v>27</v>
      </c>
      <c r="K38" s="77" t="s">
        <v>112</v>
      </c>
      <c r="L38" s="77">
        <v>1</v>
      </c>
      <c r="M38" s="184"/>
      <c r="N38" s="77">
        <v>4</v>
      </c>
      <c r="O38" s="77">
        <v>0.55000000000000004</v>
      </c>
      <c r="P38" s="77">
        <v>0.6</v>
      </c>
      <c r="Q38" s="44">
        <f t="shared" si="0"/>
        <v>0.57499999999999996</v>
      </c>
      <c r="R38" s="77">
        <v>13.1</v>
      </c>
      <c r="S38" s="77">
        <v>85</v>
      </c>
      <c r="T38" s="16">
        <f t="shared" si="1"/>
        <v>36</v>
      </c>
      <c r="U38" s="77">
        <v>498</v>
      </c>
      <c r="V38" s="16">
        <f t="shared" si="2"/>
        <v>4482</v>
      </c>
      <c r="W38" s="77">
        <v>2</v>
      </c>
      <c r="X38" s="77" t="s">
        <v>35</v>
      </c>
      <c r="Y38" s="77" t="s">
        <v>74</v>
      </c>
      <c r="Z38" s="77" t="s">
        <v>72</v>
      </c>
      <c r="AA38" s="77" t="s">
        <v>43</v>
      </c>
      <c r="AB38" s="77" t="s">
        <v>195</v>
      </c>
    </row>
    <row r="39" spans="1:28" x14ac:dyDescent="0.15">
      <c r="A39" s="77" t="s">
        <v>44</v>
      </c>
      <c r="B39" s="77" t="s">
        <v>191</v>
      </c>
      <c r="C39" s="77">
        <v>2020</v>
      </c>
      <c r="D39" s="182" t="s">
        <v>413</v>
      </c>
      <c r="E39" s="77" t="s">
        <v>303</v>
      </c>
      <c r="F39" s="77" t="s">
        <v>415</v>
      </c>
      <c r="G39" s="77" t="s">
        <v>25</v>
      </c>
      <c r="H39" s="77" t="s">
        <v>166</v>
      </c>
      <c r="I39" s="77" t="s">
        <v>111</v>
      </c>
      <c r="J39" s="77" t="s">
        <v>27</v>
      </c>
      <c r="K39" s="77" t="s">
        <v>112</v>
      </c>
      <c r="L39" s="77">
        <v>2</v>
      </c>
      <c r="M39" s="184"/>
      <c r="N39" s="77">
        <v>4</v>
      </c>
      <c r="O39" s="77">
        <v>0.7</v>
      </c>
      <c r="P39" s="77">
        <v>0.65</v>
      </c>
      <c r="Q39" s="44">
        <f t="shared" si="0"/>
        <v>0.67500000000000004</v>
      </c>
      <c r="R39" s="77">
        <v>17.100000000000001</v>
      </c>
      <c r="S39" s="77">
        <v>88</v>
      </c>
      <c r="T39" s="16">
        <f t="shared" si="1"/>
        <v>36</v>
      </c>
      <c r="U39" s="77">
        <v>498</v>
      </c>
      <c r="V39" s="16">
        <f t="shared" si="2"/>
        <v>4482</v>
      </c>
      <c r="W39" s="77">
        <v>2</v>
      </c>
      <c r="X39" s="77" t="s">
        <v>35</v>
      </c>
      <c r="Y39" s="77" t="s">
        <v>74</v>
      </c>
      <c r="Z39" s="77" t="s">
        <v>72</v>
      </c>
      <c r="AA39" s="77" t="s">
        <v>43</v>
      </c>
      <c r="AB39" s="77" t="s">
        <v>195</v>
      </c>
    </row>
    <row r="40" spans="1:28" x14ac:dyDescent="0.15">
      <c r="A40" s="77" t="s">
        <v>44</v>
      </c>
      <c r="B40" s="77" t="s">
        <v>191</v>
      </c>
      <c r="C40" s="77">
        <v>2020</v>
      </c>
      <c r="D40" s="182" t="s">
        <v>413</v>
      </c>
      <c r="E40" s="77" t="s">
        <v>303</v>
      </c>
      <c r="F40" s="77" t="s">
        <v>415</v>
      </c>
      <c r="G40" s="77" t="s">
        <v>25</v>
      </c>
      <c r="H40" s="77" t="s">
        <v>166</v>
      </c>
      <c r="I40" s="77" t="s">
        <v>111</v>
      </c>
      <c r="J40" s="77" t="s">
        <v>27</v>
      </c>
      <c r="K40" s="77" t="s">
        <v>112</v>
      </c>
      <c r="L40" s="77">
        <v>3</v>
      </c>
      <c r="M40" s="184"/>
      <c r="N40" s="77">
        <v>4</v>
      </c>
      <c r="O40" s="77">
        <v>0.7</v>
      </c>
      <c r="P40" s="77">
        <v>0.8</v>
      </c>
      <c r="Q40" s="44">
        <f t="shared" si="0"/>
        <v>0.75</v>
      </c>
      <c r="R40" s="77">
        <v>16.399999999999999</v>
      </c>
      <c r="S40" s="77">
        <v>87</v>
      </c>
      <c r="T40" s="16">
        <f t="shared" si="1"/>
        <v>36</v>
      </c>
      <c r="U40" s="77">
        <v>498</v>
      </c>
      <c r="V40" s="16">
        <f t="shared" si="2"/>
        <v>4482</v>
      </c>
      <c r="W40" s="77">
        <v>2</v>
      </c>
      <c r="X40" s="77" t="s">
        <v>35</v>
      </c>
      <c r="Y40" s="77" t="s">
        <v>74</v>
      </c>
      <c r="Z40" s="77" t="s">
        <v>72</v>
      </c>
      <c r="AA40" s="77" t="s">
        <v>43</v>
      </c>
      <c r="AB40" s="77" t="s">
        <v>195</v>
      </c>
    </row>
    <row r="41" spans="1:28" x14ac:dyDescent="0.15">
      <c r="A41" s="77" t="s">
        <v>44</v>
      </c>
      <c r="B41" s="77" t="s">
        <v>191</v>
      </c>
      <c r="C41" s="77">
        <v>2020</v>
      </c>
      <c r="D41" s="182" t="s">
        <v>413</v>
      </c>
      <c r="E41" s="77" t="s">
        <v>303</v>
      </c>
      <c r="F41" s="77" t="s">
        <v>415</v>
      </c>
      <c r="G41" s="77" t="s">
        <v>25</v>
      </c>
      <c r="H41" s="77" t="s">
        <v>166</v>
      </c>
      <c r="I41" s="77" t="s">
        <v>111</v>
      </c>
      <c r="J41" s="77" t="s">
        <v>27</v>
      </c>
      <c r="K41" s="77" t="s">
        <v>112</v>
      </c>
      <c r="L41" s="77">
        <v>1</v>
      </c>
      <c r="M41" s="184"/>
      <c r="N41" s="77">
        <v>8</v>
      </c>
      <c r="O41" s="77">
        <v>0.75</v>
      </c>
      <c r="P41" s="77">
        <v>0.75</v>
      </c>
      <c r="Q41" s="44">
        <f t="shared" si="0"/>
        <v>0.75</v>
      </c>
      <c r="R41" s="77">
        <v>18</v>
      </c>
      <c r="S41" s="77">
        <v>112</v>
      </c>
      <c r="T41" s="16">
        <f t="shared" si="1"/>
        <v>33</v>
      </c>
      <c r="U41" s="77">
        <v>698</v>
      </c>
      <c r="V41" s="16">
        <f t="shared" si="2"/>
        <v>2879.25</v>
      </c>
      <c r="W41" s="77">
        <v>1</v>
      </c>
      <c r="X41" s="77" t="s">
        <v>35</v>
      </c>
      <c r="Y41" s="77" t="s">
        <v>74</v>
      </c>
      <c r="Z41" s="77" t="s">
        <v>72</v>
      </c>
      <c r="AA41" s="77" t="s">
        <v>43</v>
      </c>
      <c r="AB41" s="77" t="s">
        <v>195</v>
      </c>
    </row>
    <row r="42" spans="1:28" x14ac:dyDescent="0.15">
      <c r="A42" s="77" t="s">
        <v>44</v>
      </c>
      <c r="B42" s="77" t="s">
        <v>191</v>
      </c>
      <c r="C42" s="77">
        <v>2020</v>
      </c>
      <c r="D42" s="182" t="s">
        <v>413</v>
      </c>
      <c r="E42" s="77" t="s">
        <v>303</v>
      </c>
      <c r="F42" s="77" t="s">
        <v>415</v>
      </c>
      <c r="G42" s="77" t="s">
        <v>25</v>
      </c>
      <c r="H42" s="77" t="s">
        <v>166</v>
      </c>
      <c r="I42" s="77" t="s">
        <v>111</v>
      </c>
      <c r="J42" s="77" t="s">
        <v>27</v>
      </c>
      <c r="K42" s="77" t="s">
        <v>112</v>
      </c>
      <c r="L42" s="77">
        <v>2</v>
      </c>
      <c r="M42" s="184"/>
      <c r="N42" s="77">
        <v>8</v>
      </c>
      <c r="O42" s="77">
        <v>0.85</v>
      </c>
      <c r="P42" s="77">
        <v>0.8</v>
      </c>
      <c r="Q42" s="44">
        <f t="shared" si="0"/>
        <v>0.82499999999999996</v>
      </c>
      <c r="R42" s="77">
        <v>17.399999999999999</v>
      </c>
      <c r="S42" s="77">
        <v>108</v>
      </c>
      <c r="T42" s="16">
        <f t="shared" si="1"/>
        <v>33</v>
      </c>
      <c r="U42" s="77">
        <v>698</v>
      </c>
      <c r="V42" s="16">
        <f t="shared" si="2"/>
        <v>2879.25</v>
      </c>
      <c r="W42" s="77">
        <v>1</v>
      </c>
      <c r="X42" s="77" t="s">
        <v>35</v>
      </c>
      <c r="Y42" s="77" t="s">
        <v>74</v>
      </c>
      <c r="Z42" s="77" t="s">
        <v>72</v>
      </c>
      <c r="AA42" s="77" t="s">
        <v>43</v>
      </c>
      <c r="AB42" s="77" t="s">
        <v>195</v>
      </c>
    </row>
    <row r="43" spans="1:28" x14ac:dyDescent="0.15">
      <c r="A43" s="77" t="s">
        <v>44</v>
      </c>
      <c r="B43" s="77" t="s">
        <v>191</v>
      </c>
      <c r="C43" s="77">
        <v>2020</v>
      </c>
      <c r="D43" s="182" t="s">
        <v>413</v>
      </c>
      <c r="E43" s="77" t="s">
        <v>303</v>
      </c>
      <c r="F43" s="77" t="s">
        <v>415</v>
      </c>
      <c r="G43" s="77" t="s">
        <v>25</v>
      </c>
      <c r="H43" s="77" t="s">
        <v>166</v>
      </c>
      <c r="I43" s="77" t="s">
        <v>111</v>
      </c>
      <c r="J43" s="77" t="s">
        <v>27</v>
      </c>
      <c r="K43" s="77" t="s">
        <v>112</v>
      </c>
      <c r="L43" s="77">
        <v>3</v>
      </c>
      <c r="M43" s="184"/>
      <c r="N43" s="77">
        <v>8</v>
      </c>
      <c r="O43" s="77">
        <v>0.6</v>
      </c>
      <c r="P43" s="77">
        <v>0.65</v>
      </c>
      <c r="Q43" s="44">
        <f t="shared" si="0"/>
        <v>0.625</v>
      </c>
      <c r="R43" s="77">
        <v>16.899999999999999</v>
      </c>
      <c r="S43" s="77">
        <v>111</v>
      </c>
      <c r="T43" s="16">
        <f t="shared" si="1"/>
        <v>33</v>
      </c>
      <c r="U43" s="77">
        <v>698</v>
      </c>
      <c r="V43" s="16">
        <f t="shared" si="2"/>
        <v>2879.25</v>
      </c>
      <c r="W43" s="77">
        <v>1</v>
      </c>
      <c r="X43" s="77" t="s">
        <v>35</v>
      </c>
      <c r="Y43" s="77" t="s">
        <v>74</v>
      </c>
      <c r="Z43" s="77" t="s">
        <v>72</v>
      </c>
      <c r="AA43" s="77" t="s">
        <v>43</v>
      </c>
      <c r="AB43" s="77" t="s">
        <v>195</v>
      </c>
    </row>
    <row r="44" spans="1:28" x14ac:dyDescent="0.15">
      <c r="A44" s="77" t="s">
        <v>44</v>
      </c>
      <c r="B44" s="77" t="s">
        <v>191</v>
      </c>
      <c r="C44" s="77">
        <v>2020</v>
      </c>
      <c r="D44" s="182" t="s">
        <v>413</v>
      </c>
      <c r="E44" s="77" t="s">
        <v>420</v>
      </c>
      <c r="F44" s="77" t="s">
        <v>421</v>
      </c>
      <c r="G44" s="77" t="s">
        <v>25</v>
      </c>
      <c r="H44" s="77" t="s">
        <v>113</v>
      </c>
      <c r="I44" s="77" t="s">
        <v>111</v>
      </c>
      <c r="J44" s="77" t="s">
        <v>27</v>
      </c>
      <c r="K44" s="77" t="s">
        <v>112</v>
      </c>
      <c r="L44" s="77">
        <v>1</v>
      </c>
      <c r="M44" s="184"/>
      <c r="N44" s="77">
        <v>1</v>
      </c>
      <c r="O44" s="77">
        <v>0.55000000000000004</v>
      </c>
      <c r="P44" s="77">
        <v>0.55000000000000004</v>
      </c>
      <c r="Q44" s="44">
        <f t="shared" si="0"/>
        <v>0.55000000000000004</v>
      </c>
      <c r="R44" s="77">
        <v>13.9</v>
      </c>
      <c r="S44" s="77">
        <v>118</v>
      </c>
      <c r="T44" s="16">
        <f t="shared" si="1"/>
        <v>30</v>
      </c>
      <c r="U44" s="77">
        <v>108</v>
      </c>
      <c r="V44" s="16">
        <f t="shared" si="2"/>
        <v>3240</v>
      </c>
      <c r="W44" s="77">
        <v>4</v>
      </c>
      <c r="X44" s="77" t="s">
        <v>35</v>
      </c>
      <c r="Y44" s="77" t="s">
        <v>74</v>
      </c>
      <c r="Z44" s="77" t="s">
        <v>43</v>
      </c>
      <c r="AA44" s="77" t="s">
        <v>82</v>
      </c>
      <c r="AB44" s="77" t="s">
        <v>195</v>
      </c>
    </row>
    <row r="45" spans="1:28" x14ac:dyDescent="0.15">
      <c r="A45" s="77" t="s">
        <v>44</v>
      </c>
      <c r="B45" s="77" t="s">
        <v>191</v>
      </c>
      <c r="C45" s="77">
        <v>2020</v>
      </c>
      <c r="D45" s="182" t="s">
        <v>413</v>
      </c>
      <c r="E45" s="77" t="s">
        <v>420</v>
      </c>
      <c r="F45" s="77" t="s">
        <v>421</v>
      </c>
      <c r="G45" s="77" t="s">
        <v>25</v>
      </c>
      <c r="H45" s="77" t="s">
        <v>113</v>
      </c>
      <c r="I45" s="77" t="s">
        <v>111</v>
      </c>
      <c r="J45" s="77" t="s">
        <v>27</v>
      </c>
      <c r="K45" s="77" t="s">
        <v>112</v>
      </c>
      <c r="L45" s="77">
        <v>2</v>
      </c>
      <c r="M45" s="184"/>
      <c r="N45" s="77">
        <v>1</v>
      </c>
      <c r="O45" s="77">
        <v>0.55000000000000004</v>
      </c>
      <c r="P45" s="77">
        <v>0.55000000000000004</v>
      </c>
      <c r="Q45" s="44">
        <f t="shared" si="0"/>
        <v>0.55000000000000004</v>
      </c>
      <c r="R45" s="77">
        <v>15.3</v>
      </c>
      <c r="S45" s="77">
        <v>124</v>
      </c>
      <c r="T45" s="16">
        <f t="shared" si="1"/>
        <v>27</v>
      </c>
      <c r="U45" s="77">
        <v>108</v>
      </c>
      <c r="V45" s="16">
        <f t="shared" si="2"/>
        <v>2916</v>
      </c>
      <c r="W45" s="77">
        <v>4</v>
      </c>
      <c r="X45" s="77" t="s">
        <v>35</v>
      </c>
      <c r="Y45" s="77" t="s">
        <v>74</v>
      </c>
      <c r="Z45" s="77" t="s">
        <v>43</v>
      </c>
      <c r="AA45" s="77" t="s">
        <v>82</v>
      </c>
      <c r="AB45" s="77" t="s">
        <v>195</v>
      </c>
    </row>
    <row r="46" spans="1:28" x14ac:dyDescent="0.15">
      <c r="A46" s="77" t="s">
        <v>44</v>
      </c>
      <c r="B46" s="77" t="s">
        <v>191</v>
      </c>
      <c r="C46" s="77">
        <v>2020</v>
      </c>
      <c r="D46" s="182" t="s">
        <v>413</v>
      </c>
      <c r="E46" s="77" t="s">
        <v>420</v>
      </c>
      <c r="F46" s="77" t="s">
        <v>421</v>
      </c>
      <c r="G46" s="77" t="s">
        <v>25</v>
      </c>
      <c r="H46" s="77" t="s">
        <v>113</v>
      </c>
      <c r="I46" s="77" t="s">
        <v>111</v>
      </c>
      <c r="J46" s="77" t="s">
        <v>27</v>
      </c>
      <c r="K46" s="77" t="s">
        <v>112</v>
      </c>
      <c r="L46" s="77">
        <v>3</v>
      </c>
      <c r="M46" s="184"/>
      <c r="N46" s="77">
        <v>1</v>
      </c>
      <c r="O46" s="77">
        <v>0.5</v>
      </c>
      <c r="P46" s="77">
        <v>0.55000000000000004</v>
      </c>
      <c r="Q46" s="44">
        <f t="shared" si="0"/>
        <v>0.52500000000000002</v>
      </c>
      <c r="R46" s="77">
        <v>14.3</v>
      </c>
      <c r="S46" s="77">
        <v>117</v>
      </c>
      <c r="T46" s="16">
        <f t="shared" si="1"/>
        <v>30</v>
      </c>
      <c r="U46" s="77">
        <v>108</v>
      </c>
      <c r="V46" s="16">
        <f t="shared" si="2"/>
        <v>3240</v>
      </c>
      <c r="W46" s="77">
        <v>4</v>
      </c>
      <c r="X46" s="77" t="s">
        <v>35</v>
      </c>
      <c r="Y46" s="77" t="s">
        <v>74</v>
      </c>
      <c r="Z46" s="77" t="s">
        <v>43</v>
      </c>
      <c r="AA46" s="77" t="s">
        <v>82</v>
      </c>
      <c r="AB46" s="77" t="s">
        <v>195</v>
      </c>
    </row>
    <row r="47" spans="1:28" x14ac:dyDescent="0.15">
      <c r="A47" s="77" t="s">
        <v>44</v>
      </c>
      <c r="B47" s="77" t="s">
        <v>191</v>
      </c>
      <c r="C47" s="77">
        <v>2020</v>
      </c>
      <c r="D47" s="182" t="s">
        <v>413</v>
      </c>
      <c r="E47" s="77" t="s">
        <v>420</v>
      </c>
      <c r="F47" s="77" t="s">
        <v>421</v>
      </c>
      <c r="G47" s="77" t="s">
        <v>25</v>
      </c>
      <c r="H47" s="77" t="s">
        <v>113</v>
      </c>
      <c r="I47" s="77" t="s">
        <v>111</v>
      </c>
      <c r="J47" s="77" t="s">
        <v>27</v>
      </c>
      <c r="K47" s="77" t="s">
        <v>112</v>
      </c>
      <c r="L47" s="77">
        <v>1</v>
      </c>
      <c r="M47" s="184"/>
      <c r="N47" s="77">
        <v>5</v>
      </c>
      <c r="O47" s="77">
        <v>0.75</v>
      </c>
      <c r="P47" s="77">
        <v>0.8</v>
      </c>
      <c r="Q47" s="44">
        <f t="shared" si="0"/>
        <v>0.77500000000000002</v>
      </c>
      <c r="R47" s="77">
        <v>18.3</v>
      </c>
      <c r="S47" s="77">
        <v>91</v>
      </c>
      <c r="T47" s="16">
        <f t="shared" si="1"/>
        <v>36</v>
      </c>
      <c r="U47" s="77">
        <v>398</v>
      </c>
      <c r="V47" s="16">
        <f t="shared" si="2"/>
        <v>2865.6</v>
      </c>
      <c r="W47" s="77">
        <v>3</v>
      </c>
      <c r="X47" s="77" t="s">
        <v>35</v>
      </c>
      <c r="Y47" s="77" t="s">
        <v>74</v>
      </c>
      <c r="Z47" s="77" t="s">
        <v>43</v>
      </c>
      <c r="AA47" s="77" t="s">
        <v>82</v>
      </c>
      <c r="AB47" s="77" t="s">
        <v>195</v>
      </c>
    </row>
    <row r="48" spans="1:28" x14ac:dyDescent="0.15">
      <c r="A48" s="77" t="s">
        <v>44</v>
      </c>
      <c r="B48" s="77" t="s">
        <v>191</v>
      </c>
      <c r="C48" s="77">
        <v>2020</v>
      </c>
      <c r="D48" s="182" t="s">
        <v>413</v>
      </c>
      <c r="E48" s="77" t="s">
        <v>420</v>
      </c>
      <c r="F48" s="77" t="s">
        <v>421</v>
      </c>
      <c r="G48" s="77" t="s">
        <v>25</v>
      </c>
      <c r="H48" s="77" t="s">
        <v>113</v>
      </c>
      <c r="I48" s="77" t="s">
        <v>111</v>
      </c>
      <c r="J48" s="77" t="s">
        <v>27</v>
      </c>
      <c r="K48" s="77" t="s">
        <v>112</v>
      </c>
      <c r="L48" s="77">
        <v>2</v>
      </c>
      <c r="M48" s="184"/>
      <c r="N48" s="77">
        <v>5</v>
      </c>
      <c r="O48" s="77">
        <v>0.6</v>
      </c>
      <c r="P48" s="77">
        <v>0.55000000000000004</v>
      </c>
      <c r="Q48" s="44">
        <f t="shared" si="0"/>
        <v>0.57499999999999996</v>
      </c>
      <c r="R48" s="77">
        <v>17</v>
      </c>
      <c r="S48" s="77">
        <v>87</v>
      </c>
      <c r="T48" s="16">
        <f t="shared" si="1"/>
        <v>36</v>
      </c>
      <c r="U48" s="77">
        <v>398</v>
      </c>
      <c r="V48" s="16">
        <f t="shared" si="2"/>
        <v>2865.6</v>
      </c>
      <c r="W48" s="77">
        <v>3</v>
      </c>
      <c r="X48" s="77" t="s">
        <v>35</v>
      </c>
      <c r="Y48" s="77" t="s">
        <v>74</v>
      </c>
      <c r="Z48" s="77" t="s">
        <v>43</v>
      </c>
      <c r="AA48" s="77" t="s">
        <v>82</v>
      </c>
      <c r="AB48" s="77" t="s">
        <v>195</v>
      </c>
    </row>
    <row r="49" spans="1:28" x14ac:dyDescent="0.15">
      <c r="A49" s="77" t="s">
        <v>44</v>
      </c>
      <c r="B49" s="77" t="s">
        <v>191</v>
      </c>
      <c r="C49" s="77">
        <v>2020</v>
      </c>
      <c r="D49" s="182" t="s">
        <v>413</v>
      </c>
      <c r="E49" s="77" t="s">
        <v>420</v>
      </c>
      <c r="F49" s="77" t="s">
        <v>421</v>
      </c>
      <c r="G49" s="77" t="s">
        <v>25</v>
      </c>
      <c r="H49" s="77" t="s">
        <v>113</v>
      </c>
      <c r="I49" s="77" t="s">
        <v>111</v>
      </c>
      <c r="J49" s="77" t="s">
        <v>27</v>
      </c>
      <c r="K49" s="77" t="s">
        <v>112</v>
      </c>
      <c r="L49" s="77">
        <v>3</v>
      </c>
      <c r="M49" s="184"/>
      <c r="N49" s="77">
        <v>5</v>
      </c>
      <c r="O49" s="77">
        <v>0.55000000000000004</v>
      </c>
      <c r="P49" s="77">
        <v>0.55000000000000004</v>
      </c>
      <c r="Q49" s="44">
        <f t="shared" si="0"/>
        <v>0.55000000000000004</v>
      </c>
      <c r="R49" s="77">
        <v>17.2</v>
      </c>
      <c r="S49" s="77">
        <v>84</v>
      </c>
      <c r="T49" s="16">
        <f t="shared" si="1"/>
        <v>36</v>
      </c>
      <c r="U49" s="77">
        <v>398</v>
      </c>
      <c r="V49" s="16">
        <f t="shared" si="2"/>
        <v>2865.6</v>
      </c>
      <c r="W49" s="77">
        <v>3</v>
      </c>
      <c r="X49" s="77" t="s">
        <v>35</v>
      </c>
      <c r="Y49" s="77" t="s">
        <v>74</v>
      </c>
      <c r="Z49" s="77" t="s">
        <v>43</v>
      </c>
      <c r="AA49" s="77" t="s">
        <v>82</v>
      </c>
      <c r="AB49" s="77" t="s">
        <v>195</v>
      </c>
    </row>
    <row r="50" spans="1:28" x14ac:dyDescent="0.15">
      <c r="A50" s="77" t="s">
        <v>44</v>
      </c>
      <c r="B50" s="77" t="s">
        <v>191</v>
      </c>
      <c r="C50" s="77">
        <v>2020</v>
      </c>
      <c r="D50" s="182" t="s">
        <v>413</v>
      </c>
      <c r="E50" s="77" t="s">
        <v>420</v>
      </c>
      <c r="F50" s="77" t="s">
        <v>421</v>
      </c>
      <c r="G50" s="77" t="s">
        <v>25</v>
      </c>
      <c r="H50" s="77" t="s">
        <v>166</v>
      </c>
      <c r="I50" s="77" t="s">
        <v>111</v>
      </c>
      <c r="J50" s="77" t="s">
        <v>27</v>
      </c>
      <c r="K50" s="77" t="s">
        <v>112</v>
      </c>
      <c r="L50" s="77">
        <v>1</v>
      </c>
      <c r="M50" s="184"/>
      <c r="N50" s="77">
        <v>1</v>
      </c>
      <c r="O50" s="77">
        <v>0.5</v>
      </c>
      <c r="P50" s="77">
        <v>0.5</v>
      </c>
      <c r="Q50" s="44">
        <f t="shared" si="0"/>
        <v>0.5</v>
      </c>
      <c r="R50" s="77">
        <v>15.8</v>
      </c>
      <c r="S50" s="77">
        <v>120</v>
      </c>
      <c r="T50" s="16">
        <f t="shared" si="1"/>
        <v>30</v>
      </c>
      <c r="U50" s="77">
        <v>128</v>
      </c>
      <c r="V50" s="16">
        <f t="shared" si="2"/>
        <v>3840</v>
      </c>
      <c r="W50" s="77">
        <v>4</v>
      </c>
      <c r="X50" s="77" t="s">
        <v>35</v>
      </c>
      <c r="Y50" s="77" t="s">
        <v>74</v>
      </c>
      <c r="Z50" s="77" t="s">
        <v>43</v>
      </c>
      <c r="AA50" s="77" t="s">
        <v>82</v>
      </c>
      <c r="AB50" s="77" t="s">
        <v>195</v>
      </c>
    </row>
    <row r="51" spans="1:28" x14ac:dyDescent="0.15">
      <c r="A51" s="77" t="s">
        <v>44</v>
      </c>
      <c r="B51" s="77" t="s">
        <v>191</v>
      </c>
      <c r="C51" s="77">
        <v>2020</v>
      </c>
      <c r="D51" s="182" t="s">
        <v>413</v>
      </c>
      <c r="E51" s="77" t="s">
        <v>420</v>
      </c>
      <c r="F51" s="77" t="s">
        <v>421</v>
      </c>
      <c r="G51" s="77" t="s">
        <v>25</v>
      </c>
      <c r="H51" s="77" t="s">
        <v>166</v>
      </c>
      <c r="I51" s="77" t="s">
        <v>111</v>
      </c>
      <c r="J51" s="77" t="s">
        <v>27</v>
      </c>
      <c r="K51" s="77" t="s">
        <v>112</v>
      </c>
      <c r="L51" s="77">
        <v>2</v>
      </c>
      <c r="M51" s="184"/>
      <c r="N51" s="77">
        <v>1</v>
      </c>
      <c r="O51" s="77">
        <v>0.6</v>
      </c>
      <c r="P51" s="77">
        <v>0.6</v>
      </c>
      <c r="Q51" s="44">
        <f t="shared" si="0"/>
        <v>0.6</v>
      </c>
      <c r="R51" s="77">
        <v>17.7</v>
      </c>
      <c r="S51" s="77">
        <v>123</v>
      </c>
      <c r="T51" s="16">
        <f t="shared" si="1"/>
        <v>27</v>
      </c>
      <c r="U51" s="77">
        <v>128</v>
      </c>
      <c r="V51" s="16">
        <f t="shared" si="2"/>
        <v>3456</v>
      </c>
      <c r="W51" s="77">
        <v>4</v>
      </c>
      <c r="X51" s="77" t="s">
        <v>35</v>
      </c>
      <c r="Y51" s="77" t="s">
        <v>74</v>
      </c>
      <c r="Z51" s="77" t="s">
        <v>43</v>
      </c>
      <c r="AA51" s="77" t="s">
        <v>82</v>
      </c>
      <c r="AB51" s="77" t="s">
        <v>195</v>
      </c>
    </row>
    <row r="52" spans="1:28" x14ac:dyDescent="0.15">
      <c r="A52" s="77" t="s">
        <v>44</v>
      </c>
      <c r="B52" s="77" t="s">
        <v>191</v>
      </c>
      <c r="C52" s="77">
        <v>2020</v>
      </c>
      <c r="D52" s="182" t="s">
        <v>413</v>
      </c>
      <c r="E52" s="77" t="s">
        <v>420</v>
      </c>
      <c r="F52" s="77" t="s">
        <v>421</v>
      </c>
      <c r="G52" s="77" t="s">
        <v>25</v>
      </c>
      <c r="H52" s="77" t="s">
        <v>166</v>
      </c>
      <c r="I52" s="77" t="s">
        <v>111</v>
      </c>
      <c r="J52" s="77" t="s">
        <v>27</v>
      </c>
      <c r="K52" s="77" t="s">
        <v>112</v>
      </c>
      <c r="L52" s="77">
        <v>3</v>
      </c>
      <c r="M52" s="184"/>
      <c r="N52" s="77">
        <v>1</v>
      </c>
      <c r="O52" s="77">
        <v>0.55000000000000004</v>
      </c>
      <c r="P52" s="77">
        <v>0.6</v>
      </c>
      <c r="Q52" s="44">
        <f t="shared" si="0"/>
        <v>0.57499999999999996</v>
      </c>
      <c r="R52" s="77">
        <v>15.9</v>
      </c>
      <c r="S52" s="77">
        <v>119</v>
      </c>
      <c r="T52" s="16">
        <f t="shared" si="1"/>
        <v>30</v>
      </c>
      <c r="U52" s="77">
        <v>128</v>
      </c>
      <c r="V52" s="16">
        <f t="shared" si="2"/>
        <v>3840</v>
      </c>
      <c r="W52" s="77">
        <v>4</v>
      </c>
      <c r="X52" s="77" t="s">
        <v>35</v>
      </c>
      <c r="Y52" s="77" t="s">
        <v>74</v>
      </c>
      <c r="Z52" s="77" t="s">
        <v>43</v>
      </c>
      <c r="AA52" s="77" t="s">
        <v>82</v>
      </c>
      <c r="AB52" s="77" t="s">
        <v>195</v>
      </c>
    </row>
    <row r="53" spans="1:28" x14ac:dyDescent="0.15">
      <c r="A53" s="77" t="s">
        <v>44</v>
      </c>
      <c r="B53" s="77" t="s">
        <v>191</v>
      </c>
      <c r="C53" s="77">
        <v>2020</v>
      </c>
      <c r="D53" s="182" t="s">
        <v>413</v>
      </c>
      <c r="E53" s="77" t="s">
        <v>420</v>
      </c>
      <c r="F53" s="77" t="s">
        <v>421</v>
      </c>
      <c r="G53" s="77" t="s">
        <v>25</v>
      </c>
      <c r="H53" s="77" t="s">
        <v>166</v>
      </c>
      <c r="I53" s="77" t="s">
        <v>111</v>
      </c>
      <c r="J53" s="77" t="s">
        <v>27</v>
      </c>
      <c r="K53" s="77" t="s">
        <v>112</v>
      </c>
      <c r="L53" s="77">
        <v>1</v>
      </c>
      <c r="M53" s="184"/>
      <c r="N53" s="77">
        <v>5</v>
      </c>
      <c r="O53" s="77">
        <v>0.6</v>
      </c>
      <c r="P53" s="77">
        <v>0.65</v>
      </c>
      <c r="Q53" s="44">
        <f t="shared" si="0"/>
        <v>0.625</v>
      </c>
      <c r="R53" s="77">
        <v>17.399999999999999</v>
      </c>
      <c r="S53" s="77">
        <v>98</v>
      </c>
      <c r="T53" s="16">
        <f t="shared" si="1"/>
        <v>36</v>
      </c>
      <c r="U53" s="77">
        <v>598</v>
      </c>
      <c r="V53" s="16">
        <f t="shared" si="2"/>
        <v>4305.5999999999995</v>
      </c>
      <c r="W53" s="77">
        <v>3</v>
      </c>
      <c r="X53" s="77" t="s">
        <v>35</v>
      </c>
      <c r="Y53" s="77" t="s">
        <v>74</v>
      </c>
      <c r="Z53" s="77" t="s">
        <v>43</v>
      </c>
      <c r="AA53" s="77" t="s">
        <v>82</v>
      </c>
      <c r="AB53" s="77" t="s">
        <v>195</v>
      </c>
    </row>
    <row r="54" spans="1:28" x14ac:dyDescent="0.15">
      <c r="A54" s="77" t="s">
        <v>44</v>
      </c>
      <c r="B54" s="77" t="s">
        <v>191</v>
      </c>
      <c r="C54" s="77">
        <v>2020</v>
      </c>
      <c r="D54" s="182" t="s">
        <v>413</v>
      </c>
      <c r="E54" s="77" t="s">
        <v>420</v>
      </c>
      <c r="F54" s="77" t="s">
        <v>421</v>
      </c>
      <c r="G54" s="77" t="s">
        <v>25</v>
      </c>
      <c r="H54" s="77" t="s">
        <v>166</v>
      </c>
      <c r="I54" s="77" t="s">
        <v>111</v>
      </c>
      <c r="J54" s="77" t="s">
        <v>27</v>
      </c>
      <c r="K54" s="77" t="s">
        <v>112</v>
      </c>
      <c r="L54" s="77">
        <v>2</v>
      </c>
      <c r="M54" s="184"/>
      <c r="N54" s="77">
        <v>5</v>
      </c>
      <c r="O54" s="77">
        <v>0.7</v>
      </c>
      <c r="P54" s="77">
        <v>0.75</v>
      </c>
      <c r="Q54" s="44">
        <f t="shared" si="0"/>
        <v>0.72499999999999998</v>
      </c>
      <c r="R54" s="77">
        <v>12.1</v>
      </c>
      <c r="S54" s="77">
        <v>105</v>
      </c>
      <c r="T54" s="16">
        <f t="shared" si="1"/>
        <v>33</v>
      </c>
      <c r="U54" s="77">
        <v>598</v>
      </c>
      <c r="V54" s="16">
        <f t="shared" si="2"/>
        <v>3946.7999999999997</v>
      </c>
      <c r="W54" s="77">
        <v>3</v>
      </c>
      <c r="X54" s="77" t="s">
        <v>35</v>
      </c>
      <c r="Y54" s="77" t="s">
        <v>74</v>
      </c>
      <c r="Z54" s="77" t="s">
        <v>43</v>
      </c>
      <c r="AA54" s="77" t="s">
        <v>82</v>
      </c>
      <c r="AB54" s="77" t="s">
        <v>195</v>
      </c>
    </row>
    <row r="55" spans="1:28" x14ac:dyDescent="0.15">
      <c r="A55" s="77" t="s">
        <v>44</v>
      </c>
      <c r="B55" s="77" t="s">
        <v>191</v>
      </c>
      <c r="C55" s="77">
        <v>2020</v>
      </c>
      <c r="D55" s="182" t="s">
        <v>413</v>
      </c>
      <c r="E55" s="77" t="s">
        <v>420</v>
      </c>
      <c r="F55" s="77" t="s">
        <v>421</v>
      </c>
      <c r="G55" s="77" t="s">
        <v>25</v>
      </c>
      <c r="H55" s="77" t="s">
        <v>166</v>
      </c>
      <c r="I55" s="77" t="s">
        <v>111</v>
      </c>
      <c r="J55" s="77" t="s">
        <v>27</v>
      </c>
      <c r="K55" s="77" t="s">
        <v>112</v>
      </c>
      <c r="L55" s="77">
        <v>3</v>
      </c>
      <c r="M55" s="184"/>
      <c r="N55" s="77">
        <v>5</v>
      </c>
      <c r="O55" s="77">
        <v>0.55000000000000004</v>
      </c>
      <c r="P55" s="77">
        <v>0.5</v>
      </c>
      <c r="Q55" s="44">
        <f t="shared" si="0"/>
        <v>0.52500000000000002</v>
      </c>
      <c r="R55" s="77">
        <v>15.8</v>
      </c>
      <c r="S55" s="77">
        <v>93</v>
      </c>
      <c r="T55" s="16">
        <f t="shared" si="1"/>
        <v>36</v>
      </c>
      <c r="U55" s="77">
        <v>598</v>
      </c>
      <c r="V55" s="16">
        <f t="shared" si="2"/>
        <v>4305.5999999999995</v>
      </c>
      <c r="W55" s="77">
        <v>3</v>
      </c>
      <c r="X55" s="77" t="s">
        <v>35</v>
      </c>
      <c r="Y55" s="77" t="s">
        <v>74</v>
      </c>
      <c r="Z55" s="77" t="s">
        <v>43</v>
      </c>
      <c r="AA55" s="77" t="s">
        <v>82</v>
      </c>
      <c r="AB55" s="77" t="s">
        <v>195</v>
      </c>
    </row>
    <row r="56" spans="1:28" x14ac:dyDescent="0.15">
      <c r="A56" s="77" t="s">
        <v>44</v>
      </c>
      <c r="B56" s="77" t="s">
        <v>191</v>
      </c>
      <c r="C56" s="77">
        <v>2020</v>
      </c>
      <c r="D56" s="182" t="s">
        <v>413</v>
      </c>
      <c r="E56" s="77" t="s">
        <v>420</v>
      </c>
      <c r="F56" s="77" t="s">
        <v>421</v>
      </c>
      <c r="G56" s="77" t="s">
        <v>25</v>
      </c>
      <c r="H56" s="77" t="s">
        <v>166</v>
      </c>
      <c r="I56" s="77" t="s">
        <v>111</v>
      </c>
      <c r="J56" s="77" t="s">
        <v>27</v>
      </c>
      <c r="K56" s="77" t="s">
        <v>112</v>
      </c>
      <c r="L56" s="77">
        <v>1</v>
      </c>
      <c r="M56" s="184"/>
      <c r="N56" s="77">
        <v>8</v>
      </c>
      <c r="O56" s="77">
        <v>0.6</v>
      </c>
      <c r="P56" s="77">
        <v>0.6</v>
      </c>
      <c r="Q56" s="44">
        <f t="shared" si="0"/>
        <v>0.6</v>
      </c>
      <c r="R56" s="77">
        <v>14.5</v>
      </c>
      <c r="S56" s="77">
        <v>114</v>
      </c>
      <c r="T56" s="16">
        <f t="shared" si="1"/>
        <v>30</v>
      </c>
      <c r="U56" s="77">
        <v>698</v>
      </c>
      <c r="V56" s="16">
        <f t="shared" si="2"/>
        <v>2617.5</v>
      </c>
      <c r="W56" s="77">
        <v>4</v>
      </c>
      <c r="X56" s="77" t="s">
        <v>35</v>
      </c>
      <c r="Y56" s="77" t="s">
        <v>74</v>
      </c>
      <c r="Z56" s="77" t="s">
        <v>43</v>
      </c>
      <c r="AA56" s="77" t="s">
        <v>82</v>
      </c>
      <c r="AB56" s="77" t="s">
        <v>195</v>
      </c>
    </row>
    <row r="57" spans="1:28" x14ac:dyDescent="0.15">
      <c r="A57" s="77" t="s">
        <v>44</v>
      </c>
      <c r="B57" s="77" t="s">
        <v>191</v>
      </c>
      <c r="C57" s="77">
        <v>2020</v>
      </c>
      <c r="D57" s="182" t="s">
        <v>413</v>
      </c>
      <c r="E57" s="77" t="s">
        <v>420</v>
      </c>
      <c r="F57" s="77" t="s">
        <v>421</v>
      </c>
      <c r="G57" s="77" t="s">
        <v>25</v>
      </c>
      <c r="H57" s="77" t="s">
        <v>166</v>
      </c>
      <c r="I57" s="77" t="s">
        <v>111</v>
      </c>
      <c r="J57" s="77" t="s">
        <v>27</v>
      </c>
      <c r="K57" s="77" t="s">
        <v>112</v>
      </c>
      <c r="L57" s="77">
        <v>2</v>
      </c>
      <c r="M57" s="184"/>
      <c r="N57" s="77">
        <v>8</v>
      </c>
      <c r="O57" s="77">
        <v>0.7</v>
      </c>
      <c r="P57" s="77">
        <v>0.7</v>
      </c>
      <c r="Q57" s="44">
        <f t="shared" si="0"/>
        <v>0.7</v>
      </c>
      <c r="R57" s="77">
        <v>13.2</v>
      </c>
      <c r="S57" s="77">
        <v>107</v>
      </c>
      <c r="T57" s="16">
        <f t="shared" si="1"/>
        <v>33</v>
      </c>
      <c r="U57" s="77">
        <v>698</v>
      </c>
      <c r="V57" s="16">
        <f t="shared" si="2"/>
        <v>2879.25</v>
      </c>
      <c r="W57" s="77">
        <v>4</v>
      </c>
      <c r="X57" s="77" t="s">
        <v>35</v>
      </c>
      <c r="Y57" s="77" t="s">
        <v>74</v>
      </c>
      <c r="Z57" s="77" t="s">
        <v>43</v>
      </c>
      <c r="AA57" s="77" t="s">
        <v>82</v>
      </c>
      <c r="AB57" s="77" t="s">
        <v>195</v>
      </c>
    </row>
    <row r="58" spans="1:28" x14ac:dyDescent="0.15">
      <c r="A58" s="77" t="s">
        <v>44</v>
      </c>
      <c r="B58" s="77" t="s">
        <v>191</v>
      </c>
      <c r="C58" s="77">
        <v>2020</v>
      </c>
      <c r="D58" s="182" t="s">
        <v>413</v>
      </c>
      <c r="E58" s="77" t="s">
        <v>420</v>
      </c>
      <c r="F58" s="77" t="s">
        <v>421</v>
      </c>
      <c r="G58" s="77" t="s">
        <v>25</v>
      </c>
      <c r="H58" s="77" t="s">
        <v>166</v>
      </c>
      <c r="I58" s="77" t="s">
        <v>111</v>
      </c>
      <c r="J58" s="77" t="s">
        <v>27</v>
      </c>
      <c r="K58" s="77" t="s">
        <v>112</v>
      </c>
      <c r="L58" s="77">
        <v>3</v>
      </c>
      <c r="M58" s="184"/>
      <c r="N58" s="77">
        <v>8</v>
      </c>
      <c r="O58" s="77">
        <v>0.55000000000000004</v>
      </c>
      <c r="P58" s="77">
        <v>0.55000000000000004</v>
      </c>
      <c r="Q58" s="44">
        <f t="shared" si="0"/>
        <v>0.55000000000000004</v>
      </c>
      <c r="R58" s="77">
        <v>16.899999999999999</v>
      </c>
      <c r="S58" s="77">
        <v>109</v>
      </c>
      <c r="T58" s="16">
        <f t="shared" si="1"/>
        <v>33</v>
      </c>
      <c r="U58" s="77">
        <v>698</v>
      </c>
      <c r="V58" s="16">
        <f t="shared" si="2"/>
        <v>2879.25</v>
      </c>
      <c r="W58" s="77">
        <v>4</v>
      </c>
      <c r="X58" s="77" t="s">
        <v>35</v>
      </c>
      <c r="Y58" s="77" t="s">
        <v>74</v>
      </c>
      <c r="Z58" s="77" t="s">
        <v>43</v>
      </c>
      <c r="AA58" s="77" t="s">
        <v>82</v>
      </c>
      <c r="AB58" s="77" t="s">
        <v>195</v>
      </c>
    </row>
    <row r="59" spans="1:28" x14ac:dyDescent="0.15">
      <c r="A59" s="77" t="s">
        <v>44</v>
      </c>
      <c r="B59" s="77" t="s">
        <v>191</v>
      </c>
      <c r="C59" s="77">
        <v>2020</v>
      </c>
      <c r="D59" s="182" t="s">
        <v>413</v>
      </c>
      <c r="E59" s="77" t="s">
        <v>422</v>
      </c>
      <c r="F59" s="77" t="s">
        <v>415</v>
      </c>
      <c r="G59" s="77" t="s">
        <v>31</v>
      </c>
      <c r="H59" s="77" t="s">
        <v>113</v>
      </c>
      <c r="I59" s="77" t="s">
        <v>111</v>
      </c>
      <c r="J59" s="77" t="s">
        <v>27</v>
      </c>
      <c r="K59" s="77" t="s">
        <v>112</v>
      </c>
      <c r="L59" s="77">
        <v>1</v>
      </c>
      <c r="M59" s="184"/>
      <c r="N59" s="77">
        <v>1</v>
      </c>
      <c r="O59" s="77">
        <v>0.55000000000000004</v>
      </c>
      <c r="P59" s="77">
        <v>0.6</v>
      </c>
      <c r="Q59" s="44">
        <f t="shared" si="0"/>
        <v>0.57499999999999996</v>
      </c>
      <c r="R59" s="77">
        <v>15.2</v>
      </c>
      <c r="S59" s="77">
        <v>129</v>
      </c>
      <c r="T59" s="16">
        <f t="shared" si="1"/>
        <v>25</v>
      </c>
      <c r="U59" s="77">
        <v>99</v>
      </c>
      <c r="V59" s="16">
        <f t="shared" si="2"/>
        <v>2475</v>
      </c>
      <c r="W59" s="77">
        <v>4</v>
      </c>
      <c r="X59" s="77" t="s">
        <v>28</v>
      </c>
      <c r="Y59" s="77" t="s">
        <v>43</v>
      </c>
      <c r="Z59" s="77" t="s">
        <v>64</v>
      </c>
      <c r="AA59" s="77" t="s">
        <v>36</v>
      </c>
      <c r="AB59" s="77" t="s">
        <v>195</v>
      </c>
    </row>
    <row r="60" spans="1:28" x14ac:dyDescent="0.15">
      <c r="A60" s="77" t="s">
        <v>44</v>
      </c>
      <c r="B60" s="77" t="s">
        <v>191</v>
      </c>
      <c r="C60" s="77">
        <v>2020</v>
      </c>
      <c r="D60" s="182" t="s">
        <v>413</v>
      </c>
      <c r="E60" s="77" t="s">
        <v>422</v>
      </c>
      <c r="F60" s="77" t="s">
        <v>415</v>
      </c>
      <c r="G60" s="77" t="s">
        <v>31</v>
      </c>
      <c r="H60" s="77" t="s">
        <v>113</v>
      </c>
      <c r="I60" s="77" t="s">
        <v>111</v>
      </c>
      <c r="J60" s="77" t="s">
        <v>27</v>
      </c>
      <c r="K60" s="77" t="s">
        <v>112</v>
      </c>
      <c r="L60" s="77">
        <v>2</v>
      </c>
      <c r="M60" s="184"/>
      <c r="N60" s="77">
        <v>1</v>
      </c>
      <c r="O60" s="77">
        <v>0.55000000000000004</v>
      </c>
      <c r="P60" s="77">
        <v>0.55000000000000004</v>
      </c>
      <c r="Q60" s="44">
        <f t="shared" si="0"/>
        <v>0.55000000000000004</v>
      </c>
      <c r="R60" s="77">
        <v>12.9</v>
      </c>
      <c r="S60" s="77">
        <v>129</v>
      </c>
      <c r="T60" s="16">
        <f t="shared" si="1"/>
        <v>25</v>
      </c>
      <c r="U60" s="77">
        <v>99</v>
      </c>
      <c r="V60" s="16">
        <f t="shared" si="2"/>
        <v>2475</v>
      </c>
      <c r="W60" s="77">
        <v>4</v>
      </c>
      <c r="X60" s="77" t="s">
        <v>28</v>
      </c>
      <c r="Y60" s="77" t="s">
        <v>43</v>
      </c>
      <c r="Z60" s="77" t="s">
        <v>64</v>
      </c>
      <c r="AA60" s="77" t="s">
        <v>36</v>
      </c>
      <c r="AB60" s="77" t="s">
        <v>195</v>
      </c>
    </row>
    <row r="61" spans="1:28" x14ac:dyDescent="0.15">
      <c r="A61" s="77" t="s">
        <v>44</v>
      </c>
      <c r="B61" s="77" t="s">
        <v>191</v>
      </c>
      <c r="C61" s="77">
        <v>2020</v>
      </c>
      <c r="D61" s="182" t="s">
        <v>413</v>
      </c>
      <c r="E61" s="77" t="s">
        <v>422</v>
      </c>
      <c r="F61" s="77" t="s">
        <v>415</v>
      </c>
      <c r="G61" s="77" t="s">
        <v>31</v>
      </c>
      <c r="H61" s="77" t="s">
        <v>113</v>
      </c>
      <c r="I61" s="77" t="s">
        <v>111</v>
      </c>
      <c r="J61" s="77" t="s">
        <v>27</v>
      </c>
      <c r="K61" s="77" t="s">
        <v>112</v>
      </c>
      <c r="L61" s="77">
        <v>3</v>
      </c>
      <c r="M61" s="184"/>
      <c r="N61" s="77">
        <v>1</v>
      </c>
      <c r="O61" s="77">
        <v>0.5</v>
      </c>
      <c r="P61" s="77">
        <v>0.5</v>
      </c>
      <c r="Q61" s="44">
        <f t="shared" si="0"/>
        <v>0.5</v>
      </c>
      <c r="R61" s="77">
        <v>12.1</v>
      </c>
      <c r="S61" s="77">
        <v>130</v>
      </c>
      <c r="T61" s="16">
        <f t="shared" si="1"/>
        <v>25</v>
      </c>
      <c r="U61" s="77">
        <v>99</v>
      </c>
      <c r="V61" s="16">
        <f t="shared" si="2"/>
        <v>2475</v>
      </c>
      <c r="W61" s="77">
        <v>4</v>
      </c>
      <c r="X61" s="77" t="s">
        <v>28</v>
      </c>
      <c r="Y61" s="77" t="s">
        <v>43</v>
      </c>
      <c r="Z61" s="77" t="s">
        <v>64</v>
      </c>
      <c r="AA61" s="77" t="s">
        <v>36</v>
      </c>
      <c r="AB61" s="77" t="s">
        <v>195</v>
      </c>
    </row>
    <row r="62" spans="1:28" x14ac:dyDescent="0.15">
      <c r="A62" s="77" t="s">
        <v>44</v>
      </c>
      <c r="B62" s="77" t="s">
        <v>191</v>
      </c>
      <c r="C62" s="77">
        <v>2020</v>
      </c>
      <c r="D62" s="182" t="s">
        <v>413</v>
      </c>
      <c r="E62" s="77" t="s">
        <v>422</v>
      </c>
      <c r="F62" s="77" t="s">
        <v>415</v>
      </c>
      <c r="G62" s="77" t="s">
        <v>31</v>
      </c>
      <c r="H62" s="77" t="s">
        <v>113</v>
      </c>
      <c r="I62" s="77" t="s">
        <v>111</v>
      </c>
      <c r="J62" s="77" t="s">
        <v>27</v>
      </c>
      <c r="K62" s="77" t="s">
        <v>112</v>
      </c>
      <c r="L62" s="77">
        <v>1</v>
      </c>
      <c r="M62" s="184"/>
      <c r="N62" s="77">
        <v>4</v>
      </c>
      <c r="O62" s="77">
        <v>0.75</v>
      </c>
      <c r="P62" s="77">
        <v>0.75</v>
      </c>
      <c r="Q62" s="16">
        <f t="shared" si="0"/>
        <v>0.75</v>
      </c>
      <c r="R62" s="77">
        <v>16.2</v>
      </c>
      <c r="S62" s="77">
        <v>94</v>
      </c>
      <c r="T62" s="16">
        <f t="shared" si="1"/>
        <v>36</v>
      </c>
      <c r="U62" s="77">
        <v>357</v>
      </c>
      <c r="V62" s="16">
        <f t="shared" si="2"/>
        <v>3213</v>
      </c>
      <c r="W62" s="77">
        <v>4</v>
      </c>
      <c r="X62" s="77" t="s">
        <v>28</v>
      </c>
      <c r="Y62" s="77" t="s">
        <v>43</v>
      </c>
      <c r="Z62" s="77" t="s">
        <v>64</v>
      </c>
      <c r="AA62" s="77" t="s">
        <v>36</v>
      </c>
      <c r="AB62" s="77" t="s">
        <v>195</v>
      </c>
    </row>
    <row r="63" spans="1:28" x14ac:dyDescent="0.15">
      <c r="A63" s="77" t="s">
        <v>44</v>
      </c>
      <c r="B63" s="77" t="s">
        <v>191</v>
      </c>
      <c r="C63" s="77">
        <v>2020</v>
      </c>
      <c r="D63" s="182" t="s">
        <v>413</v>
      </c>
      <c r="E63" s="77" t="s">
        <v>422</v>
      </c>
      <c r="F63" s="77" t="s">
        <v>415</v>
      </c>
      <c r="G63" s="77" t="s">
        <v>31</v>
      </c>
      <c r="H63" s="77" t="s">
        <v>113</v>
      </c>
      <c r="I63" s="77" t="s">
        <v>111</v>
      </c>
      <c r="J63" s="77" t="s">
        <v>27</v>
      </c>
      <c r="K63" s="77" t="s">
        <v>112</v>
      </c>
      <c r="L63" s="77">
        <v>2</v>
      </c>
      <c r="M63" s="184"/>
      <c r="N63" s="77">
        <v>4</v>
      </c>
      <c r="O63" s="77">
        <v>0.6</v>
      </c>
      <c r="P63" s="77">
        <v>0.65</v>
      </c>
      <c r="Q63" s="16">
        <f t="shared" si="0"/>
        <v>0.625</v>
      </c>
      <c r="R63" s="77">
        <v>13.4</v>
      </c>
      <c r="S63" s="77">
        <v>96</v>
      </c>
      <c r="T63" s="16">
        <f t="shared" si="1"/>
        <v>36</v>
      </c>
      <c r="U63" s="77">
        <v>357</v>
      </c>
      <c r="V63" s="16">
        <f t="shared" si="2"/>
        <v>3213</v>
      </c>
      <c r="W63" s="77">
        <v>4</v>
      </c>
      <c r="X63" s="77" t="s">
        <v>28</v>
      </c>
      <c r="Y63" s="77" t="s">
        <v>43</v>
      </c>
      <c r="Z63" s="77" t="s">
        <v>64</v>
      </c>
      <c r="AA63" s="77" t="s">
        <v>36</v>
      </c>
      <c r="AB63" s="77" t="s">
        <v>195</v>
      </c>
    </row>
    <row r="64" spans="1:28" x14ac:dyDescent="0.15">
      <c r="A64" s="77" t="s">
        <v>44</v>
      </c>
      <c r="B64" s="77" t="s">
        <v>191</v>
      </c>
      <c r="C64" s="77">
        <v>2020</v>
      </c>
      <c r="D64" s="182" t="s">
        <v>413</v>
      </c>
      <c r="E64" s="77" t="s">
        <v>422</v>
      </c>
      <c r="F64" s="77" t="s">
        <v>415</v>
      </c>
      <c r="G64" s="77" t="s">
        <v>31</v>
      </c>
      <c r="H64" s="77" t="s">
        <v>113</v>
      </c>
      <c r="I64" s="77" t="s">
        <v>111</v>
      </c>
      <c r="J64" s="77" t="s">
        <v>27</v>
      </c>
      <c r="K64" s="77" t="s">
        <v>112</v>
      </c>
      <c r="L64" s="77">
        <v>3</v>
      </c>
      <c r="M64" s="184"/>
      <c r="N64" s="77">
        <v>4</v>
      </c>
      <c r="O64" s="77">
        <v>0.65</v>
      </c>
      <c r="P64" s="77">
        <v>0.75</v>
      </c>
      <c r="Q64" s="16">
        <f t="shared" si="0"/>
        <v>0.7</v>
      </c>
      <c r="R64" s="77">
        <v>17.5</v>
      </c>
      <c r="S64" s="77">
        <v>92</v>
      </c>
      <c r="T64" s="16">
        <f t="shared" si="1"/>
        <v>36</v>
      </c>
      <c r="U64" s="77">
        <v>357</v>
      </c>
      <c r="V64" s="16">
        <f t="shared" si="2"/>
        <v>3213</v>
      </c>
      <c r="W64" s="77">
        <v>4</v>
      </c>
      <c r="X64" s="77" t="s">
        <v>28</v>
      </c>
      <c r="Y64" s="77" t="s">
        <v>43</v>
      </c>
      <c r="Z64" s="77" t="s">
        <v>64</v>
      </c>
      <c r="AA64" s="77" t="s">
        <v>36</v>
      </c>
      <c r="AB64" s="77" t="s">
        <v>195</v>
      </c>
    </row>
    <row r="65" spans="1:28" x14ac:dyDescent="0.15">
      <c r="A65" s="77" t="s">
        <v>44</v>
      </c>
      <c r="B65" s="77" t="s">
        <v>191</v>
      </c>
      <c r="C65" s="77">
        <v>2020</v>
      </c>
      <c r="D65" s="182" t="s">
        <v>413</v>
      </c>
      <c r="E65" s="77" t="s">
        <v>422</v>
      </c>
      <c r="F65" s="77" t="s">
        <v>415</v>
      </c>
      <c r="G65" s="77" t="s">
        <v>31</v>
      </c>
      <c r="H65" s="77" t="s">
        <v>113</v>
      </c>
      <c r="I65" s="77" t="s">
        <v>111</v>
      </c>
      <c r="J65" s="77" t="s">
        <v>27</v>
      </c>
      <c r="K65" s="77" t="s">
        <v>112</v>
      </c>
      <c r="L65" s="77">
        <v>1</v>
      </c>
      <c r="M65" s="184"/>
      <c r="N65" s="77">
        <v>8</v>
      </c>
      <c r="O65" s="77">
        <v>0.5</v>
      </c>
      <c r="P65" s="77">
        <v>0.5</v>
      </c>
      <c r="Q65" s="16">
        <f t="shared" si="0"/>
        <v>0.5</v>
      </c>
      <c r="R65" s="77">
        <v>12.6</v>
      </c>
      <c r="S65" s="77">
        <v>74</v>
      </c>
      <c r="T65" s="16">
        <f t="shared" si="1"/>
        <v>42</v>
      </c>
      <c r="U65" s="77">
        <v>457</v>
      </c>
      <c r="V65" s="16">
        <f t="shared" si="2"/>
        <v>2399.25</v>
      </c>
      <c r="W65" s="77">
        <v>4</v>
      </c>
      <c r="X65" s="77" t="s">
        <v>28</v>
      </c>
      <c r="Y65" s="77" t="s">
        <v>43</v>
      </c>
      <c r="Z65" s="77" t="s">
        <v>64</v>
      </c>
      <c r="AA65" s="77" t="s">
        <v>36</v>
      </c>
      <c r="AB65" s="77" t="s">
        <v>195</v>
      </c>
    </row>
    <row r="66" spans="1:28" x14ac:dyDescent="0.15">
      <c r="A66" s="77" t="s">
        <v>44</v>
      </c>
      <c r="B66" s="77" t="s">
        <v>191</v>
      </c>
      <c r="C66" s="77">
        <v>2020</v>
      </c>
      <c r="D66" s="182" t="s">
        <v>413</v>
      </c>
      <c r="E66" s="77" t="s">
        <v>422</v>
      </c>
      <c r="F66" s="77" t="s">
        <v>415</v>
      </c>
      <c r="G66" s="77" t="s">
        <v>31</v>
      </c>
      <c r="H66" s="77" t="s">
        <v>113</v>
      </c>
      <c r="I66" s="77" t="s">
        <v>111</v>
      </c>
      <c r="J66" s="77" t="s">
        <v>27</v>
      </c>
      <c r="K66" s="77" t="s">
        <v>112</v>
      </c>
      <c r="L66" s="77">
        <v>2</v>
      </c>
      <c r="M66" s="184"/>
      <c r="N66" s="77">
        <v>8</v>
      </c>
      <c r="O66" s="77">
        <v>0.5</v>
      </c>
      <c r="P66" s="77">
        <v>0.5</v>
      </c>
      <c r="Q66" s="16">
        <f t="shared" ref="Q66:Q127" si="3">IF(OR(O66="",P66=""),"",AVERAGE(O66,P66))</f>
        <v>0.5</v>
      </c>
      <c r="R66" s="77">
        <v>12.4</v>
      </c>
      <c r="S66" s="77">
        <v>76</v>
      </c>
      <c r="T66" s="16">
        <f t="shared" ref="T66:T127" si="4">IF(H66="","",IF(OR(H66="GREEN",H66="GK"),IF(S66&gt;=$AX$2,VLOOKUP(S66,$AX$2:$AY$10,2,1),""),IF(S66&gt;=$AZ$2,VLOOKUP(S66,$AZ$2:$BA$10,2,1),"")))</f>
        <v>39</v>
      </c>
      <c r="U66" s="77">
        <v>457</v>
      </c>
      <c r="V66" s="16">
        <f t="shared" ref="V66:V127" si="5">IF(OR(N66="",U66="",T66=""),"",U66/N66*T66)</f>
        <v>2227.875</v>
      </c>
      <c r="W66" s="77">
        <v>4</v>
      </c>
      <c r="X66" s="77" t="s">
        <v>28</v>
      </c>
      <c r="Y66" s="77" t="s">
        <v>43</v>
      </c>
      <c r="Z66" s="77" t="s">
        <v>64</v>
      </c>
      <c r="AA66" s="77" t="s">
        <v>36</v>
      </c>
      <c r="AB66" s="77" t="s">
        <v>195</v>
      </c>
    </row>
    <row r="67" spans="1:28" x14ac:dyDescent="0.15">
      <c r="A67" s="77" t="s">
        <v>44</v>
      </c>
      <c r="B67" s="77" t="s">
        <v>191</v>
      </c>
      <c r="C67" s="77">
        <v>2020</v>
      </c>
      <c r="D67" s="182" t="s">
        <v>413</v>
      </c>
      <c r="E67" s="77" t="s">
        <v>422</v>
      </c>
      <c r="F67" s="77" t="s">
        <v>415</v>
      </c>
      <c r="G67" s="77" t="s">
        <v>31</v>
      </c>
      <c r="H67" s="77" t="s">
        <v>113</v>
      </c>
      <c r="I67" s="77" t="s">
        <v>111</v>
      </c>
      <c r="J67" s="77" t="s">
        <v>27</v>
      </c>
      <c r="K67" s="77" t="s">
        <v>112</v>
      </c>
      <c r="L67" s="77">
        <v>3</v>
      </c>
      <c r="M67" s="184"/>
      <c r="N67" s="77">
        <v>8</v>
      </c>
      <c r="O67" s="77">
        <v>0.5</v>
      </c>
      <c r="P67" s="77">
        <v>0.5</v>
      </c>
      <c r="Q67" s="16">
        <f t="shared" si="3"/>
        <v>0.5</v>
      </c>
      <c r="R67" s="77">
        <v>11.6</v>
      </c>
      <c r="S67" s="77">
        <v>81</v>
      </c>
      <c r="T67" s="16">
        <f t="shared" si="4"/>
        <v>39</v>
      </c>
      <c r="U67" s="77">
        <v>457</v>
      </c>
      <c r="V67" s="16">
        <f t="shared" si="5"/>
        <v>2227.875</v>
      </c>
      <c r="W67" s="77">
        <v>4</v>
      </c>
      <c r="X67" s="77" t="s">
        <v>28</v>
      </c>
      <c r="Y67" s="77" t="s">
        <v>43</v>
      </c>
      <c r="Z67" s="77" t="s">
        <v>64</v>
      </c>
      <c r="AA67" s="77" t="s">
        <v>36</v>
      </c>
      <c r="AB67" s="77" t="s">
        <v>195</v>
      </c>
    </row>
    <row r="68" spans="1:28" x14ac:dyDescent="0.15">
      <c r="A68" s="77" t="s">
        <v>44</v>
      </c>
      <c r="B68" s="77" t="s">
        <v>191</v>
      </c>
      <c r="C68" s="77">
        <v>2020</v>
      </c>
      <c r="D68" s="182" t="s">
        <v>413</v>
      </c>
      <c r="E68" s="77" t="s">
        <v>422</v>
      </c>
      <c r="F68" s="77" t="s">
        <v>415</v>
      </c>
      <c r="G68" s="77" t="s">
        <v>31</v>
      </c>
      <c r="H68" s="77" t="s">
        <v>166</v>
      </c>
      <c r="I68" s="77" t="s">
        <v>111</v>
      </c>
      <c r="J68" s="77" t="s">
        <v>27</v>
      </c>
      <c r="K68" s="77" t="s">
        <v>112</v>
      </c>
      <c r="L68" s="77">
        <v>1</v>
      </c>
      <c r="M68" s="184"/>
      <c r="N68" s="77">
        <v>4</v>
      </c>
      <c r="O68" s="77">
        <v>0.75</v>
      </c>
      <c r="P68" s="77">
        <v>0.75</v>
      </c>
      <c r="Q68" s="16">
        <f t="shared" si="3"/>
        <v>0.75</v>
      </c>
      <c r="R68" s="77">
        <v>16.399999999999999</v>
      </c>
      <c r="S68" s="77">
        <v>97</v>
      </c>
      <c r="T68" s="16">
        <f t="shared" si="4"/>
        <v>36</v>
      </c>
      <c r="U68" s="77">
        <v>397</v>
      </c>
      <c r="V68" s="16">
        <f t="shared" si="5"/>
        <v>3573</v>
      </c>
      <c r="W68" s="77">
        <v>4</v>
      </c>
      <c r="X68" s="77" t="s">
        <v>28</v>
      </c>
      <c r="Y68" s="77" t="s">
        <v>43</v>
      </c>
      <c r="Z68" s="77" t="s">
        <v>64</v>
      </c>
      <c r="AA68" s="77" t="s">
        <v>36</v>
      </c>
      <c r="AB68" s="77" t="s">
        <v>195</v>
      </c>
    </row>
    <row r="69" spans="1:28" x14ac:dyDescent="0.15">
      <c r="A69" s="77" t="s">
        <v>44</v>
      </c>
      <c r="B69" s="77" t="s">
        <v>191</v>
      </c>
      <c r="C69" s="77">
        <v>2020</v>
      </c>
      <c r="D69" s="182" t="s">
        <v>413</v>
      </c>
      <c r="E69" s="77" t="s">
        <v>422</v>
      </c>
      <c r="F69" s="77" t="s">
        <v>415</v>
      </c>
      <c r="G69" s="77" t="s">
        <v>31</v>
      </c>
      <c r="H69" s="77" t="s">
        <v>166</v>
      </c>
      <c r="I69" s="77" t="s">
        <v>111</v>
      </c>
      <c r="J69" s="77" t="s">
        <v>27</v>
      </c>
      <c r="K69" s="77" t="s">
        <v>112</v>
      </c>
      <c r="L69" s="77">
        <v>2</v>
      </c>
      <c r="M69" s="184"/>
      <c r="N69" s="77">
        <v>4</v>
      </c>
      <c r="O69" s="77">
        <v>0.6</v>
      </c>
      <c r="P69" s="77">
        <v>0.65</v>
      </c>
      <c r="Q69" s="16">
        <f t="shared" si="3"/>
        <v>0.625</v>
      </c>
      <c r="R69" s="77">
        <v>13.8</v>
      </c>
      <c r="S69" s="77">
        <v>95</v>
      </c>
      <c r="T69" s="16">
        <f t="shared" si="4"/>
        <v>36</v>
      </c>
      <c r="U69" s="77">
        <v>397</v>
      </c>
      <c r="V69" s="16">
        <f t="shared" si="5"/>
        <v>3573</v>
      </c>
      <c r="W69" s="77">
        <v>4</v>
      </c>
      <c r="X69" s="77" t="s">
        <v>28</v>
      </c>
      <c r="Y69" s="77" t="s">
        <v>43</v>
      </c>
      <c r="Z69" s="77" t="s">
        <v>64</v>
      </c>
      <c r="AA69" s="77" t="s">
        <v>36</v>
      </c>
      <c r="AB69" s="77" t="s">
        <v>195</v>
      </c>
    </row>
    <row r="70" spans="1:28" x14ac:dyDescent="0.15">
      <c r="A70" s="77" t="s">
        <v>44</v>
      </c>
      <c r="B70" s="77" t="s">
        <v>191</v>
      </c>
      <c r="C70" s="77">
        <v>2020</v>
      </c>
      <c r="D70" s="182" t="s">
        <v>413</v>
      </c>
      <c r="E70" s="77" t="s">
        <v>422</v>
      </c>
      <c r="F70" s="77" t="s">
        <v>415</v>
      </c>
      <c r="G70" s="77" t="s">
        <v>31</v>
      </c>
      <c r="H70" s="77" t="s">
        <v>166</v>
      </c>
      <c r="I70" s="77" t="s">
        <v>111</v>
      </c>
      <c r="J70" s="77" t="s">
        <v>27</v>
      </c>
      <c r="K70" s="77" t="s">
        <v>112</v>
      </c>
      <c r="L70" s="77">
        <v>3</v>
      </c>
      <c r="M70" s="184"/>
      <c r="N70" s="77">
        <v>4</v>
      </c>
      <c r="O70" s="77">
        <v>0.9</v>
      </c>
      <c r="P70" s="77">
        <v>0.8</v>
      </c>
      <c r="Q70" s="16">
        <f t="shared" si="3"/>
        <v>0.85000000000000009</v>
      </c>
      <c r="R70" s="77">
        <v>15.4</v>
      </c>
      <c r="S70" s="77">
        <v>107</v>
      </c>
      <c r="T70" s="16">
        <f t="shared" si="4"/>
        <v>33</v>
      </c>
      <c r="U70" s="77">
        <v>397</v>
      </c>
      <c r="V70" s="16">
        <f t="shared" si="5"/>
        <v>3275.25</v>
      </c>
      <c r="W70" s="77">
        <v>4</v>
      </c>
      <c r="X70" s="77" t="s">
        <v>28</v>
      </c>
      <c r="Y70" s="77" t="s">
        <v>43</v>
      </c>
      <c r="Z70" s="77" t="s">
        <v>64</v>
      </c>
      <c r="AA70" s="77" t="s">
        <v>36</v>
      </c>
      <c r="AB70" s="77" t="s">
        <v>195</v>
      </c>
    </row>
    <row r="71" spans="1:28" x14ac:dyDescent="0.15">
      <c r="A71" s="77" t="s">
        <v>44</v>
      </c>
      <c r="B71" s="77" t="s">
        <v>191</v>
      </c>
      <c r="C71" s="77">
        <v>2020</v>
      </c>
      <c r="D71" s="182" t="s">
        <v>413</v>
      </c>
      <c r="E71" s="77" t="s">
        <v>422</v>
      </c>
      <c r="F71" s="77" t="s">
        <v>415</v>
      </c>
      <c r="G71" s="77" t="s">
        <v>31</v>
      </c>
      <c r="H71" s="77" t="s">
        <v>166</v>
      </c>
      <c r="I71" s="77" t="s">
        <v>111</v>
      </c>
      <c r="J71" s="77" t="s">
        <v>27</v>
      </c>
      <c r="K71" s="77" t="s">
        <v>112</v>
      </c>
      <c r="L71" s="77">
        <v>1</v>
      </c>
      <c r="M71" s="184"/>
      <c r="N71" s="77">
        <v>8</v>
      </c>
      <c r="O71" s="77">
        <v>0.65</v>
      </c>
      <c r="P71" s="77">
        <v>0.55000000000000004</v>
      </c>
      <c r="Q71" s="16">
        <f t="shared" si="3"/>
        <v>0.60000000000000009</v>
      </c>
      <c r="R71" s="77">
        <v>14.8</v>
      </c>
      <c r="S71" s="77">
        <v>91</v>
      </c>
      <c r="T71" s="16">
        <f t="shared" si="4"/>
        <v>36</v>
      </c>
      <c r="U71" s="77">
        <v>597</v>
      </c>
      <c r="V71" s="16">
        <f t="shared" si="5"/>
        <v>2686.5</v>
      </c>
      <c r="W71" s="77">
        <v>8</v>
      </c>
      <c r="X71" s="77" t="s">
        <v>28</v>
      </c>
      <c r="Y71" s="77" t="s">
        <v>43</v>
      </c>
      <c r="Z71" s="77" t="s">
        <v>64</v>
      </c>
      <c r="AA71" s="77" t="s">
        <v>36</v>
      </c>
      <c r="AB71" s="77" t="s">
        <v>195</v>
      </c>
    </row>
    <row r="72" spans="1:28" x14ac:dyDescent="0.15">
      <c r="A72" s="77" t="s">
        <v>44</v>
      </c>
      <c r="B72" s="77" t="s">
        <v>191</v>
      </c>
      <c r="C72" s="77">
        <v>2020</v>
      </c>
      <c r="D72" s="182" t="s">
        <v>413</v>
      </c>
      <c r="E72" s="77" t="s">
        <v>422</v>
      </c>
      <c r="F72" s="77" t="s">
        <v>415</v>
      </c>
      <c r="G72" s="77" t="s">
        <v>31</v>
      </c>
      <c r="H72" s="77" t="s">
        <v>166</v>
      </c>
      <c r="I72" s="77" t="s">
        <v>111</v>
      </c>
      <c r="J72" s="77" t="s">
        <v>27</v>
      </c>
      <c r="K72" s="77" t="s">
        <v>112</v>
      </c>
      <c r="L72" s="77">
        <v>2</v>
      </c>
      <c r="M72" s="184"/>
      <c r="N72" s="77">
        <v>8</v>
      </c>
      <c r="O72" s="77">
        <v>0.6</v>
      </c>
      <c r="P72" s="77">
        <v>0.6</v>
      </c>
      <c r="Q72" s="16">
        <f t="shared" si="3"/>
        <v>0.6</v>
      </c>
      <c r="R72" s="77">
        <v>13.2</v>
      </c>
      <c r="S72" s="77">
        <v>89</v>
      </c>
      <c r="T72" s="16">
        <f t="shared" si="4"/>
        <v>36</v>
      </c>
      <c r="U72" s="77">
        <v>597</v>
      </c>
      <c r="V72" s="16">
        <f t="shared" si="5"/>
        <v>2686.5</v>
      </c>
      <c r="W72" s="77">
        <v>8</v>
      </c>
      <c r="X72" s="77" t="s">
        <v>28</v>
      </c>
      <c r="Y72" s="77" t="s">
        <v>43</v>
      </c>
      <c r="Z72" s="77" t="s">
        <v>64</v>
      </c>
      <c r="AA72" s="77" t="s">
        <v>36</v>
      </c>
      <c r="AB72" s="77" t="s">
        <v>195</v>
      </c>
    </row>
    <row r="73" spans="1:28" x14ac:dyDescent="0.15">
      <c r="A73" s="77" t="s">
        <v>44</v>
      </c>
      <c r="B73" s="77" t="s">
        <v>191</v>
      </c>
      <c r="C73" s="77">
        <v>2020</v>
      </c>
      <c r="D73" s="182" t="s">
        <v>413</v>
      </c>
      <c r="E73" s="77" t="s">
        <v>422</v>
      </c>
      <c r="F73" s="77" t="s">
        <v>415</v>
      </c>
      <c r="G73" s="77" t="s">
        <v>31</v>
      </c>
      <c r="H73" s="77" t="s">
        <v>166</v>
      </c>
      <c r="I73" s="77" t="s">
        <v>111</v>
      </c>
      <c r="J73" s="77" t="s">
        <v>27</v>
      </c>
      <c r="K73" s="77" t="s">
        <v>112</v>
      </c>
      <c r="L73" s="77">
        <v>3</v>
      </c>
      <c r="M73" s="184"/>
      <c r="N73" s="77">
        <v>8</v>
      </c>
      <c r="O73" s="77">
        <v>0.6</v>
      </c>
      <c r="P73" s="77">
        <v>0.6</v>
      </c>
      <c r="Q73" s="16">
        <f t="shared" si="3"/>
        <v>0.6</v>
      </c>
      <c r="R73" s="77">
        <v>11.5</v>
      </c>
      <c r="S73" s="77">
        <v>88</v>
      </c>
      <c r="T73" s="16">
        <f t="shared" si="4"/>
        <v>36</v>
      </c>
      <c r="U73" s="77">
        <v>597</v>
      </c>
      <c r="V73" s="16">
        <f t="shared" si="5"/>
        <v>2686.5</v>
      </c>
      <c r="W73" s="77">
        <v>8</v>
      </c>
      <c r="X73" s="77" t="s">
        <v>28</v>
      </c>
      <c r="Y73" s="77" t="s">
        <v>43</v>
      </c>
      <c r="Z73" s="77" t="s">
        <v>64</v>
      </c>
      <c r="AA73" s="77" t="s">
        <v>36</v>
      </c>
      <c r="AB73" s="77" t="s">
        <v>195</v>
      </c>
    </row>
    <row r="74" spans="1:28" x14ac:dyDescent="0.15">
      <c r="A74" s="77" t="s">
        <v>44</v>
      </c>
      <c r="B74" s="77" t="s">
        <v>191</v>
      </c>
      <c r="C74" s="77">
        <v>2020</v>
      </c>
      <c r="D74" s="182" t="s">
        <v>413</v>
      </c>
      <c r="E74" s="77" t="s">
        <v>303</v>
      </c>
      <c r="F74" s="77" t="s">
        <v>424</v>
      </c>
      <c r="G74" s="77" t="s">
        <v>25</v>
      </c>
      <c r="H74" s="77" t="s">
        <v>113</v>
      </c>
      <c r="I74" s="77" t="s">
        <v>111</v>
      </c>
      <c r="J74" s="77" t="s">
        <v>27</v>
      </c>
      <c r="K74" s="77" t="s">
        <v>112</v>
      </c>
      <c r="L74" s="77">
        <v>1</v>
      </c>
      <c r="M74" s="184"/>
      <c r="N74" s="77">
        <v>1</v>
      </c>
      <c r="O74" s="77">
        <v>0.6</v>
      </c>
      <c r="P74" s="77">
        <v>0.7</v>
      </c>
      <c r="Q74" s="16">
        <f t="shared" si="3"/>
        <v>0.64999999999999991</v>
      </c>
      <c r="R74" s="77">
        <v>15.4</v>
      </c>
      <c r="S74" s="77">
        <v>112</v>
      </c>
      <c r="T74" s="16">
        <f t="shared" si="4"/>
        <v>33</v>
      </c>
      <c r="U74" s="77">
        <v>98</v>
      </c>
      <c r="V74" s="16">
        <f t="shared" si="5"/>
        <v>3234</v>
      </c>
      <c r="W74" s="77">
        <v>2</v>
      </c>
      <c r="X74" s="77" t="s">
        <v>35</v>
      </c>
      <c r="Y74" s="77" t="s">
        <v>43</v>
      </c>
      <c r="Z74" s="77" t="s">
        <v>74</v>
      </c>
      <c r="AA74" s="77" t="s">
        <v>64</v>
      </c>
      <c r="AB74" s="77" t="s">
        <v>195</v>
      </c>
    </row>
    <row r="75" spans="1:28" x14ac:dyDescent="0.15">
      <c r="A75" s="77" t="s">
        <v>44</v>
      </c>
      <c r="B75" s="77" t="s">
        <v>191</v>
      </c>
      <c r="C75" s="77">
        <v>2020</v>
      </c>
      <c r="D75" s="182" t="s">
        <v>413</v>
      </c>
      <c r="E75" s="77" t="s">
        <v>303</v>
      </c>
      <c r="F75" s="77" t="s">
        <v>424</v>
      </c>
      <c r="G75" s="77" t="s">
        <v>25</v>
      </c>
      <c r="H75" s="77" t="s">
        <v>113</v>
      </c>
      <c r="I75" s="77" t="s">
        <v>111</v>
      </c>
      <c r="J75" s="77" t="s">
        <v>27</v>
      </c>
      <c r="K75" s="77" t="s">
        <v>112</v>
      </c>
      <c r="L75" s="77">
        <v>2</v>
      </c>
      <c r="M75" s="184"/>
      <c r="N75" s="77">
        <v>1</v>
      </c>
      <c r="O75" s="77">
        <v>0.8</v>
      </c>
      <c r="P75" s="77">
        <v>0.8</v>
      </c>
      <c r="Q75" s="16">
        <f t="shared" si="3"/>
        <v>0.8</v>
      </c>
      <c r="R75" s="77">
        <v>16.3</v>
      </c>
      <c r="S75" s="77">
        <v>116</v>
      </c>
      <c r="T75" s="16">
        <f t="shared" si="4"/>
        <v>30</v>
      </c>
      <c r="U75" s="77">
        <v>98</v>
      </c>
      <c r="V75" s="16">
        <f t="shared" si="5"/>
        <v>2940</v>
      </c>
      <c r="W75" s="77">
        <v>2</v>
      </c>
      <c r="X75" s="77" t="s">
        <v>35</v>
      </c>
      <c r="Y75" s="77" t="s">
        <v>43</v>
      </c>
      <c r="Z75" s="77" t="s">
        <v>74</v>
      </c>
      <c r="AA75" s="77" t="s">
        <v>64</v>
      </c>
      <c r="AB75" s="77" t="s">
        <v>195</v>
      </c>
    </row>
    <row r="76" spans="1:28" x14ac:dyDescent="0.15">
      <c r="A76" s="77" t="s">
        <v>44</v>
      </c>
      <c r="B76" s="77" t="s">
        <v>191</v>
      </c>
      <c r="C76" s="77">
        <v>2020</v>
      </c>
      <c r="D76" s="182" t="s">
        <v>413</v>
      </c>
      <c r="E76" s="77" t="s">
        <v>303</v>
      </c>
      <c r="F76" s="77" t="s">
        <v>424</v>
      </c>
      <c r="G76" s="77" t="s">
        <v>25</v>
      </c>
      <c r="H76" s="77" t="s">
        <v>113</v>
      </c>
      <c r="I76" s="77" t="s">
        <v>111</v>
      </c>
      <c r="J76" s="77" t="s">
        <v>27</v>
      </c>
      <c r="K76" s="77" t="s">
        <v>112</v>
      </c>
      <c r="L76" s="77">
        <v>3</v>
      </c>
      <c r="M76" s="184"/>
      <c r="N76" s="77">
        <v>1</v>
      </c>
      <c r="O76" s="77">
        <v>0.75</v>
      </c>
      <c r="P76" s="77">
        <v>0.65</v>
      </c>
      <c r="Q76" s="16">
        <f t="shared" si="3"/>
        <v>0.7</v>
      </c>
      <c r="R76" s="77">
        <v>17.399999999999999</v>
      </c>
      <c r="S76" s="77">
        <v>119</v>
      </c>
      <c r="T76" s="16">
        <f t="shared" si="4"/>
        <v>30</v>
      </c>
      <c r="U76" s="77">
        <v>98</v>
      </c>
      <c r="V76" s="16">
        <f t="shared" si="5"/>
        <v>2940</v>
      </c>
      <c r="W76" s="77">
        <v>2</v>
      </c>
      <c r="X76" s="77" t="s">
        <v>35</v>
      </c>
      <c r="Y76" s="77" t="s">
        <v>43</v>
      </c>
      <c r="Z76" s="77" t="s">
        <v>74</v>
      </c>
      <c r="AA76" s="77" t="s">
        <v>64</v>
      </c>
      <c r="AB76" s="77" t="s">
        <v>195</v>
      </c>
    </row>
    <row r="77" spans="1:28" x14ac:dyDescent="0.15">
      <c r="A77" s="77" t="s">
        <v>44</v>
      </c>
      <c r="B77" s="77" t="s">
        <v>191</v>
      </c>
      <c r="C77" s="77">
        <v>2020</v>
      </c>
      <c r="D77" s="182" t="s">
        <v>413</v>
      </c>
      <c r="E77" s="77" t="s">
        <v>303</v>
      </c>
      <c r="F77" s="77" t="s">
        <v>424</v>
      </c>
      <c r="G77" s="77" t="s">
        <v>25</v>
      </c>
      <c r="H77" s="77" t="s">
        <v>113</v>
      </c>
      <c r="I77" s="77" t="s">
        <v>111</v>
      </c>
      <c r="J77" s="77" t="s">
        <v>27</v>
      </c>
      <c r="K77" s="77" t="s">
        <v>112</v>
      </c>
      <c r="L77" s="77">
        <v>1</v>
      </c>
      <c r="M77" s="184"/>
      <c r="N77" s="77">
        <v>8</v>
      </c>
      <c r="O77" s="77">
        <v>0.65</v>
      </c>
      <c r="P77" s="77">
        <v>0.65</v>
      </c>
      <c r="Q77" s="16">
        <f t="shared" si="3"/>
        <v>0.65</v>
      </c>
      <c r="R77" s="77">
        <v>15.5</v>
      </c>
      <c r="S77" s="77">
        <v>92</v>
      </c>
      <c r="T77" s="16">
        <f t="shared" si="4"/>
        <v>36</v>
      </c>
      <c r="U77" s="77">
        <v>498</v>
      </c>
      <c r="V77" s="16">
        <f t="shared" si="5"/>
        <v>2241</v>
      </c>
      <c r="W77" s="77">
        <v>2</v>
      </c>
      <c r="X77" s="77" t="s">
        <v>35</v>
      </c>
      <c r="Y77" s="77" t="s">
        <v>43</v>
      </c>
      <c r="Z77" s="77" t="s">
        <v>74</v>
      </c>
      <c r="AA77" s="77" t="s">
        <v>64</v>
      </c>
      <c r="AB77" s="77" t="s">
        <v>195</v>
      </c>
    </row>
    <row r="78" spans="1:28" x14ac:dyDescent="0.15">
      <c r="A78" s="77" t="s">
        <v>44</v>
      </c>
      <c r="B78" s="77" t="s">
        <v>191</v>
      </c>
      <c r="C78" s="77">
        <v>2020</v>
      </c>
      <c r="D78" s="182" t="s">
        <v>413</v>
      </c>
      <c r="E78" s="77" t="s">
        <v>303</v>
      </c>
      <c r="F78" s="77" t="s">
        <v>424</v>
      </c>
      <c r="G78" s="77" t="s">
        <v>25</v>
      </c>
      <c r="H78" s="77" t="s">
        <v>113</v>
      </c>
      <c r="I78" s="77" t="s">
        <v>111</v>
      </c>
      <c r="J78" s="77" t="s">
        <v>27</v>
      </c>
      <c r="K78" s="77" t="s">
        <v>112</v>
      </c>
      <c r="L78" s="77">
        <v>2</v>
      </c>
      <c r="M78" s="184"/>
      <c r="N78" s="77">
        <v>8</v>
      </c>
      <c r="O78" s="77">
        <v>0.55000000000000004</v>
      </c>
      <c r="P78" s="77">
        <v>0.55000000000000004</v>
      </c>
      <c r="Q78" s="16">
        <f t="shared" si="3"/>
        <v>0.55000000000000004</v>
      </c>
      <c r="R78" s="77">
        <v>13.9</v>
      </c>
      <c r="S78" s="77">
        <v>89</v>
      </c>
      <c r="T78" s="16">
        <f t="shared" si="4"/>
        <v>36</v>
      </c>
      <c r="U78" s="77">
        <v>498</v>
      </c>
      <c r="V78" s="16">
        <f t="shared" si="5"/>
        <v>2241</v>
      </c>
      <c r="W78" s="77">
        <v>2</v>
      </c>
      <c r="X78" s="77" t="s">
        <v>35</v>
      </c>
      <c r="Y78" s="77" t="s">
        <v>43</v>
      </c>
      <c r="Z78" s="77" t="s">
        <v>74</v>
      </c>
      <c r="AA78" s="77" t="s">
        <v>64</v>
      </c>
      <c r="AB78" s="77" t="s">
        <v>195</v>
      </c>
    </row>
    <row r="79" spans="1:28" x14ac:dyDescent="0.15">
      <c r="A79" s="77" t="s">
        <v>44</v>
      </c>
      <c r="B79" s="77" t="s">
        <v>191</v>
      </c>
      <c r="C79" s="77">
        <v>2020</v>
      </c>
      <c r="D79" s="182" t="s">
        <v>413</v>
      </c>
      <c r="E79" s="77" t="s">
        <v>303</v>
      </c>
      <c r="F79" s="77" t="s">
        <v>424</v>
      </c>
      <c r="G79" s="77" t="s">
        <v>25</v>
      </c>
      <c r="H79" s="77" t="s">
        <v>113</v>
      </c>
      <c r="I79" s="77" t="s">
        <v>111</v>
      </c>
      <c r="J79" s="77" t="s">
        <v>27</v>
      </c>
      <c r="K79" s="77" t="s">
        <v>112</v>
      </c>
      <c r="L79" s="77">
        <v>3</v>
      </c>
      <c r="M79" s="184"/>
      <c r="N79" s="77">
        <v>8</v>
      </c>
      <c r="O79" s="77">
        <v>0.75</v>
      </c>
      <c r="P79" s="77">
        <v>0.65</v>
      </c>
      <c r="Q79" s="16">
        <f t="shared" si="3"/>
        <v>0.7</v>
      </c>
      <c r="R79" s="77">
        <v>14.4</v>
      </c>
      <c r="S79" s="77">
        <v>90</v>
      </c>
      <c r="T79" s="16">
        <f t="shared" si="4"/>
        <v>36</v>
      </c>
      <c r="U79" s="77">
        <v>498</v>
      </c>
      <c r="V79" s="16">
        <f t="shared" si="5"/>
        <v>2241</v>
      </c>
      <c r="W79" s="77">
        <v>2</v>
      </c>
      <c r="X79" s="77" t="s">
        <v>35</v>
      </c>
      <c r="Y79" s="77" t="s">
        <v>43</v>
      </c>
      <c r="Z79" s="77" t="s">
        <v>74</v>
      </c>
      <c r="AA79" s="77" t="s">
        <v>64</v>
      </c>
      <c r="AB79" s="77" t="s">
        <v>195</v>
      </c>
    </row>
    <row r="80" spans="1:28" x14ac:dyDescent="0.15">
      <c r="A80" s="77" t="s">
        <v>44</v>
      </c>
      <c r="B80" s="77" t="s">
        <v>191</v>
      </c>
      <c r="C80" s="77">
        <v>2020</v>
      </c>
      <c r="D80" s="182" t="s">
        <v>413</v>
      </c>
      <c r="E80" s="77" t="s">
        <v>303</v>
      </c>
      <c r="F80" s="77" t="s">
        <v>424</v>
      </c>
      <c r="G80" s="77" t="s">
        <v>25</v>
      </c>
      <c r="H80" s="77" t="s">
        <v>166</v>
      </c>
      <c r="I80" s="77" t="s">
        <v>111</v>
      </c>
      <c r="J80" s="77" t="s">
        <v>27</v>
      </c>
      <c r="K80" s="77" t="s">
        <v>112</v>
      </c>
      <c r="L80" s="77">
        <v>1</v>
      </c>
      <c r="M80" s="184"/>
      <c r="N80" s="77">
        <v>1</v>
      </c>
      <c r="O80" s="77">
        <v>0.6</v>
      </c>
      <c r="P80" s="77">
        <v>0.65</v>
      </c>
      <c r="Q80" s="16">
        <f t="shared" si="3"/>
        <v>0.625</v>
      </c>
      <c r="R80" s="77">
        <v>13.5</v>
      </c>
      <c r="S80" s="77">
        <v>108</v>
      </c>
      <c r="T80" s="16">
        <f t="shared" si="4"/>
        <v>33</v>
      </c>
      <c r="U80" s="77">
        <v>128</v>
      </c>
      <c r="V80" s="16">
        <f t="shared" si="5"/>
        <v>4224</v>
      </c>
      <c r="W80" s="77">
        <v>2</v>
      </c>
      <c r="X80" s="77" t="s">
        <v>35</v>
      </c>
      <c r="Y80" s="77" t="s">
        <v>43</v>
      </c>
      <c r="Z80" s="77" t="s">
        <v>74</v>
      </c>
      <c r="AA80" s="77" t="s">
        <v>64</v>
      </c>
      <c r="AB80" s="77" t="s">
        <v>195</v>
      </c>
    </row>
    <row r="81" spans="1:28" x14ac:dyDescent="0.15">
      <c r="A81" s="77" t="s">
        <v>44</v>
      </c>
      <c r="B81" s="77" t="s">
        <v>191</v>
      </c>
      <c r="C81" s="77">
        <v>2020</v>
      </c>
      <c r="D81" s="182" t="s">
        <v>413</v>
      </c>
      <c r="E81" s="77" t="s">
        <v>303</v>
      </c>
      <c r="F81" s="77" t="s">
        <v>424</v>
      </c>
      <c r="G81" s="77" t="s">
        <v>25</v>
      </c>
      <c r="H81" s="77" t="s">
        <v>166</v>
      </c>
      <c r="I81" s="77" t="s">
        <v>111</v>
      </c>
      <c r="J81" s="77" t="s">
        <v>27</v>
      </c>
      <c r="K81" s="77" t="s">
        <v>112</v>
      </c>
      <c r="L81" s="77">
        <v>2</v>
      </c>
      <c r="M81" s="184"/>
      <c r="N81" s="77">
        <v>1</v>
      </c>
      <c r="O81" s="77">
        <v>0.7</v>
      </c>
      <c r="P81" s="77">
        <v>0.6</v>
      </c>
      <c r="Q81" s="16">
        <f t="shared" si="3"/>
        <v>0.64999999999999991</v>
      </c>
      <c r="R81" s="77">
        <v>13.2</v>
      </c>
      <c r="S81" s="77">
        <v>107</v>
      </c>
      <c r="T81" s="16">
        <f t="shared" si="4"/>
        <v>33</v>
      </c>
      <c r="U81" s="77">
        <v>128</v>
      </c>
      <c r="V81" s="16">
        <f t="shared" si="5"/>
        <v>4224</v>
      </c>
      <c r="W81" s="77">
        <v>2</v>
      </c>
      <c r="X81" s="77" t="s">
        <v>35</v>
      </c>
      <c r="Y81" s="77" t="s">
        <v>43</v>
      </c>
      <c r="Z81" s="77" t="s">
        <v>74</v>
      </c>
      <c r="AA81" s="77" t="s">
        <v>64</v>
      </c>
      <c r="AB81" s="77" t="s">
        <v>195</v>
      </c>
    </row>
    <row r="82" spans="1:28" x14ac:dyDescent="0.15">
      <c r="A82" s="77" t="s">
        <v>44</v>
      </c>
      <c r="B82" s="77" t="s">
        <v>191</v>
      </c>
      <c r="C82" s="77">
        <v>2020</v>
      </c>
      <c r="D82" s="182" t="s">
        <v>413</v>
      </c>
      <c r="E82" s="77" t="s">
        <v>303</v>
      </c>
      <c r="F82" s="77" t="s">
        <v>424</v>
      </c>
      <c r="G82" s="77" t="s">
        <v>25</v>
      </c>
      <c r="H82" s="77" t="s">
        <v>166</v>
      </c>
      <c r="I82" s="77" t="s">
        <v>111</v>
      </c>
      <c r="J82" s="77" t="s">
        <v>27</v>
      </c>
      <c r="K82" s="77" t="s">
        <v>112</v>
      </c>
      <c r="L82" s="77">
        <v>3</v>
      </c>
      <c r="M82" s="184"/>
      <c r="N82" s="77">
        <v>1</v>
      </c>
      <c r="O82" s="77">
        <v>0.6</v>
      </c>
      <c r="P82" s="77">
        <v>0.6</v>
      </c>
      <c r="Q82" s="16">
        <f t="shared" si="3"/>
        <v>0.6</v>
      </c>
      <c r="R82" s="77">
        <v>15.3</v>
      </c>
      <c r="S82" s="77">
        <v>114</v>
      </c>
      <c r="T82" s="16">
        <f t="shared" si="4"/>
        <v>30</v>
      </c>
      <c r="U82" s="77">
        <v>128</v>
      </c>
      <c r="V82" s="16">
        <f t="shared" si="5"/>
        <v>3840</v>
      </c>
      <c r="W82" s="77">
        <v>2</v>
      </c>
      <c r="X82" s="77" t="s">
        <v>35</v>
      </c>
      <c r="Y82" s="77" t="s">
        <v>43</v>
      </c>
      <c r="Z82" s="77" t="s">
        <v>74</v>
      </c>
      <c r="AA82" s="77" t="s">
        <v>64</v>
      </c>
      <c r="AB82" s="77" t="s">
        <v>195</v>
      </c>
    </row>
    <row r="83" spans="1:28" x14ac:dyDescent="0.15">
      <c r="A83" s="77" t="s">
        <v>44</v>
      </c>
      <c r="B83" s="77" t="s">
        <v>191</v>
      </c>
      <c r="C83" s="77">
        <v>2020</v>
      </c>
      <c r="D83" s="182" t="s">
        <v>413</v>
      </c>
      <c r="E83" s="77" t="s">
        <v>303</v>
      </c>
      <c r="F83" s="77" t="s">
        <v>424</v>
      </c>
      <c r="G83" s="77" t="s">
        <v>25</v>
      </c>
      <c r="H83" s="77" t="s">
        <v>166</v>
      </c>
      <c r="I83" s="77" t="s">
        <v>111</v>
      </c>
      <c r="J83" s="77" t="s">
        <v>27</v>
      </c>
      <c r="K83" s="77" t="s">
        <v>112</v>
      </c>
      <c r="L83" s="77">
        <v>1</v>
      </c>
      <c r="M83" s="184"/>
      <c r="N83" s="77">
        <v>8</v>
      </c>
      <c r="O83" s="77">
        <v>0.55000000000000004</v>
      </c>
      <c r="P83" s="77">
        <v>0.5</v>
      </c>
      <c r="Q83" s="16">
        <f t="shared" si="3"/>
        <v>0.52500000000000002</v>
      </c>
      <c r="R83" s="77">
        <v>18.7</v>
      </c>
      <c r="S83" s="77">
        <v>110</v>
      </c>
      <c r="T83" s="16">
        <f t="shared" si="4"/>
        <v>33</v>
      </c>
      <c r="U83" s="77">
        <v>698</v>
      </c>
      <c r="V83" s="16">
        <f t="shared" si="5"/>
        <v>2879.25</v>
      </c>
      <c r="W83" s="77">
        <v>2</v>
      </c>
      <c r="X83" s="77" t="s">
        <v>35</v>
      </c>
      <c r="Y83" s="77" t="s">
        <v>43</v>
      </c>
      <c r="Z83" s="77" t="s">
        <v>74</v>
      </c>
      <c r="AA83" s="77" t="s">
        <v>64</v>
      </c>
      <c r="AB83" s="77" t="s">
        <v>195</v>
      </c>
    </row>
    <row r="84" spans="1:28" x14ac:dyDescent="0.15">
      <c r="A84" s="77" t="s">
        <v>44</v>
      </c>
      <c r="B84" s="77" t="s">
        <v>191</v>
      </c>
      <c r="C84" s="77">
        <v>2020</v>
      </c>
      <c r="D84" s="182" t="s">
        <v>413</v>
      </c>
      <c r="E84" s="77" t="s">
        <v>303</v>
      </c>
      <c r="F84" s="77" t="s">
        <v>424</v>
      </c>
      <c r="G84" s="77" t="s">
        <v>25</v>
      </c>
      <c r="H84" s="77" t="s">
        <v>166</v>
      </c>
      <c r="I84" s="77" t="s">
        <v>111</v>
      </c>
      <c r="J84" s="77" t="s">
        <v>27</v>
      </c>
      <c r="K84" s="77" t="s">
        <v>112</v>
      </c>
      <c r="L84" s="77">
        <v>2</v>
      </c>
      <c r="M84" s="184"/>
      <c r="N84" s="77">
        <v>8</v>
      </c>
      <c r="O84" s="77">
        <v>0.55000000000000004</v>
      </c>
      <c r="P84" s="77">
        <v>0.55000000000000004</v>
      </c>
      <c r="Q84" s="16">
        <f t="shared" si="3"/>
        <v>0.55000000000000004</v>
      </c>
      <c r="R84" s="77">
        <v>18.7</v>
      </c>
      <c r="S84" s="77">
        <v>115</v>
      </c>
      <c r="T84" s="16">
        <f t="shared" si="4"/>
        <v>30</v>
      </c>
      <c r="U84" s="77">
        <v>698</v>
      </c>
      <c r="V84" s="16">
        <f t="shared" si="5"/>
        <v>2617.5</v>
      </c>
      <c r="W84" s="77">
        <v>2</v>
      </c>
      <c r="X84" s="77" t="s">
        <v>35</v>
      </c>
      <c r="Y84" s="77" t="s">
        <v>43</v>
      </c>
      <c r="Z84" s="77" t="s">
        <v>74</v>
      </c>
      <c r="AA84" s="77" t="s">
        <v>64</v>
      </c>
      <c r="AB84" s="77" t="s">
        <v>195</v>
      </c>
    </row>
    <row r="85" spans="1:28" x14ac:dyDescent="0.15">
      <c r="A85" s="77" t="s">
        <v>44</v>
      </c>
      <c r="B85" s="77" t="s">
        <v>191</v>
      </c>
      <c r="C85" s="77">
        <v>2020</v>
      </c>
      <c r="D85" s="182" t="s">
        <v>413</v>
      </c>
      <c r="E85" s="77" t="s">
        <v>303</v>
      </c>
      <c r="F85" s="77" t="s">
        <v>424</v>
      </c>
      <c r="G85" s="77" t="s">
        <v>25</v>
      </c>
      <c r="H85" s="77" t="s">
        <v>166</v>
      </c>
      <c r="I85" s="77" t="s">
        <v>111</v>
      </c>
      <c r="J85" s="77" t="s">
        <v>27</v>
      </c>
      <c r="K85" s="77" t="s">
        <v>112</v>
      </c>
      <c r="L85" s="77">
        <v>3</v>
      </c>
      <c r="M85" s="184"/>
      <c r="N85" s="77">
        <v>8</v>
      </c>
      <c r="O85" s="77">
        <v>0.6</v>
      </c>
      <c r="P85" s="77">
        <v>0.65</v>
      </c>
      <c r="Q85" s="16">
        <f t="shared" si="3"/>
        <v>0.625</v>
      </c>
      <c r="R85" s="77">
        <v>17.899999999999999</v>
      </c>
      <c r="S85" s="77">
        <v>109</v>
      </c>
      <c r="T85" s="16">
        <f t="shared" si="4"/>
        <v>33</v>
      </c>
      <c r="U85" s="77">
        <v>698</v>
      </c>
      <c r="V85" s="16">
        <f t="shared" si="5"/>
        <v>2879.25</v>
      </c>
      <c r="W85" s="77">
        <v>2</v>
      </c>
      <c r="X85" s="77" t="s">
        <v>35</v>
      </c>
      <c r="Y85" s="77" t="s">
        <v>43</v>
      </c>
      <c r="Z85" s="77" t="s">
        <v>74</v>
      </c>
      <c r="AA85" s="77" t="s">
        <v>64</v>
      </c>
      <c r="AB85" s="77" t="s">
        <v>195</v>
      </c>
    </row>
    <row r="86" spans="1:28" x14ac:dyDescent="0.15">
      <c r="A86" s="77" t="s">
        <v>44</v>
      </c>
      <c r="B86" s="77" t="s">
        <v>191</v>
      </c>
      <c r="C86" s="77">
        <v>2020</v>
      </c>
      <c r="D86" s="182" t="s">
        <v>413</v>
      </c>
      <c r="E86" s="77" t="s">
        <v>425</v>
      </c>
      <c r="F86" s="77" t="s">
        <v>424</v>
      </c>
      <c r="G86" s="77" t="s">
        <v>31</v>
      </c>
      <c r="H86" s="77" t="s">
        <v>113</v>
      </c>
      <c r="I86" s="77" t="s">
        <v>111</v>
      </c>
      <c r="J86" s="77" t="s">
        <v>27</v>
      </c>
      <c r="K86" s="77" t="s">
        <v>112</v>
      </c>
      <c r="L86" s="77">
        <v>1</v>
      </c>
      <c r="M86" s="184"/>
      <c r="N86" s="77">
        <v>1</v>
      </c>
      <c r="O86" s="77">
        <v>0.75</v>
      </c>
      <c r="P86" s="77">
        <v>0.7</v>
      </c>
      <c r="Q86" s="16">
        <f t="shared" si="3"/>
        <v>0.72499999999999998</v>
      </c>
      <c r="R86" s="77">
        <v>13.3</v>
      </c>
      <c r="S86" s="77">
        <v>137</v>
      </c>
      <c r="T86" s="16">
        <f t="shared" si="4"/>
        <v>25</v>
      </c>
      <c r="U86" s="77">
        <v>146</v>
      </c>
      <c r="V86" s="16">
        <f t="shared" si="5"/>
        <v>3650</v>
      </c>
      <c r="W86" s="77">
        <v>1</v>
      </c>
      <c r="X86" s="77" t="s">
        <v>28</v>
      </c>
      <c r="Y86" s="77" t="s">
        <v>74</v>
      </c>
      <c r="Z86" s="77" t="s">
        <v>64</v>
      </c>
      <c r="AA86" s="77" t="s">
        <v>55</v>
      </c>
      <c r="AB86" s="77" t="s">
        <v>195</v>
      </c>
    </row>
    <row r="87" spans="1:28" x14ac:dyDescent="0.15">
      <c r="A87" s="77" t="s">
        <v>44</v>
      </c>
      <c r="B87" s="77" t="s">
        <v>191</v>
      </c>
      <c r="C87" s="77">
        <v>2020</v>
      </c>
      <c r="D87" s="182" t="s">
        <v>413</v>
      </c>
      <c r="E87" s="77" t="s">
        <v>425</v>
      </c>
      <c r="F87" s="77" t="s">
        <v>424</v>
      </c>
      <c r="G87" s="77" t="s">
        <v>31</v>
      </c>
      <c r="H87" s="77" t="s">
        <v>113</v>
      </c>
      <c r="I87" s="77" t="s">
        <v>111</v>
      </c>
      <c r="J87" s="77" t="s">
        <v>27</v>
      </c>
      <c r="K87" s="77" t="s">
        <v>112</v>
      </c>
      <c r="L87" s="77">
        <v>2</v>
      </c>
      <c r="M87" s="184"/>
      <c r="N87" s="77">
        <v>1</v>
      </c>
      <c r="O87" s="77">
        <v>0.75</v>
      </c>
      <c r="P87" s="77">
        <v>0.85</v>
      </c>
      <c r="Q87" s="16">
        <f t="shared" si="3"/>
        <v>0.8</v>
      </c>
      <c r="R87" s="77">
        <v>16.2</v>
      </c>
      <c r="S87" s="77">
        <v>132</v>
      </c>
      <c r="T87" s="16">
        <f t="shared" si="4"/>
        <v>25</v>
      </c>
      <c r="U87" s="77">
        <v>146</v>
      </c>
      <c r="V87" s="16">
        <f t="shared" si="5"/>
        <v>3650</v>
      </c>
      <c r="W87" s="77">
        <v>1</v>
      </c>
      <c r="X87" s="77" t="s">
        <v>28</v>
      </c>
      <c r="Y87" s="77" t="s">
        <v>74</v>
      </c>
      <c r="Z87" s="77" t="s">
        <v>64</v>
      </c>
      <c r="AA87" s="77" t="s">
        <v>55</v>
      </c>
      <c r="AB87" s="77" t="s">
        <v>195</v>
      </c>
    </row>
    <row r="88" spans="1:28" x14ac:dyDescent="0.15">
      <c r="A88" s="77" t="s">
        <v>44</v>
      </c>
      <c r="B88" s="77" t="s">
        <v>191</v>
      </c>
      <c r="C88" s="77">
        <v>2020</v>
      </c>
      <c r="D88" s="182" t="s">
        <v>413</v>
      </c>
      <c r="E88" s="77" t="s">
        <v>425</v>
      </c>
      <c r="F88" s="77" t="s">
        <v>424</v>
      </c>
      <c r="G88" s="77" t="s">
        <v>31</v>
      </c>
      <c r="H88" s="77" t="s">
        <v>113</v>
      </c>
      <c r="I88" s="77" t="s">
        <v>111</v>
      </c>
      <c r="J88" s="77" t="s">
        <v>27</v>
      </c>
      <c r="K88" s="77" t="s">
        <v>112</v>
      </c>
      <c r="L88" s="77">
        <v>3</v>
      </c>
      <c r="M88" s="184"/>
      <c r="N88" s="77">
        <v>1</v>
      </c>
      <c r="O88" s="77">
        <v>0.65</v>
      </c>
      <c r="P88" s="77">
        <v>0.65</v>
      </c>
      <c r="Q88" s="16">
        <f t="shared" si="3"/>
        <v>0.65</v>
      </c>
      <c r="R88" s="77">
        <v>15.4</v>
      </c>
      <c r="S88" s="77">
        <v>128</v>
      </c>
      <c r="T88" s="16">
        <f t="shared" si="4"/>
        <v>27</v>
      </c>
      <c r="U88" s="77">
        <v>146</v>
      </c>
      <c r="V88" s="16">
        <f t="shared" si="5"/>
        <v>3942</v>
      </c>
      <c r="W88" s="77">
        <v>1</v>
      </c>
      <c r="X88" s="77" t="s">
        <v>28</v>
      </c>
      <c r="Y88" s="77" t="s">
        <v>74</v>
      </c>
      <c r="Z88" s="77" t="s">
        <v>64</v>
      </c>
      <c r="AA88" s="77" t="s">
        <v>55</v>
      </c>
      <c r="AB88" s="77" t="s">
        <v>195</v>
      </c>
    </row>
    <row r="89" spans="1:28" x14ac:dyDescent="0.15">
      <c r="A89" s="77" t="s">
        <v>44</v>
      </c>
      <c r="B89" s="77" t="s">
        <v>191</v>
      </c>
      <c r="C89" s="77">
        <v>2020</v>
      </c>
      <c r="D89" s="182" t="s">
        <v>413</v>
      </c>
      <c r="E89" s="77" t="s">
        <v>425</v>
      </c>
      <c r="F89" s="77" t="s">
        <v>424</v>
      </c>
      <c r="G89" s="77" t="s">
        <v>31</v>
      </c>
      <c r="H89" s="77" t="s">
        <v>166</v>
      </c>
      <c r="I89" s="77" t="s">
        <v>111</v>
      </c>
      <c r="J89" s="77" t="s">
        <v>27</v>
      </c>
      <c r="K89" s="77" t="s">
        <v>112</v>
      </c>
      <c r="L89" s="77">
        <v>1</v>
      </c>
      <c r="M89" s="184"/>
      <c r="N89" s="77">
        <v>1</v>
      </c>
      <c r="O89" s="77">
        <v>0.75</v>
      </c>
      <c r="P89" s="77">
        <v>0.75</v>
      </c>
      <c r="Q89" s="16">
        <f t="shared" si="3"/>
        <v>0.75</v>
      </c>
      <c r="R89" s="77">
        <v>17</v>
      </c>
      <c r="S89" s="77">
        <v>125</v>
      </c>
      <c r="T89" s="16">
        <f t="shared" si="4"/>
        <v>27</v>
      </c>
      <c r="U89" s="77">
        <v>146</v>
      </c>
      <c r="V89" s="16">
        <f t="shared" si="5"/>
        <v>3942</v>
      </c>
      <c r="W89" s="77">
        <v>1</v>
      </c>
      <c r="X89" s="77" t="s">
        <v>28</v>
      </c>
      <c r="Y89" s="77" t="s">
        <v>74</v>
      </c>
      <c r="Z89" s="77" t="s">
        <v>64</v>
      </c>
      <c r="AA89" s="77" t="s">
        <v>55</v>
      </c>
      <c r="AB89" s="77" t="s">
        <v>195</v>
      </c>
    </row>
    <row r="90" spans="1:28" x14ac:dyDescent="0.15">
      <c r="A90" s="77" t="s">
        <v>44</v>
      </c>
      <c r="B90" s="77" t="s">
        <v>191</v>
      </c>
      <c r="C90" s="77">
        <v>2020</v>
      </c>
      <c r="D90" s="182" t="s">
        <v>413</v>
      </c>
      <c r="E90" s="77" t="s">
        <v>425</v>
      </c>
      <c r="F90" s="77" t="s">
        <v>424</v>
      </c>
      <c r="G90" s="77" t="s">
        <v>31</v>
      </c>
      <c r="H90" s="77" t="s">
        <v>166</v>
      </c>
      <c r="I90" s="77" t="s">
        <v>111</v>
      </c>
      <c r="J90" s="77" t="s">
        <v>27</v>
      </c>
      <c r="K90" s="77" t="s">
        <v>112</v>
      </c>
      <c r="L90" s="77">
        <v>2</v>
      </c>
      <c r="M90" s="184"/>
      <c r="N90" s="77">
        <v>1</v>
      </c>
      <c r="O90" s="77">
        <v>0.7</v>
      </c>
      <c r="P90" s="77">
        <v>0.65</v>
      </c>
      <c r="Q90" s="16">
        <f t="shared" si="3"/>
        <v>0.67500000000000004</v>
      </c>
      <c r="R90" s="77">
        <v>13.7</v>
      </c>
      <c r="S90" s="77">
        <v>118</v>
      </c>
      <c r="T90" s="16">
        <f t="shared" si="4"/>
        <v>30</v>
      </c>
      <c r="U90" s="77">
        <v>146</v>
      </c>
      <c r="V90" s="16">
        <f t="shared" si="5"/>
        <v>4380</v>
      </c>
      <c r="W90" s="77">
        <v>1</v>
      </c>
      <c r="X90" s="77" t="s">
        <v>28</v>
      </c>
      <c r="Y90" s="77" t="s">
        <v>74</v>
      </c>
      <c r="Z90" s="77" t="s">
        <v>64</v>
      </c>
      <c r="AA90" s="77" t="s">
        <v>55</v>
      </c>
      <c r="AB90" s="77" t="s">
        <v>195</v>
      </c>
    </row>
    <row r="91" spans="1:28" x14ac:dyDescent="0.15">
      <c r="A91" s="77" t="s">
        <v>44</v>
      </c>
      <c r="B91" s="77" t="s">
        <v>191</v>
      </c>
      <c r="C91" s="77">
        <v>2020</v>
      </c>
      <c r="D91" s="182" t="s">
        <v>413</v>
      </c>
      <c r="E91" s="77" t="s">
        <v>425</v>
      </c>
      <c r="F91" s="77" t="s">
        <v>424</v>
      </c>
      <c r="G91" s="77" t="s">
        <v>31</v>
      </c>
      <c r="H91" s="77" t="s">
        <v>166</v>
      </c>
      <c r="I91" s="77" t="s">
        <v>111</v>
      </c>
      <c r="J91" s="77" t="s">
        <v>27</v>
      </c>
      <c r="K91" s="77" t="s">
        <v>112</v>
      </c>
      <c r="L91" s="77">
        <v>3</v>
      </c>
      <c r="M91" s="184"/>
      <c r="N91" s="77">
        <v>1</v>
      </c>
      <c r="O91" s="77">
        <v>0.65</v>
      </c>
      <c r="P91" s="77">
        <v>0.7</v>
      </c>
      <c r="Q91" s="16">
        <f t="shared" si="3"/>
        <v>0.67500000000000004</v>
      </c>
      <c r="R91" s="77">
        <v>16.8</v>
      </c>
      <c r="S91" s="77">
        <v>124</v>
      </c>
      <c r="T91" s="16">
        <f t="shared" si="4"/>
        <v>27</v>
      </c>
      <c r="U91" s="77">
        <v>146</v>
      </c>
      <c r="V91" s="16">
        <f t="shared" si="5"/>
        <v>3942</v>
      </c>
      <c r="W91" s="77">
        <v>1</v>
      </c>
      <c r="X91" s="77" t="s">
        <v>28</v>
      </c>
      <c r="Y91" s="77" t="s">
        <v>74</v>
      </c>
      <c r="Z91" s="77" t="s">
        <v>64</v>
      </c>
      <c r="AA91" s="77" t="s">
        <v>55</v>
      </c>
      <c r="AB91" s="77" t="s">
        <v>195</v>
      </c>
    </row>
    <row r="92" spans="1:28" x14ac:dyDescent="0.15">
      <c r="A92" s="77" t="s">
        <v>44</v>
      </c>
      <c r="B92" s="77" t="s">
        <v>191</v>
      </c>
      <c r="C92" s="77">
        <v>2020</v>
      </c>
      <c r="D92" s="182" t="s">
        <v>413</v>
      </c>
      <c r="E92" s="77" t="s">
        <v>416</v>
      </c>
      <c r="F92" s="77" t="s">
        <v>417</v>
      </c>
      <c r="G92" s="77" t="s">
        <v>31</v>
      </c>
      <c r="H92" s="77" t="s">
        <v>113</v>
      </c>
      <c r="I92" s="77" t="s">
        <v>111</v>
      </c>
      <c r="J92" s="77" t="s">
        <v>27</v>
      </c>
      <c r="K92" s="77" t="s">
        <v>112</v>
      </c>
      <c r="L92" s="77">
        <v>1</v>
      </c>
      <c r="M92" s="184"/>
      <c r="N92" s="77">
        <v>4</v>
      </c>
      <c r="O92" s="77">
        <v>1.05</v>
      </c>
      <c r="P92" s="77">
        <v>1</v>
      </c>
      <c r="Q92" s="16">
        <f t="shared" si="3"/>
        <v>1.0249999999999999</v>
      </c>
      <c r="R92" s="77">
        <v>16</v>
      </c>
      <c r="S92" s="77">
        <v>92</v>
      </c>
      <c r="T92" s="16">
        <f t="shared" si="4"/>
        <v>36</v>
      </c>
      <c r="U92" s="77">
        <v>297</v>
      </c>
      <c r="V92" s="16">
        <f t="shared" si="5"/>
        <v>2673</v>
      </c>
      <c r="W92" s="77">
        <v>1</v>
      </c>
      <c r="X92" s="77" t="s">
        <v>28</v>
      </c>
      <c r="Y92" s="77" t="s">
        <v>43</v>
      </c>
      <c r="Z92" s="77" t="s">
        <v>82</v>
      </c>
      <c r="AA92" s="77" t="s">
        <v>76</v>
      </c>
      <c r="AB92" s="77" t="s">
        <v>195</v>
      </c>
    </row>
    <row r="93" spans="1:28" x14ac:dyDescent="0.15">
      <c r="A93" s="77" t="s">
        <v>44</v>
      </c>
      <c r="B93" s="77" t="s">
        <v>191</v>
      </c>
      <c r="C93" s="77">
        <v>2020</v>
      </c>
      <c r="D93" s="182" t="s">
        <v>413</v>
      </c>
      <c r="E93" s="77" t="s">
        <v>416</v>
      </c>
      <c r="F93" s="77" t="s">
        <v>417</v>
      </c>
      <c r="G93" s="77" t="s">
        <v>31</v>
      </c>
      <c r="H93" s="77" t="s">
        <v>113</v>
      </c>
      <c r="I93" s="77" t="s">
        <v>111</v>
      </c>
      <c r="J93" s="77" t="s">
        <v>27</v>
      </c>
      <c r="K93" s="77" t="s">
        <v>112</v>
      </c>
      <c r="L93" s="77">
        <v>2</v>
      </c>
      <c r="M93" s="184"/>
      <c r="N93" s="77">
        <v>4</v>
      </c>
      <c r="O93" s="77">
        <v>0.65</v>
      </c>
      <c r="P93" s="77">
        <v>0.65</v>
      </c>
      <c r="Q93" s="16">
        <f t="shared" si="3"/>
        <v>0.65</v>
      </c>
      <c r="R93" s="77">
        <v>12.9</v>
      </c>
      <c r="S93" s="77">
        <v>98</v>
      </c>
      <c r="T93" s="16">
        <f t="shared" si="4"/>
        <v>36</v>
      </c>
      <c r="U93" s="77">
        <v>297</v>
      </c>
      <c r="V93" s="16">
        <f t="shared" si="5"/>
        <v>2673</v>
      </c>
      <c r="W93" s="77">
        <v>1</v>
      </c>
      <c r="X93" s="77" t="s">
        <v>28</v>
      </c>
      <c r="Y93" s="77" t="s">
        <v>43</v>
      </c>
      <c r="Z93" s="77" t="s">
        <v>82</v>
      </c>
      <c r="AA93" s="77" t="s">
        <v>76</v>
      </c>
      <c r="AB93" s="77" t="s">
        <v>195</v>
      </c>
    </row>
    <row r="94" spans="1:28" x14ac:dyDescent="0.15">
      <c r="A94" s="77" t="s">
        <v>44</v>
      </c>
      <c r="B94" s="77" t="s">
        <v>191</v>
      </c>
      <c r="C94" s="77">
        <v>2020</v>
      </c>
      <c r="D94" s="182" t="s">
        <v>413</v>
      </c>
      <c r="E94" s="77" t="s">
        <v>416</v>
      </c>
      <c r="F94" s="77" t="s">
        <v>417</v>
      </c>
      <c r="G94" s="77" t="s">
        <v>31</v>
      </c>
      <c r="H94" s="77" t="s">
        <v>113</v>
      </c>
      <c r="I94" s="77" t="s">
        <v>111</v>
      </c>
      <c r="J94" s="77" t="s">
        <v>27</v>
      </c>
      <c r="K94" s="77" t="s">
        <v>112</v>
      </c>
      <c r="L94" s="77">
        <v>3</v>
      </c>
      <c r="M94" s="184"/>
      <c r="N94" s="77">
        <v>4</v>
      </c>
      <c r="O94" s="77">
        <v>0.6</v>
      </c>
      <c r="P94" s="77">
        <v>0.65</v>
      </c>
      <c r="Q94" s="16">
        <f t="shared" si="3"/>
        <v>0.625</v>
      </c>
      <c r="R94" s="77">
        <v>14.1</v>
      </c>
      <c r="S94" s="77">
        <v>99</v>
      </c>
      <c r="T94" s="16">
        <f t="shared" si="4"/>
        <v>33</v>
      </c>
      <c r="U94" s="77">
        <v>297</v>
      </c>
      <c r="V94" s="16">
        <f t="shared" si="5"/>
        <v>2450.25</v>
      </c>
      <c r="W94" s="77">
        <v>1</v>
      </c>
      <c r="X94" s="77" t="s">
        <v>28</v>
      </c>
      <c r="Y94" s="77" t="s">
        <v>43</v>
      </c>
      <c r="Z94" s="77" t="s">
        <v>82</v>
      </c>
      <c r="AA94" s="77" t="s">
        <v>76</v>
      </c>
      <c r="AB94" s="77" t="s">
        <v>195</v>
      </c>
    </row>
    <row r="95" spans="1:28" x14ac:dyDescent="0.15">
      <c r="A95" s="77" t="s">
        <v>44</v>
      </c>
      <c r="B95" s="77" t="s">
        <v>191</v>
      </c>
      <c r="C95" s="77">
        <v>2020</v>
      </c>
      <c r="D95" s="182" t="s">
        <v>413</v>
      </c>
      <c r="E95" s="77" t="s">
        <v>416</v>
      </c>
      <c r="F95" s="77" t="s">
        <v>417</v>
      </c>
      <c r="G95" s="77" t="s">
        <v>31</v>
      </c>
      <c r="H95" s="77" t="s">
        <v>113</v>
      </c>
      <c r="I95" s="77" t="s">
        <v>111</v>
      </c>
      <c r="J95" s="77" t="s">
        <v>27</v>
      </c>
      <c r="K95" s="77" t="s">
        <v>112</v>
      </c>
      <c r="L95" s="77">
        <v>1</v>
      </c>
      <c r="M95" s="184"/>
      <c r="N95" s="77">
        <v>8</v>
      </c>
      <c r="O95" s="77">
        <v>0.5</v>
      </c>
      <c r="P95" s="77">
        <v>0.5</v>
      </c>
      <c r="Q95" s="16">
        <f t="shared" si="3"/>
        <v>0.5</v>
      </c>
      <c r="R95" s="77">
        <v>14.2</v>
      </c>
      <c r="S95" s="77">
        <v>79</v>
      </c>
      <c r="T95" s="16">
        <f t="shared" si="4"/>
        <v>39</v>
      </c>
      <c r="U95" s="77">
        <v>397</v>
      </c>
      <c r="V95" s="16">
        <f t="shared" si="5"/>
        <v>1935.375</v>
      </c>
      <c r="W95" s="77">
        <v>1</v>
      </c>
      <c r="X95" s="77" t="s">
        <v>28</v>
      </c>
      <c r="Y95" s="77" t="s">
        <v>43</v>
      </c>
      <c r="Z95" s="77" t="s">
        <v>82</v>
      </c>
      <c r="AA95" s="77" t="s">
        <v>76</v>
      </c>
      <c r="AB95" s="77" t="s">
        <v>195</v>
      </c>
    </row>
    <row r="96" spans="1:28" x14ac:dyDescent="0.15">
      <c r="A96" s="77" t="s">
        <v>44</v>
      </c>
      <c r="B96" s="77" t="s">
        <v>191</v>
      </c>
      <c r="C96" s="77">
        <v>2020</v>
      </c>
      <c r="D96" s="182" t="s">
        <v>413</v>
      </c>
      <c r="E96" s="77" t="s">
        <v>416</v>
      </c>
      <c r="F96" s="77" t="s">
        <v>417</v>
      </c>
      <c r="G96" s="77" t="s">
        <v>31</v>
      </c>
      <c r="H96" s="77" t="s">
        <v>113</v>
      </c>
      <c r="I96" s="77" t="s">
        <v>111</v>
      </c>
      <c r="J96" s="77" t="s">
        <v>27</v>
      </c>
      <c r="K96" s="77" t="s">
        <v>112</v>
      </c>
      <c r="L96" s="77">
        <v>2</v>
      </c>
      <c r="M96" s="184"/>
      <c r="N96" s="77">
        <v>8</v>
      </c>
      <c r="O96" s="77">
        <v>0.5</v>
      </c>
      <c r="P96" s="77">
        <v>0.5</v>
      </c>
      <c r="Q96" s="16">
        <f t="shared" si="3"/>
        <v>0.5</v>
      </c>
      <c r="R96" s="77">
        <v>16.399999999999999</v>
      </c>
      <c r="S96" s="77">
        <v>80</v>
      </c>
      <c r="T96" s="16">
        <f t="shared" si="4"/>
        <v>39</v>
      </c>
      <c r="U96" s="77">
        <v>397</v>
      </c>
      <c r="V96" s="16">
        <f t="shared" si="5"/>
        <v>1935.375</v>
      </c>
      <c r="W96" s="77">
        <v>1</v>
      </c>
      <c r="X96" s="77" t="s">
        <v>28</v>
      </c>
      <c r="Y96" s="77" t="s">
        <v>43</v>
      </c>
      <c r="Z96" s="77" t="s">
        <v>82</v>
      </c>
      <c r="AA96" s="77" t="s">
        <v>76</v>
      </c>
      <c r="AB96" s="77" t="s">
        <v>195</v>
      </c>
    </row>
    <row r="97" spans="1:28" x14ac:dyDescent="0.15">
      <c r="A97" s="77" t="s">
        <v>44</v>
      </c>
      <c r="B97" s="77" t="s">
        <v>191</v>
      </c>
      <c r="C97" s="77">
        <v>2020</v>
      </c>
      <c r="D97" s="182" t="s">
        <v>413</v>
      </c>
      <c r="E97" s="77" t="s">
        <v>416</v>
      </c>
      <c r="F97" s="77" t="s">
        <v>417</v>
      </c>
      <c r="G97" s="77" t="s">
        <v>31</v>
      </c>
      <c r="H97" s="77" t="s">
        <v>113</v>
      </c>
      <c r="I97" s="77" t="s">
        <v>111</v>
      </c>
      <c r="J97" s="77" t="s">
        <v>27</v>
      </c>
      <c r="K97" s="77" t="s">
        <v>112</v>
      </c>
      <c r="L97" s="77">
        <v>3</v>
      </c>
      <c r="M97" s="184"/>
      <c r="N97" s="77">
        <v>8</v>
      </c>
      <c r="O97" s="77">
        <v>0.5</v>
      </c>
      <c r="P97" s="77">
        <v>0.5</v>
      </c>
      <c r="Q97" s="16">
        <f t="shared" si="3"/>
        <v>0.5</v>
      </c>
      <c r="R97" s="77">
        <v>13</v>
      </c>
      <c r="S97" s="77">
        <v>77</v>
      </c>
      <c r="T97" s="16">
        <f t="shared" si="4"/>
        <v>39</v>
      </c>
      <c r="U97" s="77">
        <v>397</v>
      </c>
      <c r="V97" s="16">
        <f t="shared" si="5"/>
        <v>1935.375</v>
      </c>
      <c r="W97" s="77">
        <v>1</v>
      </c>
      <c r="X97" s="77" t="s">
        <v>28</v>
      </c>
      <c r="Y97" s="77" t="s">
        <v>43</v>
      </c>
      <c r="Z97" s="77" t="s">
        <v>82</v>
      </c>
      <c r="AA97" s="77" t="s">
        <v>76</v>
      </c>
      <c r="AB97" s="77" t="s">
        <v>195</v>
      </c>
    </row>
    <row r="98" spans="1:28" x14ac:dyDescent="0.15">
      <c r="A98" s="77" t="s">
        <v>44</v>
      </c>
      <c r="B98" s="77" t="s">
        <v>191</v>
      </c>
      <c r="C98" s="77">
        <v>2020</v>
      </c>
      <c r="D98" s="182" t="s">
        <v>413</v>
      </c>
      <c r="E98" s="77" t="s">
        <v>416</v>
      </c>
      <c r="F98" s="77" t="s">
        <v>417</v>
      </c>
      <c r="G98" s="77" t="s">
        <v>31</v>
      </c>
      <c r="H98" s="77" t="s">
        <v>166</v>
      </c>
      <c r="I98" s="77" t="s">
        <v>111</v>
      </c>
      <c r="J98" s="77" t="s">
        <v>27</v>
      </c>
      <c r="K98" s="77" t="s">
        <v>112</v>
      </c>
      <c r="L98" s="77">
        <v>1</v>
      </c>
      <c r="M98" s="184"/>
      <c r="N98" s="77">
        <v>4</v>
      </c>
      <c r="O98" s="77">
        <v>0.75</v>
      </c>
      <c r="P98" s="77">
        <v>0.75</v>
      </c>
      <c r="Q98" s="16">
        <f t="shared" si="3"/>
        <v>0.75</v>
      </c>
      <c r="R98" s="77">
        <v>14.5</v>
      </c>
      <c r="S98" s="77">
        <v>98</v>
      </c>
      <c r="T98" s="16">
        <f t="shared" si="4"/>
        <v>36</v>
      </c>
      <c r="U98" s="77">
        <v>257</v>
      </c>
      <c r="V98" s="16">
        <f t="shared" si="5"/>
        <v>2313</v>
      </c>
      <c r="W98" s="77">
        <v>1</v>
      </c>
      <c r="X98" s="77" t="s">
        <v>28</v>
      </c>
      <c r="Y98" s="77" t="s">
        <v>43</v>
      </c>
      <c r="Z98" s="77" t="s">
        <v>82</v>
      </c>
      <c r="AA98" s="77" t="s">
        <v>76</v>
      </c>
      <c r="AB98" s="77" t="s">
        <v>195</v>
      </c>
    </row>
    <row r="99" spans="1:28" x14ac:dyDescent="0.15">
      <c r="A99" s="77" t="s">
        <v>44</v>
      </c>
      <c r="B99" s="77" t="s">
        <v>191</v>
      </c>
      <c r="C99" s="77">
        <v>2020</v>
      </c>
      <c r="D99" s="182" t="s">
        <v>413</v>
      </c>
      <c r="E99" s="77" t="s">
        <v>416</v>
      </c>
      <c r="F99" s="77" t="s">
        <v>417</v>
      </c>
      <c r="G99" s="77" t="s">
        <v>31</v>
      </c>
      <c r="H99" s="77" t="s">
        <v>166</v>
      </c>
      <c r="I99" s="77" t="s">
        <v>111</v>
      </c>
      <c r="J99" s="77" t="s">
        <v>27</v>
      </c>
      <c r="K99" s="77" t="s">
        <v>112</v>
      </c>
      <c r="L99" s="77">
        <v>2</v>
      </c>
      <c r="M99" s="184"/>
      <c r="N99" s="77">
        <v>4</v>
      </c>
      <c r="O99" s="77">
        <v>0.95</v>
      </c>
      <c r="P99" s="77">
        <v>0.85</v>
      </c>
      <c r="Q99" s="16">
        <f t="shared" si="3"/>
        <v>0.89999999999999991</v>
      </c>
      <c r="R99" s="77">
        <v>14.3</v>
      </c>
      <c r="S99" s="77">
        <v>103</v>
      </c>
      <c r="T99" s="16">
        <f t="shared" si="4"/>
        <v>33</v>
      </c>
      <c r="U99" s="77">
        <v>257</v>
      </c>
      <c r="V99" s="16">
        <f t="shared" si="5"/>
        <v>2120.25</v>
      </c>
      <c r="W99" s="77">
        <v>1</v>
      </c>
      <c r="X99" s="77" t="s">
        <v>28</v>
      </c>
      <c r="Y99" s="77" t="s">
        <v>43</v>
      </c>
      <c r="Z99" s="77" t="s">
        <v>82</v>
      </c>
      <c r="AA99" s="77" t="s">
        <v>76</v>
      </c>
      <c r="AB99" s="77" t="s">
        <v>195</v>
      </c>
    </row>
    <row r="100" spans="1:28" x14ac:dyDescent="0.15">
      <c r="A100" s="77" t="s">
        <v>44</v>
      </c>
      <c r="B100" s="77" t="s">
        <v>191</v>
      </c>
      <c r="C100" s="77">
        <v>2020</v>
      </c>
      <c r="D100" s="182" t="s">
        <v>413</v>
      </c>
      <c r="E100" s="77" t="s">
        <v>416</v>
      </c>
      <c r="F100" s="77" t="s">
        <v>417</v>
      </c>
      <c r="G100" s="77" t="s">
        <v>31</v>
      </c>
      <c r="H100" s="77" t="s">
        <v>166</v>
      </c>
      <c r="I100" s="77" t="s">
        <v>111</v>
      </c>
      <c r="J100" s="77" t="s">
        <v>27</v>
      </c>
      <c r="K100" s="77" t="s">
        <v>112</v>
      </c>
      <c r="L100" s="77">
        <v>3</v>
      </c>
      <c r="M100" s="184"/>
      <c r="N100" s="77">
        <v>4</v>
      </c>
      <c r="O100" s="77">
        <v>0.55000000000000004</v>
      </c>
      <c r="P100" s="77">
        <v>0.55000000000000004</v>
      </c>
      <c r="Q100" s="16">
        <f t="shared" si="3"/>
        <v>0.55000000000000004</v>
      </c>
      <c r="R100" s="77">
        <v>18.2</v>
      </c>
      <c r="S100" s="77">
        <v>103</v>
      </c>
      <c r="T100" s="16">
        <f t="shared" si="4"/>
        <v>33</v>
      </c>
      <c r="U100" s="77">
        <v>257</v>
      </c>
      <c r="V100" s="16">
        <f t="shared" si="5"/>
        <v>2120.25</v>
      </c>
      <c r="W100" s="77">
        <v>1</v>
      </c>
      <c r="X100" s="77" t="s">
        <v>28</v>
      </c>
      <c r="Y100" s="77" t="s">
        <v>43</v>
      </c>
      <c r="Z100" s="77" t="s">
        <v>82</v>
      </c>
      <c r="AA100" s="77" t="s">
        <v>76</v>
      </c>
      <c r="AB100" s="77" t="s">
        <v>195</v>
      </c>
    </row>
    <row r="101" spans="1:28" x14ac:dyDescent="0.15">
      <c r="A101" s="77" t="s">
        <v>44</v>
      </c>
      <c r="B101" s="77" t="s">
        <v>191</v>
      </c>
      <c r="C101" s="77">
        <v>2020</v>
      </c>
      <c r="D101" s="182" t="s">
        <v>413</v>
      </c>
      <c r="E101" s="77" t="s">
        <v>416</v>
      </c>
      <c r="F101" s="77" t="s">
        <v>417</v>
      </c>
      <c r="G101" s="77" t="s">
        <v>31</v>
      </c>
      <c r="H101" s="77" t="s">
        <v>198</v>
      </c>
      <c r="I101" s="77" t="s">
        <v>111</v>
      </c>
      <c r="J101" s="77" t="s">
        <v>66</v>
      </c>
      <c r="K101" s="77" t="s">
        <v>34</v>
      </c>
      <c r="L101" s="77">
        <v>1</v>
      </c>
      <c r="M101" s="184"/>
      <c r="N101" s="77">
        <v>8</v>
      </c>
      <c r="O101" s="77">
        <v>0.55000000000000004</v>
      </c>
      <c r="P101" s="77">
        <v>0.55000000000000004</v>
      </c>
      <c r="Q101" s="16">
        <f t="shared" si="3"/>
        <v>0.55000000000000004</v>
      </c>
      <c r="R101" s="77">
        <v>14.6</v>
      </c>
      <c r="S101" s="77">
        <v>81</v>
      </c>
      <c r="T101" s="16">
        <f t="shared" si="4"/>
        <v>39</v>
      </c>
      <c r="U101" s="77">
        <v>397</v>
      </c>
      <c r="V101" s="16">
        <f t="shared" si="5"/>
        <v>1935.375</v>
      </c>
      <c r="W101" s="77">
        <v>2</v>
      </c>
      <c r="X101" s="77" t="s">
        <v>28</v>
      </c>
      <c r="Y101" s="77" t="s">
        <v>43</v>
      </c>
      <c r="Z101" s="77" t="s">
        <v>82</v>
      </c>
      <c r="AA101" s="77" t="s">
        <v>76</v>
      </c>
      <c r="AB101" s="77" t="s">
        <v>195</v>
      </c>
    </row>
    <row r="102" spans="1:28" x14ac:dyDescent="0.15">
      <c r="A102" s="77" t="s">
        <v>44</v>
      </c>
      <c r="B102" s="77" t="s">
        <v>191</v>
      </c>
      <c r="C102" s="77">
        <v>2020</v>
      </c>
      <c r="D102" s="182" t="s">
        <v>413</v>
      </c>
      <c r="E102" s="77" t="s">
        <v>416</v>
      </c>
      <c r="F102" s="77" t="s">
        <v>417</v>
      </c>
      <c r="G102" s="77" t="s">
        <v>31</v>
      </c>
      <c r="H102" s="77" t="s">
        <v>198</v>
      </c>
      <c r="I102" s="77" t="s">
        <v>111</v>
      </c>
      <c r="J102" s="77" t="s">
        <v>66</v>
      </c>
      <c r="K102" s="77" t="s">
        <v>34</v>
      </c>
      <c r="L102" s="77">
        <v>2</v>
      </c>
      <c r="M102" s="184"/>
      <c r="N102" s="77">
        <v>8</v>
      </c>
      <c r="O102" s="77">
        <v>0.9</v>
      </c>
      <c r="P102" s="77">
        <v>1.05</v>
      </c>
      <c r="Q102" s="16">
        <f t="shared" si="3"/>
        <v>0.97500000000000009</v>
      </c>
      <c r="R102" s="77">
        <v>16.5</v>
      </c>
      <c r="S102" s="77">
        <v>76</v>
      </c>
      <c r="T102" s="16">
        <f t="shared" si="4"/>
        <v>39</v>
      </c>
      <c r="U102" s="77">
        <v>397</v>
      </c>
      <c r="V102" s="16">
        <f t="shared" si="5"/>
        <v>1935.375</v>
      </c>
      <c r="W102" s="77">
        <v>2</v>
      </c>
      <c r="X102" s="77" t="s">
        <v>28</v>
      </c>
      <c r="Y102" s="77" t="s">
        <v>43</v>
      </c>
      <c r="Z102" s="77" t="s">
        <v>82</v>
      </c>
      <c r="AA102" s="77" t="s">
        <v>76</v>
      </c>
      <c r="AB102" s="77" t="s">
        <v>195</v>
      </c>
    </row>
    <row r="103" spans="1:28" x14ac:dyDescent="0.15">
      <c r="A103" s="77" t="s">
        <v>44</v>
      </c>
      <c r="B103" s="77" t="s">
        <v>191</v>
      </c>
      <c r="C103" s="77">
        <v>2020</v>
      </c>
      <c r="D103" s="182" t="s">
        <v>413</v>
      </c>
      <c r="E103" s="77" t="s">
        <v>416</v>
      </c>
      <c r="F103" s="77" t="s">
        <v>417</v>
      </c>
      <c r="G103" s="77" t="s">
        <v>31</v>
      </c>
      <c r="H103" s="77" t="s">
        <v>198</v>
      </c>
      <c r="I103" s="77" t="s">
        <v>111</v>
      </c>
      <c r="J103" s="77" t="s">
        <v>66</v>
      </c>
      <c r="K103" s="77" t="s">
        <v>34</v>
      </c>
      <c r="L103" s="77">
        <v>3</v>
      </c>
      <c r="M103" s="184"/>
      <c r="N103" s="77">
        <v>8</v>
      </c>
      <c r="O103" s="77">
        <v>1</v>
      </c>
      <c r="P103" s="77">
        <v>1</v>
      </c>
      <c r="Q103" s="16">
        <f t="shared" si="3"/>
        <v>1</v>
      </c>
      <c r="R103" s="77">
        <v>16.899999999999999</v>
      </c>
      <c r="S103" s="77">
        <v>84</v>
      </c>
      <c r="T103" s="16">
        <f t="shared" si="4"/>
        <v>36</v>
      </c>
      <c r="U103" s="77">
        <v>397</v>
      </c>
      <c r="V103" s="16">
        <f t="shared" si="5"/>
        <v>1786.5</v>
      </c>
      <c r="W103" s="77">
        <v>2</v>
      </c>
      <c r="X103" s="77" t="s">
        <v>28</v>
      </c>
      <c r="Y103" s="77" t="s">
        <v>43</v>
      </c>
      <c r="Z103" s="77" t="s">
        <v>82</v>
      </c>
      <c r="AA103" s="77" t="s">
        <v>76</v>
      </c>
      <c r="AB103" s="77" t="s">
        <v>195</v>
      </c>
    </row>
    <row r="104" spans="1:28" x14ac:dyDescent="0.15">
      <c r="A104" s="77" t="s">
        <v>44</v>
      </c>
      <c r="B104" s="77" t="s">
        <v>191</v>
      </c>
      <c r="C104" s="77">
        <v>2020</v>
      </c>
      <c r="D104" s="182" t="s">
        <v>413</v>
      </c>
      <c r="E104" s="77" t="s">
        <v>418</v>
      </c>
      <c r="F104" s="77" t="s">
        <v>415</v>
      </c>
      <c r="G104" s="77" t="s">
        <v>25</v>
      </c>
      <c r="H104" s="77" t="s">
        <v>113</v>
      </c>
      <c r="I104" s="77" t="s">
        <v>111</v>
      </c>
      <c r="J104" s="77" t="s">
        <v>27</v>
      </c>
      <c r="K104" s="77" t="s">
        <v>112</v>
      </c>
      <c r="L104" s="77">
        <v>1</v>
      </c>
      <c r="M104" s="184"/>
      <c r="N104" s="77">
        <v>1</v>
      </c>
      <c r="O104" s="77">
        <v>0.65</v>
      </c>
      <c r="P104" s="77">
        <v>0.75</v>
      </c>
      <c r="Q104" s="16">
        <f t="shared" si="3"/>
        <v>0.7</v>
      </c>
      <c r="R104" s="77">
        <v>17.3</v>
      </c>
      <c r="S104" s="77">
        <v>128</v>
      </c>
      <c r="T104" s="16">
        <f t="shared" si="4"/>
        <v>27</v>
      </c>
      <c r="U104" s="77">
        <v>128</v>
      </c>
      <c r="V104" s="16">
        <f t="shared" si="5"/>
        <v>3456</v>
      </c>
      <c r="W104" s="77">
        <v>4</v>
      </c>
      <c r="X104" s="77" t="s">
        <v>35</v>
      </c>
      <c r="Y104" s="77" t="s">
        <v>74</v>
      </c>
      <c r="Z104" s="77" t="s">
        <v>43</v>
      </c>
      <c r="AA104" s="77" t="s">
        <v>72</v>
      </c>
      <c r="AB104" s="77" t="s">
        <v>195</v>
      </c>
    </row>
    <row r="105" spans="1:28" x14ac:dyDescent="0.15">
      <c r="A105" s="77" t="s">
        <v>44</v>
      </c>
      <c r="B105" s="77" t="s">
        <v>191</v>
      </c>
      <c r="C105" s="77">
        <v>2020</v>
      </c>
      <c r="D105" s="182" t="s">
        <v>413</v>
      </c>
      <c r="E105" s="77" t="s">
        <v>418</v>
      </c>
      <c r="F105" s="77" t="s">
        <v>415</v>
      </c>
      <c r="G105" s="77" t="s">
        <v>25</v>
      </c>
      <c r="H105" s="77" t="s">
        <v>113</v>
      </c>
      <c r="I105" s="77" t="s">
        <v>111</v>
      </c>
      <c r="J105" s="77" t="s">
        <v>27</v>
      </c>
      <c r="K105" s="77" t="s">
        <v>112</v>
      </c>
      <c r="L105" s="77">
        <v>2</v>
      </c>
      <c r="M105" s="184"/>
      <c r="N105" s="77">
        <v>1</v>
      </c>
      <c r="O105" s="77">
        <v>0.65</v>
      </c>
      <c r="P105" s="77">
        <v>0.65</v>
      </c>
      <c r="Q105" s="16">
        <f t="shared" si="3"/>
        <v>0.65</v>
      </c>
      <c r="R105" s="77">
        <v>16.5</v>
      </c>
      <c r="S105" s="77">
        <v>126</v>
      </c>
      <c r="T105" s="16">
        <f t="shared" si="4"/>
        <v>27</v>
      </c>
      <c r="U105" s="77">
        <v>128</v>
      </c>
      <c r="V105" s="16">
        <f t="shared" si="5"/>
        <v>3456</v>
      </c>
      <c r="W105" s="77">
        <v>4</v>
      </c>
      <c r="X105" s="77" t="s">
        <v>35</v>
      </c>
      <c r="Y105" s="77" t="s">
        <v>74</v>
      </c>
      <c r="Z105" s="77" t="s">
        <v>43</v>
      </c>
      <c r="AA105" s="77" t="s">
        <v>72</v>
      </c>
      <c r="AB105" s="77" t="s">
        <v>195</v>
      </c>
    </row>
    <row r="106" spans="1:28" x14ac:dyDescent="0.15">
      <c r="A106" s="77" t="s">
        <v>44</v>
      </c>
      <c r="B106" s="77" t="s">
        <v>191</v>
      </c>
      <c r="C106" s="77">
        <v>2020</v>
      </c>
      <c r="D106" s="182" t="s">
        <v>413</v>
      </c>
      <c r="E106" s="77" t="s">
        <v>418</v>
      </c>
      <c r="F106" s="77" t="s">
        <v>415</v>
      </c>
      <c r="G106" s="77" t="s">
        <v>25</v>
      </c>
      <c r="H106" s="77" t="s">
        <v>113</v>
      </c>
      <c r="I106" s="77" t="s">
        <v>111</v>
      </c>
      <c r="J106" s="77" t="s">
        <v>27</v>
      </c>
      <c r="K106" s="77" t="s">
        <v>112</v>
      </c>
      <c r="L106" s="77">
        <v>3</v>
      </c>
      <c r="M106" s="184"/>
      <c r="N106" s="77">
        <v>1</v>
      </c>
      <c r="O106" s="77">
        <v>0.65</v>
      </c>
      <c r="P106" s="77">
        <v>0.65</v>
      </c>
      <c r="Q106" s="16">
        <f t="shared" si="3"/>
        <v>0.65</v>
      </c>
      <c r="R106" s="77">
        <v>17</v>
      </c>
      <c r="S106" s="77">
        <v>131</v>
      </c>
      <c r="T106" s="16">
        <f t="shared" si="4"/>
        <v>25</v>
      </c>
      <c r="U106" s="77">
        <v>128</v>
      </c>
      <c r="V106" s="16">
        <f t="shared" si="5"/>
        <v>3200</v>
      </c>
      <c r="W106" s="77">
        <v>4</v>
      </c>
      <c r="X106" s="77" t="s">
        <v>35</v>
      </c>
      <c r="Y106" s="77" t="s">
        <v>74</v>
      </c>
      <c r="Z106" s="77" t="s">
        <v>43</v>
      </c>
      <c r="AA106" s="77" t="s">
        <v>72</v>
      </c>
      <c r="AB106" s="77" t="s">
        <v>195</v>
      </c>
    </row>
    <row r="107" spans="1:28" x14ac:dyDescent="0.15">
      <c r="A107" s="77" t="s">
        <v>44</v>
      </c>
      <c r="B107" s="77" t="s">
        <v>191</v>
      </c>
      <c r="C107" s="77">
        <v>2020</v>
      </c>
      <c r="D107" s="182" t="s">
        <v>413</v>
      </c>
      <c r="E107" s="77" t="s">
        <v>418</v>
      </c>
      <c r="F107" s="77" t="s">
        <v>415</v>
      </c>
      <c r="G107" s="77" t="s">
        <v>25</v>
      </c>
      <c r="H107" s="77" t="s">
        <v>166</v>
      </c>
      <c r="I107" s="77" t="s">
        <v>111</v>
      </c>
      <c r="J107" s="77" t="s">
        <v>27</v>
      </c>
      <c r="K107" s="77" t="s">
        <v>112</v>
      </c>
      <c r="L107" s="77">
        <v>1</v>
      </c>
      <c r="M107" s="184"/>
      <c r="N107" s="77">
        <v>1</v>
      </c>
      <c r="O107" s="77">
        <v>0.65</v>
      </c>
      <c r="P107" s="77">
        <v>0.6</v>
      </c>
      <c r="Q107" s="16">
        <f t="shared" si="3"/>
        <v>0.625</v>
      </c>
      <c r="R107" s="77">
        <v>17.3</v>
      </c>
      <c r="S107" s="77">
        <v>125</v>
      </c>
      <c r="T107" s="16">
        <f t="shared" si="4"/>
        <v>27</v>
      </c>
      <c r="U107" s="77">
        <v>128</v>
      </c>
      <c r="V107" s="16">
        <f t="shared" si="5"/>
        <v>3456</v>
      </c>
      <c r="W107" s="77">
        <v>4</v>
      </c>
      <c r="X107" s="77" t="s">
        <v>35</v>
      </c>
      <c r="Y107" s="77" t="s">
        <v>74</v>
      </c>
      <c r="Z107" s="77" t="s">
        <v>43</v>
      </c>
      <c r="AA107" s="77" t="s">
        <v>72</v>
      </c>
      <c r="AB107" s="77" t="s">
        <v>195</v>
      </c>
    </row>
    <row r="108" spans="1:28" x14ac:dyDescent="0.15">
      <c r="A108" s="77" t="s">
        <v>44</v>
      </c>
      <c r="B108" s="77" t="s">
        <v>191</v>
      </c>
      <c r="C108" s="77">
        <v>2020</v>
      </c>
      <c r="D108" s="182" t="s">
        <v>413</v>
      </c>
      <c r="E108" s="77" t="s">
        <v>418</v>
      </c>
      <c r="F108" s="77" t="s">
        <v>415</v>
      </c>
      <c r="G108" s="77" t="s">
        <v>25</v>
      </c>
      <c r="H108" s="77" t="s">
        <v>166</v>
      </c>
      <c r="I108" s="77" t="s">
        <v>111</v>
      </c>
      <c r="J108" s="77" t="s">
        <v>27</v>
      </c>
      <c r="K108" s="77" t="s">
        <v>112</v>
      </c>
      <c r="L108" s="77">
        <v>2</v>
      </c>
      <c r="M108" s="184"/>
      <c r="N108" s="77">
        <v>1</v>
      </c>
      <c r="O108" s="77">
        <v>0.7</v>
      </c>
      <c r="P108" s="77">
        <v>0.8</v>
      </c>
      <c r="Q108" s="16">
        <f t="shared" si="3"/>
        <v>0.75</v>
      </c>
      <c r="R108" s="77">
        <v>17.2</v>
      </c>
      <c r="S108" s="77">
        <v>130</v>
      </c>
      <c r="T108" s="16">
        <f t="shared" si="4"/>
        <v>25</v>
      </c>
      <c r="U108" s="77">
        <v>128</v>
      </c>
      <c r="V108" s="16">
        <f t="shared" si="5"/>
        <v>3200</v>
      </c>
      <c r="W108" s="77">
        <v>4</v>
      </c>
      <c r="X108" s="77" t="s">
        <v>35</v>
      </c>
      <c r="Y108" s="77" t="s">
        <v>74</v>
      </c>
      <c r="Z108" s="77" t="s">
        <v>43</v>
      </c>
      <c r="AA108" s="77" t="s">
        <v>72</v>
      </c>
      <c r="AB108" s="77" t="s">
        <v>195</v>
      </c>
    </row>
    <row r="109" spans="1:28" x14ac:dyDescent="0.15">
      <c r="A109" s="77" t="s">
        <v>44</v>
      </c>
      <c r="B109" s="77" t="s">
        <v>191</v>
      </c>
      <c r="C109" s="77">
        <v>2020</v>
      </c>
      <c r="D109" s="182" t="s">
        <v>413</v>
      </c>
      <c r="E109" s="77" t="s">
        <v>418</v>
      </c>
      <c r="F109" s="77" t="s">
        <v>415</v>
      </c>
      <c r="G109" s="77" t="s">
        <v>25</v>
      </c>
      <c r="H109" s="77" t="s">
        <v>166</v>
      </c>
      <c r="I109" s="77" t="s">
        <v>111</v>
      </c>
      <c r="J109" s="77" t="s">
        <v>27</v>
      </c>
      <c r="K109" s="77" t="s">
        <v>112</v>
      </c>
      <c r="L109" s="77">
        <v>3</v>
      </c>
      <c r="M109" s="184"/>
      <c r="N109" s="77">
        <v>1</v>
      </c>
      <c r="O109" s="77">
        <v>0.65</v>
      </c>
      <c r="P109" s="77">
        <v>0.75</v>
      </c>
      <c r="Q109" s="16">
        <f t="shared" si="3"/>
        <v>0.7</v>
      </c>
      <c r="R109" s="77">
        <v>16.3</v>
      </c>
      <c r="S109" s="77">
        <v>129</v>
      </c>
      <c r="T109" s="16">
        <f t="shared" si="4"/>
        <v>25</v>
      </c>
      <c r="U109" s="77">
        <v>128</v>
      </c>
      <c r="V109" s="16">
        <f t="shared" si="5"/>
        <v>3200</v>
      </c>
      <c r="W109" s="77">
        <v>4</v>
      </c>
      <c r="X109" s="77" t="s">
        <v>35</v>
      </c>
      <c r="Y109" s="77" t="s">
        <v>74</v>
      </c>
      <c r="Z109" s="77" t="s">
        <v>43</v>
      </c>
      <c r="AA109" s="77" t="s">
        <v>72</v>
      </c>
      <c r="AB109" s="77" t="s">
        <v>195</v>
      </c>
    </row>
    <row r="110" spans="1:28" x14ac:dyDescent="0.15">
      <c r="A110" s="77" t="s">
        <v>44</v>
      </c>
      <c r="B110" s="77" t="s">
        <v>191</v>
      </c>
      <c r="C110" s="77">
        <v>2020</v>
      </c>
      <c r="D110" s="182" t="s">
        <v>413</v>
      </c>
      <c r="E110" s="77" t="s">
        <v>418</v>
      </c>
      <c r="F110" s="77" t="s">
        <v>415</v>
      </c>
      <c r="G110" s="77" t="s">
        <v>25</v>
      </c>
      <c r="H110" s="77" t="s">
        <v>166</v>
      </c>
      <c r="I110" s="77" t="s">
        <v>111</v>
      </c>
      <c r="J110" s="77" t="s">
        <v>27</v>
      </c>
      <c r="K110" s="77" t="s">
        <v>112</v>
      </c>
      <c r="L110" s="77">
        <v>1</v>
      </c>
      <c r="M110" s="184"/>
      <c r="N110" s="77">
        <v>5</v>
      </c>
      <c r="O110" s="77">
        <v>0.6</v>
      </c>
      <c r="P110" s="77">
        <v>0.55000000000000004</v>
      </c>
      <c r="Q110" s="16">
        <f t="shared" si="3"/>
        <v>0.57499999999999996</v>
      </c>
      <c r="R110" s="77">
        <v>16.8</v>
      </c>
      <c r="S110" s="77">
        <v>99</v>
      </c>
      <c r="T110" s="16">
        <f t="shared" si="4"/>
        <v>33</v>
      </c>
      <c r="U110" s="77">
        <v>480</v>
      </c>
      <c r="V110" s="16">
        <f t="shared" si="5"/>
        <v>3168</v>
      </c>
      <c r="W110" s="77">
        <v>4</v>
      </c>
      <c r="X110" s="77" t="s">
        <v>35</v>
      </c>
      <c r="Y110" s="77" t="s">
        <v>74</v>
      </c>
      <c r="Z110" s="77" t="s">
        <v>43</v>
      </c>
      <c r="AA110" s="77" t="s">
        <v>72</v>
      </c>
      <c r="AB110" s="77" t="s">
        <v>195</v>
      </c>
    </row>
    <row r="111" spans="1:28" x14ac:dyDescent="0.15">
      <c r="A111" s="77" t="s">
        <v>44</v>
      </c>
      <c r="B111" s="77" t="s">
        <v>191</v>
      </c>
      <c r="C111" s="77">
        <v>2020</v>
      </c>
      <c r="D111" s="182" t="s">
        <v>413</v>
      </c>
      <c r="E111" s="77" t="s">
        <v>418</v>
      </c>
      <c r="F111" s="77" t="s">
        <v>415</v>
      </c>
      <c r="G111" s="77" t="s">
        <v>25</v>
      </c>
      <c r="H111" s="77" t="s">
        <v>166</v>
      </c>
      <c r="I111" s="77" t="s">
        <v>111</v>
      </c>
      <c r="J111" s="77" t="s">
        <v>27</v>
      </c>
      <c r="K111" s="77" t="s">
        <v>112</v>
      </c>
      <c r="L111" s="77">
        <v>2</v>
      </c>
      <c r="M111" s="184"/>
      <c r="N111" s="77">
        <v>5</v>
      </c>
      <c r="O111" s="77">
        <v>0.7</v>
      </c>
      <c r="P111" s="77">
        <v>0.7</v>
      </c>
      <c r="Q111" s="16">
        <f t="shared" si="3"/>
        <v>0.7</v>
      </c>
      <c r="R111" s="77">
        <v>14.9</v>
      </c>
      <c r="S111" s="77">
        <v>102</v>
      </c>
      <c r="T111" s="16">
        <f t="shared" si="4"/>
        <v>33</v>
      </c>
      <c r="U111" s="77">
        <v>480</v>
      </c>
      <c r="V111" s="16">
        <f t="shared" si="5"/>
        <v>3168</v>
      </c>
      <c r="W111" s="77">
        <v>4</v>
      </c>
      <c r="X111" s="77" t="s">
        <v>35</v>
      </c>
      <c r="Y111" s="77" t="s">
        <v>74</v>
      </c>
      <c r="Z111" s="77" t="s">
        <v>43</v>
      </c>
      <c r="AA111" s="77" t="s">
        <v>72</v>
      </c>
      <c r="AB111" s="77" t="s">
        <v>195</v>
      </c>
    </row>
    <row r="112" spans="1:28" x14ac:dyDescent="0.15">
      <c r="A112" s="77" t="s">
        <v>44</v>
      </c>
      <c r="B112" s="77" t="s">
        <v>191</v>
      </c>
      <c r="C112" s="77">
        <v>2020</v>
      </c>
      <c r="D112" s="182" t="s">
        <v>413</v>
      </c>
      <c r="E112" s="77" t="s">
        <v>418</v>
      </c>
      <c r="F112" s="77" t="s">
        <v>415</v>
      </c>
      <c r="G112" s="77" t="s">
        <v>25</v>
      </c>
      <c r="H112" s="77" t="s">
        <v>166</v>
      </c>
      <c r="I112" s="77" t="s">
        <v>111</v>
      </c>
      <c r="J112" s="77" t="s">
        <v>27</v>
      </c>
      <c r="K112" s="77" t="s">
        <v>112</v>
      </c>
      <c r="L112" s="77">
        <v>3</v>
      </c>
      <c r="M112" s="184"/>
      <c r="N112" s="77">
        <v>5</v>
      </c>
      <c r="O112" s="77">
        <v>0.65</v>
      </c>
      <c r="P112" s="77">
        <v>0.65</v>
      </c>
      <c r="Q112" s="16">
        <f t="shared" si="3"/>
        <v>0.65</v>
      </c>
      <c r="R112" s="77">
        <v>14.6</v>
      </c>
      <c r="S112" s="77">
        <v>101</v>
      </c>
      <c r="T112" s="16">
        <f t="shared" si="4"/>
        <v>33</v>
      </c>
      <c r="U112" s="77">
        <v>480</v>
      </c>
      <c r="V112" s="16">
        <f t="shared" si="5"/>
        <v>3168</v>
      </c>
      <c r="W112" s="77">
        <v>4</v>
      </c>
      <c r="X112" s="77" t="s">
        <v>35</v>
      </c>
      <c r="Y112" s="77" t="s">
        <v>74</v>
      </c>
      <c r="Z112" s="77" t="s">
        <v>43</v>
      </c>
      <c r="AA112" s="77" t="s">
        <v>72</v>
      </c>
      <c r="AB112" s="77" t="s">
        <v>195</v>
      </c>
    </row>
    <row r="113" spans="1:28" x14ac:dyDescent="0.15">
      <c r="A113" s="77" t="s">
        <v>44</v>
      </c>
      <c r="B113" s="77" t="s">
        <v>191</v>
      </c>
      <c r="C113" s="77">
        <v>2020</v>
      </c>
      <c r="D113" s="182" t="s">
        <v>413</v>
      </c>
      <c r="E113" s="77" t="s">
        <v>423</v>
      </c>
      <c r="F113" s="77" t="s">
        <v>415</v>
      </c>
      <c r="G113" s="77" t="s">
        <v>25</v>
      </c>
      <c r="H113" s="77" t="s">
        <v>113</v>
      </c>
      <c r="I113" s="77" t="s">
        <v>111</v>
      </c>
      <c r="J113" s="77" t="s">
        <v>27</v>
      </c>
      <c r="K113" s="77" t="s">
        <v>112</v>
      </c>
      <c r="L113" s="77">
        <v>1</v>
      </c>
      <c r="M113" s="184"/>
      <c r="N113" s="77">
        <v>1</v>
      </c>
      <c r="O113" s="77">
        <v>0.65</v>
      </c>
      <c r="P113" s="77">
        <v>0.7</v>
      </c>
      <c r="Q113" s="16">
        <f t="shared" si="3"/>
        <v>0.67500000000000004</v>
      </c>
      <c r="R113" s="77">
        <v>16.7</v>
      </c>
      <c r="S113" s="77">
        <v>134</v>
      </c>
      <c r="T113" s="16">
        <f t="shared" si="4"/>
        <v>25</v>
      </c>
      <c r="U113" s="77">
        <v>128</v>
      </c>
      <c r="V113" s="16">
        <f t="shared" si="5"/>
        <v>3200</v>
      </c>
      <c r="W113" s="77">
        <v>2</v>
      </c>
      <c r="X113" s="77" t="s">
        <v>35</v>
      </c>
      <c r="Y113" s="77" t="s">
        <v>74</v>
      </c>
      <c r="Z113" s="77" t="s">
        <v>43</v>
      </c>
      <c r="AA113" s="77" t="s">
        <v>64</v>
      </c>
      <c r="AB113" s="77" t="s">
        <v>195</v>
      </c>
    </row>
    <row r="114" spans="1:28" x14ac:dyDescent="0.15">
      <c r="A114" s="77" t="s">
        <v>44</v>
      </c>
      <c r="B114" s="77" t="s">
        <v>191</v>
      </c>
      <c r="C114" s="77">
        <v>2020</v>
      </c>
      <c r="D114" s="182" t="s">
        <v>413</v>
      </c>
      <c r="E114" s="77" t="s">
        <v>423</v>
      </c>
      <c r="F114" s="77" t="s">
        <v>415</v>
      </c>
      <c r="G114" s="77" t="s">
        <v>25</v>
      </c>
      <c r="H114" s="77" t="s">
        <v>113</v>
      </c>
      <c r="I114" s="77" t="s">
        <v>111</v>
      </c>
      <c r="J114" s="77" t="s">
        <v>27</v>
      </c>
      <c r="K114" s="77" t="s">
        <v>112</v>
      </c>
      <c r="L114" s="77">
        <v>2</v>
      </c>
      <c r="M114" s="184"/>
      <c r="N114" s="77">
        <v>1</v>
      </c>
      <c r="O114" s="77">
        <v>0.6</v>
      </c>
      <c r="P114" s="77">
        <v>0.6</v>
      </c>
      <c r="Q114" s="16">
        <f t="shared" si="3"/>
        <v>0.6</v>
      </c>
      <c r="R114" s="77">
        <v>14</v>
      </c>
      <c r="S114" s="77">
        <v>133</v>
      </c>
      <c r="T114" s="16">
        <f t="shared" si="4"/>
        <v>25</v>
      </c>
      <c r="U114" s="77">
        <v>128</v>
      </c>
      <c r="V114" s="16">
        <f t="shared" si="5"/>
        <v>3200</v>
      </c>
      <c r="W114" s="77">
        <v>2</v>
      </c>
      <c r="X114" s="77" t="s">
        <v>35</v>
      </c>
      <c r="Y114" s="77" t="s">
        <v>74</v>
      </c>
      <c r="Z114" s="77" t="s">
        <v>43</v>
      </c>
      <c r="AA114" s="77" t="s">
        <v>64</v>
      </c>
      <c r="AB114" s="77" t="s">
        <v>195</v>
      </c>
    </row>
    <row r="115" spans="1:28" x14ac:dyDescent="0.15">
      <c r="A115" s="77" t="s">
        <v>44</v>
      </c>
      <c r="B115" s="77" t="s">
        <v>191</v>
      </c>
      <c r="C115" s="77">
        <v>2020</v>
      </c>
      <c r="D115" s="182" t="s">
        <v>413</v>
      </c>
      <c r="E115" s="77" t="s">
        <v>423</v>
      </c>
      <c r="F115" s="77" t="s">
        <v>415</v>
      </c>
      <c r="G115" s="77" t="s">
        <v>25</v>
      </c>
      <c r="H115" s="77" t="s">
        <v>113</v>
      </c>
      <c r="I115" s="77" t="s">
        <v>111</v>
      </c>
      <c r="J115" s="77" t="s">
        <v>27</v>
      </c>
      <c r="K115" s="77" t="s">
        <v>112</v>
      </c>
      <c r="L115" s="77">
        <v>3</v>
      </c>
      <c r="M115" s="184"/>
      <c r="N115" s="77">
        <v>1</v>
      </c>
      <c r="O115" s="77">
        <v>0.6</v>
      </c>
      <c r="P115" s="77">
        <v>0.6</v>
      </c>
      <c r="Q115" s="16">
        <f t="shared" si="3"/>
        <v>0.6</v>
      </c>
      <c r="R115" s="77">
        <v>15.9</v>
      </c>
      <c r="S115" s="77">
        <v>128</v>
      </c>
      <c r="T115" s="16">
        <f t="shared" si="4"/>
        <v>27</v>
      </c>
      <c r="U115" s="77">
        <v>128</v>
      </c>
      <c r="V115" s="16">
        <f t="shared" si="5"/>
        <v>3456</v>
      </c>
      <c r="W115" s="77">
        <v>2</v>
      </c>
      <c r="X115" s="77" t="s">
        <v>35</v>
      </c>
      <c r="Y115" s="77" t="s">
        <v>74</v>
      </c>
      <c r="Z115" s="77" t="s">
        <v>43</v>
      </c>
      <c r="AA115" s="77" t="s">
        <v>64</v>
      </c>
      <c r="AB115" s="77" t="s">
        <v>195</v>
      </c>
    </row>
    <row r="116" spans="1:28" x14ac:dyDescent="0.15">
      <c r="A116" s="77" t="s">
        <v>44</v>
      </c>
      <c r="B116" s="77" t="s">
        <v>191</v>
      </c>
      <c r="C116" s="77">
        <v>2020</v>
      </c>
      <c r="D116" s="182" t="s">
        <v>413</v>
      </c>
      <c r="E116" s="77" t="s">
        <v>423</v>
      </c>
      <c r="F116" s="77" t="s">
        <v>415</v>
      </c>
      <c r="G116" s="77" t="s">
        <v>25</v>
      </c>
      <c r="H116" s="77" t="s">
        <v>113</v>
      </c>
      <c r="I116" s="77" t="s">
        <v>111</v>
      </c>
      <c r="J116" s="77" t="s">
        <v>27</v>
      </c>
      <c r="K116" s="77" t="s">
        <v>112</v>
      </c>
      <c r="L116" s="77">
        <v>1</v>
      </c>
      <c r="M116" s="184"/>
      <c r="N116" s="77">
        <v>5</v>
      </c>
      <c r="O116" s="77">
        <v>0.75</v>
      </c>
      <c r="P116" s="77">
        <v>0.6</v>
      </c>
      <c r="Q116" s="16">
        <f t="shared" si="3"/>
        <v>0.67500000000000004</v>
      </c>
      <c r="R116" s="77">
        <v>16.5</v>
      </c>
      <c r="S116" s="77">
        <v>84</v>
      </c>
      <c r="T116" s="16">
        <f t="shared" si="4"/>
        <v>36</v>
      </c>
      <c r="U116" s="77">
        <v>398</v>
      </c>
      <c r="V116" s="16">
        <f t="shared" si="5"/>
        <v>2865.6</v>
      </c>
      <c r="W116" s="77">
        <v>8</v>
      </c>
      <c r="X116" s="77" t="s">
        <v>35</v>
      </c>
      <c r="Y116" s="77" t="s">
        <v>74</v>
      </c>
      <c r="Z116" s="77" t="s">
        <v>43</v>
      </c>
      <c r="AA116" s="77" t="s">
        <v>64</v>
      </c>
      <c r="AB116" s="77" t="s">
        <v>195</v>
      </c>
    </row>
    <row r="117" spans="1:28" x14ac:dyDescent="0.15">
      <c r="A117" s="77" t="s">
        <v>44</v>
      </c>
      <c r="B117" s="77" t="s">
        <v>191</v>
      </c>
      <c r="C117" s="77">
        <v>2020</v>
      </c>
      <c r="D117" s="182" t="s">
        <v>413</v>
      </c>
      <c r="E117" s="77" t="s">
        <v>423</v>
      </c>
      <c r="F117" s="77" t="s">
        <v>415</v>
      </c>
      <c r="G117" s="77" t="s">
        <v>25</v>
      </c>
      <c r="H117" s="77" t="s">
        <v>113</v>
      </c>
      <c r="I117" s="77" t="s">
        <v>111</v>
      </c>
      <c r="J117" s="77" t="s">
        <v>27</v>
      </c>
      <c r="K117" s="77" t="s">
        <v>112</v>
      </c>
      <c r="L117" s="77">
        <v>2</v>
      </c>
      <c r="M117" s="184"/>
      <c r="N117" s="77">
        <v>5</v>
      </c>
      <c r="O117" s="77">
        <v>0.75</v>
      </c>
      <c r="P117" s="77">
        <v>0.75</v>
      </c>
      <c r="Q117" s="16">
        <f t="shared" si="3"/>
        <v>0.75</v>
      </c>
      <c r="R117" s="77">
        <v>16.7</v>
      </c>
      <c r="S117" s="77">
        <v>97</v>
      </c>
      <c r="T117" s="16">
        <f t="shared" si="4"/>
        <v>36</v>
      </c>
      <c r="U117" s="77">
        <v>398</v>
      </c>
      <c r="V117" s="16">
        <f t="shared" si="5"/>
        <v>2865.6</v>
      </c>
      <c r="W117" s="77">
        <v>8</v>
      </c>
      <c r="X117" s="77" t="s">
        <v>35</v>
      </c>
      <c r="Y117" s="77" t="s">
        <v>74</v>
      </c>
      <c r="Z117" s="77" t="s">
        <v>43</v>
      </c>
      <c r="AA117" s="77" t="s">
        <v>64</v>
      </c>
      <c r="AB117" s="77" t="s">
        <v>195</v>
      </c>
    </row>
    <row r="118" spans="1:28" x14ac:dyDescent="0.15">
      <c r="A118" s="77" t="s">
        <v>44</v>
      </c>
      <c r="B118" s="77" t="s">
        <v>191</v>
      </c>
      <c r="C118" s="77">
        <v>2020</v>
      </c>
      <c r="D118" s="182" t="s">
        <v>413</v>
      </c>
      <c r="E118" s="77" t="s">
        <v>423</v>
      </c>
      <c r="F118" s="77" t="s">
        <v>415</v>
      </c>
      <c r="G118" s="77" t="s">
        <v>25</v>
      </c>
      <c r="H118" s="77" t="s">
        <v>113</v>
      </c>
      <c r="I118" s="77" t="s">
        <v>111</v>
      </c>
      <c r="J118" s="77" t="s">
        <v>27</v>
      </c>
      <c r="K118" s="77" t="s">
        <v>112</v>
      </c>
      <c r="L118" s="77">
        <v>3</v>
      </c>
      <c r="M118" s="184"/>
      <c r="N118" s="77">
        <v>5</v>
      </c>
      <c r="O118" s="77">
        <v>0.75</v>
      </c>
      <c r="P118" s="77">
        <v>0.55000000000000004</v>
      </c>
      <c r="Q118" s="16">
        <f t="shared" si="3"/>
        <v>0.65</v>
      </c>
      <c r="R118" s="77">
        <v>16.7</v>
      </c>
      <c r="S118" s="77">
        <v>90</v>
      </c>
      <c r="T118" s="16">
        <f t="shared" si="4"/>
        <v>36</v>
      </c>
      <c r="U118" s="77">
        <v>398</v>
      </c>
      <c r="V118" s="16">
        <f t="shared" si="5"/>
        <v>2865.6</v>
      </c>
      <c r="W118" s="77">
        <v>8</v>
      </c>
      <c r="X118" s="77" t="s">
        <v>35</v>
      </c>
      <c r="Y118" s="77" t="s">
        <v>74</v>
      </c>
      <c r="Z118" s="77" t="s">
        <v>43</v>
      </c>
      <c r="AA118" s="77" t="s">
        <v>64</v>
      </c>
      <c r="AB118" s="77" t="s">
        <v>195</v>
      </c>
    </row>
    <row r="119" spans="1:28" x14ac:dyDescent="0.15">
      <c r="A119" s="77" t="s">
        <v>44</v>
      </c>
      <c r="B119" s="77" t="s">
        <v>191</v>
      </c>
      <c r="C119" s="77">
        <v>2020</v>
      </c>
      <c r="D119" s="182" t="s">
        <v>413</v>
      </c>
      <c r="E119" s="77" t="s">
        <v>423</v>
      </c>
      <c r="F119" s="77" t="s">
        <v>415</v>
      </c>
      <c r="G119" s="77" t="s">
        <v>25</v>
      </c>
      <c r="H119" s="77" t="s">
        <v>113</v>
      </c>
      <c r="I119" s="77" t="s">
        <v>111</v>
      </c>
      <c r="J119" s="77" t="s">
        <v>27</v>
      </c>
      <c r="K119" s="77" t="s">
        <v>112</v>
      </c>
      <c r="L119" s="77">
        <v>1</v>
      </c>
      <c r="M119" s="184"/>
      <c r="N119" s="77">
        <v>10</v>
      </c>
      <c r="O119" s="77">
        <v>0.75</v>
      </c>
      <c r="P119" s="77">
        <v>0.7</v>
      </c>
      <c r="Q119" s="16">
        <f t="shared" si="3"/>
        <v>0.72499999999999998</v>
      </c>
      <c r="R119" s="77">
        <v>13.2</v>
      </c>
      <c r="S119" s="77">
        <v>105</v>
      </c>
      <c r="T119" s="16">
        <f t="shared" si="4"/>
        <v>33</v>
      </c>
      <c r="U119" s="77">
        <v>598</v>
      </c>
      <c r="V119" s="16">
        <f t="shared" si="5"/>
        <v>1973.3999999999999</v>
      </c>
      <c r="W119" s="77">
        <v>17</v>
      </c>
      <c r="X119" s="77" t="s">
        <v>35</v>
      </c>
      <c r="Y119" s="77" t="s">
        <v>74</v>
      </c>
      <c r="Z119" s="77" t="s">
        <v>43</v>
      </c>
      <c r="AA119" s="77" t="s">
        <v>64</v>
      </c>
      <c r="AB119" s="77" t="s">
        <v>195</v>
      </c>
    </row>
    <row r="120" spans="1:28" x14ac:dyDescent="0.15">
      <c r="A120" s="77" t="s">
        <v>44</v>
      </c>
      <c r="B120" s="77" t="s">
        <v>191</v>
      </c>
      <c r="C120" s="77">
        <v>2020</v>
      </c>
      <c r="D120" s="182" t="s">
        <v>413</v>
      </c>
      <c r="E120" s="77" t="s">
        <v>423</v>
      </c>
      <c r="F120" s="77" t="s">
        <v>415</v>
      </c>
      <c r="G120" s="77" t="s">
        <v>25</v>
      </c>
      <c r="H120" s="77" t="s">
        <v>113</v>
      </c>
      <c r="I120" s="77" t="s">
        <v>111</v>
      </c>
      <c r="J120" s="77" t="s">
        <v>27</v>
      </c>
      <c r="K120" s="77" t="s">
        <v>112</v>
      </c>
      <c r="L120" s="77">
        <v>2</v>
      </c>
      <c r="M120" s="184"/>
      <c r="N120" s="77">
        <v>10</v>
      </c>
      <c r="O120" s="77">
        <v>1.05</v>
      </c>
      <c r="P120" s="77">
        <v>0.9</v>
      </c>
      <c r="Q120" s="16">
        <f t="shared" si="3"/>
        <v>0.97500000000000009</v>
      </c>
      <c r="R120" s="77">
        <v>13.5</v>
      </c>
      <c r="S120" s="77">
        <v>101</v>
      </c>
      <c r="T120" s="16">
        <f t="shared" si="4"/>
        <v>33</v>
      </c>
      <c r="U120" s="77">
        <v>598</v>
      </c>
      <c r="V120" s="16">
        <f t="shared" si="5"/>
        <v>1973.3999999999999</v>
      </c>
      <c r="W120" s="77">
        <v>17</v>
      </c>
      <c r="X120" s="77" t="s">
        <v>35</v>
      </c>
      <c r="Y120" s="77" t="s">
        <v>74</v>
      </c>
      <c r="Z120" s="77" t="s">
        <v>43</v>
      </c>
      <c r="AA120" s="77" t="s">
        <v>64</v>
      </c>
      <c r="AB120" s="77" t="s">
        <v>195</v>
      </c>
    </row>
    <row r="121" spans="1:28" x14ac:dyDescent="0.15">
      <c r="A121" s="77" t="s">
        <v>44</v>
      </c>
      <c r="B121" s="77" t="s">
        <v>191</v>
      </c>
      <c r="C121" s="77">
        <v>2020</v>
      </c>
      <c r="D121" s="182" t="s">
        <v>413</v>
      </c>
      <c r="E121" s="77" t="s">
        <v>423</v>
      </c>
      <c r="F121" s="77" t="s">
        <v>415</v>
      </c>
      <c r="G121" s="77" t="s">
        <v>25</v>
      </c>
      <c r="H121" s="77" t="s">
        <v>113</v>
      </c>
      <c r="I121" s="77" t="s">
        <v>111</v>
      </c>
      <c r="J121" s="77" t="s">
        <v>27</v>
      </c>
      <c r="K121" s="77" t="s">
        <v>112</v>
      </c>
      <c r="L121" s="77">
        <v>3</v>
      </c>
      <c r="M121" s="184"/>
      <c r="N121" s="77">
        <v>10</v>
      </c>
      <c r="O121" s="77">
        <v>0.85</v>
      </c>
      <c r="P121" s="77">
        <v>0.9</v>
      </c>
      <c r="Q121" s="16">
        <f t="shared" si="3"/>
        <v>0.875</v>
      </c>
      <c r="R121" s="77">
        <v>14.4</v>
      </c>
      <c r="S121" s="77">
        <v>98</v>
      </c>
      <c r="T121" s="16">
        <f t="shared" si="4"/>
        <v>36</v>
      </c>
      <c r="U121" s="77">
        <v>598</v>
      </c>
      <c r="V121" s="16">
        <f t="shared" si="5"/>
        <v>2152.7999999999997</v>
      </c>
      <c r="W121" s="77">
        <v>17</v>
      </c>
      <c r="X121" s="77" t="s">
        <v>35</v>
      </c>
      <c r="Y121" s="77" t="s">
        <v>74</v>
      </c>
      <c r="Z121" s="77" t="s">
        <v>43</v>
      </c>
      <c r="AA121" s="77" t="s">
        <v>64</v>
      </c>
      <c r="AB121" s="77" t="s">
        <v>195</v>
      </c>
    </row>
    <row r="122" spans="1:28" x14ac:dyDescent="0.15">
      <c r="A122" s="77" t="s">
        <v>44</v>
      </c>
      <c r="B122" s="77" t="s">
        <v>191</v>
      </c>
      <c r="C122" s="77">
        <v>2020</v>
      </c>
      <c r="D122" s="182" t="s">
        <v>413</v>
      </c>
      <c r="E122" s="77" t="s">
        <v>423</v>
      </c>
      <c r="F122" s="77" t="s">
        <v>415</v>
      </c>
      <c r="G122" s="77" t="s">
        <v>25</v>
      </c>
      <c r="H122" s="77" t="s">
        <v>166</v>
      </c>
      <c r="I122" s="77" t="s">
        <v>111</v>
      </c>
      <c r="J122" s="77" t="s">
        <v>27</v>
      </c>
      <c r="K122" s="77" t="s">
        <v>112</v>
      </c>
      <c r="L122" s="77">
        <v>1</v>
      </c>
      <c r="M122" s="184"/>
      <c r="N122" s="77">
        <v>1</v>
      </c>
      <c r="O122" s="77">
        <v>0.75</v>
      </c>
      <c r="P122" s="77">
        <v>0.6</v>
      </c>
      <c r="Q122" s="16">
        <f t="shared" si="3"/>
        <v>0.67500000000000004</v>
      </c>
      <c r="R122" s="77">
        <v>18.2</v>
      </c>
      <c r="S122" s="77">
        <v>151</v>
      </c>
      <c r="T122" s="16">
        <f t="shared" si="4"/>
        <v>22</v>
      </c>
      <c r="U122" s="77">
        <v>138</v>
      </c>
      <c r="V122" s="16">
        <f t="shared" si="5"/>
        <v>3036</v>
      </c>
      <c r="W122" s="77">
        <v>8</v>
      </c>
      <c r="X122" s="77" t="s">
        <v>35</v>
      </c>
      <c r="Y122" s="77" t="s">
        <v>74</v>
      </c>
      <c r="Z122" s="77" t="s">
        <v>43</v>
      </c>
      <c r="AA122" s="77" t="s">
        <v>64</v>
      </c>
      <c r="AB122" s="77" t="s">
        <v>195</v>
      </c>
    </row>
    <row r="123" spans="1:28" x14ac:dyDescent="0.15">
      <c r="A123" s="77" t="s">
        <v>44</v>
      </c>
      <c r="B123" s="77" t="s">
        <v>191</v>
      </c>
      <c r="C123" s="77">
        <v>2020</v>
      </c>
      <c r="D123" s="182" t="s">
        <v>413</v>
      </c>
      <c r="E123" s="77" t="s">
        <v>423</v>
      </c>
      <c r="F123" s="77" t="s">
        <v>415</v>
      </c>
      <c r="G123" s="77" t="s">
        <v>25</v>
      </c>
      <c r="H123" s="77" t="s">
        <v>166</v>
      </c>
      <c r="I123" s="77" t="s">
        <v>111</v>
      </c>
      <c r="J123" s="77" t="s">
        <v>27</v>
      </c>
      <c r="K123" s="77" t="s">
        <v>112</v>
      </c>
      <c r="L123" s="77">
        <v>2</v>
      </c>
      <c r="M123" s="184"/>
      <c r="N123" s="77">
        <v>1</v>
      </c>
      <c r="O123" s="77">
        <v>0.55000000000000004</v>
      </c>
      <c r="P123" s="77">
        <v>0.55000000000000004</v>
      </c>
      <c r="Q123" s="16">
        <f t="shared" si="3"/>
        <v>0.55000000000000004</v>
      </c>
      <c r="R123" s="77">
        <v>16.5</v>
      </c>
      <c r="S123" s="77">
        <v>143</v>
      </c>
      <c r="T123" s="16">
        <f t="shared" si="4"/>
        <v>22</v>
      </c>
      <c r="U123" s="77">
        <v>138</v>
      </c>
      <c r="V123" s="16">
        <f t="shared" si="5"/>
        <v>3036</v>
      </c>
      <c r="W123" s="77">
        <v>8</v>
      </c>
      <c r="X123" s="77" t="s">
        <v>35</v>
      </c>
      <c r="Y123" s="77" t="s">
        <v>74</v>
      </c>
      <c r="Z123" s="77" t="s">
        <v>43</v>
      </c>
      <c r="AA123" s="77" t="s">
        <v>64</v>
      </c>
      <c r="AB123" s="77" t="s">
        <v>195</v>
      </c>
    </row>
    <row r="124" spans="1:28" x14ac:dyDescent="0.15">
      <c r="A124" s="77" t="s">
        <v>44</v>
      </c>
      <c r="B124" s="77" t="s">
        <v>191</v>
      </c>
      <c r="C124" s="77">
        <v>2020</v>
      </c>
      <c r="D124" s="182" t="s">
        <v>413</v>
      </c>
      <c r="E124" s="77" t="s">
        <v>423</v>
      </c>
      <c r="F124" s="77" t="s">
        <v>415</v>
      </c>
      <c r="G124" s="77" t="s">
        <v>25</v>
      </c>
      <c r="H124" s="77" t="s">
        <v>166</v>
      </c>
      <c r="I124" s="77" t="s">
        <v>111</v>
      </c>
      <c r="J124" s="77" t="s">
        <v>27</v>
      </c>
      <c r="K124" s="77" t="s">
        <v>112</v>
      </c>
      <c r="L124" s="77">
        <v>3</v>
      </c>
      <c r="M124" s="184"/>
      <c r="N124" s="77">
        <v>1</v>
      </c>
      <c r="O124" s="77">
        <v>0.6</v>
      </c>
      <c r="P124" s="77">
        <v>0.6</v>
      </c>
      <c r="Q124" s="16">
        <f t="shared" si="3"/>
        <v>0.6</v>
      </c>
      <c r="R124" s="77">
        <v>17.600000000000001</v>
      </c>
      <c r="S124" s="77">
        <v>143</v>
      </c>
      <c r="T124" s="16">
        <f t="shared" si="4"/>
        <v>22</v>
      </c>
      <c r="U124" s="77">
        <v>138</v>
      </c>
      <c r="V124" s="16">
        <f t="shared" si="5"/>
        <v>3036</v>
      </c>
      <c r="W124" s="77">
        <v>8</v>
      </c>
      <c r="X124" s="77" t="s">
        <v>35</v>
      </c>
      <c r="Y124" s="77" t="s">
        <v>74</v>
      </c>
      <c r="Z124" s="77" t="s">
        <v>43</v>
      </c>
      <c r="AA124" s="77" t="s">
        <v>64</v>
      </c>
      <c r="AB124" s="77" t="s">
        <v>195</v>
      </c>
    </row>
    <row r="125" spans="1:28" x14ac:dyDescent="0.15">
      <c r="A125" s="77" t="s">
        <v>44</v>
      </c>
      <c r="B125" s="77" t="s">
        <v>191</v>
      </c>
      <c r="C125" s="77">
        <v>2020</v>
      </c>
      <c r="D125" s="182" t="s">
        <v>413</v>
      </c>
      <c r="E125" s="77" t="s">
        <v>423</v>
      </c>
      <c r="F125" s="77" t="s">
        <v>415</v>
      </c>
      <c r="G125" s="77" t="s">
        <v>25</v>
      </c>
      <c r="H125" s="77" t="s">
        <v>166</v>
      </c>
      <c r="I125" s="77" t="s">
        <v>111</v>
      </c>
      <c r="J125" s="77" t="s">
        <v>27</v>
      </c>
      <c r="K125" s="77" t="s">
        <v>112</v>
      </c>
      <c r="L125" s="77">
        <v>1</v>
      </c>
      <c r="M125" s="184"/>
      <c r="N125" s="77">
        <v>5</v>
      </c>
      <c r="O125" s="77">
        <v>0.6</v>
      </c>
      <c r="P125" s="77">
        <v>0.55000000000000004</v>
      </c>
      <c r="Q125" s="16">
        <f t="shared" si="3"/>
        <v>0.57499999999999996</v>
      </c>
      <c r="R125" s="77">
        <v>17.3</v>
      </c>
      <c r="S125" s="77">
        <v>96</v>
      </c>
      <c r="T125" s="16">
        <f t="shared" si="4"/>
        <v>36</v>
      </c>
      <c r="U125" s="77">
        <v>598</v>
      </c>
      <c r="V125" s="16">
        <f t="shared" si="5"/>
        <v>4305.5999999999995</v>
      </c>
      <c r="W125" s="77">
        <v>8</v>
      </c>
      <c r="X125" s="77" t="s">
        <v>35</v>
      </c>
      <c r="Y125" s="77" t="s">
        <v>74</v>
      </c>
      <c r="Z125" s="77" t="s">
        <v>43</v>
      </c>
      <c r="AA125" s="77" t="s">
        <v>64</v>
      </c>
      <c r="AB125" s="77" t="s">
        <v>195</v>
      </c>
    </row>
    <row r="126" spans="1:28" x14ac:dyDescent="0.15">
      <c r="A126" s="77" t="s">
        <v>44</v>
      </c>
      <c r="B126" s="77" t="s">
        <v>191</v>
      </c>
      <c r="C126" s="77">
        <v>2020</v>
      </c>
      <c r="D126" s="182" t="s">
        <v>413</v>
      </c>
      <c r="E126" s="77" t="s">
        <v>423</v>
      </c>
      <c r="F126" s="77" t="s">
        <v>415</v>
      </c>
      <c r="G126" s="77" t="s">
        <v>25</v>
      </c>
      <c r="H126" s="77" t="s">
        <v>166</v>
      </c>
      <c r="I126" s="77" t="s">
        <v>111</v>
      </c>
      <c r="J126" s="77" t="s">
        <v>27</v>
      </c>
      <c r="K126" s="77" t="s">
        <v>112</v>
      </c>
      <c r="L126" s="77">
        <v>2</v>
      </c>
      <c r="M126" s="184"/>
      <c r="N126" s="77">
        <v>5</v>
      </c>
      <c r="O126" s="77">
        <v>0.6</v>
      </c>
      <c r="P126" s="77">
        <v>0.6</v>
      </c>
      <c r="Q126" s="16">
        <f t="shared" si="3"/>
        <v>0.6</v>
      </c>
      <c r="R126" s="77">
        <v>15.4</v>
      </c>
      <c r="S126" s="77">
        <v>102</v>
      </c>
      <c r="T126" s="16">
        <f t="shared" si="4"/>
        <v>33</v>
      </c>
      <c r="U126" s="77">
        <v>598</v>
      </c>
      <c r="V126" s="16">
        <f t="shared" si="5"/>
        <v>3946.7999999999997</v>
      </c>
      <c r="W126" s="77">
        <v>8</v>
      </c>
      <c r="X126" s="77" t="s">
        <v>35</v>
      </c>
      <c r="Y126" s="77" t="s">
        <v>74</v>
      </c>
      <c r="Z126" s="77" t="s">
        <v>43</v>
      </c>
      <c r="AA126" s="77" t="s">
        <v>64</v>
      </c>
      <c r="AB126" s="77" t="s">
        <v>195</v>
      </c>
    </row>
    <row r="127" spans="1:28" x14ac:dyDescent="0.15">
      <c r="A127" s="77" t="s">
        <v>44</v>
      </c>
      <c r="B127" s="77" t="s">
        <v>191</v>
      </c>
      <c r="C127" s="77">
        <v>2020</v>
      </c>
      <c r="D127" s="182" t="s">
        <v>413</v>
      </c>
      <c r="E127" s="77" t="s">
        <v>423</v>
      </c>
      <c r="F127" s="77" t="s">
        <v>415</v>
      </c>
      <c r="G127" s="77" t="s">
        <v>25</v>
      </c>
      <c r="H127" s="77" t="s">
        <v>166</v>
      </c>
      <c r="I127" s="77" t="s">
        <v>111</v>
      </c>
      <c r="J127" s="77" t="s">
        <v>27</v>
      </c>
      <c r="K127" s="77" t="s">
        <v>112</v>
      </c>
      <c r="L127" s="77">
        <v>3</v>
      </c>
      <c r="M127" s="184"/>
      <c r="N127" s="77">
        <v>5</v>
      </c>
      <c r="O127" s="77">
        <v>0.55000000000000004</v>
      </c>
      <c r="P127" s="77">
        <v>0.55000000000000004</v>
      </c>
      <c r="Q127" s="16">
        <f t="shared" si="3"/>
        <v>0.55000000000000004</v>
      </c>
      <c r="R127" s="77">
        <v>16</v>
      </c>
      <c r="S127" s="77">
        <v>113</v>
      </c>
      <c r="T127" s="16">
        <f t="shared" si="4"/>
        <v>30</v>
      </c>
      <c r="U127" s="77">
        <v>598</v>
      </c>
      <c r="V127" s="16">
        <f t="shared" si="5"/>
        <v>3588</v>
      </c>
      <c r="W127" s="77">
        <v>8</v>
      </c>
      <c r="X127" s="77" t="s">
        <v>35</v>
      </c>
      <c r="Y127" s="77" t="s">
        <v>74</v>
      </c>
      <c r="Z127" s="77" t="s">
        <v>43</v>
      </c>
      <c r="AA127" s="77" t="s">
        <v>64</v>
      </c>
      <c r="AB127" s="77" t="s">
        <v>195</v>
      </c>
    </row>
    <row r="128" spans="1:28" x14ac:dyDescent="0.15">
      <c r="D128" s="182"/>
      <c r="M128" s="184"/>
    </row>
    <row r="129" spans="4:13" x14ac:dyDescent="0.15">
      <c r="D129" s="182"/>
      <c r="M129" s="184"/>
    </row>
    <row r="130" spans="4:13" x14ac:dyDescent="0.15">
      <c r="D130" s="182"/>
      <c r="M130" s="184"/>
    </row>
    <row r="131" spans="4:13" x14ac:dyDescent="0.15">
      <c r="D131" s="182"/>
      <c r="M131" s="184"/>
    </row>
    <row r="132" spans="4:13" x14ac:dyDescent="0.15">
      <c r="D132" s="182"/>
      <c r="M132" s="184"/>
    </row>
    <row r="133" spans="4:13" x14ac:dyDescent="0.15">
      <c r="D133" s="182"/>
      <c r="M133" s="184"/>
    </row>
    <row r="134" spans="4:13" x14ac:dyDescent="0.15">
      <c r="D134" s="182"/>
      <c r="M134" s="184"/>
    </row>
    <row r="135" spans="4:13" x14ac:dyDescent="0.15">
      <c r="D135" s="182"/>
      <c r="M135" s="184"/>
    </row>
    <row r="136" spans="4:13" x14ac:dyDescent="0.15">
      <c r="D136" s="182"/>
      <c r="M136" s="184"/>
    </row>
    <row r="137" spans="4:13" x14ac:dyDescent="0.15">
      <c r="D137" s="182"/>
      <c r="M137" s="184"/>
    </row>
    <row r="138" spans="4:13" x14ac:dyDescent="0.15">
      <c r="D138" s="182"/>
      <c r="M138" s="184"/>
    </row>
    <row r="139" spans="4:13" x14ac:dyDescent="0.15">
      <c r="D139" s="182"/>
      <c r="M139" s="184"/>
    </row>
    <row r="140" spans="4:13" x14ac:dyDescent="0.15">
      <c r="D140" s="182"/>
      <c r="M140" s="184"/>
    </row>
    <row r="141" spans="4:13" x14ac:dyDescent="0.15">
      <c r="D141" s="182"/>
      <c r="M141" s="184"/>
    </row>
    <row r="142" spans="4:13" x14ac:dyDescent="0.15">
      <c r="D142" s="182"/>
      <c r="M142" s="184"/>
    </row>
    <row r="143" spans="4:13" x14ac:dyDescent="0.15">
      <c r="M143" s="184"/>
    </row>
    <row r="144" spans="4:13" x14ac:dyDescent="0.15">
      <c r="M144" s="184"/>
    </row>
    <row r="145" spans="13:13" x14ac:dyDescent="0.15">
      <c r="M145" s="184"/>
    </row>
    <row r="146" spans="13:13" x14ac:dyDescent="0.15">
      <c r="M146" s="184"/>
    </row>
    <row r="147" spans="13:13" x14ac:dyDescent="0.15">
      <c r="M147" s="184"/>
    </row>
    <row r="148" spans="13:13" x14ac:dyDescent="0.15">
      <c r="M148" s="184"/>
    </row>
    <row r="149" spans="13:13" x14ac:dyDescent="0.15">
      <c r="M149" s="184"/>
    </row>
    <row r="150" spans="13:13" x14ac:dyDescent="0.15">
      <c r="M150" s="184"/>
    </row>
    <row r="151" spans="13:13" x14ac:dyDescent="0.15">
      <c r="M151" s="184"/>
    </row>
    <row r="152" spans="13:13" x14ac:dyDescent="0.15">
      <c r="M152" s="184"/>
    </row>
    <row r="153" spans="13:13" x14ac:dyDescent="0.15">
      <c r="M153" s="184"/>
    </row>
    <row r="154" spans="13:13" x14ac:dyDescent="0.15">
      <c r="M154" s="184"/>
    </row>
  </sheetData>
  <autoFilter ref="A1:BA145" xr:uid="{00000000-0009-0000-0000-000002000000}"/>
  <phoneticPr fontId="3"/>
  <dataValidations count="19">
    <dataValidation type="decimal" allowBlank="1" showInputMessage="1" showErrorMessage="1" error="硬度を正しく入力して下さい。" sqref="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WVW983042:WVX983540 O2:P500" xr:uid="{113D4E4E-4174-4A6A-9901-4A4931A32B71}">
      <formula1>0</formula1>
      <formula2>7</formula2>
    </dataValidation>
    <dataValidation type="list" allowBlank="1" showInputMessage="1" showErrorMessage="1" sqref="K65538:K65636 K131074:K131172 K196610:K196708 K262146:K262244 K327682:K327780 K393218:K393316 K458754:K458852 K524290:K524388 K589826:K589924 K655362:K655460 K720898:K720996 K786434:K786532 K851970:K852068 K917506:K917604 K983042:K983140 JG2:JG100 JG65538:JG65636 JG131074:JG131172 JG196610:JG196708 JG262146:JG262244 JG327682:JG327780 JG393218:JG393316 JG458754:JG458852 JG524290:JG524388 JG589826:JG589924 JG655362:JG655460 JG720898:JG720996 JG786434:JG786532 JG851970:JG852068 JG917506:JG917604 JG983042:JG983140 TC2:TC100 TC65538:TC65636 TC131074:TC131172 TC196610:TC196708 TC262146:TC262244 TC327682:TC327780 TC393218:TC393316 TC458754:TC458852 TC524290:TC524388 TC589826:TC589924 TC655362:TC655460 TC720898:TC720996 TC786434:TC786532 TC851970:TC852068 TC917506:TC917604 TC983042:TC983140 ACY2:ACY100 ACY65538:ACY65636 ACY131074:ACY131172 ACY196610:ACY196708 ACY262146:ACY262244 ACY327682:ACY327780 ACY393218:ACY393316 ACY458754:ACY458852 ACY524290:ACY524388 ACY589826:ACY589924 ACY655362:ACY655460 ACY720898:ACY720996 ACY786434:ACY786532 ACY851970:ACY852068 ACY917506:ACY917604 ACY983042:ACY983140 AMU2:AMU100 AMU65538:AMU65636 AMU131074:AMU131172 AMU196610:AMU196708 AMU262146:AMU262244 AMU327682:AMU327780 AMU393218:AMU393316 AMU458754:AMU458852 AMU524290:AMU524388 AMU589826:AMU589924 AMU655362:AMU655460 AMU720898:AMU720996 AMU786434:AMU786532 AMU851970:AMU852068 AMU917506:AMU917604 AMU983042:AMU983140 AWQ2:AWQ100 AWQ65538:AWQ65636 AWQ131074:AWQ131172 AWQ196610:AWQ196708 AWQ262146:AWQ262244 AWQ327682:AWQ327780 AWQ393218:AWQ393316 AWQ458754:AWQ458852 AWQ524290:AWQ524388 AWQ589826:AWQ589924 AWQ655362:AWQ655460 AWQ720898:AWQ720996 AWQ786434:AWQ786532 AWQ851970:AWQ852068 AWQ917506:AWQ917604 AWQ983042:AWQ983140 BGM2:BGM100 BGM65538:BGM65636 BGM131074:BGM131172 BGM196610:BGM196708 BGM262146:BGM262244 BGM327682:BGM327780 BGM393218:BGM393316 BGM458754:BGM458852 BGM524290:BGM524388 BGM589826:BGM589924 BGM655362:BGM655460 BGM720898:BGM720996 BGM786434:BGM786532 BGM851970:BGM852068 BGM917506:BGM917604 BGM983042:BGM983140 BQI2:BQI100 BQI65538:BQI65636 BQI131074:BQI131172 BQI196610:BQI196708 BQI262146:BQI262244 BQI327682:BQI327780 BQI393218:BQI393316 BQI458754:BQI458852 BQI524290:BQI524388 BQI589826:BQI589924 BQI655362:BQI655460 BQI720898:BQI720996 BQI786434:BQI786532 BQI851970:BQI852068 BQI917506:BQI917604 BQI983042:BQI983140 CAE2:CAE100 CAE65538:CAE65636 CAE131074:CAE131172 CAE196610:CAE196708 CAE262146:CAE262244 CAE327682:CAE327780 CAE393218:CAE393316 CAE458754:CAE458852 CAE524290:CAE524388 CAE589826:CAE589924 CAE655362:CAE655460 CAE720898:CAE720996 CAE786434:CAE786532 CAE851970:CAE852068 CAE917506:CAE917604 CAE983042:CAE983140 CKA2:CKA100 CKA65538:CKA65636 CKA131074:CKA131172 CKA196610:CKA196708 CKA262146:CKA262244 CKA327682:CKA327780 CKA393218:CKA393316 CKA458754:CKA458852 CKA524290:CKA524388 CKA589826:CKA589924 CKA655362:CKA655460 CKA720898:CKA720996 CKA786434:CKA786532 CKA851970:CKA852068 CKA917506:CKA917604 CKA983042:CKA983140 CTW2:CTW100 CTW65538:CTW65636 CTW131074:CTW131172 CTW196610:CTW196708 CTW262146:CTW262244 CTW327682:CTW327780 CTW393218:CTW393316 CTW458754:CTW458852 CTW524290:CTW524388 CTW589826:CTW589924 CTW655362:CTW655460 CTW720898:CTW720996 CTW786434:CTW786532 CTW851970:CTW852068 CTW917506:CTW917604 CTW983042:CTW983140 DDS2:DDS100 DDS65538:DDS65636 DDS131074:DDS131172 DDS196610:DDS196708 DDS262146:DDS262244 DDS327682:DDS327780 DDS393218:DDS393316 DDS458754:DDS458852 DDS524290:DDS524388 DDS589826:DDS589924 DDS655362:DDS655460 DDS720898:DDS720996 DDS786434:DDS786532 DDS851970:DDS852068 DDS917506:DDS917604 DDS983042:DDS983140 DNO2:DNO100 DNO65538:DNO65636 DNO131074:DNO131172 DNO196610:DNO196708 DNO262146:DNO262244 DNO327682:DNO327780 DNO393218:DNO393316 DNO458754:DNO458852 DNO524290:DNO524388 DNO589826:DNO589924 DNO655362:DNO655460 DNO720898:DNO720996 DNO786434:DNO786532 DNO851970:DNO852068 DNO917506:DNO917604 DNO983042:DNO983140 DXK2:DXK100 DXK65538:DXK65636 DXK131074:DXK131172 DXK196610:DXK196708 DXK262146:DXK262244 DXK327682:DXK327780 DXK393218:DXK393316 DXK458754:DXK458852 DXK524290:DXK524388 DXK589826:DXK589924 DXK655362:DXK655460 DXK720898:DXK720996 DXK786434:DXK786532 DXK851970:DXK852068 DXK917506:DXK917604 DXK983042:DXK983140 EHG2:EHG100 EHG65538:EHG65636 EHG131074:EHG131172 EHG196610:EHG196708 EHG262146:EHG262244 EHG327682:EHG327780 EHG393218:EHG393316 EHG458754:EHG458852 EHG524290:EHG524388 EHG589826:EHG589924 EHG655362:EHG655460 EHG720898:EHG720996 EHG786434:EHG786532 EHG851970:EHG852068 EHG917506:EHG917604 EHG983042:EHG983140 ERC2:ERC100 ERC65538:ERC65636 ERC131074:ERC131172 ERC196610:ERC196708 ERC262146:ERC262244 ERC327682:ERC327780 ERC393218:ERC393316 ERC458754:ERC458852 ERC524290:ERC524388 ERC589826:ERC589924 ERC655362:ERC655460 ERC720898:ERC720996 ERC786434:ERC786532 ERC851970:ERC852068 ERC917506:ERC917604 ERC983042:ERC983140 FAY2:FAY100 FAY65538:FAY65636 FAY131074:FAY131172 FAY196610:FAY196708 FAY262146:FAY262244 FAY327682:FAY327780 FAY393218:FAY393316 FAY458754:FAY458852 FAY524290:FAY524388 FAY589826:FAY589924 FAY655362:FAY655460 FAY720898:FAY720996 FAY786434:FAY786532 FAY851970:FAY852068 FAY917506:FAY917604 FAY983042:FAY983140 FKU2:FKU100 FKU65538:FKU65636 FKU131074:FKU131172 FKU196610:FKU196708 FKU262146:FKU262244 FKU327682:FKU327780 FKU393218:FKU393316 FKU458754:FKU458852 FKU524290:FKU524388 FKU589826:FKU589924 FKU655362:FKU655460 FKU720898:FKU720996 FKU786434:FKU786532 FKU851970:FKU852068 FKU917506:FKU917604 FKU983042:FKU983140 FUQ2:FUQ100 FUQ65538:FUQ65636 FUQ131074:FUQ131172 FUQ196610:FUQ196708 FUQ262146:FUQ262244 FUQ327682:FUQ327780 FUQ393218:FUQ393316 FUQ458754:FUQ458852 FUQ524290:FUQ524388 FUQ589826:FUQ589924 FUQ655362:FUQ655460 FUQ720898:FUQ720996 FUQ786434:FUQ786532 FUQ851970:FUQ852068 FUQ917506:FUQ917604 FUQ983042:FUQ983140 GEM2:GEM100 GEM65538:GEM65636 GEM131074:GEM131172 GEM196610:GEM196708 GEM262146:GEM262244 GEM327682:GEM327780 GEM393218:GEM393316 GEM458754:GEM458852 GEM524290:GEM524388 GEM589826:GEM589924 GEM655362:GEM655460 GEM720898:GEM720996 GEM786434:GEM786532 GEM851970:GEM852068 GEM917506:GEM917604 GEM983042:GEM983140 GOI2:GOI100 GOI65538:GOI65636 GOI131074:GOI131172 GOI196610:GOI196708 GOI262146:GOI262244 GOI327682:GOI327780 GOI393218:GOI393316 GOI458754:GOI458852 GOI524290:GOI524388 GOI589826:GOI589924 GOI655362:GOI655460 GOI720898:GOI720996 GOI786434:GOI786532 GOI851970:GOI852068 GOI917506:GOI917604 GOI983042:GOI983140 GYE2:GYE100 GYE65538:GYE65636 GYE131074:GYE131172 GYE196610:GYE196708 GYE262146:GYE262244 GYE327682:GYE327780 GYE393218:GYE393316 GYE458754:GYE458852 GYE524290:GYE524388 GYE589826:GYE589924 GYE655362:GYE655460 GYE720898:GYE720996 GYE786434:GYE786532 GYE851970:GYE852068 GYE917506:GYE917604 GYE983042:GYE983140 HIA2:HIA100 HIA65538:HIA65636 HIA131074:HIA131172 HIA196610:HIA196708 HIA262146:HIA262244 HIA327682:HIA327780 HIA393218:HIA393316 HIA458754:HIA458852 HIA524290:HIA524388 HIA589826:HIA589924 HIA655362:HIA655460 HIA720898:HIA720996 HIA786434:HIA786532 HIA851970:HIA852068 HIA917506:HIA917604 HIA983042:HIA983140 HRW2:HRW100 HRW65538:HRW65636 HRW131074:HRW131172 HRW196610:HRW196708 HRW262146:HRW262244 HRW327682:HRW327780 HRW393218:HRW393316 HRW458754:HRW458852 HRW524290:HRW524388 HRW589826:HRW589924 HRW655362:HRW655460 HRW720898:HRW720996 HRW786434:HRW786532 HRW851970:HRW852068 HRW917506:HRW917604 HRW983042:HRW983140 IBS2:IBS100 IBS65538:IBS65636 IBS131074:IBS131172 IBS196610:IBS196708 IBS262146:IBS262244 IBS327682:IBS327780 IBS393218:IBS393316 IBS458754:IBS458852 IBS524290:IBS524388 IBS589826:IBS589924 IBS655362:IBS655460 IBS720898:IBS720996 IBS786434:IBS786532 IBS851970:IBS852068 IBS917506:IBS917604 IBS983042:IBS983140 ILO2:ILO100 ILO65538:ILO65636 ILO131074:ILO131172 ILO196610:ILO196708 ILO262146:ILO262244 ILO327682:ILO327780 ILO393218:ILO393316 ILO458754:ILO458852 ILO524290:ILO524388 ILO589826:ILO589924 ILO655362:ILO655460 ILO720898:ILO720996 ILO786434:ILO786532 ILO851970:ILO852068 ILO917506:ILO917604 ILO983042:ILO983140 IVK2:IVK100 IVK65538:IVK65636 IVK131074:IVK131172 IVK196610:IVK196708 IVK262146:IVK262244 IVK327682:IVK327780 IVK393218:IVK393316 IVK458754:IVK458852 IVK524290:IVK524388 IVK589826:IVK589924 IVK655362:IVK655460 IVK720898:IVK720996 IVK786434:IVK786532 IVK851970:IVK852068 IVK917506:IVK917604 IVK983042:IVK983140 JFG2:JFG100 JFG65538:JFG65636 JFG131074:JFG131172 JFG196610:JFG196708 JFG262146:JFG262244 JFG327682:JFG327780 JFG393218:JFG393316 JFG458754:JFG458852 JFG524290:JFG524388 JFG589826:JFG589924 JFG655362:JFG655460 JFG720898:JFG720996 JFG786434:JFG786532 JFG851970:JFG852068 JFG917506:JFG917604 JFG983042:JFG983140 JPC2:JPC100 JPC65538:JPC65636 JPC131074:JPC131172 JPC196610:JPC196708 JPC262146:JPC262244 JPC327682:JPC327780 JPC393218:JPC393316 JPC458754:JPC458852 JPC524290:JPC524388 JPC589826:JPC589924 JPC655362:JPC655460 JPC720898:JPC720996 JPC786434:JPC786532 JPC851970:JPC852068 JPC917506:JPC917604 JPC983042:JPC983140 JYY2:JYY100 JYY65538:JYY65636 JYY131074:JYY131172 JYY196610:JYY196708 JYY262146:JYY262244 JYY327682:JYY327780 JYY393218:JYY393316 JYY458754:JYY458852 JYY524290:JYY524388 JYY589826:JYY589924 JYY655362:JYY655460 JYY720898:JYY720996 JYY786434:JYY786532 JYY851970:JYY852068 JYY917506:JYY917604 JYY983042:JYY983140 KIU2:KIU100 KIU65538:KIU65636 KIU131074:KIU131172 KIU196610:KIU196708 KIU262146:KIU262244 KIU327682:KIU327780 KIU393218:KIU393316 KIU458754:KIU458852 KIU524290:KIU524388 KIU589826:KIU589924 KIU655362:KIU655460 KIU720898:KIU720996 KIU786434:KIU786532 KIU851970:KIU852068 KIU917506:KIU917604 KIU983042:KIU983140 KSQ2:KSQ100 KSQ65538:KSQ65636 KSQ131074:KSQ131172 KSQ196610:KSQ196708 KSQ262146:KSQ262244 KSQ327682:KSQ327780 KSQ393218:KSQ393316 KSQ458754:KSQ458852 KSQ524290:KSQ524388 KSQ589826:KSQ589924 KSQ655362:KSQ655460 KSQ720898:KSQ720996 KSQ786434:KSQ786532 KSQ851970:KSQ852068 KSQ917506:KSQ917604 KSQ983042:KSQ983140 LCM2:LCM100 LCM65538:LCM65636 LCM131074:LCM131172 LCM196610:LCM196708 LCM262146:LCM262244 LCM327682:LCM327780 LCM393218:LCM393316 LCM458754:LCM458852 LCM524290:LCM524388 LCM589826:LCM589924 LCM655362:LCM655460 LCM720898:LCM720996 LCM786434:LCM786532 LCM851970:LCM852068 LCM917506:LCM917604 LCM983042:LCM983140 LMI2:LMI100 LMI65538:LMI65636 LMI131074:LMI131172 LMI196610:LMI196708 LMI262146:LMI262244 LMI327682:LMI327780 LMI393218:LMI393316 LMI458754:LMI458852 LMI524290:LMI524388 LMI589826:LMI589924 LMI655362:LMI655460 LMI720898:LMI720996 LMI786434:LMI786532 LMI851970:LMI852068 LMI917506:LMI917604 LMI983042:LMI983140 LWE2:LWE100 LWE65538:LWE65636 LWE131074:LWE131172 LWE196610:LWE196708 LWE262146:LWE262244 LWE327682:LWE327780 LWE393218:LWE393316 LWE458754:LWE458852 LWE524290:LWE524388 LWE589826:LWE589924 LWE655362:LWE655460 LWE720898:LWE720996 LWE786434:LWE786532 LWE851970:LWE852068 LWE917506:LWE917604 LWE983042:LWE983140 MGA2:MGA100 MGA65538:MGA65636 MGA131074:MGA131172 MGA196610:MGA196708 MGA262146:MGA262244 MGA327682:MGA327780 MGA393218:MGA393316 MGA458754:MGA458852 MGA524290:MGA524388 MGA589826:MGA589924 MGA655362:MGA655460 MGA720898:MGA720996 MGA786434:MGA786532 MGA851970:MGA852068 MGA917506:MGA917604 MGA983042:MGA983140 MPW2:MPW100 MPW65538:MPW65636 MPW131074:MPW131172 MPW196610:MPW196708 MPW262146:MPW262244 MPW327682:MPW327780 MPW393218:MPW393316 MPW458754:MPW458852 MPW524290:MPW524388 MPW589826:MPW589924 MPW655362:MPW655460 MPW720898:MPW720996 MPW786434:MPW786532 MPW851970:MPW852068 MPW917506:MPW917604 MPW983042:MPW983140 MZS2:MZS100 MZS65538:MZS65636 MZS131074:MZS131172 MZS196610:MZS196708 MZS262146:MZS262244 MZS327682:MZS327780 MZS393218:MZS393316 MZS458754:MZS458852 MZS524290:MZS524388 MZS589826:MZS589924 MZS655362:MZS655460 MZS720898:MZS720996 MZS786434:MZS786532 MZS851970:MZS852068 MZS917506:MZS917604 MZS983042:MZS983140 NJO2:NJO100 NJO65538:NJO65636 NJO131074:NJO131172 NJO196610:NJO196708 NJO262146:NJO262244 NJO327682:NJO327780 NJO393218:NJO393316 NJO458754:NJO458852 NJO524290:NJO524388 NJO589826:NJO589924 NJO655362:NJO655460 NJO720898:NJO720996 NJO786434:NJO786532 NJO851970:NJO852068 NJO917506:NJO917604 NJO983042:NJO983140 NTK2:NTK100 NTK65538:NTK65636 NTK131074:NTK131172 NTK196610:NTK196708 NTK262146:NTK262244 NTK327682:NTK327780 NTK393218:NTK393316 NTK458754:NTK458852 NTK524290:NTK524388 NTK589826:NTK589924 NTK655362:NTK655460 NTK720898:NTK720996 NTK786434:NTK786532 NTK851970:NTK852068 NTK917506:NTK917604 NTK983042:NTK983140 ODG2:ODG100 ODG65538:ODG65636 ODG131074:ODG131172 ODG196610:ODG196708 ODG262146:ODG262244 ODG327682:ODG327780 ODG393218:ODG393316 ODG458754:ODG458852 ODG524290:ODG524388 ODG589826:ODG589924 ODG655362:ODG655460 ODG720898:ODG720996 ODG786434:ODG786532 ODG851970:ODG852068 ODG917506:ODG917604 ODG983042:ODG983140 ONC2:ONC100 ONC65538:ONC65636 ONC131074:ONC131172 ONC196610:ONC196708 ONC262146:ONC262244 ONC327682:ONC327780 ONC393218:ONC393316 ONC458754:ONC458852 ONC524290:ONC524388 ONC589826:ONC589924 ONC655362:ONC655460 ONC720898:ONC720996 ONC786434:ONC786532 ONC851970:ONC852068 ONC917506:ONC917604 ONC983042:ONC983140 OWY2:OWY100 OWY65538:OWY65636 OWY131074:OWY131172 OWY196610:OWY196708 OWY262146:OWY262244 OWY327682:OWY327780 OWY393218:OWY393316 OWY458754:OWY458852 OWY524290:OWY524388 OWY589826:OWY589924 OWY655362:OWY655460 OWY720898:OWY720996 OWY786434:OWY786532 OWY851970:OWY852068 OWY917506:OWY917604 OWY983042:OWY983140 PGU2:PGU100 PGU65538:PGU65636 PGU131074:PGU131172 PGU196610:PGU196708 PGU262146:PGU262244 PGU327682:PGU327780 PGU393218:PGU393316 PGU458754:PGU458852 PGU524290:PGU524388 PGU589826:PGU589924 PGU655362:PGU655460 PGU720898:PGU720996 PGU786434:PGU786532 PGU851970:PGU852068 PGU917506:PGU917604 PGU983042:PGU983140 PQQ2:PQQ100 PQQ65538:PQQ65636 PQQ131074:PQQ131172 PQQ196610:PQQ196708 PQQ262146:PQQ262244 PQQ327682:PQQ327780 PQQ393218:PQQ393316 PQQ458754:PQQ458852 PQQ524290:PQQ524388 PQQ589826:PQQ589924 PQQ655362:PQQ655460 PQQ720898:PQQ720996 PQQ786434:PQQ786532 PQQ851970:PQQ852068 PQQ917506:PQQ917604 PQQ983042:PQQ983140 QAM2:QAM100 QAM65538:QAM65636 QAM131074:QAM131172 QAM196610:QAM196708 QAM262146:QAM262244 QAM327682:QAM327780 QAM393218:QAM393316 QAM458754:QAM458852 QAM524290:QAM524388 QAM589826:QAM589924 QAM655362:QAM655460 QAM720898:QAM720996 QAM786434:QAM786532 QAM851970:QAM852068 QAM917506:QAM917604 QAM983042:QAM983140 QKI2:QKI100 QKI65538:QKI65636 QKI131074:QKI131172 QKI196610:QKI196708 QKI262146:QKI262244 QKI327682:QKI327780 QKI393218:QKI393316 QKI458754:QKI458852 QKI524290:QKI524388 QKI589826:QKI589924 QKI655362:QKI655460 QKI720898:QKI720996 QKI786434:QKI786532 QKI851970:QKI852068 QKI917506:QKI917604 QKI983042:QKI983140 QUE2:QUE100 QUE65538:QUE65636 QUE131074:QUE131172 QUE196610:QUE196708 QUE262146:QUE262244 QUE327682:QUE327780 QUE393218:QUE393316 QUE458754:QUE458852 QUE524290:QUE524388 QUE589826:QUE589924 QUE655362:QUE655460 QUE720898:QUE720996 QUE786434:QUE786532 QUE851970:QUE852068 QUE917506:QUE917604 QUE983042:QUE983140 REA2:REA100 REA65538:REA65636 REA131074:REA131172 REA196610:REA196708 REA262146:REA262244 REA327682:REA327780 REA393218:REA393316 REA458754:REA458852 REA524290:REA524388 REA589826:REA589924 REA655362:REA655460 REA720898:REA720996 REA786434:REA786532 REA851970:REA852068 REA917506:REA917604 REA983042:REA983140 RNW2:RNW100 RNW65538:RNW65636 RNW131074:RNW131172 RNW196610:RNW196708 RNW262146:RNW262244 RNW327682:RNW327780 RNW393218:RNW393316 RNW458754:RNW458852 RNW524290:RNW524388 RNW589826:RNW589924 RNW655362:RNW655460 RNW720898:RNW720996 RNW786434:RNW786532 RNW851970:RNW852068 RNW917506:RNW917604 RNW983042:RNW983140 RXS2:RXS100 RXS65538:RXS65636 RXS131074:RXS131172 RXS196610:RXS196708 RXS262146:RXS262244 RXS327682:RXS327780 RXS393218:RXS393316 RXS458754:RXS458852 RXS524290:RXS524388 RXS589826:RXS589924 RXS655362:RXS655460 RXS720898:RXS720996 RXS786434:RXS786532 RXS851970:RXS852068 RXS917506:RXS917604 RXS983042:RXS983140 SHO2:SHO100 SHO65538:SHO65636 SHO131074:SHO131172 SHO196610:SHO196708 SHO262146:SHO262244 SHO327682:SHO327780 SHO393218:SHO393316 SHO458754:SHO458852 SHO524290:SHO524388 SHO589826:SHO589924 SHO655362:SHO655460 SHO720898:SHO720996 SHO786434:SHO786532 SHO851970:SHO852068 SHO917506:SHO917604 SHO983042:SHO983140 SRK2:SRK100 SRK65538:SRK65636 SRK131074:SRK131172 SRK196610:SRK196708 SRK262146:SRK262244 SRK327682:SRK327780 SRK393218:SRK393316 SRK458754:SRK458852 SRK524290:SRK524388 SRK589826:SRK589924 SRK655362:SRK655460 SRK720898:SRK720996 SRK786434:SRK786532 SRK851970:SRK852068 SRK917506:SRK917604 SRK983042:SRK983140 TBG2:TBG100 TBG65538:TBG65636 TBG131074:TBG131172 TBG196610:TBG196708 TBG262146:TBG262244 TBG327682:TBG327780 TBG393218:TBG393316 TBG458754:TBG458852 TBG524290:TBG524388 TBG589826:TBG589924 TBG655362:TBG655460 TBG720898:TBG720996 TBG786434:TBG786532 TBG851970:TBG852068 TBG917506:TBG917604 TBG983042:TBG983140 TLC2:TLC100 TLC65538:TLC65636 TLC131074:TLC131172 TLC196610:TLC196708 TLC262146:TLC262244 TLC327682:TLC327780 TLC393218:TLC393316 TLC458754:TLC458852 TLC524290:TLC524388 TLC589826:TLC589924 TLC655362:TLC655460 TLC720898:TLC720996 TLC786434:TLC786532 TLC851970:TLC852068 TLC917506:TLC917604 TLC983042:TLC983140 TUY2:TUY100 TUY65538:TUY65636 TUY131074:TUY131172 TUY196610:TUY196708 TUY262146:TUY262244 TUY327682:TUY327780 TUY393218:TUY393316 TUY458754:TUY458852 TUY524290:TUY524388 TUY589826:TUY589924 TUY655362:TUY655460 TUY720898:TUY720996 TUY786434:TUY786532 TUY851970:TUY852068 TUY917506:TUY917604 TUY983042:TUY983140 UEU2:UEU100 UEU65538:UEU65636 UEU131074:UEU131172 UEU196610:UEU196708 UEU262146:UEU262244 UEU327682:UEU327780 UEU393218:UEU393316 UEU458754:UEU458852 UEU524290:UEU524388 UEU589826:UEU589924 UEU655362:UEU655460 UEU720898:UEU720996 UEU786434:UEU786532 UEU851970:UEU852068 UEU917506:UEU917604 UEU983042:UEU983140 UOQ2:UOQ100 UOQ65538:UOQ65636 UOQ131074:UOQ131172 UOQ196610:UOQ196708 UOQ262146:UOQ262244 UOQ327682:UOQ327780 UOQ393218:UOQ393316 UOQ458754:UOQ458852 UOQ524290:UOQ524388 UOQ589826:UOQ589924 UOQ655362:UOQ655460 UOQ720898:UOQ720996 UOQ786434:UOQ786532 UOQ851970:UOQ852068 UOQ917506:UOQ917604 UOQ983042:UOQ983140 UYM2:UYM100 UYM65538:UYM65636 UYM131074:UYM131172 UYM196610:UYM196708 UYM262146:UYM262244 UYM327682:UYM327780 UYM393218:UYM393316 UYM458754:UYM458852 UYM524290:UYM524388 UYM589826:UYM589924 UYM655362:UYM655460 UYM720898:UYM720996 UYM786434:UYM786532 UYM851970:UYM852068 UYM917506:UYM917604 UYM983042:UYM983140 VII2:VII100 VII65538:VII65636 VII131074:VII131172 VII196610:VII196708 VII262146:VII262244 VII327682:VII327780 VII393218:VII393316 VII458754:VII458852 VII524290:VII524388 VII589826:VII589924 VII655362:VII655460 VII720898:VII720996 VII786434:VII786532 VII851970:VII852068 VII917506:VII917604 VII983042:VII983140 VSE2:VSE100 VSE65538:VSE65636 VSE131074:VSE131172 VSE196610:VSE196708 VSE262146:VSE262244 VSE327682:VSE327780 VSE393218:VSE393316 VSE458754:VSE458852 VSE524290:VSE524388 VSE589826:VSE589924 VSE655362:VSE655460 VSE720898:VSE720996 VSE786434:VSE786532 VSE851970:VSE852068 VSE917506:VSE917604 VSE983042:VSE983140 WCA2:WCA100 WCA65538:WCA65636 WCA131074:WCA131172 WCA196610:WCA196708 WCA262146:WCA262244 WCA327682:WCA327780 WCA393218:WCA393316 WCA458754:WCA458852 WCA524290:WCA524388 WCA589826:WCA589924 WCA655362:WCA655460 WCA720898:WCA720996 WCA786434:WCA786532 WCA851970:WCA852068 WCA917506:WCA917604 WCA983042:WCA983140 WLW2:WLW100 WLW65538:WLW65636 WLW131074:WLW131172 WLW196610:WLW196708 WLW262146:WLW262244 WLW327682:WLW327780 WLW393218:WLW393316 WLW458754:WLW458852 WLW524290:WLW524388 WLW589826:WLW589924 WLW655362:WLW655460 WLW720898:WLW720996 WLW786434:WLW786532 WLW851970:WLW852068 WLW917506:WLW917604 WLW983042:WLW983140 WVS2:WVS100 WVS65538:WVS65636 WVS131074:WVS131172 WVS196610:WVS196708 WVS262146:WVS262244 WVS327682:WVS327780 WVS393218:WVS393316 WVS458754:WVS458852 WVS524290:WVS524388 WVS589826:WVS589924 WVS655362:WVS655460 WVS720898:WVS720996 WVS786434:WVS786532 WVS851970:WVS852068 WVS917506:WVS917604 WVS983042:WVS983140" xr:uid="{ED7A7182-D124-41C1-A05D-A4E7CF66626C}">
      <formula1>$AR$2:$AR$25</formula1>
    </dataValidation>
    <dataValidation type="list" allowBlank="1" showInputMessage="1" showErrorMessage="1" sqref="K64423:K64476 K129959:K130012 K195495:K195548 K261031:K261084 K326567:K326620 K392103:K392156 K457639:K457692 K523175:K523228 K588711:K588764 K654247:K654300 K719783:K719836 K785319:K785372 K850855:K850908 K916391:K916444 K981927:K981980 K1047463:K1047516 JG64423:JG64476 JG129959:JG130012 JG195495:JG195548 JG261031:JG261084 JG326567:JG326620 JG392103:JG392156 JG457639:JG457692 JG523175:JG523228 JG588711:JG588764 JG654247:JG654300 JG719783:JG719836 JG785319:JG785372 JG850855:JG850908 JG916391:JG916444 JG981927:JG981980 JG1047463:JG1047516 TC64423:TC64476 TC129959:TC130012 TC195495:TC195548 TC261031:TC261084 TC326567:TC326620 TC392103:TC392156 TC457639:TC457692 TC523175:TC523228 TC588711:TC588764 TC654247:TC654300 TC719783:TC719836 TC785319:TC785372 TC850855:TC850908 TC916391:TC916444 TC981927:TC981980 TC1047463:TC1047516 ACY64423:ACY64476 ACY129959:ACY130012 ACY195495:ACY195548 ACY261031:ACY261084 ACY326567:ACY326620 ACY392103:ACY392156 ACY457639:ACY457692 ACY523175:ACY523228 ACY588711:ACY588764 ACY654247:ACY654300 ACY719783:ACY719836 ACY785319:ACY785372 ACY850855:ACY850908 ACY916391:ACY916444 ACY981927:ACY981980 ACY1047463:ACY1047516 AMU64423:AMU64476 AMU129959:AMU130012 AMU195495:AMU195548 AMU261031:AMU261084 AMU326567:AMU326620 AMU392103:AMU392156 AMU457639:AMU457692 AMU523175:AMU523228 AMU588711:AMU588764 AMU654247:AMU654300 AMU719783:AMU719836 AMU785319:AMU785372 AMU850855:AMU850908 AMU916391:AMU916444 AMU981927:AMU981980 AMU1047463:AMU1047516 AWQ64423:AWQ64476 AWQ129959:AWQ130012 AWQ195495:AWQ195548 AWQ261031:AWQ261084 AWQ326567:AWQ326620 AWQ392103:AWQ392156 AWQ457639:AWQ457692 AWQ523175:AWQ523228 AWQ588711:AWQ588764 AWQ654247:AWQ654300 AWQ719783:AWQ719836 AWQ785319:AWQ785372 AWQ850855:AWQ850908 AWQ916391:AWQ916444 AWQ981927:AWQ981980 AWQ1047463:AWQ1047516 BGM64423:BGM64476 BGM129959:BGM130012 BGM195495:BGM195548 BGM261031:BGM261084 BGM326567:BGM326620 BGM392103:BGM392156 BGM457639:BGM457692 BGM523175:BGM523228 BGM588711:BGM588764 BGM654247:BGM654300 BGM719783:BGM719836 BGM785319:BGM785372 BGM850855:BGM850908 BGM916391:BGM916444 BGM981927:BGM981980 BGM1047463:BGM1047516 BQI64423:BQI64476 BQI129959:BQI130012 BQI195495:BQI195548 BQI261031:BQI261084 BQI326567:BQI326620 BQI392103:BQI392156 BQI457639:BQI457692 BQI523175:BQI523228 BQI588711:BQI588764 BQI654247:BQI654300 BQI719783:BQI719836 BQI785319:BQI785372 BQI850855:BQI850908 BQI916391:BQI916444 BQI981927:BQI981980 BQI1047463:BQI1047516 CAE64423:CAE64476 CAE129959:CAE130012 CAE195495:CAE195548 CAE261031:CAE261084 CAE326567:CAE326620 CAE392103:CAE392156 CAE457639:CAE457692 CAE523175:CAE523228 CAE588711:CAE588764 CAE654247:CAE654300 CAE719783:CAE719836 CAE785319:CAE785372 CAE850855:CAE850908 CAE916391:CAE916444 CAE981927:CAE981980 CAE1047463:CAE1047516 CKA64423:CKA64476 CKA129959:CKA130012 CKA195495:CKA195548 CKA261031:CKA261084 CKA326567:CKA326620 CKA392103:CKA392156 CKA457639:CKA457692 CKA523175:CKA523228 CKA588711:CKA588764 CKA654247:CKA654300 CKA719783:CKA719836 CKA785319:CKA785372 CKA850855:CKA850908 CKA916391:CKA916444 CKA981927:CKA981980 CKA1047463:CKA1047516 CTW64423:CTW64476 CTW129959:CTW130012 CTW195495:CTW195548 CTW261031:CTW261084 CTW326567:CTW326620 CTW392103:CTW392156 CTW457639:CTW457692 CTW523175:CTW523228 CTW588711:CTW588764 CTW654247:CTW654300 CTW719783:CTW719836 CTW785319:CTW785372 CTW850855:CTW850908 CTW916391:CTW916444 CTW981927:CTW981980 CTW1047463:CTW1047516 DDS64423:DDS64476 DDS129959:DDS130012 DDS195495:DDS195548 DDS261031:DDS261084 DDS326567:DDS326620 DDS392103:DDS392156 DDS457639:DDS457692 DDS523175:DDS523228 DDS588711:DDS588764 DDS654247:DDS654300 DDS719783:DDS719836 DDS785319:DDS785372 DDS850855:DDS850908 DDS916391:DDS916444 DDS981927:DDS981980 DDS1047463:DDS1047516 DNO64423:DNO64476 DNO129959:DNO130012 DNO195495:DNO195548 DNO261031:DNO261084 DNO326567:DNO326620 DNO392103:DNO392156 DNO457639:DNO457692 DNO523175:DNO523228 DNO588711:DNO588764 DNO654247:DNO654300 DNO719783:DNO719836 DNO785319:DNO785372 DNO850855:DNO850908 DNO916391:DNO916444 DNO981927:DNO981980 DNO1047463:DNO1047516 DXK64423:DXK64476 DXK129959:DXK130012 DXK195495:DXK195548 DXK261031:DXK261084 DXK326567:DXK326620 DXK392103:DXK392156 DXK457639:DXK457692 DXK523175:DXK523228 DXK588711:DXK588764 DXK654247:DXK654300 DXK719783:DXK719836 DXK785319:DXK785372 DXK850855:DXK850908 DXK916391:DXK916444 DXK981927:DXK981980 DXK1047463:DXK1047516 EHG64423:EHG64476 EHG129959:EHG130012 EHG195495:EHG195548 EHG261031:EHG261084 EHG326567:EHG326620 EHG392103:EHG392156 EHG457639:EHG457692 EHG523175:EHG523228 EHG588711:EHG588764 EHG654247:EHG654300 EHG719783:EHG719836 EHG785319:EHG785372 EHG850855:EHG850908 EHG916391:EHG916444 EHG981927:EHG981980 EHG1047463:EHG1047516 ERC64423:ERC64476 ERC129959:ERC130012 ERC195495:ERC195548 ERC261031:ERC261084 ERC326567:ERC326620 ERC392103:ERC392156 ERC457639:ERC457692 ERC523175:ERC523228 ERC588711:ERC588764 ERC654247:ERC654300 ERC719783:ERC719836 ERC785319:ERC785372 ERC850855:ERC850908 ERC916391:ERC916444 ERC981927:ERC981980 ERC1047463:ERC1047516 FAY64423:FAY64476 FAY129959:FAY130012 FAY195495:FAY195548 FAY261031:FAY261084 FAY326567:FAY326620 FAY392103:FAY392156 FAY457639:FAY457692 FAY523175:FAY523228 FAY588711:FAY588764 FAY654247:FAY654300 FAY719783:FAY719836 FAY785319:FAY785372 FAY850855:FAY850908 FAY916391:FAY916444 FAY981927:FAY981980 FAY1047463:FAY1047516 FKU64423:FKU64476 FKU129959:FKU130012 FKU195495:FKU195548 FKU261031:FKU261084 FKU326567:FKU326620 FKU392103:FKU392156 FKU457639:FKU457692 FKU523175:FKU523228 FKU588711:FKU588764 FKU654247:FKU654300 FKU719783:FKU719836 FKU785319:FKU785372 FKU850855:FKU850908 FKU916391:FKU916444 FKU981927:FKU981980 FKU1047463:FKU1047516 FUQ64423:FUQ64476 FUQ129959:FUQ130012 FUQ195495:FUQ195548 FUQ261031:FUQ261084 FUQ326567:FUQ326620 FUQ392103:FUQ392156 FUQ457639:FUQ457692 FUQ523175:FUQ523228 FUQ588711:FUQ588764 FUQ654247:FUQ654300 FUQ719783:FUQ719836 FUQ785319:FUQ785372 FUQ850855:FUQ850908 FUQ916391:FUQ916444 FUQ981927:FUQ981980 FUQ1047463:FUQ1047516 GEM64423:GEM64476 GEM129959:GEM130012 GEM195495:GEM195548 GEM261031:GEM261084 GEM326567:GEM326620 GEM392103:GEM392156 GEM457639:GEM457692 GEM523175:GEM523228 GEM588711:GEM588764 GEM654247:GEM654300 GEM719783:GEM719836 GEM785319:GEM785372 GEM850855:GEM850908 GEM916391:GEM916444 GEM981927:GEM981980 GEM1047463:GEM1047516 GOI64423:GOI64476 GOI129959:GOI130012 GOI195495:GOI195548 GOI261031:GOI261084 GOI326567:GOI326620 GOI392103:GOI392156 GOI457639:GOI457692 GOI523175:GOI523228 GOI588711:GOI588764 GOI654247:GOI654300 GOI719783:GOI719836 GOI785319:GOI785372 GOI850855:GOI850908 GOI916391:GOI916444 GOI981927:GOI981980 GOI1047463:GOI1047516 GYE64423:GYE64476 GYE129959:GYE130012 GYE195495:GYE195548 GYE261031:GYE261084 GYE326567:GYE326620 GYE392103:GYE392156 GYE457639:GYE457692 GYE523175:GYE523228 GYE588711:GYE588764 GYE654247:GYE654300 GYE719783:GYE719836 GYE785319:GYE785372 GYE850855:GYE850908 GYE916391:GYE916444 GYE981927:GYE981980 GYE1047463:GYE1047516 HIA64423:HIA64476 HIA129959:HIA130012 HIA195495:HIA195548 HIA261031:HIA261084 HIA326567:HIA326620 HIA392103:HIA392156 HIA457639:HIA457692 HIA523175:HIA523228 HIA588711:HIA588764 HIA654247:HIA654300 HIA719783:HIA719836 HIA785319:HIA785372 HIA850855:HIA850908 HIA916391:HIA916444 HIA981927:HIA981980 HIA1047463:HIA1047516 HRW64423:HRW64476 HRW129959:HRW130012 HRW195495:HRW195548 HRW261031:HRW261084 HRW326567:HRW326620 HRW392103:HRW392156 HRW457639:HRW457692 HRW523175:HRW523228 HRW588711:HRW588764 HRW654247:HRW654300 HRW719783:HRW719836 HRW785319:HRW785372 HRW850855:HRW850908 HRW916391:HRW916444 HRW981927:HRW981980 HRW1047463:HRW1047516 IBS64423:IBS64476 IBS129959:IBS130012 IBS195495:IBS195548 IBS261031:IBS261084 IBS326567:IBS326620 IBS392103:IBS392156 IBS457639:IBS457692 IBS523175:IBS523228 IBS588711:IBS588764 IBS654247:IBS654300 IBS719783:IBS719836 IBS785319:IBS785372 IBS850855:IBS850908 IBS916391:IBS916444 IBS981927:IBS981980 IBS1047463:IBS1047516 ILO64423:ILO64476 ILO129959:ILO130012 ILO195495:ILO195548 ILO261031:ILO261084 ILO326567:ILO326620 ILO392103:ILO392156 ILO457639:ILO457692 ILO523175:ILO523228 ILO588711:ILO588764 ILO654247:ILO654300 ILO719783:ILO719836 ILO785319:ILO785372 ILO850855:ILO850908 ILO916391:ILO916444 ILO981927:ILO981980 ILO1047463:ILO1047516 IVK64423:IVK64476 IVK129959:IVK130012 IVK195495:IVK195548 IVK261031:IVK261084 IVK326567:IVK326620 IVK392103:IVK392156 IVK457639:IVK457692 IVK523175:IVK523228 IVK588711:IVK588764 IVK654247:IVK654300 IVK719783:IVK719836 IVK785319:IVK785372 IVK850855:IVK850908 IVK916391:IVK916444 IVK981927:IVK981980 IVK1047463:IVK1047516 JFG64423:JFG64476 JFG129959:JFG130012 JFG195495:JFG195548 JFG261031:JFG261084 JFG326567:JFG326620 JFG392103:JFG392156 JFG457639:JFG457692 JFG523175:JFG523228 JFG588711:JFG588764 JFG654247:JFG654300 JFG719783:JFG719836 JFG785319:JFG785372 JFG850855:JFG850908 JFG916391:JFG916444 JFG981927:JFG981980 JFG1047463:JFG1047516 JPC64423:JPC64476 JPC129959:JPC130012 JPC195495:JPC195548 JPC261031:JPC261084 JPC326567:JPC326620 JPC392103:JPC392156 JPC457639:JPC457692 JPC523175:JPC523228 JPC588711:JPC588764 JPC654247:JPC654300 JPC719783:JPC719836 JPC785319:JPC785372 JPC850855:JPC850908 JPC916391:JPC916444 JPC981927:JPC981980 JPC1047463:JPC1047516 JYY64423:JYY64476 JYY129959:JYY130012 JYY195495:JYY195548 JYY261031:JYY261084 JYY326567:JYY326620 JYY392103:JYY392156 JYY457639:JYY457692 JYY523175:JYY523228 JYY588711:JYY588764 JYY654247:JYY654300 JYY719783:JYY719836 JYY785319:JYY785372 JYY850855:JYY850908 JYY916391:JYY916444 JYY981927:JYY981980 JYY1047463:JYY1047516 KIU64423:KIU64476 KIU129959:KIU130012 KIU195495:KIU195548 KIU261031:KIU261084 KIU326567:KIU326620 KIU392103:KIU392156 KIU457639:KIU457692 KIU523175:KIU523228 KIU588711:KIU588764 KIU654247:KIU654300 KIU719783:KIU719836 KIU785319:KIU785372 KIU850855:KIU850908 KIU916391:KIU916444 KIU981927:KIU981980 KIU1047463:KIU1047516 KSQ64423:KSQ64476 KSQ129959:KSQ130012 KSQ195495:KSQ195548 KSQ261031:KSQ261084 KSQ326567:KSQ326620 KSQ392103:KSQ392156 KSQ457639:KSQ457692 KSQ523175:KSQ523228 KSQ588711:KSQ588764 KSQ654247:KSQ654300 KSQ719783:KSQ719836 KSQ785319:KSQ785372 KSQ850855:KSQ850908 KSQ916391:KSQ916444 KSQ981927:KSQ981980 KSQ1047463:KSQ1047516 LCM64423:LCM64476 LCM129959:LCM130012 LCM195495:LCM195548 LCM261031:LCM261084 LCM326567:LCM326620 LCM392103:LCM392156 LCM457639:LCM457692 LCM523175:LCM523228 LCM588711:LCM588764 LCM654247:LCM654300 LCM719783:LCM719836 LCM785319:LCM785372 LCM850855:LCM850908 LCM916391:LCM916444 LCM981927:LCM981980 LCM1047463:LCM1047516 LMI64423:LMI64476 LMI129959:LMI130012 LMI195495:LMI195548 LMI261031:LMI261084 LMI326567:LMI326620 LMI392103:LMI392156 LMI457639:LMI457692 LMI523175:LMI523228 LMI588711:LMI588764 LMI654247:LMI654300 LMI719783:LMI719836 LMI785319:LMI785372 LMI850855:LMI850908 LMI916391:LMI916444 LMI981927:LMI981980 LMI1047463:LMI1047516 LWE64423:LWE64476 LWE129959:LWE130012 LWE195495:LWE195548 LWE261031:LWE261084 LWE326567:LWE326620 LWE392103:LWE392156 LWE457639:LWE457692 LWE523175:LWE523228 LWE588711:LWE588764 LWE654247:LWE654300 LWE719783:LWE719836 LWE785319:LWE785372 LWE850855:LWE850908 LWE916391:LWE916444 LWE981927:LWE981980 LWE1047463:LWE1047516 MGA64423:MGA64476 MGA129959:MGA130012 MGA195495:MGA195548 MGA261031:MGA261084 MGA326567:MGA326620 MGA392103:MGA392156 MGA457639:MGA457692 MGA523175:MGA523228 MGA588711:MGA588764 MGA654247:MGA654300 MGA719783:MGA719836 MGA785319:MGA785372 MGA850855:MGA850908 MGA916391:MGA916444 MGA981927:MGA981980 MGA1047463:MGA1047516 MPW64423:MPW64476 MPW129959:MPW130012 MPW195495:MPW195548 MPW261031:MPW261084 MPW326567:MPW326620 MPW392103:MPW392156 MPW457639:MPW457692 MPW523175:MPW523228 MPW588711:MPW588764 MPW654247:MPW654300 MPW719783:MPW719836 MPW785319:MPW785372 MPW850855:MPW850908 MPW916391:MPW916444 MPW981927:MPW981980 MPW1047463:MPW1047516 MZS64423:MZS64476 MZS129959:MZS130012 MZS195495:MZS195548 MZS261031:MZS261084 MZS326567:MZS326620 MZS392103:MZS392156 MZS457639:MZS457692 MZS523175:MZS523228 MZS588711:MZS588764 MZS654247:MZS654300 MZS719783:MZS719836 MZS785319:MZS785372 MZS850855:MZS850908 MZS916391:MZS916444 MZS981927:MZS981980 MZS1047463:MZS1047516 NJO64423:NJO64476 NJO129959:NJO130012 NJO195495:NJO195548 NJO261031:NJO261084 NJO326567:NJO326620 NJO392103:NJO392156 NJO457639:NJO457692 NJO523175:NJO523228 NJO588711:NJO588764 NJO654247:NJO654300 NJO719783:NJO719836 NJO785319:NJO785372 NJO850855:NJO850908 NJO916391:NJO916444 NJO981927:NJO981980 NJO1047463:NJO1047516 NTK64423:NTK64476 NTK129959:NTK130012 NTK195495:NTK195548 NTK261031:NTK261084 NTK326567:NTK326620 NTK392103:NTK392156 NTK457639:NTK457692 NTK523175:NTK523228 NTK588711:NTK588764 NTK654247:NTK654300 NTK719783:NTK719836 NTK785319:NTK785372 NTK850855:NTK850908 NTK916391:NTK916444 NTK981927:NTK981980 NTK1047463:NTK1047516 ODG64423:ODG64476 ODG129959:ODG130012 ODG195495:ODG195548 ODG261031:ODG261084 ODG326567:ODG326620 ODG392103:ODG392156 ODG457639:ODG457692 ODG523175:ODG523228 ODG588711:ODG588764 ODG654247:ODG654300 ODG719783:ODG719836 ODG785319:ODG785372 ODG850855:ODG850908 ODG916391:ODG916444 ODG981927:ODG981980 ODG1047463:ODG1047516 ONC64423:ONC64476 ONC129959:ONC130012 ONC195495:ONC195548 ONC261031:ONC261084 ONC326567:ONC326620 ONC392103:ONC392156 ONC457639:ONC457692 ONC523175:ONC523228 ONC588711:ONC588764 ONC654247:ONC654300 ONC719783:ONC719836 ONC785319:ONC785372 ONC850855:ONC850908 ONC916391:ONC916444 ONC981927:ONC981980 ONC1047463:ONC1047516 OWY64423:OWY64476 OWY129959:OWY130012 OWY195495:OWY195548 OWY261031:OWY261084 OWY326567:OWY326620 OWY392103:OWY392156 OWY457639:OWY457692 OWY523175:OWY523228 OWY588711:OWY588764 OWY654247:OWY654300 OWY719783:OWY719836 OWY785319:OWY785372 OWY850855:OWY850908 OWY916391:OWY916444 OWY981927:OWY981980 OWY1047463:OWY1047516 PGU64423:PGU64476 PGU129959:PGU130012 PGU195495:PGU195548 PGU261031:PGU261084 PGU326567:PGU326620 PGU392103:PGU392156 PGU457639:PGU457692 PGU523175:PGU523228 PGU588711:PGU588764 PGU654247:PGU654300 PGU719783:PGU719836 PGU785319:PGU785372 PGU850855:PGU850908 PGU916391:PGU916444 PGU981927:PGU981980 PGU1047463:PGU1047516 PQQ64423:PQQ64476 PQQ129959:PQQ130012 PQQ195495:PQQ195548 PQQ261031:PQQ261084 PQQ326567:PQQ326620 PQQ392103:PQQ392156 PQQ457639:PQQ457692 PQQ523175:PQQ523228 PQQ588711:PQQ588764 PQQ654247:PQQ654300 PQQ719783:PQQ719836 PQQ785319:PQQ785372 PQQ850855:PQQ850908 PQQ916391:PQQ916444 PQQ981927:PQQ981980 PQQ1047463:PQQ1047516 QAM64423:QAM64476 QAM129959:QAM130012 QAM195495:QAM195548 QAM261031:QAM261084 QAM326567:QAM326620 QAM392103:QAM392156 QAM457639:QAM457692 QAM523175:QAM523228 QAM588711:QAM588764 QAM654247:QAM654300 QAM719783:QAM719836 QAM785319:QAM785372 QAM850855:QAM850908 QAM916391:QAM916444 QAM981927:QAM981980 QAM1047463:QAM1047516 QKI64423:QKI64476 QKI129959:QKI130012 QKI195495:QKI195548 QKI261031:QKI261084 QKI326567:QKI326620 QKI392103:QKI392156 QKI457639:QKI457692 QKI523175:QKI523228 QKI588711:QKI588764 QKI654247:QKI654300 QKI719783:QKI719836 QKI785319:QKI785372 QKI850855:QKI850908 QKI916391:QKI916444 QKI981927:QKI981980 QKI1047463:QKI1047516 QUE64423:QUE64476 QUE129959:QUE130012 QUE195495:QUE195548 QUE261031:QUE261084 QUE326567:QUE326620 QUE392103:QUE392156 QUE457639:QUE457692 QUE523175:QUE523228 QUE588711:QUE588764 QUE654247:QUE654300 QUE719783:QUE719836 QUE785319:QUE785372 QUE850855:QUE850908 QUE916391:QUE916444 QUE981927:QUE981980 QUE1047463:QUE1047516 REA64423:REA64476 REA129959:REA130012 REA195495:REA195548 REA261031:REA261084 REA326567:REA326620 REA392103:REA392156 REA457639:REA457692 REA523175:REA523228 REA588711:REA588764 REA654247:REA654300 REA719783:REA719836 REA785319:REA785372 REA850855:REA850908 REA916391:REA916444 REA981927:REA981980 REA1047463:REA1047516 RNW64423:RNW64476 RNW129959:RNW130012 RNW195495:RNW195548 RNW261031:RNW261084 RNW326567:RNW326620 RNW392103:RNW392156 RNW457639:RNW457692 RNW523175:RNW523228 RNW588711:RNW588764 RNW654247:RNW654300 RNW719783:RNW719836 RNW785319:RNW785372 RNW850855:RNW850908 RNW916391:RNW916444 RNW981927:RNW981980 RNW1047463:RNW1047516 RXS64423:RXS64476 RXS129959:RXS130012 RXS195495:RXS195548 RXS261031:RXS261084 RXS326567:RXS326620 RXS392103:RXS392156 RXS457639:RXS457692 RXS523175:RXS523228 RXS588711:RXS588764 RXS654247:RXS654300 RXS719783:RXS719836 RXS785319:RXS785372 RXS850855:RXS850908 RXS916391:RXS916444 RXS981927:RXS981980 RXS1047463:RXS1047516 SHO64423:SHO64476 SHO129959:SHO130012 SHO195495:SHO195548 SHO261031:SHO261084 SHO326567:SHO326620 SHO392103:SHO392156 SHO457639:SHO457692 SHO523175:SHO523228 SHO588711:SHO588764 SHO654247:SHO654300 SHO719783:SHO719836 SHO785319:SHO785372 SHO850855:SHO850908 SHO916391:SHO916444 SHO981927:SHO981980 SHO1047463:SHO1047516 SRK64423:SRK64476 SRK129959:SRK130012 SRK195495:SRK195548 SRK261031:SRK261084 SRK326567:SRK326620 SRK392103:SRK392156 SRK457639:SRK457692 SRK523175:SRK523228 SRK588711:SRK588764 SRK654247:SRK654300 SRK719783:SRK719836 SRK785319:SRK785372 SRK850855:SRK850908 SRK916391:SRK916444 SRK981927:SRK981980 SRK1047463:SRK1047516 TBG64423:TBG64476 TBG129959:TBG130012 TBG195495:TBG195548 TBG261031:TBG261084 TBG326567:TBG326620 TBG392103:TBG392156 TBG457639:TBG457692 TBG523175:TBG523228 TBG588711:TBG588764 TBG654247:TBG654300 TBG719783:TBG719836 TBG785319:TBG785372 TBG850855:TBG850908 TBG916391:TBG916444 TBG981927:TBG981980 TBG1047463:TBG1047516 TLC64423:TLC64476 TLC129959:TLC130012 TLC195495:TLC195548 TLC261031:TLC261084 TLC326567:TLC326620 TLC392103:TLC392156 TLC457639:TLC457692 TLC523175:TLC523228 TLC588711:TLC588764 TLC654247:TLC654300 TLC719783:TLC719836 TLC785319:TLC785372 TLC850855:TLC850908 TLC916391:TLC916444 TLC981927:TLC981980 TLC1047463:TLC1047516 TUY64423:TUY64476 TUY129959:TUY130012 TUY195495:TUY195548 TUY261031:TUY261084 TUY326567:TUY326620 TUY392103:TUY392156 TUY457639:TUY457692 TUY523175:TUY523228 TUY588711:TUY588764 TUY654247:TUY654300 TUY719783:TUY719836 TUY785319:TUY785372 TUY850855:TUY850908 TUY916391:TUY916444 TUY981927:TUY981980 TUY1047463:TUY1047516 UEU64423:UEU64476 UEU129959:UEU130012 UEU195495:UEU195548 UEU261031:UEU261084 UEU326567:UEU326620 UEU392103:UEU392156 UEU457639:UEU457692 UEU523175:UEU523228 UEU588711:UEU588764 UEU654247:UEU654300 UEU719783:UEU719836 UEU785319:UEU785372 UEU850855:UEU850908 UEU916391:UEU916444 UEU981927:UEU981980 UEU1047463:UEU1047516 UOQ64423:UOQ64476 UOQ129959:UOQ130012 UOQ195495:UOQ195548 UOQ261031:UOQ261084 UOQ326567:UOQ326620 UOQ392103:UOQ392156 UOQ457639:UOQ457692 UOQ523175:UOQ523228 UOQ588711:UOQ588764 UOQ654247:UOQ654300 UOQ719783:UOQ719836 UOQ785319:UOQ785372 UOQ850855:UOQ850908 UOQ916391:UOQ916444 UOQ981927:UOQ981980 UOQ1047463:UOQ1047516 UYM64423:UYM64476 UYM129959:UYM130012 UYM195495:UYM195548 UYM261031:UYM261084 UYM326567:UYM326620 UYM392103:UYM392156 UYM457639:UYM457692 UYM523175:UYM523228 UYM588711:UYM588764 UYM654247:UYM654300 UYM719783:UYM719836 UYM785319:UYM785372 UYM850855:UYM850908 UYM916391:UYM916444 UYM981927:UYM981980 UYM1047463:UYM1047516 VII64423:VII64476 VII129959:VII130012 VII195495:VII195548 VII261031:VII261084 VII326567:VII326620 VII392103:VII392156 VII457639:VII457692 VII523175:VII523228 VII588711:VII588764 VII654247:VII654300 VII719783:VII719836 VII785319:VII785372 VII850855:VII850908 VII916391:VII916444 VII981927:VII981980 VII1047463:VII1047516 VSE64423:VSE64476 VSE129959:VSE130012 VSE195495:VSE195548 VSE261031:VSE261084 VSE326567:VSE326620 VSE392103:VSE392156 VSE457639:VSE457692 VSE523175:VSE523228 VSE588711:VSE588764 VSE654247:VSE654300 VSE719783:VSE719836 VSE785319:VSE785372 VSE850855:VSE850908 VSE916391:VSE916444 VSE981927:VSE981980 VSE1047463:VSE1047516 WCA64423:WCA64476 WCA129959:WCA130012 WCA195495:WCA195548 WCA261031:WCA261084 WCA326567:WCA326620 WCA392103:WCA392156 WCA457639:WCA457692 WCA523175:WCA523228 WCA588711:WCA588764 WCA654247:WCA654300 WCA719783:WCA719836 WCA785319:WCA785372 WCA850855:WCA850908 WCA916391:WCA916444 WCA981927:WCA981980 WCA1047463:WCA1047516 WLW64423:WLW64476 WLW129959:WLW130012 WLW195495:WLW195548 WLW261031:WLW261084 WLW326567:WLW326620 WLW392103:WLW392156 WLW457639:WLW457692 WLW523175:WLW523228 WLW588711:WLW588764 WLW654247:WLW654300 WLW719783:WLW719836 WLW785319:WLW785372 WLW850855:WLW850908 WLW916391:WLW916444 WLW981927:WLW981980 WLW1047463:WLW1047516 WVS64423:WVS64476 WVS129959:WVS130012 WVS195495:WVS195548 WVS261031:WVS261084 WVS326567:WVS326620 WVS392103:WVS392156 WVS457639:WVS457692 WVS523175:WVS523228 WVS588711:WVS588764 WVS654247:WVS654300 WVS719783:WVS719836 WVS785319:WVS785372 WVS850855:WVS850908 WVS916391:WVS916444 WVS981927:WVS981980 WVS1047463:WVS1047516" xr:uid="{89A46971-D3EC-467E-9D81-D9810AC8E6E7}">
      <formula1>$AR$2:$AR$21</formula1>
    </dataValidation>
    <dataValidation type="list" allowBlank="1" showInputMessage="1" showErrorMessage="1" sqref="J64423:J64476 J129959:J130012 J195495:J195548 J261031:J261084 J326567:J326620 J392103:J392156 J457639:J457692 J523175:J523228 J588711:J588764 J654247:J654300 J719783:J719836 J785319:J785372 J850855:J850908 J916391:J916444 J981927:J981980 J1047463:J1047516 JF64423:JF64476 JF129959:JF130012 JF195495:JF195548 JF261031:JF261084 JF326567:JF326620 JF392103:JF392156 JF457639:JF457692 JF523175:JF523228 JF588711:JF588764 JF654247:JF654300 JF719783:JF719836 JF785319:JF785372 JF850855:JF850908 JF916391:JF916444 JF981927:JF981980 JF1047463:JF1047516 TB64423:TB64476 TB129959:TB130012 TB195495:TB195548 TB261031:TB261084 TB326567:TB326620 TB392103:TB392156 TB457639:TB457692 TB523175:TB523228 TB588711:TB588764 TB654247:TB654300 TB719783:TB719836 TB785319:TB785372 TB850855:TB850908 TB916391:TB916444 TB981927:TB981980 TB1047463:TB1047516 ACX64423:ACX64476 ACX129959:ACX130012 ACX195495:ACX195548 ACX261031:ACX261084 ACX326567:ACX326620 ACX392103:ACX392156 ACX457639:ACX457692 ACX523175:ACX523228 ACX588711:ACX588764 ACX654247:ACX654300 ACX719783:ACX719836 ACX785319:ACX785372 ACX850855:ACX850908 ACX916391:ACX916444 ACX981927:ACX981980 ACX1047463:ACX1047516 AMT64423:AMT64476 AMT129959:AMT130012 AMT195495:AMT195548 AMT261031:AMT261084 AMT326567:AMT326620 AMT392103:AMT392156 AMT457639:AMT457692 AMT523175:AMT523228 AMT588711:AMT588764 AMT654247:AMT654300 AMT719783:AMT719836 AMT785319:AMT785372 AMT850855:AMT850908 AMT916391:AMT916444 AMT981927:AMT981980 AMT1047463:AMT1047516 AWP64423:AWP64476 AWP129959:AWP130012 AWP195495:AWP195548 AWP261031:AWP261084 AWP326567:AWP326620 AWP392103:AWP392156 AWP457639:AWP457692 AWP523175:AWP523228 AWP588711:AWP588764 AWP654247:AWP654300 AWP719783:AWP719836 AWP785319:AWP785372 AWP850855:AWP850908 AWP916391:AWP916444 AWP981927:AWP981980 AWP1047463:AWP1047516 BGL64423:BGL64476 BGL129959:BGL130012 BGL195495:BGL195548 BGL261031:BGL261084 BGL326567:BGL326620 BGL392103:BGL392156 BGL457639:BGL457692 BGL523175:BGL523228 BGL588711:BGL588764 BGL654247:BGL654300 BGL719783:BGL719836 BGL785319:BGL785372 BGL850855:BGL850908 BGL916391:BGL916444 BGL981927:BGL981980 BGL1047463:BGL1047516 BQH64423:BQH64476 BQH129959:BQH130012 BQH195495:BQH195548 BQH261031:BQH261084 BQH326567:BQH326620 BQH392103:BQH392156 BQH457639:BQH457692 BQH523175:BQH523228 BQH588711:BQH588764 BQH654247:BQH654300 BQH719783:BQH719836 BQH785319:BQH785372 BQH850855:BQH850908 BQH916391:BQH916444 BQH981927:BQH981980 BQH1047463:BQH1047516 CAD64423:CAD64476 CAD129959:CAD130012 CAD195495:CAD195548 CAD261031:CAD261084 CAD326567:CAD326620 CAD392103:CAD392156 CAD457639:CAD457692 CAD523175:CAD523228 CAD588711:CAD588764 CAD654247:CAD654300 CAD719783:CAD719836 CAD785319:CAD785372 CAD850855:CAD850908 CAD916391:CAD916444 CAD981927:CAD981980 CAD1047463:CAD1047516 CJZ64423:CJZ64476 CJZ129959:CJZ130012 CJZ195495:CJZ195548 CJZ261031:CJZ261084 CJZ326567:CJZ326620 CJZ392103:CJZ392156 CJZ457639:CJZ457692 CJZ523175:CJZ523228 CJZ588711:CJZ588764 CJZ654247:CJZ654300 CJZ719783:CJZ719836 CJZ785319:CJZ785372 CJZ850855:CJZ850908 CJZ916391:CJZ916444 CJZ981927:CJZ981980 CJZ1047463:CJZ1047516 CTV64423:CTV64476 CTV129959:CTV130012 CTV195495:CTV195548 CTV261031:CTV261084 CTV326567:CTV326620 CTV392103:CTV392156 CTV457639:CTV457692 CTV523175:CTV523228 CTV588711:CTV588764 CTV654247:CTV654300 CTV719783:CTV719836 CTV785319:CTV785372 CTV850855:CTV850908 CTV916391:CTV916444 CTV981927:CTV981980 CTV1047463:CTV1047516 DDR64423:DDR64476 DDR129959:DDR130012 DDR195495:DDR195548 DDR261031:DDR261084 DDR326567:DDR326620 DDR392103:DDR392156 DDR457639:DDR457692 DDR523175:DDR523228 DDR588711:DDR588764 DDR654247:DDR654300 DDR719783:DDR719836 DDR785319:DDR785372 DDR850855:DDR850908 DDR916391:DDR916444 DDR981927:DDR981980 DDR1047463:DDR1047516 DNN64423:DNN64476 DNN129959:DNN130012 DNN195495:DNN195548 DNN261031:DNN261084 DNN326567:DNN326620 DNN392103:DNN392156 DNN457639:DNN457692 DNN523175:DNN523228 DNN588711:DNN588764 DNN654247:DNN654300 DNN719783:DNN719836 DNN785319:DNN785372 DNN850855:DNN850908 DNN916391:DNN916444 DNN981927:DNN981980 DNN1047463:DNN1047516 DXJ64423:DXJ64476 DXJ129959:DXJ130012 DXJ195495:DXJ195548 DXJ261031:DXJ261084 DXJ326567:DXJ326620 DXJ392103:DXJ392156 DXJ457639:DXJ457692 DXJ523175:DXJ523228 DXJ588711:DXJ588764 DXJ654247:DXJ654300 DXJ719783:DXJ719836 DXJ785319:DXJ785372 DXJ850855:DXJ850908 DXJ916391:DXJ916444 DXJ981927:DXJ981980 DXJ1047463:DXJ1047516 EHF64423:EHF64476 EHF129959:EHF130012 EHF195495:EHF195548 EHF261031:EHF261084 EHF326567:EHF326620 EHF392103:EHF392156 EHF457639:EHF457692 EHF523175:EHF523228 EHF588711:EHF588764 EHF654247:EHF654300 EHF719783:EHF719836 EHF785319:EHF785372 EHF850855:EHF850908 EHF916391:EHF916444 EHF981927:EHF981980 EHF1047463:EHF1047516 ERB64423:ERB64476 ERB129959:ERB130012 ERB195495:ERB195548 ERB261031:ERB261084 ERB326567:ERB326620 ERB392103:ERB392156 ERB457639:ERB457692 ERB523175:ERB523228 ERB588711:ERB588764 ERB654247:ERB654300 ERB719783:ERB719836 ERB785319:ERB785372 ERB850855:ERB850908 ERB916391:ERB916444 ERB981927:ERB981980 ERB1047463:ERB1047516 FAX64423:FAX64476 FAX129959:FAX130012 FAX195495:FAX195548 FAX261031:FAX261084 FAX326567:FAX326620 FAX392103:FAX392156 FAX457639:FAX457692 FAX523175:FAX523228 FAX588711:FAX588764 FAX654247:FAX654300 FAX719783:FAX719836 FAX785319:FAX785372 FAX850855:FAX850908 FAX916391:FAX916444 FAX981927:FAX981980 FAX1047463:FAX1047516 FKT64423:FKT64476 FKT129959:FKT130012 FKT195495:FKT195548 FKT261031:FKT261084 FKT326567:FKT326620 FKT392103:FKT392156 FKT457639:FKT457692 FKT523175:FKT523228 FKT588711:FKT588764 FKT654247:FKT654300 FKT719783:FKT719836 FKT785319:FKT785372 FKT850855:FKT850908 FKT916391:FKT916444 FKT981927:FKT981980 FKT1047463:FKT1047516 FUP64423:FUP64476 FUP129959:FUP130012 FUP195495:FUP195548 FUP261031:FUP261084 FUP326567:FUP326620 FUP392103:FUP392156 FUP457639:FUP457692 FUP523175:FUP523228 FUP588711:FUP588764 FUP654247:FUP654300 FUP719783:FUP719836 FUP785319:FUP785372 FUP850855:FUP850908 FUP916391:FUP916444 FUP981927:FUP981980 FUP1047463:FUP1047516 GEL64423:GEL64476 GEL129959:GEL130012 GEL195495:GEL195548 GEL261031:GEL261084 GEL326567:GEL326620 GEL392103:GEL392156 GEL457639:GEL457692 GEL523175:GEL523228 GEL588711:GEL588764 GEL654247:GEL654300 GEL719783:GEL719836 GEL785319:GEL785372 GEL850855:GEL850908 GEL916391:GEL916444 GEL981927:GEL981980 GEL1047463:GEL1047516 GOH64423:GOH64476 GOH129959:GOH130012 GOH195495:GOH195548 GOH261031:GOH261084 GOH326567:GOH326620 GOH392103:GOH392156 GOH457639:GOH457692 GOH523175:GOH523228 GOH588711:GOH588764 GOH654247:GOH654300 GOH719783:GOH719836 GOH785319:GOH785372 GOH850855:GOH850908 GOH916391:GOH916444 GOH981927:GOH981980 GOH1047463:GOH1047516 GYD64423:GYD64476 GYD129959:GYD130012 GYD195495:GYD195548 GYD261031:GYD261084 GYD326567:GYD326620 GYD392103:GYD392156 GYD457639:GYD457692 GYD523175:GYD523228 GYD588711:GYD588764 GYD654247:GYD654300 GYD719783:GYD719836 GYD785319:GYD785372 GYD850855:GYD850908 GYD916391:GYD916444 GYD981927:GYD981980 GYD1047463:GYD1047516 HHZ64423:HHZ64476 HHZ129959:HHZ130012 HHZ195495:HHZ195548 HHZ261031:HHZ261084 HHZ326567:HHZ326620 HHZ392103:HHZ392156 HHZ457639:HHZ457692 HHZ523175:HHZ523228 HHZ588711:HHZ588764 HHZ654247:HHZ654300 HHZ719783:HHZ719836 HHZ785319:HHZ785372 HHZ850855:HHZ850908 HHZ916391:HHZ916444 HHZ981927:HHZ981980 HHZ1047463:HHZ1047516 HRV64423:HRV64476 HRV129959:HRV130012 HRV195495:HRV195548 HRV261031:HRV261084 HRV326567:HRV326620 HRV392103:HRV392156 HRV457639:HRV457692 HRV523175:HRV523228 HRV588711:HRV588764 HRV654247:HRV654300 HRV719783:HRV719836 HRV785319:HRV785372 HRV850855:HRV850908 HRV916391:HRV916444 HRV981927:HRV981980 HRV1047463:HRV1047516 IBR64423:IBR64476 IBR129959:IBR130012 IBR195495:IBR195548 IBR261031:IBR261084 IBR326567:IBR326620 IBR392103:IBR392156 IBR457639:IBR457692 IBR523175:IBR523228 IBR588711:IBR588764 IBR654247:IBR654300 IBR719783:IBR719836 IBR785319:IBR785372 IBR850855:IBR850908 IBR916391:IBR916444 IBR981927:IBR981980 IBR1047463:IBR1047516 ILN64423:ILN64476 ILN129959:ILN130012 ILN195495:ILN195548 ILN261031:ILN261084 ILN326567:ILN326620 ILN392103:ILN392156 ILN457639:ILN457692 ILN523175:ILN523228 ILN588711:ILN588764 ILN654247:ILN654300 ILN719783:ILN719836 ILN785319:ILN785372 ILN850855:ILN850908 ILN916391:ILN916444 ILN981927:ILN981980 ILN1047463:ILN1047516 IVJ64423:IVJ64476 IVJ129959:IVJ130012 IVJ195495:IVJ195548 IVJ261031:IVJ261084 IVJ326567:IVJ326620 IVJ392103:IVJ392156 IVJ457639:IVJ457692 IVJ523175:IVJ523228 IVJ588711:IVJ588764 IVJ654247:IVJ654300 IVJ719783:IVJ719836 IVJ785319:IVJ785372 IVJ850855:IVJ850908 IVJ916391:IVJ916444 IVJ981927:IVJ981980 IVJ1047463:IVJ1047516 JFF64423:JFF64476 JFF129959:JFF130012 JFF195495:JFF195548 JFF261031:JFF261084 JFF326567:JFF326620 JFF392103:JFF392156 JFF457639:JFF457692 JFF523175:JFF523228 JFF588711:JFF588764 JFF654247:JFF654300 JFF719783:JFF719836 JFF785319:JFF785372 JFF850855:JFF850908 JFF916391:JFF916444 JFF981927:JFF981980 JFF1047463:JFF1047516 JPB64423:JPB64476 JPB129959:JPB130012 JPB195495:JPB195548 JPB261031:JPB261084 JPB326567:JPB326620 JPB392103:JPB392156 JPB457639:JPB457692 JPB523175:JPB523228 JPB588711:JPB588764 JPB654247:JPB654300 JPB719783:JPB719836 JPB785319:JPB785372 JPB850855:JPB850908 JPB916391:JPB916444 JPB981927:JPB981980 JPB1047463:JPB1047516 JYX64423:JYX64476 JYX129959:JYX130012 JYX195495:JYX195548 JYX261031:JYX261084 JYX326567:JYX326620 JYX392103:JYX392156 JYX457639:JYX457692 JYX523175:JYX523228 JYX588711:JYX588764 JYX654247:JYX654300 JYX719783:JYX719836 JYX785319:JYX785372 JYX850855:JYX850908 JYX916391:JYX916444 JYX981927:JYX981980 JYX1047463:JYX1047516 KIT64423:KIT64476 KIT129959:KIT130012 KIT195495:KIT195548 KIT261031:KIT261084 KIT326567:KIT326620 KIT392103:KIT392156 KIT457639:KIT457692 KIT523175:KIT523228 KIT588711:KIT588764 KIT654247:KIT654300 KIT719783:KIT719836 KIT785319:KIT785372 KIT850855:KIT850908 KIT916391:KIT916444 KIT981927:KIT981980 KIT1047463:KIT1047516 KSP64423:KSP64476 KSP129959:KSP130012 KSP195495:KSP195548 KSP261031:KSP261084 KSP326567:KSP326620 KSP392103:KSP392156 KSP457639:KSP457692 KSP523175:KSP523228 KSP588711:KSP588764 KSP654247:KSP654300 KSP719783:KSP719836 KSP785319:KSP785372 KSP850855:KSP850908 KSP916391:KSP916444 KSP981927:KSP981980 KSP1047463:KSP1047516 LCL64423:LCL64476 LCL129959:LCL130012 LCL195495:LCL195548 LCL261031:LCL261084 LCL326567:LCL326620 LCL392103:LCL392156 LCL457639:LCL457692 LCL523175:LCL523228 LCL588711:LCL588764 LCL654247:LCL654300 LCL719783:LCL719836 LCL785319:LCL785372 LCL850855:LCL850908 LCL916391:LCL916444 LCL981927:LCL981980 LCL1047463:LCL1047516 LMH64423:LMH64476 LMH129959:LMH130012 LMH195495:LMH195548 LMH261031:LMH261084 LMH326567:LMH326620 LMH392103:LMH392156 LMH457639:LMH457692 LMH523175:LMH523228 LMH588711:LMH588764 LMH654247:LMH654300 LMH719783:LMH719836 LMH785319:LMH785372 LMH850855:LMH850908 LMH916391:LMH916444 LMH981927:LMH981980 LMH1047463:LMH1047516 LWD64423:LWD64476 LWD129959:LWD130012 LWD195495:LWD195548 LWD261031:LWD261084 LWD326567:LWD326620 LWD392103:LWD392156 LWD457639:LWD457692 LWD523175:LWD523228 LWD588711:LWD588764 LWD654247:LWD654300 LWD719783:LWD719836 LWD785319:LWD785372 LWD850855:LWD850908 LWD916391:LWD916444 LWD981927:LWD981980 LWD1047463:LWD1047516 MFZ64423:MFZ64476 MFZ129959:MFZ130012 MFZ195495:MFZ195548 MFZ261031:MFZ261084 MFZ326567:MFZ326620 MFZ392103:MFZ392156 MFZ457639:MFZ457692 MFZ523175:MFZ523228 MFZ588711:MFZ588764 MFZ654247:MFZ654300 MFZ719783:MFZ719836 MFZ785319:MFZ785372 MFZ850855:MFZ850908 MFZ916391:MFZ916444 MFZ981927:MFZ981980 MFZ1047463:MFZ1047516 MPV64423:MPV64476 MPV129959:MPV130012 MPV195495:MPV195548 MPV261031:MPV261084 MPV326567:MPV326620 MPV392103:MPV392156 MPV457639:MPV457692 MPV523175:MPV523228 MPV588711:MPV588764 MPV654247:MPV654300 MPV719783:MPV719836 MPV785319:MPV785372 MPV850855:MPV850908 MPV916391:MPV916444 MPV981927:MPV981980 MPV1047463:MPV1047516 MZR64423:MZR64476 MZR129959:MZR130012 MZR195495:MZR195548 MZR261031:MZR261084 MZR326567:MZR326620 MZR392103:MZR392156 MZR457639:MZR457692 MZR523175:MZR523228 MZR588711:MZR588764 MZR654247:MZR654300 MZR719783:MZR719836 MZR785319:MZR785372 MZR850855:MZR850908 MZR916391:MZR916444 MZR981927:MZR981980 MZR1047463:MZR1047516 NJN64423:NJN64476 NJN129959:NJN130012 NJN195495:NJN195548 NJN261031:NJN261084 NJN326567:NJN326620 NJN392103:NJN392156 NJN457639:NJN457692 NJN523175:NJN523228 NJN588711:NJN588764 NJN654247:NJN654300 NJN719783:NJN719836 NJN785319:NJN785372 NJN850855:NJN850908 NJN916391:NJN916444 NJN981927:NJN981980 NJN1047463:NJN1047516 NTJ64423:NTJ64476 NTJ129959:NTJ130012 NTJ195495:NTJ195548 NTJ261031:NTJ261084 NTJ326567:NTJ326620 NTJ392103:NTJ392156 NTJ457639:NTJ457692 NTJ523175:NTJ523228 NTJ588711:NTJ588764 NTJ654247:NTJ654300 NTJ719783:NTJ719836 NTJ785319:NTJ785372 NTJ850855:NTJ850908 NTJ916391:NTJ916444 NTJ981927:NTJ981980 NTJ1047463:NTJ1047516 ODF64423:ODF64476 ODF129959:ODF130012 ODF195495:ODF195548 ODF261031:ODF261084 ODF326567:ODF326620 ODF392103:ODF392156 ODF457639:ODF457692 ODF523175:ODF523228 ODF588711:ODF588764 ODF654247:ODF654300 ODF719783:ODF719836 ODF785319:ODF785372 ODF850855:ODF850908 ODF916391:ODF916444 ODF981927:ODF981980 ODF1047463:ODF1047516 ONB64423:ONB64476 ONB129959:ONB130012 ONB195495:ONB195548 ONB261031:ONB261084 ONB326567:ONB326620 ONB392103:ONB392156 ONB457639:ONB457692 ONB523175:ONB523228 ONB588711:ONB588764 ONB654247:ONB654300 ONB719783:ONB719836 ONB785319:ONB785372 ONB850855:ONB850908 ONB916391:ONB916444 ONB981927:ONB981980 ONB1047463:ONB1047516 OWX64423:OWX64476 OWX129959:OWX130012 OWX195495:OWX195548 OWX261031:OWX261084 OWX326567:OWX326620 OWX392103:OWX392156 OWX457639:OWX457692 OWX523175:OWX523228 OWX588711:OWX588764 OWX654247:OWX654300 OWX719783:OWX719836 OWX785319:OWX785372 OWX850855:OWX850908 OWX916391:OWX916444 OWX981927:OWX981980 OWX1047463:OWX1047516 PGT64423:PGT64476 PGT129959:PGT130012 PGT195495:PGT195548 PGT261031:PGT261084 PGT326567:PGT326620 PGT392103:PGT392156 PGT457639:PGT457692 PGT523175:PGT523228 PGT588711:PGT588764 PGT654247:PGT654300 PGT719783:PGT719836 PGT785319:PGT785372 PGT850855:PGT850908 PGT916391:PGT916444 PGT981927:PGT981980 PGT1047463:PGT1047516 PQP64423:PQP64476 PQP129959:PQP130012 PQP195495:PQP195548 PQP261031:PQP261084 PQP326567:PQP326620 PQP392103:PQP392156 PQP457639:PQP457692 PQP523175:PQP523228 PQP588711:PQP588764 PQP654247:PQP654300 PQP719783:PQP719836 PQP785319:PQP785372 PQP850855:PQP850908 PQP916391:PQP916444 PQP981927:PQP981980 PQP1047463:PQP1047516 QAL64423:QAL64476 QAL129959:QAL130012 QAL195495:QAL195548 QAL261031:QAL261084 QAL326567:QAL326620 QAL392103:QAL392156 QAL457639:QAL457692 QAL523175:QAL523228 QAL588711:QAL588764 QAL654247:QAL654300 QAL719783:QAL719836 QAL785319:QAL785372 QAL850855:QAL850908 QAL916391:QAL916444 QAL981927:QAL981980 QAL1047463:QAL1047516 QKH64423:QKH64476 QKH129959:QKH130012 QKH195495:QKH195548 QKH261031:QKH261084 QKH326567:QKH326620 QKH392103:QKH392156 QKH457639:QKH457692 QKH523175:QKH523228 QKH588711:QKH588764 QKH654247:QKH654300 QKH719783:QKH719836 QKH785319:QKH785372 QKH850855:QKH850908 QKH916391:QKH916444 QKH981927:QKH981980 QKH1047463:QKH1047516 QUD64423:QUD64476 QUD129959:QUD130012 QUD195495:QUD195548 QUD261031:QUD261084 QUD326567:QUD326620 QUD392103:QUD392156 QUD457639:QUD457692 QUD523175:QUD523228 QUD588711:QUD588764 QUD654247:QUD654300 QUD719783:QUD719836 QUD785319:QUD785372 QUD850855:QUD850908 QUD916391:QUD916444 QUD981927:QUD981980 QUD1047463:QUD1047516 RDZ64423:RDZ64476 RDZ129959:RDZ130012 RDZ195495:RDZ195548 RDZ261031:RDZ261084 RDZ326567:RDZ326620 RDZ392103:RDZ392156 RDZ457639:RDZ457692 RDZ523175:RDZ523228 RDZ588711:RDZ588764 RDZ654247:RDZ654300 RDZ719783:RDZ719836 RDZ785319:RDZ785372 RDZ850855:RDZ850908 RDZ916391:RDZ916444 RDZ981927:RDZ981980 RDZ1047463:RDZ1047516 RNV64423:RNV64476 RNV129959:RNV130012 RNV195495:RNV195548 RNV261031:RNV261084 RNV326567:RNV326620 RNV392103:RNV392156 RNV457639:RNV457692 RNV523175:RNV523228 RNV588711:RNV588764 RNV654247:RNV654300 RNV719783:RNV719836 RNV785319:RNV785372 RNV850855:RNV850908 RNV916391:RNV916444 RNV981927:RNV981980 RNV1047463:RNV1047516 RXR64423:RXR64476 RXR129959:RXR130012 RXR195495:RXR195548 RXR261031:RXR261084 RXR326567:RXR326620 RXR392103:RXR392156 RXR457639:RXR457692 RXR523175:RXR523228 RXR588711:RXR588764 RXR654247:RXR654300 RXR719783:RXR719836 RXR785319:RXR785372 RXR850855:RXR850908 RXR916391:RXR916444 RXR981927:RXR981980 RXR1047463:RXR1047516 SHN64423:SHN64476 SHN129959:SHN130012 SHN195495:SHN195548 SHN261031:SHN261084 SHN326567:SHN326620 SHN392103:SHN392156 SHN457639:SHN457692 SHN523175:SHN523228 SHN588711:SHN588764 SHN654247:SHN654300 SHN719783:SHN719836 SHN785319:SHN785372 SHN850855:SHN850908 SHN916391:SHN916444 SHN981927:SHN981980 SHN1047463:SHN1047516 SRJ64423:SRJ64476 SRJ129959:SRJ130012 SRJ195495:SRJ195548 SRJ261031:SRJ261084 SRJ326567:SRJ326620 SRJ392103:SRJ392156 SRJ457639:SRJ457692 SRJ523175:SRJ523228 SRJ588711:SRJ588764 SRJ654247:SRJ654300 SRJ719783:SRJ719836 SRJ785319:SRJ785372 SRJ850855:SRJ850908 SRJ916391:SRJ916444 SRJ981927:SRJ981980 SRJ1047463:SRJ1047516 TBF64423:TBF64476 TBF129959:TBF130012 TBF195495:TBF195548 TBF261031:TBF261084 TBF326567:TBF326620 TBF392103:TBF392156 TBF457639:TBF457692 TBF523175:TBF523228 TBF588711:TBF588764 TBF654247:TBF654300 TBF719783:TBF719836 TBF785319:TBF785372 TBF850855:TBF850908 TBF916391:TBF916444 TBF981927:TBF981980 TBF1047463:TBF1047516 TLB64423:TLB64476 TLB129959:TLB130012 TLB195495:TLB195548 TLB261031:TLB261084 TLB326567:TLB326620 TLB392103:TLB392156 TLB457639:TLB457692 TLB523175:TLB523228 TLB588711:TLB588764 TLB654247:TLB654300 TLB719783:TLB719836 TLB785319:TLB785372 TLB850855:TLB850908 TLB916391:TLB916444 TLB981927:TLB981980 TLB1047463:TLB1047516 TUX64423:TUX64476 TUX129959:TUX130012 TUX195495:TUX195548 TUX261031:TUX261084 TUX326567:TUX326620 TUX392103:TUX392156 TUX457639:TUX457692 TUX523175:TUX523228 TUX588711:TUX588764 TUX654247:TUX654300 TUX719783:TUX719836 TUX785319:TUX785372 TUX850855:TUX850908 TUX916391:TUX916444 TUX981927:TUX981980 TUX1047463:TUX1047516 UET64423:UET64476 UET129959:UET130012 UET195495:UET195548 UET261031:UET261084 UET326567:UET326620 UET392103:UET392156 UET457639:UET457692 UET523175:UET523228 UET588711:UET588764 UET654247:UET654300 UET719783:UET719836 UET785319:UET785372 UET850855:UET850908 UET916391:UET916444 UET981927:UET981980 UET1047463:UET1047516 UOP64423:UOP64476 UOP129959:UOP130012 UOP195495:UOP195548 UOP261031:UOP261084 UOP326567:UOP326620 UOP392103:UOP392156 UOP457639:UOP457692 UOP523175:UOP523228 UOP588711:UOP588764 UOP654247:UOP654300 UOP719783:UOP719836 UOP785319:UOP785372 UOP850855:UOP850908 UOP916391:UOP916444 UOP981927:UOP981980 UOP1047463:UOP1047516 UYL64423:UYL64476 UYL129959:UYL130012 UYL195495:UYL195548 UYL261031:UYL261084 UYL326567:UYL326620 UYL392103:UYL392156 UYL457639:UYL457692 UYL523175:UYL523228 UYL588711:UYL588764 UYL654247:UYL654300 UYL719783:UYL719836 UYL785319:UYL785372 UYL850855:UYL850908 UYL916391:UYL916444 UYL981927:UYL981980 UYL1047463:UYL1047516 VIH64423:VIH64476 VIH129959:VIH130012 VIH195495:VIH195548 VIH261031:VIH261084 VIH326567:VIH326620 VIH392103:VIH392156 VIH457639:VIH457692 VIH523175:VIH523228 VIH588711:VIH588764 VIH654247:VIH654300 VIH719783:VIH719836 VIH785319:VIH785372 VIH850855:VIH850908 VIH916391:VIH916444 VIH981927:VIH981980 VIH1047463:VIH1047516 VSD64423:VSD64476 VSD129959:VSD130012 VSD195495:VSD195548 VSD261031:VSD261084 VSD326567:VSD326620 VSD392103:VSD392156 VSD457639:VSD457692 VSD523175:VSD523228 VSD588711:VSD588764 VSD654247:VSD654300 VSD719783:VSD719836 VSD785319:VSD785372 VSD850855:VSD850908 VSD916391:VSD916444 VSD981927:VSD981980 VSD1047463:VSD1047516 WBZ64423:WBZ64476 WBZ129959:WBZ130012 WBZ195495:WBZ195548 WBZ261031:WBZ261084 WBZ326567:WBZ326620 WBZ392103:WBZ392156 WBZ457639:WBZ457692 WBZ523175:WBZ523228 WBZ588711:WBZ588764 WBZ654247:WBZ654300 WBZ719783:WBZ719836 WBZ785319:WBZ785372 WBZ850855:WBZ850908 WBZ916391:WBZ916444 WBZ981927:WBZ981980 WBZ1047463:WBZ1047516 WLV64423:WLV64476 WLV129959:WLV130012 WLV195495:WLV195548 WLV261031:WLV261084 WLV326567:WLV326620 WLV392103:WLV392156 WLV457639:WLV457692 WLV523175:WLV523228 WLV588711:WLV588764 WLV654247:WLV654300 WLV719783:WLV719836 WLV785319:WLV785372 WLV850855:WLV850908 WLV916391:WLV916444 WLV981927:WLV981980 WLV1047463:WLV1047516 WVR64423:WVR64476 WVR129959:WVR130012 WVR195495:WVR195548 WVR261031:WVR261084 WVR326567:WVR326620 WVR392103:WVR392156 WVR457639:WVR457692 WVR523175:WVR523228 WVR588711:WVR588764 WVR654247:WVR654300 WVR719783:WVR719836 WVR785319:WVR785372 WVR850855:WVR850908 WVR916391:WVR916444 WVR981927:WVR981980 WVR1047463:WVR1047516" xr:uid="{E3F4E011-0509-4A44-B4C7-1BED147C10F0}">
      <formula1>$AP$2:$AP$12</formula1>
    </dataValidation>
    <dataValidation type="list" allowBlank="1" showInputMessage="1" showErrorMessage="1" sqref="H65538:H66036 H131074:H131572 H196610:H197108 H262146:H262644 H327682:H328180 H393218:H393716 H458754:H459252 H524290:H524788 H589826:H590324 H655362:H655860 H720898:H721396 H786434:H786932 H851970:H852468 H917506:H918004 H983042:H983540 JD2:JD500 JD65538:JD66036 JD131074:JD131572 JD196610:JD197108 JD262146:JD262644 JD327682:JD328180 JD393218:JD393716 JD458754:JD459252 JD524290:JD524788 JD589826:JD590324 JD655362:JD655860 JD720898:JD721396 JD786434:JD786932 JD851970:JD852468 JD917506:JD918004 JD983042:JD983540 SZ2:SZ500 SZ65538:SZ66036 SZ131074:SZ131572 SZ196610:SZ197108 SZ262146:SZ262644 SZ327682:SZ328180 SZ393218:SZ393716 SZ458754:SZ459252 SZ524290:SZ524788 SZ589826:SZ590324 SZ655362:SZ655860 SZ720898:SZ721396 SZ786434:SZ786932 SZ851970:SZ852468 SZ917506:SZ918004 SZ983042:SZ983540 ACV2:ACV500 ACV65538:ACV66036 ACV131074:ACV131572 ACV196610:ACV197108 ACV262146:ACV262644 ACV327682:ACV328180 ACV393218:ACV393716 ACV458754:ACV459252 ACV524290:ACV524788 ACV589826:ACV590324 ACV655362:ACV655860 ACV720898:ACV721396 ACV786434:ACV786932 ACV851970:ACV852468 ACV917506:ACV918004 ACV983042:ACV983540 AMR2:AMR500 AMR65538:AMR66036 AMR131074:AMR131572 AMR196610:AMR197108 AMR262146:AMR262644 AMR327682:AMR328180 AMR393218:AMR393716 AMR458754:AMR459252 AMR524290:AMR524788 AMR589826:AMR590324 AMR655362:AMR655860 AMR720898:AMR721396 AMR786434:AMR786932 AMR851970:AMR852468 AMR917506:AMR918004 AMR983042:AMR983540 AWN2:AWN500 AWN65538:AWN66036 AWN131074:AWN131572 AWN196610:AWN197108 AWN262146:AWN262644 AWN327682:AWN328180 AWN393218:AWN393716 AWN458754:AWN459252 AWN524290:AWN524788 AWN589826:AWN590324 AWN655362:AWN655860 AWN720898:AWN721396 AWN786434:AWN786932 AWN851970:AWN852468 AWN917506:AWN918004 AWN983042:AWN983540 BGJ2:BGJ500 BGJ65538:BGJ66036 BGJ131074:BGJ131572 BGJ196610:BGJ197108 BGJ262146:BGJ262644 BGJ327682:BGJ328180 BGJ393218:BGJ393716 BGJ458754:BGJ459252 BGJ524290:BGJ524788 BGJ589826:BGJ590324 BGJ655362:BGJ655860 BGJ720898:BGJ721396 BGJ786434:BGJ786932 BGJ851970:BGJ852468 BGJ917506:BGJ918004 BGJ983042:BGJ983540 BQF2:BQF500 BQF65538:BQF66036 BQF131074:BQF131572 BQF196610:BQF197108 BQF262146:BQF262644 BQF327682:BQF328180 BQF393218:BQF393716 BQF458754:BQF459252 BQF524290:BQF524788 BQF589826:BQF590324 BQF655362:BQF655860 BQF720898:BQF721396 BQF786434:BQF786932 BQF851970:BQF852468 BQF917506:BQF918004 BQF983042:BQF983540 CAB2:CAB500 CAB65538:CAB66036 CAB131074:CAB131572 CAB196610:CAB197108 CAB262146:CAB262644 CAB327682:CAB328180 CAB393218:CAB393716 CAB458754:CAB459252 CAB524290:CAB524788 CAB589826:CAB590324 CAB655362:CAB655860 CAB720898:CAB721396 CAB786434:CAB786932 CAB851970:CAB852468 CAB917506:CAB918004 CAB983042:CAB983540 CJX2:CJX500 CJX65538:CJX66036 CJX131074:CJX131572 CJX196610:CJX197108 CJX262146:CJX262644 CJX327682:CJX328180 CJX393218:CJX393716 CJX458754:CJX459252 CJX524290:CJX524788 CJX589826:CJX590324 CJX655362:CJX655860 CJX720898:CJX721396 CJX786434:CJX786932 CJX851970:CJX852468 CJX917506:CJX918004 CJX983042:CJX983540 CTT2:CTT500 CTT65538:CTT66036 CTT131074:CTT131572 CTT196610:CTT197108 CTT262146:CTT262644 CTT327682:CTT328180 CTT393218:CTT393716 CTT458754:CTT459252 CTT524290:CTT524788 CTT589826:CTT590324 CTT655362:CTT655860 CTT720898:CTT721396 CTT786434:CTT786932 CTT851970:CTT852468 CTT917506:CTT918004 CTT983042:CTT983540 DDP2:DDP500 DDP65538:DDP66036 DDP131074:DDP131572 DDP196610:DDP197108 DDP262146:DDP262644 DDP327682:DDP328180 DDP393218:DDP393716 DDP458754:DDP459252 DDP524290:DDP524788 DDP589826:DDP590324 DDP655362:DDP655860 DDP720898:DDP721396 DDP786434:DDP786932 DDP851970:DDP852468 DDP917506:DDP918004 DDP983042:DDP983540 DNL2:DNL500 DNL65538:DNL66036 DNL131074:DNL131572 DNL196610:DNL197108 DNL262146:DNL262644 DNL327682:DNL328180 DNL393218:DNL393716 DNL458754:DNL459252 DNL524290:DNL524788 DNL589826:DNL590324 DNL655362:DNL655860 DNL720898:DNL721396 DNL786434:DNL786932 DNL851970:DNL852468 DNL917506:DNL918004 DNL983042:DNL983540 DXH2:DXH500 DXH65538:DXH66036 DXH131074:DXH131572 DXH196610:DXH197108 DXH262146:DXH262644 DXH327682:DXH328180 DXH393218:DXH393716 DXH458754:DXH459252 DXH524290:DXH524788 DXH589826:DXH590324 DXH655362:DXH655860 DXH720898:DXH721396 DXH786434:DXH786932 DXH851970:DXH852468 DXH917506:DXH918004 DXH983042:DXH983540 EHD2:EHD500 EHD65538:EHD66036 EHD131074:EHD131572 EHD196610:EHD197108 EHD262146:EHD262644 EHD327682:EHD328180 EHD393218:EHD393716 EHD458754:EHD459252 EHD524290:EHD524788 EHD589826:EHD590324 EHD655362:EHD655860 EHD720898:EHD721396 EHD786434:EHD786932 EHD851970:EHD852468 EHD917506:EHD918004 EHD983042:EHD983540 EQZ2:EQZ500 EQZ65538:EQZ66036 EQZ131074:EQZ131572 EQZ196610:EQZ197108 EQZ262146:EQZ262644 EQZ327682:EQZ328180 EQZ393218:EQZ393716 EQZ458754:EQZ459252 EQZ524290:EQZ524788 EQZ589826:EQZ590324 EQZ655362:EQZ655860 EQZ720898:EQZ721396 EQZ786434:EQZ786932 EQZ851970:EQZ852468 EQZ917506:EQZ918004 EQZ983042:EQZ983540 FAV2:FAV500 FAV65538:FAV66036 FAV131074:FAV131572 FAV196610:FAV197108 FAV262146:FAV262644 FAV327682:FAV328180 FAV393218:FAV393716 FAV458754:FAV459252 FAV524290:FAV524788 FAV589826:FAV590324 FAV655362:FAV655860 FAV720898:FAV721396 FAV786434:FAV786932 FAV851970:FAV852468 FAV917506:FAV918004 FAV983042:FAV983540 FKR2:FKR500 FKR65538:FKR66036 FKR131074:FKR131572 FKR196610:FKR197108 FKR262146:FKR262644 FKR327682:FKR328180 FKR393218:FKR393716 FKR458754:FKR459252 FKR524290:FKR524788 FKR589826:FKR590324 FKR655362:FKR655860 FKR720898:FKR721396 FKR786434:FKR786932 FKR851970:FKR852468 FKR917506:FKR918004 FKR983042:FKR983540 FUN2:FUN500 FUN65538:FUN66036 FUN131074:FUN131572 FUN196610:FUN197108 FUN262146:FUN262644 FUN327682:FUN328180 FUN393218:FUN393716 FUN458754:FUN459252 FUN524290:FUN524788 FUN589826:FUN590324 FUN655362:FUN655860 FUN720898:FUN721396 FUN786434:FUN786932 FUN851970:FUN852468 FUN917506:FUN918004 FUN983042:FUN983540 GEJ2:GEJ500 GEJ65538:GEJ66036 GEJ131074:GEJ131572 GEJ196610:GEJ197108 GEJ262146:GEJ262644 GEJ327682:GEJ328180 GEJ393218:GEJ393716 GEJ458754:GEJ459252 GEJ524290:GEJ524788 GEJ589826:GEJ590324 GEJ655362:GEJ655860 GEJ720898:GEJ721396 GEJ786434:GEJ786932 GEJ851970:GEJ852468 GEJ917506:GEJ918004 GEJ983042:GEJ983540 GOF2:GOF500 GOF65538:GOF66036 GOF131074:GOF131572 GOF196610:GOF197108 GOF262146:GOF262644 GOF327682:GOF328180 GOF393218:GOF393716 GOF458754:GOF459252 GOF524290:GOF524788 GOF589826:GOF590324 GOF655362:GOF655860 GOF720898:GOF721396 GOF786434:GOF786932 GOF851970:GOF852468 GOF917506:GOF918004 GOF983042:GOF983540 GYB2:GYB500 GYB65538:GYB66036 GYB131074:GYB131572 GYB196610:GYB197108 GYB262146:GYB262644 GYB327682:GYB328180 GYB393218:GYB393716 GYB458754:GYB459252 GYB524290:GYB524788 GYB589826:GYB590324 GYB655362:GYB655860 GYB720898:GYB721396 GYB786434:GYB786932 GYB851970:GYB852468 GYB917506:GYB918004 GYB983042:GYB983540 HHX2:HHX500 HHX65538:HHX66036 HHX131074:HHX131572 HHX196610:HHX197108 HHX262146:HHX262644 HHX327682:HHX328180 HHX393218:HHX393716 HHX458754:HHX459252 HHX524290:HHX524788 HHX589826:HHX590324 HHX655362:HHX655860 HHX720898:HHX721396 HHX786434:HHX786932 HHX851970:HHX852468 HHX917506:HHX918004 HHX983042:HHX983540 HRT2:HRT500 HRT65538:HRT66036 HRT131074:HRT131572 HRT196610:HRT197108 HRT262146:HRT262644 HRT327682:HRT328180 HRT393218:HRT393716 HRT458754:HRT459252 HRT524290:HRT524788 HRT589826:HRT590324 HRT655362:HRT655860 HRT720898:HRT721396 HRT786434:HRT786932 HRT851970:HRT852468 HRT917506:HRT918004 HRT983042:HRT983540 IBP2:IBP500 IBP65538:IBP66036 IBP131074:IBP131572 IBP196610:IBP197108 IBP262146:IBP262644 IBP327682:IBP328180 IBP393218:IBP393716 IBP458754:IBP459252 IBP524290:IBP524788 IBP589826:IBP590324 IBP655362:IBP655860 IBP720898:IBP721396 IBP786434:IBP786932 IBP851970:IBP852468 IBP917506:IBP918004 IBP983042:IBP983540 ILL2:ILL500 ILL65538:ILL66036 ILL131074:ILL131572 ILL196610:ILL197108 ILL262146:ILL262644 ILL327682:ILL328180 ILL393218:ILL393716 ILL458754:ILL459252 ILL524290:ILL524788 ILL589826:ILL590324 ILL655362:ILL655860 ILL720898:ILL721396 ILL786434:ILL786932 ILL851970:ILL852468 ILL917506:ILL918004 ILL983042:ILL983540 IVH2:IVH500 IVH65538:IVH66036 IVH131074:IVH131572 IVH196610:IVH197108 IVH262146:IVH262644 IVH327682:IVH328180 IVH393218:IVH393716 IVH458754:IVH459252 IVH524290:IVH524788 IVH589826:IVH590324 IVH655362:IVH655860 IVH720898:IVH721396 IVH786434:IVH786932 IVH851970:IVH852468 IVH917506:IVH918004 IVH983042:IVH983540 JFD2:JFD500 JFD65538:JFD66036 JFD131074:JFD131572 JFD196610:JFD197108 JFD262146:JFD262644 JFD327682:JFD328180 JFD393218:JFD393716 JFD458754:JFD459252 JFD524290:JFD524788 JFD589826:JFD590324 JFD655362:JFD655860 JFD720898:JFD721396 JFD786434:JFD786932 JFD851970:JFD852468 JFD917506:JFD918004 JFD983042:JFD983540 JOZ2:JOZ500 JOZ65538:JOZ66036 JOZ131074:JOZ131572 JOZ196610:JOZ197108 JOZ262146:JOZ262644 JOZ327682:JOZ328180 JOZ393218:JOZ393716 JOZ458754:JOZ459252 JOZ524290:JOZ524788 JOZ589826:JOZ590324 JOZ655362:JOZ655860 JOZ720898:JOZ721396 JOZ786434:JOZ786932 JOZ851970:JOZ852468 JOZ917506:JOZ918004 JOZ983042:JOZ983540 JYV2:JYV500 JYV65538:JYV66036 JYV131074:JYV131572 JYV196610:JYV197108 JYV262146:JYV262644 JYV327682:JYV328180 JYV393218:JYV393716 JYV458754:JYV459252 JYV524290:JYV524788 JYV589826:JYV590324 JYV655362:JYV655860 JYV720898:JYV721396 JYV786434:JYV786932 JYV851970:JYV852468 JYV917506:JYV918004 JYV983042:JYV983540 KIR2:KIR500 KIR65538:KIR66036 KIR131074:KIR131572 KIR196610:KIR197108 KIR262146:KIR262644 KIR327682:KIR328180 KIR393218:KIR393716 KIR458754:KIR459252 KIR524290:KIR524788 KIR589826:KIR590324 KIR655362:KIR655860 KIR720898:KIR721396 KIR786434:KIR786932 KIR851970:KIR852468 KIR917506:KIR918004 KIR983042:KIR983540 KSN2:KSN500 KSN65538:KSN66036 KSN131074:KSN131572 KSN196610:KSN197108 KSN262146:KSN262644 KSN327682:KSN328180 KSN393218:KSN393716 KSN458754:KSN459252 KSN524290:KSN524788 KSN589826:KSN590324 KSN655362:KSN655860 KSN720898:KSN721396 KSN786434:KSN786932 KSN851970:KSN852468 KSN917506:KSN918004 KSN983042:KSN983540 LCJ2:LCJ500 LCJ65538:LCJ66036 LCJ131074:LCJ131572 LCJ196610:LCJ197108 LCJ262146:LCJ262644 LCJ327682:LCJ328180 LCJ393218:LCJ393716 LCJ458754:LCJ459252 LCJ524290:LCJ524788 LCJ589826:LCJ590324 LCJ655362:LCJ655860 LCJ720898:LCJ721396 LCJ786434:LCJ786932 LCJ851970:LCJ852468 LCJ917506:LCJ918004 LCJ983042:LCJ983540 LMF2:LMF500 LMF65538:LMF66036 LMF131074:LMF131572 LMF196610:LMF197108 LMF262146:LMF262644 LMF327682:LMF328180 LMF393218:LMF393716 LMF458754:LMF459252 LMF524290:LMF524788 LMF589826:LMF590324 LMF655362:LMF655860 LMF720898:LMF721396 LMF786434:LMF786932 LMF851970:LMF852468 LMF917506:LMF918004 LMF983042:LMF983540 LWB2:LWB500 LWB65538:LWB66036 LWB131074:LWB131572 LWB196610:LWB197108 LWB262146:LWB262644 LWB327682:LWB328180 LWB393218:LWB393716 LWB458754:LWB459252 LWB524290:LWB524788 LWB589826:LWB590324 LWB655362:LWB655860 LWB720898:LWB721396 LWB786434:LWB786932 LWB851970:LWB852468 LWB917506:LWB918004 LWB983042:LWB983540 MFX2:MFX500 MFX65538:MFX66036 MFX131074:MFX131572 MFX196610:MFX197108 MFX262146:MFX262644 MFX327682:MFX328180 MFX393218:MFX393716 MFX458754:MFX459252 MFX524290:MFX524788 MFX589826:MFX590324 MFX655362:MFX655860 MFX720898:MFX721396 MFX786434:MFX786932 MFX851970:MFX852468 MFX917506:MFX918004 MFX983042:MFX983540 MPT2:MPT500 MPT65538:MPT66036 MPT131074:MPT131572 MPT196610:MPT197108 MPT262146:MPT262644 MPT327682:MPT328180 MPT393218:MPT393716 MPT458754:MPT459252 MPT524290:MPT524788 MPT589826:MPT590324 MPT655362:MPT655860 MPT720898:MPT721396 MPT786434:MPT786932 MPT851970:MPT852468 MPT917506:MPT918004 MPT983042:MPT983540 MZP2:MZP500 MZP65538:MZP66036 MZP131074:MZP131572 MZP196610:MZP197108 MZP262146:MZP262644 MZP327682:MZP328180 MZP393218:MZP393716 MZP458754:MZP459252 MZP524290:MZP524788 MZP589826:MZP590324 MZP655362:MZP655860 MZP720898:MZP721396 MZP786434:MZP786932 MZP851970:MZP852468 MZP917506:MZP918004 MZP983042:MZP983540 NJL2:NJL500 NJL65538:NJL66036 NJL131074:NJL131572 NJL196610:NJL197108 NJL262146:NJL262644 NJL327682:NJL328180 NJL393218:NJL393716 NJL458754:NJL459252 NJL524290:NJL524788 NJL589826:NJL590324 NJL655362:NJL655860 NJL720898:NJL721396 NJL786434:NJL786932 NJL851970:NJL852468 NJL917506:NJL918004 NJL983042:NJL983540 NTH2:NTH500 NTH65538:NTH66036 NTH131074:NTH131572 NTH196610:NTH197108 NTH262146:NTH262644 NTH327682:NTH328180 NTH393218:NTH393716 NTH458754:NTH459252 NTH524290:NTH524788 NTH589826:NTH590324 NTH655362:NTH655860 NTH720898:NTH721396 NTH786434:NTH786932 NTH851970:NTH852468 NTH917506:NTH918004 NTH983042:NTH983540 ODD2:ODD500 ODD65538:ODD66036 ODD131074:ODD131572 ODD196610:ODD197108 ODD262146:ODD262644 ODD327682:ODD328180 ODD393218:ODD393716 ODD458754:ODD459252 ODD524290:ODD524788 ODD589826:ODD590324 ODD655362:ODD655860 ODD720898:ODD721396 ODD786434:ODD786932 ODD851970:ODD852468 ODD917506:ODD918004 ODD983042:ODD983540 OMZ2:OMZ500 OMZ65538:OMZ66036 OMZ131074:OMZ131572 OMZ196610:OMZ197108 OMZ262146:OMZ262644 OMZ327682:OMZ328180 OMZ393218:OMZ393716 OMZ458754:OMZ459252 OMZ524290:OMZ524788 OMZ589826:OMZ590324 OMZ655362:OMZ655860 OMZ720898:OMZ721396 OMZ786434:OMZ786932 OMZ851970:OMZ852468 OMZ917506:OMZ918004 OMZ983042:OMZ983540 OWV2:OWV500 OWV65538:OWV66036 OWV131074:OWV131572 OWV196610:OWV197108 OWV262146:OWV262644 OWV327682:OWV328180 OWV393218:OWV393716 OWV458754:OWV459252 OWV524290:OWV524788 OWV589826:OWV590324 OWV655362:OWV655860 OWV720898:OWV721396 OWV786434:OWV786932 OWV851970:OWV852468 OWV917506:OWV918004 OWV983042:OWV983540 PGR2:PGR500 PGR65538:PGR66036 PGR131074:PGR131572 PGR196610:PGR197108 PGR262146:PGR262644 PGR327682:PGR328180 PGR393218:PGR393716 PGR458754:PGR459252 PGR524290:PGR524788 PGR589826:PGR590324 PGR655362:PGR655860 PGR720898:PGR721396 PGR786434:PGR786932 PGR851970:PGR852468 PGR917506:PGR918004 PGR983042:PGR983540 PQN2:PQN500 PQN65538:PQN66036 PQN131074:PQN131572 PQN196610:PQN197108 PQN262146:PQN262644 PQN327682:PQN328180 PQN393218:PQN393716 PQN458754:PQN459252 PQN524290:PQN524788 PQN589826:PQN590324 PQN655362:PQN655860 PQN720898:PQN721396 PQN786434:PQN786932 PQN851970:PQN852468 PQN917506:PQN918004 PQN983042:PQN983540 QAJ2:QAJ500 QAJ65538:QAJ66036 QAJ131074:QAJ131572 QAJ196610:QAJ197108 QAJ262146:QAJ262644 QAJ327682:QAJ328180 QAJ393218:QAJ393716 QAJ458754:QAJ459252 QAJ524290:QAJ524788 QAJ589826:QAJ590324 QAJ655362:QAJ655860 QAJ720898:QAJ721396 QAJ786434:QAJ786932 QAJ851970:QAJ852468 QAJ917506:QAJ918004 QAJ983042:QAJ983540 QKF2:QKF500 QKF65538:QKF66036 QKF131074:QKF131572 QKF196610:QKF197108 QKF262146:QKF262644 QKF327682:QKF328180 QKF393218:QKF393716 QKF458754:QKF459252 QKF524290:QKF524788 QKF589826:QKF590324 QKF655362:QKF655860 QKF720898:QKF721396 QKF786434:QKF786932 QKF851970:QKF852468 QKF917506:QKF918004 QKF983042:QKF983540 QUB2:QUB500 QUB65538:QUB66036 QUB131074:QUB131572 QUB196610:QUB197108 QUB262146:QUB262644 QUB327682:QUB328180 QUB393218:QUB393716 QUB458754:QUB459252 QUB524290:QUB524788 QUB589826:QUB590324 QUB655362:QUB655860 QUB720898:QUB721396 QUB786434:QUB786932 QUB851970:QUB852468 QUB917506:QUB918004 QUB983042:QUB983540 RDX2:RDX500 RDX65538:RDX66036 RDX131074:RDX131572 RDX196610:RDX197108 RDX262146:RDX262644 RDX327682:RDX328180 RDX393218:RDX393716 RDX458754:RDX459252 RDX524290:RDX524788 RDX589826:RDX590324 RDX655362:RDX655860 RDX720898:RDX721396 RDX786434:RDX786932 RDX851970:RDX852468 RDX917506:RDX918004 RDX983042:RDX983540 RNT2:RNT500 RNT65538:RNT66036 RNT131074:RNT131572 RNT196610:RNT197108 RNT262146:RNT262644 RNT327682:RNT328180 RNT393218:RNT393716 RNT458754:RNT459252 RNT524290:RNT524788 RNT589826:RNT590324 RNT655362:RNT655860 RNT720898:RNT721396 RNT786434:RNT786932 RNT851970:RNT852468 RNT917506:RNT918004 RNT983042:RNT983540 RXP2:RXP500 RXP65538:RXP66036 RXP131074:RXP131572 RXP196610:RXP197108 RXP262146:RXP262644 RXP327682:RXP328180 RXP393218:RXP393716 RXP458754:RXP459252 RXP524290:RXP524788 RXP589826:RXP590324 RXP655362:RXP655860 RXP720898:RXP721396 RXP786434:RXP786932 RXP851970:RXP852468 RXP917506:RXP918004 RXP983042:RXP983540 SHL2:SHL500 SHL65538:SHL66036 SHL131074:SHL131572 SHL196610:SHL197108 SHL262146:SHL262644 SHL327682:SHL328180 SHL393218:SHL393716 SHL458754:SHL459252 SHL524290:SHL524788 SHL589826:SHL590324 SHL655362:SHL655860 SHL720898:SHL721396 SHL786434:SHL786932 SHL851970:SHL852468 SHL917506:SHL918004 SHL983042:SHL983540 SRH2:SRH500 SRH65538:SRH66036 SRH131074:SRH131572 SRH196610:SRH197108 SRH262146:SRH262644 SRH327682:SRH328180 SRH393218:SRH393716 SRH458754:SRH459252 SRH524290:SRH524788 SRH589826:SRH590324 SRH655362:SRH655860 SRH720898:SRH721396 SRH786434:SRH786932 SRH851970:SRH852468 SRH917506:SRH918004 SRH983042:SRH983540 TBD2:TBD500 TBD65538:TBD66036 TBD131074:TBD131572 TBD196610:TBD197108 TBD262146:TBD262644 TBD327682:TBD328180 TBD393218:TBD393716 TBD458754:TBD459252 TBD524290:TBD524788 TBD589826:TBD590324 TBD655362:TBD655860 TBD720898:TBD721396 TBD786434:TBD786932 TBD851970:TBD852468 TBD917506:TBD918004 TBD983042:TBD983540 TKZ2:TKZ500 TKZ65538:TKZ66036 TKZ131074:TKZ131572 TKZ196610:TKZ197108 TKZ262146:TKZ262644 TKZ327682:TKZ328180 TKZ393218:TKZ393716 TKZ458754:TKZ459252 TKZ524290:TKZ524788 TKZ589826:TKZ590324 TKZ655362:TKZ655860 TKZ720898:TKZ721396 TKZ786434:TKZ786932 TKZ851970:TKZ852468 TKZ917506:TKZ918004 TKZ983042:TKZ983540 TUV2:TUV500 TUV65538:TUV66036 TUV131074:TUV131572 TUV196610:TUV197108 TUV262146:TUV262644 TUV327682:TUV328180 TUV393218:TUV393716 TUV458754:TUV459252 TUV524290:TUV524788 TUV589826:TUV590324 TUV655362:TUV655860 TUV720898:TUV721396 TUV786434:TUV786932 TUV851970:TUV852468 TUV917506:TUV918004 TUV983042:TUV983540 UER2:UER500 UER65538:UER66036 UER131074:UER131572 UER196610:UER197108 UER262146:UER262644 UER327682:UER328180 UER393218:UER393716 UER458754:UER459252 UER524290:UER524788 UER589826:UER590324 UER655362:UER655860 UER720898:UER721396 UER786434:UER786932 UER851970:UER852468 UER917506:UER918004 UER983042:UER983540 UON2:UON500 UON65538:UON66036 UON131074:UON131572 UON196610:UON197108 UON262146:UON262644 UON327682:UON328180 UON393218:UON393716 UON458754:UON459252 UON524290:UON524788 UON589826:UON590324 UON655362:UON655860 UON720898:UON721396 UON786434:UON786932 UON851970:UON852468 UON917506:UON918004 UON983042:UON983540 UYJ2:UYJ500 UYJ65538:UYJ66036 UYJ131074:UYJ131572 UYJ196610:UYJ197108 UYJ262146:UYJ262644 UYJ327682:UYJ328180 UYJ393218:UYJ393716 UYJ458754:UYJ459252 UYJ524290:UYJ524788 UYJ589826:UYJ590324 UYJ655362:UYJ655860 UYJ720898:UYJ721396 UYJ786434:UYJ786932 UYJ851970:UYJ852468 UYJ917506:UYJ918004 UYJ983042:UYJ983540 VIF2:VIF500 VIF65538:VIF66036 VIF131074:VIF131572 VIF196610:VIF197108 VIF262146:VIF262644 VIF327682:VIF328180 VIF393218:VIF393716 VIF458754:VIF459252 VIF524290:VIF524788 VIF589826:VIF590324 VIF655362:VIF655860 VIF720898:VIF721396 VIF786434:VIF786932 VIF851970:VIF852468 VIF917506:VIF918004 VIF983042:VIF983540 VSB2:VSB500 VSB65538:VSB66036 VSB131074:VSB131572 VSB196610:VSB197108 VSB262146:VSB262644 VSB327682:VSB328180 VSB393218:VSB393716 VSB458754:VSB459252 VSB524290:VSB524788 VSB589826:VSB590324 VSB655362:VSB655860 VSB720898:VSB721396 VSB786434:VSB786932 VSB851970:VSB852468 VSB917506:VSB918004 VSB983042:VSB983540 WBX2:WBX500 WBX65538:WBX66036 WBX131074:WBX131572 WBX196610:WBX197108 WBX262146:WBX262644 WBX327682:WBX328180 WBX393218:WBX393716 WBX458754:WBX459252 WBX524290:WBX524788 WBX589826:WBX590324 WBX655362:WBX655860 WBX720898:WBX721396 WBX786434:WBX786932 WBX851970:WBX852468 WBX917506:WBX918004 WBX983042:WBX983540 WLT2:WLT500 WLT65538:WLT66036 WLT131074:WLT131572 WLT196610:WLT197108 WLT262146:WLT262644 WLT327682:WLT328180 WLT393218:WLT393716 WLT458754:WLT459252 WLT524290:WLT524788 WLT589826:WLT590324 WLT655362:WLT655860 WLT720898:WLT721396 WLT786434:WLT786932 WLT851970:WLT852468 WLT917506:WLT918004 WLT983042:WLT983540 WVP2:WVP500 WVP65538:WVP66036 WVP131074:WVP131572 WVP196610:WVP197108 WVP262146:WVP262644 WVP327682:WVP328180 WVP393218:WVP393716 WVP458754:WVP459252 WVP524290:WVP524788 WVP589826:WVP590324 WVP655362:WVP655860 WVP720898:WVP721396 WVP786434:WVP786932 WVP851970:WVP852468 WVP917506:WVP918004 WVP983042:WVP983540" xr:uid="{C238C11E-6B9F-48B6-BF02-79BE02091F64}">
      <formula1>$AL$2:$AL$8</formula1>
    </dataValidation>
    <dataValidation type="list" allowBlank="1" showInputMessage="1" showErrorMessage="1" sqref="H64423:H64476 H129959:H130012 H195495:H195548 H261031:H261084 H326567:H326620 H392103:H392156 H457639:H457692 H523175:H523228 H588711:H588764 H654247:H654300 H719783:H719836 H785319:H785372 H850855:H850908 H916391:H916444 H981927:H981980 H1047463:H1047516 JD64423:JD64476 JD129959:JD130012 JD195495:JD195548 JD261031:JD261084 JD326567:JD326620 JD392103:JD392156 JD457639:JD457692 JD523175:JD523228 JD588711:JD588764 JD654247:JD654300 JD719783:JD719836 JD785319:JD785372 JD850855:JD850908 JD916391:JD916444 JD981927:JD981980 JD1047463:JD1047516 SZ64423:SZ64476 SZ129959:SZ130012 SZ195495:SZ195548 SZ261031:SZ261084 SZ326567:SZ326620 SZ392103:SZ392156 SZ457639:SZ457692 SZ523175:SZ523228 SZ588711:SZ588764 SZ654247:SZ654300 SZ719783:SZ719836 SZ785319:SZ785372 SZ850855:SZ850908 SZ916391:SZ916444 SZ981927:SZ981980 SZ1047463:SZ1047516 ACV64423:ACV64476 ACV129959:ACV130012 ACV195495:ACV195548 ACV261031:ACV261084 ACV326567:ACV326620 ACV392103:ACV392156 ACV457639:ACV457692 ACV523175:ACV523228 ACV588711:ACV588764 ACV654247:ACV654300 ACV719783:ACV719836 ACV785319:ACV785372 ACV850855:ACV850908 ACV916391:ACV916444 ACV981927:ACV981980 ACV1047463:ACV1047516 AMR64423:AMR64476 AMR129959:AMR130012 AMR195495:AMR195548 AMR261031:AMR261084 AMR326567:AMR326620 AMR392103:AMR392156 AMR457639:AMR457692 AMR523175:AMR523228 AMR588711:AMR588764 AMR654247:AMR654300 AMR719783:AMR719836 AMR785319:AMR785372 AMR850855:AMR850908 AMR916391:AMR916444 AMR981927:AMR981980 AMR1047463:AMR1047516 AWN64423:AWN64476 AWN129959:AWN130012 AWN195495:AWN195548 AWN261031:AWN261084 AWN326567:AWN326620 AWN392103:AWN392156 AWN457639:AWN457692 AWN523175:AWN523228 AWN588711:AWN588764 AWN654247:AWN654300 AWN719783:AWN719836 AWN785319:AWN785372 AWN850855:AWN850908 AWN916391:AWN916444 AWN981927:AWN981980 AWN1047463:AWN1047516 BGJ64423:BGJ64476 BGJ129959:BGJ130012 BGJ195495:BGJ195548 BGJ261031:BGJ261084 BGJ326567:BGJ326620 BGJ392103:BGJ392156 BGJ457639:BGJ457692 BGJ523175:BGJ523228 BGJ588711:BGJ588764 BGJ654247:BGJ654300 BGJ719783:BGJ719836 BGJ785319:BGJ785372 BGJ850855:BGJ850908 BGJ916391:BGJ916444 BGJ981927:BGJ981980 BGJ1047463:BGJ1047516 BQF64423:BQF64476 BQF129959:BQF130012 BQF195495:BQF195548 BQF261031:BQF261084 BQF326567:BQF326620 BQF392103:BQF392156 BQF457639:BQF457692 BQF523175:BQF523228 BQF588711:BQF588764 BQF654247:BQF654300 BQF719783:BQF719836 BQF785319:BQF785372 BQF850855:BQF850908 BQF916391:BQF916444 BQF981927:BQF981980 BQF1047463:BQF1047516 CAB64423:CAB64476 CAB129959:CAB130012 CAB195495:CAB195548 CAB261031:CAB261084 CAB326567:CAB326620 CAB392103:CAB392156 CAB457639:CAB457692 CAB523175:CAB523228 CAB588711:CAB588764 CAB654247:CAB654300 CAB719783:CAB719836 CAB785319:CAB785372 CAB850855:CAB850908 CAB916391:CAB916444 CAB981927:CAB981980 CAB1047463:CAB1047516 CJX64423:CJX64476 CJX129959:CJX130012 CJX195495:CJX195548 CJX261031:CJX261084 CJX326567:CJX326620 CJX392103:CJX392156 CJX457639:CJX457692 CJX523175:CJX523228 CJX588711:CJX588764 CJX654247:CJX654300 CJX719783:CJX719836 CJX785319:CJX785372 CJX850855:CJX850908 CJX916391:CJX916444 CJX981927:CJX981980 CJX1047463:CJX1047516 CTT64423:CTT64476 CTT129959:CTT130012 CTT195495:CTT195548 CTT261031:CTT261084 CTT326567:CTT326620 CTT392103:CTT392156 CTT457639:CTT457692 CTT523175:CTT523228 CTT588711:CTT588764 CTT654247:CTT654300 CTT719783:CTT719836 CTT785319:CTT785372 CTT850855:CTT850908 CTT916391:CTT916444 CTT981927:CTT981980 CTT1047463:CTT1047516 DDP64423:DDP64476 DDP129959:DDP130012 DDP195495:DDP195548 DDP261031:DDP261084 DDP326567:DDP326620 DDP392103:DDP392156 DDP457639:DDP457692 DDP523175:DDP523228 DDP588711:DDP588764 DDP654247:DDP654300 DDP719783:DDP719836 DDP785319:DDP785372 DDP850855:DDP850908 DDP916391:DDP916444 DDP981927:DDP981980 DDP1047463:DDP1047516 DNL64423:DNL64476 DNL129959:DNL130012 DNL195495:DNL195548 DNL261031:DNL261084 DNL326567:DNL326620 DNL392103:DNL392156 DNL457639:DNL457692 DNL523175:DNL523228 DNL588711:DNL588764 DNL654247:DNL654300 DNL719783:DNL719836 DNL785319:DNL785372 DNL850855:DNL850908 DNL916391:DNL916444 DNL981927:DNL981980 DNL1047463:DNL1047516 DXH64423:DXH64476 DXH129959:DXH130012 DXH195495:DXH195548 DXH261031:DXH261084 DXH326567:DXH326620 DXH392103:DXH392156 DXH457639:DXH457692 DXH523175:DXH523228 DXH588711:DXH588764 DXH654247:DXH654300 DXH719783:DXH719836 DXH785319:DXH785372 DXH850855:DXH850908 DXH916391:DXH916444 DXH981927:DXH981980 DXH1047463:DXH1047516 EHD64423:EHD64476 EHD129959:EHD130012 EHD195495:EHD195548 EHD261031:EHD261084 EHD326567:EHD326620 EHD392103:EHD392156 EHD457639:EHD457692 EHD523175:EHD523228 EHD588711:EHD588764 EHD654247:EHD654300 EHD719783:EHD719836 EHD785319:EHD785372 EHD850855:EHD850908 EHD916391:EHD916444 EHD981927:EHD981980 EHD1047463:EHD1047516 EQZ64423:EQZ64476 EQZ129959:EQZ130012 EQZ195495:EQZ195548 EQZ261031:EQZ261084 EQZ326567:EQZ326620 EQZ392103:EQZ392156 EQZ457639:EQZ457692 EQZ523175:EQZ523228 EQZ588711:EQZ588764 EQZ654247:EQZ654300 EQZ719783:EQZ719836 EQZ785319:EQZ785372 EQZ850855:EQZ850908 EQZ916391:EQZ916444 EQZ981927:EQZ981980 EQZ1047463:EQZ1047516 FAV64423:FAV64476 FAV129959:FAV130012 FAV195495:FAV195548 FAV261031:FAV261084 FAV326567:FAV326620 FAV392103:FAV392156 FAV457639:FAV457692 FAV523175:FAV523228 FAV588711:FAV588764 FAV654247:FAV654300 FAV719783:FAV719836 FAV785319:FAV785372 FAV850855:FAV850908 FAV916391:FAV916444 FAV981927:FAV981980 FAV1047463:FAV1047516 FKR64423:FKR64476 FKR129959:FKR130012 FKR195495:FKR195548 FKR261031:FKR261084 FKR326567:FKR326620 FKR392103:FKR392156 FKR457639:FKR457692 FKR523175:FKR523228 FKR588711:FKR588764 FKR654247:FKR654300 FKR719783:FKR719836 FKR785319:FKR785372 FKR850855:FKR850908 FKR916391:FKR916444 FKR981927:FKR981980 FKR1047463:FKR1047516 FUN64423:FUN64476 FUN129959:FUN130012 FUN195495:FUN195548 FUN261031:FUN261084 FUN326567:FUN326620 FUN392103:FUN392156 FUN457639:FUN457692 FUN523175:FUN523228 FUN588711:FUN588764 FUN654247:FUN654300 FUN719783:FUN719836 FUN785319:FUN785372 FUN850855:FUN850908 FUN916391:FUN916444 FUN981927:FUN981980 FUN1047463:FUN1047516 GEJ64423:GEJ64476 GEJ129959:GEJ130012 GEJ195495:GEJ195548 GEJ261031:GEJ261084 GEJ326567:GEJ326620 GEJ392103:GEJ392156 GEJ457639:GEJ457692 GEJ523175:GEJ523228 GEJ588711:GEJ588764 GEJ654247:GEJ654300 GEJ719783:GEJ719836 GEJ785319:GEJ785372 GEJ850855:GEJ850908 GEJ916391:GEJ916444 GEJ981927:GEJ981980 GEJ1047463:GEJ1047516 GOF64423:GOF64476 GOF129959:GOF130012 GOF195495:GOF195548 GOF261031:GOF261084 GOF326567:GOF326620 GOF392103:GOF392156 GOF457639:GOF457692 GOF523175:GOF523228 GOF588711:GOF588764 GOF654247:GOF654300 GOF719783:GOF719836 GOF785319:GOF785372 GOF850855:GOF850908 GOF916391:GOF916444 GOF981927:GOF981980 GOF1047463:GOF1047516 GYB64423:GYB64476 GYB129959:GYB130012 GYB195495:GYB195548 GYB261031:GYB261084 GYB326567:GYB326620 GYB392103:GYB392156 GYB457639:GYB457692 GYB523175:GYB523228 GYB588711:GYB588764 GYB654247:GYB654300 GYB719783:GYB719836 GYB785319:GYB785372 GYB850855:GYB850908 GYB916391:GYB916444 GYB981927:GYB981980 GYB1047463:GYB1047516 HHX64423:HHX64476 HHX129959:HHX130012 HHX195495:HHX195548 HHX261031:HHX261084 HHX326567:HHX326620 HHX392103:HHX392156 HHX457639:HHX457692 HHX523175:HHX523228 HHX588711:HHX588764 HHX654247:HHX654300 HHX719783:HHX719836 HHX785319:HHX785372 HHX850855:HHX850908 HHX916391:HHX916444 HHX981927:HHX981980 HHX1047463:HHX1047516 HRT64423:HRT64476 HRT129959:HRT130012 HRT195495:HRT195548 HRT261031:HRT261084 HRT326567:HRT326620 HRT392103:HRT392156 HRT457639:HRT457692 HRT523175:HRT523228 HRT588711:HRT588764 HRT654247:HRT654300 HRT719783:HRT719836 HRT785319:HRT785372 HRT850855:HRT850908 HRT916391:HRT916444 HRT981927:HRT981980 HRT1047463:HRT1047516 IBP64423:IBP64476 IBP129959:IBP130012 IBP195495:IBP195548 IBP261031:IBP261084 IBP326567:IBP326620 IBP392103:IBP392156 IBP457639:IBP457692 IBP523175:IBP523228 IBP588711:IBP588764 IBP654247:IBP654300 IBP719783:IBP719836 IBP785319:IBP785372 IBP850855:IBP850908 IBP916391:IBP916444 IBP981927:IBP981980 IBP1047463:IBP1047516 ILL64423:ILL64476 ILL129959:ILL130012 ILL195495:ILL195548 ILL261031:ILL261084 ILL326567:ILL326620 ILL392103:ILL392156 ILL457639:ILL457692 ILL523175:ILL523228 ILL588711:ILL588764 ILL654247:ILL654300 ILL719783:ILL719836 ILL785319:ILL785372 ILL850855:ILL850908 ILL916391:ILL916444 ILL981927:ILL981980 ILL1047463:ILL1047516 IVH64423:IVH64476 IVH129959:IVH130012 IVH195495:IVH195548 IVH261031:IVH261084 IVH326567:IVH326620 IVH392103:IVH392156 IVH457639:IVH457692 IVH523175:IVH523228 IVH588711:IVH588764 IVH654247:IVH654300 IVH719783:IVH719836 IVH785319:IVH785372 IVH850855:IVH850908 IVH916391:IVH916444 IVH981927:IVH981980 IVH1047463:IVH1047516 JFD64423:JFD64476 JFD129959:JFD130012 JFD195495:JFD195548 JFD261031:JFD261084 JFD326567:JFD326620 JFD392103:JFD392156 JFD457639:JFD457692 JFD523175:JFD523228 JFD588711:JFD588764 JFD654247:JFD654300 JFD719783:JFD719836 JFD785319:JFD785372 JFD850855:JFD850908 JFD916391:JFD916444 JFD981927:JFD981980 JFD1047463:JFD1047516 JOZ64423:JOZ64476 JOZ129959:JOZ130012 JOZ195495:JOZ195548 JOZ261031:JOZ261084 JOZ326567:JOZ326620 JOZ392103:JOZ392156 JOZ457639:JOZ457692 JOZ523175:JOZ523228 JOZ588711:JOZ588764 JOZ654247:JOZ654300 JOZ719783:JOZ719836 JOZ785319:JOZ785372 JOZ850855:JOZ850908 JOZ916391:JOZ916444 JOZ981927:JOZ981980 JOZ1047463:JOZ1047516 JYV64423:JYV64476 JYV129959:JYV130012 JYV195495:JYV195548 JYV261031:JYV261084 JYV326567:JYV326620 JYV392103:JYV392156 JYV457639:JYV457692 JYV523175:JYV523228 JYV588711:JYV588764 JYV654247:JYV654300 JYV719783:JYV719836 JYV785319:JYV785372 JYV850855:JYV850908 JYV916391:JYV916444 JYV981927:JYV981980 JYV1047463:JYV1047516 KIR64423:KIR64476 KIR129959:KIR130012 KIR195495:KIR195548 KIR261031:KIR261084 KIR326567:KIR326620 KIR392103:KIR392156 KIR457639:KIR457692 KIR523175:KIR523228 KIR588711:KIR588764 KIR654247:KIR654300 KIR719783:KIR719836 KIR785319:KIR785372 KIR850855:KIR850908 KIR916391:KIR916444 KIR981927:KIR981980 KIR1047463:KIR1047516 KSN64423:KSN64476 KSN129959:KSN130012 KSN195495:KSN195548 KSN261031:KSN261084 KSN326567:KSN326620 KSN392103:KSN392156 KSN457639:KSN457692 KSN523175:KSN523228 KSN588711:KSN588764 KSN654247:KSN654300 KSN719783:KSN719836 KSN785319:KSN785372 KSN850855:KSN850908 KSN916391:KSN916444 KSN981927:KSN981980 KSN1047463:KSN1047516 LCJ64423:LCJ64476 LCJ129959:LCJ130012 LCJ195495:LCJ195548 LCJ261031:LCJ261084 LCJ326567:LCJ326620 LCJ392103:LCJ392156 LCJ457639:LCJ457692 LCJ523175:LCJ523228 LCJ588711:LCJ588764 LCJ654247:LCJ654300 LCJ719783:LCJ719836 LCJ785319:LCJ785372 LCJ850855:LCJ850908 LCJ916391:LCJ916444 LCJ981927:LCJ981980 LCJ1047463:LCJ1047516 LMF64423:LMF64476 LMF129959:LMF130012 LMF195495:LMF195548 LMF261031:LMF261084 LMF326567:LMF326620 LMF392103:LMF392156 LMF457639:LMF457692 LMF523175:LMF523228 LMF588711:LMF588764 LMF654247:LMF654300 LMF719783:LMF719836 LMF785319:LMF785372 LMF850855:LMF850908 LMF916391:LMF916444 LMF981927:LMF981980 LMF1047463:LMF1047516 LWB64423:LWB64476 LWB129959:LWB130012 LWB195495:LWB195548 LWB261031:LWB261084 LWB326567:LWB326620 LWB392103:LWB392156 LWB457639:LWB457692 LWB523175:LWB523228 LWB588711:LWB588764 LWB654247:LWB654300 LWB719783:LWB719836 LWB785319:LWB785372 LWB850855:LWB850908 LWB916391:LWB916444 LWB981927:LWB981980 LWB1047463:LWB1047516 MFX64423:MFX64476 MFX129959:MFX130012 MFX195495:MFX195548 MFX261031:MFX261084 MFX326567:MFX326620 MFX392103:MFX392156 MFX457639:MFX457692 MFX523175:MFX523228 MFX588711:MFX588764 MFX654247:MFX654300 MFX719783:MFX719836 MFX785319:MFX785372 MFX850855:MFX850908 MFX916391:MFX916444 MFX981927:MFX981980 MFX1047463:MFX1047516 MPT64423:MPT64476 MPT129959:MPT130012 MPT195495:MPT195548 MPT261031:MPT261084 MPT326567:MPT326620 MPT392103:MPT392156 MPT457639:MPT457692 MPT523175:MPT523228 MPT588711:MPT588764 MPT654247:MPT654300 MPT719783:MPT719836 MPT785319:MPT785372 MPT850855:MPT850908 MPT916391:MPT916444 MPT981927:MPT981980 MPT1047463:MPT1047516 MZP64423:MZP64476 MZP129959:MZP130012 MZP195495:MZP195548 MZP261031:MZP261084 MZP326567:MZP326620 MZP392103:MZP392156 MZP457639:MZP457692 MZP523175:MZP523228 MZP588711:MZP588764 MZP654247:MZP654300 MZP719783:MZP719836 MZP785319:MZP785372 MZP850855:MZP850908 MZP916391:MZP916444 MZP981927:MZP981980 MZP1047463:MZP1047516 NJL64423:NJL64476 NJL129959:NJL130012 NJL195495:NJL195548 NJL261031:NJL261084 NJL326567:NJL326620 NJL392103:NJL392156 NJL457639:NJL457692 NJL523175:NJL523228 NJL588711:NJL588764 NJL654247:NJL654300 NJL719783:NJL719836 NJL785319:NJL785372 NJL850855:NJL850908 NJL916391:NJL916444 NJL981927:NJL981980 NJL1047463:NJL1047516 NTH64423:NTH64476 NTH129959:NTH130012 NTH195495:NTH195548 NTH261031:NTH261084 NTH326567:NTH326620 NTH392103:NTH392156 NTH457639:NTH457692 NTH523175:NTH523228 NTH588711:NTH588764 NTH654247:NTH654300 NTH719783:NTH719836 NTH785319:NTH785372 NTH850855:NTH850908 NTH916391:NTH916444 NTH981927:NTH981980 NTH1047463:NTH1047516 ODD64423:ODD64476 ODD129959:ODD130012 ODD195495:ODD195548 ODD261031:ODD261084 ODD326567:ODD326620 ODD392103:ODD392156 ODD457639:ODD457692 ODD523175:ODD523228 ODD588711:ODD588764 ODD654247:ODD654300 ODD719783:ODD719836 ODD785319:ODD785372 ODD850855:ODD850908 ODD916391:ODD916444 ODD981927:ODD981980 ODD1047463:ODD1047516 OMZ64423:OMZ64476 OMZ129959:OMZ130012 OMZ195495:OMZ195548 OMZ261031:OMZ261084 OMZ326567:OMZ326620 OMZ392103:OMZ392156 OMZ457639:OMZ457692 OMZ523175:OMZ523228 OMZ588711:OMZ588764 OMZ654247:OMZ654300 OMZ719783:OMZ719836 OMZ785319:OMZ785372 OMZ850855:OMZ850908 OMZ916391:OMZ916444 OMZ981927:OMZ981980 OMZ1047463:OMZ1047516 OWV64423:OWV64476 OWV129959:OWV130012 OWV195495:OWV195548 OWV261031:OWV261084 OWV326567:OWV326620 OWV392103:OWV392156 OWV457639:OWV457692 OWV523175:OWV523228 OWV588711:OWV588764 OWV654247:OWV654300 OWV719783:OWV719836 OWV785319:OWV785372 OWV850855:OWV850908 OWV916391:OWV916444 OWV981927:OWV981980 OWV1047463:OWV1047516 PGR64423:PGR64476 PGR129959:PGR130012 PGR195495:PGR195548 PGR261031:PGR261084 PGR326567:PGR326620 PGR392103:PGR392156 PGR457639:PGR457692 PGR523175:PGR523228 PGR588711:PGR588764 PGR654247:PGR654300 PGR719783:PGR719836 PGR785319:PGR785372 PGR850855:PGR850908 PGR916391:PGR916444 PGR981927:PGR981980 PGR1047463:PGR1047516 PQN64423:PQN64476 PQN129959:PQN130012 PQN195495:PQN195548 PQN261031:PQN261084 PQN326567:PQN326620 PQN392103:PQN392156 PQN457639:PQN457692 PQN523175:PQN523228 PQN588711:PQN588764 PQN654247:PQN654300 PQN719783:PQN719836 PQN785319:PQN785372 PQN850855:PQN850908 PQN916391:PQN916444 PQN981927:PQN981980 PQN1047463:PQN1047516 QAJ64423:QAJ64476 QAJ129959:QAJ130012 QAJ195495:QAJ195548 QAJ261031:QAJ261084 QAJ326567:QAJ326620 QAJ392103:QAJ392156 QAJ457639:QAJ457692 QAJ523175:QAJ523228 QAJ588711:QAJ588764 QAJ654247:QAJ654300 QAJ719783:QAJ719836 QAJ785319:QAJ785372 QAJ850855:QAJ850908 QAJ916391:QAJ916444 QAJ981927:QAJ981980 QAJ1047463:QAJ1047516 QKF64423:QKF64476 QKF129959:QKF130012 QKF195495:QKF195548 QKF261031:QKF261084 QKF326567:QKF326620 QKF392103:QKF392156 QKF457639:QKF457692 QKF523175:QKF523228 QKF588711:QKF588764 QKF654247:QKF654300 QKF719783:QKF719836 QKF785319:QKF785372 QKF850855:QKF850908 QKF916391:QKF916444 QKF981927:QKF981980 QKF1047463:QKF1047516 QUB64423:QUB64476 QUB129959:QUB130012 QUB195495:QUB195548 QUB261031:QUB261084 QUB326567:QUB326620 QUB392103:QUB392156 QUB457639:QUB457692 QUB523175:QUB523228 QUB588711:QUB588764 QUB654247:QUB654300 QUB719783:QUB719836 QUB785319:QUB785372 QUB850855:QUB850908 QUB916391:QUB916444 QUB981927:QUB981980 QUB1047463:QUB1047516 RDX64423:RDX64476 RDX129959:RDX130012 RDX195495:RDX195548 RDX261031:RDX261084 RDX326567:RDX326620 RDX392103:RDX392156 RDX457639:RDX457692 RDX523175:RDX523228 RDX588711:RDX588764 RDX654247:RDX654300 RDX719783:RDX719836 RDX785319:RDX785372 RDX850855:RDX850908 RDX916391:RDX916444 RDX981927:RDX981980 RDX1047463:RDX1047516 RNT64423:RNT64476 RNT129959:RNT130012 RNT195495:RNT195548 RNT261031:RNT261084 RNT326567:RNT326620 RNT392103:RNT392156 RNT457639:RNT457692 RNT523175:RNT523228 RNT588711:RNT588764 RNT654247:RNT654300 RNT719783:RNT719836 RNT785319:RNT785372 RNT850855:RNT850908 RNT916391:RNT916444 RNT981927:RNT981980 RNT1047463:RNT1047516 RXP64423:RXP64476 RXP129959:RXP130012 RXP195495:RXP195548 RXP261031:RXP261084 RXP326567:RXP326620 RXP392103:RXP392156 RXP457639:RXP457692 RXP523175:RXP523228 RXP588711:RXP588764 RXP654247:RXP654300 RXP719783:RXP719836 RXP785319:RXP785372 RXP850855:RXP850908 RXP916391:RXP916444 RXP981927:RXP981980 RXP1047463:RXP1047516 SHL64423:SHL64476 SHL129959:SHL130012 SHL195495:SHL195548 SHL261031:SHL261084 SHL326567:SHL326620 SHL392103:SHL392156 SHL457639:SHL457692 SHL523175:SHL523228 SHL588711:SHL588764 SHL654247:SHL654300 SHL719783:SHL719836 SHL785319:SHL785372 SHL850855:SHL850908 SHL916391:SHL916444 SHL981927:SHL981980 SHL1047463:SHL1047516 SRH64423:SRH64476 SRH129959:SRH130012 SRH195495:SRH195548 SRH261031:SRH261084 SRH326567:SRH326620 SRH392103:SRH392156 SRH457639:SRH457692 SRH523175:SRH523228 SRH588711:SRH588764 SRH654247:SRH654300 SRH719783:SRH719836 SRH785319:SRH785372 SRH850855:SRH850908 SRH916391:SRH916444 SRH981927:SRH981980 SRH1047463:SRH1047516 TBD64423:TBD64476 TBD129959:TBD130012 TBD195495:TBD195548 TBD261031:TBD261084 TBD326567:TBD326620 TBD392103:TBD392156 TBD457639:TBD457692 TBD523175:TBD523228 TBD588711:TBD588764 TBD654247:TBD654300 TBD719783:TBD719836 TBD785319:TBD785372 TBD850855:TBD850908 TBD916391:TBD916444 TBD981927:TBD981980 TBD1047463:TBD1047516 TKZ64423:TKZ64476 TKZ129959:TKZ130012 TKZ195495:TKZ195548 TKZ261031:TKZ261084 TKZ326567:TKZ326620 TKZ392103:TKZ392156 TKZ457639:TKZ457692 TKZ523175:TKZ523228 TKZ588711:TKZ588764 TKZ654247:TKZ654300 TKZ719783:TKZ719836 TKZ785319:TKZ785372 TKZ850855:TKZ850908 TKZ916391:TKZ916444 TKZ981927:TKZ981980 TKZ1047463:TKZ1047516 TUV64423:TUV64476 TUV129959:TUV130012 TUV195495:TUV195548 TUV261031:TUV261084 TUV326567:TUV326620 TUV392103:TUV392156 TUV457639:TUV457692 TUV523175:TUV523228 TUV588711:TUV588764 TUV654247:TUV654300 TUV719783:TUV719836 TUV785319:TUV785372 TUV850855:TUV850908 TUV916391:TUV916444 TUV981927:TUV981980 TUV1047463:TUV1047516 UER64423:UER64476 UER129959:UER130012 UER195495:UER195548 UER261031:UER261084 UER326567:UER326620 UER392103:UER392156 UER457639:UER457692 UER523175:UER523228 UER588711:UER588764 UER654247:UER654300 UER719783:UER719836 UER785319:UER785372 UER850855:UER850908 UER916391:UER916444 UER981927:UER981980 UER1047463:UER1047516 UON64423:UON64476 UON129959:UON130012 UON195495:UON195548 UON261031:UON261084 UON326567:UON326620 UON392103:UON392156 UON457639:UON457692 UON523175:UON523228 UON588711:UON588764 UON654247:UON654300 UON719783:UON719836 UON785319:UON785372 UON850855:UON850908 UON916391:UON916444 UON981927:UON981980 UON1047463:UON1047516 UYJ64423:UYJ64476 UYJ129959:UYJ130012 UYJ195495:UYJ195548 UYJ261031:UYJ261084 UYJ326567:UYJ326620 UYJ392103:UYJ392156 UYJ457639:UYJ457692 UYJ523175:UYJ523228 UYJ588711:UYJ588764 UYJ654247:UYJ654300 UYJ719783:UYJ719836 UYJ785319:UYJ785372 UYJ850855:UYJ850908 UYJ916391:UYJ916444 UYJ981927:UYJ981980 UYJ1047463:UYJ1047516 VIF64423:VIF64476 VIF129959:VIF130012 VIF195495:VIF195548 VIF261031:VIF261084 VIF326567:VIF326620 VIF392103:VIF392156 VIF457639:VIF457692 VIF523175:VIF523228 VIF588711:VIF588764 VIF654247:VIF654300 VIF719783:VIF719836 VIF785319:VIF785372 VIF850855:VIF850908 VIF916391:VIF916444 VIF981927:VIF981980 VIF1047463:VIF1047516 VSB64423:VSB64476 VSB129959:VSB130012 VSB195495:VSB195548 VSB261031:VSB261084 VSB326567:VSB326620 VSB392103:VSB392156 VSB457639:VSB457692 VSB523175:VSB523228 VSB588711:VSB588764 VSB654247:VSB654300 VSB719783:VSB719836 VSB785319:VSB785372 VSB850855:VSB850908 VSB916391:VSB916444 VSB981927:VSB981980 VSB1047463:VSB1047516 WBX64423:WBX64476 WBX129959:WBX130012 WBX195495:WBX195548 WBX261031:WBX261084 WBX326567:WBX326620 WBX392103:WBX392156 WBX457639:WBX457692 WBX523175:WBX523228 WBX588711:WBX588764 WBX654247:WBX654300 WBX719783:WBX719836 WBX785319:WBX785372 WBX850855:WBX850908 WBX916391:WBX916444 WBX981927:WBX981980 WBX1047463:WBX1047516 WLT64423:WLT64476 WLT129959:WLT130012 WLT195495:WLT195548 WLT261031:WLT261084 WLT326567:WLT326620 WLT392103:WLT392156 WLT457639:WLT457692 WLT523175:WLT523228 WLT588711:WLT588764 WLT654247:WLT654300 WLT719783:WLT719836 WLT785319:WLT785372 WLT850855:WLT850908 WLT916391:WLT916444 WLT981927:WLT981980 WLT1047463:WLT1047516 WVP64423:WVP64476 WVP129959:WVP130012 WVP195495:WVP195548 WVP261031:WVP261084 WVP326567:WVP326620 WVP392103:WVP392156 WVP457639:WVP457692 WVP523175:WVP523228 WVP588711:WVP588764 WVP654247:WVP654300 WVP719783:WVP719836 WVP785319:WVP785372 WVP850855:WVP850908 WVP916391:WVP916444 WVP981927:WVP981980 WVP1047463:WVP1047516" xr:uid="{A6D4A83D-ECA3-4F49-BDC5-65FC84528F70}">
      <formula1>$AL$5:$AL$12</formula1>
    </dataValidation>
    <dataValidation type="list" allowBlank="1" showInputMessage="1" showErrorMessage="1" sqref="F2:F65536 F65538:F131072 F131074:F196608 F196610:F262144 F262146:F327680 F327682:F393216 F393218:F458752 F458754:F524288 F524290:F589824 F589826:F655360 F655362:F720896 F720898:F786432 F786434:F851968 F851970:F917504 F917506:F983040 F983042:F1048576 JB2:JB65536 JB65538:JB131072 JB131074:JB196608 JB196610:JB262144 JB262146:JB327680 JB327682:JB393216 JB393218:JB458752 JB458754:JB524288 JB524290:JB589824 JB589826:JB655360 JB655362:JB720896 JB720898:JB786432 JB786434:JB851968 JB851970:JB917504 JB917506:JB983040 JB983042:JB1048576 SX2:SX65536 SX65538:SX131072 SX131074:SX196608 SX196610:SX262144 SX262146:SX327680 SX327682:SX393216 SX393218:SX458752 SX458754:SX524288 SX524290:SX589824 SX589826:SX655360 SX655362:SX720896 SX720898:SX786432 SX786434:SX851968 SX851970:SX917504 SX917506:SX983040 SX983042:SX1048576 ACT2:ACT65536 ACT65538:ACT131072 ACT131074:ACT196608 ACT196610:ACT262144 ACT262146:ACT327680 ACT327682:ACT393216 ACT393218:ACT458752 ACT458754:ACT524288 ACT524290:ACT589824 ACT589826:ACT655360 ACT655362:ACT720896 ACT720898:ACT786432 ACT786434:ACT851968 ACT851970:ACT917504 ACT917506:ACT983040 ACT983042:ACT1048576 AMP2:AMP65536 AMP65538:AMP131072 AMP131074:AMP196608 AMP196610:AMP262144 AMP262146:AMP327680 AMP327682:AMP393216 AMP393218:AMP458752 AMP458754:AMP524288 AMP524290:AMP589824 AMP589826:AMP655360 AMP655362:AMP720896 AMP720898:AMP786432 AMP786434:AMP851968 AMP851970:AMP917504 AMP917506:AMP983040 AMP983042:AMP1048576 AWL2:AWL65536 AWL65538:AWL131072 AWL131074:AWL196608 AWL196610:AWL262144 AWL262146:AWL327680 AWL327682:AWL393216 AWL393218:AWL458752 AWL458754:AWL524288 AWL524290:AWL589824 AWL589826:AWL655360 AWL655362:AWL720896 AWL720898:AWL786432 AWL786434:AWL851968 AWL851970:AWL917504 AWL917506:AWL983040 AWL983042:AWL1048576 BGH2:BGH65536 BGH65538:BGH131072 BGH131074:BGH196608 BGH196610:BGH262144 BGH262146:BGH327680 BGH327682:BGH393216 BGH393218:BGH458752 BGH458754:BGH524288 BGH524290:BGH589824 BGH589826:BGH655360 BGH655362:BGH720896 BGH720898:BGH786432 BGH786434:BGH851968 BGH851970:BGH917504 BGH917506:BGH983040 BGH983042:BGH1048576 BQD2:BQD65536 BQD65538:BQD131072 BQD131074:BQD196608 BQD196610:BQD262144 BQD262146:BQD327680 BQD327682:BQD393216 BQD393218:BQD458752 BQD458754:BQD524288 BQD524290:BQD589824 BQD589826:BQD655360 BQD655362:BQD720896 BQD720898:BQD786432 BQD786434:BQD851968 BQD851970:BQD917504 BQD917506:BQD983040 BQD983042:BQD1048576 BZZ2:BZZ65536 BZZ65538:BZZ131072 BZZ131074:BZZ196608 BZZ196610:BZZ262144 BZZ262146:BZZ327680 BZZ327682:BZZ393216 BZZ393218:BZZ458752 BZZ458754:BZZ524288 BZZ524290:BZZ589824 BZZ589826:BZZ655360 BZZ655362:BZZ720896 BZZ720898:BZZ786432 BZZ786434:BZZ851968 BZZ851970:BZZ917504 BZZ917506:BZZ983040 BZZ983042:BZZ1048576 CJV2:CJV65536 CJV65538:CJV131072 CJV131074:CJV196608 CJV196610:CJV262144 CJV262146:CJV327680 CJV327682:CJV393216 CJV393218:CJV458752 CJV458754:CJV524288 CJV524290:CJV589824 CJV589826:CJV655360 CJV655362:CJV720896 CJV720898:CJV786432 CJV786434:CJV851968 CJV851970:CJV917504 CJV917506:CJV983040 CJV983042:CJV1048576 CTR2:CTR65536 CTR65538:CTR131072 CTR131074:CTR196608 CTR196610:CTR262144 CTR262146:CTR327680 CTR327682:CTR393216 CTR393218:CTR458752 CTR458754:CTR524288 CTR524290:CTR589824 CTR589826:CTR655360 CTR655362:CTR720896 CTR720898:CTR786432 CTR786434:CTR851968 CTR851970:CTR917504 CTR917506:CTR983040 CTR983042:CTR1048576 DDN2:DDN65536 DDN65538:DDN131072 DDN131074:DDN196608 DDN196610:DDN262144 DDN262146:DDN327680 DDN327682:DDN393216 DDN393218:DDN458752 DDN458754:DDN524288 DDN524290:DDN589824 DDN589826:DDN655360 DDN655362:DDN720896 DDN720898:DDN786432 DDN786434:DDN851968 DDN851970:DDN917504 DDN917506:DDN983040 DDN983042:DDN1048576 DNJ2:DNJ65536 DNJ65538:DNJ131072 DNJ131074:DNJ196608 DNJ196610:DNJ262144 DNJ262146:DNJ327680 DNJ327682:DNJ393216 DNJ393218:DNJ458752 DNJ458754:DNJ524288 DNJ524290:DNJ589824 DNJ589826:DNJ655360 DNJ655362:DNJ720896 DNJ720898:DNJ786432 DNJ786434:DNJ851968 DNJ851970:DNJ917504 DNJ917506:DNJ983040 DNJ983042:DNJ1048576 DXF2:DXF65536 DXF65538:DXF131072 DXF131074:DXF196608 DXF196610:DXF262144 DXF262146:DXF327680 DXF327682:DXF393216 DXF393218:DXF458752 DXF458754:DXF524288 DXF524290:DXF589824 DXF589826:DXF655360 DXF655362:DXF720896 DXF720898:DXF786432 DXF786434:DXF851968 DXF851970:DXF917504 DXF917506:DXF983040 DXF983042:DXF1048576 EHB2:EHB65536 EHB65538:EHB131072 EHB131074:EHB196608 EHB196610:EHB262144 EHB262146:EHB327680 EHB327682:EHB393216 EHB393218:EHB458752 EHB458754:EHB524288 EHB524290:EHB589824 EHB589826:EHB655360 EHB655362:EHB720896 EHB720898:EHB786432 EHB786434:EHB851968 EHB851970:EHB917504 EHB917506:EHB983040 EHB983042:EHB1048576 EQX2:EQX65536 EQX65538:EQX131072 EQX131074:EQX196608 EQX196610:EQX262144 EQX262146:EQX327680 EQX327682:EQX393216 EQX393218:EQX458752 EQX458754:EQX524288 EQX524290:EQX589824 EQX589826:EQX655360 EQX655362:EQX720896 EQX720898:EQX786432 EQX786434:EQX851968 EQX851970:EQX917504 EQX917506:EQX983040 EQX983042:EQX1048576 FAT2:FAT65536 FAT65538:FAT131072 FAT131074:FAT196608 FAT196610:FAT262144 FAT262146:FAT327680 FAT327682:FAT393216 FAT393218:FAT458752 FAT458754:FAT524288 FAT524290:FAT589824 FAT589826:FAT655360 FAT655362:FAT720896 FAT720898:FAT786432 FAT786434:FAT851968 FAT851970:FAT917504 FAT917506:FAT983040 FAT983042:FAT1048576 FKP2:FKP65536 FKP65538:FKP131072 FKP131074:FKP196608 FKP196610:FKP262144 FKP262146:FKP327680 FKP327682:FKP393216 FKP393218:FKP458752 FKP458754:FKP524288 FKP524290:FKP589824 FKP589826:FKP655360 FKP655362:FKP720896 FKP720898:FKP786432 FKP786434:FKP851968 FKP851970:FKP917504 FKP917506:FKP983040 FKP983042:FKP1048576 FUL2:FUL65536 FUL65538:FUL131072 FUL131074:FUL196608 FUL196610:FUL262144 FUL262146:FUL327680 FUL327682:FUL393216 FUL393218:FUL458752 FUL458754:FUL524288 FUL524290:FUL589824 FUL589826:FUL655360 FUL655362:FUL720896 FUL720898:FUL786432 FUL786434:FUL851968 FUL851970:FUL917504 FUL917506:FUL983040 FUL983042:FUL1048576 GEH2:GEH65536 GEH65538:GEH131072 GEH131074:GEH196608 GEH196610:GEH262144 GEH262146:GEH327680 GEH327682:GEH393216 GEH393218:GEH458752 GEH458754:GEH524288 GEH524290:GEH589824 GEH589826:GEH655360 GEH655362:GEH720896 GEH720898:GEH786432 GEH786434:GEH851968 GEH851970:GEH917504 GEH917506:GEH983040 GEH983042:GEH1048576 GOD2:GOD65536 GOD65538:GOD131072 GOD131074:GOD196608 GOD196610:GOD262144 GOD262146:GOD327680 GOD327682:GOD393216 GOD393218:GOD458752 GOD458754:GOD524288 GOD524290:GOD589824 GOD589826:GOD655360 GOD655362:GOD720896 GOD720898:GOD786432 GOD786434:GOD851968 GOD851970:GOD917504 GOD917506:GOD983040 GOD983042:GOD1048576 GXZ2:GXZ65536 GXZ65538:GXZ131072 GXZ131074:GXZ196608 GXZ196610:GXZ262144 GXZ262146:GXZ327680 GXZ327682:GXZ393216 GXZ393218:GXZ458752 GXZ458754:GXZ524288 GXZ524290:GXZ589824 GXZ589826:GXZ655360 GXZ655362:GXZ720896 GXZ720898:GXZ786432 GXZ786434:GXZ851968 GXZ851970:GXZ917504 GXZ917506:GXZ983040 GXZ983042:GXZ1048576 HHV2:HHV65536 HHV65538:HHV131072 HHV131074:HHV196608 HHV196610:HHV262144 HHV262146:HHV327680 HHV327682:HHV393216 HHV393218:HHV458752 HHV458754:HHV524288 HHV524290:HHV589824 HHV589826:HHV655360 HHV655362:HHV720896 HHV720898:HHV786432 HHV786434:HHV851968 HHV851970:HHV917504 HHV917506:HHV983040 HHV983042:HHV1048576 HRR2:HRR65536 HRR65538:HRR131072 HRR131074:HRR196608 HRR196610:HRR262144 HRR262146:HRR327680 HRR327682:HRR393216 HRR393218:HRR458752 HRR458754:HRR524288 HRR524290:HRR589824 HRR589826:HRR655360 HRR655362:HRR720896 HRR720898:HRR786432 HRR786434:HRR851968 HRR851970:HRR917504 HRR917506:HRR983040 HRR983042:HRR1048576 IBN2:IBN65536 IBN65538:IBN131072 IBN131074:IBN196608 IBN196610:IBN262144 IBN262146:IBN327680 IBN327682:IBN393216 IBN393218:IBN458752 IBN458754:IBN524288 IBN524290:IBN589824 IBN589826:IBN655360 IBN655362:IBN720896 IBN720898:IBN786432 IBN786434:IBN851968 IBN851970:IBN917504 IBN917506:IBN983040 IBN983042:IBN1048576 ILJ2:ILJ65536 ILJ65538:ILJ131072 ILJ131074:ILJ196608 ILJ196610:ILJ262144 ILJ262146:ILJ327680 ILJ327682:ILJ393216 ILJ393218:ILJ458752 ILJ458754:ILJ524288 ILJ524290:ILJ589824 ILJ589826:ILJ655360 ILJ655362:ILJ720896 ILJ720898:ILJ786432 ILJ786434:ILJ851968 ILJ851970:ILJ917504 ILJ917506:ILJ983040 ILJ983042:ILJ1048576 IVF2:IVF65536 IVF65538:IVF131072 IVF131074:IVF196608 IVF196610:IVF262144 IVF262146:IVF327680 IVF327682:IVF393216 IVF393218:IVF458752 IVF458754:IVF524288 IVF524290:IVF589824 IVF589826:IVF655360 IVF655362:IVF720896 IVF720898:IVF786432 IVF786434:IVF851968 IVF851970:IVF917504 IVF917506:IVF983040 IVF983042:IVF1048576 JFB2:JFB65536 JFB65538:JFB131072 JFB131074:JFB196608 JFB196610:JFB262144 JFB262146:JFB327680 JFB327682:JFB393216 JFB393218:JFB458752 JFB458754:JFB524288 JFB524290:JFB589824 JFB589826:JFB655360 JFB655362:JFB720896 JFB720898:JFB786432 JFB786434:JFB851968 JFB851970:JFB917504 JFB917506:JFB983040 JFB983042:JFB1048576 JOX2:JOX65536 JOX65538:JOX131072 JOX131074:JOX196608 JOX196610:JOX262144 JOX262146:JOX327680 JOX327682:JOX393216 JOX393218:JOX458752 JOX458754:JOX524288 JOX524290:JOX589824 JOX589826:JOX655360 JOX655362:JOX720896 JOX720898:JOX786432 JOX786434:JOX851968 JOX851970:JOX917504 JOX917506:JOX983040 JOX983042:JOX1048576 JYT2:JYT65536 JYT65538:JYT131072 JYT131074:JYT196608 JYT196610:JYT262144 JYT262146:JYT327680 JYT327682:JYT393216 JYT393218:JYT458752 JYT458754:JYT524288 JYT524290:JYT589824 JYT589826:JYT655360 JYT655362:JYT720896 JYT720898:JYT786432 JYT786434:JYT851968 JYT851970:JYT917504 JYT917506:JYT983040 JYT983042:JYT1048576 KIP2:KIP65536 KIP65538:KIP131072 KIP131074:KIP196608 KIP196610:KIP262144 KIP262146:KIP327680 KIP327682:KIP393216 KIP393218:KIP458752 KIP458754:KIP524288 KIP524290:KIP589824 KIP589826:KIP655360 KIP655362:KIP720896 KIP720898:KIP786432 KIP786434:KIP851968 KIP851970:KIP917504 KIP917506:KIP983040 KIP983042:KIP1048576 KSL2:KSL65536 KSL65538:KSL131072 KSL131074:KSL196608 KSL196610:KSL262144 KSL262146:KSL327680 KSL327682:KSL393216 KSL393218:KSL458752 KSL458754:KSL524288 KSL524290:KSL589824 KSL589826:KSL655360 KSL655362:KSL720896 KSL720898:KSL786432 KSL786434:KSL851968 KSL851970:KSL917504 KSL917506:KSL983040 KSL983042:KSL1048576 LCH2:LCH65536 LCH65538:LCH131072 LCH131074:LCH196608 LCH196610:LCH262144 LCH262146:LCH327680 LCH327682:LCH393216 LCH393218:LCH458752 LCH458754:LCH524288 LCH524290:LCH589824 LCH589826:LCH655360 LCH655362:LCH720896 LCH720898:LCH786432 LCH786434:LCH851968 LCH851970:LCH917504 LCH917506:LCH983040 LCH983042:LCH1048576 LMD2:LMD65536 LMD65538:LMD131072 LMD131074:LMD196608 LMD196610:LMD262144 LMD262146:LMD327680 LMD327682:LMD393216 LMD393218:LMD458752 LMD458754:LMD524288 LMD524290:LMD589824 LMD589826:LMD655360 LMD655362:LMD720896 LMD720898:LMD786432 LMD786434:LMD851968 LMD851970:LMD917504 LMD917506:LMD983040 LMD983042:LMD1048576 LVZ2:LVZ65536 LVZ65538:LVZ131072 LVZ131074:LVZ196608 LVZ196610:LVZ262144 LVZ262146:LVZ327680 LVZ327682:LVZ393216 LVZ393218:LVZ458752 LVZ458754:LVZ524288 LVZ524290:LVZ589824 LVZ589826:LVZ655360 LVZ655362:LVZ720896 LVZ720898:LVZ786432 LVZ786434:LVZ851968 LVZ851970:LVZ917504 LVZ917506:LVZ983040 LVZ983042:LVZ1048576 MFV2:MFV65536 MFV65538:MFV131072 MFV131074:MFV196608 MFV196610:MFV262144 MFV262146:MFV327680 MFV327682:MFV393216 MFV393218:MFV458752 MFV458754:MFV524288 MFV524290:MFV589824 MFV589826:MFV655360 MFV655362:MFV720896 MFV720898:MFV786432 MFV786434:MFV851968 MFV851970:MFV917504 MFV917506:MFV983040 MFV983042:MFV1048576 MPR2:MPR65536 MPR65538:MPR131072 MPR131074:MPR196608 MPR196610:MPR262144 MPR262146:MPR327680 MPR327682:MPR393216 MPR393218:MPR458752 MPR458754:MPR524288 MPR524290:MPR589824 MPR589826:MPR655360 MPR655362:MPR720896 MPR720898:MPR786432 MPR786434:MPR851968 MPR851970:MPR917504 MPR917506:MPR983040 MPR983042:MPR1048576 MZN2:MZN65536 MZN65538:MZN131072 MZN131074:MZN196608 MZN196610:MZN262144 MZN262146:MZN327680 MZN327682:MZN393216 MZN393218:MZN458752 MZN458754:MZN524288 MZN524290:MZN589824 MZN589826:MZN655360 MZN655362:MZN720896 MZN720898:MZN786432 MZN786434:MZN851968 MZN851970:MZN917504 MZN917506:MZN983040 MZN983042:MZN1048576 NJJ2:NJJ65536 NJJ65538:NJJ131072 NJJ131074:NJJ196608 NJJ196610:NJJ262144 NJJ262146:NJJ327680 NJJ327682:NJJ393216 NJJ393218:NJJ458752 NJJ458754:NJJ524288 NJJ524290:NJJ589824 NJJ589826:NJJ655360 NJJ655362:NJJ720896 NJJ720898:NJJ786432 NJJ786434:NJJ851968 NJJ851970:NJJ917504 NJJ917506:NJJ983040 NJJ983042:NJJ1048576 NTF2:NTF65536 NTF65538:NTF131072 NTF131074:NTF196608 NTF196610:NTF262144 NTF262146:NTF327680 NTF327682:NTF393216 NTF393218:NTF458752 NTF458754:NTF524288 NTF524290:NTF589824 NTF589826:NTF655360 NTF655362:NTF720896 NTF720898:NTF786432 NTF786434:NTF851968 NTF851970:NTF917504 NTF917506:NTF983040 NTF983042:NTF1048576 ODB2:ODB65536 ODB65538:ODB131072 ODB131074:ODB196608 ODB196610:ODB262144 ODB262146:ODB327680 ODB327682:ODB393216 ODB393218:ODB458752 ODB458754:ODB524288 ODB524290:ODB589824 ODB589826:ODB655360 ODB655362:ODB720896 ODB720898:ODB786432 ODB786434:ODB851968 ODB851970:ODB917504 ODB917506:ODB983040 ODB983042:ODB1048576 OMX2:OMX65536 OMX65538:OMX131072 OMX131074:OMX196608 OMX196610:OMX262144 OMX262146:OMX327680 OMX327682:OMX393216 OMX393218:OMX458752 OMX458754:OMX524288 OMX524290:OMX589824 OMX589826:OMX655360 OMX655362:OMX720896 OMX720898:OMX786432 OMX786434:OMX851968 OMX851970:OMX917504 OMX917506:OMX983040 OMX983042:OMX1048576 OWT2:OWT65536 OWT65538:OWT131072 OWT131074:OWT196608 OWT196610:OWT262144 OWT262146:OWT327680 OWT327682:OWT393216 OWT393218:OWT458752 OWT458754:OWT524288 OWT524290:OWT589824 OWT589826:OWT655360 OWT655362:OWT720896 OWT720898:OWT786432 OWT786434:OWT851968 OWT851970:OWT917504 OWT917506:OWT983040 OWT983042:OWT1048576 PGP2:PGP65536 PGP65538:PGP131072 PGP131074:PGP196608 PGP196610:PGP262144 PGP262146:PGP327680 PGP327682:PGP393216 PGP393218:PGP458752 PGP458754:PGP524288 PGP524290:PGP589824 PGP589826:PGP655360 PGP655362:PGP720896 PGP720898:PGP786432 PGP786434:PGP851968 PGP851970:PGP917504 PGP917506:PGP983040 PGP983042:PGP1048576 PQL2:PQL65536 PQL65538:PQL131072 PQL131074:PQL196608 PQL196610:PQL262144 PQL262146:PQL327680 PQL327682:PQL393216 PQL393218:PQL458752 PQL458754:PQL524288 PQL524290:PQL589824 PQL589826:PQL655360 PQL655362:PQL720896 PQL720898:PQL786432 PQL786434:PQL851968 PQL851970:PQL917504 PQL917506:PQL983040 PQL983042:PQL1048576 QAH2:QAH65536 QAH65538:QAH131072 QAH131074:QAH196608 QAH196610:QAH262144 QAH262146:QAH327680 QAH327682:QAH393216 QAH393218:QAH458752 QAH458754:QAH524288 QAH524290:QAH589824 QAH589826:QAH655360 QAH655362:QAH720896 QAH720898:QAH786432 QAH786434:QAH851968 QAH851970:QAH917504 QAH917506:QAH983040 QAH983042:QAH1048576 QKD2:QKD65536 QKD65538:QKD131072 QKD131074:QKD196608 QKD196610:QKD262144 QKD262146:QKD327680 QKD327682:QKD393216 QKD393218:QKD458752 QKD458754:QKD524288 QKD524290:QKD589824 QKD589826:QKD655360 QKD655362:QKD720896 QKD720898:QKD786432 QKD786434:QKD851968 QKD851970:QKD917504 QKD917506:QKD983040 QKD983042:QKD1048576 QTZ2:QTZ65536 QTZ65538:QTZ131072 QTZ131074:QTZ196608 QTZ196610:QTZ262144 QTZ262146:QTZ327680 QTZ327682:QTZ393216 QTZ393218:QTZ458752 QTZ458754:QTZ524288 QTZ524290:QTZ589824 QTZ589826:QTZ655360 QTZ655362:QTZ720896 QTZ720898:QTZ786432 QTZ786434:QTZ851968 QTZ851970:QTZ917504 QTZ917506:QTZ983040 QTZ983042:QTZ1048576 RDV2:RDV65536 RDV65538:RDV131072 RDV131074:RDV196608 RDV196610:RDV262144 RDV262146:RDV327680 RDV327682:RDV393216 RDV393218:RDV458752 RDV458754:RDV524288 RDV524290:RDV589824 RDV589826:RDV655360 RDV655362:RDV720896 RDV720898:RDV786432 RDV786434:RDV851968 RDV851970:RDV917504 RDV917506:RDV983040 RDV983042:RDV1048576 RNR2:RNR65536 RNR65538:RNR131072 RNR131074:RNR196608 RNR196610:RNR262144 RNR262146:RNR327680 RNR327682:RNR393216 RNR393218:RNR458752 RNR458754:RNR524288 RNR524290:RNR589824 RNR589826:RNR655360 RNR655362:RNR720896 RNR720898:RNR786432 RNR786434:RNR851968 RNR851970:RNR917504 RNR917506:RNR983040 RNR983042:RNR1048576 RXN2:RXN65536 RXN65538:RXN131072 RXN131074:RXN196608 RXN196610:RXN262144 RXN262146:RXN327680 RXN327682:RXN393216 RXN393218:RXN458752 RXN458754:RXN524288 RXN524290:RXN589824 RXN589826:RXN655360 RXN655362:RXN720896 RXN720898:RXN786432 RXN786434:RXN851968 RXN851970:RXN917504 RXN917506:RXN983040 RXN983042:RXN1048576 SHJ2:SHJ65536 SHJ65538:SHJ131072 SHJ131074:SHJ196608 SHJ196610:SHJ262144 SHJ262146:SHJ327680 SHJ327682:SHJ393216 SHJ393218:SHJ458752 SHJ458754:SHJ524288 SHJ524290:SHJ589824 SHJ589826:SHJ655360 SHJ655362:SHJ720896 SHJ720898:SHJ786432 SHJ786434:SHJ851968 SHJ851970:SHJ917504 SHJ917506:SHJ983040 SHJ983042:SHJ1048576 SRF2:SRF65536 SRF65538:SRF131072 SRF131074:SRF196608 SRF196610:SRF262144 SRF262146:SRF327680 SRF327682:SRF393216 SRF393218:SRF458752 SRF458754:SRF524288 SRF524290:SRF589824 SRF589826:SRF655360 SRF655362:SRF720896 SRF720898:SRF786432 SRF786434:SRF851968 SRF851970:SRF917504 SRF917506:SRF983040 SRF983042:SRF1048576 TBB2:TBB65536 TBB65538:TBB131072 TBB131074:TBB196608 TBB196610:TBB262144 TBB262146:TBB327680 TBB327682:TBB393216 TBB393218:TBB458752 TBB458754:TBB524288 TBB524290:TBB589824 TBB589826:TBB655360 TBB655362:TBB720896 TBB720898:TBB786432 TBB786434:TBB851968 TBB851970:TBB917504 TBB917506:TBB983040 TBB983042:TBB1048576 TKX2:TKX65536 TKX65538:TKX131072 TKX131074:TKX196608 TKX196610:TKX262144 TKX262146:TKX327680 TKX327682:TKX393216 TKX393218:TKX458752 TKX458754:TKX524288 TKX524290:TKX589824 TKX589826:TKX655360 TKX655362:TKX720896 TKX720898:TKX786432 TKX786434:TKX851968 TKX851970:TKX917504 TKX917506:TKX983040 TKX983042:TKX1048576 TUT2:TUT65536 TUT65538:TUT131072 TUT131074:TUT196608 TUT196610:TUT262144 TUT262146:TUT327680 TUT327682:TUT393216 TUT393218:TUT458752 TUT458754:TUT524288 TUT524290:TUT589824 TUT589826:TUT655360 TUT655362:TUT720896 TUT720898:TUT786432 TUT786434:TUT851968 TUT851970:TUT917504 TUT917506:TUT983040 TUT983042:TUT1048576 UEP2:UEP65536 UEP65538:UEP131072 UEP131074:UEP196608 UEP196610:UEP262144 UEP262146:UEP327680 UEP327682:UEP393216 UEP393218:UEP458752 UEP458754:UEP524288 UEP524290:UEP589824 UEP589826:UEP655360 UEP655362:UEP720896 UEP720898:UEP786432 UEP786434:UEP851968 UEP851970:UEP917504 UEP917506:UEP983040 UEP983042:UEP1048576 UOL2:UOL65536 UOL65538:UOL131072 UOL131074:UOL196608 UOL196610:UOL262144 UOL262146:UOL327680 UOL327682:UOL393216 UOL393218:UOL458752 UOL458754:UOL524288 UOL524290:UOL589824 UOL589826:UOL655360 UOL655362:UOL720896 UOL720898:UOL786432 UOL786434:UOL851968 UOL851970:UOL917504 UOL917506:UOL983040 UOL983042:UOL1048576 UYH2:UYH65536 UYH65538:UYH131072 UYH131074:UYH196608 UYH196610:UYH262144 UYH262146:UYH327680 UYH327682:UYH393216 UYH393218:UYH458752 UYH458754:UYH524288 UYH524290:UYH589824 UYH589826:UYH655360 UYH655362:UYH720896 UYH720898:UYH786432 UYH786434:UYH851968 UYH851970:UYH917504 UYH917506:UYH983040 UYH983042:UYH1048576 VID2:VID65536 VID65538:VID131072 VID131074:VID196608 VID196610:VID262144 VID262146:VID327680 VID327682:VID393216 VID393218:VID458752 VID458754:VID524288 VID524290:VID589824 VID589826:VID655360 VID655362:VID720896 VID720898:VID786432 VID786434:VID851968 VID851970:VID917504 VID917506:VID983040 VID983042:VID1048576 VRZ2:VRZ65536 VRZ65538:VRZ131072 VRZ131074:VRZ196608 VRZ196610:VRZ262144 VRZ262146:VRZ327680 VRZ327682:VRZ393216 VRZ393218:VRZ458752 VRZ458754:VRZ524288 VRZ524290:VRZ589824 VRZ589826:VRZ655360 VRZ655362:VRZ720896 VRZ720898:VRZ786432 VRZ786434:VRZ851968 VRZ851970:VRZ917504 VRZ917506:VRZ983040 VRZ983042:VRZ1048576 WBV2:WBV65536 WBV65538:WBV131072 WBV131074:WBV196608 WBV196610:WBV262144 WBV262146:WBV327680 WBV327682:WBV393216 WBV393218:WBV458752 WBV458754:WBV524288 WBV524290:WBV589824 WBV589826:WBV655360 WBV655362:WBV720896 WBV720898:WBV786432 WBV786434:WBV851968 WBV851970:WBV917504 WBV917506:WBV983040 WBV983042:WBV1048576 WLR2:WLR65536 WLR65538:WLR131072 WLR131074:WLR196608 WLR196610:WLR262144 WLR262146:WLR327680 WLR327682:WLR393216 WLR393218:WLR458752 WLR458754:WLR524288 WLR524290:WLR589824 WLR589826:WLR655360 WLR655362:WLR720896 WLR720898:WLR786432 WLR786434:WLR851968 WLR851970:WLR917504 WLR917506:WLR983040 WLR983042:WLR1048576 WVN2:WVN65536 WVN65538:WVN131072 WVN131074:WVN196608 WVN196610:WVN262144 WVN262146:WVN327680 WVN327682:WVN393216 WVN393218:WVN458752 WVN458754:WVN524288 WVN524290:WVN589824 WVN589826:WVN655360 WVN655362:WVN720896 WVN720898:WVN786432 WVN786434:WVN851968 WVN851970:WVN917504 WVN917506:WVN983040 WVN983042:WVN1048576" xr:uid="{18F5BC2C-21C6-4A41-8383-77B5ACE2E967}">
      <formula1>$AH$2:$AH$12</formula1>
    </dataValidation>
    <dataValidation type="list" allowBlank="1" showInputMessage="1" showErrorMessage="1" sqref="E2:E65536 E65538:E131072 E131074:E196608 E196610:E262144 E262146:E327680 E327682:E393216 E393218:E458752 E458754:E524288 E524290:E589824 E589826:E655360 E655362:E720896 E720898:E786432 E786434:E851968 E851970:E917504 E917506:E983040 E983042:E1048576 JA2:JA65536 JA65538:JA131072 JA131074:JA196608 JA196610:JA262144 JA262146:JA327680 JA327682:JA393216 JA393218:JA458752 JA458754:JA524288 JA524290:JA589824 JA589826:JA655360 JA655362:JA720896 JA720898:JA786432 JA786434:JA851968 JA851970:JA917504 JA917506:JA983040 JA983042:JA1048576 SW2:SW65536 SW65538:SW131072 SW131074:SW196608 SW196610:SW262144 SW262146:SW327680 SW327682:SW393216 SW393218:SW458752 SW458754:SW524288 SW524290:SW589824 SW589826:SW655360 SW655362:SW720896 SW720898:SW786432 SW786434:SW851968 SW851970:SW917504 SW917506:SW983040 SW983042:SW1048576 ACS2:ACS65536 ACS65538:ACS131072 ACS131074:ACS196608 ACS196610:ACS262144 ACS262146:ACS327680 ACS327682:ACS393216 ACS393218:ACS458752 ACS458754:ACS524288 ACS524290:ACS589824 ACS589826:ACS655360 ACS655362:ACS720896 ACS720898:ACS786432 ACS786434:ACS851968 ACS851970:ACS917504 ACS917506:ACS983040 ACS983042:ACS1048576 AMO2:AMO65536 AMO65538:AMO131072 AMO131074:AMO196608 AMO196610:AMO262144 AMO262146:AMO327680 AMO327682:AMO393216 AMO393218:AMO458752 AMO458754:AMO524288 AMO524290:AMO589824 AMO589826:AMO655360 AMO655362:AMO720896 AMO720898:AMO786432 AMO786434:AMO851968 AMO851970:AMO917504 AMO917506:AMO983040 AMO983042:AMO1048576 AWK2:AWK65536 AWK65538:AWK131072 AWK131074:AWK196608 AWK196610:AWK262144 AWK262146:AWK327680 AWK327682:AWK393216 AWK393218:AWK458752 AWK458754:AWK524288 AWK524290:AWK589824 AWK589826:AWK655360 AWK655362:AWK720896 AWK720898:AWK786432 AWK786434:AWK851968 AWK851970:AWK917504 AWK917506:AWK983040 AWK983042:AWK1048576 BGG2:BGG65536 BGG65538:BGG131072 BGG131074:BGG196608 BGG196610:BGG262144 BGG262146:BGG327680 BGG327682:BGG393216 BGG393218:BGG458752 BGG458754:BGG524288 BGG524290:BGG589824 BGG589826:BGG655360 BGG655362:BGG720896 BGG720898:BGG786432 BGG786434:BGG851968 BGG851970:BGG917504 BGG917506:BGG983040 BGG983042:BGG1048576 BQC2:BQC65536 BQC65538:BQC131072 BQC131074:BQC196608 BQC196610:BQC262144 BQC262146:BQC327680 BQC327682:BQC393216 BQC393218:BQC458752 BQC458754:BQC524288 BQC524290:BQC589824 BQC589826:BQC655360 BQC655362:BQC720896 BQC720898:BQC786432 BQC786434:BQC851968 BQC851970:BQC917504 BQC917506:BQC983040 BQC983042:BQC1048576 BZY2:BZY65536 BZY65538:BZY131072 BZY131074:BZY196608 BZY196610:BZY262144 BZY262146:BZY327680 BZY327682:BZY393216 BZY393218:BZY458752 BZY458754:BZY524288 BZY524290:BZY589824 BZY589826:BZY655360 BZY655362:BZY720896 BZY720898:BZY786432 BZY786434:BZY851968 BZY851970:BZY917504 BZY917506:BZY983040 BZY983042:BZY1048576 CJU2:CJU65536 CJU65538:CJU131072 CJU131074:CJU196608 CJU196610:CJU262144 CJU262146:CJU327680 CJU327682:CJU393216 CJU393218:CJU458752 CJU458754:CJU524288 CJU524290:CJU589824 CJU589826:CJU655360 CJU655362:CJU720896 CJU720898:CJU786432 CJU786434:CJU851968 CJU851970:CJU917504 CJU917506:CJU983040 CJU983042:CJU1048576 CTQ2:CTQ65536 CTQ65538:CTQ131072 CTQ131074:CTQ196608 CTQ196610:CTQ262144 CTQ262146:CTQ327680 CTQ327682:CTQ393216 CTQ393218:CTQ458752 CTQ458754:CTQ524288 CTQ524290:CTQ589824 CTQ589826:CTQ655360 CTQ655362:CTQ720896 CTQ720898:CTQ786432 CTQ786434:CTQ851968 CTQ851970:CTQ917504 CTQ917506:CTQ983040 CTQ983042:CTQ1048576 DDM2:DDM65536 DDM65538:DDM131072 DDM131074:DDM196608 DDM196610:DDM262144 DDM262146:DDM327680 DDM327682:DDM393216 DDM393218:DDM458752 DDM458754:DDM524288 DDM524290:DDM589824 DDM589826:DDM655360 DDM655362:DDM720896 DDM720898:DDM786432 DDM786434:DDM851968 DDM851970:DDM917504 DDM917506:DDM983040 DDM983042:DDM1048576 DNI2:DNI65536 DNI65538:DNI131072 DNI131074:DNI196608 DNI196610:DNI262144 DNI262146:DNI327680 DNI327682:DNI393216 DNI393218:DNI458752 DNI458754:DNI524288 DNI524290:DNI589824 DNI589826:DNI655360 DNI655362:DNI720896 DNI720898:DNI786432 DNI786434:DNI851968 DNI851970:DNI917504 DNI917506:DNI983040 DNI983042:DNI1048576 DXE2:DXE65536 DXE65538:DXE131072 DXE131074:DXE196608 DXE196610:DXE262144 DXE262146:DXE327680 DXE327682:DXE393216 DXE393218:DXE458752 DXE458754:DXE524288 DXE524290:DXE589824 DXE589826:DXE655360 DXE655362:DXE720896 DXE720898:DXE786432 DXE786434:DXE851968 DXE851970:DXE917504 DXE917506:DXE983040 DXE983042:DXE1048576 EHA2:EHA65536 EHA65538:EHA131072 EHA131074:EHA196608 EHA196610:EHA262144 EHA262146:EHA327680 EHA327682:EHA393216 EHA393218:EHA458752 EHA458754:EHA524288 EHA524290:EHA589824 EHA589826:EHA655360 EHA655362:EHA720896 EHA720898:EHA786432 EHA786434:EHA851968 EHA851970:EHA917504 EHA917506:EHA983040 EHA983042:EHA1048576 EQW2:EQW65536 EQW65538:EQW131072 EQW131074:EQW196608 EQW196610:EQW262144 EQW262146:EQW327680 EQW327682:EQW393216 EQW393218:EQW458752 EQW458754:EQW524288 EQW524290:EQW589824 EQW589826:EQW655360 EQW655362:EQW720896 EQW720898:EQW786432 EQW786434:EQW851968 EQW851970:EQW917504 EQW917506:EQW983040 EQW983042:EQW1048576 FAS2:FAS65536 FAS65538:FAS131072 FAS131074:FAS196608 FAS196610:FAS262144 FAS262146:FAS327680 FAS327682:FAS393216 FAS393218:FAS458752 FAS458754:FAS524288 FAS524290:FAS589824 FAS589826:FAS655360 FAS655362:FAS720896 FAS720898:FAS786432 FAS786434:FAS851968 FAS851970:FAS917504 FAS917506:FAS983040 FAS983042:FAS1048576 FKO2:FKO65536 FKO65538:FKO131072 FKO131074:FKO196608 FKO196610:FKO262144 FKO262146:FKO327680 FKO327682:FKO393216 FKO393218:FKO458752 FKO458754:FKO524288 FKO524290:FKO589824 FKO589826:FKO655360 FKO655362:FKO720896 FKO720898:FKO786432 FKO786434:FKO851968 FKO851970:FKO917504 FKO917506:FKO983040 FKO983042:FKO1048576 FUK2:FUK65536 FUK65538:FUK131072 FUK131074:FUK196608 FUK196610:FUK262144 FUK262146:FUK327680 FUK327682:FUK393216 FUK393218:FUK458752 FUK458754:FUK524288 FUK524290:FUK589824 FUK589826:FUK655360 FUK655362:FUK720896 FUK720898:FUK786432 FUK786434:FUK851968 FUK851970:FUK917504 FUK917506:FUK983040 FUK983042:FUK1048576 GEG2:GEG65536 GEG65538:GEG131072 GEG131074:GEG196608 GEG196610:GEG262144 GEG262146:GEG327680 GEG327682:GEG393216 GEG393218:GEG458752 GEG458754:GEG524288 GEG524290:GEG589824 GEG589826:GEG655360 GEG655362:GEG720896 GEG720898:GEG786432 GEG786434:GEG851968 GEG851970:GEG917504 GEG917506:GEG983040 GEG983042:GEG1048576 GOC2:GOC65536 GOC65538:GOC131072 GOC131074:GOC196608 GOC196610:GOC262144 GOC262146:GOC327680 GOC327682:GOC393216 GOC393218:GOC458752 GOC458754:GOC524288 GOC524290:GOC589824 GOC589826:GOC655360 GOC655362:GOC720896 GOC720898:GOC786432 GOC786434:GOC851968 GOC851970:GOC917504 GOC917506:GOC983040 GOC983042:GOC1048576 GXY2:GXY65536 GXY65538:GXY131072 GXY131074:GXY196608 GXY196610:GXY262144 GXY262146:GXY327680 GXY327682:GXY393216 GXY393218:GXY458752 GXY458754:GXY524288 GXY524290:GXY589824 GXY589826:GXY655360 GXY655362:GXY720896 GXY720898:GXY786432 GXY786434:GXY851968 GXY851970:GXY917504 GXY917506:GXY983040 GXY983042:GXY1048576 HHU2:HHU65536 HHU65538:HHU131072 HHU131074:HHU196608 HHU196610:HHU262144 HHU262146:HHU327680 HHU327682:HHU393216 HHU393218:HHU458752 HHU458754:HHU524288 HHU524290:HHU589824 HHU589826:HHU655360 HHU655362:HHU720896 HHU720898:HHU786432 HHU786434:HHU851968 HHU851970:HHU917504 HHU917506:HHU983040 HHU983042:HHU1048576 HRQ2:HRQ65536 HRQ65538:HRQ131072 HRQ131074:HRQ196608 HRQ196610:HRQ262144 HRQ262146:HRQ327680 HRQ327682:HRQ393216 HRQ393218:HRQ458752 HRQ458754:HRQ524288 HRQ524290:HRQ589824 HRQ589826:HRQ655360 HRQ655362:HRQ720896 HRQ720898:HRQ786432 HRQ786434:HRQ851968 HRQ851970:HRQ917504 HRQ917506:HRQ983040 HRQ983042:HRQ1048576 IBM2:IBM65536 IBM65538:IBM131072 IBM131074:IBM196608 IBM196610:IBM262144 IBM262146:IBM327680 IBM327682:IBM393216 IBM393218:IBM458752 IBM458754:IBM524288 IBM524290:IBM589824 IBM589826:IBM655360 IBM655362:IBM720896 IBM720898:IBM786432 IBM786434:IBM851968 IBM851970:IBM917504 IBM917506:IBM983040 IBM983042:IBM1048576 ILI2:ILI65536 ILI65538:ILI131072 ILI131074:ILI196608 ILI196610:ILI262144 ILI262146:ILI327680 ILI327682:ILI393216 ILI393218:ILI458752 ILI458754:ILI524288 ILI524290:ILI589824 ILI589826:ILI655360 ILI655362:ILI720896 ILI720898:ILI786432 ILI786434:ILI851968 ILI851970:ILI917504 ILI917506:ILI983040 ILI983042:ILI1048576 IVE2:IVE65536 IVE65538:IVE131072 IVE131074:IVE196608 IVE196610:IVE262144 IVE262146:IVE327680 IVE327682:IVE393216 IVE393218:IVE458752 IVE458754:IVE524288 IVE524290:IVE589824 IVE589826:IVE655360 IVE655362:IVE720896 IVE720898:IVE786432 IVE786434:IVE851968 IVE851970:IVE917504 IVE917506:IVE983040 IVE983042:IVE1048576 JFA2:JFA65536 JFA65538:JFA131072 JFA131074:JFA196608 JFA196610:JFA262144 JFA262146:JFA327680 JFA327682:JFA393216 JFA393218:JFA458752 JFA458754:JFA524288 JFA524290:JFA589824 JFA589826:JFA655360 JFA655362:JFA720896 JFA720898:JFA786432 JFA786434:JFA851968 JFA851970:JFA917504 JFA917506:JFA983040 JFA983042:JFA1048576 JOW2:JOW65536 JOW65538:JOW131072 JOW131074:JOW196608 JOW196610:JOW262144 JOW262146:JOW327680 JOW327682:JOW393216 JOW393218:JOW458752 JOW458754:JOW524288 JOW524290:JOW589824 JOW589826:JOW655360 JOW655362:JOW720896 JOW720898:JOW786432 JOW786434:JOW851968 JOW851970:JOW917504 JOW917506:JOW983040 JOW983042:JOW1048576 JYS2:JYS65536 JYS65538:JYS131072 JYS131074:JYS196608 JYS196610:JYS262144 JYS262146:JYS327680 JYS327682:JYS393216 JYS393218:JYS458752 JYS458754:JYS524288 JYS524290:JYS589824 JYS589826:JYS655360 JYS655362:JYS720896 JYS720898:JYS786432 JYS786434:JYS851968 JYS851970:JYS917504 JYS917506:JYS983040 JYS983042:JYS1048576 KIO2:KIO65536 KIO65538:KIO131072 KIO131074:KIO196608 KIO196610:KIO262144 KIO262146:KIO327680 KIO327682:KIO393216 KIO393218:KIO458752 KIO458754:KIO524288 KIO524290:KIO589824 KIO589826:KIO655360 KIO655362:KIO720896 KIO720898:KIO786432 KIO786434:KIO851968 KIO851970:KIO917504 KIO917506:KIO983040 KIO983042:KIO1048576 KSK2:KSK65536 KSK65538:KSK131072 KSK131074:KSK196608 KSK196610:KSK262144 KSK262146:KSK327680 KSK327682:KSK393216 KSK393218:KSK458752 KSK458754:KSK524288 KSK524290:KSK589824 KSK589826:KSK655360 KSK655362:KSK720896 KSK720898:KSK786432 KSK786434:KSK851968 KSK851970:KSK917504 KSK917506:KSK983040 KSK983042:KSK1048576 LCG2:LCG65536 LCG65538:LCG131072 LCG131074:LCG196608 LCG196610:LCG262144 LCG262146:LCG327680 LCG327682:LCG393216 LCG393218:LCG458752 LCG458754:LCG524288 LCG524290:LCG589824 LCG589826:LCG655360 LCG655362:LCG720896 LCG720898:LCG786432 LCG786434:LCG851968 LCG851970:LCG917504 LCG917506:LCG983040 LCG983042:LCG1048576 LMC2:LMC65536 LMC65538:LMC131072 LMC131074:LMC196608 LMC196610:LMC262144 LMC262146:LMC327680 LMC327682:LMC393216 LMC393218:LMC458752 LMC458754:LMC524288 LMC524290:LMC589824 LMC589826:LMC655360 LMC655362:LMC720896 LMC720898:LMC786432 LMC786434:LMC851968 LMC851970:LMC917504 LMC917506:LMC983040 LMC983042:LMC1048576 LVY2:LVY65536 LVY65538:LVY131072 LVY131074:LVY196608 LVY196610:LVY262144 LVY262146:LVY327680 LVY327682:LVY393216 LVY393218:LVY458752 LVY458754:LVY524288 LVY524290:LVY589824 LVY589826:LVY655360 LVY655362:LVY720896 LVY720898:LVY786432 LVY786434:LVY851968 LVY851970:LVY917504 LVY917506:LVY983040 LVY983042:LVY1048576 MFU2:MFU65536 MFU65538:MFU131072 MFU131074:MFU196608 MFU196610:MFU262144 MFU262146:MFU327680 MFU327682:MFU393216 MFU393218:MFU458752 MFU458754:MFU524288 MFU524290:MFU589824 MFU589826:MFU655360 MFU655362:MFU720896 MFU720898:MFU786432 MFU786434:MFU851968 MFU851970:MFU917504 MFU917506:MFU983040 MFU983042:MFU1048576 MPQ2:MPQ65536 MPQ65538:MPQ131072 MPQ131074:MPQ196608 MPQ196610:MPQ262144 MPQ262146:MPQ327680 MPQ327682:MPQ393216 MPQ393218:MPQ458752 MPQ458754:MPQ524288 MPQ524290:MPQ589824 MPQ589826:MPQ655360 MPQ655362:MPQ720896 MPQ720898:MPQ786432 MPQ786434:MPQ851968 MPQ851970:MPQ917504 MPQ917506:MPQ983040 MPQ983042:MPQ1048576 MZM2:MZM65536 MZM65538:MZM131072 MZM131074:MZM196608 MZM196610:MZM262144 MZM262146:MZM327680 MZM327682:MZM393216 MZM393218:MZM458752 MZM458754:MZM524288 MZM524290:MZM589824 MZM589826:MZM655360 MZM655362:MZM720896 MZM720898:MZM786432 MZM786434:MZM851968 MZM851970:MZM917504 MZM917506:MZM983040 MZM983042:MZM1048576 NJI2:NJI65536 NJI65538:NJI131072 NJI131074:NJI196608 NJI196610:NJI262144 NJI262146:NJI327680 NJI327682:NJI393216 NJI393218:NJI458752 NJI458754:NJI524288 NJI524290:NJI589824 NJI589826:NJI655360 NJI655362:NJI720896 NJI720898:NJI786432 NJI786434:NJI851968 NJI851970:NJI917504 NJI917506:NJI983040 NJI983042:NJI1048576 NTE2:NTE65536 NTE65538:NTE131072 NTE131074:NTE196608 NTE196610:NTE262144 NTE262146:NTE327680 NTE327682:NTE393216 NTE393218:NTE458752 NTE458754:NTE524288 NTE524290:NTE589824 NTE589826:NTE655360 NTE655362:NTE720896 NTE720898:NTE786432 NTE786434:NTE851968 NTE851970:NTE917504 NTE917506:NTE983040 NTE983042:NTE1048576 ODA2:ODA65536 ODA65538:ODA131072 ODA131074:ODA196608 ODA196610:ODA262144 ODA262146:ODA327680 ODA327682:ODA393216 ODA393218:ODA458752 ODA458754:ODA524288 ODA524290:ODA589824 ODA589826:ODA655360 ODA655362:ODA720896 ODA720898:ODA786432 ODA786434:ODA851968 ODA851970:ODA917504 ODA917506:ODA983040 ODA983042:ODA1048576 OMW2:OMW65536 OMW65538:OMW131072 OMW131074:OMW196608 OMW196610:OMW262144 OMW262146:OMW327680 OMW327682:OMW393216 OMW393218:OMW458752 OMW458754:OMW524288 OMW524290:OMW589824 OMW589826:OMW655360 OMW655362:OMW720896 OMW720898:OMW786432 OMW786434:OMW851968 OMW851970:OMW917504 OMW917506:OMW983040 OMW983042:OMW1048576 OWS2:OWS65536 OWS65538:OWS131072 OWS131074:OWS196608 OWS196610:OWS262144 OWS262146:OWS327680 OWS327682:OWS393216 OWS393218:OWS458752 OWS458754:OWS524288 OWS524290:OWS589824 OWS589826:OWS655360 OWS655362:OWS720896 OWS720898:OWS786432 OWS786434:OWS851968 OWS851970:OWS917504 OWS917506:OWS983040 OWS983042:OWS1048576 PGO2:PGO65536 PGO65538:PGO131072 PGO131074:PGO196608 PGO196610:PGO262144 PGO262146:PGO327680 PGO327682:PGO393216 PGO393218:PGO458752 PGO458754:PGO524288 PGO524290:PGO589824 PGO589826:PGO655360 PGO655362:PGO720896 PGO720898:PGO786432 PGO786434:PGO851968 PGO851970:PGO917504 PGO917506:PGO983040 PGO983042:PGO1048576 PQK2:PQK65536 PQK65538:PQK131072 PQK131074:PQK196608 PQK196610:PQK262144 PQK262146:PQK327680 PQK327682:PQK393216 PQK393218:PQK458752 PQK458754:PQK524288 PQK524290:PQK589824 PQK589826:PQK655360 PQK655362:PQK720896 PQK720898:PQK786432 PQK786434:PQK851968 PQK851970:PQK917504 PQK917506:PQK983040 PQK983042:PQK1048576 QAG2:QAG65536 QAG65538:QAG131072 QAG131074:QAG196608 QAG196610:QAG262144 QAG262146:QAG327680 QAG327682:QAG393216 QAG393218:QAG458752 QAG458754:QAG524288 QAG524290:QAG589824 QAG589826:QAG655360 QAG655362:QAG720896 QAG720898:QAG786432 QAG786434:QAG851968 QAG851970:QAG917504 QAG917506:QAG983040 QAG983042:QAG1048576 QKC2:QKC65536 QKC65538:QKC131072 QKC131074:QKC196608 QKC196610:QKC262144 QKC262146:QKC327680 QKC327682:QKC393216 QKC393218:QKC458752 QKC458754:QKC524288 QKC524290:QKC589824 QKC589826:QKC655360 QKC655362:QKC720896 QKC720898:QKC786432 QKC786434:QKC851968 QKC851970:QKC917504 QKC917506:QKC983040 QKC983042:QKC1048576 QTY2:QTY65536 QTY65538:QTY131072 QTY131074:QTY196608 QTY196610:QTY262144 QTY262146:QTY327680 QTY327682:QTY393216 QTY393218:QTY458752 QTY458754:QTY524288 QTY524290:QTY589824 QTY589826:QTY655360 QTY655362:QTY720896 QTY720898:QTY786432 QTY786434:QTY851968 QTY851970:QTY917504 QTY917506:QTY983040 QTY983042:QTY1048576 RDU2:RDU65536 RDU65538:RDU131072 RDU131074:RDU196608 RDU196610:RDU262144 RDU262146:RDU327680 RDU327682:RDU393216 RDU393218:RDU458752 RDU458754:RDU524288 RDU524290:RDU589824 RDU589826:RDU655360 RDU655362:RDU720896 RDU720898:RDU786432 RDU786434:RDU851968 RDU851970:RDU917504 RDU917506:RDU983040 RDU983042:RDU1048576 RNQ2:RNQ65536 RNQ65538:RNQ131072 RNQ131074:RNQ196608 RNQ196610:RNQ262144 RNQ262146:RNQ327680 RNQ327682:RNQ393216 RNQ393218:RNQ458752 RNQ458754:RNQ524288 RNQ524290:RNQ589824 RNQ589826:RNQ655360 RNQ655362:RNQ720896 RNQ720898:RNQ786432 RNQ786434:RNQ851968 RNQ851970:RNQ917504 RNQ917506:RNQ983040 RNQ983042:RNQ1048576 RXM2:RXM65536 RXM65538:RXM131072 RXM131074:RXM196608 RXM196610:RXM262144 RXM262146:RXM327680 RXM327682:RXM393216 RXM393218:RXM458752 RXM458754:RXM524288 RXM524290:RXM589824 RXM589826:RXM655360 RXM655362:RXM720896 RXM720898:RXM786432 RXM786434:RXM851968 RXM851970:RXM917504 RXM917506:RXM983040 RXM983042:RXM1048576 SHI2:SHI65536 SHI65538:SHI131072 SHI131074:SHI196608 SHI196610:SHI262144 SHI262146:SHI327680 SHI327682:SHI393216 SHI393218:SHI458752 SHI458754:SHI524288 SHI524290:SHI589824 SHI589826:SHI655360 SHI655362:SHI720896 SHI720898:SHI786432 SHI786434:SHI851968 SHI851970:SHI917504 SHI917506:SHI983040 SHI983042:SHI1048576 SRE2:SRE65536 SRE65538:SRE131072 SRE131074:SRE196608 SRE196610:SRE262144 SRE262146:SRE327680 SRE327682:SRE393216 SRE393218:SRE458752 SRE458754:SRE524288 SRE524290:SRE589824 SRE589826:SRE655360 SRE655362:SRE720896 SRE720898:SRE786432 SRE786434:SRE851968 SRE851970:SRE917504 SRE917506:SRE983040 SRE983042:SRE1048576 TBA2:TBA65536 TBA65538:TBA131072 TBA131074:TBA196608 TBA196610:TBA262144 TBA262146:TBA327680 TBA327682:TBA393216 TBA393218:TBA458752 TBA458754:TBA524288 TBA524290:TBA589824 TBA589826:TBA655360 TBA655362:TBA720896 TBA720898:TBA786432 TBA786434:TBA851968 TBA851970:TBA917504 TBA917506:TBA983040 TBA983042:TBA1048576 TKW2:TKW65536 TKW65538:TKW131072 TKW131074:TKW196608 TKW196610:TKW262144 TKW262146:TKW327680 TKW327682:TKW393216 TKW393218:TKW458752 TKW458754:TKW524288 TKW524290:TKW589824 TKW589826:TKW655360 TKW655362:TKW720896 TKW720898:TKW786432 TKW786434:TKW851968 TKW851970:TKW917504 TKW917506:TKW983040 TKW983042:TKW1048576 TUS2:TUS65536 TUS65538:TUS131072 TUS131074:TUS196608 TUS196610:TUS262144 TUS262146:TUS327680 TUS327682:TUS393216 TUS393218:TUS458752 TUS458754:TUS524288 TUS524290:TUS589824 TUS589826:TUS655360 TUS655362:TUS720896 TUS720898:TUS786432 TUS786434:TUS851968 TUS851970:TUS917504 TUS917506:TUS983040 TUS983042:TUS1048576 UEO2:UEO65536 UEO65538:UEO131072 UEO131074:UEO196608 UEO196610:UEO262144 UEO262146:UEO327680 UEO327682:UEO393216 UEO393218:UEO458752 UEO458754:UEO524288 UEO524290:UEO589824 UEO589826:UEO655360 UEO655362:UEO720896 UEO720898:UEO786432 UEO786434:UEO851968 UEO851970:UEO917504 UEO917506:UEO983040 UEO983042:UEO1048576 UOK2:UOK65536 UOK65538:UOK131072 UOK131074:UOK196608 UOK196610:UOK262144 UOK262146:UOK327680 UOK327682:UOK393216 UOK393218:UOK458752 UOK458754:UOK524288 UOK524290:UOK589824 UOK589826:UOK655360 UOK655362:UOK720896 UOK720898:UOK786432 UOK786434:UOK851968 UOK851970:UOK917504 UOK917506:UOK983040 UOK983042:UOK1048576 UYG2:UYG65536 UYG65538:UYG131072 UYG131074:UYG196608 UYG196610:UYG262144 UYG262146:UYG327680 UYG327682:UYG393216 UYG393218:UYG458752 UYG458754:UYG524288 UYG524290:UYG589824 UYG589826:UYG655360 UYG655362:UYG720896 UYG720898:UYG786432 UYG786434:UYG851968 UYG851970:UYG917504 UYG917506:UYG983040 UYG983042:UYG1048576 VIC2:VIC65536 VIC65538:VIC131072 VIC131074:VIC196608 VIC196610:VIC262144 VIC262146:VIC327680 VIC327682:VIC393216 VIC393218:VIC458752 VIC458754:VIC524288 VIC524290:VIC589824 VIC589826:VIC655360 VIC655362:VIC720896 VIC720898:VIC786432 VIC786434:VIC851968 VIC851970:VIC917504 VIC917506:VIC983040 VIC983042:VIC1048576 VRY2:VRY65536 VRY65538:VRY131072 VRY131074:VRY196608 VRY196610:VRY262144 VRY262146:VRY327680 VRY327682:VRY393216 VRY393218:VRY458752 VRY458754:VRY524288 VRY524290:VRY589824 VRY589826:VRY655360 VRY655362:VRY720896 VRY720898:VRY786432 VRY786434:VRY851968 VRY851970:VRY917504 VRY917506:VRY983040 VRY983042:VRY1048576 WBU2:WBU65536 WBU65538:WBU131072 WBU131074:WBU196608 WBU196610:WBU262144 WBU262146:WBU327680 WBU327682:WBU393216 WBU393218:WBU458752 WBU458754:WBU524288 WBU524290:WBU589824 WBU589826:WBU655360 WBU655362:WBU720896 WBU720898:WBU786432 WBU786434:WBU851968 WBU851970:WBU917504 WBU917506:WBU983040 WBU983042:WBU1048576 WLQ2:WLQ65536 WLQ65538:WLQ131072 WLQ131074:WLQ196608 WLQ196610:WLQ262144 WLQ262146:WLQ327680 WLQ327682:WLQ393216 WLQ393218:WLQ458752 WLQ458754:WLQ524288 WLQ524290:WLQ589824 WLQ589826:WLQ655360 WLQ655362:WLQ720896 WLQ720898:WLQ786432 WLQ786434:WLQ851968 WLQ851970:WLQ917504 WLQ917506:WLQ983040 WLQ983042:WLQ1048576 WVM2:WVM65536 WVM65538:WVM131072 WVM131074:WVM196608 WVM196610:WVM262144 WVM262146:WVM327680 WVM327682:WVM393216 WVM393218:WVM458752 WVM458754:WVM524288 WVM524290:WVM589824 WVM589826:WVM655360 WVM655362:WVM720896 WVM720898:WVM786432 WVM786434:WVM851968 WVM851970:WVM917504 WVM917506:WVM983040 WVM983042:WVM1048576" xr:uid="{BE77210C-23FB-4278-8F33-FD22F62CC10F}">
      <formula1>$AG$2:$AG$12</formula1>
    </dataValidation>
    <dataValidation allowBlank="1" showInputMessage="1" showErrorMessage="1" sqref="B64423:B64476 B129959:B130012 B195495:B195548 B261031:B261084 B326567:B326620 B392103:B392156 B457639:B457692 B523175:B523228 B588711:B588764 B654247:B654300 B719783:B719836 B785319:B785372 B850855:B850908 B916391:B916444 B981927:B981980 B1047463:B1047516 IX64423:IX64476 IX129959:IX130012 IX195495:IX195548 IX261031:IX261084 IX326567:IX326620 IX392103:IX392156 IX457639:IX457692 IX523175:IX523228 IX588711:IX588764 IX654247:IX654300 IX719783:IX719836 IX785319:IX785372 IX850855:IX850908 IX916391:IX916444 IX981927:IX981980 IX1047463:IX1047516 ST64423:ST64476 ST129959:ST130012 ST195495:ST195548 ST261031:ST261084 ST326567:ST326620 ST392103:ST392156 ST457639:ST457692 ST523175:ST523228 ST588711:ST588764 ST654247:ST654300 ST719783:ST719836 ST785319:ST785372 ST850855:ST850908 ST916391:ST916444 ST981927:ST981980 ST1047463:ST1047516 ACP64423:ACP64476 ACP129959:ACP130012 ACP195495:ACP195548 ACP261031:ACP261084 ACP326567:ACP326620 ACP392103:ACP392156 ACP457639:ACP457692 ACP523175:ACP523228 ACP588711:ACP588764 ACP654247:ACP654300 ACP719783:ACP719836 ACP785319:ACP785372 ACP850855:ACP850908 ACP916391:ACP916444 ACP981927:ACP981980 ACP1047463:ACP1047516 AML64423:AML64476 AML129959:AML130012 AML195495:AML195548 AML261031:AML261084 AML326567:AML326620 AML392103:AML392156 AML457639:AML457692 AML523175:AML523228 AML588711:AML588764 AML654247:AML654300 AML719783:AML719836 AML785319:AML785372 AML850855:AML850908 AML916391:AML916444 AML981927:AML981980 AML1047463:AML1047516 AWH64423:AWH64476 AWH129959:AWH130012 AWH195495:AWH195548 AWH261031:AWH261084 AWH326567:AWH326620 AWH392103:AWH392156 AWH457639:AWH457692 AWH523175:AWH523228 AWH588711:AWH588764 AWH654247:AWH654300 AWH719783:AWH719836 AWH785319:AWH785372 AWH850855:AWH850908 AWH916391:AWH916444 AWH981927:AWH981980 AWH1047463:AWH1047516 BGD64423:BGD64476 BGD129959:BGD130012 BGD195495:BGD195548 BGD261031:BGD261084 BGD326567:BGD326620 BGD392103:BGD392156 BGD457639:BGD457692 BGD523175:BGD523228 BGD588711:BGD588764 BGD654247:BGD654300 BGD719783:BGD719836 BGD785319:BGD785372 BGD850855:BGD850908 BGD916391:BGD916444 BGD981927:BGD981980 BGD1047463:BGD1047516 BPZ64423:BPZ64476 BPZ129959:BPZ130012 BPZ195495:BPZ195548 BPZ261031:BPZ261084 BPZ326567:BPZ326620 BPZ392103:BPZ392156 BPZ457639:BPZ457692 BPZ523175:BPZ523228 BPZ588711:BPZ588764 BPZ654247:BPZ654300 BPZ719783:BPZ719836 BPZ785319:BPZ785372 BPZ850855:BPZ850908 BPZ916391:BPZ916444 BPZ981927:BPZ981980 BPZ1047463:BPZ1047516 BZV64423:BZV64476 BZV129959:BZV130012 BZV195495:BZV195548 BZV261031:BZV261084 BZV326567:BZV326620 BZV392103:BZV392156 BZV457639:BZV457692 BZV523175:BZV523228 BZV588711:BZV588764 BZV654247:BZV654300 BZV719783:BZV719836 BZV785319:BZV785372 BZV850855:BZV850908 BZV916391:BZV916444 BZV981927:BZV981980 BZV1047463:BZV1047516 CJR64423:CJR64476 CJR129959:CJR130012 CJR195495:CJR195548 CJR261031:CJR261084 CJR326567:CJR326620 CJR392103:CJR392156 CJR457639:CJR457692 CJR523175:CJR523228 CJR588711:CJR588764 CJR654247:CJR654300 CJR719783:CJR719836 CJR785319:CJR785372 CJR850855:CJR850908 CJR916391:CJR916444 CJR981927:CJR981980 CJR1047463:CJR1047516 CTN64423:CTN64476 CTN129959:CTN130012 CTN195495:CTN195548 CTN261031:CTN261084 CTN326567:CTN326620 CTN392103:CTN392156 CTN457639:CTN457692 CTN523175:CTN523228 CTN588711:CTN588764 CTN654247:CTN654300 CTN719783:CTN719836 CTN785319:CTN785372 CTN850855:CTN850908 CTN916391:CTN916444 CTN981927:CTN981980 CTN1047463:CTN1047516 DDJ64423:DDJ64476 DDJ129959:DDJ130012 DDJ195495:DDJ195548 DDJ261031:DDJ261084 DDJ326567:DDJ326620 DDJ392103:DDJ392156 DDJ457639:DDJ457692 DDJ523175:DDJ523228 DDJ588711:DDJ588764 DDJ654247:DDJ654300 DDJ719783:DDJ719836 DDJ785319:DDJ785372 DDJ850855:DDJ850908 DDJ916391:DDJ916444 DDJ981927:DDJ981980 DDJ1047463:DDJ1047516 DNF64423:DNF64476 DNF129959:DNF130012 DNF195495:DNF195548 DNF261031:DNF261084 DNF326567:DNF326620 DNF392103:DNF392156 DNF457639:DNF457692 DNF523175:DNF523228 DNF588711:DNF588764 DNF654247:DNF654300 DNF719783:DNF719836 DNF785319:DNF785372 DNF850855:DNF850908 DNF916391:DNF916444 DNF981927:DNF981980 DNF1047463:DNF1047516 DXB64423:DXB64476 DXB129959:DXB130012 DXB195495:DXB195548 DXB261031:DXB261084 DXB326567:DXB326620 DXB392103:DXB392156 DXB457639:DXB457692 DXB523175:DXB523228 DXB588711:DXB588764 DXB654247:DXB654300 DXB719783:DXB719836 DXB785319:DXB785372 DXB850855:DXB850908 DXB916391:DXB916444 DXB981927:DXB981980 DXB1047463:DXB1047516 EGX64423:EGX64476 EGX129959:EGX130012 EGX195495:EGX195548 EGX261031:EGX261084 EGX326567:EGX326620 EGX392103:EGX392156 EGX457639:EGX457692 EGX523175:EGX523228 EGX588711:EGX588764 EGX654247:EGX654300 EGX719783:EGX719836 EGX785319:EGX785372 EGX850855:EGX850908 EGX916391:EGX916444 EGX981927:EGX981980 EGX1047463:EGX1047516 EQT64423:EQT64476 EQT129959:EQT130012 EQT195495:EQT195548 EQT261031:EQT261084 EQT326567:EQT326620 EQT392103:EQT392156 EQT457639:EQT457692 EQT523175:EQT523228 EQT588711:EQT588764 EQT654247:EQT654300 EQT719783:EQT719836 EQT785319:EQT785372 EQT850855:EQT850908 EQT916391:EQT916444 EQT981927:EQT981980 EQT1047463:EQT1047516 FAP64423:FAP64476 FAP129959:FAP130012 FAP195495:FAP195548 FAP261031:FAP261084 FAP326567:FAP326620 FAP392103:FAP392156 FAP457639:FAP457692 FAP523175:FAP523228 FAP588711:FAP588764 FAP654247:FAP654300 FAP719783:FAP719836 FAP785319:FAP785372 FAP850855:FAP850908 FAP916391:FAP916444 FAP981927:FAP981980 FAP1047463:FAP1047516 FKL64423:FKL64476 FKL129959:FKL130012 FKL195495:FKL195548 FKL261031:FKL261084 FKL326567:FKL326620 FKL392103:FKL392156 FKL457639:FKL457692 FKL523175:FKL523228 FKL588711:FKL588764 FKL654247:FKL654300 FKL719783:FKL719836 FKL785319:FKL785372 FKL850855:FKL850908 FKL916391:FKL916444 FKL981927:FKL981980 FKL1047463:FKL1047516 FUH64423:FUH64476 FUH129959:FUH130012 FUH195495:FUH195548 FUH261031:FUH261084 FUH326567:FUH326620 FUH392103:FUH392156 FUH457639:FUH457692 FUH523175:FUH523228 FUH588711:FUH588764 FUH654247:FUH654300 FUH719783:FUH719836 FUH785319:FUH785372 FUH850855:FUH850908 FUH916391:FUH916444 FUH981927:FUH981980 FUH1047463:FUH1047516 GED64423:GED64476 GED129959:GED130012 GED195495:GED195548 GED261031:GED261084 GED326567:GED326620 GED392103:GED392156 GED457639:GED457692 GED523175:GED523228 GED588711:GED588764 GED654247:GED654300 GED719783:GED719836 GED785319:GED785372 GED850855:GED850908 GED916391:GED916444 GED981927:GED981980 GED1047463:GED1047516 GNZ64423:GNZ64476 GNZ129959:GNZ130012 GNZ195495:GNZ195548 GNZ261031:GNZ261084 GNZ326567:GNZ326620 GNZ392103:GNZ392156 GNZ457639:GNZ457692 GNZ523175:GNZ523228 GNZ588711:GNZ588764 GNZ654247:GNZ654300 GNZ719783:GNZ719836 GNZ785319:GNZ785372 GNZ850855:GNZ850908 GNZ916391:GNZ916444 GNZ981927:GNZ981980 GNZ1047463:GNZ1047516 GXV64423:GXV64476 GXV129959:GXV130012 GXV195495:GXV195548 GXV261031:GXV261084 GXV326567:GXV326620 GXV392103:GXV392156 GXV457639:GXV457692 GXV523175:GXV523228 GXV588711:GXV588764 GXV654247:GXV654300 GXV719783:GXV719836 GXV785319:GXV785372 GXV850855:GXV850908 GXV916391:GXV916444 GXV981927:GXV981980 GXV1047463:GXV1047516 HHR64423:HHR64476 HHR129959:HHR130012 HHR195495:HHR195548 HHR261031:HHR261084 HHR326567:HHR326620 HHR392103:HHR392156 HHR457639:HHR457692 HHR523175:HHR523228 HHR588711:HHR588764 HHR654247:HHR654300 HHR719783:HHR719836 HHR785319:HHR785372 HHR850855:HHR850908 HHR916391:HHR916444 HHR981927:HHR981980 HHR1047463:HHR1047516 HRN64423:HRN64476 HRN129959:HRN130012 HRN195495:HRN195548 HRN261031:HRN261084 HRN326567:HRN326620 HRN392103:HRN392156 HRN457639:HRN457692 HRN523175:HRN523228 HRN588711:HRN588764 HRN654247:HRN654300 HRN719783:HRN719836 HRN785319:HRN785372 HRN850855:HRN850908 HRN916391:HRN916444 HRN981927:HRN981980 HRN1047463:HRN1047516 IBJ64423:IBJ64476 IBJ129959:IBJ130012 IBJ195495:IBJ195548 IBJ261031:IBJ261084 IBJ326567:IBJ326620 IBJ392103:IBJ392156 IBJ457639:IBJ457692 IBJ523175:IBJ523228 IBJ588711:IBJ588764 IBJ654247:IBJ654300 IBJ719783:IBJ719836 IBJ785319:IBJ785372 IBJ850855:IBJ850908 IBJ916391:IBJ916444 IBJ981927:IBJ981980 IBJ1047463:IBJ1047516 ILF64423:ILF64476 ILF129959:ILF130012 ILF195495:ILF195548 ILF261031:ILF261084 ILF326567:ILF326620 ILF392103:ILF392156 ILF457639:ILF457692 ILF523175:ILF523228 ILF588711:ILF588764 ILF654247:ILF654300 ILF719783:ILF719836 ILF785319:ILF785372 ILF850855:ILF850908 ILF916391:ILF916444 ILF981927:ILF981980 ILF1047463:ILF1047516 IVB64423:IVB64476 IVB129959:IVB130012 IVB195495:IVB195548 IVB261031:IVB261084 IVB326567:IVB326620 IVB392103:IVB392156 IVB457639:IVB457692 IVB523175:IVB523228 IVB588711:IVB588764 IVB654247:IVB654300 IVB719783:IVB719836 IVB785319:IVB785372 IVB850855:IVB850908 IVB916391:IVB916444 IVB981927:IVB981980 IVB1047463:IVB1047516 JEX64423:JEX64476 JEX129959:JEX130012 JEX195495:JEX195548 JEX261031:JEX261084 JEX326567:JEX326620 JEX392103:JEX392156 JEX457639:JEX457692 JEX523175:JEX523228 JEX588711:JEX588764 JEX654247:JEX654300 JEX719783:JEX719836 JEX785319:JEX785372 JEX850855:JEX850908 JEX916391:JEX916444 JEX981927:JEX981980 JEX1047463:JEX1047516 JOT64423:JOT64476 JOT129959:JOT130012 JOT195495:JOT195548 JOT261031:JOT261084 JOT326567:JOT326620 JOT392103:JOT392156 JOT457639:JOT457692 JOT523175:JOT523228 JOT588711:JOT588764 JOT654247:JOT654300 JOT719783:JOT719836 JOT785319:JOT785372 JOT850855:JOT850908 JOT916391:JOT916444 JOT981927:JOT981980 JOT1047463:JOT1047516 JYP64423:JYP64476 JYP129959:JYP130012 JYP195495:JYP195548 JYP261031:JYP261084 JYP326567:JYP326620 JYP392103:JYP392156 JYP457639:JYP457692 JYP523175:JYP523228 JYP588711:JYP588764 JYP654247:JYP654300 JYP719783:JYP719836 JYP785319:JYP785372 JYP850855:JYP850908 JYP916391:JYP916444 JYP981927:JYP981980 JYP1047463:JYP1047516 KIL64423:KIL64476 KIL129959:KIL130012 KIL195495:KIL195548 KIL261031:KIL261084 KIL326567:KIL326620 KIL392103:KIL392156 KIL457639:KIL457692 KIL523175:KIL523228 KIL588711:KIL588764 KIL654247:KIL654300 KIL719783:KIL719836 KIL785319:KIL785372 KIL850855:KIL850908 KIL916391:KIL916444 KIL981927:KIL981980 KIL1047463:KIL1047516 KSH64423:KSH64476 KSH129959:KSH130012 KSH195495:KSH195548 KSH261031:KSH261084 KSH326567:KSH326620 KSH392103:KSH392156 KSH457639:KSH457692 KSH523175:KSH523228 KSH588711:KSH588764 KSH654247:KSH654300 KSH719783:KSH719836 KSH785319:KSH785372 KSH850855:KSH850908 KSH916391:KSH916444 KSH981927:KSH981980 KSH1047463:KSH1047516 LCD64423:LCD64476 LCD129959:LCD130012 LCD195495:LCD195548 LCD261031:LCD261084 LCD326567:LCD326620 LCD392103:LCD392156 LCD457639:LCD457692 LCD523175:LCD523228 LCD588711:LCD588764 LCD654247:LCD654300 LCD719783:LCD719836 LCD785319:LCD785372 LCD850855:LCD850908 LCD916391:LCD916444 LCD981927:LCD981980 LCD1047463:LCD1047516 LLZ64423:LLZ64476 LLZ129959:LLZ130012 LLZ195495:LLZ195548 LLZ261031:LLZ261084 LLZ326567:LLZ326620 LLZ392103:LLZ392156 LLZ457639:LLZ457692 LLZ523175:LLZ523228 LLZ588711:LLZ588764 LLZ654247:LLZ654300 LLZ719783:LLZ719836 LLZ785319:LLZ785372 LLZ850855:LLZ850908 LLZ916391:LLZ916444 LLZ981927:LLZ981980 LLZ1047463:LLZ1047516 LVV64423:LVV64476 LVV129959:LVV130012 LVV195495:LVV195548 LVV261031:LVV261084 LVV326567:LVV326620 LVV392103:LVV392156 LVV457639:LVV457692 LVV523175:LVV523228 LVV588711:LVV588764 LVV654247:LVV654300 LVV719783:LVV719836 LVV785319:LVV785372 LVV850855:LVV850908 LVV916391:LVV916444 LVV981927:LVV981980 LVV1047463:LVV1047516 MFR64423:MFR64476 MFR129959:MFR130012 MFR195495:MFR195548 MFR261031:MFR261084 MFR326567:MFR326620 MFR392103:MFR392156 MFR457639:MFR457692 MFR523175:MFR523228 MFR588711:MFR588764 MFR654247:MFR654300 MFR719783:MFR719836 MFR785319:MFR785372 MFR850855:MFR850908 MFR916391:MFR916444 MFR981927:MFR981980 MFR1047463:MFR1047516 MPN64423:MPN64476 MPN129959:MPN130012 MPN195495:MPN195548 MPN261031:MPN261084 MPN326567:MPN326620 MPN392103:MPN392156 MPN457639:MPN457692 MPN523175:MPN523228 MPN588711:MPN588764 MPN654247:MPN654300 MPN719783:MPN719836 MPN785319:MPN785372 MPN850855:MPN850908 MPN916391:MPN916444 MPN981927:MPN981980 MPN1047463:MPN1047516 MZJ64423:MZJ64476 MZJ129959:MZJ130012 MZJ195495:MZJ195548 MZJ261031:MZJ261084 MZJ326567:MZJ326620 MZJ392103:MZJ392156 MZJ457639:MZJ457692 MZJ523175:MZJ523228 MZJ588711:MZJ588764 MZJ654247:MZJ654300 MZJ719783:MZJ719836 MZJ785319:MZJ785372 MZJ850855:MZJ850908 MZJ916391:MZJ916444 MZJ981927:MZJ981980 MZJ1047463:MZJ1047516 NJF64423:NJF64476 NJF129959:NJF130012 NJF195495:NJF195548 NJF261031:NJF261084 NJF326567:NJF326620 NJF392103:NJF392156 NJF457639:NJF457692 NJF523175:NJF523228 NJF588711:NJF588764 NJF654247:NJF654300 NJF719783:NJF719836 NJF785319:NJF785372 NJF850855:NJF850908 NJF916391:NJF916444 NJF981927:NJF981980 NJF1047463:NJF1047516 NTB64423:NTB64476 NTB129959:NTB130012 NTB195495:NTB195548 NTB261031:NTB261084 NTB326567:NTB326620 NTB392103:NTB392156 NTB457639:NTB457692 NTB523175:NTB523228 NTB588711:NTB588764 NTB654247:NTB654300 NTB719783:NTB719836 NTB785319:NTB785372 NTB850855:NTB850908 NTB916391:NTB916444 NTB981927:NTB981980 NTB1047463:NTB1047516 OCX64423:OCX64476 OCX129959:OCX130012 OCX195495:OCX195548 OCX261031:OCX261084 OCX326567:OCX326620 OCX392103:OCX392156 OCX457639:OCX457692 OCX523175:OCX523228 OCX588711:OCX588764 OCX654247:OCX654300 OCX719783:OCX719836 OCX785319:OCX785372 OCX850855:OCX850908 OCX916391:OCX916444 OCX981927:OCX981980 OCX1047463:OCX1047516 OMT64423:OMT64476 OMT129959:OMT130012 OMT195495:OMT195548 OMT261031:OMT261084 OMT326567:OMT326620 OMT392103:OMT392156 OMT457639:OMT457692 OMT523175:OMT523228 OMT588711:OMT588764 OMT654247:OMT654300 OMT719783:OMT719836 OMT785319:OMT785372 OMT850855:OMT850908 OMT916391:OMT916444 OMT981927:OMT981980 OMT1047463:OMT1047516 OWP64423:OWP64476 OWP129959:OWP130012 OWP195495:OWP195548 OWP261031:OWP261084 OWP326567:OWP326620 OWP392103:OWP392156 OWP457639:OWP457692 OWP523175:OWP523228 OWP588711:OWP588764 OWP654247:OWP654300 OWP719783:OWP719836 OWP785319:OWP785372 OWP850855:OWP850908 OWP916391:OWP916444 OWP981927:OWP981980 OWP1047463:OWP1047516 PGL64423:PGL64476 PGL129959:PGL130012 PGL195495:PGL195548 PGL261031:PGL261084 PGL326567:PGL326620 PGL392103:PGL392156 PGL457639:PGL457692 PGL523175:PGL523228 PGL588711:PGL588764 PGL654247:PGL654300 PGL719783:PGL719836 PGL785319:PGL785372 PGL850855:PGL850908 PGL916391:PGL916444 PGL981927:PGL981980 PGL1047463:PGL1047516 PQH64423:PQH64476 PQH129959:PQH130012 PQH195495:PQH195548 PQH261031:PQH261084 PQH326567:PQH326620 PQH392103:PQH392156 PQH457639:PQH457692 PQH523175:PQH523228 PQH588711:PQH588764 PQH654247:PQH654300 PQH719783:PQH719836 PQH785319:PQH785372 PQH850855:PQH850908 PQH916391:PQH916444 PQH981927:PQH981980 PQH1047463:PQH1047516 QAD64423:QAD64476 QAD129959:QAD130012 QAD195495:QAD195548 QAD261031:QAD261084 QAD326567:QAD326620 QAD392103:QAD392156 QAD457639:QAD457692 QAD523175:QAD523228 QAD588711:QAD588764 QAD654247:QAD654300 QAD719783:QAD719836 QAD785319:QAD785372 QAD850855:QAD850908 QAD916391:QAD916444 QAD981927:QAD981980 QAD1047463:QAD1047516 QJZ64423:QJZ64476 QJZ129959:QJZ130012 QJZ195495:QJZ195548 QJZ261031:QJZ261084 QJZ326567:QJZ326620 QJZ392103:QJZ392156 QJZ457639:QJZ457692 QJZ523175:QJZ523228 QJZ588711:QJZ588764 QJZ654247:QJZ654300 QJZ719783:QJZ719836 QJZ785319:QJZ785372 QJZ850855:QJZ850908 QJZ916391:QJZ916444 QJZ981927:QJZ981980 QJZ1047463:QJZ1047516 QTV64423:QTV64476 QTV129959:QTV130012 QTV195495:QTV195548 QTV261031:QTV261084 QTV326567:QTV326620 QTV392103:QTV392156 QTV457639:QTV457692 QTV523175:QTV523228 QTV588711:QTV588764 QTV654247:QTV654300 QTV719783:QTV719836 QTV785319:QTV785372 QTV850855:QTV850908 QTV916391:QTV916444 QTV981927:QTV981980 QTV1047463:QTV1047516 RDR64423:RDR64476 RDR129959:RDR130012 RDR195495:RDR195548 RDR261031:RDR261084 RDR326567:RDR326620 RDR392103:RDR392156 RDR457639:RDR457692 RDR523175:RDR523228 RDR588711:RDR588764 RDR654247:RDR654300 RDR719783:RDR719836 RDR785319:RDR785372 RDR850855:RDR850908 RDR916391:RDR916444 RDR981927:RDR981980 RDR1047463:RDR1047516 RNN64423:RNN64476 RNN129959:RNN130012 RNN195495:RNN195548 RNN261031:RNN261084 RNN326567:RNN326620 RNN392103:RNN392156 RNN457639:RNN457692 RNN523175:RNN523228 RNN588711:RNN588764 RNN654247:RNN654300 RNN719783:RNN719836 RNN785319:RNN785372 RNN850855:RNN850908 RNN916391:RNN916444 RNN981927:RNN981980 RNN1047463:RNN1047516 RXJ64423:RXJ64476 RXJ129959:RXJ130012 RXJ195495:RXJ195548 RXJ261031:RXJ261084 RXJ326567:RXJ326620 RXJ392103:RXJ392156 RXJ457639:RXJ457692 RXJ523175:RXJ523228 RXJ588711:RXJ588764 RXJ654247:RXJ654300 RXJ719783:RXJ719836 RXJ785319:RXJ785372 RXJ850855:RXJ850908 RXJ916391:RXJ916444 RXJ981927:RXJ981980 RXJ1047463:RXJ1047516 SHF64423:SHF64476 SHF129959:SHF130012 SHF195495:SHF195548 SHF261031:SHF261084 SHF326567:SHF326620 SHF392103:SHF392156 SHF457639:SHF457692 SHF523175:SHF523228 SHF588711:SHF588764 SHF654247:SHF654300 SHF719783:SHF719836 SHF785319:SHF785372 SHF850855:SHF850908 SHF916391:SHF916444 SHF981927:SHF981980 SHF1047463:SHF1047516 SRB64423:SRB64476 SRB129959:SRB130012 SRB195495:SRB195548 SRB261031:SRB261084 SRB326567:SRB326620 SRB392103:SRB392156 SRB457639:SRB457692 SRB523175:SRB523228 SRB588711:SRB588764 SRB654247:SRB654300 SRB719783:SRB719836 SRB785319:SRB785372 SRB850855:SRB850908 SRB916391:SRB916444 SRB981927:SRB981980 SRB1047463:SRB1047516 TAX64423:TAX64476 TAX129959:TAX130012 TAX195495:TAX195548 TAX261031:TAX261084 TAX326567:TAX326620 TAX392103:TAX392156 TAX457639:TAX457692 TAX523175:TAX523228 TAX588711:TAX588764 TAX654247:TAX654300 TAX719783:TAX719836 TAX785319:TAX785372 TAX850855:TAX850908 TAX916391:TAX916444 TAX981927:TAX981980 TAX1047463:TAX1047516 TKT64423:TKT64476 TKT129959:TKT130012 TKT195495:TKT195548 TKT261031:TKT261084 TKT326567:TKT326620 TKT392103:TKT392156 TKT457639:TKT457692 TKT523175:TKT523228 TKT588711:TKT588764 TKT654247:TKT654300 TKT719783:TKT719836 TKT785319:TKT785372 TKT850855:TKT850908 TKT916391:TKT916444 TKT981927:TKT981980 TKT1047463:TKT1047516 TUP64423:TUP64476 TUP129959:TUP130012 TUP195495:TUP195548 TUP261031:TUP261084 TUP326567:TUP326620 TUP392103:TUP392156 TUP457639:TUP457692 TUP523175:TUP523228 TUP588711:TUP588764 TUP654247:TUP654300 TUP719783:TUP719836 TUP785319:TUP785372 TUP850855:TUP850908 TUP916391:TUP916444 TUP981927:TUP981980 TUP1047463:TUP1047516 UEL64423:UEL64476 UEL129959:UEL130012 UEL195495:UEL195548 UEL261031:UEL261084 UEL326567:UEL326620 UEL392103:UEL392156 UEL457639:UEL457692 UEL523175:UEL523228 UEL588711:UEL588764 UEL654247:UEL654300 UEL719783:UEL719836 UEL785319:UEL785372 UEL850855:UEL850908 UEL916391:UEL916444 UEL981927:UEL981980 UEL1047463:UEL1047516 UOH64423:UOH64476 UOH129959:UOH130012 UOH195495:UOH195548 UOH261031:UOH261084 UOH326567:UOH326620 UOH392103:UOH392156 UOH457639:UOH457692 UOH523175:UOH523228 UOH588711:UOH588764 UOH654247:UOH654300 UOH719783:UOH719836 UOH785319:UOH785372 UOH850855:UOH850908 UOH916391:UOH916444 UOH981927:UOH981980 UOH1047463:UOH1047516 UYD64423:UYD64476 UYD129959:UYD130012 UYD195495:UYD195548 UYD261031:UYD261084 UYD326567:UYD326620 UYD392103:UYD392156 UYD457639:UYD457692 UYD523175:UYD523228 UYD588711:UYD588764 UYD654247:UYD654300 UYD719783:UYD719836 UYD785319:UYD785372 UYD850855:UYD850908 UYD916391:UYD916444 UYD981927:UYD981980 UYD1047463:UYD1047516 VHZ64423:VHZ64476 VHZ129959:VHZ130012 VHZ195495:VHZ195548 VHZ261031:VHZ261084 VHZ326567:VHZ326620 VHZ392103:VHZ392156 VHZ457639:VHZ457692 VHZ523175:VHZ523228 VHZ588711:VHZ588764 VHZ654247:VHZ654300 VHZ719783:VHZ719836 VHZ785319:VHZ785372 VHZ850855:VHZ850908 VHZ916391:VHZ916444 VHZ981927:VHZ981980 VHZ1047463:VHZ1047516 VRV64423:VRV64476 VRV129959:VRV130012 VRV195495:VRV195548 VRV261031:VRV261084 VRV326567:VRV326620 VRV392103:VRV392156 VRV457639:VRV457692 VRV523175:VRV523228 VRV588711:VRV588764 VRV654247:VRV654300 VRV719783:VRV719836 VRV785319:VRV785372 VRV850855:VRV850908 VRV916391:VRV916444 VRV981927:VRV981980 VRV1047463:VRV1047516 WBR64423:WBR64476 WBR129959:WBR130012 WBR195495:WBR195548 WBR261031:WBR261084 WBR326567:WBR326620 WBR392103:WBR392156 WBR457639:WBR457692 WBR523175:WBR523228 WBR588711:WBR588764 WBR654247:WBR654300 WBR719783:WBR719836 WBR785319:WBR785372 WBR850855:WBR850908 WBR916391:WBR916444 WBR981927:WBR981980 WBR1047463:WBR1047516 WLN64423:WLN64476 WLN129959:WLN130012 WLN195495:WLN195548 WLN261031:WLN261084 WLN326567:WLN326620 WLN392103:WLN392156 WLN457639:WLN457692 WLN523175:WLN523228 WLN588711:WLN588764 WLN654247:WLN654300 WLN719783:WLN719836 WLN785319:WLN785372 WLN850855:WLN850908 WLN916391:WLN916444 WLN981927:WLN981980 WLN1047463:WLN1047516 WVJ64423:WVJ64476 WVJ129959:WVJ130012 WVJ195495:WVJ195548 WVJ261031:WVJ261084 WVJ326567:WVJ326620 WVJ392103:WVJ392156 WVJ457639:WVJ457692 WVJ523175:WVJ523228 WVJ588711:WVJ588764 WVJ654247:WVJ654300 WVJ719783:WVJ719836 WVJ785319:WVJ785372 WVJ850855:WVJ850908 WVJ916391:WVJ916444 WVJ981927:WVJ981980 WVJ1047463:WVJ1047516" xr:uid="{0D05A166-17FB-47AB-AF6A-3F04769A0332}"/>
    <dataValidation type="list" allowBlank="1" showInputMessage="1" showErrorMessage="1" sqref="A2:A500 A65538:A66036 A131074:A131572 A196610:A197108 A262146:A262644 A327682:A328180 A393218:A393716 A458754:A459252 A524290:A524788 A589826:A590324 A655362:A655860 A720898:A721396 A786434:A786932 A851970:A852468 A917506:A918004 A983042:A983540 IW2:IW500 IW65538:IW66036 IW131074:IW131572 IW196610:IW197108 IW262146:IW262644 IW327682:IW328180 IW393218:IW393716 IW458754:IW459252 IW524290:IW524788 IW589826:IW590324 IW655362:IW655860 IW720898:IW721396 IW786434:IW786932 IW851970:IW852468 IW917506:IW918004 IW983042:IW983540 SS2:SS500 SS65538:SS66036 SS131074:SS131572 SS196610:SS197108 SS262146:SS262644 SS327682:SS328180 SS393218:SS393716 SS458754:SS459252 SS524290:SS524788 SS589826:SS590324 SS655362:SS655860 SS720898:SS721396 SS786434:SS786932 SS851970:SS852468 SS917506:SS918004 SS983042:SS983540 ACO2:ACO500 ACO65538:ACO66036 ACO131074:ACO131572 ACO196610:ACO197108 ACO262146:ACO262644 ACO327682:ACO328180 ACO393218:ACO393716 ACO458754:ACO459252 ACO524290:ACO524788 ACO589826:ACO590324 ACO655362:ACO655860 ACO720898:ACO721396 ACO786434:ACO786932 ACO851970:ACO852468 ACO917506:ACO918004 ACO983042:ACO983540 AMK2:AMK500 AMK65538:AMK66036 AMK131074:AMK131572 AMK196610:AMK197108 AMK262146:AMK262644 AMK327682:AMK328180 AMK393218:AMK393716 AMK458754:AMK459252 AMK524290:AMK524788 AMK589826:AMK590324 AMK655362:AMK655860 AMK720898:AMK721396 AMK786434:AMK786932 AMK851970:AMK852468 AMK917506:AMK918004 AMK983042:AMK983540 AWG2:AWG500 AWG65538:AWG66036 AWG131074:AWG131572 AWG196610:AWG197108 AWG262146:AWG262644 AWG327682:AWG328180 AWG393218:AWG393716 AWG458754:AWG459252 AWG524290:AWG524788 AWG589826:AWG590324 AWG655362:AWG655860 AWG720898:AWG721396 AWG786434:AWG786932 AWG851970:AWG852468 AWG917506:AWG918004 AWG983042:AWG983540 BGC2:BGC500 BGC65538:BGC66036 BGC131074:BGC131572 BGC196610:BGC197108 BGC262146:BGC262644 BGC327682:BGC328180 BGC393218:BGC393716 BGC458754:BGC459252 BGC524290:BGC524788 BGC589826:BGC590324 BGC655362:BGC655860 BGC720898:BGC721396 BGC786434:BGC786932 BGC851970:BGC852468 BGC917506:BGC918004 BGC983042:BGC983540 BPY2:BPY500 BPY65538:BPY66036 BPY131074:BPY131572 BPY196610:BPY197108 BPY262146:BPY262644 BPY327682:BPY328180 BPY393218:BPY393716 BPY458754:BPY459252 BPY524290:BPY524788 BPY589826:BPY590324 BPY655362:BPY655860 BPY720898:BPY721396 BPY786434:BPY786932 BPY851970:BPY852468 BPY917506:BPY918004 BPY983042:BPY983540 BZU2:BZU500 BZU65538:BZU66036 BZU131074:BZU131572 BZU196610:BZU197108 BZU262146:BZU262644 BZU327682:BZU328180 BZU393218:BZU393716 BZU458754:BZU459252 BZU524290:BZU524788 BZU589826:BZU590324 BZU655362:BZU655860 BZU720898:BZU721396 BZU786434:BZU786932 BZU851970:BZU852468 BZU917506:BZU918004 BZU983042:BZU983540 CJQ2:CJQ500 CJQ65538:CJQ66036 CJQ131074:CJQ131572 CJQ196610:CJQ197108 CJQ262146:CJQ262644 CJQ327682:CJQ328180 CJQ393218:CJQ393716 CJQ458754:CJQ459252 CJQ524290:CJQ524788 CJQ589826:CJQ590324 CJQ655362:CJQ655860 CJQ720898:CJQ721396 CJQ786434:CJQ786932 CJQ851970:CJQ852468 CJQ917506:CJQ918004 CJQ983042:CJQ983540 CTM2:CTM500 CTM65538:CTM66036 CTM131074:CTM131572 CTM196610:CTM197108 CTM262146:CTM262644 CTM327682:CTM328180 CTM393218:CTM393716 CTM458754:CTM459252 CTM524290:CTM524788 CTM589826:CTM590324 CTM655362:CTM655860 CTM720898:CTM721396 CTM786434:CTM786932 CTM851970:CTM852468 CTM917506:CTM918004 CTM983042:CTM983540 DDI2:DDI500 DDI65538:DDI66036 DDI131074:DDI131572 DDI196610:DDI197108 DDI262146:DDI262644 DDI327682:DDI328180 DDI393218:DDI393716 DDI458754:DDI459252 DDI524290:DDI524788 DDI589826:DDI590324 DDI655362:DDI655860 DDI720898:DDI721396 DDI786434:DDI786932 DDI851970:DDI852468 DDI917506:DDI918004 DDI983042:DDI983540 DNE2:DNE500 DNE65538:DNE66036 DNE131074:DNE131572 DNE196610:DNE197108 DNE262146:DNE262644 DNE327682:DNE328180 DNE393218:DNE393716 DNE458754:DNE459252 DNE524290:DNE524788 DNE589826:DNE590324 DNE655362:DNE655860 DNE720898:DNE721396 DNE786434:DNE786932 DNE851970:DNE852468 DNE917506:DNE918004 DNE983042:DNE983540 DXA2:DXA500 DXA65538:DXA66036 DXA131074:DXA131572 DXA196610:DXA197108 DXA262146:DXA262644 DXA327682:DXA328180 DXA393218:DXA393716 DXA458754:DXA459252 DXA524290:DXA524788 DXA589826:DXA590324 DXA655362:DXA655860 DXA720898:DXA721396 DXA786434:DXA786932 DXA851970:DXA852468 DXA917506:DXA918004 DXA983042:DXA983540 EGW2:EGW500 EGW65538:EGW66036 EGW131074:EGW131572 EGW196610:EGW197108 EGW262146:EGW262644 EGW327682:EGW328180 EGW393218:EGW393716 EGW458754:EGW459252 EGW524290:EGW524788 EGW589826:EGW590324 EGW655362:EGW655860 EGW720898:EGW721396 EGW786434:EGW786932 EGW851970:EGW852468 EGW917506:EGW918004 EGW983042:EGW983540 EQS2:EQS500 EQS65538:EQS66036 EQS131074:EQS131572 EQS196610:EQS197108 EQS262146:EQS262644 EQS327682:EQS328180 EQS393218:EQS393716 EQS458754:EQS459252 EQS524290:EQS524788 EQS589826:EQS590324 EQS655362:EQS655860 EQS720898:EQS721396 EQS786434:EQS786932 EQS851970:EQS852468 EQS917506:EQS918004 EQS983042:EQS983540 FAO2:FAO500 FAO65538:FAO66036 FAO131074:FAO131572 FAO196610:FAO197108 FAO262146:FAO262644 FAO327682:FAO328180 FAO393218:FAO393716 FAO458754:FAO459252 FAO524290:FAO524788 FAO589826:FAO590324 FAO655362:FAO655860 FAO720898:FAO721396 FAO786434:FAO786932 FAO851970:FAO852468 FAO917506:FAO918004 FAO983042:FAO983540 FKK2:FKK500 FKK65538:FKK66036 FKK131074:FKK131572 FKK196610:FKK197108 FKK262146:FKK262644 FKK327682:FKK328180 FKK393218:FKK393716 FKK458754:FKK459252 FKK524290:FKK524788 FKK589826:FKK590324 FKK655362:FKK655860 FKK720898:FKK721396 FKK786434:FKK786932 FKK851970:FKK852468 FKK917506:FKK918004 FKK983042:FKK983540 FUG2:FUG500 FUG65538:FUG66036 FUG131074:FUG131572 FUG196610:FUG197108 FUG262146:FUG262644 FUG327682:FUG328180 FUG393218:FUG393716 FUG458754:FUG459252 FUG524290:FUG524788 FUG589826:FUG590324 FUG655362:FUG655860 FUG720898:FUG721396 FUG786434:FUG786932 FUG851970:FUG852468 FUG917506:FUG918004 FUG983042:FUG983540 GEC2:GEC500 GEC65538:GEC66036 GEC131074:GEC131572 GEC196610:GEC197108 GEC262146:GEC262644 GEC327682:GEC328180 GEC393218:GEC393716 GEC458754:GEC459252 GEC524290:GEC524788 GEC589826:GEC590324 GEC655362:GEC655860 GEC720898:GEC721396 GEC786434:GEC786932 GEC851970:GEC852468 GEC917506:GEC918004 GEC983042:GEC983540 GNY2:GNY500 GNY65538:GNY66036 GNY131074:GNY131572 GNY196610:GNY197108 GNY262146:GNY262644 GNY327682:GNY328180 GNY393218:GNY393716 GNY458754:GNY459252 GNY524290:GNY524788 GNY589826:GNY590324 GNY655362:GNY655860 GNY720898:GNY721396 GNY786434:GNY786932 GNY851970:GNY852468 GNY917506:GNY918004 GNY983042:GNY983540 GXU2:GXU500 GXU65538:GXU66036 GXU131074:GXU131572 GXU196610:GXU197108 GXU262146:GXU262644 GXU327682:GXU328180 GXU393218:GXU393716 GXU458754:GXU459252 GXU524290:GXU524788 GXU589826:GXU590324 GXU655362:GXU655860 GXU720898:GXU721396 GXU786434:GXU786932 GXU851970:GXU852468 GXU917506:GXU918004 GXU983042:GXU983540 HHQ2:HHQ500 HHQ65538:HHQ66036 HHQ131074:HHQ131572 HHQ196610:HHQ197108 HHQ262146:HHQ262644 HHQ327682:HHQ328180 HHQ393218:HHQ393716 HHQ458754:HHQ459252 HHQ524290:HHQ524788 HHQ589826:HHQ590324 HHQ655362:HHQ655860 HHQ720898:HHQ721396 HHQ786434:HHQ786932 HHQ851970:HHQ852468 HHQ917506:HHQ918004 HHQ983042:HHQ983540 HRM2:HRM500 HRM65538:HRM66036 HRM131074:HRM131572 HRM196610:HRM197108 HRM262146:HRM262644 HRM327682:HRM328180 HRM393218:HRM393716 HRM458754:HRM459252 HRM524290:HRM524788 HRM589826:HRM590324 HRM655362:HRM655860 HRM720898:HRM721396 HRM786434:HRM786932 HRM851970:HRM852468 HRM917506:HRM918004 HRM983042:HRM983540 IBI2:IBI500 IBI65538:IBI66036 IBI131074:IBI131572 IBI196610:IBI197108 IBI262146:IBI262644 IBI327682:IBI328180 IBI393218:IBI393716 IBI458754:IBI459252 IBI524290:IBI524788 IBI589826:IBI590324 IBI655362:IBI655860 IBI720898:IBI721396 IBI786434:IBI786932 IBI851970:IBI852468 IBI917506:IBI918004 IBI983042:IBI983540 ILE2:ILE500 ILE65538:ILE66036 ILE131074:ILE131572 ILE196610:ILE197108 ILE262146:ILE262644 ILE327682:ILE328180 ILE393218:ILE393716 ILE458754:ILE459252 ILE524290:ILE524788 ILE589826:ILE590324 ILE655362:ILE655860 ILE720898:ILE721396 ILE786434:ILE786932 ILE851970:ILE852468 ILE917506:ILE918004 ILE983042:ILE983540 IVA2:IVA500 IVA65538:IVA66036 IVA131074:IVA131572 IVA196610:IVA197108 IVA262146:IVA262644 IVA327682:IVA328180 IVA393218:IVA393716 IVA458754:IVA459252 IVA524290:IVA524788 IVA589826:IVA590324 IVA655362:IVA655860 IVA720898:IVA721396 IVA786434:IVA786932 IVA851970:IVA852468 IVA917506:IVA918004 IVA983042:IVA983540 JEW2:JEW500 JEW65538:JEW66036 JEW131074:JEW131572 JEW196610:JEW197108 JEW262146:JEW262644 JEW327682:JEW328180 JEW393218:JEW393716 JEW458754:JEW459252 JEW524290:JEW524788 JEW589826:JEW590324 JEW655362:JEW655860 JEW720898:JEW721396 JEW786434:JEW786932 JEW851970:JEW852468 JEW917506:JEW918004 JEW983042:JEW983540 JOS2:JOS500 JOS65538:JOS66036 JOS131074:JOS131572 JOS196610:JOS197108 JOS262146:JOS262644 JOS327682:JOS328180 JOS393218:JOS393716 JOS458754:JOS459252 JOS524290:JOS524788 JOS589826:JOS590324 JOS655362:JOS655860 JOS720898:JOS721396 JOS786434:JOS786932 JOS851970:JOS852468 JOS917506:JOS918004 JOS983042:JOS983540 JYO2:JYO500 JYO65538:JYO66036 JYO131074:JYO131572 JYO196610:JYO197108 JYO262146:JYO262644 JYO327682:JYO328180 JYO393218:JYO393716 JYO458754:JYO459252 JYO524290:JYO524788 JYO589826:JYO590324 JYO655362:JYO655860 JYO720898:JYO721396 JYO786434:JYO786932 JYO851970:JYO852468 JYO917506:JYO918004 JYO983042:JYO983540 KIK2:KIK500 KIK65538:KIK66036 KIK131074:KIK131572 KIK196610:KIK197108 KIK262146:KIK262644 KIK327682:KIK328180 KIK393218:KIK393716 KIK458754:KIK459252 KIK524290:KIK524788 KIK589826:KIK590324 KIK655362:KIK655860 KIK720898:KIK721396 KIK786434:KIK786932 KIK851970:KIK852468 KIK917506:KIK918004 KIK983042:KIK983540 KSG2:KSG500 KSG65538:KSG66036 KSG131074:KSG131572 KSG196610:KSG197108 KSG262146:KSG262644 KSG327682:KSG328180 KSG393218:KSG393716 KSG458754:KSG459252 KSG524290:KSG524788 KSG589826:KSG590324 KSG655362:KSG655860 KSG720898:KSG721396 KSG786434:KSG786932 KSG851970:KSG852468 KSG917506:KSG918004 KSG983042:KSG983540 LCC2:LCC500 LCC65538:LCC66036 LCC131074:LCC131572 LCC196610:LCC197108 LCC262146:LCC262644 LCC327682:LCC328180 LCC393218:LCC393716 LCC458754:LCC459252 LCC524290:LCC524788 LCC589826:LCC590324 LCC655362:LCC655860 LCC720898:LCC721396 LCC786434:LCC786932 LCC851970:LCC852468 LCC917506:LCC918004 LCC983042:LCC983540 LLY2:LLY500 LLY65538:LLY66036 LLY131074:LLY131572 LLY196610:LLY197108 LLY262146:LLY262644 LLY327682:LLY328180 LLY393218:LLY393716 LLY458754:LLY459252 LLY524290:LLY524788 LLY589826:LLY590324 LLY655362:LLY655860 LLY720898:LLY721396 LLY786434:LLY786932 LLY851970:LLY852468 LLY917506:LLY918004 LLY983042:LLY983540 LVU2:LVU500 LVU65538:LVU66036 LVU131074:LVU131572 LVU196610:LVU197108 LVU262146:LVU262644 LVU327682:LVU328180 LVU393218:LVU393716 LVU458754:LVU459252 LVU524290:LVU524788 LVU589826:LVU590324 LVU655362:LVU655860 LVU720898:LVU721396 LVU786434:LVU786932 LVU851970:LVU852468 LVU917506:LVU918004 LVU983042:LVU983540 MFQ2:MFQ500 MFQ65538:MFQ66036 MFQ131074:MFQ131572 MFQ196610:MFQ197108 MFQ262146:MFQ262644 MFQ327682:MFQ328180 MFQ393218:MFQ393716 MFQ458754:MFQ459252 MFQ524290:MFQ524788 MFQ589826:MFQ590324 MFQ655362:MFQ655860 MFQ720898:MFQ721396 MFQ786434:MFQ786932 MFQ851970:MFQ852468 MFQ917506:MFQ918004 MFQ983042:MFQ983540 MPM2:MPM500 MPM65538:MPM66036 MPM131074:MPM131572 MPM196610:MPM197108 MPM262146:MPM262644 MPM327682:MPM328180 MPM393218:MPM393716 MPM458754:MPM459252 MPM524290:MPM524788 MPM589826:MPM590324 MPM655362:MPM655860 MPM720898:MPM721396 MPM786434:MPM786932 MPM851970:MPM852468 MPM917506:MPM918004 MPM983042:MPM983540 MZI2:MZI500 MZI65538:MZI66036 MZI131074:MZI131572 MZI196610:MZI197108 MZI262146:MZI262644 MZI327682:MZI328180 MZI393218:MZI393716 MZI458754:MZI459252 MZI524290:MZI524788 MZI589826:MZI590324 MZI655362:MZI655860 MZI720898:MZI721396 MZI786434:MZI786932 MZI851970:MZI852468 MZI917506:MZI918004 MZI983042:MZI983540 NJE2:NJE500 NJE65538:NJE66036 NJE131074:NJE131572 NJE196610:NJE197108 NJE262146:NJE262644 NJE327682:NJE328180 NJE393218:NJE393716 NJE458754:NJE459252 NJE524290:NJE524788 NJE589826:NJE590324 NJE655362:NJE655860 NJE720898:NJE721396 NJE786434:NJE786932 NJE851970:NJE852468 NJE917506:NJE918004 NJE983042:NJE983540 NTA2:NTA500 NTA65538:NTA66036 NTA131074:NTA131572 NTA196610:NTA197108 NTA262146:NTA262644 NTA327682:NTA328180 NTA393218:NTA393716 NTA458754:NTA459252 NTA524290:NTA524788 NTA589826:NTA590324 NTA655362:NTA655860 NTA720898:NTA721396 NTA786434:NTA786932 NTA851970:NTA852468 NTA917506:NTA918004 NTA983042:NTA983540 OCW2:OCW500 OCW65538:OCW66036 OCW131074:OCW131572 OCW196610:OCW197108 OCW262146:OCW262644 OCW327682:OCW328180 OCW393218:OCW393716 OCW458754:OCW459252 OCW524290:OCW524788 OCW589826:OCW590324 OCW655362:OCW655860 OCW720898:OCW721396 OCW786434:OCW786932 OCW851970:OCW852468 OCW917506:OCW918004 OCW983042:OCW983540 OMS2:OMS500 OMS65538:OMS66036 OMS131074:OMS131572 OMS196610:OMS197108 OMS262146:OMS262644 OMS327682:OMS328180 OMS393218:OMS393716 OMS458754:OMS459252 OMS524290:OMS524788 OMS589826:OMS590324 OMS655362:OMS655860 OMS720898:OMS721396 OMS786434:OMS786932 OMS851970:OMS852468 OMS917506:OMS918004 OMS983042:OMS983540 OWO2:OWO500 OWO65538:OWO66036 OWO131074:OWO131572 OWO196610:OWO197108 OWO262146:OWO262644 OWO327682:OWO328180 OWO393218:OWO393716 OWO458754:OWO459252 OWO524290:OWO524788 OWO589826:OWO590324 OWO655362:OWO655860 OWO720898:OWO721396 OWO786434:OWO786932 OWO851970:OWO852468 OWO917506:OWO918004 OWO983042:OWO983540 PGK2:PGK500 PGK65538:PGK66036 PGK131074:PGK131572 PGK196610:PGK197108 PGK262146:PGK262644 PGK327682:PGK328180 PGK393218:PGK393716 PGK458754:PGK459252 PGK524290:PGK524788 PGK589826:PGK590324 PGK655362:PGK655860 PGK720898:PGK721396 PGK786434:PGK786932 PGK851970:PGK852468 PGK917506:PGK918004 PGK983042:PGK983540 PQG2:PQG500 PQG65538:PQG66036 PQG131074:PQG131572 PQG196610:PQG197108 PQG262146:PQG262644 PQG327682:PQG328180 PQG393218:PQG393716 PQG458754:PQG459252 PQG524290:PQG524788 PQG589826:PQG590324 PQG655362:PQG655860 PQG720898:PQG721396 PQG786434:PQG786932 PQG851970:PQG852468 PQG917506:PQG918004 PQG983042:PQG983540 QAC2:QAC500 QAC65538:QAC66036 QAC131074:QAC131572 QAC196610:QAC197108 QAC262146:QAC262644 QAC327682:QAC328180 QAC393218:QAC393716 QAC458754:QAC459252 QAC524290:QAC524788 QAC589826:QAC590324 QAC655362:QAC655860 QAC720898:QAC721396 QAC786434:QAC786932 QAC851970:QAC852468 QAC917506:QAC918004 QAC983042:QAC983540 QJY2:QJY500 QJY65538:QJY66036 QJY131074:QJY131572 QJY196610:QJY197108 QJY262146:QJY262644 QJY327682:QJY328180 QJY393218:QJY393716 QJY458754:QJY459252 QJY524290:QJY524788 QJY589826:QJY590324 QJY655362:QJY655860 QJY720898:QJY721396 QJY786434:QJY786932 QJY851970:QJY852468 QJY917506:QJY918004 QJY983042:QJY983540 QTU2:QTU500 QTU65538:QTU66036 QTU131074:QTU131572 QTU196610:QTU197108 QTU262146:QTU262644 QTU327682:QTU328180 QTU393218:QTU393716 QTU458754:QTU459252 QTU524290:QTU524788 QTU589826:QTU590324 QTU655362:QTU655860 QTU720898:QTU721396 QTU786434:QTU786932 QTU851970:QTU852468 QTU917506:QTU918004 QTU983042:QTU983540 RDQ2:RDQ500 RDQ65538:RDQ66036 RDQ131074:RDQ131572 RDQ196610:RDQ197108 RDQ262146:RDQ262644 RDQ327682:RDQ328180 RDQ393218:RDQ393716 RDQ458754:RDQ459252 RDQ524290:RDQ524788 RDQ589826:RDQ590324 RDQ655362:RDQ655860 RDQ720898:RDQ721396 RDQ786434:RDQ786932 RDQ851970:RDQ852468 RDQ917506:RDQ918004 RDQ983042:RDQ983540 RNM2:RNM500 RNM65538:RNM66036 RNM131074:RNM131572 RNM196610:RNM197108 RNM262146:RNM262644 RNM327682:RNM328180 RNM393218:RNM393716 RNM458754:RNM459252 RNM524290:RNM524788 RNM589826:RNM590324 RNM655362:RNM655860 RNM720898:RNM721396 RNM786434:RNM786932 RNM851970:RNM852468 RNM917506:RNM918004 RNM983042:RNM983540 RXI2:RXI500 RXI65538:RXI66036 RXI131074:RXI131572 RXI196610:RXI197108 RXI262146:RXI262644 RXI327682:RXI328180 RXI393218:RXI393716 RXI458754:RXI459252 RXI524290:RXI524788 RXI589826:RXI590324 RXI655362:RXI655860 RXI720898:RXI721396 RXI786434:RXI786932 RXI851970:RXI852468 RXI917506:RXI918004 RXI983042:RXI983540 SHE2:SHE500 SHE65538:SHE66036 SHE131074:SHE131572 SHE196610:SHE197108 SHE262146:SHE262644 SHE327682:SHE328180 SHE393218:SHE393716 SHE458754:SHE459252 SHE524290:SHE524788 SHE589826:SHE590324 SHE655362:SHE655860 SHE720898:SHE721396 SHE786434:SHE786932 SHE851970:SHE852468 SHE917506:SHE918004 SHE983042:SHE983540 SRA2:SRA500 SRA65538:SRA66036 SRA131074:SRA131572 SRA196610:SRA197108 SRA262146:SRA262644 SRA327682:SRA328180 SRA393218:SRA393716 SRA458754:SRA459252 SRA524290:SRA524788 SRA589826:SRA590324 SRA655362:SRA655860 SRA720898:SRA721396 SRA786434:SRA786932 SRA851970:SRA852468 SRA917506:SRA918004 SRA983042:SRA983540 TAW2:TAW500 TAW65538:TAW66036 TAW131074:TAW131572 TAW196610:TAW197108 TAW262146:TAW262644 TAW327682:TAW328180 TAW393218:TAW393716 TAW458754:TAW459252 TAW524290:TAW524788 TAW589826:TAW590324 TAW655362:TAW655860 TAW720898:TAW721396 TAW786434:TAW786932 TAW851970:TAW852468 TAW917506:TAW918004 TAW983042:TAW983540 TKS2:TKS500 TKS65538:TKS66036 TKS131074:TKS131572 TKS196610:TKS197108 TKS262146:TKS262644 TKS327682:TKS328180 TKS393218:TKS393716 TKS458754:TKS459252 TKS524290:TKS524788 TKS589826:TKS590324 TKS655362:TKS655860 TKS720898:TKS721396 TKS786434:TKS786932 TKS851970:TKS852468 TKS917506:TKS918004 TKS983042:TKS983540 TUO2:TUO500 TUO65538:TUO66036 TUO131074:TUO131572 TUO196610:TUO197108 TUO262146:TUO262644 TUO327682:TUO328180 TUO393218:TUO393716 TUO458754:TUO459252 TUO524290:TUO524788 TUO589826:TUO590324 TUO655362:TUO655860 TUO720898:TUO721396 TUO786434:TUO786932 TUO851970:TUO852468 TUO917506:TUO918004 TUO983042:TUO983540 UEK2:UEK500 UEK65538:UEK66036 UEK131074:UEK131572 UEK196610:UEK197108 UEK262146:UEK262644 UEK327682:UEK328180 UEK393218:UEK393716 UEK458754:UEK459252 UEK524290:UEK524788 UEK589826:UEK590324 UEK655362:UEK655860 UEK720898:UEK721396 UEK786434:UEK786932 UEK851970:UEK852468 UEK917506:UEK918004 UEK983042:UEK983540 UOG2:UOG500 UOG65538:UOG66036 UOG131074:UOG131572 UOG196610:UOG197108 UOG262146:UOG262644 UOG327682:UOG328180 UOG393218:UOG393716 UOG458754:UOG459252 UOG524290:UOG524788 UOG589826:UOG590324 UOG655362:UOG655860 UOG720898:UOG721396 UOG786434:UOG786932 UOG851970:UOG852468 UOG917506:UOG918004 UOG983042:UOG983540 UYC2:UYC500 UYC65538:UYC66036 UYC131074:UYC131572 UYC196610:UYC197108 UYC262146:UYC262644 UYC327682:UYC328180 UYC393218:UYC393716 UYC458754:UYC459252 UYC524290:UYC524788 UYC589826:UYC590324 UYC655362:UYC655860 UYC720898:UYC721396 UYC786434:UYC786932 UYC851970:UYC852468 UYC917506:UYC918004 UYC983042:UYC983540 VHY2:VHY500 VHY65538:VHY66036 VHY131074:VHY131572 VHY196610:VHY197108 VHY262146:VHY262644 VHY327682:VHY328180 VHY393218:VHY393716 VHY458754:VHY459252 VHY524290:VHY524788 VHY589826:VHY590324 VHY655362:VHY655860 VHY720898:VHY721396 VHY786434:VHY786932 VHY851970:VHY852468 VHY917506:VHY918004 VHY983042:VHY983540 VRU2:VRU500 VRU65538:VRU66036 VRU131074:VRU131572 VRU196610:VRU197108 VRU262146:VRU262644 VRU327682:VRU328180 VRU393218:VRU393716 VRU458754:VRU459252 VRU524290:VRU524788 VRU589826:VRU590324 VRU655362:VRU655860 VRU720898:VRU721396 VRU786434:VRU786932 VRU851970:VRU852468 VRU917506:VRU918004 VRU983042:VRU983540 WBQ2:WBQ500 WBQ65538:WBQ66036 WBQ131074:WBQ131572 WBQ196610:WBQ197108 WBQ262146:WBQ262644 WBQ327682:WBQ328180 WBQ393218:WBQ393716 WBQ458754:WBQ459252 WBQ524290:WBQ524788 WBQ589826:WBQ590324 WBQ655362:WBQ655860 WBQ720898:WBQ721396 WBQ786434:WBQ786932 WBQ851970:WBQ852468 WBQ917506:WBQ918004 WBQ983042:WBQ983540 WLM2:WLM500 WLM65538:WLM66036 WLM131074:WLM131572 WLM196610:WLM197108 WLM262146:WLM262644 WLM327682:WLM328180 WLM393218:WLM393716 WLM458754:WLM459252 WLM524290:WLM524788 WLM589826:WLM590324 WLM655362:WLM655860 WLM720898:WLM721396 WLM786434:WLM786932 WLM851970:WLM852468 WLM917506:WLM918004 WLM983042:WLM983540 WVI2:WVI500 WVI65538:WVI66036 WVI131074:WVI131572 WVI196610:WVI197108 WVI262146:WVI262644 WVI327682:WVI328180 WVI393218:WVI393716 WVI458754:WVI459252 WVI524290:WVI524788 WVI589826:WVI590324 WVI655362:WVI655860 WVI720898:WVI721396 WVI786434:WVI786932 WVI851970:WVI852468 WVI917506:WVI918004 WVI983042:WVI983540" xr:uid="{20676CDF-05C2-491E-9A0D-29A99C10B638}">
      <formula1>$AE$2:$AE$19</formula1>
    </dataValidation>
    <dataValidation type="list" allowBlank="1" showInputMessage="1" showErrorMessage="1" sqref="ADM2:ADO500 BHA2:BHC500 CKO2:CKQ500 DOC2:DOE500 ERQ2:ERS500 FVE2:FVG500 GYS2:GYU500 ICG2:ICI500 JFU2:JFW500 KJI2:KJK500 LMW2:LMY500 MQK2:MQM500 NTY2:NUA500 OXM2:OXO500 QBA2:QBC500 REO2:REQ500 SIC2:SIE500 TLQ2:TLS500 UPE2:UPG500 VSS2:VSU500 WWG2:WWI500 JU2:JW500 ANI2:ANK500 BQW2:BQY500 CUK2:CUM500 DXY2:DYA500 FBM2:FBO500 GFA2:GFC500 HIO2:HIQ500 IMC2:IME500 JPQ2:JPS500 KTE2:KTG500 LWS2:LWU500 NAG2:NAI500 ODU2:ODW500 PHI2:PHK500 QKW2:QKY500 ROK2:ROM500 SRY2:SSA500 TVM2:TVO500 UZA2:UZC500 WCO2:WCQ500 TQ2:TS500 AXE2:AXG500 CAS2:CAU500 DEG2:DEI500 EHU2:EHW500 FLI2:FLK500 GOW2:GOY500 HSK2:HSM500 IVY2:IWA500 JZM2:JZO500 LDA2:LDC500 MGO2:MGQ500 NKC2:NKE500 ONQ2:ONS500 PRE2:PRG500 QUS2:QUU500 RYG2:RYI500 TBU2:TBW500 UFI2:UFK500 VIW2:VIY500 WMK2:WMM500 Y65538:AA66036 ADM65538:ADO66036 BHA65538:BHC66036 CKO65538:CKQ66036 DOC65538:DOE66036 ERQ65538:ERS66036 FVE65538:FVG66036 GYS65538:GYU66036 ICG65538:ICI66036 JFU65538:JFW66036 KJI65538:KJK66036 LMW65538:LMY66036 MQK65538:MQM66036 NTY65538:NUA66036 OXM65538:OXO66036 QBA65538:QBC66036 REO65538:REQ66036 SIC65538:SIE66036 TLQ65538:TLS66036 UPE65538:UPG66036 VSS65538:VSU66036 WWG65538:WWI66036 JU65538:JW66036 ANI65538:ANK66036 BQW65538:BQY66036 CUK65538:CUM66036 DXY65538:DYA66036 FBM65538:FBO66036 GFA65538:GFC66036 HIO65538:HIQ66036 IMC65538:IME66036 JPQ65538:JPS66036 KTE65538:KTG66036 LWS65538:LWU66036 NAG65538:NAI66036 ODU65538:ODW66036 PHI65538:PHK66036 QKW65538:QKY66036 ROK65538:ROM66036 SRY65538:SSA66036 TVM65538:TVO66036 UZA65538:UZC66036 WCO65538:WCQ66036 TQ65538:TS66036 AXE65538:AXG66036 CAS65538:CAU66036 DEG65538:DEI66036 EHU65538:EHW66036 FLI65538:FLK66036 GOW65538:GOY66036 HSK65538:HSM66036 IVY65538:IWA66036 JZM65538:JZO66036 LDA65538:LDC66036 MGO65538:MGQ66036 NKC65538:NKE66036 ONQ65538:ONS66036 PRE65538:PRG66036 QUS65538:QUU66036 RYG65538:RYI66036 TBU65538:TBW66036 UFI65538:UFK66036 VIW65538:VIY66036 WMK65538:WMM66036 Y131074:AA131572 ADM131074:ADO131572 BHA131074:BHC131572 CKO131074:CKQ131572 DOC131074:DOE131572 ERQ131074:ERS131572 FVE131074:FVG131572 GYS131074:GYU131572 ICG131074:ICI131572 JFU131074:JFW131572 KJI131074:KJK131572 LMW131074:LMY131572 MQK131074:MQM131572 NTY131074:NUA131572 OXM131074:OXO131572 QBA131074:QBC131572 REO131074:REQ131572 SIC131074:SIE131572 TLQ131074:TLS131572 UPE131074:UPG131572 VSS131074:VSU131572 WWG131074:WWI131572 JU131074:JW131572 ANI131074:ANK131572 BQW131074:BQY131572 CUK131074:CUM131572 DXY131074:DYA131572 FBM131074:FBO131572 GFA131074:GFC131572 HIO131074:HIQ131572 IMC131074:IME131572 JPQ131074:JPS131572 KTE131074:KTG131572 LWS131074:LWU131572 NAG131074:NAI131572 ODU131074:ODW131572 PHI131074:PHK131572 QKW131074:QKY131572 ROK131074:ROM131572 SRY131074:SSA131572 TVM131074:TVO131572 UZA131074:UZC131572 WCO131074:WCQ131572 TQ131074:TS131572 AXE131074:AXG131572 CAS131074:CAU131572 DEG131074:DEI131572 EHU131074:EHW131572 FLI131074:FLK131572 GOW131074:GOY131572 HSK131074:HSM131572 IVY131074:IWA131572 JZM131074:JZO131572 LDA131074:LDC131572 MGO131074:MGQ131572 NKC131074:NKE131572 ONQ131074:ONS131572 PRE131074:PRG131572 QUS131074:QUU131572 RYG131074:RYI131572 TBU131074:TBW131572 UFI131074:UFK131572 VIW131074:VIY131572 WMK131074:WMM131572 Y196610:AA197108 ADM196610:ADO197108 BHA196610:BHC197108 CKO196610:CKQ197108 DOC196610:DOE197108 ERQ196610:ERS197108 FVE196610:FVG197108 GYS196610:GYU197108 ICG196610:ICI197108 JFU196610:JFW197108 KJI196610:KJK197108 LMW196610:LMY197108 MQK196610:MQM197108 NTY196610:NUA197108 OXM196610:OXO197108 QBA196610:QBC197108 REO196610:REQ197108 SIC196610:SIE197108 TLQ196610:TLS197108 UPE196610:UPG197108 VSS196610:VSU197108 WWG196610:WWI197108 JU196610:JW197108 ANI196610:ANK197108 BQW196610:BQY197108 CUK196610:CUM197108 DXY196610:DYA197108 FBM196610:FBO197108 GFA196610:GFC197108 HIO196610:HIQ197108 IMC196610:IME197108 JPQ196610:JPS197108 KTE196610:KTG197108 LWS196610:LWU197108 NAG196610:NAI197108 ODU196610:ODW197108 PHI196610:PHK197108 QKW196610:QKY197108 ROK196610:ROM197108 SRY196610:SSA197108 TVM196610:TVO197108 UZA196610:UZC197108 WCO196610:WCQ197108 TQ196610:TS197108 AXE196610:AXG197108 CAS196610:CAU197108 DEG196610:DEI197108 EHU196610:EHW197108 FLI196610:FLK197108 GOW196610:GOY197108 HSK196610:HSM197108 IVY196610:IWA197108 JZM196610:JZO197108 LDA196610:LDC197108 MGO196610:MGQ197108 NKC196610:NKE197108 ONQ196610:ONS197108 PRE196610:PRG197108 QUS196610:QUU197108 RYG196610:RYI197108 TBU196610:TBW197108 UFI196610:UFK197108 VIW196610:VIY197108 WMK196610:WMM197108 Y262146:AA262644 ADM262146:ADO262644 BHA262146:BHC262644 CKO262146:CKQ262644 DOC262146:DOE262644 ERQ262146:ERS262644 FVE262146:FVG262644 GYS262146:GYU262644 ICG262146:ICI262644 JFU262146:JFW262644 KJI262146:KJK262644 LMW262146:LMY262644 MQK262146:MQM262644 NTY262146:NUA262644 OXM262146:OXO262644 QBA262146:QBC262644 REO262146:REQ262644 SIC262146:SIE262644 TLQ262146:TLS262644 UPE262146:UPG262644 VSS262146:VSU262644 WWG262146:WWI262644 JU262146:JW262644 ANI262146:ANK262644 BQW262146:BQY262644 CUK262146:CUM262644 DXY262146:DYA262644 FBM262146:FBO262644 GFA262146:GFC262644 HIO262146:HIQ262644 IMC262146:IME262644 JPQ262146:JPS262644 KTE262146:KTG262644 LWS262146:LWU262644 NAG262146:NAI262644 ODU262146:ODW262644 PHI262146:PHK262644 QKW262146:QKY262644 ROK262146:ROM262644 SRY262146:SSA262644 TVM262146:TVO262644 UZA262146:UZC262644 WCO262146:WCQ262644 TQ262146:TS262644 AXE262146:AXG262644 CAS262146:CAU262644 DEG262146:DEI262644 EHU262146:EHW262644 FLI262146:FLK262644 GOW262146:GOY262644 HSK262146:HSM262644 IVY262146:IWA262644 JZM262146:JZO262644 LDA262146:LDC262644 MGO262146:MGQ262644 NKC262146:NKE262644 ONQ262146:ONS262644 PRE262146:PRG262644 QUS262146:QUU262644 RYG262146:RYI262644 TBU262146:TBW262644 UFI262146:UFK262644 VIW262146:VIY262644 WMK262146:WMM262644 Y327682:AA328180 ADM327682:ADO328180 BHA327682:BHC328180 CKO327682:CKQ328180 DOC327682:DOE328180 ERQ327682:ERS328180 FVE327682:FVG328180 GYS327682:GYU328180 ICG327682:ICI328180 JFU327682:JFW328180 KJI327682:KJK328180 LMW327682:LMY328180 MQK327682:MQM328180 NTY327682:NUA328180 OXM327682:OXO328180 QBA327682:QBC328180 REO327682:REQ328180 SIC327682:SIE328180 TLQ327682:TLS328180 UPE327682:UPG328180 VSS327682:VSU328180 WWG327682:WWI328180 JU327682:JW328180 ANI327682:ANK328180 BQW327682:BQY328180 CUK327682:CUM328180 DXY327682:DYA328180 FBM327682:FBO328180 GFA327682:GFC328180 HIO327682:HIQ328180 IMC327682:IME328180 JPQ327682:JPS328180 KTE327682:KTG328180 LWS327682:LWU328180 NAG327682:NAI328180 ODU327682:ODW328180 PHI327682:PHK328180 QKW327682:QKY328180 ROK327682:ROM328180 SRY327682:SSA328180 TVM327682:TVO328180 UZA327682:UZC328180 WCO327682:WCQ328180 TQ327682:TS328180 AXE327682:AXG328180 CAS327682:CAU328180 DEG327682:DEI328180 EHU327682:EHW328180 FLI327682:FLK328180 GOW327682:GOY328180 HSK327682:HSM328180 IVY327682:IWA328180 JZM327682:JZO328180 LDA327682:LDC328180 MGO327682:MGQ328180 NKC327682:NKE328180 ONQ327682:ONS328180 PRE327682:PRG328180 QUS327682:QUU328180 RYG327682:RYI328180 TBU327682:TBW328180 UFI327682:UFK328180 VIW327682:VIY328180 WMK327682:WMM328180 Y393218:AA393716 ADM393218:ADO393716 BHA393218:BHC393716 CKO393218:CKQ393716 DOC393218:DOE393716 ERQ393218:ERS393716 FVE393218:FVG393716 GYS393218:GYU393716 ICG393218:ICI393716 JFU393218:JFW393716 KJI393218:KJK393716 LMW393218:LMY393716 MQK393218:MQM393716 NTY393218:NUA393716 OXM393218:OXO393716 QBA393218:QBC393716 REO393218:REQ393716 SIC393218:SIE393716 TLQ393218:TLS393716 UPE393218:UPG393716 VSS393218:VSU393716 WWG393218:WWI393716 JU393218:JW393716 ANI393218:ANK393716 BQW393218:BQY393716 CUK393218:CUM393716 DXY393218:DYA393716 FBM393218:FBO393716 GFA393218:GFC393716 HIO393218:HIQ393716 IMC393218:IME393716 JPQ393218:JPS393716 KTE393218:KTG393716 LWS393218:LWU393716 NAG393218:NAI393716 ODU393218:ODW393716 PHI393218:PHK393716 QKW393218:QKY393716 ROK393218:ROM393716 SRY393218:SSA393716 TVM393218:TVO393716 UZA393218:UZC393716 WCO393218:WCQ393716 TQ393218:TS393716 AXE393218:AXG393716 CAS393218:CAU393716 DEG393218:DEI393716 EHU393218:EHW393716 FLI393218:FLK393716 GOW393218:GOY393716 HSK393218:HSM393716 IVY393218:IWA393716 JZM393218:JZO393716 LDA393218:LDC393716 MGO393218:MGQ393716 NKC393218:NKE393716 ONQ393218:ONS393716 PRE393218:PRG393716 QUS393218:QUU393716 RYG393218:RYI393716 TBU393218:TBW393716 UFI393218:UFK393716 VIW393218:VIY393716 WMK393218:WMM393716 Y458754:AA459252 ADM458754:ADO459252 BHA458754:BHC459252 CKO458754:CKQ459252 DOC458754:DOE459252 ERQ458754:ERS459252 FVE458754:FVG459252 GYS458754:GYU459252 ICG458754:ICI459252 JFU458754:JFW459252 KJI458754:KJK459252 LMW458754:LMY459252 MQK458754:MQM459252 NTY458754:NUA459252 OXM458754:OXO459252 QBA458754:QBC459252 REO458754:REQ459252 SIC458754:SIE459252 TLQ458754:TLS459252 UPE458754:UPG459252 VSS458754:VSU459252 WWG458754:WWI459252 JU458754:JW459252 ANI458754:ANK459252 BQW458754:BQY459252 CUK458754:CUM459252 DXY458754:DYA459252 FBM458754:FBO459252 GFA458754:GFC459252 HIO458754:HIQ459252 IMC458754:IME459252 JPQ458754:JPS459252 KTE458754:KTG459252 LWS458754:LWU459252 NAG458754:NAI459252 ODU458754:ODW459252 PHI458754:PHK459252 QKW458754:QKY459252 ROK458754:ROM459252 SRY458754:SSA459252 TVM458754:TVO459252 UZA458754:UZC459252 WCO458754:WCQ459252 TQ458754:TS459252 AXE458754:AXG459252 CAS458754:CAU459252 DEG458754:DEI459252 EHU458754:EHW459252 FLI458754:FLK459252 GOW458754:GOY459252 HSK458754:HSM459252 IVY458754:IWA459252 JZM458754:JZO459252 LDA458754:LDC459252 MGO458754:MGQ459252 NKC458754:NKE459252 ONQ458754:ONS459252 PRE458754:PRG459252 QUS458754:QUU459252 RYG458754:RYI459252 TBU458754:TBW459252 UFI458754:UFK459252 VIW458754:VIY459252 WMK458754:WMM459252 Y524290:AA524788 ADM524290:ADO524788 BHA524290:BHC524788 CKO524290:CKQ524788 DOC524290:DOE524788 ERQ524290:ERS524788 FVE524290:FVG524788 GYS524290:GYU524788 ICG524290:ICI524788 JFU524290:JFW524788 KJI524290:KJK524788 LMW524290:LMY524788 MQK524290:MQM524788 NTY524290:NUA524788 OXM524290:OXO524788 QBA524290:QBC524788 REO524290:REQ524788 SIC524290:SIE524788 TLQ524290:TLS524788 UPE524290:UPG524788 VSS524290:VSU524788 WWG524290:WWI524788 JU524290:JW524788 ANI524290:ANK524788 BQW524290:BQY524788 CUK524290:CUM524788 DXY524290:DYA524788 FBM524290:FBO524788 GFA524290:GFC524788 HIO524290:HIQ524788 IMC524290:IME524788 JPQ524290:JPS524788 KTE524290:KTG524788 LWS524290:LWU524788 NAG524290:NAI524788 ODU524290:ODW524788 PHI524290:PHK524788 QKW524290:QKY524788 ROK524290:ROM524788 SRY524290:SSA524788 TVM524290:TVO524788 UZA524290:UZC524788 WCO524290:WCQ524788 TQ524290:TS524788 AXE524290:AXG524788 CAS524290:CAU524788 DEG524290:DEI524788 EHU524290:EHW524788 FLI524290:FLK524788 GOW524290:GOY524788 HSK524290:HSM524788 IVY524290:IWA524788 JZM524290:JZO524788 LDA524290:LDC524788 MGO524290:MGQ524788 NKC524290:NKE524788 ONQ524290:ONS524788 PRE524290:PRG524788 QUS524290:QUU524788 RYG524290:RYI524788 TBU524290:TBW524788 UFI524290:UFK524788 VIW524290:VIY524788 WMK524290:WMM524788 Y589826:AA590324 ADM589826:ADO590324 BHA589826:BHC590324 CKO589826:CKQ590324 DOC589826:DOE590324 ERQ589826:ERS590324 FVE589826:FVG590324 GYS589826:GYU590324 ICG589826:ICI590324 JFU589826:JFW590324 KJI589826:KJK590324 LMW589826:LMY590324 MQK589826:MQM590324 NTY589826:NUA590324 OXM589826:OXO590324 QBA589826:QBC590324 REO589826:REQ590324 SIC589826:SIE590324 TLQ589826:TLS590324 UPE589826:UPG590324 VSS589826:VSU590324 WWG589826:WWI590324 JU589826:JW590324 ANI589826:ANK590324 BQW589826:BQY590324 CUK589826:CUM590324 DXY589826:DYA590324 FBM589826:FBO590324 GFA589826:GFC590324 HIO589826:HIQ590324 IMC589826:IME590324 JPQ589826:JPS590324 KTE589826:KTG590324 LWS589826:LWU590324 NAG589826:NAI590324 ODU589826:ODW590324 PHI589826:PHK590324 QKW589826:QKY590324 ROK589826:ROM590324 SRY589826:SSA590324 TVM589826:TVO590324 UZA589826:UZC590324 WCO589826:WCQ590324 TQ589826:TS590324 AXE589826:AXG590324 CAS589826:CAU590324 DEG589826:DEI590324 EHU589826:EHW590324 FLI589826:FLK590324 GOW589826:GOY590324 HSK589826:HSM590324 IVY589826:IWA590324 JZM589826:JZO590324 LDA589826:LDC590324 MGO589826:MGQ590324 NKC589826:NKE590324 ONQ589826:ONS590324 PRE589826:PRG590324 QUS589826:QUU590324 RYG589826:RYI590324 TBU589826:TBW590324 UFI589826:UFK590324 VIW589826:VIY590324 WMK589826:WMM590324 Y655362:AA655860 ADM655362:ADO655860 BHA655362:BHC655860 CKO655362:CKQ655860 DOC655362:DOE655860 ERQ655362:ERS655860 FVE655362:FVG655860 GYS655362:GYU655860 ICG655362:ICI655860 JFU655362:JFW655860 KJI655362:KJK655860 LMW655362:LMY655860 MQK655362:MQM655860 NTY655362:NUA655860 OXM655362:OXO655860 QBA655362:QBC655860 REO655362:REQ655860 SIC655362:SIE655860 TLQ655362:TLS655860 UPE655362:UPG655860 VSS655362:VSU655860 WWG655362:WWI655860 JU655362:JW655860 ANI655362:ANK655860 BQW655362:BQY655860 CUK655362:CUM655860 DXY655362:DYA655860 FBM655362:FBO655860 GFA655362:GFC655860 HIO655362:HIQ655860 IMC655362:IME655860 JPQ655362:JPS655860 KTE655362:KTG655860 LWS655362:LWU655860 NAG655362:NAI655860 ODU655362:ODW655860 PHI655362:PHK655860 QKW655362:QKY655860 ROK655362:ROM655860 SRY655362:SSA655860 TVM655362:TVO655860 UZA655362:UZC655860 WCO655362:WCQ655860 TQ655362:TS655860 AXE655362:AXG655860 CAS655362:CAU655860 DEG655362:DEI655860 EHU655362:EHW655860 FLI655362:FLK655860 GOW655362:GOY655860 HSK655362:HSM655860 IVY655362:IWA655860 JZM655362:JZO655860 LDA655362:LDC655860 MGO655362:MGQ655860 NKC655362:NKE655860 ONQ655362:ONS655860 PRE655362:PRG655860 QUS655362:QUU655860 RYG655362:RYI655860 TBU655362:TBW655860 UFI655362:UFK655860 VIW655362:VIY655860 WMK655362:WMM655860 Y720898:AA721396 ADM720898:ADO721396 BHA720898:BHC721396 CKO720898:CKQ721396 DOC720898:DOE721396 ERQ720898:ERS721396 FVE720898:FVG721396 GYS720898:GYU721396 ICG720898:ICI721396 JFU720898:JFW721396 KJI720898:KJK721396 LMW720898:LMY721396 MQK720898:MQM721396 NTY720898:NUA721396 OXM720898:OXO721396 QBA720898:QBC721396 REO720898:REQ721396 SIC720898:SIE721396 TLQ720898:TLS721396 UPE720898:UPG721396 VSS720898:VSU721396 WWG720898:WWI721396 JU720898:JW721396 ANI720898:ANK721396 BQW720898:BQY721396 CUK720898:CUM721396 DXY720898:DYA721396 FBM720898:FBO721396 GFA720898:GFC721396 HIO720898:HIQ721396 IMC720898:IME721396 JPQ720898:JPS721396 KTE720898:KTG721396 LWS720898:LWU721396 NAG720898:NAI721396 ODU720898:ODW721396 PHI720898:PHK721396 QKW720898:QKY721396 ROK720898:ROM721396 SRY720898:SSA721396 TVM720898:TVO721396 UZA720898:UZC721396 WCO720898:WCQ721396 TQ720898:TS721396 AXE720898:AXG721396 CAS720898:CAU721396 DEG720898:DEI721396 EHU720898:EHW721396 FLI720898:FLK721396 GOW720898:GOY721396 HSK720898:HSM721396 IVY720898:IWA721396 JZM720898:JZO721396 LDA720898:LDC721396 MGO720898:MGQ721396 NKC720898:NKE721396 ONQ720898:ONS721396 PRE720898:PRG721396 QUS720898:QUU721396 RYG720898:RYI721396 TBU720898:TBW721396 UFI720898:UFK721396 VIW720898:VIY721396 WMK720898:WMM721396 Y786434:AA786932 ADM786434:ADO786932 BHA786434:BHC786932 CKO786434:CKQ786932 DOC786434:DOE786932 ERQ786434:ERS786932 FVE786434:FVG786932 GYS786434:GYU786932 ICG786434:ICI786932 JFU786434:JFW786932 KJI786434:KJK786932 LMW786434:LMY786932 MQK786434:MQM786932 NTY786434:NUA786932 OXM786434:OXO786932 QBA786434:QBC786932 REO786434:REQ786932 SIC786434:SIE786932 TLQ786434:TLS786932 UPE786434:UPG786932 VSS786434:VSU786932 WWG786434:WWI786932 JU786434:JW786932 ANI786434:ANK786932 BQW786434:BQY786932 CUK786434:CUM786932 DXY786434:DYA786932 FBM786434:FBO786932 GFA786434:GFC786932 HIO786434:HIQ786932 IMC786434:IME786932 JPQ786434:JPS786932 KTE786434:KTG786932 LWS786434:LWU786932 NAG786434:NAI786932 ODU786434:ODW786932 PHI786434:PHK786932 QKW786434:QKY786932 ROK786434:ROM786932 SRY786434:SSA786932 TVM786434:TVO786932 UZA786434:UZC786932 WCO786434:WCQ786932 TQ786434:TS786932 AXE786434:AXG786932 CAS786434:CAU786932 DEG786434:DEI786932 EHU786434:EHW786932 FLI786434:FLK786932 GOW786434:GOY786932 HSK786434:HSM786932 IVY786434:IWA786932 JZM786434:JZO786932 LDA786434:LDC786932 MGO786434:MGQ786932 NKC786434:NKE786932 ONQ786434:ONS786932 PRE786434:PRG786932 QUS786434:QUU786932 RYG786434:RYI786932 TBU786434:TBW786932 UFI786434:UFK786932 VIW786434:VIY786932 WMK786434:WMM786932 Y851970:AA852468 ADM851970:ADO852468 BHA851970:BHC852468 CKO851970:CKQ852468 DOC851970:DOE852468 ERQ851970:ERS852468 FVE851970:FVG852468 GYS851970:GYU852468 ICG851970:ICI852468 JFU851970:JFW852468 KJI851970:KJK852468 LMW851970:LMY852468 MQK851970:MQM852468 NTY851970:NUA852468 OXM851970:OXO852468 QBA851970:QBC852468 REO851970:REQ852468 SIC851970:SIE852468 TLQ851970:TLS852468 UPE851970:UPG852468 VSS851970:VSU852468 WWG851970:WWI852468 JU851970:JW852468 ANI851970:ANK852468 BQW851970:BQY852468 CUK851970:CUM852468 DXY851970:DYA852468 FBM851970:FBO852468 GFA851970:GFC852468 HIO851970:HIQ852468 IMC851970:IME852468 JPQ851970:JPS852468 KTE851970:KTG852468 LWS851970:LWU852468 NAG851970:NAI852468 ODU851970:ODW852468 PHI851970:PHK852468 QKW851970:QKY852468 ROK851970:ROM852468 SRY851970:SSA852468 TVM851970:TVO852468 UZA851970:UZC852468 WCO851970:WCQ852468 TQ851970:TS852468 AXE851970:AXG852468 CAS851970:CAU852468 DEG851970:DEI852468 EHU851970:EHW852468 FLI851970:FLK852468 GOW851970:GOY852468 HSK851970:HSM852468 IVY851970:IWA852468 JZM851970:JZO852468 LDA851970:LDC852468 MGO851970:MGQ852468 NKC851970:NKE852468 ONQ851970:ONS852468 PRE851970:PRG852468 QUS851970:QUU852468 RYG851970:RYI852468 TBU851970:TBW852468 UFI851970:UFK852468 VIW851970:VIY852468 WMK851970:WMM852468 Y917506:AA918004 ADM917506:ADO918004 BHA917506:BHC918004 CKO917506:CKQ918004 DOC917506:DOE918004 ERQ917506:ERS918004 FVE917506:FVG918004 GYS917506:GYU918004 ICG917506:ICI918004 JFU917506:JFW918004 KJI917506:KJK918004 LMW917506:LMY918004 MQK917506:MQM918004 NTY917506:NUA918004 OXM917506:OXO918004 QBA917506:QBC918004 REO917506:REQ918004 SIC917506:SIE918004 TLQ917506:TLS918004 UPE917506:UPG918004 VSS917506:VSU918004 WWG917506:WWI918004 JU917506:JW918004 ANI917506:ANK918004 BQW917506:BQY918004 CUK917506:CUM918004 DXY917506:DYA918004 FBM917506:FBO918004 GFA917506:GFC918004 HIO917506:HIQ918004 IMC917506:IME918004 JPQ917506:JPS918004 KTE917506:KTG918004 LWS917506:LWU918004 NAG917506:NAI918004 ODU917506:ODW918004 PHI917506:PHK918004 QKW917506:QKY918004 ROK917506:ROM918004 SRY917506:SSA918004 TVM917506:TVO918004 UZA917506:UZC918004 WCO917506:WCQ918004 TQ917506:TS918004 AXE917506:AXG918004 CAS917506:CAU918004 DEG917506:DEI918004 EHU917506:EHW918004 FLI917506:FLK918004 GOW917506:GOY918004 HSK917506:HSM918004 IVY917506:IWA918004 JZM917506:JZO918004 LDA917506:LDC918004 MGO917506:MGQ918004 NKC917506:NKE918004 ONQ917506:ONS918004 PRE917506:PRG918004 QUS917506:QUU918004 RYG917506:RYI918004 TBU917506:TBW918004 UFI917506:UFK918004 VIW917506:VIY918004 WMK917506:WMM918004 Y983042:AA983540 ADM983042:ADO983540 BHA983042:BHC983540 CKO983042:CKQ983540 DOC983042:DOE983540 ERQ983042:ERS983540 FVE983042:FVG983540 GYS983042:GYU983540 ICG983042:ICI983540 JFU983042:JFW983540 KJI983042:KJK983540 LMW983042:LMY983540 MQK983042:MQM983540 NTY983042:NUA983540 OXM983042:OXO983540 QBA983042:QBC983540 REO983042:REQ983540 SIC983042:SIE983540 TLQ983042:TLS983540 UPE983042:UPG983540 VSS983042:VSU983540 WWG983042:WWI983540 JU983042:JW983540 ANI983042:ANK983540 BQW983042:BQY983540 CUK983042:CUM983540 DXY983042:DYA983540 FBM983042:FBO983540 GFA983042:GFC983540 HIO983042:HIQ983540 IMC983042:IME983540 JPQ983042:JPS983540 KTE983042:KTG983540 LWS983042:LWU983540 NAG983042:NAI983540 ODU983042:ODW983540 PHI983042:PHK983540 QKW983042:QKY983540 ROK983042:ROM983540 SRY983042:SSA983540 TVM983042:TVO983540 UZA983042:UZC983540 WCO983042:WCQ983540 TQ983042:TS983540 AXE983042:AXG983540 CAS983042:CAU983540 DEG983042:DEI983540 EHU983042:EHW983540 FLI983042:FLK983540 GOW983042:GOY983540 HSK983042:HSM983540 IVY983042:IWA983540 JZM983042:JZO983540 LDA983042:LDC983540 MGO983042:MGQ983540 NKC983042:NKE983540 ONQ983042:ONS983540 PRE983042:PRG983540 QUS983042:QUU983540 RYG983042:RYI983540 TBU983042:TBW983540 UFI983042:UFK983540 VIW983042:VIY983540 WMK983042:WMM983540 Y2:AA500" xr:uid="{AFA9B749-D60D-4EAC-BBC5-96E90C19D986}">
      <formula1>$AV$2:$AV$21</formula1>
    </dataValidation>
    <dataValidation type="list" allowBlank="1" showInputMessage="1" showErrorMessage="1" sqref="K2:K450" xr:uid="{494655AD-DDF9-4FA8-AE65-79DDACB2DEDE}">
      <formula1>$AR$2:$AR$26</formula1>
    </dataValidation>
    <dataValidation type="list" allowBlank="1" showInputMessage="1" showErrorMessage="1" sqref="J2:J154 J65538:J65636 J131074:J131172 J196610:J196708 J262146:J262244 J327682:J327780 J393218:J393316 J458754:J458852 J524290:J524388 J589826:J589924 J655362:J655460 J720898:J720996 J786434:J786532 J851970:J852068 J917506:J917604 J983042:J983140 JF2:JF100 JF65538:JF65636 JF131074:JF131172 JF196610:JF196708 JF262146:JF262244 JF327682:JF327780 JF393218:JF393316 JF458754:JF458852 JF524290:JF524388 JF589826:JF589924 JF655362:JF655460 JF720898:JF720996 JF786434:JF786532 JF851970:JF852068 JF917506:JF917604 JF983042:JF983140 TB2:TB100 TB65538:TB65636 TB131074:TB131172 TB196610:TB196708 TB262146:TB262244 TB327682:TB327780 TB393218:TB393316 TB458754:TB458852 TB524290:TB524388 TB589826:TB589924 TB655362:TB655460 TB720898:TB720996 TB786434:TB786532 TB851970:TB852068 TB917506:TB917604 TB983042:TB983140 ACX2:ACX100 ACX65538:ACX65636 ACX131074:ACX131172 ACX196610:ACX196708 ACX262146:ACX262244 ACX327682:ACX327780 ACX393218:ACX393316 ACX458754:ACX458852 ACX524290:ACX524388 ACX589826:ACX589924 ACX655362:ACX655460 ACX720898:ACX720996 ACX786434:ACX786532 ACX851970:ACX852068 ACX917506:ACX917604 ACX983042:ACX983140 AMT2:AMT100 AMT65538:AMT65636 AMT131074:AMT131172 AMT196610:AMT196708 AMT262146:AMT262244 AMT327682:AMT327780 AMT393218:AMT393316 AMT458754:AMT458852 AMT524290:AMT524388 AMT589826:AMT589924 AMT655362:AMT655460 AMT720898:AMT720996 AMT786434:AMT786532 AMT851970:AMT852068 AMT917506:AMT917604 AMT983042:AMT983140 AWP2:AWP100 AWP65538:AWP65636 AWP131074:AWP131172 AWP196610:AWP196708 AWP262146:AWP262244 AWP327682:AWP327780 AWP393218:AWP393316 AWP458754:AWP458852 AWP524290:AWP524388 AWP589826:AWP589924 AWP655362:AWP655460 AWP720898:AWP720996 AWP786434:AWP786532 AWP851970:AWP852068 AWP917506:AWP917604 AWP983042:AWP983140 BGL2:BGL100 BGL65538:BGL65636 BGL131074:BGL131172 BGL196610:BGL196708 BGL262146:BGL262244 BGL327682:BGL327780 BGL393218:BGL393316 BGL458754:BGL458852 BGL524290:BGL524388 BGL589826:BGL589924 BGL655362:BGL655460 BGL720898:BGL720996 BGL786434:BGL786532 BGL851970:BGL852068 BGL917506:BGL917604 BGL983042:BGL983140 BQH2:BQH100 BQH65538:BQH65636 BQH131074:BQH131172 BQH196610:BQH196708 BQH262146:BQH262244 BQH327682:BQH327780 BQH393218:BQH393316 BQH458754:BQH458852 BQH524290:BQH524388 BQH589826:BQH589924 BQH655362:BQH655460 BQH720898:BQH720996 BQH786434:BQH786532 BQH851970:BQH852068 BQH917506:BQH917604 BQH983042:BQH983140 CAD2:CAD100 CAD65538:CAD65636 CAD131074:CAD131172 CAD196610:CAD196708 CAD262146:CAD262244 CAD327682:CAD327780 CAD393218:CAD393316 CAD458754:CAD458852 CAD524290:CAD524388 CAD589826:CAD589924 CAD655362:CAD655460 CAD720898:CAD720996 CAD786434:CAD786532 CAD851970:CAD852068 CAD917506:CAD917604 CAD983042:CAD983140 CJZ2:CJZ100 CJZ65538:CJZ65636 CJZ131074:CJZ131172 CJZ196610:CJZ196708 CJZ262146:CJZ262244 CJZ327682:CJZ327780 CJZ393218:CJZ393316 CJZ458754:CJZ458852 CJZ524290:CJZ524388 CJZ589826:CJZ589924 CJZ655362:CJZ655460 CJZ720898:CJZ720996 CJZ786434:CJZ786532 CJZ851970:CJZ852068 CJZ917506:CJZ917604 CJZ983042:CJZ983140 CTV2:CTV100 CTV65538:CTV65636 CTV131074:CTV131172 CTV196610:CTV196708 CTV262146:CTV262244 CTV327682:CTV327780 CTV393218:CTV393316 CTV458754:CTV458852 CTV524290:CTV524388 CTV589826:CTV589924 CTV655362:CTV655460 CTV720898:CTV720996 CTV786434:CTV786532 CTV851970:CTV852068 CTV917506:CTV917604 CTV983042:CTV983140 DDR2:DDR100 DDR65538:DDR65636 DDR131074:DDR131172 DDR196610:DDR196708 DDR262146:DDR262244 DDR327682:DDR327780 DDR393218:DDR393316 DDR458754:DDR458852 DDR524290:DDR524388 DDR589826:DDR589924 DDR655362:DDR655460 DDR720898:DDR720996 DDR786434:DDR786532 DDR851970:DDR852068 DDR917506:DDR917604 DDR983042:DDR983140 DNN2:DNN100 DNN65538:DNN65636 DNN131074:DNN131172 DNN196610:DNN196708 DNN262146:DNN262244 DNN327682:DNN327780 DNN393218:DNN393316 DNN458754:DNN458852 DNN524290:DNN524388 DNN589826:DNN589924 DNN655362:DNN655460 DNN720898:DNN720996 DNN786434:DNN786532 DNN851970:DNN852068 DNN917506:DNN917604 DNN983042:DNN983140 DXJ2:DXJ100 DXJ65538:DXJ65636 DXJ131074:DXJ131172 DXJ196610:DXJ196708 DXJ262146:DXJ262244 DXJ327682:DXJ327780 DXJ393218:DXJ393316 DXJ458754:DXJ458852 DXJ524290:DXJ524388 DXJ589826:DXJ589924 DXJ655362:DXJ655460 DXJ720898:DXJ720996 DXJ786434:DXJ786532 DXJ851970:DXJ852068 DXJ917506:DXJ917604 DXJ983042:DXJ983140 EHF2:EHF100 EHF65538:EHF65636 EHF131074:EHF131172 EHF196610:EHF196708 EHF262146:EHF262244 EHF327682:EHF327780 EHF393218:EHF393316 EHF458754:EHF458852 EHF524290:EHF524388 EHF589826:EHF589924 EHF655362:EHF655460 EHF720898:EHF720996 EHF786434:EHF786532 EHF851970:EHF852068 EHF917506:EHF917604 EHF983042:EHF983140 ERB2:ERB100 ERB65538:ERB65636 ERB131074:ERB131172 ERB196610:ERB196708 ERB262146:ERB262244 ERB327682:ERB327780 ERB393218:ERB393316 ERB458754:ERB458852 ERB524290:ERB524388 ERB589826:ERB589924 ERB655362:ERB655460 ERB720898:ERB720996 ERB786434:ERB786532 ERB851970:ERB852068 ERB917506:ERB917604 ERB983042:ERB983140 FAX2:FAX100 FAX65538:FAX65636 FAX131074:FAX131172 FAX196610:FAX196708 FAX262146:FAX262244 FAX327682:FAX327780 FAX393218:FAX393316 FAX458754:FAX458852 FAX524290:FAX524388 FAX589826:FAX589924 FAX655362:FAX655460 FAX720898:FAX720996 FAX786434:FAX786532 FAX851970:FAX852068 FAX917506:FAX917604 FAX983042:FAX983140 FKT2:FKT100 FKT65538:FKT65636 FKT131074:FKT131172 FKT196610:FKT196708 FKT262146:FKT262244 FKT327682:FKT327780 FKT393218:FKT393316 FKT458754:FKT458852 FKT524290:FKT524388 FKT589826:FKT589924 FKT655362:FKT655460 FKT720898:FKT720996 FKT786434:FKT786532 FKT851970:FKT852068 FKT917506:FKT917604 FKT983042:FKT983140 FUP2:FUP100 FUP65538:FUP65636 FUP131074:FUP131172 FUP196610:FUP196708 FUP262146:FUP262244 FUP327682:FUP327780 FUP393218:FUP393316 FUP458754:FUP458852 FUP524290:FUP524388 FUP589826:FUP589924 FUP655362:FUP655460 FUP720898:FUP720996 FUP786434:FUP786532 FUP851970:FUP852068 FUP917506:FUP917604 FUP983042:FUP983140 GEL2:GEL100 GEL65538:GEL65636 GEL131074:GEL131172 GEL196610:GEL196708 GEL262146:GEL262244 GEL327682:GEL327780 GEL393218:GEL393316 GEL458754:GEL458852 GEL524290:GEL524388 GEL589826:GEL589924 GEL655362:GEL655460 GEL720898:GEL720996 GEL786434:GEL786532 GEL851970:GEL852068 GEL917506:GEL917604 GEL983042:GEL983140 GOH2:GOH100 GOH65538:GOH65636 GOH131074:GOH131172 GOH196610:GOH196708 GOH262146:GOH262244 GOH327682:GOH327780 GOH393218:GOH393316 GOH458754:GOH458852 GOH524290:GOH524388 GOH589826:GOH589924 GOH655362:GOH655460 GOH720898:GOH720996 GOH786434:GOH786532 GOH851970:GOH852068 GOH917506:GOH917604 GOH983042:GOH983140 GYD2:GYD100 GYD65538:GYD65636 GYD131074:GYD131172 GYD196610:GYD196708 GYD262146:GYD262244 GYD327682:GYD327780 GYD393218:GYD393316 GYD458754:GYD458852 GYD524290:GYD524388 GYD589826:GYD589924 GYD655362:GYD655460 GYD720898:GYD720996 GYD786434:GYD786532 GYD851970:GYD852068 GYD917506:GYD917604 GYD983042:GYD983140 HHZ2:HHZ100 HHZ65538:HHZ65636 HHZ131074:HHZ131172 HHZ196610:HHZ196708 HHZ262146:HHZ262244 HHZ327682:HHZ327780 HHZ393218:HHZ393316 HHZ458754:HHZ458852 HHZ524290:HHZ524388 HHZ589826:HHZ589924 HHZ655362:HHZ655460 HHZ720898:HHZ720996 HHZ786434:HHZ786532 HHZ851970:HHZ852068 HHZ917506:HHZ917604 HHZ983042:HHZ983140 HRV2:HRV100 HRV65538:HRV65636 HRV131074:HRV131172 HRV196610:HRV196708 HRV262146:HRV262244 HRV327682:HRV327780 HRV393218:HRV393316 HRV458754:HRV458852 HRV524290:HRV524388 HRV589826:HRV589924 HRV655362:HRV655460 HRV720898:HRV720996 HRV786434:HRV786532 HRV851970:HRV852068 HRV917506:HRV917604 HRV983042:HRV983140 IBR2:IBR100 IBR65538:IBR65636 IBR131074:IBR131172 IBR196610:IBR196708 IBR262146:IBR262244 IBR327682:IBR327780 IBR393218:IBR393316 IBR458754:IBR458852 IBR524290:IBR524388 IBR589826:IBR589924 IBR655362:IBR655460 IBR720898:IBR720996 IBR786434:IBR786532 IBR851970:IBR852068 IBR917506:IBR917604 IBR983042:IBR983140 ILN2:ILN100 ILN65538:ILN65636 ILN131074:ILN131172 ILN196610:ILN196708 ILN262146:ILN262244 ILN327682:ILN327780 ILN393218:ILN393316 ILN458754:ILN458852 ILN524290:ILN524388 ILN589826:ILN589924 ILN655362:ILN655460 ILN720898:ILN720996 ILN786434:ILN786532 ILN851970:ILN852068 ILN917506:ILN917604 ILN983042:ILN983140 IVJ2:IVJ100 IVJ65538:IVJ65636 IVJ131074:IVJ131172 IVJ196610:IVJ196708 IVJ262146:IVJ262244 IVJ327682:IVJ327780 IVJ393218:IVJ393316 IVJ458754:IVJ458852 IVJ524290:IVJ524388 IVJ589826:IVJ589924 IVJ655362:IVJ655460 IVJ720898:IVJ720996 IVJ786434:IVJ786532 IVJ851970:IVJ852068 IVJ917506:IVJ917604 IVJ983042:IVJ983140 JFF2:JFF100 JFF65538:JFF65636 JFF131074:JFF131172 JFF196610:JFF196708 JFF262146:JFF262244 JFF327682:JFF327780 JFF393218:JFF393316 JFF458754:JFF458852 JFF524290:JFF524388 JFF589826:JFF589924 JFF655362:JFF655460 JFF720898:JFF720996 JFF786434:JFF786532 JFF851970:JFF852068 JFF917506:JFF917604 JFF983042:JFF983140 JPB2:JPB100 JPB65538:JPB65636 JPB131074:JPB131172 JPB196610:JPB196708 JPB262146:JPB262244 JPB327682:JPB327780 JPB393218:JPB393316 JPB458754:JPB458852 JPB524290:JPB524388 JPB589826:JPB589924 JPB655362:JPB655460 JPB720898:JPB720996 JPB786434:JPB786532 JPB851970:JPB852068 JPB917506:JPB917604 JPB983042:JPB983140 JYX2:JYX100 JYX65538:JYX65636 JYX131074:JYX131172 JYX196610:JYX196708 JYX262146:JYX262244 JYX327682:JYX327780 JYX393218:JYX393316 JYX458754:JYX458852 JYX524290:JYX524388 JYX589826:JYX589924 JYX655362:JYX655460 JYX720898:JYX720996 JYX786434:JYX786532 JYX851970:JYX852068 JYX917506:JYX917604 JYX983042:JYX983140 KIT2:KIT100 KIT65538:KIT65636 KIT131074:KIT131172 KIT196610:KIT196708 KIT262146:KIT262244 KIT327682:KIT327780 KIT393218:KIT393316 KIT458754:KIT458852 KIT524290:KIT524388 KIT589826:KIT589924 KIT655362:KIT655460 KIT720898:KIT720996 KIT786434:KIT786532 KIT851970:KIT852068 KIT917506:KIT917604 KIT983042:KIT983140 KSP2:KSP100 KSP65538:KSP65636 KSP131074:KSP131172 KSP196610:KSP196708 KSP262146:KSP262244 KSP327682:KSP327780 KSP393218:KSP393316 KSP458754:KSP458852 KSP524290:KSP524388 KSP589826:KSP589924 KSP655362:KSP655460 KSP720898:KSP720996 KSP786434:KSP786532 KSP851970:KSP852068 KSP917506:KSP917604 KSP983042:KSP983140 LCL2:LCL100 LCL65538:LCL65636 LCL131074:LCL131172 LCL196610:LCL196708 LCL262146:LCL262244 LCL327682:LCL327780 LCL393218:LCL393316 LCL458754:LCL458852 LCL524290:LCL524388 LCL589826:LCL589924 LCL655362:LCL655460 LCL720898:LCL720996 LCL786434:LCL786532 LCL851970:LCL852068 LCL917506:LCL917604 LCL983042:LCL983140 LMH2:LMH100 LMH65538:LMH65636 LMH131074:LMH131172 LMH196610:LMH196708 LMH262146:LMH262244 LMH327682:LMH327780 LMH393218:LMH393316 LMH458754:LMH458852 LMH524290:LMH524388 LMH589826:LMH589924 LMH655362:LMH655460 LMH720898:LMH720996 LMH786434:LMH786532 LMH851970:LMH852068 LMH917506:LMH917604 LMH983042:LMH983140 LWD2:LWD100 LWD65538:LWD65636 LWD131074:LWD131172 LWD196610:LWD196708 LWD262146:LWD262244 LWD327682:LWD327780 LWD393218:LWD393316 LWD458754:LWD458852 LWD524290:LWD524388 LWD589826:LWD589924 LWD655362:LWD655460 LWD720898:LWD720996 LWD786434:LWD786532 LWD851970:LWD852068 LWD917506:LWD917604 LWD983042:LWD983140 MFZ2:MFZ100 MFZ65538:MFZ65636 MFZ131074:MFZ131172 MFZ196610:MFZ196708 MFZ262146:MFZ262244 MFZ327682:MFZ327780 MFZ393218:MFZ393316 MFZ458754:MFZ458852 MFZ524290:MFZ524388 MFZ589826:MFZ589924 MFZ655362:MFZ655460 MFZ720898:MFZ720996 MFZ786434:MFZ786532 MFZ851970:MFZ852068 MFZ917506:MFZ917604 MFZ983042:MFZ983140 MPV2:MPV100 MPV65538:MPV65636 MPV131074:MPV131172 MPV196610:MPV196708 MPV262146:MPV262244 MPV327682:MPV327780 MPV393218:MPV393316 MPV458754:MPV458852 MPV524290:MPV524388 MPV589826:MPV589924 MPV655362:MPV655460 MPV720898:MPV720996 MPV786434:MPV786532 MPV851970:MPV852068 MPV917506:MPV917604 MPV983042:MPV983140 MZR2:MZR100 MZR65538:MZR65636 MZR131074:MZR131172 MZR196610:MZR196708 MZR262146:MZR262244 MZR327682:MZR327780 MZR393218:MZR393316 MZR458754:MZR458852 MZR524290:MZR524388 MZR589826:MZR589924 MZR655362:MZR655460 MZR720898:MZR720996 MZR786434:MZR786532 MZR851970:MZR852068 MZR917506:MZR917604 MZR983042:MZR983140 NJN2:NJN100 NJN65538:NJN65636 NJN131074:NJN131172 NJN196610:NJN196708 NJN262146:NJN262244 NJN327682:NJN327780 NJN393218:NJN393316 NJN458754:NJN458852 NJN524290:NJN524388 NJN589826:NJN589924 NJN655362:NJN655460 NJN720898:NJN720996 NJN786434:NJN786532 NJN851970:NJN852068 NJN917506:NJN917604 NJN983042:NJN983140 NTJ2:NTJ100 NTJ65538:NTJ65636 NTJ131074:NTJ131172 NTJ196610:NTJ196708 NTJ262146:NTJ262244 NTJ327682:NTJ327780 NTJ393218:NTJ393316 NTJ458754:NTJ458852 NTJ524290:NTJ524388 NTJ589826:NTJ589924 NTJ655362:NTJ655460 NTJ720898:NTJ720996 NTJ786434:NTJ786532 NTJ851970:NTJ852068 NTJ917506:NTJ917604 NTJ983042:NTJ983140 ODF2:ODF100 ODF65538:ODF65636 ODF131074:ODF131172 ODF196610:ODF196708 ODF262146:ODF262244 ODF327682:ODF327780 ODF393218:ODF393316 ODF458754:ODF458852 ODF524290:ODF524388 ODF589826:ODF589924 ODF655362:ODF655460 ODF720898:ODF720996 ODF786434:ODF786532 ODF851970:ODF852068 ODF917506:ODF917604 ODF983042:ODF983140 ONB2:ONB100 ONB65538:ONB65636 ONB131074:ONB131172 ONB196610:ONB196708 ONB262146:ONB262244 ONB327682:ONB327780 ONB393218:ONB393316 ONB458754:ONB458852 ONB524290:ONB524388 ONB589826:ONB589924 ONB655362:ONB655460 ONB720898:ONB720996 ONB786434:ONB786532 ONB851970:ONB852068 ONB917506:ONB917604 ONB983042:ONB983140 OWX2:OWX100 OWX65538:OWX65636 OWX131074:OWX131172 OWX196610:OWX196708 OWX262146:OWX262244 OWX327682:OWX327780 OWX393218:OWX393316 OWX458754:OWX458852 OWX524290:OWX524388 OWX589826:OWX589924 OWX655362:OWX655460 OWX720898:OWX720996 OWX786434:OWX786532 OWX851970:OWX852068 OWX917506:OWX917604 OWX983042:OWX983140 PGT2:PGT100 PGT65538:PGT65636 PGT131074:PGT131172 PGT196610:PGT196708 PGT262146:PGT262244 PGT327682:PGT327780 PGT393218:PGT393316 PGT458754:PGT458852 PGT524290:PGT524388 PGT589826:PGT589924 PGT655362:PGT655460 PGT720898:PGT720996 PGT786434:PGT786532 PGT851970:PGT852068 PGT917506:PGT917604 PGT983042:PGT983140 PQP2:PQP100 PQP65538:PQP65636 PQP131074:PQP131172 PQP196610:PQP196708 PQP262146:PQP262244 PQP327682:PQP327780 PQP393218:PQP393316 PQP458754:PQP458852 PQP524290:PQP524388 PQP589826:PQP589924 PQP655362:PQP655460 PQP720898:PQP720996 PQP786434:PQP786532 PQP851970:PQP852068 PQP917506:PQP917604 PQP983042:PQP983140 QAL2:QAL100 QAL65538:QAL65636 QAL131074:QAL131172 QAL196610:QAL196708 QAL262146:QAL262244 QAL327682:QAL327780 QAL393218:QAL393316 QAL458754:QAL458852 QAL524290:QAL524388 QAL589826:QAL589924 QAL655362:QAL655460 QAL720898:QAL720996 QAL786434:QAL786532 QAL851970:QAL852068 QAL917506:QAL917604 QAL983042:QAL983140 QKH2:QKH100 QKH65538:QKH65636 QKH131074:QKH131172 QKH196610:QKH196708 QKH262146:QKH262244 QKH327682:QKH327780 QKH393218:QKH393316 QKH458754:QKH458852 QKH524290:QKH524388 QKH589826:QKH589924 QKH655362:QKH655460 QKH720898:QKH720996 QKH786434:QKH786532 QKH851970:QKH852068 QKH917506:QKH917604 QKH983042:QKH983140 QUD2:QUD100 QUD65538:QUD65636 QUD131074:QUD131172 QUD196610:QUD196708 QUD262146:QUD262244 QUD327682:QUD327780 QUD393218:QUD393316 QUD458754:QUD458852 QUD524290:QUD524388 QUD589826:QUD589924 QUD655362:QUD655460 QUD720898:QUD720996 QUD786434:QUD786532 QUD851970:QUD852068 QUD917506:QUD917604 QUD983042:QUD983140 RDZ2:RDZ100 RDZ65538:RDZ65636 RDZ131074:RDZ131172 RDZ196610:RDZ196708 RDZ262146:RDZ262244 RDZ327682:RDZ327780 RDZ393218:RDZ393316 RDZ458754:RDZ458852 RDZ524290:RDZ524388 RDZ589826:RDZ589924 RDZ655362:RDZ655460 RDZ720898:RDZ720996 RDZ786434:RDZ786532 RDZ851970:RDZ852068 RDZ917506:RDZ917604 RDZ983042:RDZ983140 RNV2:RNV100 RNV65538:RNV65636 RNV131074:RNV131172 RNV196610:RNV196708 RNV262146:RNV262244 RNV327682:RNV327780 RNV393218:RNV393316 RNV458754:RNV458852 RNV524290:RNV524388 RNV589826:RNV589924 RNV655362:RNV655460 RNV720898:RNV720996 RNV786434:RNV786532 RNV851970:RNV852068 RNV917506:RNV917604 RNV983042:RNV983140 RXR2:RXR100 RXR65538:RXR65636 RXR131074:RXR131172 RXR196610:RXR196708 RXR262146:RXR262244 RXR327682:RXR327780 RXR393218:RXR393316 RXR458754:RXR458852 RXR524290:RXR524388 RXR589826:RXR589924 RXR655362:RXR655460 RXR720898:RXR720996 RXR786434:RXR786532 RXR851970:RXR852068 RXR917506:RXR917604 RXR983042:RXR983140 SHN2:SHN100 SHN65538:SHN65636 SHN131074:SHN131172 SHN196610:SHN196708 SHN262146:SHN262244 SHN327682:SHN327780 SHN393218:SHN393316 SHN458754:SHN458852 SHN524290:SHN524388 SHN589826:SHN589924 SHN655362:SHN655460 SHN720898:SHN720996 SHN786434:SHN786532 SHN851970:SHN852068 SHN917506:SHN917604 SHN983042:SHN983140 SRJ2:SRJ100 SRJ65538:SRJ65636 SRJ131074:SRJ131172 SRJ196610:SRJ196708 SRJ262146:SRJ262244 SRJ327682:SRJ327780 SRJ393218:SRJ393316 SRJ458754:SRJ458852 SRJ524290:SRJ524388 SRJ589826:SRJ589924 SRJ655362:SRJ655460 SRJ720898:SRJ720996 SRJ786434:SRJ786532 SRJ851970:SRJ852068 SRJ917506:SRJ917604 SRJ983042:SRJ983140 TBF2:TBF100 TBF65538:TBF65636 TBF131074:TBF131172 TBF196610:TBF196708 TBF262146:TBF262244 TBF327682:TBF327780 TBF393218:TBF393316 TBF458754:TBF458852 TBF524290:TBF524388 TBF589826:TBF589924 TBF655362:TBF655460 TBF720898:TBF720996 TBF786434:TBF786532 TBF851970:TBF852068 TBF917506:TBF917604 TBF983042:TBF983140 TLB2:TLB100 TLB65538:TLB65636 TLB131074:TLB131172 TLB196610:TLB196708 TLB262146:TLB262244 TLB327682:TLB327780 TLB393218:TLB393316 TLB458754:TLB458852 TLB524290:TLB524388 TLB589826:TLB589924 TLB655362:TLB655460 TLB720898:TLB720996 TLB786434:TLB786532 TLB851970:TLB852068 TLB917506:TLB917604 TLB983042:TLB983140 TUX2:TUX100 TUX65538:TUX65636 TUX131074:TUX131172 TUX196610:TUX196708 TUX262146:TUX262244 TUX327682:TUX327780 TUX393218:TUX393316 TUX458754:TUX458852 TUX524290:TUX524388 TUX589826:TUX589924 TUX655362:TUX655460 TUX720898:TUX720996 TUX786434:TUX786532 TUX851970:TUX852068 TUX917506:TUX917604 TUX983042:TUX983140 UET2:UET100 UET65538:UET65636 UET131074:UET131172 UET196610:UET196708 UET262146:UET262244 UET327682:UET327780 UET393218:UET393316 UET458754:UET458852 UET524290:UET524388 UET589826:UET589924 UET655362:UET655460 UET720898:UET720996 UET786434:UET786532 UET851970:UET852068 UET917506:UET917604 UET983042:UET983140 UOP2:UOP100 UOP65538:UOP65636 UOP131074:UOP131172 UOP196610:UOP196708 UOP262146:UOP262244 UOP327682:UOP327780 UOP393218:UOP393316 UOP458754:UOP458852 UOP524290:UOP524388 UOP589826:UOP589924 UOP655362:UOP655460 UOP720898:UOP720996 UOP786434:UOP786532 UOP851970:UOP852068 UOP917506:UOP917604 UOP983042:UOP983140 UYL2:UYL100 UYL65538:UYL65636 UYL131074:UYL131172 UYL196610:UYL196708 UYL262146:UYL262244 UYL327682:UYL327780 UYL393218:UYL393316 UYL458754:UYL458852 UYL524290:UYL524388 UYL589826:UYL589924 UYL655362:UYL655460 UYL720898:UYL720996 UYL786434:UYL786532 UYL851970:UYL852068 UYL917506:UYL917604 UYL983042:UYL983140 VIH2:VIH100 VIH65538:VIH65636 VIH131074:VIH131172 VIH196610:VIH196708 VIH262146:VIH262244 VIH327682:VIH327780 VIH393218:VIH393316 VIH458754:VIH458852 VIH524290:VIH524388 VIH589826:VIH589924 VIH655362:VIH655460 VIH720898:VIH720996 VIH786434:VIH786532 VIH851970:VIH852068 VIH917506:VIH917604 VIH983042:VIH983140 VSD2:VSD100 VSD65538:VSD65636 VSD131074:VSD131172 VSD196610:VSD196708 VSD262146:VSD262244 VSD327682:VSD327780 VSD393218:VSD393316 VSD458754:VSD458852 VSD524290:VSD524388 VSD589826:VSD589924 VSD655362:VSD655460 VSD720898:VSD720996 VSD786434:VSD786532 VSD851970:VSD852068 VSD917506:VSD917604 VSD983042:VSD983140 WBZ2:WBZ100 WBZ65538:WBZ65636 WBZ131074:WBZ131172 WBZ196610:WBZ196708 WBZ262146:WBZ262244 WBZ327682:WBZ327780 WBZ393218:WBZ393316 WBZ458754:WBZ458852 WBZ524290:WBZ524388 WBZ589826:WBZ589924 WBZ655362:WBZ655460 WBZ720898:WBZ720996 WBZ786434:WBZ786532 WBZ851970:WBZ852068 WBZ917506:WBZ917604 WBZ983042:WBZ983140 WLV2:WLV100 WLV65538:WLV65636 WLV131074:WLV131172 WLV196610:WLV196708 WLV262146:WLV262244 WLV327682:WLV327780 WLV393218:WLV393316 WLV458754:WLV458852 WLV524290:WLV524388 WLV589826:WLV589924 WLV655362:WLV655460 WLV720898:WLV720996 WLV786434:WLV786532 WLV851970:WLV852068 WLV917506:WLV917604 WLV983042:WLV983140 WVR2:WVR100 WVR65538:WVR65636 WVR131074:WVR131172 WVR196610:WVR196708 WVR262146:WVR262244 WVR327682:WVR327780 WVR393218:WVR393316 WVR458754:WVR458852 WVR524290:WVR524388 WVR589826:WVR589924 WVR655362:WVR655460 WVR720898:WVR720996 WVR786434:WVR786532 WVR851970:WVR852068 WVR917506:WVR917604 WVR983042:WVR983140" xr:uid="{77C61365-7780-45B0-A1BA-1777F94DCAF1}">
      <formula1>$AP$2:$AP$27</formula1>
    </dataValidation>
    <dataValidation type="list" allowBlank="1" showInputMessage="1" showErrorMessage="1" sqref="H2:H1254" xr:uid="{A5EFD81F-D28E-47A8-BD69-19EC13D8FF3B}">
      <formula1>$AL$2:$AL$9</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ADM501:ADO65537 BHA501:BHC65537 CKO501:CKQ65537 DOC501:DOE65537 ERQ501:ERS65537 FVE501:FVG65537 GYS501:GYU65537 ICG501:ICI65537 JFU501:JFW65537 KJI501:KJK65537 LMW501:LMY65537 MQK501:MQM65537 NTY501:NUA65537 OXM501:OXO65537 QBA501:QBC65537 REO501:REQ65537 SIC501:SIE65537 TLQ501:TLS65537 UPE501:UPG65537 VSS501:VSU65537 WWG501:WWI65537 JU501:JW65537 ANI501:ANK65537 BQW501:BQY65537 CUK501:CUM65537 DXY501:DYA65537 FBM501:FBO65537 GFA501:GFC65537 HIO501:HIQ65537 IMC501:IME65537 JPQ501:JPS65537 KTE501:KTG65537 LWS501:LWU65537 NAG501:NAI65537 ODU501:ODW65537 PHI501:PHK65537 QKW501:QKY65537 ROK501:ROM65537 SRY501:SSA65537 TVM501:TVO65537 UZA501:UZC65537 WCO501:WCQ65537 TQ501:TS65537 AXE501:AXG65537 CAS501:CAU65537 DEG501:DEI65537 EHU501:EHW65537 FLI501:FLK65537 GOW501:GOY65537 HSK501:HSM65537 IVY501:IWA65537 JZM501:JZO65537 LDA501:LDC65537 MGO501:MGQ65537 NKC501:NKE65537 ONQ501:ONS65537 PRE501:PRG65537 QUS501:QUU65537 RYG501:RYI65537 TBU501:TBW65537 UFI501:UFK65537 VIW501:VIY65537 WMK501:WMM65537 Y66037:AA131073 ADM66037:ADO131073 BHA66037:BHC131073 CKO66037:CKQ131073 DOC66037:DOE131073 ERQ66037:ERS131073 FVE66037:FVG131073 GYS66037:GYU131073 ICG66037:ICI131073 JFU66037:JFW131073 KJI66037:KJK131073 LMW66037:LMY131073 MQK66037:MQM131073 NTY66037:NUA131073 OXM66037:OXO131073 QBA66037:QBC131073 REO66037:REQ131073 SIC66037:SIE131073 TLQ66037:TLS131073 UPE66037:UPG131073 VSS66037:VSU131073 WWG66037:WWI131073 JU66037:JW131073 ANI66037:ANK131073 BQW66037:BQY131073 CUK66037:CUM131073 DXY66037:DYA131073 FBM66037:FBO131073 GFA66037:GFC131073 HIO66037:HIQ131073 IMC66037:IME131073 JPQ66037:JPS131073 KTE66037:KTG131073 LWS66037:LWU131073 NAG66037:NAI131073 ODU66037:ODW131073 PHI66037:PHK131073 QKW66037:QKY131073 ROK66037:ROM131073 SRY66037:SSA131073 TVM66037:TVO131073 UZA66037:UZC131073 WCO66037:WCQ131073 TQ66037:TS131073 AXE66037:AXG131073 CAS66037:CAU131073 DEG66037:DEI131073 EHU66037:EHW131073 FLI66037:FLK131073 GOW66037:GOY131073 HSK66037:HSM131073 IVY66037:IWA131073 JZM66037:JZO131073 LDA66037:LDC131073 MGO66037:MGQ131073 NKC66037:NKE131073 ONQ66037:ONS131073 PRE66037:PRG131073 QUS66037:QUU131073 RYG66037:RYI131073 TBU66037:TBW131073 UFI66037:UFK131073 VIW66037:VIY131073 WMK66037:WMM131073 Y131573:AA196609 ADM131573:ADO196609 BHA131573:BHC196609 CKO131573:CKQ196609 DOC131573:DOE196609 ERQ131573:ERS196609 FVE131573:FVG196609 GYS131573:GYU196609 ICG131573:ICI196609 JFU131573:JFW196609 KJI131573:KJK196609 LMW131573:LMY196609 MQK131573:MQM196609 NTY131573:NUA196609 OXM131573:OXO196609 QBA131573:QBC196609 REO131573:REQ196609 SIC131573:SIE196609 TLQ131573:TLS196609 UPE131573:UPG196609 VSS131573:VSU196609 WWG131573:WWI196609 JU131573:JW196609 ANI131573:ANK196609 BQW131573:BQY196609 CUK131573:CUM196609 DXY131573:DYA196609 FBM131573:FBO196609 GFA131573:GFC196609 HIO131573:HIQ196609 IMC131573:IME196609 JPQ131573:JPS196609 KTE131573:KTG196609 LWS131573:LWU196609 NAG131573:NAI196609 ODU131573:ODW196609 PHI131573:PHK196609 QKW131573:QKY196609 ROK131573:ROM196609 SRY131573:SSA196609 TVM131573:TVO196609 UZA131573:UZC196609 WCO131573:WCQ196609 TQ131573:TS196609 AXE131573:AXG196609 CAS131573:CAU196609 DEG131573:DEI196609 EHU131573:EHW196609 FLI131573:FLK196609 GOW131573:GOY196609 HSK131573:HSM196609 IVY131573:IWA196609 JZM131573:JZO196609 LDA131573:LDC196609 MGO131573:MGQ196609 NKC131573:NKE196609 ONQ131573:ONS196609 PRE131573:PRG196609 QUS131573:QUU196609 RYG131573:RYI196609 TBU131573:TBW196609 UFI131573:UFK196609 VIW131573:VIY196609 WMK131573:WMM196609 Y197109:AA262145 ADM197109:ADO262145 BHA197109:BHC262145 CKO197109:CKQ262145 DOC197109:DOE262145 ERQ197109:ERS262145 FVE197109:FVG262145 GYS197109:GYU262145 ICG197109:ICI262145 JFU197109:JFW262145 KJI197109:KJK262145 LMW197109:LMY262145 MQK197109:MQM262145 NTY197109:NUA262145 OXM197109:OXO262145 QBA197109:QBC262145 REO197109:REQ262145 SIC197109:SIE262145 TLQ197109:TLS262145 UPE197109:UPG262145 VSS197109:VSU262145 WWG197109:WWI262145 JU197109:JW262145 ANI197109:ANK262145 BQW197109:BQY262145 CUK197109:CUM262145 DXY197109:DYA262145 FBM197109:FBO262145 GFA197109:GFC262145 HIO197109:HIQ262145 IMC197109:IME262145 JPQ197109:JPS262145 KTE197109:KTG262145 LWS197109:LWU262145 NAG197109:NAI262145 ODU197109:ODW262145 PHI197109:PHK262145 QKW197109:QKY262145 ROK197109:ROM262145 SRY197109:SSA262145 TVM197109:TVO262145 UZA197109:UZC262145 WCO197109:WCQ262145 TQ197109:TS262145 AXE197109:AXG262145 CAS197109:CAU262145 DEG197109:DEI262145 EHU197109:EHW262145 FLI197109:FLK262145 GOW197109:GOY262145 HSK197109:HSM262145 IVY197109:IWA262145 JZM197109:JZO262145 LDA197109:LDC262145 MGO197109:MGQ262145 NKC197109:NKE262145 ONQ197109:ONS262145 PRE197109:PRG262145 QUS197109:QUU262145 RYG197109:RYI262145 TBU197109:TBW262145 UFI197109:UFK262145 VIW197109:VIY262145 WMK197109:WMM262145 Y262645:AA327681 ADM262645:ADO327681 BHA262645:BHC327681 CKO262645:CKQ327681 DOC262645:DOE327681 ERQ262645:ERS327681 FVE262645:FVG327681 GYS262645:GYU327681 ICG262645:ICI327681 JFU262645:JFW327681 KJI262645:KJK327681 LMW262645:LMY327681 MQK262645:MQM327681 NTY262645:NUA327681 OXM262645:OXO327681 QBA262645:QBC327681 REO262645:REQ327681 SIC262645:SIE327681 TLQ262645:TLS327681 UPE262645:UPG327681 VSS262645:VSU327681 WWG262645:WWI327681 JU262645:JW327681 ANI262645:ANK327681 BQW262645:BQY327681 CUK262645:CUM327681 DXY262645:DYA327681 FBM262645:FBO327681 GFA262645:GFC327681 HIO262645:HIQ327681 IMC262645:IME327681 JPQ262645:JPS327681 KTE262645:KTG327681 LWS262645:LWU327681 NAG262645:NAI327681 ODU262645:ODW327681 PHI262645:PHK327681 QKW262645:QKY327681 ROK262645:ROM327681 SRY262645:SSA327681 TVM262645:TVO327681 UZA262645:UZC327681 WCO262645:WCQ327681 TQ262645:TS327681 AXE262645:AXG327681 CAS262645:CAU327681 DEG262645:DEI327681 EHU262645:EHW327681 FLI262645:FLK327681 GOW262645:GOY327681 HSK262645:HSM327681 IVY262645:IWA327681 JZM262645:JZO327681 LDA262645:LDC327681 MGO262645:MGQ327681 NKC262645:NKE327681 ONQ262645:ONS327681 PRE262645:PRG327681 QUS262645:QUU327681 RYG262645:RYI327681 TBU262645:TBW327681 UFI262645:UFK327681 VIW262645:VIY327681 WMK262645:WMM327681 Y328181:AA393217 ADM328181:ADO393217 BHA328181:BHC393217 CKO328181:CKQ393217 DOC328181:DOE393217 ERQ328181:ERS393217 FVE328181:FVG393217 GYS328181:GYU393217 ICG328181:ICI393217 JFU328181:JFW393217 KJI328181:KJK393217 LMW328181:LMY393217 MQK328181:MQM393217 NTY328181:NUA393217 OXM328181:OXO393217 QBA328181:QBC393217 REO328181:REQ393217 SIC328181:SIE393217 TLQ328181:TLS393217 UPE328181:UPG393217 VSS328181:VSU393217 WWG328181:WWI393217 JU328181:JW393217 ANI328181:ANK393217 BQW328181:BQY393217 CUK328181:CUM393217 DXY328181:DYA393217 FBM328181:FBO393217 GFA328181:GFC393217 HIO328181:HIQ393217 IMC328181:IME393217 JPQ328181:JPS393217 KTE328181:KTG393217 LWS328181:LWU393217 NAG328181:NAI393217 ODU328181:ODW393217 PHI328181:PHK393217 QKW328181:QKY393217 ROK328181:ROM393217 SRY328181:SSA393217 TVM328181:TVO393217 UZA328181:UZC393217 WCO328181:WCQ393217 TQ328181:TS393217 AXE328181:AXG393217 CAS328181:CAU393217 DEG328181:DEI393217 EHU328181:EHW393217 FLI328181:FLK393217 GOW328181:GOY393217 HSK328181:HSM393217 IVY328181:IWA393217 JZM328181:JZO393217 LDA328181:LDC393217 MGO328181:MGQ393217 NKC328181:NKE393217 ONQ328181:ONS393217 PRE328181:PRG393217 QUS328181:QUU393217 RYG328181:RYI393217 TBU328181:TBW393217 UFI328181:UFK393217 VIW328181:VIY393217 WMK328181:WMM393217 Y393717:AA458753 ADM393717:ADO458753 BHA393717:BHC458753 CKO393717:CKQ458753 DOC393717:DOE458753 ERQ393717:ERS458753 FVE393717:FVG458753 GYS393717:GYU458753 ICG393717:ICI458753 JFU393717:JFW458753 KJI393717:KJK458753 LMW393717:LMY458753 MQK393717:MQM458753 NTY393717:NUA458753 OXM393717:OXO458753 QBA393717:QBC458753 REO393717:REQ458753 SIC393717:SIE458753 TLQ393717:TLS458753 UPE393717:UPG458753 VSS393717:VSU458753 WWG393717:WWI458753 JU393717:JW458753 ANI393717:ANK458753 BQW393717:BQY458753 CUK393717:CUM458753 DXY393717:DYA458753 FBM393717:FBO458753 GFA393717:GFC458753 HIO393717:HIQ458753 IMC393717:IME458753 JPQ393717:JPS458753 KTE393717:KTG458753 LWS393717:LWU458753 NAG393717:NAI458753 ODU393717:ODW458753 PHI393717:PHK458753 QKW393717:QKY458753 ROK393717:ROM458753 SRY393717:SSA458753 TVM393717:TVO458753 UZA393717:UZC458753 WCO393717:WCQ458753 TQ393717:TS458753 AXE393717:AXG458753 CAS393717:CAU458753 DEG393717:DEI458753 EHU393717:EHW458753 FLI393717:FLK458753 GOW393717:GOY458753 HSK393717:HSM458753 IVY393717:IWA458753 JZM393717:JZO458753 LDA393717:LDC458753 MGO393717:MGQ458753 NKC393717:NKE458753 ONQ393717:ONS458753 PRE393717:PRG458753 QUS393717:QUU458753 RYG393717:RYI458753 TBU393717:TBW458753 UFI393717:UFK458753 VIW393717:VIY458753 WMK393717:WMM458753 Y459253:AA524289 ADM459253:ADO524289 BHA459253:BHC524289 CKO459253:CKQ524289 DOC459253:DOE524289 ERQ459253:ERS524289 FVE459253:FVG524289 GYS459253:GYU524289 ICG459253:ICI524289 JFU459253:JFW524289 KJI459253:KJK524289 LMW459253:LMY524289 MQK459253:MQM524289 NTY459253:NUA524289 OXM459253:OXO524289 QBA459253:QBC524289 REO459253:REQ524289 SIC459253:SIE524289 TLQ459253:TLS524289 UPE459253:UPG524289 VSS459253:VSU524289 WWG459253:WWI524289 JU459253:JW524289 ANI459253:ANK524289 BQW459253:BQY524289 CUK459253:CUM524289 DXY459253:DYA524289 FBM459253:FBO524289 GFA459253:GFC524289 HIO459253:HIQ524289 IMC459253:IME524289 JPQ459253:JPS524289 KTE459253:KTG524289 LWS459253:LWU524289 NAG459253:NAI524289 ODU459253:ODW524289 PHI459253:PHK524289 QKW459253:QKY524289 ROK459253:ROM524289 SRY459253:SSA524289 TVM459253:TVO524289 UZA459253:UZC524289 WCO459253:WCQ524289 TQ459253:TS524289 AXE459253:AXG524289 CAS459253:CAU524289 DEG459253:DEI524289 EHU459253:EHW524289 FLI459253:FLK524289 GOW459253:GOY524289 HSK459253:HSM524289 IVY459253:IWA524289 JZM459253:JZO524289 LDA459253:LDC524289 MGO459253:MGQ524289 NKC459253:NKE524289 ONQ459253:ONS524289 PRE459253:PRG524289 QUS459253:QUU524289 RYG459253:RYI524289 TBU459253:TBW524289 UFI459253:UFK524289 VIW459253:VIY524289 WMK459253:WMM524289 Y524789:AA589825 ADM524789:ADO589825 BHA524789:BHC589825 CKO524789:CKQ589825 DOC524789:DOE589825 ERQ524789:ERS589825 FVE524789:FVG589825 GYS524789:GYU589825 ICG524789:ICI589825 JFU524789:JFW589825 KJI524789:KJK589825 LMW524789:LMY589825 MQK524789:MQM589825 NTY524789:NUA589825 OXM524789:OXO589825 QBA524789:QBC589825 REO524789:REQ589825 SIC524789:SIE589825 TLQ524789:TLS589825 UPE524789:UPG589825 VSS524789:VSU589825 WWG524789:WWI589825 JU524789:JW589825 ANI524789:ANK589825 BQW524789:BQY589825 CUK524789:CUM589825 DXY524789:DYA589825 FBM524789:FBO589825 GFA524789:GFC589825 HIO524789:HIQ589825 IMC524789:IME589825 JPQ524789:JPS589825 KTE524789:KTG589825 LWS524789:LWU589825 NAG524789:NAI589825 ODU524789:ODW589825 PHI524789:PHK589825 QKW524789:QKY589825 ROK524789:ROM589825 SRY524789:SSA589825 TVM524789:TVO589825 UZA524789:UZC589825 WCO524789:WCQ589825 TQ524789:TS589825 AXE524789:AXG589825 CAS524789:CAU589825 DEG524789:DEI589825 EHU524789:EHW589825 FLI524789:FLK589825 GOW524789:GOY589825 HSK524789:HSM589825 IVY524789:IWA589825 JZM524789:JZO589825 LDA524789:LDC589825 MGO524789:MGQ589825 NKC524789:NKE589825 ONQ524789:ONS589825 PRE524789:PRG589825 QUS524789:QUU589825 RYG524789:RYI589825 TBU524789:TBW589825 UFI524789:UFK589825 VIW524789:VIY589825 WMK524789:WMM589825 Y590325:AA655361 ADM590325:ADO655361 BHA590325:BHC655361 CKO590325:CKQ655361 DOC590325:DOE655361 ERQ590325:ERS655361 FVE590325:FVG655361 GYS590325:GYU655361 ICG590325:ICI655361 JFU590325:JFW655361 KJI590325:KJK655361 LMW590325:LMY655361 MQK590325:MQM655361 NTY590325:NUA655361 OXM590325:OXO655361 QBA590325:QBC655361 REO590325:REQ655361 SIC590325:SIE655361 TLQ590325:TLS655361 UPE590325:UPG655361 VSS590325:VSU655361 WWG590325:WWI655361 JU590325:JW655361 ANI590325:ANK655361 BQW590325:BQY655361 CUK590325:CUM655361 DXY590325:DYA655361 FBM590325:FBO655361 GFA590325:GFC655361 HIO590325:HIQ655361 IMC590325:IME655361 JPQ590325:JPS655361 KTE590325:KTG655361 LWS590325:LWU655361 NAG590325:NAI655361 ODU590325:ODW655361 PHI590325:PHK655361 QKW590325:QKY655361 ROK590325:ROM655361 SRY590325:SSA655361 TVM590325:TVO655361 UZA590325:UZC655361 WCO590325:WCQ655361 TQ590325:TS655361 AXE590325:AXG655361 CAS590325:CAU655361 DEG590325:DEI655361 EHU590325:EHW655361 FLI590325:FLK655361 GOW590325:GOY655361 HSK590325:HSM655361 IVY590325:IWA655361 JZM590325:JZO655361 LDA590325:LDC655361 MGO590325:MGQ655361 NKC590325:NKE655361 ONQ590325:ONS655361 PRE590325:PRG655361 QUS590325:QUU655361 RYG590325:RYI655361 TBU590325:TBW655361 UFI590325:UFK655361 VIW590325:VIY655361 WMK590325:WMM655361 Y655861:AA720897 ADM655861:ADO720897 BHA655861:BHC720897 CKO655861:CKQ720897 DOC655861:DOE720897 ERQ655861:ERS720897 FVE655861:FVG720897 GYS655861:GYU720897 ICG655861:ICI720897 JFU655861:JFW720897 KJI655861:KJK720897 LMW655861:LMY720897 MQK655861:MQM720897 NTY655861:NUA720897 OXM655861:OXO720897 QBA655861:QBC720897 REO655861:REQ720897 SIC655861:SIE720897 TLQ655861:TLS720897 UPE655861:UPG720897 VSS655861:VSU720897 WWG655861:WWI720897 JU655861:JW720897 ANI655861:ANK720897 BQW655861:BQY720897 CUK655861:CUM720897 DXY655861:DYA720897 FBM655861:FBO720897 GFA655861:GFC720897 HIO655861:HIQ720897 IMC655861:IME720897 JPQ655861:JPS720897 KTE655861:KTG720897 LWS655861:LWU720897 NAG655861:NAI720897 ODU655861:ODW720897 PHI655861:PHK720897 QKW655861:QKY720897 ROK655861:ROM720897 SRY655861:SSA720897 TVM655861:TVO720897 UZA655861:UZC720897 WCO655861:WCQ720897 TQ655861:TS720897 AXE655861:AXG720897 CAS655861:CAU720897 DEG655861:DEI720897 EHU655861:EHW720897 FLI655861:FLK720897 GOW655861:GOY720897 HSK655861:HSM720897 IVY655861:IWA720897 JZM655861:JZO720897 LDA655861:LDC720897 MGO655861:MGQ720897 NKC655861:NKE720897 ONQ655861:ONS720897 PRE655861:PRG720897 QUS655861:QUU720897 RYG655861:RYI720897 TBU655861:TBW720897 UFI655861:UFK720897 VIW655861:VIY720897 WMK655861:WMM720897 Y721397:AA786433 ADM721397:ADO786433 BHA721397:BHC786433 CKO721397:CKQ786433 DOC721397:DOE786433 ERQ721397:ERS786433 FVE721397:FVG786433 GYS721397:GYU786433 ICG721397:ICI786433 JFU721397:JFW786433 KJI721397:KJK786433 LMW721397:LMY786433 MQK721397:MQM786433 NTY721397:NUA786433 OXM721397:OXO786433 QBA721397:QBC786433 REO721397:REQ786433 SIC721397:SIE786433 TLQ721397:TLS786433 UPE721397:UPG786433 VSS721397:VSU786433 WWG721397:WWI786433 JU721397:JW786433 ANI721397:ANK786433 BQW721397:BQY786433 CUK721397:CUM786433 DXY721397:DYA786433 FBM721397:FBO786433 GFA721397:GFC786433 HIO721397:HIQ786433 IMC721397:IME786433 JPQ721397:JPS786433 KTE721397:KTG786433 LWS721397:LWU786433 NAG721397:NAI786433 ODU721397:ODW786433 PHI721397:PHK786433 QKW721397:QKY786433 ROK721397:ROM786433 SRY721397:SSA786433 TVM721397:TVO786433 UZA721397:UZC786433 WCO721397:WCQ786433 TQ721397:TS786433 AXE721397:AXG786433 CAS721397:CAU786433 DEG721397:DEI786433 EHU721397:EHW786433 FLI721397:FLK786433 GOW721397:GOY786433 HSK721397:HSM786433 IVY721397:IWA786433 JZM721397:JZO786433 LDA721397:LDC786433 MGO721397:MGQ786433 NKC721397:NKE786433 ONQ721397:ONS786433 PRE721397:PRG786433 QUS721397:QUU786433 RYG721397:RYI786433 TBU721397:TBW786433 UFI721397:UFK786433 VIW721397:VIY786433 WMK721397:WMM786433 Y786933:AA851969 ADM786933:ADO851969 BHA786933:BHC851969 CKO786933:CKQ851969 DOC786933:DOE851969 ERQ786933:ERS851969 FVE786933:FVG851969 GYS786933:GYU851969 ICG786933:ICI851969 JFU786933:JFW851969 KJI786933:KJK851969 LMW786933:LMY851969 MQK786933:MQM851969 NTY786933:NUA851969 OXM786933:OXO851969 QBA786933:QBC851969 REO786933:REQ851969 SIC786933:SIE851969 TLQ786933:TLS851969 UPE786933:UPG851969 VSS786933:VSU851969 WWG786933:WWI851969 JU786933:JW851969 ANI786933:ANK851969 BQW786933:BQY851969 CUK786933:CUM851969 DXY786933:DYA851969 FBM786933:FBO851969 GFA786933:GFC851969 HIO786933:HIQ851969 IMC786933:IME851969 JPQ786933:JPS851969 KTE786933:KTG851969 LWS786933:LWU851969 NAG786933:NAI851969 ODU786933:ODW851969 PHI786933:PHK851969 QKW786933:QKY851969 ROK786933:ROM851969 SRY786933:SSA851969 TVM786933:TVO851969 UZA786933:UZC851969 WCO786933:WCQ851969 TQ786933:TS851969 AXE786933:AXG851969 CAS786933:CAU851969 DEG786933:DEI851969 EHU786933:EHW851969 FLI786933:FLK851969 GOW786933:GOY851969 HSK786933:HSM851969 IVY786933:IWA851969 JZM786933:JZO851969 LDA786933:LDC851969 MGO786933:MGQ851969 NKC786933:NKE851969 ONQ786933:ONS851969 PRE786933:PRG851969 QUS786933:QUU851969 RYG786933:RYI851969 TBU786933:TBW851969 UFI786933:UFK851969 VIW786933:VIY851969 WMK786933:WMM851969 Y852469:AA917505 ADM852469:ADO917505 BHA852469:BHC917505 CKO852469:CKQ917505 DOC852469:DOE917505 ERQ852469:ERS917505 FVE852469:FVG917505 GYS852469:GYU917505 ICG852469:ICI917505 JFU852469:JFW917505 KJI852469:KJK917505 LMW852469:LMY917505 MQK852469:MQM917505 NTY852469:NUA917505 OXM852469:OXO917505 QBA852469:QBC917505 REO852469:REQ917505 SIC852469:SIE917505 TLQ852469:TLS917505 UPE852469:UPG917505 VSS852469:VSU917505 WWG852469:WWI917505 JU852469:JW917505 ANI852469:ANK917505 BQW852469:BQY917505 CUK852469:CUM917505 DXY852469:DYA917505 FBM852469:FBO917505 GFA852469:GFC917505 HIO852469:HIQ917505 IMC852469:IME917505 JPQ852469:JPS917505 KTE852469:KTG917505 LWS852469:LWU917505 NAG852469:NAI917505 ODU852469:ODW917505 PHI852469:PHK917505 QKW852469:QKY917505 ROK852469:ROM917505 SRY852469:SSA917505 TVM852469:TVO917505 UZA852469:UZC917505 WCO852469:WCQ917505 TQ852469:TS917505 AXE852469:AXG917505 CAS852469:CAU917505 DEG852469:DEI917505 EHU852469:EHW917505 FLI852469:FLK917505 GOW852469:GOY917505 HSK852469:HSM917505 IVY852469:IWA917505 JZM852469:JZO917505 LDA852469:LDC917505 MGO852469:MGQ917505 NKC852469:NKE917505 ONQ852469:ONS917505 PRE852469:PRG917505 QUS852469:QUU917505 RYG852469:RYI917505 TBU852469:TBW917505 UFI852469:UFK917505 VIW852469:VIY917505 WMK852469:WMM917505 Y918005:AA983041 ADM918005:ADO983041 BHA918005:BHC983041 CKO918005:CKQ983041 DOC918005:DOE983041 ERQ918005:ERS983041 FVE918005:FVG983041 GYS918005:GYU983041 ICG918005:ICI983041 JFU918005:JFW983041 KJI918005:KJK983041 LMW918005:LMY983041 MQK918005:MQM983041 NTY918005:NUA983041 OXM918005:OXO983041 QBA918005:QBC983041 REO918005:REQ983041 SIC918005:SIE983041 TLQ918005:TLS983041 UPE918005:UPG983041 VSS918005:VSU983041 WWG918005:WWI983041 JU918005:JW983041 ANI918005:ANK983041 BQW918005:BQY983041 CUK918005:CUM983041 DXY918005:DYA983041 FBM918005:FBO983041 GFA918005:GFC983041 HIO918005:HIQ983041 IMC918005:IME983041 JPQ918005:JPS983041 KTE918005:KTG983041 LWS918005:LWU983041 NAG918005:NAI983041 ODU918005:ODW983041 PHI918005:PHK983041 QKW918005:QKY983041 ROK918005:ROM983041 SRY918005:SSA983041 TVM918005:TVO983041 UZA918005:UZC983041 WCO918005:WCQ983041 TQ918005:TS983041 AXE918005:AXG983041 CAS918005:CAU983041 DEG918005:DEI983041 EHU918005:EHW983041 FLI918005:FLK983041 GOW918005:GOY983041 HSK918005:HSM983041 IVY918005:IWA983041 JZM918005:JZO983041 LDA918005:LDC983041 MGO918005:MGQ983041 NKC918005:NKE983041 ONQ918005:ONS983041 PRE918005:PRG983041 QUS918005:QUU983041 RYG918005:RYI983041 TBU918005:TBW983041 UFI918005:UFK983041 VIW918005:VIY983041 WMK918005:WMM983041 Y983541:AA1048576 ADM983541:ADO1048576 BHA983541:BHC1048576 CKO983541:CKQ1048576 DOC983541:DOE1048576 ERQ983541:ERS1048576 FVE983541:FVG1048576 GYS983541:GYU1048576 ICG983541:ICI1048576 JFU983541:JFW1048576 KJI983541:KJK1048576 LMW983541:LMY1048576 MQK983541:MQM1048576 NTY983541:NUA1048576 OXM983541:OXO1048576 QBA983541:QBC1048576 REO983541:REQ1048576 SIC983541:SIE1048576 TLQ983541:TLS1048576 UPE983541:UPG1048576 VSS983541:VSU1048576 WWG983541:WWI1048576 JU983541:JW1048576 ANI983541:ANK1048576 BQW983541:BQY1048576 CUK983541:CUM1048576 DXY983541:DYA1048576 FBM983541:FBO1048576 GFA983541:GFC1048576 HIO983541:HIQ1048576 IMC983541:IME1048576 JPQ983541:JPS1048576 KTE983541:KTG1048576 LWS983541:LWU1048576 NAG983541:NAI1048576 ODU983541:ODW1048576 PHI983541:PHK1048576 QKW983541:QKY1048576 ROK983541:ROM1048576 SRY983541:SSA1048576 TVM983541:TVO1048576 UZA983541:UZC1048576 WCO983541:WCQ1048576 TQ983541:TS1048576 AXE983541:AXG1048576 CAS983541:CAU1048576 DEG983541:DEI1048576 EHU983541:EHW1048576 FLI983541:FLK1048576 GOW983541:GOY1048576 HSK983541:HSM1048576 IVY983541:IWA1048576 JZM983541:JZO1048576 LDA983541:LDC1048576 MGO983541:MGQ1048576 NKC983541:NKE1048576 ONQ983541:ONS1048576 PRE983541:PRG1048576 QUS983541:QUU1048576 RYG983541:RYI1048576 TBU983541:TBW1048576 UFI983541:UFK1048576 VIW983541:VIY1048576 WMK983541:WMM1048576" xr:uid="{CD0A2657-96C1-49C2-873A-887110A62B5F}">
      <formula1>$AV$2:$AV$10</formula1>
    </dataValidation>
    <dataValidation type="list" allowBlank="1" showInputMessage="1" showErrorMessage="1" sqref="X1:X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WWF1:WWF1048576" xr:uid="{2C7A7510-2FA7-4D0A-8A16-03577DF855E1}">
      <formula1>$AT$2:$AT$3</formula1>
    </dataValidation>
    <dataValidation type="list" allowBlank="1" showInputMessage="1" showErrorMessage="1" sqref="I1:I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WVQ1:WVQ1048576" xr:uid="{565CA01C-9AFB-40CF-95C9-46481BBE25B3}">
      <formula1>$AN$5:$AN$6</formula1>
    </dataValidation>
    <dataValidation type="list" allowBlank="1" showInputMessage="1" showErrorMessage="1" sqref="G1:G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WVO1:WVO1048576" xr:uid="{CF9501CF-1C51-4675-AFF4-5BD8BBA1F765}">
      <formula1>$AJ$2:$AJ$4</formula1>
    </dataValidation>
    <dataValidation type="list" allowBlank="1" showInputMessage="1" showErrorMessage="1" sqref="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A66037:A131073 A131573:A196609 A197109:A262145 A262645:A327681 A328181:A393217 A393717:A458753 A459253:A524289 A524789:A589825 A590325:A655361 A655861:A720897 A721397:A786433 A786933:A851969 A852469:A917505 A918005:A983041 A983541:A1048576 IU11:IU21 IU65547:IU65557 IU131083:IU131093 IU196619:IU196629 IU262155:IU262165 IU327691:IU327701 IU393227:IU393237 IU458763:IU458773 IU524299:IU524309 IU589835:IU589845 IU655371:IU655381 IU720907:IU720917 IU786443:IU786453 IU851979:IU851989 IU917515:IU917525 IU983051:IU983061 IW501:IW65537 IW66037:IW131073 IW131573:IW196609 IW197109:IW262145 IW262645:IW327681 IW328181:IW393217 IW393717:IW458753 IW459253:IW524289 IW524789:IW589825 IW590325:IW655361 IW655861:IW720897 IW721397:IW786433 IW786933:IW851969 IW852469:IW917505 IW918005:IW983041 IW983541:IW1048576 SQ11:SQ21 SQ65547:SQ65557 SQ131083:SQ131093 SQ196619:SQ196629 SQ262155:SQ262165 SQ327691:SQ327701 SQ393227:SQ393237 SQ458763:SQ458773 SQ524299:SQ524309 SQ589835:SQ589845 SQ655371:SQ655381 SQ720907:SQ720917 SQ786443:SQ786453 SQ851979:SQ851989 SQ917515:SQ917525 SQ983051:SQ983061 SS501:SS65537 SS66037:SS131073 SS131573:SS196609 SS197109:SS262145 SS262645:SS327681 SS328181:SS393217 SS393717:SS458753 SS459253:SS524289 SS524789:SS589825 SS590325:SS655361 SS655861:SS720897 SS721397:SS786433 SS786933:SS851969 SS852469:SS917505 SS918005:SS983041 SS983541:SS1048576 ACM11:ACM21 ACM65547:ACM65557 ACM131083:ACM131093 ACM196619:ACM196629 ACM262155:ACM262165 ACM327691:ACM327701 ACM393227:ACM393237 ACM458763:ACM458773 ACM524299:ACM524309 ACM589835:ACM589845 ACM655371:ACM655381 ACM720907:ACM720917 ACM786443:ACM786453 ACM851979:ACM851989 ACM917515:ACM917525 ACM983051:ACM983061 ACO501:ACO65537 ACO66037:ACO131073 ACO131573:ACO196609 ACO197109:ACO262145 ACO262645:ACO327681 ACO328181:ACO393217 ACO393717:ACO458753 ACO459253:ACO524289 ACO524789:ACO589825 ACO590325:ACO655361 ACO655861:ACO720897 ACO721397:ACO786433 ACO786933:ACO851969 ACO852469:ACO917505 ACO918005:ACO983041 ACO983541:ACO1048576 AMI11:AMI21 AMI65547:AMI65557 AMI131083:AMI131093 AMI196619:AMI196629 AMI262155:AMI262165 AMI327691:AMI327701 AMI393227:AMI393237 AMI458763:AMI458773 AMI524299:AMI524309 AMI589835:AMI589845 AMI655371:AMI655381 AMI720907:AMI720917 AMI786443:AMI786453 AMI851979:AMI851989 AMI917515:AMI917525 AMI983051:AMI983061 AMK501:AMK65537 AMK66037:AMK131073 AMK131573:AMK196609 AMK197109:AMK262145 AMK262645:AMK327681 AMK328181:AMK393217 AMK393717:AMK458753 AMK459253:AMK524289 AMK524789:AMK589825 AMK590325:AMK655361 AMK655861:AMK720897 AMK721397:AMK786433 AMK786933:AMK851969 AMK852469:AMK917505 AMK918005:AMK983041 AMK983541:AMK1048576 AWE11:AWE21 AWE65547:AWE65557 AWE131083:AWE131093 AWE196619:AWE196629 AWE262155:AWE262165 AWE327691:AWE327701 AWE393227:AWE393237 AWE458763:AWE458773 AWE524299:AWE524309 AWE589835:AWE589845 AWE655371:AWE655381 AWE720907:AWE720917 AWE786443:AWE786453 AWE851979:AWE851989 AWE917515:AWE917525 AWE983051:AWE983061 AWG501:AWG65537 AWG66037:AWG131073 AWG131573:AWG196609 AWG197109:AWG262145 AWG262645:AWG327681 AWG328181:AWG393217 AWG393717:AWG458753 AWG459253:AWG524289 AWG524789:AWG589825 AWG590325:AWG655361 AWG655861:AWG720897 AWG721397:AWG786433 AWG786933:AWG851969 AWG852469:AWG917505 AWG918005:AWG983041 AWG983541:AWG1048576 BGA11:BGA21 BGA65547:BGA65557 BGA131083:BGA131093 BGA196619:BGA196629 BGA262155:BGA262165 BGA327691:BGA327701 BGA393227:BGA393237 BGA458763:BGA458773 BGA524299:BGA524309 BGA589835:BGA589845 BGA655371:BGA655381 BGA720907:BGA720917 BGA786443:BGA786453 BGA851979:BGA851989 BGA917515:BGA917525 BGA983051:BGA983061 BGC501:BGC65537 BGC66037:BGC131073 BGC131573:BGC196609 BGC197109:BGC262145 BGC262645:BGC327681 BGC328181:BGC393217 BGC393717:BGC458753 BGC459253:BGC524289 BGC524789:BGC589825 BGC590325:BGC655361 BGC655861:BGC720897 BGC721397:BGC786433 BGC786933:BGC851969 BGC852469:BGC917505 BGC918005:BGC983041 BGC983541:BGC1048576 BPW11:BPW21 BPW65547:BPW65557 BPW131083:BPW131093 BPW196619:BPW196629 BPW262155:BPW262165 BPW327691:BPW327701 BPW393227:BPW393237 BPW458763:BPW458773 BPW524299:BPW524309 BPW589835:BPW589845 BPW655371:BPW655381 BPW720907:BPW720917 BPW786443:BPW786453 BPW851979:BPW851989 BPW917515:BPW917525 BPW983051:BPW983061 BPY501:BPY65537 BPY66037:BPY131073 BPY131573:BPY196609 BPY197109:BPY262145 BPY262645:BPY327681 BPY328181:BPY393217 BPY393717:BPY458753 BPY459253:BPY524289 BPY524789:BPY589825 BPY590325:BPY655361 BPY655861:BPY720897 BPY721397:BPY786433 BPY786933:BPY851969 BPY852469:BPY917505 BPY918005:BPY983041 BPY983541:BPY1048576 BZS11:BZS21 BZS65547:BZS65557 BZS131083:BZS131093 BZS196619:BZS196629 BZS262155:BZS262165 BZS327691:BZS327701 BZS393227:BZS393237 BZS458763:BZS458773 BZS524299:BZS524309 BZS589835:BZS589845 BZS655371:BZS655381 BZS720907:BZS720917 BZS786443:BZS786453 BZS851979:BZS851989 BZS917515:BZS917525 BZS983051:BZS983061 BZU501:BZU65537 BZU66037:BZU131073 BZU131573:BZU196609 BZU197109:BZU262145 BZU262645:BZU327681 BZU328181:BZU393217 BZU393717:BZU458753 BZU459253:BZU524289 BZU524789:BZU589825 BZU590325:BZU655361 BZU655861:BZU720897 BZU721397:BZU786433 BZU786933:BZU851969 BZU852469:BZU917505 BZU918005:BZU983041 BZU983541:BZU1048576 CJO11:CJO21 CJO65547:CJO65557 CJO131083:CJO131093 CJO196619:CJO196629 CJO262155:CJO262165 CJO327691:CJO327701 CJO393227:CJO393237 CJO458763:CJO458773 CJO524299:CJO524309 CJO589835:CJO589845 CJO655371:CJO655381 CJO720907:CJO720917 CJO786443:CJO786453 CJO851979:CJO851989 CJO917515:CJO917525 CJO983051:CJO983061 CJQ501:CJQ65537 CJQ66037:CJQ131073 CJQ131573:CJQ196609 CJQ197109:CJQ262145 CJQ262645:CJQ327681 CJQ328181:CJQ393217 CJQ393717:CJQ458753 CJQ459253:CJQ524289 CJQ524789:CJQ589825 CJQ590325:CJQ655361 CJQ655861:CJQ720897 CJQ721397:CJQ786433 CJQ786933:CJQ851969 CJQ852469:CJQ917505 CJQ918005:CJQ983041 CJQ983541:CJQ1048576 CTK11:CTK21 CTK65547:CTK65557 CTK131083:CTK131093 CTK196619:CTK196629 CTK262155:CTK262165 CTK327691:CTK327701 CTK393227:CTK393237 CTK458763:CTK458773 CTK524299:CTK524309 CTK589835:CTK589845 CTK655371:CTK655381 CTK720907:CTK720917 CTK786443:CTK786453 CTK851979:CTK851989 CTK917515:CTK917525 CTK983051:CTK983061 CTM501:CTM65537 CTM66037:CTM131073 CTM131573:CTM196609 CTM197109:CTM262145 CTM262645:CTM327681 CTM328181:CTM393217 CTM393717:CTM458753 CTM459253:CTM524289 CTM524789:CTM589825 CTM590325:CTM655361 CTM655861:CTM720897 CTM721397:CTM786433 CTM786933:CTM851969 CTM852469:CTM917505 CTM918005:CTM983041 CTM983541:CTM1048576 DDG11:DDG21 DDG65547:DDG65557 DDG131083:DDG131093 DDG196619:DDG196629 DDG262155:DDG262165 DDG327691:DDG327701 DDG393227:DDG393237 DDG458763:DDG458773 DDG524299:DDG524309 DDG589835:DDG589845 DDG655371:DDG655381 DDG720907:DDG720917 DDG786443:DDG786453 DDG851979:DDG851989 DDG917515:DDG917525 DDG983051:DDG983061 DDI501:DDI65537 DDI66037:DDI131073 DDI131573:DDI196609 DDI197109:DDI262145 DDI262645:DDI327681 DDI328181:DDI393217 DDI393717:DDI458753 DDI459253:DDI524289 DDI524789:DDI589825 DDI590325:DDI655361 DDI655861:DDI720897 DDI721397:DDI786433 DDI786933:DDI851969 DDI852469:DDI917505 DDI918005:DDI983041 DDI983541:DDI1048576 DNC11:DNC21 DNC65547:DNC65557 DNC131083:DNC131093 DNC196619:DNC196629 DNC262155:DNC262165 DNC327691:DNC327701 DNC393227:DNC393237 DNC458763:DNC458773 DNC524299:DNC524309 DNC589835:DNC589845 DNC655371:DNC655381 DNC720907:DNC720917 DNC786443:DNC786453 DNC851979:DNC851989 DNC917515:DNC917525 DNC983051:DNC983061 DNE501:DNE65537 DNE66037:DNE131073 DNE131573:DNE196609 DNE197109:DNE262145 DNE262645:DNE327681 DNE328181:DNE393217 DNE393717:DNE458753 DNE459253:DNE524289 DNE524789:DNE589825 DNE590325:DNE655361 DNE655861:DNE720897 DNE721397:DNE786433 DNE786933:DNE851969 DNE852469:DNE917505 DNE918005:DNE983041 DNE983541:DNE1048576 DWY11:DWY21 DWY65547:DWY65557 DWY131083:DWY131093 DWY196619:DWY196629 DWY262155:DWY262165 DWY327691:DWY327701 DWY393227:DWY393237 DWY458763:DWY458773 DWY524299:DWY524309 DWY589835:DWY589845 DWY655371:DWY655381 DWY720907:DWY720917 DWY786443:DWY786453 DWY851979:DWY851989 DWY917515:DWY917525 DWY983051:DWY983061 DXA501:DXA65537 DXA66037:DXA131073 DXA131573:DXA196609 DXA197109:DXA262145 DXA262645:DXA327681 DXA328181:DXA393217 DXA393717:DXA458753 DXA459253:DXA524289 DXA524789:DXA589825 DXA590325:DXA655361 DXA655861:DXA720897 DXA721397:DXA786433 DXA786933:DXA851969 DXA852469:DXA917505 DXA918005:DXA983041 DXA983541:DXA1048576 EGU11:EGU21 EGU65547:EGU65557 EGU131083:EGU131093 EGU196619:EGU196629 EGU262155:EGU262165 EGU327691:EGU327701 EGU393227:EGU393237 EGU458763:EGU458773 EGU524299:EGU524309 EGU589835:EGU589845 EGU655371:EGU655381 EGU720907:EGU720917 EGU786443:EGU786453 EGU851979:EGU851989 EGU917515:EGU917525 EGU983051:EGU983061 EGW501:EGW65537 EGW66037:EGW131073 EGW131573:EGW196609 EGW197109:EGW262145 EGW262645:EGW327681 EGW328181:EGW393217 EGW393717:EGW458753 EGW459253:EGW524289 EGW524789:EGW589825 EGW590325:EGW655361 EGW655861:EGW720897 EGW721397:EGW786433 EGW786933:EGW851969 EGW852469:EGW917505 EGW918005:EGW983041 EGW983541:EGW1048576 EQQ11:EQQ21 EQQ65547:EQQ65557 EQQ131083:EQQ131093 EQQ196619:EQQ196629 EQQ262155:EQQ262165 EQQ327691:EQQ327701 EQQ393227:EQQ393237 EQQ458763:EQQ458773 EQQ524299:EQQ524309 EQQ589835:EQQ589845 EQQ655371:EQQ655381 EQQ720907:EQQ720917 EQQ786443:EQQ786453 EQQ851979:EQQ851989 EQQ917515:EQQ917525 EQQ983051:EQQ983061 EQS501:EQS65537 EQS66037:EQS131073 EQS131573:EQS196609 EQS197109:EQS262145 EQS262645:EQS327681 EQS328181:EQS393217 EQS393717:EQS458753 EQS459253:EQS524289 EQS524789:EQS589825 EQS590325:EQS655361 EQS655861:EQS720897 EQS721397:EQS786433 EQS786933:EQS851969 EQS852469:EQS917505 EQS918005:EQS983041 EQS983541:EQS1048576 FAM11:FAM21 FAM65547:FAM65557 FAM131083:FAM131093 FAM196619:FAM196629 FAM262155:FAM262165 FAM327691:FAM327701 FAM393227:FAM393237 FAM458763:FAM458773 FAM524299:FAM524309 FAM589835:FAM589845 FAM655371:FAM655381 FAM720907:FAM720917 FAM786443:FAM786453 FAM851979:FAM851989 FAM917515:FAM917525 FAM983051:FAM983061 FAO501:FAO65537 FAO66037:FAO131073 FAO131573:FAO196609 FAO197109:FAO262145 FAO262645:FAO327681 FAO328181:FAO393217 FAO393717:FAO458753 FAO459253:FAO524289 FAO524789:FAO589825 FAO590325:FAO655361 FAO655861:FAO720897 FAO721397:FAO786433 FAO786933:FAO851969 FAO852469:FAO917505 FAO918005:FAO983041 FAO983541:FAO1048576 FKI11:FKI21 FKI65547:FKI65557 FKI131083:FKI131093 FKI196619:FKI196629 FKI262155:FKI262165 FKI327691:FKI327701 FKI393227:FKI393237 FKI458763:FKI458773 FKI524299:FKI524309 FKI589835:FKI589845 FKI655371:FKI655381 FKI720907:FKI720917 FKI786443:FKI786453 FKI851979:FKI851989 FKI917515:FKI917525 FKI983051:FKI983061 FKK501:FKK65537 FKK66037:FKK131073 FKK131573:FKK196609 FKK197109:FKK262145 FKK262645:FKK327681 FKK328181:FKK393217 FKK393717:FKK458753 FKK459253:FKK524289 FKK524789:FKK589825 FKK590325:FKK655361 FKK655861:FKK720897 FKK721397:FKK786433 FKK786933:FKK851969 FKK852469:FKK917505 FKK918005:FKK983041 FKK983541:FKK1048576 FUE11:FUE21 FUE65547:FUE65557 FUE131083:FUE131093 FUE196619:FUE196629 FUE262155:FUE262165 FUE327691:FUE327701 FUE393227:FUE393237 FUE458763:FUE458773 FUE524299:FUE524309 FUE589835:FUE589845 FUE655371:FUE655381 FUE720907:FUE720917 FUE786443:FUE786453 FUE851979:FUE851989 FUE917515:FUE917525 FUE983051:FUE983061 FUG501:FUG65537 FUG66037:FUG131073 FUG131573:FUG196609 FUG197109:FUG262145 FUG262645:FUG327681 FUG328181:FUG393217 FUG393717:FUG458753 FUG459253:FUG524289 FUG524789:FUG589825 FUG590325:FUG655361 FUG655861:FUG720897 FUG721397:FUG786433 FUG786933:FUG851969 FUG852469:FUG917505 FUG918005:FUG983041 FUG983541:FUG1048576 GEA11:GEA21 GEA65547:GEA65557 GEA131083:GEA131093 GEA196619:GEA196629 GEA262155:GEA262165 GEA327691:GEA327701 GEA393227:GEA393237 GEA458763:GEA458773 GEA524299:GEA524309 GEA589835:GEA589845 GEA655371:GEA655381 GEA720907:GEA720917 GEA786443:GEA786453 GEA851979:GEA851989 GEA917515:GEA917525 GEA983051:GEA983061 GEC501:GEC65537 GEC66037:GEC131073 GEC131573:GEC196609 GEC197109:GEC262145 GEC262645:GEC327681 GEC328181:GEC393217 GEC393717:GEC458753 GEC459253:GEC524289 GEC524789:GEC589825 GEC590325:GEC655361 GEC655861:GEC720897 GEC721397:GEC786433 GEC786933:GEC851969 GEC852469:GEC917505 GEC918005:GEC983041 GEC983541:GEC1048576 GNW11:GNW21 GNW65547:GNW65557 GNW131083:GNW131093 GNW196619:GNW196629 GNW262155:GNW262165 GNW327691:GNW327701 GNW393227:GNW393237 GNW458763:GNW458773 GNW524299:GNW524309 GNW589835:GNW589845 GNW655371:GNW655381 GNW720907:GNW720917 GNW786443:GNW786453 GNW851979:GNW851989 GNW917515:GNW917525 GNW983051:GNW983061 GNY501:GNY65537 GNY66037:GNY131073 GNY131573:GNY196609 GNY197109:GNY262145 GNY262645:GNY327681 GNY328181:GNY393217 GNY393717:GNY458753 GNY459253:GNY524289 GNY524789:GNY589825 GNY590325:GNY655361 GNY655861:GNY720897 GNY721397:GNY786433 GNY786933:GNY851969 GNY852469:GNY917505 GNY918005:GNY983041 GNY983541:GNY1048576 GXS11:GXS21 GXS65547:GXS65557 GXS131083:GXS131093 GXS196619:GXS196629 GXS262155:GXS262165 GXS327691:GXS327701 GXS393227:GXS393237 GXS458763:GXS458773 GXS524299:GXS524309 GXS589835:GXS589845 GXS655371:GXS655381 GXS720907:GXS720917 GXS786443:GXS786453 GXS851979:GXS851989 GXS917515:GXS917525 GXS983051:GXS983061 GXU501:GXU65537 GXU66037:GXU131073 GXU131573:GXU196609 GXU197109:GXU262145 GXU262645:GXU327681 GXU328181:GXU393217 GXU393717:GXU458753 GXU459253:GXU524289 GXU524789:GXU589825 GXU590325:GXU655361 GXU655861:GXU720897 GXU721397:GXU786433 GXU786933:GXU851969 GXU852469:GXU917505 GXU918005:GXU983041 GXU983541:GXU1048576 HHO11:HHO21 HHO65547:HHO65557 HHO131083:HHO131093 HHO196619:HHO196629 HHO262155:HHO262165 HHO327691:HHO327701 HHO393227:HHO393237 HHO458763:HHO458773 HHO524299:HHO524309 HHO589835:HHO589845 HHO655371:HHO655381 HHO720907:HHO720917 HHO786443:HHO786453 HHO851979:HHO851989 HHO917515:HHO917525 HHO983051:HHO983061 HHQ501:HHQ65537 HHQ66037:HHQ131073 HHQ131573:HHQ196609 HHQ197109:HHQ262145 HHQ262645:HHQ327681 HHQ328181:HHQ393217 HHQ393717:HHQ458753 HHQ459253:HHQ524289 HHQ524789:HHQ589825 HHQ590325:HHQ655361 HHQ655861:HHQ720897 HHQ721397:HHQ786433 HHQ786933:HHQ851969 HHQ852469:HHQ917505 HHQ918005:HHQ983041 HHQ983541:HHQ1048576 HRK11:HRK21 HRK65547:HRK65557 HRK131083:HRK131093 HRK196619:HRK196629 HRK262155:HRK262165 HRK327691:HRK327701 HRK393227:HRK393237 HRK458763:HRK458773 HRK524299:HRK524309 HRK589835:HRK589845 HRK655371:HRK655381 HRK720907:HRK720917 HRK786443:HRK786453 HRK851979:HRK851989 HRK917515:HRK917525 HRK983051:HRK983061 HRM501:HRM65537 HRM66037:HRM131073 HRM131573:HRM196609 HRM197109:HRM262145 HRM262645:HRM327681 HRM328181:HRM393217 HRM393717:HRM458753 HRM459253:HRM524289 HRM524789:HRM589825 HRM590325:HRM655361 HRM655861:HRM720897 HRM721397:HRM786433 HRM786933:HRM851969 HRM852469:HRM917505 HRM918005:HRM983041 HRM983541:HRM1048576 IBG11:IBG21 IBG65547:IBG65557 IBG131083:IBG131093 IBG196619:IBG196629 IBG262155:IBG262165 IBG327691:IBG327701 IBG393227:IBG393237 IBG458763:IBG458773 IBG524299:IBG524309 IBG589835:IBG589845 IBG655371:IBG655381 IBG720907:IBG720917 IBG786443:IBG786453 IBG851979:IBG851989 IBG917515:IBG917525 IBG983051:IBG983061 IBI501:IBI65537 IBI66037:IBI131073 IBI131573:IBI196609 IBI197109:IBI262145 IBI262645:IBI327681 IBI328181:IBI393217 IBI393717:IBI458753 IBI459253:IBI524289 IBI524789:IBI589825 IBI590325:IBI655361 IBI655861:IBI720897 IBI721397:IBI786433 IBI786933:IBI851969 IBI852469:IBI917505 IBI918005:IBI983041 IBI983541:IBI1048576 ILC11:ILC21 ILC65547:ILC65557 ILC131083:ILC131093 ILC196619:ILC196629 ILC262155:ILC262165 ILC327691:ILC327701 ILC393227:ILC393237 ILC458763:ILC458773 ILC524299:ILC524309 ILC589835:ILC589845 ILC655371:ILC655381 ILC720907:ILC720917 ILC786443:ILC786453 ILC851979:ILC851989 ILC917515:ILC917525 ILC983051:ILC983061 ILE501:ILE65537 ILE66037:ILE131073 ILE131573:ILE196609 ILE197109:ILE262145 ILE262645:ILE327681 ILE328181:ILE393217 ILE393717:ILE458753 ILE459253:ILE524289 ILE524789:ILE589825 ILE590325:ILE655361 ILE655861:ILE720897 ILE721397:ILE786433 ILE786933:ILE851969 ILE852469:ILE917505 ILE918005:ILE983041 ILE983541:ILE1048576 IUY11:IUY21 IUY65547:IUY65557 IUY131083:IUY131093 IUY196619:IUY196629 IUY262155:IUY262165 IUY327691:IUY327701 IUY393227:IUY393237 IUY458763:IUY458773 IUY524299:IUY524309 IUY589835:IUY589845 IUY655371:IUY655381 IUY720907:IUY720917 IUY786443:IUY786453 IUY851979:IUY851989 IUY917515:IUY917525 IUY983051:IUY983061 IVA501:IVA65537 IVA66037:IVA131073 IVA131573:IVA196609 IVA197109:IVA262145 IVA262645:IVA327681 IVA328181:IVA393217 IVA393717:IVA458753 IVA459253:IVA524289 IVA524789:IVA589825 IVA590325:IVA655361 IVA655861:IVA720897 IVA721397:IVA786433 IVA786933:IVA851969 IVA852469:IVA917505 IVA918005:IVA983041 IVA983541:IVA1048576 JEU11:JEU21 JEU65547:JEU65557 JEU131083:JEU131093 JEU196619:JEU196629 JEU262155:JEU262165 JEU327691:JEU327701 JEU393227:JEU393237 JEU458763:JEU458773 JEU524299:JEU524309 JEU589835:JEU589845 JEU655371:JEU655381 JEU720907:JEU720917 JEU786443:JEU786453 JEU851979:JEU851989 JEU917515:JEU917525 JEU983051:JEU983061 JEW501:JEW65537 JEW66037:JEW131073 JEW131573:JEW196609 JEW197109:JEW262145 JEW262645:JEW327681 JEW328181:JEW393217 JEW393717:JEW458753 JEW459253:JEW524289 JEW524789:JEW589825 JEW590325:JEW655361 JEW655861:JEW720897 JEW721397:JEW786433 JEW786933:JEW851969 JEW852469:JEW917505 JEW918005:JEW983041 JEW983541:JEW1048576 JOQ11:JOQ21 JOQ65547:JOQ65557 JOQ131083:JOQ131093 JOQ196619:JOQ196629 JOQ262155:JOQ262165 JOQ327691:JOQ327701 JOQ393227:JOQ393237 JOQ458763:JOQ458773 JOQ524299:JOQ524309 JOQ589835:JOQ589845 JOQ655371:JOQ655381 JOQ720907:JOQ720917 JOQ786443:JOQ786453 JOQ851979:JOQ851989 JOQ917515:JOQ917525 JOQ983051:JOQ983061 JOS501:JOS65537 JOS66037:JOS131073 JOS131573:JOS196609 JOS197109:JOS262145 JOS262645:JOS327681 JOS328181:JOS393217 JOS393717:JOS458753 JOS459253:JOS524289 JOS524789:JOS589825 JOS590325:JOS655361 JOS655861:JOS720897 JOS721397:JOS786433 JOS786933:JOS851969 JOS852469:JOS917505 JOS918005:JOS983041 JOS983541:JOS1048576 JYM11:JYM21 JYM65547:JYM65557 JYM131083:JYM131093 JYM196619:JYM196629 JYM262155:JYM262165 JYM327691:JYM327701 JYM393227:JYM393237 JYM458763:JYM458773 JYM524299:JYM524309 JYM589835:JYM589845 JYM655371:JYM655381 JYM720907:JYM720917 JYM786443:JYM786453 JYM851979:JYM851989 JYM917515:JYM917525 JYM983051:JYM983061 JYO501:JYO65537 JYO66037:JYO131073 JYO131573:JYO196609 JYO197109:JYO262145 JYO262645:JYO327681 JYO328181:JYO393217 JYO393717:JYO458753 JYO459253:JYO524289 JYO524789:JYO589825 JYO590325:JYO655361 JYO655861:JYO720897 JYO721397:JYO786433 JYO786933:JYO851969 JYO852469:JYO917505 JYO918005:JYO983041 JYO983541:JYO1048576 KII11:KII21 KII65547:KII65557 KII131083:KII131093 KII196619:KII196629 KII262155:KII262165 KII327691:KII327701 KII393227:KII393237 KII458763:KII458773 KII524299:KII524309 KII589835:KII589845 KII655371:KII655381 KII720907:KII720917 KII786443:KII786453 KII851979:KII851989 KII917515:KII917525 KII983051:KII983061 KIK501:KIK65537 KIK66037:KIK131073 KIK131573:KIK196609 KIK197109:KIK262145 KIK262645:KIK327681 KIK328181:KIK393217 KIK393717:KIK458753 KIK459253:KIK524289 KIK524789:KIK589825 KIK590325:KIK655361 KIK655861:KIK720897 KIK721397:KIK786433 KIK786933:KIK851969 KIK852469:KIK917505 KIK918005:KIK983041 KIK983541:KIK1048576 KSE11:KSE21 KSE65547:KSE65557 KSE131083:KSE131093 KSE196619:KSE196629 KSE262155:KSE262165 KSE327691:KSE327701 KSE393227:KSE393237 KSE458763:KSE458773 KSE524299:KSE524309 KSE589835:KSE589845 KSE655371:KSE655381 KSE720907:KSE720917 KSE786443:KSE786453 KSE851979:KSE851989 KSE917515:KSE917525 KSE983051:KSE983061 KSG501:KSG65537 KSG66037:KSG131073 KSG131573:KSG196609 KSG197109:KSG262145 KSG262645:KSG327681 KSG328181:KSG393217 KSG393717:KSG458753 KSG459253:KSG524289 KSG524789:KSG589825 KSG590325:KSG655361 KSG655861:KSG720897 KSG721397:KSG786433 KSG786933:KSG851969 KSG852469:KSG917505 KSG918005:KSG983041 KSG983541:KSG1048576 LCA11:LCA21 LCA65547:LCA65557 LCA131083:LCA131093 LCA196619:LCA196629 LCA262155:LCA262165 LCA327691:LCA327701 LCA393227:LCA393237 LCA458763:LCA458773 LCA524299:LCA524309 LCA589835:LCA589845 LCA655371:LCA655381 LCA720907:LCA720917 LCA786443:LCA786453 LCA851979:LCA851989 LCA917515:LCA917525 LCA983051:LCA983061 LCC501:LCC65537 LCC66037:LCC131073 LCC131573:LCC196609 LCC197109:LCC262145 LCC262645:LCC327681 LCC328181:LCC393217 LCC393717:LCC458753 LCC459253:LCC524289 LCC524789:LCC589825 LCC590325:LCC655361 LCC655861:LCC720897 LCC721397:LCC786433 LCC786933:LCC851969 LCC852469:LCC917505 LCC918005:LCC983041 LCC983541:LCC1048576 LLW11:LLW21 LLW65547:LLW65557 LLW131083:LLW131093 LLW196619:LLW196629 LLW262155:LLW262165 LLW327691:LLW327701 LLW393227:LLW393237 LLW458763:LLW458773 LLW524299:LLW524309 LLW589835:LLW589845 LLW655371:LLW655381 LLW720907:LLW720917 LLW786443:LLW786453 LLW851979:LLW851989 LLW917515:LLW917525 LLW983051:LLW983061 LLY501:LLY65537 LLY66037:LLY131073 LLY131573:LLY196609 LLY197109:LLY262145 LLY262645:LLY327681 LLY328181:LLY393217 LLY393717:LLY458753 LLY459253:LLY524289 LLY524789:LLY589825 LLY590325:LLY655361 LLY655861:LLY720897 LLY721397:LLY786433 LLY786933:LLY851969 LLY852469:LLY917505 LLY918005:LLY983041 LLY983541:LLY1048576 LVS11:LVS21 LVS65547:LVS65557 LVS131083:LVS131093 LVS196619:LVS196629 LVS262155:LVS262165 LVS327691:LVS327701 LVS393227:LVS393237 LVS458763:LVS458773 LVS524299:LVS524309 LVS589835:LVS589845 LVS655371:LVS655381 LVS720907:LVS720917 LVS786443:LVS786453 LVS851979:LVS851989 LVS917515:LVS917525 LVS983051:LVS983061 LVU501:LVU65537 LVU66037:LVU131073 LVU131573:LVU196609 LVU197109:LVU262145 LVU262645:LVU327681 LVU328181:LVU393217 LVU393717:LVU458753 LVU459253:LVU524289 LVU524789:LVU589825 LVU590325:LVU655361 LVU655861:LVU720897 LVU721397:LVU786433 LVU786933:LVU851969 LVU852469:LVU917505 LVU918005:LVU983041 LVU983541:LVU1048576 MFO11:MFO21 MFO65547:MFO65557 MFO131083:MFO131093 MFO196619:MFO196629 MFO262155:MFO262165 MFO327691:MFO327701 MFO393227:MFO393237 MFO458763:MFO458773 MFO524299:MFO524309 MFO589835:MFO589845 MFO655371:MFO655381 MFO720907:MFO720917 MFO786443:MFO786453 MFO851979:MFO851989 MFO917515:MFO917525 MFO983051:MFO983061 MFQ501:MFQ65537 MFQ66037:MFQ131073 MFQ131573:MFQ196609 MFQ197109:MFQ262145 MFQ262645:MFQ327681 MFQ328181:MFQ393217 MFQ393717:MFQ458753 MFQ459253:MFQ524289 MFQ524789:MFQ589825 MFQ590325:MFQ655361 MFQ655861:MFQ720897 MFQ721397:MFQ786433 MFQ786933:MFQ851969 MFQ852469:MFQ917505 MFQ918005:MFQ983041 MFQ983541:MFQ1048576 MPK11:MPK21 MPK65547:MPK65557 MPK131083:MPK131093 MPK196619:MPK196629 MPK262155:MPK262165 MPK327691:MPK327701 MPK393227:MPK393237 MPK458763:MPK458773 MPK524299:MPK524309 MPK589835:MPK589845 MPK655371:MPK655381 MPK720907:MPK720917 MPK786443:MPK786453 MPK851979:MPK851989 MPK917515:MPK917525 MPK983051:MPK983061 MPM501:MPM65537 MPM66037:MPM131073 MPM131573:MPM196609 MPM197109:MPM262145 MPM262645:MPM327681 MPM328181:MPM393217 MPM393717:MPM458753 MPM459253:MPM524289 MPM524789:MPM589825 MPM590325:MPM655361 MPM655861:MPM720897 MPM721397:MPM786433 MPM786933:MPM851969 MPM852469:MPM917505 MPM918005:MPM983041 MPM983541:MPM1048576 MZG11:MZG21 MZG65547:MZG65557 MZG131083:MZG131093 MZG196619:MZG196629 MZG262155:MZG262165 MZG327691:MZG327701 MZG393227:MZG393237 MZG458763:MZG458773 MZG524299:MZG524309 MZG589835:MZG589845 MZG655371:MZG655381 MZG720907:MZG720917 MZG786443:MZG786453 MZG851979:MZG851989 MZG917515:MZG917525 MZG983051:MZG983061 MZI501:MZI65537 MZI66037:MZI131073 MZI131573:MZI196609 MZI197109:MZI262145 MZI262645:MZI327681 MZI328181:MZI393217 MZI393717:MZI458753 MZI459253:MZI524289 MZI524789:MZI589825 MZI590325:MZI655361 MZI655861:MZI720897 MZI721397:MZI786433 MZI786933:MZI851969 MZI852469:MZI917505 MZI918005:MZI983041 MZI983541:MZI1048576 NJC11:NJC21 NJC65547:NJC65557 NJC131083:NJC131093 NJC196619:NJC196629 NJC262155:NJC262165 NJC327691:NJC327701 NJC393227:NJC393237 NJC458763:NJC458773 NJC524299:NJC524309 NJC589835:NJC589845 NJC655371:NJC655381 NJC720907:NJC720917 NJC786443:NJC786453 NJC851979:NJC851989 NJC917515:NJC917525 NJC983051:NJC983061 NJE501:NJE65537 NJE66037:NJE131073 NJE131573:NJE196609 NJE197109:NJE262145 NJE262645:NJE327681 NJE328181:NJE393217 NJE393717:NJE458753 NJE459253:NJE524289 NJE524789:NJE589825 NJE590325:NJE655361 NJE655861:NJE720897 NJE721397:NJE786433 NJE786933:NJE851969 NJE852469:NJE917505 NJE918005:NJE983041 NJE983541:NJE1048576 NSY11:NSY21 NSY65547:NSY65557 NSY131083:NSY131093 NSY196619:NSY196629 NSY262155:NSY262165 NSY327691:NSY327701 NSY393227:NSY393237 NSY458763:NSY458773 NSY524299:NSY524309 NSY589835:NSY589845 NSY655371:NSY655381 NSY720907:NSY720917 NSY786443:NSY786453 NSY851979:NSY851989 NSY917515:NSY917525 NSY983051:NSY983061 NTA501:NTA65537 NTA66037:NTA131073 NTA131573:NTA196609 NTA197109:NTA262145 NTA262645:NTA327681 NTA328181:NTA393217 NTA393717:NTA458753 NTA459253:NTA524289 NTA524789:NTA589825 NTA590325:NTA655361 NTA655861:NTA720897 NTA721397:NTA786433 NTA786933:NTA851969 NTA852469:NTA917505 NTA918005:NTA983041 NTA983541:NTA1048576 OCU11:OCU21 OCU65547:OCU65557 OCU131083:OCU131093 OCU196619:OCU196629 OCU262155:OCU262165 OCU327691:OCU327701 OCU393227:OCU393237 OCU458763:OCU458773 OCU524299:OCU524309 OCU589835:OCU589845 OCU655371:OCU655381 OCU720907:OCU720917 OCU786443:OCU786453 OCU851979:OCU851989 OCU917515:OCU917525 OCU983051:OCU983061 OCW501:OCW65537 OCW66037:OCW131073 OCW131573:OCW196609 OCW197109:OCW262145 OCW262645:OCW327681 OCW328181:OCW393217 OCW393717:OCW458753 OCW459253:OCW524289 OCW524789:OCW589825 OCW590325:OCW655361 OCW655861:OCW720897 OCW721397:OCW786433 OCW786933:OCW851969 OCW852469:OCW917505 OCW918005:OCW983041 OCW983541:OCW1048576 OMQ11:OMQ21 OMQ65547:OMQ65557 OMQ131083:OMQ131093 OMQ196619:OMQ196629 OMQ262155:OMQ262165 OMQ327691:OMQ327701 OMQ393227:OMQ393237 OMQ458763:OMQ458773 OMQ524299:OMQ524309 OMQ589835:OMQ589845 OMQ655371:OMQ655381 OMQ720907:OMQ720917 OMQ786443:OMQ786453 OMQ851979:OMQ851989 OMQ917515:OMQ917525 OMQ983051:OMQ983061 OMS501:OMS65537 OMS66037:OMS131073 OMS131573:OMS196609 OMS197109:OMS262145 OMS262645:OMS327681 OMS328181:OMS393217 OMS393717:OMS458753 OMS459253:OMS524289 OMS524789:OMS589825 OMS590325:OMS655361 OMS655861:OMS720897 OMS721397:OMS786433 OMS786933:OMS851969 OMS852469:OMS917505 OMS918005:OMS983041 OMS983541:OMS1048576 OWM11:OWM21 OWM65547:OWM65557 OWM131083:OWM131093 OWM196619:OWM196629 OWM262155:OWM262165 OWM327691:OWM327701 OWM393227:OWM393237 OWM458763:OWM458773 OWM524299:OWM524309 OWM589835:OWM589845 OWM655371:OWM655381 OWM720907:OWM720917 OWM786443:OWM786453 OWM851979:OWM851989 OWM917515:OWM917525 OWM983051:OWM983061 OWO501:OWO65537 OWO66037:OWO131073 OWO131573:OWO196609 OWO197109:OWO262145 OWO262645:OWO327681 OWO328181:OWO393217 OWO393717:OWO458753 OWO459253:OWO524289 OWO524789:OWO589825 OWO590325:OWO655361 OWO655861:OWO720897 OWO721397:OWO786433 OWO786933:OWO851969 OWO852469:OWO917505 OWO918005:OWO983041 OWO983541:OWO1048576 PGI11:PGI21 PGI65547:PGI65557 PGI131083:PGI131093 PGI196619:PGI196629 PGI262155:PGI262165 PGI327691:PGI327701 PGI393227:PGI393237 PGI458763:PGI458773 PGI524299:PGI524309 PGI589835:PGI589845 PGI655371:PGI655381 PGI720907:PGI720917 PGI786443:PGI786453 PGI851979:PGI851989 PGI917515:PGI917525 PGI983051:PGI983061 PGK501:PGK65537 PGK66037:PGK131073 PGK131573:PGK196609 PGK197109:PGK262145 PGK262645:PGK327681 PGK328181:PGK393217 PGK393717:PGK458753 PGK459253:PGK524289 PGK524789:PGK589825 PGK590325:PGK655361 PGK655861:PGK720897 PGK721397:PGK786433 PGK786933:PGK851969 PGK852469:PGK917505 PGK918005:PGK983041 PGK983541:PGK1048576 PQE11:PQE21 PQE65547:PQE65557 PQE131083:PQE131093 PQE196619:PQE196629 PQE262155:PQE262165 PQE327691:PQE327701 PQE393227:PQE393237 PQE458763:PQE458773 PQE524299:PQE524309 PQE589835:PQE589845 PQE655371:PQE655381 PQE720907:PQE720917 PQE786443:PQE786453 PQE851979:PQE851989 PQE917515:PQE917525 PQE983051:PQE983061 PQG501:PQG65537 PQG66037:PQG131073 PQG131573:PQG196609 PQG197109:PQG262145 PQG262645:PQG327681 PQG328181:PQG393217 PQG393717:PQG458753 PQG459253:PQG524289 PQG524789:PQG589825 PQG590325:PQG655361 PQG655861:PQG720897 PQG721397:PQG786433 PQG786933:PQG851969 PQG852469:PQG917505 PQG918005:PQG983041 PQG983541:PQG1048576 QAA11:QAA21 QAA65547:QAA65557 QAA131083:QAA131093 QAA196619:QAA196629 QAA262155:QAA262165 QAA327691:QAA327701 QAA393227:QAA393237 QAA458763:QAA458773 QAA524299:QAA524309 QAA589835:QAA589845 QAA655371:QAA655381 QAA720907:QAA720917 QAA786443:QAA786453 QAA851979:QAA851989 QAA917515:QAA917525 QAA983051:QAA983061 QAC501:QAC65537 QAC66037:QAC131073 QAC131573:QAC196609 QAC197109:QAC262145 QAC262645:QAC327681 QAC328181:QAC393217 QAC393717:QAC458753 QAC459253:QAC524289 QAC524789:QAC589825 QAC590325:QAC655361 QAC655861:QAC720897 QAC721397:QAC786433 QAC786933:QAC851969 QAC852469:QAC917505 QAC918005:QAC983041 QAC983541:QAC1048576 QJW11:QJW21 QJW65547:QJW65557 QJW131083:QJW131093 QJW196619:QJW196629 QJW262155:QJW262165 QJW327691:QJW327701 QJW393227:QJW393237 QJW458763:QJW458773 QJW524299:QJW524309 QJW589835:QJW589845 QJW655371:QJW655381 QJW720907:QJW720917 QJW786443:QJW786453 QJW851979:QJW851989 QJW917515:QJW917525 QJW983051:QJW983061 QJY501:QJY65537 QJY66037:QJY131073 QJY131573:QJY196609 QJY197109:QJY262145 QJY262645:QJY327681 QJY328181:QJY393217 QJY393717:QJY458753 QJY459253:QJY524289 QJY524789:QJY589825 QJY590325:QJY655361 QJY655861:QJY720897 QJY721397:QJY786433 QJY786933:QJY851969 QJY852469:QJY917505 QJY918005:QJY983041 QJY983541:QJY1048576 QTS11:QTS21 QTS65547:QTS65557 QTS131083:QTS131093 QTS196619:QTS196629 QTS262155:QTS262165 QTS327691:QTS327701 QTS393227:QTS393237 QTS458763:QTS458773 QTS524299:QTS524309 QTS589835:QTS589845 QTS655371:QTS655381 QTS720907:QTS720917 QTS786443:QTS786453 QTS851979:QTS851989 QTS917515:QTS917525 QTS983051:QTS983061 QTU501:QTU65537 QTU66037:QTU131073 QTU131573:QTU196609 QTU197109:QTU262145 QTU262645:QTU327681 QTU328181:QTU393217 QTU393717:QTU458753 QTU459253:QTU524289 QTU524789:QTU589825 QTU590325:QTU655361 QTU655861:QTU720897 QTU721397:QTU786433 QTU786933:QTU851969 QTU852469:QTU917505 QTU918005:QTU983041 QTU983541:QTU1048576 RDO11:RDO21 RDO65547:RDO65557 RDO131083:RDO131093 RDO196619:RDO196629 RDO262155:RDO262165 RDO327691:RDO327701 RDO393227:RDO393237 RDO458763:RDO458773 RDO524299:RDO524309 RDO589835:RDO589845 RDO655371:RDO655381 RDO720907:RDO720917 RDO786443:RDO786453 RDO851979:RDO851989 RDO917515:RDO917525 RDO983051:RDO983061 RDQ501:RDQ65537 RDQ66037:RDQ131073 RDQ131573:RDQ196609 RDQ197109:RDQ262145 RDQ262645:RDQ327681 RDQ328181:RDQ393217 RDQ393717:RDQ458753 RDQ459253:RDQ524289 RDQ524789:RDQ589825 RDQ590325:RDQ655361 RDQ655861:RDQ720897 RDQ721397:RDQ786433 RDQ786933:RDQ851969 RDQ852469:RDQ917505 RDQ918005:RDQ983041 RDQ983541:RDQ1048576 RNK11:RNK21 RNK65547:RNK65557 RNK131083:RNK131093 RNK196619:RNK196629 RNK262155:RNK262165 RNK327691:RNK327701 RNK393227:RNK393237 RNK458763:RNK458773 RNK524299:RNK524309 RNK589835:RNK589845 RNK655371:RNK655381 RNK720907:RNK720917 RNK786443:RNK786453 RNK851979:RNK851989 RNK917515:RNK917525 RNK983051:RNK983061 RNM501:RNM65537 RNM66037:RNM131073 RNM131573:RNM196609 RNM197109:RNM262145 RNM262645:RNM327681 RNM328181:RNM393217 RNM393717:RNM458753 RNM459253:RNM524289 RNM524789:RNM589825 RNM590325:RNM655361 RNM655861:RNM720897 RNM721397:RNM786433 RNM786933:RNM851969 RNM852469:RNM917505 RNM918005:RNM983041 RNM983541:RNM1048576 RXG11:RXG21 RXG65547:RXG65557 RXG131083:RXG131093 RXG196619:RXG196629 RXG262155:RXG262165 RXG327691:RXG327701 RXG393227:RXG393237 RXG458763:RXG458773 RXG524299:RXG524309 RXG589835:RXG589845 RXG655371:RXG655381 RXG720907:RXG720917 RXG786443:RXG786453 RXG851979:RXG851989 RXG917515:RXG917525 RXG983051:RXG983061 RXI501:RXI65537 RXI66037:RXI131073 RXI131573:RXI196609 RXI197109:RXI262145 RXI262645:RXI327681 RXI328181:RXI393217 RXI393717:RXI458753 RXI459253:RXI524289 RXI524789:RXI589825 RXI590325:RXI655361 RXI655861:RXI720897 RXI721397:RXI786433 RXI786933:RXI851969 RXI852469:RXI917505 RXI918005:RXI983041 RXI983541:RXI1048576 SHC11:SHC21 SHC65547:SHC65557 SHC131083:SHC131093 SHC196619:SHC196629 SHC262155:SHC262165 SHC327691:SHC327701 SHC393227:SHC393237 SHC458763:SHC458773 SHC524299:SHC524309 SHC589835:SHC589845 SHC655371:SHC655381 SHC720907:SHC720917 SHC786443:SHC786453 SHC851979:SHC851989 SHC917515:SHC917525 SHC983051:SHC983061 SHE501:SHE65537 SHE66037:SHE131073 SHE131573:SHE196609 SHE197109:SHE262145 SHE262645:SHE327681 SHE328181:SHE393217 SHE393717:SHE458753 SHE459253:SHE524289 SHE524789:SHE589825 SHE590325:SHE655361 SHE655861:SHE720897 SHE721397:SHE786433 SHE786933:SHE851969 SHE852469:SHE917505 SHE918005:SHE983041 SHE983541:SHE1048576 SQY11:SQY21 SQY65547:SQY65557 SQY131083:SQY131093 SQY196619:SQY196629 SQY262155:SQY262165 SQY327691:SQY327701 SQY393227:SQY393237 SQY458763:SQY458773 SQY524299:SQY524309 SQY589835:SQY589845 SQY655371:SQY655381 SQY720907:SQY720917 SQY786443:SQY786453 SQY851979:SQY851989 SQY917515:SQY917525 SQY983051:SQY983061 SRA501:SRA65537 SRA66037:SRA131073 SRA131573:SRA196609 SRA197109:SRA262145 SRA262645:SRA327681 SRA328181:SRA393217 SRA393717:SRA458753 SRA459253:SRA524289 SRA524789:SRA589825 SRA590325:SRA655361 SRA655861:SRA720897 SRA721397:SRA786433 SRA786933:SRA851969 SRA852469:SRA917505 SRA918005:SRA983041 SRA983541:SRA1048576 TAU11:TAU21 TAU65547:TAU65557 TAU131083:TAU131093 TAU196619:TAU196629 TAU262155:TAU262165 TAU327691:TAU327701 TAU393227:TAU393237 TAU458763:TAU458773 TAU524299:TAU524309 TAU589835:TAU589845 TAU655371:TAU655381 TAU720907:TAU720917 TAU786443:TAU786453 TAU851979:TAU851989 TAU917515:TAU917525 TAU983051:TAU983061 TAW501:TAW65537 TAW66037:TAW131073 TAW131573:TAW196609 TAW197109:TAW262145 TAW262645:TAW327681 TAW328181:TAW393217 TAW393717:TAW458753 TAW459253:TAW524289 TAW524789:TAW589825 TAW590325:TAW655361 TAW655861:TAW720897 TAW721397:TAW786433 TAW786933:TAW851969 TAW852469:TAW917505 TAW918005:TAW983041 TAW983541:TAW1048576 TKQ11:TKQ21 TKQ65547:TKQ65557 TKQ131083:TKQ131093 TKQ196619:TKQ196629 TKQ262155:TKQ262165 TKQ327691:TKQ327701 TKQ393227:TKQ393237 TKQ458763:TKQ458773 TKQ524299:TKQ524309 TKQ589835:TKQ589845 TKQ655371:TKQ655381 TKQ720907:TKQ720917 TKQ786443:TKQ786453 TKQ851979:TKQ851989 TKQ917515:TKQ917525 TKQ983051:TKQ983061 TKS501:TKS65537 TKS66037:TKS131073 TKS131573:TKS196609 TKS197109:TKS262145 TKS262645:TKS327681 TKS328181:TKS393217 TKS393717:TKS458753 TKS459253:TKS524289 TKS524789:TKS589825 TKS590325:TKS655361 TKS655861:TKS720897 TKS721397:TKS786433 TKS786933:TKS851969 TKS852469:TKS917505 TKS918005:TKS983041 TKS983541:TKS1048576 TUM11:TUM21 TUM65547:TUM65557 TUM131083:TUM131093 TUM196619:TUM196629 TUM262155:TUM262165 TUM327691:TUM327701 TUM393227:TUM393237 TUM458763:TUM458773 TUM524299:TUM524309 TUM589835:TUM589845 TUM655371:TUM655381 TUM720907:TUM720917 TUM786443:TUM786453 TUM851979:TUM851989 TUM917515:TUM917525 TUM983051:TUM983061 TUO501:TUO65537 TUO66037:TUO131073 TUO131573:TUO196609 TUO197109:TUO262145 TUO262645:TUO327681 TUO328181:TUO393217 TUO393717:TUO458753 TUO459253:TUO524289 TUO524789:TUO589825 TUO590325:TUO655361 TUO655861:TUO720897 TUO721397:TUO786433 TUO786933:TUO851969 TUO852469:TUO917505 TUO918005:TUO983041 TUO983541:TUO1048576 UEI11:UEI21 UEI65547:UEI65557 UEI131083:UEI131093 UEI196619:UEI196629 UEI262155:UEI262165 UEI327691:UEI327701 UEI393227:UEI393237 UEI458763:UEI458773 UEI524299:UEI524309 UEI589835:UEI589845 UEI655371:UEI655381 UEI720907:UEI720917 UEI786443:UEI786453 UEI851979:UEI851989 UEI917515:UEI917525 UEI983051:UEI983061 UEK501:UEK65537 UEK66037:UEK131073 UEK131573:UEK196609 UEK197109:UEK262145 UEK262645:UEK327681 UEK328181:UEK393217 UEK393717:UEK458753 UEK459253:UEK524289 UEK524789:UEK589825 UEK590325:UEK655361 UEK655861:UEK720897 UEK721397:UEK786433 UEK786933:UEK851969 UEK852469:UEK917505 UEK918005:UEK983041 UEK983541:UEK1048576 UOE11:UOE21 UOE65547:UOE65557 UOE131083:UOE131093 UOE196619:UOE196629 UOE262155:UOE262165 UOE327691:UOE327701 UOE393227:UOE393237 UOE458763:UOE458773 UOE524299:UOE524309 UOE589835:UOE589845 UOE655371:UOE655381 UOE720907:UOE720917 UOE786443:UOE786453 UOE851979:UOE851989 UOE917515:UOE917525 UOE983051:UOE983061 UOG501:UOG65537 UOG66037:UOG131073 UOG131573:UOG196609 UOG197109:UOG262145 UOG262645:UOG327681 UOG328181:UOG393217 UOG393717:UOG458753 UOG459253:UOG524289 UOG524789:UOG589825 UOG590325:UOG655361 UOG655861:UOG720897 UOG721397:UOG786433 UOG786933:UOG851969 UOG852469:UOG917505 UOG918005:UOG983041 UOG983541:UOG1048576 UYA11:UYA21 UYA65547:UYA65557 UYA131083:UYA131093 UYA196619:UYA196629 UYA262155:UYA262165 UYA327691:UYA327701 UYA393227:UYA393237 UYA458763:UYA458773 UYA524299:UYA524309 UYA589835:UYA589845 UYA655371:UYA655381 UYA720907:UYA720917 UYA786443:UYA786453 UYA851979:UYA851989 UYA917515:UYA917525 UYA983051:UYA983061 UYC501:UYC65537 UYC66037:UYC131073 UYC131573:UYC196609 UYC197109:UYC262145 UYC262645:UYC327681 UYC328181:UYC393217 UYC393717:UYC458753 UYC459253:UYC524289 UYC524789:UYC589825 UYC590325:UYC655361 UYC655861:UYC720897 UYC721397:UYC786433 UYC786933:UYC851969 UYC852469:UYC917505 UYC918005:UYC983041 UYC983541:UYC1048576 VHW11:VHW21 VHW65547:VHW65557 VHW131083:VHW131093 VHW196619:VHW196629 VHW262155:VHW262165 VHW327691:VHW327701 VHW393227:VHW393237 VHW458763:VHW458773 VHW524299:VHW524309 VHW589835:VHW589845 VHW655371:VHW655381 VHW720907:VHW720917 VHW786443:VHW786453 VHW851979:VHW851989 VHW917515:VHW917525 VHW983051:VHW983061 VHY501:VHY65537 VHY66037:VHY131073 VHY131573:VHY196609 VHY197109:VHY262145 VHY262645:VHY327681 VHY328181:VHY393217 VHY393717:VHY458753 VHY459253:VHY524289 VHY524789:VHY589825 VHY590325:VHY655361 VHY655861:VHY720897 VHY721397:VHY786433 VHY786933:VHY851969 VHY852469:VHY917505 VHY918005:VHY983041 VHY983541:VHY1048576 VRS11:VRS21 VRS65547:VRS65557 VRS131083:VRS131093 VRS196619:VRS196629 VRS262155:VRS262165 VRS327691:VRS327701 VRS393227:VRS393237 VRS458763:VRS458773 VRS524299:VRS524309 VRS589835:VRS589845 VRS655371:VRS655381 VRS720907:VRS720917 VRS786443:VRS786453 VRS851979:VRS851989 VRS917515:VRS917525 VRS983051:VRS983061 VRU501:VRU65537 VRU66037:VRU131073 VRU131573:VRU196609 VRU197109:VRU262145 VRU262645:VRU327681 VRU328181:VRU393217 VRU393717:VRU458753 VRU459253:VRU524289 VRU524789:VRU589825 VRU590325:VRU655361 VRU655861:VRU720897 VRU721397:VRU786433 VRU786933:VRU851969 VRU852469:VRU917505 VRU918005:VRU983041 VRU983541:VRU1048576 WBO11:WBO21 WBO65547:WBO65557 WBO131083:WBO131093 WBO196619:WBO196629 WBO262155:WBO262165 WBO327691:WBO327701 WBO393227:WBO393237 WBO458763:WBO458773 WBO524299:WBO524309 WBO589835:WBO589845 WBO655371:WBO655381 WBO720907:WBO720917 WBO786443:WBO786453 WBO851979:WBO851989 WBO917515:WBO917525 WBO983051:WBO983061 WBQ501:WBQ65537 WBQ66037:WBQ131073 WBQ131573:WBQ196609 WBQ197109:WBQ262145 WBQ262645:WBQ327681 WBQ328181:WBQ393217 WBQ393717:WBQ458753 WBQ459253:WBQ524289 WBQ524789:WBQ589825 WBQ590325:WBQ655361 WBQ655861:WBQ720897 WBQ721397:WBQ786433 WBQ786933:WBQ851969 WBQ852469:WBQ917505 WBQ918005:WBQ983041 WBQ983541:WBQ1048576 WLK11:WLK21 WLK65547:WLK65557 WLK131083:WLK131093 WLK196619:WLK196629 WLK262155:WLK262165 WLK327691:WLK327701 WLK393227:WLK393237 WLK458763:WLK458773 WLK524299:WLK524309 WLK589835:WLK589845 WLK655371:WLK655381 WLK720907:WLK720917 WLK786443:WLK786453 WLK851979:WLK851989 WLK917515:WLK917525 WLK983051:WLK983061 WLM501:WLM65537 WLM66037:WLM131073 WLM131573:WLM196609 WLM197109:WLM262145 WLM262645:WLM327681 WLM328181:WLM393217 WLM393717:WLM458753 WLM459253:WLM524289 WLM524789:WLM589825 WLM590325:WLM655361 WLM655861:WLM720897 WLM721397:WLM786433 WLM786933:WLM851969 WLM852469:WLM917505 WLM918005:WLM983041 WLM983541:WLM1048576 WVG11:WVG21 WVG65547:WVG65557 WVG131083:WVG131093 WVG196619:WVG196629 WVG262155:WVG262165 WVG327691:WVG327701 WVG393227:WVG393237 WVG458763:WVG458773 WVG524299:WVG524309 WVG589835:WVG589845 WVG655371:WVG655381 WVG720907:WVG720917 WVG786443:WVG786453 WVG851979:WVG851989 WVG917515:WVG917525 WVG983051:WVG983061 WVI501:WVI65537 WVI66037:WVI131073 WVI131573:WVI196609 WVI197109:WVI262145 WVI262645:WVI327681 WVI328181:WVI393217 WVI393717:WVI458753 WVI459253:WVI524289 WVI524789:WVI589825 WVI590325:WVI655361 WVI655861:WVI720897 WVI721397:WVI786433 WVI786933:WVI851969 WVI852469:WVI917505 WVI918005:WVI983041 WVI983541:WVI1048576 XFC11:XFC21 XFC65547:XFC65557 XFC131083:XFC131093 XFC196619:XFC196629 XFC262155:XFC262165 XFC327691:XFC327701 XFC393227:XFC393237 XFC458763:XFC458773 XFC524299:XFC524309 XFC589835:XFC589845 XFC655371:XFC655381 XFC720907:XFC720917 XFC786443:XFC786453 XFC851979:XFC851989 XFC917515:XFC917525 XFC983051:XFC983061" xr:uid="{71980FB6-50C0-4DBD-96CF-FF5D79ECA711}">
      <formula1>$AE$2:$AE$16</formula1>
    </dataValidation>
  </dataValidations>
  <pageMargins left="0.7" right="0.7" top="0.75" bottom="0.75" header="0.3" footer="0.3"/>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5174C-A887-48FE-9A5B-EAF7B4FF86CD}">
  <dimension ref="A1:BA162"/>
  <sheetViews>
    <sheetView zoomScale="85" zoomScaleNormal="85" workbookViewId="0">
      <pane ySplit="1" topLeftCell="A2" activePane="bottomLeft" state="frozen"/>
      <selection activeCell="B1" sqref="B1"/>
      <selection pane="bottomLeft" activeCell="A2" sqref="A2"/>
    </sheetView>
  </sheetViews>
  <sheetFormatPr defaultColWidth="9" defaultRowHeight="13.5" x14ac:dyDescent="0.15"/>
  <cols>
    <col min="1" max="3" width="9" style="129"/>
    <col min="4" max="4" width="10.5" style="129" customWidth="1"/>
    <col min="5" max="9" width="9" style="129"/>
    <col min="10" max="11" width="9" style="77"/>
    <col min="12" max="16" width="9" style="129"/>
    <col min="17" max="17" width="9" style="159"/>
    <col min="18" max="18" width="9" style="129"/>
    <col min="19" max="19" width="9.5" style="129" customWidth="1"/>
    <col min="20" max="20" width="9" style="159"/>
    <col min="21" max="21" width="9" style="129"/>
    <col min="22" max="22" width="9" style="159"/>
    <col min="23" max="23" width="10.5" style="129" customWidth="1"/>
    <col min="24" max="32" width="9" style="129"/>
    <col min="33" max="33" width="19.625" style="129" customWidth="1"/>
    <col min="34" max="34" width="9.375" style="129" customWidth="1"/>
    <col min="35" max="259" width="9" style="129"/>
    <col min="260" max="260" width="10.5" style="129" customWidth="1"/>
    <col min="261" max="274" width="9" style="129"/>
    <col min="275" max="275" width="9.5" style="129" customWidth="1"/>
    <col min="276" max="278" width="9" style="129"/>
    <col min="279" max="279" width="10.5" style="129" customWidth="1"/>
    <col min="280" max="515" width="9" style="129"/>
    <col min="516" max="516" width="10.5" style="129" customWidth="1"/>
    <col min="517" max="530" width="9" style="129"/>
    <col min="531" max="531" width="9.5" style="129" customWidth="1"/>
    <col min="532" max="534" width="9" style="129"/>
    <col min="535" max="535" width="10.5" style="129" customWidth="1"/>
    <col min="536" max="771" width="9" style="129"/>
    <col min="772" max="772" width="10.5" style="129" customWidth="1"/>
    <col min="773" max="786" width="9" style="129"/>
    <col min="787" max="787" width="9.5" style="129" customWidth="1"/>
    <col min="788" max="790" width="9" style="129"/>
    <col min="791" max="791" width="10.5" style="129" customWidth="1"/>
    <col min="792" max="1027" width="9" style="129"/>
    <col min="1028" max="1028" width="10.5" style="129" customWidth="1"/>
    <col min="1029" max="1042" width="9" style="129"/>
    <col min="1043" max="1043" width="9.5" style="129" customWidth="1"/>
    <col min="1044" max="1046" width="9" style="129"/>
    <col min="1047" max="1047" width="10.5" style="129" customWidth="1"/>
    <col min="1048" max="1283" width="9" style="129"/>
    <col min="1284" max="1284" width="10.5" style="129" customWidth="1"/>
    <col min="1285" max="1298" width="9" style="129"/>
    <col min="1299" max="1299" width="9.5" style="129" customWidth="1"/>
    <col min="1300" max="1302" width="9" style="129"/>
    <col min="1303" max="1303" width="10.5" style="129" customWidth="1"/>
    <col min="1304" max="1539" width="9" style="129"/>
    <col min="1540" max="1540" width="10.5" style="129" customWidth="1"/>
    <col min="1541" max="1554" width="9" style="129"/>
    <col min="1555" max="1555" width="9.5" style="129" customWidth="1"/>
    <col min="1556" max="1558" width="9" style="129"/>
    <col min="1559" max="1559" width="10.5" style="129" customWidth="1"/>
    <col min="1560" max="1795" width="9" style="129"/>
    <col min="1796" max="1796" width="10.5" style="129" customWidth="1"/>
    <col min="1797" max="1810" width="9" style="129"/>
    <col min="1811" max="1811" width="9.5" style="129" customWidth="1"/>
    <col min="1812" max="1814" width="9" style="129"/>
    <col min="1815" max="1815" width="10.5" style="129" customWidth="1"/>
    <col min="1816" max="2051" width="9" style="129"/>
    <col min="2052" max="2052" width="10.5" style="129" customWidth="1"/>
    <col min="2053" max="2066" width="9" style="129"/>
    <col min="2067" max="2067" width="9.5" style="129" customWidth="1"/>
    <col min="2068" max="2070" width="9" style="129"/>
    <col min="2071" max="2071" width="10.5" style="129" customWidth="1"/>
    <col min="2072" max="2307" width="9" style="129"/>
    <col min="2308" max="2308" width="10.5" style="129" customWidth="1"/>
    <col min="2309" max="2322" width="9" style="129"/>
    <col min="2323" max="2323" width="9.5" style="129" customWidth="1"/>
    <col min="2324" max="2326" width="9" style="129"/>
    <col min="2327" max="2327" width="10.5" style="129" customWidth="1"/>
    <col min="2328" max="2563" width="9" style="129"/>
    <col min="2564" max="2564" width="10.5" style="129" customWidth="1"/>
    <col min="2565" max="2578" width="9" style="129"/>
    <col min="2579" max="2579" width="9.5" style="129" customWidth="1"/>
    <col min="2580" max="2582" width="9" style="129"/>
    <col min="2583" max="2583" width="10.5" style="129" customWidth="1"/>
    <col min="2584" max="2819" width="9" style="129"/>
    <col min="2820" max="2820" width="10.5" style="129" customWidth="1"/>
    <col min="2821" max="2834" width="9" style="129"/>
    <col min="2835" max="2835" width="9.5" style="129" customWidth="1"/>
    <col min="2836" max="2838" width="9" style="129"/>
    <col min="2839" max="2839" width="10.5" style="129" customWidth="1"/>
    <col min="2840" max="3075" width="9" style="129"/>
    <col min="3076" max="3076" width="10.5" style="129" customWidth="1"/>
    <col min="3077" max="3090" width="9" style="129"/>
    <col min="3091" max="3091" width="9.5" style="129" customWidth="1"/>
    <col min="3092" max="3094" width="9" style="129"/>
    <col min="3095" max="3095" width="10.5" style="129" customWidth="1"/>
    <col min="3096" max="3331" width="9" style="129"/>
    <col min="3332" max="3332" width="10.5" style="129" customWidth="1"/>
    <col min="3333" max="3346" width="9" style="129"/>
    <col min="3347" max="3347" width="9.5" style="129" customWidth="1"/>
    <col min="3348" max="3350" width="9" style="129"/>
    <col min="3351" max="3351" width="10.5" style="129" customWidth="1"/>
    <col min="3352" max="3587" width="9" style="129"/>
    <col min="3588" max="3588" width="10.5" style="129" customWidth="1"/>
    <col min="3589" max="3602" width="9" style="129"/>
    <col min="3603" max="3603" width="9.5" style="129" customWidth="1"/>
    <col min="3604" max="3606" width="9" style="129"/>
    <col min="3607" max="3607" width="10.5" style="129" customWidth="1"/>
    <col min="3608" max="3843" width="9" style="129"/>
    <col min="3844" max="3844" width="10.5" style="129" customWidth="1"/>
    <col min="3845" max="3858" width="9" style="129"/>
    <col min="3859" max="3859" width="9.5" style="129" customWidth="1"/>
    <col min="3860" max="3862" width="9" style="129"/>
    <col min="3863" max="3863" width="10.5" style="129" customWidth="1"/>
    <col min="3864" max="4099" width="9" style="129"/>
    <col min="4100" max="4100" width="10.5" style="129" customWidth="1"/>
    <col min="4101" max="4114" width="9" style="129"/>
    <col min="4115" max="4115" width="9.5" style="129" customWidth="1"/>
    <col min="4116" max="4118" width="9" style="129"/>
    <col min="4119" max="4119" width="10.5" style="129" customWidth="1"/>
    <col min="4120" max="4355" width="9" style="129"/>
    <col min="4356" max="4356" width="10.5" style="129" customWidth="1"/>
    <col min="4357" max="4370" width="9" style="129"/>
    <col min="4371" max="4371" width="9.5" style="129" customWidth="1"/>
    <col min="4372" max="4374" width="9" style="129"/>
    <col min="4375" max="4375" width="10.5" style="129" customWidth="1"/>
    <col min="4376" max="4611" width="9" style="129"/>
    <col min="4612" max="4612" width="10.5" style="129" customWidth="1"/>
    <col min="4613" max="4626" width="9" style="129"/>
    <col min="4627" max="4627" width="9.5" style="129" customWidth="1"/>
    <col min="4628" max="4630" width="9" style="129"/>
    <col min="4631" max="4631" width="10.5" style="129" customWidth="1"/>
    <col min="4632" max="4867" width="9" style="129"/>
    <col min="4868" max="4868" width="10.5" style="129" customWidth="1"/>
    <col min="4869" max="4882" width="9" style="129"/>
    <col min="4883" max="4883" width="9.5" style="129" customWidth="1"/>
    <col min="4884" max="4886" width="9" style="129"/>
    <col min="4887" max="4887" width="10.5" style="129" customWidth="1"/>
    <col min="4888" max="5123" width="9" style="129"/>
    <col min="5124" max="5124" width="10.5" style="129" customWidth="1"/>
    <col min="5125" max="5138" width="9" style="129"/>
    <col min="5139" max="5139" width="9.5" style="129" customWidth="1"/>
    <col min="5140" max="5142" width="9" style="129"/>
    <col min="5143" max="5143" width="10.5" style="129" customWidth="1"/>
    <col min="5144" max="5379" width="9" style="129"/>
    <col min="5380" max="5380" width="10.5" style="129" customWidth="1"/>
    <col min="5381" max="5394" width="9" style="129"/>
    <col min="5395" max="5395" width="9.5" style="129" customWidth="1"/>
    <col min="5396" max="5398" width="9" style="129"/>
    <col min="5399" max="5399" width="10.5" style="129" customWidth="1"/>
    <col min="5400" max="5635" width="9" style="129"/>
    <col min="5636" max="5636" width="10.5" style="129" customWidth="1"/>
    <col min="5637" max="5650" width="9" style="129"/>
    <col min="5651" max="5651" width="9.5" style="129" customWidth="1"/>
    <col min="5652" max="5654" width="9" style="129"/>
    <col min="5655" max="5655" width="10.5" style="129" customWidth="1"/>
    <col min="5656" max="5891" width="9" style="129"/>
    <col min="5892" max="5892" width="10.5" style="129" customWidth="1"/>
    <col min="5893" max="5906" width="9" style="129"/>
    <col min="5907" max="5907" width="9.5" style="129" customWidth="1"/>
    <col min="5908" max="5910" width="9" style="129"/>
    <col min="5911" max="5911" width="10.5" style="129" customWidth="1"/>
    <col min="5912" max="6147" width="9" style="129"/>
    <col min="6148" max="6148" width="10.5" style="129" customWidth="1"/>
    <col min="6149" max="6162" width="9" style="129"/>
    <col min="6163" max="6163" width="9.5" style="129" customWidth="1"/>
    <col min="6164" max="6166" width="9" style="129"/>
    <col min="6167" max="6167" width="10.5" style="129" customWidth="1"/>
    <col min="6168" max="6403" width="9" style="129"/>
    <col min="6404" max="6404" width="10.5" style="129" customWidth="1"/>
    <col min="6405" max="6418" width="9" style="129"/>
    <col min="6419" max="6419" width="9.5" style="129" customWidth="1"/>
    <col min="6420" max="6422" width="9" style="129"/>
    <col min="6423" max="6423" width="10.5" style="129" customWidth="1"/>
    <col min="6424" max="6659" width="9" style="129"/>
    <col min="6660" max="6660" width="10.5" style="129" customWidth="1"/>
    <col min="6661" max="6674" width="9" style="129"/>
    <col min="6675" max="6675" width="9.5" style="129" customWidth="1"/>
    <col min="6676" max="6678" width="9" style="129"/>
    <col min="6679" max="6679" width="10.5" style="129" customWidth="1"/>
    <col min="6680" max="6915" width="9" style="129"/>
    <col min="6916" max="6916" width="10.5" style="129" customWidth="1"/>
    <col min="6917" max="6930" width="9" style="129"/>
    <col min="6931" max="6931" width="9.5" style="129" customWidth="1"/>
    <col min="6932" max="6934" width="9" style="129"/>
    <col min="6935" max="6935" width="10.5" style="129" customWidth="1"/>
    <col min="6936" max="7171" width="9" style="129"/>
    <col min="7172" max="7172" width="10.5" style="129" customWidth="1"/>
    <col min="7173" max="7186" width="9" style="129"/>
    <col min="7187" max="7187" width="9.5" style="129" customWidth="1"/>
    <col min="7188" max="7190" width="9" style="129"/>
    <col min="7191" max="7191" width="10.5" style="129" customWidth="1"/>
    <col min="7192" max="7427" width="9" style="129"/>
    <col min="7428" max="7428" width="10.5" style="129" customWidth="1"/>
    <col min="7429" max="7442" width="9" style="129"/>
    <col min="7443" max="7443" width="9.5" style="129" customWidth="1"/>
    <col min="7444" max="7446" width="9" style="129"/>
    <col min="7447" max="7447" width="10.5" style="129" customWidth="1"/>
    <col min="7448" max="7683" width="9" style="129"/>
    <col min="7684" max="7684" width="10.5" style="129" customWidth="1"/>
    <col min="7685" max="7698" width="9" style="129"/>
    <col min="7699" max="7699" width="9.5" style="129" customWidth="1"/>
    <col min="7700" max="7702" width="9" style="129"/>
    <col min="7703" max="7703" width="10.5" style="129" customWidth="1"/>
    <col min="7704" max="7939" width="9" style="129"/>
    <col min="7940" max="7940" width="10.5" style="129" customWidth="1"/>
    <col min="7941" max="7954" width="9" style="129"/>
    <col min="7955" max="7955" width="9.5" style="129" customWidth="1"/>
    <col min="7956" max="7958" width="9" style="129"/>
    <col min="7959" max="7959" width="10.5" style="129" customWidth="1"/>
    <col min="7960" max="8195" width="9" style="129"/>
    <col min="8196" max="8196" width="10.5" style="129" customWidth="1"/>
    <col min="8197" max="8210" width="9" style="129"/>
    <col min="8211" max="8211" width="9.5" style="129" customWidth="1"/>
    <col min="8212" max="8214" width="9" style="129"/>
    <col min="8215" max="8215" width="10.5" style="129" customWidth="1"/>
    <col min="8216" max="8451" width="9" style="129"/>
    <col min="8452" max="8452" width="10.5" style="129" customWidth="1"/>
    <col min="8453" max="8466" width="9" style="129"/>
    <col min="8467" max="8467" width="9.5" style="129" customWidth="1"/>
    <col min="8468" max="8470" width="9" style="129"/>
    <col min="8471" max="8471" width="10.5" style="129" customWidth="1"/>
    <col min="8472" max="8707" width="9" style="129"/>
    <col min="8708" max="8708" width="10.5" style="129" customWidth="1"/>
    <col min="8709" max="8722" width="9" style="129"/>
    <col min="8723" max="8723" width="9.5" style="129" customWidth="1"/>
    <col min="8724" max="8726" width="9" style="129"/>
    <col min="8727" max="8727" width="10.5" style="129" customWidth="1"/>
    <col min="8728" max="8963" width="9" style="129"/>
    <col min="8964" max="8964" width="10.5" style="129" customWidth="1"/>
    <col min="8965" max="8978" width="9" style="129"/>
    <col min="8979" max="8979" width="9.5" style="129" customWidth="1"/>
    <col min="8980" max="8982" width="9" style="129"/>
    <col min="8983" max="8983" width="10.5" style="129" customWidth="1"/>
    <col min="8984" max="9219" width="9" style="129"/>
    <col min="9220" max="9220" width="10.5" style="129" customWidth="1"/>
    <col min="9221" max="9234" width="9" style="129"/>
    <col min="9235" max="9235" width="9.5" style="129" customWidth="1"/>
    <col min="9236" max="9238" width="9" style="129"/>
    <col min="9239" max="9239" width="10.5" style="129" customWidth="1"/>
    <col min="9240" max="9475" width="9" style="129"/>
    <col min="9476" max="9476" width="10.5" style="129" customWidth="1"/>
    <col min="9477" max="9490" width="9" style="129"/>
    <col min="9491" max="9491" width="9.5" style="129" customWidth="1"/>
    <col min="9492" max="9494" width="9" style="129"/>
    <col min="9495" max="9495" width="10.5" style="129" customWidth="1"/>
    <col min="9496" max="9731" width="9" style="129"/>
    <col min="9732" max="9732" width="10.5" style="129" customWidth="1"/>
    <col min="9733" max="9746" width="9" style="129"/>
    <col min="9747" max="9747" width="9.5" style="129" customWidth="1"/>
    <col min="9748" max="9750" width="9" style="129"/>
    <col min="9751" max="9751" width="10.5" style="129" customWidth="1"/>
    <col min="9752" max="9987" width="9" style="129"/>
    <col min="9988" max="9988" width="10.5" style="129" customWidth="1"/>
    <col min="9989" max="10002" width="9" style="129"/>
    <col min="10003" max="10003" width="9.5" style="129" customWidth="1"/>
    <col min="10004" max="10006" width="9" style="129"/>
    <col min="10007" max="10007" width="10.5" style="129" customWidth="1"/>
    <col min="10008" max="10243" width="9" style="129"/>
    <col min="10244" max="10244" width="10.5" style="129" customWidth="1"/>
    <col min="10245" max="10258" width="9" style="129"/>
    <col min="10259" max="10259" width="9.5" style="129" customWidth="1"/>
    <col min="10260" max="10262" width="9" style="129"/>
    <col min="10263" max="10263" width="10.5" style="129" customWidth="1"/>
    <col min="10264" max="10499" width="9" style="129"/>
    <col min="10500" max="10500" width="10.5" style="129" customWidth="1"/>
    <col min="10501" max="10514" width="9" style="129"/>
    <col min="10515" max="10515" width="9.5" style="129" customWidth="1"/>
    <col min="10516" max="10518" width="9" style="129"/>
    <col min="10519" max="10519" width="10.5" style="129" customWidth="1"/>
    <col min="10520" max="10755" width="9" style="129"/>
    <col min="10756" max="10756" width="10.5" style="129" customWidth="1"/>
    <col min="10757" max="10770" width="9" style="129"/>
    <col min="10771" max="10771" width="9.5" style="129" customWidth="1"/>
    <col min="10772" max="10774" width="9" style="129"/>
    <col min="10775" max="10775" width="10.5" style="129" customWidth="1"/>
    <col min="10776" max="11011" width="9" style="129"/>
    <col min="11012" max="11012" width="10.5" style="129" customWidth="1"/>
    <col min="11013" max="11026" width="9" style="129"/>
    <col min="11027" max="11027" width="9.5" style="129" customWidth="1"/>
    <col min="11028" max="11030" width="9" style="129"/>
    <col min="11031" max="11031" width="10.5" style="129" customWidth="1"/>
    <col min="11032" max="11267" width="9" style="129"/>
    <col min="11268" max="11268" width="10.5" style="129" customWidth="1"/>
    <col min="11269" max="11282" width="9" style="129"/>
    <col min="11283" max="11283" width="9.5" style="129" customWidth="1"/>
    <col min="11284" max="11286" width="9" style="129"/>
    <col min="11287" max="11287" width="10.5" style="129" customWidth="1"/>
    <col min="11288" max="11523" width="9" style="129"/>
    <col min="11524" max="11524" width="10.5" style="129" customWidth="1"/>
    <col min="11525" max="11538" width="9" style="129"/>
    <col min="11539" max="11539" width="9.5" style="129" customWidth="1"/>
    <col min="11540" max="11542" width="9" style="129"/>
    <col min="11543" max="11543" width="10.5" style="129" customWidth="1"/>
    <col min="11544" max="11779" width="9" style="129"/>
    <col min="11780" max="11780" width="10.5" style="129" customWidth="1"/>
    <col min="11781" max="11794" width="9" style="129"/>
    <col min="11795" max="11795" width="9.5" style="129" customWidth="1"/>
    <col min="11796" max="11798" width="9" style="129"/>
    <col min="11799" max="11799" width="10.5" style="129" customWidth="1"/>
    <col min="11800" max="12035" width="9" style="129"/>
    <col min="12036" max="12036" width="10.5" style="129" customWidth="1"/>
    <col min="12037" max="12050" width="9" style="129"/>
    <col min="12051" max="12051" width="9.5" style="129" customWidth="1"/>
    <col min="12052" max="12054" width="9" style="129"/>
    <col min="12055" max="12055" width="10.5" style="129" customWidth="1"/>
    <col min="12056" max="12291" width="9" style="129"/>
    <col min="12292" max="12292" width="10.5" style="129" customWidth="1"/>
    <col min="12293" max="12306" width="9" style="129"/>
    <col min="12307" max="12307" width="9.5" style="129" customWidth="1"/>
    <col min="12308" max="12310" width="9" style="129"/>
    <col min="12311" max="12311" width="10.5" style="129" customWidth="1"/>
    <col min="12312" max="12547" width="9" style="129"/>
    <col min="12548" max="12548" width="10.5" style="129" customWidth="1"/>
    <col min="12549" max="12562" width="9" style="129"/>
    <col min="12563" max="12563" width="9.5" style="129" customWidth="1"/>
    <col min="12564" max="12566" width="9" style="129"/>
    <col min="12567" max="12567" width="10.5" style="129" customWidth="1"/>
    <col min="12568" max="12803" width="9" style="129"/>
    <col min="12804" max="12804" width="10.5" style="129" customWidth="1"/>
    <col min="12805" max="12818" width="9" style="129"/>
    <col min="12819" max="12819" width="9.5" style="129" customWidth="1"/>
    <col min="12820" max="12822" width="9" style="129"/>
    <col min="12823" max="12823" width="10.5" style="129" customWidth="1"/>
    <col min="12824" max="13059" width="9" style="129"/>
    <col min="13060" max="13060" width="10.5" style="129" customWidth="1"/>
    <col min="13061" max="13074" width="9" style="129"/>
    <col min="13075" max="13075" width="9.5" style="129" customWidth="1"/>
    <col min="13076" max="13078" width="9" style="129"/>
    <col min="13079" max="13079" width="10.5" style="129" customWidth="1"/>
    <col min="13080" max="13315" width="9" style="129"/>
    <col min="13316" max="13316" width="10.5" style="129" customWidth="1"/>
    <col min="13317" max="13330" width="9" style="129"/>
    <col min="13331" max="13331" width="9.5" style="129" customWidth="1"/>
    <col min="13332" max="13334" width="9" style="129"/>
    <col min="13335" max="13335" width="10.5" style="129" customWidth="1"/>
    <col min="13336" max="13571" width="9" style="129"/>
    <col min="13572" max="13572" width="10.5" style="129" customWidth="1"/>
    <col min="13573" max="13586" width="9" style="129"/>
    <col min="13587" max="13587" width="9.5" style="129" customWidth="1"/>
    <col min="13588" max="13590" width="9" style="129"/>
    <col min="13591" max="13591" width="10.5" style="129" customWidth="1"/>
    <col min="13592" max="13827" width="9" style="129"/>
    <col min="13828" max="13828" width="10.5" style="129" customWidth="1"/>
    <col min="13829" max="13842" width="9" style="129"/>
    <col min="13843" max="13843" width="9.5" style="129" customWidth="1"/>
    <col min="13844" max="13846" width="9" style="129"/>
    <col min="13847" max="13847" width="10.5" style="129" customWidth="1"/>
    <col min="13848" max="14083" width="9" style="129"/>
    <col min="14084" max="14084" width="10.5" style="129" customWidth="1"/>
    <col min="14085" max="14098" width="9" style="129"/>
    <col min="14099" max="14099" width="9.5" style="129" customWidth="1"/>
    <col min="14100" max="14102" width="9" style="129"/>
    <col min="14103" max="14103" width="10.5" style="129" customWidth="1"/>
    <col min="14104" max="14339" width="9" style="129"/>
    <col min="14340" max="14340" width="10.5" style="129" customWidth="1"/>
    <col min="14341" max="14354" width="9" style="129"/>
    <col min="14355" max="14355" width="9.5" style="129" customWidth="1"/>
    <col min="14356" max="14358" width="9" style="129"/>
    <col min="14359" max="14359" width="10.5" style="129" customWidth="1"/>
    <col min="14360" max="14595" width="9" style="129"/>
    <col min="14596" max="14596" width="10.5" style="129" customWidth="1"/>
    <col min="14597" max="14610" width="9" style="129"/>
    <col min="14611" max="14611" width="9.5" style="129" customWidth="1"/>
    <col min="14612" max="14614" width="9" style="129"/>
    <col min="14615" max="14615" width="10.5" style="129" customWidth="1"/>
    <col min="14616" max="14851" width="9" style="129"/>
    <col min="14852" max="14852" width="10.5" style="129" customWidth="1"/>
    <col min="14853" max="14866" width="9" style="129"/>
    <col min="14867" max="14867" width="9.5" style="129" customWidth="1"/>
    <col min="14868" max="14870" width="9" style="129"/>
    <col min="14871" max="14871" width="10.5" style="129" customWidth="1"/>
    <col min="14872" max="15107" width="9" style="129"/>
    <col min="15108" max="15108" width="10.5" style="129" customWidth="1"/>
    <col min="15109" max="15122" width="9" style="129"/>
    <col min="15123" max="15123" width="9.5" style="129" customWidth="1"/>
    <col min="15124" max="15126" width="9" style="129"/>
    <col min="15127" max="15127" width="10.5" style="129" customWidth="1"/>
    <col min="15128" max="15363" width="9" style="129"/>
    <col min="15364" max="15364" width="10.5" style="129" customWidth="1"/>
    <col min="15365" max="15378" width="9" style="129"/>
    <col min="15379" max="15379" width="9.5" style="129" customWidth="1"/>
    <col min="15380" max="15382" width="9" style="129"/>
    <col min="15383" max="15383" width="10.5" style="129" customWidth="1"/>
    <col min="15384" max="15619" width="9" style="129"/>
    <col min="15620" max="15620" width="10.5" style="129" customWidth="1"/>
    <col min="15621" max="15634" width="9" style="129"/>
    <col min="15635" max="15635" width="9.5" style="129" customWidth="1"/>
    <col min="15636" max="15638" width="9" style="129"/>
    <col min="15639" max="15639" width="10.5" style="129" customWidth="1"/>
    <col min="15640" max="15875" width="9" style="129"/>
    <col min="15876" max="15876" width="10.5" style="129" customWidth="1"/>
    <col min="15877" max="15890" width="9" style="129"/>
    <col min="15891" max="15891" width="9.5" style="129" customWidth="1"/>
    <col min="15892" max="15894" width="9" style="129"/>
    <col min="15895" max="15895" width="10.5" style="129" customWidth="1"/>
    <col min="15896" max="16131" width="9" style="129"/>
    <col min="16132" max="16132" width="10.5" style="129" customWidth="1"/>
    <col min="16133" max="16146" width="9" style="129"/>
    <col min="16147" max="16147" width="9.5" style="129" customWidth="1"/>
    <col min="16148" max="16150" width="9" style="129"/>
    <col min="16151" max="16151" width="10.5" style="129" customWidth="1"/>
    <col min="16152" max="16384" width="9" style="129"/>
  </cols>
  <sheetData>
    <row r="1" spans="1:53" ht="45" x14ac:dyDescent="0.15">
      <c r="A1" s="142" t="s">
        <v>0</v>
      </c>
      <c r="B1" s="143" t="s">
        <v>175</v>
      </c>
      <c r="C1" s="143" t="s">
        <v>176</v>
      </c>
      <c r="D1" s="144" t="s">
        <v>2</v>
      </c>
      <c r="E1" s="145" t="s">
        <v>3</v>
      </c>
      <c r="F1" s="145" t="s">
        <v>4</v>
      </c>
      <c r="G1" s="145" t="s">
        <v>5</v>
      </c>
      <c r="H1" s="145" t="s">
        <v>6</v>
      </c>
      <c r="I1" s="145" t="s">
        <v>7</v>
      </c>
      <c r="J1" s="83" t="s">
        <v>8</v>
      </c>
      <c r="K1" s="83" t="s">
        <v>9</v>
      </c>
      <c r="L1" s="144" t="s">
        <v>177</v>
      </c>
      <c r="M1" s="144" t="s">
        <v>178</v>
      </c>
      <c r="N1" s="144" t="s">
        <v>11</v>
      </c>
      <c r="O1" s="144" t="s">
        <v>179</v>
      </c>
      <c r="P1" s="144" t="s">
        <v>180</v>
      </c>
      <c r="Q1" s="146" t="s">
        <v>181</v>
      </c>
      <c r="R1" s="144" t="s">
        <v>182</v>
      </c>
      <c r="S1" s="144" t="s">
        <v>183</v>
      </c>
      <c r="T1" s="146" t="s">
        <v>13</v>
      </c>
      <c r="U1" s="147" t="s">
        <v>92</v>
      </c>
      <c r="V1" s="148" t="s">
        <v>14</v>
      </c>
      <c r="W1" s="144" t="s">
        <v>184</v>
      </c>
      <c r="X1" s="145" t="s">
        <v>16</v>
      </c>
      <c r="Y1" s="145" t="s">
        <v>17</v>
      </c>
      <c r="Z1" s="145" t="s">
        <v>18</v>
      </c>
      <c r="AA1" s="149" t="s">
        <v>19</v>
      </c>
      <c r="AB1" s="150" t="s">
        <v>185</v>
      </c>
      <c r="AE1" s="151" t="s">
        <v>0</v>
      </c>
      <c r="AF1" s="152"/>
      <c r="AG1" s="151" t="s">
        <v>3</v>
      </c>
      <c r="AH1" s="151" t="s">
        <v>4</v>
      </c>
      <c r="AI1" s="152"/>
      <c r="AJ1" s="151" t="s">
        <v>5</v>
      </c>
      <c r="AK1" s="152"/>
      <c r="AL1" s="153" t="s">
        <v>6</v>
      </c>
      <c r="AM1" s="152"/>
      <c r="AN1" s="153" t="s">
        <v>7</v>
      </c>
      <c r="AO1" s="152"/>
      <c r="AP1" s="153" t="s">
        <v>20</v>
      </c>
      <c r="AQ1" s="152"/>
      <c r="AR1" s="153" t="s">
        <v>9</v>
      </c>
      <c r="AS1" s="152"/>
      <c r="AT1" s="154" t="s">
        <v>186</v>
      </c>
      <c r="AU1" s="152"/>
      <c r="AV1" s="153" t="s">
        <v>22</v>
      </c>
      <c r="AX1" s="155" t="s">
        <v>388</v>
      </c>
      <c r="AY1" s="156" t="s">
        <v>188</v>
      </c>
      <c r="AZ1" s="156" t="s">
        <v>389</v>
      </c>
      <c r="BA1" s="157" t="s">
        <v>190</v>
      </c>
    </row>
    <row r="2" spans="1:53" x14ac:dyDescent="0.15">
      <c r="A2" s="129" t="s">
        <v>40</v>
      </c>
      <c r="B2" s="129" t="s">
        <v>191</v>
      </c>
      <c r="C2" s="129">
        <v>2020</v>
      </c>
      <c r="D2" s="130" t="s">
        <v>390</v>
      </c>
      <c r="E2" s="129" t="s">
        <v>391</v>
      </c>
      <c r="F2" s="129" t="s">
        <v>392</v>
      </c>
      <c r="G2" s="129" t="s">
        <v>31</v>
      </c>
      <c r="H2" s="129" t="s">
        <v>113</v>
      </c>
      <c r="I2" s="129" t="s">
        <v>111</v>
      </c>
      <c r="J2" s="77" t="s">
        <v>27</v>
      </c>
      <c r="K2" s="77" t="s">
        <v>112</v>
      </c>
      <c r="L2" s="129">
        <v>1</v>
      </c>
      <c r="N2" s="129">
        <v>1</v>
      </c>
      <c r="O2" s="129">
        <v>0.75</v>
      </c>
      <c r="P2" s="129">
        <v>0.9</v>
      </c>
      <c r="Q2" s="158">
        <f>IF(OR(O2="",P2=""),"",AVERAGE(O2,P2))</f>
        <v>0.82499999999999996</v>
      </c>
      <c r="R2" s="129">
        <v>15.5</v>
      </c>
      <c r="S2" s="129">
        <v>116</v>
      </c>
      <c r="T2" s="159">
        <f t="shared" ref="T2:T65" si="0">IF(H2="","",IF(OR(H2="GREEN",H2="GK"),IF(S2&gt;=$AX$2,VLOOKUP(S2,$AX$2:$AY$12,2,1),""),IF(S2&gt;=$AZ$2,VLOOKUP(S2,$AZ$2:$BA$12,2,1),"")))</f>
        <v>30</v>
      </c>
      <c r="U2" s="129">
        <v>98</v>
      </c>
      <c r="V2" s="160">
        <f t="shared" ref="V2:V65" si="1">IF(OR(N2="",U2="",T2=""),"",U2/N2*T2)</f>
        <v>2940</v>
      </c>
      <c r="W2" s="129">
        <v>18</v>
      </c>
      <c r="X2" s="129" t="s">
        <v>28</v>
      </c>
      <c r="Y2" s="129" t="s">
        <v>55</v>
      </c>
      <c r="Z2" s="129" t="s">
        <v>43</v>
      </c>
      <c r="AA2" s="129" t="s">
        <v>74</v>
      </c>
      <c r="AB2" s="129" t="s">
        <v>195</v>
      </c>
      <c r="AE2" s="161" t="s">
        <v>24</v>
      </c>
      <c r="AG2" s="162" t="s">
        <v>222</v>
      </c>
      <c r="AH2" s="162" t="s">
        <v>393</v>
      </c>
      <c r="AJ2" s="162" t="s">
        <v>25</v>
      </c>
      <c r="AL2" s="163" t="s">
        <v>196</v>
      </c>
      <c r="AN2" s="162" t="s">
        <v>26</v>
      </c>
      <c r="AP2" s="162" t="s">
        <v>27</v>
      </c>
      <c r="AR2" s="162" t="s">
        <v>112</v>
      </c>
      <c r="AT2" s="162" t="s">
        <v>28</v>
      </c>
      <c r="AV2" s="162" t="s">
        <v>29</v>
      </c>
      <c r="AX2" s="164">
        <v>1</v>
      </c>
      <c r="AY2" s="165">
        <v>50</v>
      </c>
      <c r="AZ2" s="165">
        <v>1</v>
      </c>
      <c r="BA2" s="166">
        <v>50</v>
      </c>
    </row>
    <row r="3" spans="1:53" x14ac:dyDescent="0.15">
      <c r="A3" s="129" t="s">
        <v>40</v>
      </c>
      <c r="B3" s="129" t="s">
        <v>191</v>
      </c>
      <c r="C3" s="129">
        <v>2020</v>
      </c>
      <c r="D3" s="130" t="s">
        <v>390</v>
      </c>
      <c r="E3" s="129" t="s">
        <v>391</v>
      </c>
      <c r="F3" s="129" t="s">
        <v>392</v>
      </c>
      <c r="G3" s="129" t="s">
        <v>31</v>
      </c>
      <c r="H3" s="129" t="s">
        <v>113</v>
      </c>
      <c r="I3" s="129" t="s">
        <v>111</v>
      </c>
      <c r="J3" s="77" t="s">
        <v>27</v>
      </c>
      <c r="K3" s="77" t="s">
        <v>112</v>
      </c>
      <c r="L3" s="129">
        <v>2</v>
      </c>
      <c r="N3" s="129">
        <v>1</v>
      </c>
      <c r="O3" s="129">
        <v>0.85</v>
      </c>
      <c r="P3" s="129">
        <v>0.75</v>
      </c>
      <c r="Q3" s="158">
        <f t="shared" ref="Q3:Q66" si="2">IF(OR(O3="",P3=""),"",AVERAGE(O3,P3))</f>
        <v>0.8</v>
      </c>
      <c r="R3" s="129">
        <v>15.8</v>
      </c>
      <c r="S3" s="129">
        <v>126</v>
      </c>
      <c r="T3" s="159">
        <f t="shared" si="0"/>
        <v>27</v>
      </c>
      <c r="U3" s="129">
        <v>98</v>
      </c>
      <c r="V3" s="160">
        <f t="shared" si="1"/>
        <v>2646</v>
      </c>
      <c r="W3" s="129">
        <v>18</v>
      </c>
      <c r="X3" s="129" t="s">
        <v>28</v>
      </c>
      <c r="Y3" s="129" t="s">
        <v>55</v>
      </c>
      <c r="Z3" s="129" t="s">
        <v>43</v>
      </c>
      <c r="AA3" s="129" t="s">
        <v>74</v>
      </c>
      <c r="AB3" s="129" t="s">
        <v>195</v>
      </c>
      <c r="AE3" s="167" t="s">
        <v>30</v>
      </c>
      <c r="AG3" s="162" t="s">
        <v>394</v>
      </c>
      <c r="AH3" s="162" t="s">
        <v>395</v>
      </c>
      <c r="AJ3" s="168" t="s">
        <v>31</v>
      </c>
      <c r="AL3" s="168" t="s">
        <v>198</v>
      </c>
      <c r="AN3" s="168" t="s">
        <v>32</v>
      </c>
      <c r="AP3" s="168" t="s">
        <v>33</v>
      </c>
      <c r="AR3" s="168" t="s">
        <v>34</v>
      </c>
      <c r="AT3" s="168" t="s">
        <v>35</v>
      </c>
      <c r="AV3" s="168" t="s">
        <v>36</v>
      </c>
      <c r="AX3" s="169">
        <v>72</v>
      </c>
      <c r="AY3" s="170">
        <v>46</v>
      </c>
      <c r="AZ3" s="170">
        <v>71</v>
      </c>
      <c r="BA3" s="171">
        <v>42</v>
      </c>
    </row>
    <row r="4" spans="1:53" x14ac:dyDescent="0.15">
      <c r="A4" s="129" t="s">
        <v>40</v>
      </c>
      <c r="B4" s="129" t="s">
        <v>191</v>
      </c>
      <c r="C4" s="129">
        <v>2020</v>
      </c>
      <c r="D4" s="130" t="s">
        <v>390</v>
      </c>
      <c r="E4" s="129" t="s">
        <v>391</v>
      </c>
      <c r="F4" s="129" t="s">
        <v>392</v>
      </c>
      <c r="G4" s="129" t="s">
        <v>31</v>
      </c>
      <c r="H4" s="129" t="s">
        <v>113</v>
      </c>
      <c r="I4" s="129" t="s">
        <v>111</v>
      </c>
      <c r="J4" s="77" t="s">
        <v>27</v>
      </c>
      <c r="K4" s="77" t="s">
        <v>112</v>
      </c>
      <c r="L4" s="129">
        <v>3</v>
      </c>
      <c r="N4" s="129">
        <v>1</v>
      </c>
      <c r="O4" s="129">
        <v>0.95</v>
      </c>
      <c r="P4" s="129">
        <v>0.85</v>
      </c>
      <c r="Q4" s="158">
        <f t="shared" si="2"/>
        <v>0.89999999999999991</v>
      </c>
      <c r="R4" s="129">
        <v>16.100000000000001</v>
      </c>
      <c r="S4" s="129">
        <v>122</v>
      </c>
      <c r="T4" s="159">
        <f t="shared" si="0"/>
        <v>27</v>
      </c>
      <c r="U4" s="129">
        <v>98</v>
      </c>
      <c r="V4" s="160">
        <f t="shared" si="1"/>
        <v>2646</v>
      </c>
      <c r="W4" s="129">
        <v>18</v>
      </c>
      <c r="X4" s="129" t="s">
        <v>28</v>
      </c>
      <c r="Y4" s="129" t="s">
        <v>55</v>
      </c>
      <c r="Z4" s="129" t="s">
        <v>43</v>
      </c>
      <c r="AA4" s="129" t="s">
        <v>74</v>
      </c>
      <c r="AB4" s="129" t="s">
        <v>195</v>
      </c>
      <c r="AE4" s="167" t="s">
        <v>23</v>
      </c>
      <c r="AG4" s="162" t="s">
        <v>396</v>
      </c>
      <c r="AH4" s="162" t="s">
        <v>397</v>
      </c>
      <c r="AJ4" s="172" t="s">
        <v>37</v>
      </c>
      <c r="AL4" s="168" t="s">
        <v>201</v>
      </c>
      <c r="AN4" s="173" t="s">
        <v>202</v>
      </c>
      <c r="AP4" s="168" t="s">
        <v>203</v>
      </c>
      <c r="AR4" s="168" t="s">
        <v>204</v>
      </c>
      <c r="AT4" s="173"/>
      <c r="AV4" s="168" t="s">
        <v>39</v>
      </c>
      <c r="AX4" s="169">
        <v>75</v>
      </c>
      <c r="AY4" s="170">
        <v>42</v>
      </c>
      <c r="AZ4" s="170">
        <v>76</v>
      </c>
      <c r="BA4" s="171">
        <v>39</v>
      </c>
    </row>
    <row r="5" spans="1:53" x14ac:dyDescent="0.15">
      <c r="A5" s="129" t="s">
        <v>40</v>
      </c>
      <c r="B5" s="129" t="s">
        <v>191</v>
      </c>
      <c r="C5" s="129">
        <v>2020</v>
      </c>
      <c r="D5" s="130" t="s">
        <v>390</v>
      </c>
      <c r="E5" s="129" t="s">
        <v>391</v>
      </c>
      <c r="F5" s="129" t="s">
        <v>392</v>
      </c>
      <c r="G5" s="129" t="s">
        <v>31</v>
      </c>
      <c r="H5" s="129" t="s">
        <v>113</v>
      </c>
      <c r="I5" s="129" t="s">
        <v>111</v>
      </c>
      <c r="J5" s="77" t="s">
        <v>27</v>
      </c>
      <c r="K5" s="77" t="s">
        <v>112</v>
      </c>
      <c r="L5" s="129">
        <v>1</v>
      </c>
      <c r="N5" s="129">
        <v>2</v>
      </c>
      <c r="O5" s="129">
        <v>1</v>
      </c>
      <c r="P5" s="129">
        <v>1.05</v>
      </c>
      <c r="Q5" s="158">
        <f t="shared" si="2"/>
        <v>1.0249999999999999</v>
      </c>
      <c r="R5" s="129">
        <v>15.4</v>
      </c>
      <c r="S5" s="129">
        <v>138</v>
      </c>
      <c r="T5" s="159">
        <f t="shared" si="0"/>
        <v>22</v>
      </c>
      <c r="U5" s="129">
        <v>398</v>
      </c>
      <c r="V5" s="160">
        <f t="shared" si="1"/>
        <v>4378</v>
      </c>
      <c r="W5" s="129">
        <v>18</v>
      </c>
      <c r="X5" s="129" t="s">
        <v>28</v>
      </c>
      <c r="Y5" s="129" t="s">
        <v>55</v>
      </c>
      <c r="Z5" s="129" t="s">
        <v>43</v>
      </c>
      <c r="AA5" s="129" t="s">
        <v>74</v>
      </c>
      <c r="AB5" s="129" t="s">
        <v>195</v>
      </c>
      <c r="AE5" s="167" t="s">
        <v>40</v>
      </c>
      <c r="AG5" s="162" t="s">
        <v>170</v>
      </c>
      <c r="AH5" s="162" t="s">
        <v>398</v>
      </c>
      <c r="AJ5" s="173"/>
      <c r="AL5" s="168" t="s">
        <v>113</v>
      </c>
      <c r="AN5" s="174" t="s">
        <v>111</v>
      </c>
      <c r="AP5" s="168" t="s">
        <v>206</v>
      </c>
      <c r="AR5" s="168" t="s">
        <v>42</v>
      </c>
      <c r="AV5" s="168" t="s">
        <v>43</v>
      </c>
      <c r="AX5" s="169">
        <v>84</v>
      </c>
      <c r="AY5" s="170">
        <v>39</v>
      </c>
      <c r="AZ5" s="170">
        <v>84</v>
      </c>
      <c r="BA5" s="171">
        <v>36</v>
      </c>
    </row>
    <row r="6" spans="1:53" x14ac:dyDescent="0.15">
      <c r="A6" s="129" t="s">
        <v>40</v>
      </c>
      <c r="B6" s="129" t="s">
        <v>191</v>
      </c>
      <c r="C6" s="129">
        <v>2020</v>
      </c>
      <c r="D6" s="130" t="s">
        <v>390</v>
      </c>
      <c r="E6" s="129" t="s">
        <v>391</v>
      </c>
      <c r="F6" s="129" t="s">
        <v>392</v>
      </c>
      <c r="G6" s="129" t="s">
        <v>31</v>
      </c>
      <c r="H6" s="129" t="s">
        <v>113</v>
      </c>
      <c r="I6" s="129" t="s">
        <v>111</v>
      </c>
      <c r="J6" s="77" t="s">
        <v>27</v>
      </c>
      <c r="K6" s="77" t="s">
        <v>112</v>
      </c>
      <c r="L6" s="129">
        <v>2</v>
      </c>
      <c r="N6" s="129">
        <v>2</v>
      </c>
      <c r="O6" s="129">
        <v>1.1000000000000001</v>
      </c>
      <c r="P6" s="129">
        <v>1.1000000000000001</v>
      </c>
      <c r="Q6" s="158">
        <f t="shared" si="2"/>
        <v>1.1000000000000001</v>
      </c>
      <c r="R6" s="129">
        <v>15.3</v>
      </c>
      <c r="S6" s="129">
        <v>144</v>
      </c>
      <c r="T6" s="159">
        <f t="shared" si="0"/>
        <v>22</v>
      </c>
      <c r="U6" s="129">
        <v>398</v>
      </c>
      <c r="V6" s="160">
        <f t="shared" si="1"/>
        <v>4378</v>
      </c>
      <c r="W6" s="129">
        <v>18</v>
      </c>
      <c r="X6" s="129" t="s">
        <v>28</v>
      </c>
      <c r="Y6" s="129" t="s">
        <v>55</v>
      </c>
      <c r="Z6" s="129" t="s">
        <v>43</v>
      </c>
      <c r="AA6" s="129" t="s">
        <v>74</v>
      </c>
      <c r="AB6" s="129" t="s">
        <v>195</v>
      </c>
      <c r="AE6" s="167" t="s">
        <v>44</v>
      </c>
      <c r="AG6" s="162" t="s">
        <v>399</v>
      </c>
      <c r="AH6" s="162" t="s">
        <v>400</v>
      </c>
      <c r="AL6" s="168" t="s">
        <v>208</v>
      </c>
      <c r="AN6" s="174" t="s">
        <v>165</v>
      </c>
      <c r="AP6" s="168" t="s">
        <v>41</v>
      </c>
      <c r="AR6" s="168" t="s">
        <v>46</v>
      </c>
      <c r="AV6" s="168" t="s">
        <v>47</v>
      </c>
      <c r="AX6" s="169">
        <v>97</v>
      </c>
      <c r="AY6" s="170">
        <v>36</v>
      </c>
      <c r="AZ6" s="170">
        <v>99</v>
      </c>
      <c r="BA6" s="171">
        <v>33</v>
      </c>
    </row>
    <row r="7" spans="1:53" x14ac:dyDescent="0.15">
      <c r="A7" s="129" t="s">
        <v>40</v>
      </c>
      <c r="B7" s="129" t="s">
        <v>191</v>
      </c>
      <c r="C7" s="129">
        <v>2020</v>
      </c>
      <c r="D7" s="130" t="s">
        <v>390</v>
      </c>
      <c r="E7" s="129" t="s">
        <v>391</v>
      </c>
      <c r="F7" s="129" t="s">
        <v>392</v>
      </c>
      <c r="G7" s="129" t="s">
        <v>31</v>
      </c>
      <c r="H7" s="129" t="s">
        <v>113</v>
      </c>
      <c r="I7" s="129" t="s">
        <v>111</v>
      </c>
      <c r="J7" s="77" t="s">
        <v>27</v>
      </c>
      <c r="K7" s="77" t="s">
        <v>112</v>
      </c>
      <c r="L7" s="129">
        <v>3</v>
      </c>
      <c r="N7" s="129">
        <v>2</v>
      </c>
      <c r="O7" s="129">
        <v>1.1499999999999999</v>
      </c>
      <c r="P7" s="129">
        <v>0.95</v>
      </c>
      <c r="Q7" s="158">
        <f t="shared" si="2"/>
        <v>1.0499999999999998</v>
      </c>
      <c r="R7" s="129">
        <v>16.100000000000001</v>
      </c>
      <c r="S7" s="129">
        <v>142</v>
      </c>
      <c r="T7" s="159">
        <f t="shared" si="0"/>
        <v>22</v>
      </c>
      <c r="U7" s="129">
        <v>398</v>
      </c>
      <c r="V7" s="160">
        <f t="shared" si="1"/>
        <v>4378</v>
      </c>
      <c r="W7" s="129">
        <v>18</v>
      </c>
      <c r="X7" s="129" t="s">
        <v>28</v>
      </c>
      <c r="Y7" s="129" t="s">
        <v>55</v>
      </c>
      <c r="Z7" s="129" t="s">
        <v>43</v>
      </c>
      <c r="AA7" s="129" t="s">
        <v>74</v>
      </c>
      <c r="AB7" s="129" t="s">
        <v>195</v>
      </c>
      <c r="AE7" s="167" t="s">
        <v>48</v>
      </c>
      <c r="AG7" s="162" t="s">
        <v>401</v>
      </c>
      <c r="AH7" s="162" t="s">
        <v>393</v>
      </c>
      <c r="AL7" s="168" t="s">
        <v>210</v>
      </c>
      <c r="AP7" s="168" t="s">
        <v>45</v>
      </c>
      <c r="AR7" s="168" t="s">
        <v>211</v>
      </c>
      <c r="AV7" s="168" t="s">
        <v>51</v>
      </c>
      <c r="AX7" s="169">
        <v>109</v>
      </c>
      <c r="AY7" s="170">
        <v>33</v>
      </c>
      <c r="AZ7" s="170">
        <v>113</v>
      </c>
      <c r="BA7" s="171">
        <v>30</v>
      </c>
    </row>
    <row r="8" spans="1:53" x14ac:dyDescent="0.15">
      <c r="A8" s="129" t="s">
        <v>40</v>
      </c>
      <c r="B8" s="129" t="s">
        <v>191</v>
      </c>
      <c r="C8" s="129">
        <v>2020</v>
      </c>
      <c r="D8" s="130" t="s">
        <v>390</v>
      </c>
      <c r="E8" s="129" t="s">
        <v>391</v>
      </c>
      <c r="F8" s="129" t="s">
        <v>392</v>
      </c>
      <c r="G8" s="129" t="s">
        <v>31</v>
      </c>
      <c r="H8" s="129" t="s">
        <v>113</v>
      </c>
      <c r="I8" s="129" t="s">
        <v>111</v>
      </c>
      <c r="J8" s="77" t="s">
        <v>27</v>
      </c>
      <c r="K8" s="77" t="s">
        <v>112</v>
      </c>
      <c r="L8" s="129">
        <v>1</v>
      </c>
      <c r="N8" s="129">
        <v>8</v>
      </c>
      <c r="O8" s="129">
        <v>0.6</v>
      </c>
      <c r="P8" s="129">
        <v>0.55000000000000004</v>
      </c>
      <c r="Q8" s="158">
        <f t="shared" si="2"/>
        <v>0.57499999999999996</v>
      </c>
      <c r="R8" s="129">
        <v>13.6</v>
      </c>
      <c r="S8" s="129">
        <v>99</v>
      </c>
      <c r="T8" s="159">
        <f t="shared" si="0"/>
        <v>33</v>
      </c>
      <c r="U8" s="129">
        <v>598</v>
      </c>
      <c r="V8" s="160">
        <f t="shared" si="1"/>
        <v>2466.75</v>
      </c>
      <c r="W8" s="129">
        <v>18</v>
      </c>
      <c r="X8" s="129" t="s">
        <v>28</v>
      </c>
      <c r="Y8" s="129" t="s">
        <v>55</v>
      </c>
      <c r="Z8" s="129" t="s">
        <v>43</v>
      </c>
      <c r="AA8" s="129" t="s">
        <v>74</v>
      </c>
      <c r="AB8" s="129" t="s">
        <v>195</v>
      </c>
      <c r="AE8" s="167" t="s">
        <v>46</v>
      </c>
      <c r="AG8" s="162" t="s">
        <v>402</v>
      </c>
      <c r="AH8" s="162" t="s">
        <v>403</v>
      </c>
      <c r="AL8" s="168" t="s">
        <v>166</v>
      </c>
      <c r="AP8" s="168" t="s">
        <v>49</v>
      </c>
      <c r="AR8" s="168" t="s">
        <v>67</v>
      </c>
      <c r="AV8" s="168" t="s">
        <v>82</v>
      </c>
      <c r="AX8" s="169">
        <v>119</v>
      </c>
      <c r="AY8" s="170">
        <v>30</v>
      </c>
      <c r="AZ8" s="170">
        <v>121</v>
      </c>
      <c r="BA8" s="171">
        <v>27</v>
      </c>
    </row>
    <row r="9" spans="1:53" x14ac:dyDescent="0.15">
      <c r="A9" s="129" t="s">
        <v>40</v>
      </c>
      <c r="B9" s="129" t="s">
        <v>191</v>
      </c>
      <c r="C9" s="129">
        <v>2020</v>
      </c>
      <c r="D9" s="130" t="s">
        <v>390</v>
      </c>
      <c r="E9" s="129" t="s">
        <v>391</v>
      </c>
      <c r="F9" s="129" t="s">
        <v>392</v>
      </c>
      <c r="G9" s="129" t="s">
        <v>31</v>
      </c>
      <c r="H9" s="129" t="s">
        <v>113</v>
      </c>
      <c r="I9" s="129" t="s">
        <v>111</v>
      </c>
      <c r="J9" s="77" t="s">
        <v>27</v>
      </c>
      <c r="K9" s="77" t="s">
        <v>112</v>
      </c>
      <c r="L9" s="129">
        <v>2</v>
      </c>
      <c r="N9" s="129">
        <v>8</v>
      </c>
      <c r="O9" s="129">
        <v>0.55000000000000004</v>
      </c>
      <c r="P9" s="129">
        <v>0.65</v>
      </c>
      <c r="Q9" s="158">
        <f t="shared" si="2"/>
        <v>0.60000000000000009</v>
      </c>
      <c r="R9" s="129">
        <v>13.1</v>
      </c>
      <c r="S9" s="129">
        <v>96</v>
      </c>
      <c r="T9" s="159">
        <f t="shared" si="0"/>
        <v>36</v>
      </c>
      <c r="U9" s="129">
        <v>598</v>
      </c>
      <c r="V9" s="160">
        <f t="shared" si="1"/>
        <v>2691</v>
      </c>
      <c r="W9" s="129">
        <v>18</v>
      </c>
      <c r="X9" s="129" t="s">
        <v>28</v>
      </c>
      <c r="Y9" s="129" t="s">
        <v>55</v>
      </c>
      <c r="Z9" s="129" t="s">
        <v>43</v>
      </c>
      <c r="AA9" s="129" t="s">
        <v>74</v>
      </c>
      <c r="AB9" s="129" t="s">
        <v>195</v>
      </c>
      <c r="AE9" s="167" t="s">
        <v>214</v>
      </c>
      <c r="AG9" s="162" t="s">
        <v>404</v>
      </c>
      <c r="AH9" s="162" t="s">
        <v>392</v>
      </c>
      <c r="AL9" s="80" t="s">
        <v>217</v>
      </c>
      <c r="AP9" s="168" t="s">
        <v>80</v>
      </c>
      <c r="AR9" s="168" t="s">
        <v>218</v>
      </c>
      <c r="AV9" s="168" t="s">
        <v>86</v>
      </c>
      <c r="AX9" s="169">
        <v>128</v>
      </c>
      <c r="AY9" s="170">
        <v>27</v>
      </c>
      <c r="AZ9" s="170">
        <v>129</v>
      </c>
      <c r="BA9" s="171">
        <v>25</v>
      </c>
    </row>
    <row r="10" spans="1:53" x14ac:dyDescent="0.15">
      <c r="A10" s="129" t="s">
        <v>40</v>
      </c>
      <c r="B10" s="129" t="s">
        <v>191</v>
      </c>
      <c r="C10" s="129">
        <v>2020</v>
      </c>
      <c r="D10" s="130" t="s">
        <v>390</v>
      </c>
      <c r="E10" s="129" t="s">
        <v>391</v>
      </c>
      <c r="F10" s="129" t="s">
        <v>392</v>
      </c>
      <c r="G10" s="129" t="s">
        <v>31</v>
      </c>
      <c r="H10" s="129" t="s">
        <v>113</v>
      </c>
      <c r="I10" s="129" t="s">
        <v>111</v>
      </c>
      <c r="J10" s="77" t="s">
        <v>27</v>
      </c>
      <c r="K10" s="77" t="s">
        <v>112</v>
      </c>
      <c r="L10" s="129">
        <v>3</v>
      </c>
      <c r="N10" s="129">
        <v>8</v>
      </c>
      <c r="O10" s="129">
        <v>0.5</v>
      </c>
      <c r="P10" s="129">
        <v>0.55000000000000004</v>
      </c>
      <c r="Q10" s="158">
        <f t="shared" si="2"/>
        <v>0.52500000000000002</v>
      </c>
      <c r="R10" s="129">
        <v>13.9</v>
      </c>
      <c r="S10" s="129">
        <v>100</v>
      </c>
      <c r="T10" s="159">
        <f t="shared" si="0"/>
        <v>33</v>
      </c>
      <c r="U10" s="129">
        <v>598</v>
      </c>
      <c r="V10" s="160">
        <f t="shared" si="1"/>
        <v>2466.75</v>
      </c>
      <c r="W10" s="129">
        <v>18</v>
      </c>
      <c r="X10" s="129" t="s">
        <v>28</v>
      </c>
      <c r="Y10" s="129" t="s">
        <v>55</v>
      </c>
      <c r="Z10" s="129" t="s">
        <v>43</v>
      </c>
      <c r="AA10" s="129" t="s">
        <v>74</v>
      </c>
      <c r="AB10" s="129" t="s">
        <v>195</v>
      </c>
      <c r="AE10" s="167" t="s">
        <v>219</v>
      </c>
      <c r="AG10" s="162" t="s">
        <v>391</v>
      </c>
      <c r="AH10" s="168" t="s">
        <v>392</v>
      </c>
      <c r="AP10" s="168" t="s">
        <v>84</v>
      </c>
      <c r="AR10" s="168" t="s">
        <v>221</v>
      </c>
      <c r="AV10" s="168" t="s">
        <v>90</v>
      </c>
      <c r="AX10" s="169">
        <v>138</v>
      </c>
      <c r="AY10" s="170">
        <v>25</v>
      </c>
      <c r="AZ10" s="170">
        <v>138</v>
      </c>
      <c r="BA10" s="171">
        <v>22</v>
      </c>
    </row>
    <row r="11" spans="1:53" x14ac:dyDescent="0.15">
      <c r="A11" s="129" t="s">
        <v>40</v>
      </c>
      <c r="B11" s="129" t="s">
        <v>191</v>
      </c>
      <c r="C11" s="129">
        <v>2020</v>
      </c>
      <c r="D11" s="130" t="s">
        <v>390</v>
      </c>
      <c r="E11" s="129" t="s">
        <v>391</v>
      </c>
      <c r="F11" s="129" t="s">
        <v>392</v>
      </c>
      <c r="G11" s="129" t="s">
        <v>31</v>
      </c>
      <c r="H11" s="129" t="s">
        <v>166</v>
      </c>
      <c r="I11" s="129" t="s">
        <v>111</v>
      </c>
      <c r="J11" s="77" t="s">
        <v>27</v>
      </c>
      <c r="K11" s="77" t="s">
        <v>112</v>
      </c>
      <c r="L11" s="129">
        <v>1</v>
      </c>
      <c r="N11" s="129">
        <v>1</v>
      </c>
      <c r="O11" s="129">
        <v>1.1000000000000001</v>
      </c>
      <c r="P11" s="129">
        <v>1.1000000000000001</v>
      </c>
      <c r="Q11" s="158">
        <f t="shared" si="2"/>
        <v>1.1000000000000001</v>
      </c>
      <c r="R11" s="129">
        <v>16.2</v>
      </c>
      <c r="S11" s="129">
        <v>178</v>
      </c>
      <c r="T11" s="159">
        <f t="shared" si="0"/>
        <v>18</v>
      </c>
      <c r="U11" s="129">
        <v>158</v>
      </c>
      <c r="V11" s="160">
        <f t="shared" si="1"/>
        <v>2844</v>
      </c>
      <c r="W11" s="129">
        <v>18</v>
      </c>
      <c r="X11" s="129" t="s">
        <v>28</v>
      </c>
      <c r="Y11" s="129" t="s">
        <v>55</v>
      </c>
      <c r="Z11" s="129" t="s">
        <v>43</v>
      </c>
      <c r="AA11" s="129" t="s">
        <v>74</v>
      </c>
      <c r="AB11" s="129" t="s">
        <v>195</v>
      </c>
      <c r="AE11" s="167" t="s">
        <v>54</v>
      </c>
      <c r="AG11" s="162" t="s">
        <v>371</v>
      </c>
      <c r="AH11" s="168" t="s">
        <v>405</v>
      </c>
      <c r="AP11" s="168" t="s">
        <v>88</v>
      </c>
      <c r="AR11" s="168" t="s">
        <v>224</v>
      </c>
      <c r="AV11" s="168" t="s">
        <v>55</v>
      </c>
      <c r="AX11" s="169">
        <v>151</v>
      </c>
      <c r="AY11" s="170">
        <v>22</v>
      </c>
      <c r="AZ11" s="170">
        <v>152</v>
      </c>
      <c r="BA11" s="171">
        <v>18</v>
      </c>
    </row>
    <row r="12" spans="1:53" x14ac:dyDescent="0.15">
      <c r="A12" s="129" t="s">
        <v>40</v>
      </c>
      <c r="B12" s="129" t="s">
        <v>191</v>
      </c>
      <c r="C12" s="129">
        <v>2020</v>
      </c>
      <c r="D12" s="130" t="s">
        <v>390</v>
      </c>
      <c r="E12" s="129" t="s">
        <v>391</v>
      </c>
      <c r="F12" s="129" t="s">
        <v>392</v>
      </c>
      <c r="G12" s="129" t="s">
        <v>31</v>
      </c>
      <c r="H12" s="129" t="s">
        <v>166</v>
      </c>
      <c r="I12" s="129" t="s">
        <v>111</v>
      </c>
      <c r="J12" s="77" t="s">
        <v>27</v>
      </c>
      <c r="K12" s="77" t="s">
        <v>112</v>
      </c>
      <c r="L12" s="129">
        <v>2</v>
      </c>
      <c r="N12" s="129">
        <v>1</v>
      </c>
      <c r="O12" s="129">
        <v>1</v>
      </c>
      <c r="P12" s="129">
        <v>0.95</v>
      </c>
      <c r="Q12" s="158">
        <f t="shared" si="2"/>
        <v>0.97499999999999998</v>
      </c>
      <c r="R12" s="129">
        <v>15.8</v>
      </c>
      <c r="S12" s="129">
        <v>176</v>
      </c>
      <c r="T12" s="159">
        <f t="shared" si="0"/>
        <v>18</v>
      </c>
      <c r="U12" s="129">
        <v>158</v>
      </c>
      <c r="V12" s="160">
        <f t="shared" si="1"/>
        <v>2844</v>
      </c>
      <c r="W12" s="129">
        <v>18</v>
      </c>
      <c r="X12" s="129" t="s">
        <v>28</v>
      </c>
      <c r="Y12" s="129" t="s">
        <v>55</v>
      </c>
      <c r="Z12" s="129" t="s">
        <v>43</v>
      </c>
      <c r="AA12" s="129" t="s">
        <v>74</v>
      </c>
      <c r="AB12" s="129" t="s">
        <v>195</v>
      </c>
      <c r="AE12" s="167" t="s">
        <v>225</v>
      </c>
      <c r="AG12" s="168"/>
      <c r="AH12" s="168"/>
      <c r="AP12" s="168" t="s">
        <v>53</v>
      </c>
      <c r="AR12" s="168" t="s">
        <v>226</v>
      </c>
      <c r="AV12" s="168" t="s">
        <v>58</v>
      </c>
      <c r="AX12" s="175">
        <v>180</v>
      </c>
      <c r="AY12" s="176">
        <v>18</v>
      </c>
      <c r="AZ12" s="176">
        <v>181</v>
      </c>
      <c r="BA12" s="177">
        <v>16</v>
      </c>
    </row>
    <row r="13" spans="1:53" x14ac:dyDescent="0.15">
      <c r="A13" s="129" t="s">
        <v>40</v>
      </c>
      <c r="B13" s="129" t="s">
        <v>191</v>
      </c>
      <c r="C13" s="129">
        <v>2020</v>
      </c>
      <c r="D13" s="130" t="s">
        <v>390</v>
      </c>
      <c r="E13" s="129" t="s">
        <v>391</v>
      </c>
      <c r="F13" s="129" t="s">
        <v>392</v>
      </c>
      <c r="G13" s="129" t="s">
        <v>31</v>
      </c>
      <c r="H13" s="129" t="s">
        <v>166</v>
      </c>
      <c r="I13" s="129" t="s">
        <v>111</v>
      </c>
      <c r="J13" s="77" t="s">
        <v>27</v>
      </c>
      <c r="K13" s="77" t="s">
        <v>112</v>
      </c>
      <c r="L13" s="129">
        <v>3</v>
      </c>
      <c r="N13" s="129">
        <v>1</v>
      </c>
      <c r="O13" s="129">
        <v>1.1499999999999999</v>
      </c>
      <c r="P13" s="129">
        <v>0.9</v>
      </c>
      <c r="Q13" s="158">
        <f t="shared" si="2"/>
        <v>1.0249999999999999</v>
      </c>
      <c r="R13" s="129">
        <v>15.9</v>
      </c>
      <c r="S13" s="129">
        <v>164</v>
      </c>
      <c r="T13" s="159">
        <f t="shared" si="0"/>
        <v>18</v>
      </c>
      <c r="U13" s="129">
        <v>158</v>
      </c>
      <c r="V13" s="160">
        <f t="shared" si="1"/>
        <v>2844</v>
      </c>
      <c r="W13" s="129">
        <v>18</v>
      </c>
      <c r="X13" s="129" t="s">
        <v>28</v>
      </c>
      <c r="Y13" s="129" t="s">
        <v>55</v>
      </c>
      <c r="Z13" s="129" t="s">
        <v>43</v>
      </c>
      <c r="AA13" s="129" t="s">
        <v>74</v>
      </c>
      <c r="AB13" s="129" t="s">
        <v>195</v>
      </c>
      <c r="AE13" s="167" t="s">
        <v>227</v>
      </c>
      <c r="AG13" s="168"/>
      <c r="AH13" s="168"/>
      <c r="AP13" s="168" t="s">
        <v>57</v>
      </c>
      <c r="AR13" s="168" t="s">
        <v>219</v>
      </c>
      <c r="AV13" s="168" t="s">
        <v>61</v>
      </c>
    </row>
    <row r="14" spans="1:53" x14ac:dyDescent="0.15">
      <c r="A14" s="129" t="s">
        <v>40</v>
      </c>
      <c r="B14" s="129" t="s">
        <v>191</v>
      </c>
      <c r="C14" s="129">
        <v>2020</v>
      </c>
      <c r="D14" s="130" t="s">
        <v>390</v>
      </c>
      <c r="E14" s="129" t="s">
        <v>391</v>
      </c>
      <c r="F14" s="129" t="s">
        <v>392</v>
      </c>
      <c r="G14" s="129" t="s">
        <v>31</v>
      </c>
      <c r="H14" s="129" t="s">
        <v>166</v>
      </c>
      <c r="I14" s="129" t="s">
        <v>111</v>
      </c>
      <c r="J14" s="77" t="s">
        <v>27</v>
      </c>
      <c r="K14" s="77" t="s">
        <v>112</v>
      </c>
      <c r="L14" s="129">
        <v>1</v>
      </c>
      <c r="N14" s="129">
        <v>4</v>
      </c>
      <c r="O14" s="129">
        <v>0.75</v>
      </c>
      <c r="P14" s="129">
        <v>0.85</v>
      </c>
      <c r="Q14" s="158">
        <f t="shared" si="2"/>
        <v>0.8</v>
      </c>
      <c r="R14" s="129">
        <v>17.2</v>
      </c>
      <c r="S14" s="129">
        <v>99</v>
      </c>
      <c r="T14" s="159">
        <f t="shared" si="0"/>
        <v>33</v>
      </c>
      <c r="U14" s="129">
        <v>498</v>
      </c>
      <c r="V14" s="160">
        <f t="shared" si="1"/>
        <v>4108.5</v>
      </c>
      <c r="W14" s="129">
        <v>18</v>
      </c>
      <c r="X14" s="129" t="s">
        <v>28</v>
      </c>
      <c r="Y14" s="129" t="s">
        <v>55</v>
      </c>
      <c r="Z14" s="129" t="s">
        <v>43</v>
      </c>
      <c r="AA14" s="129" t="s">
        <v>74</v>
      </c>
      <c r="AB14" s="129" t="s">
        <v>195</v>
      </c>
      <c r="AE14" s="167" t="s">
        <v>81</v>
      </c>
      <c r="AG14" s="168"/>
      <c r="AH14" s="168"/>
      <c r="AP14" s="168" t="s">
        <v>60</v>
      </c>
      <c r="AR14" s="168" t="s">
        <v>228</v>
      </c>
      <c r="AV14" s="168" t="s">
        <v>64</v>
      </c>
    </row>
    <row r="15" spans="1:53" x14ac:dyDescent="0.15">
      <c r="A15" s="129" t="s">
        <v>40</v>
      </c>
      <c r="B15" s="129" t="s">
        <v>191</v>
      </c>
      <c r="C15" s="129">
        <v>2020</v>
      </c>
      <c r="D15" s="130" t="s">
        <v>390</v>
      </c>
      <c r="E15" s="129" t="s">
        <v>391</v>
      </c>
      <c r="F15" s="129" t="s">
        <v>392</v>
      </c>
      <c r="G15" s="129" t="s">
        <v>31</v>
      </c>
      <c r="H15" s="129" t="s">
        <v>166</v>
      </c>
      <c r="I15" s="129" t="s">
        <v>111</v>
      </c>
      <c r="J15" s="77" t="s">
        <v>27</v>
      </c>
      <c r="K15" s="77" t="s">
        <v>112</v>
      </c>
      <c r="L15" s="129">
        <v>2</v>
      </c>
      <c r="N15" s="129">
        <v>4</v>
      </c>
      <c r="O15" s="129">
        <v>0.75</v>
      </c>
      <c r="P15" s="129">
        <v>0.75</v>
      </c>
      <c r="Q15" s="158">
        <f t="shared" si="2"/>
        <v>0.75</v>
      </c>
      <c r="R15" s="129">
        <v>17.5</v>
      </c>
      <c r="S15" s="129">
        <v>100</v>
      </c>
      <c r="T15" s="159">
        <f t="shared" si="0"/>
        <v>33</v>
      </c>
      <c r="U15" s="129">
        <v>498</v>
      </c>
      <c r="V15" s="160">
        <f t="shared" si="1"/>
        <v>4108.5</v>
      </c>
      <c r="W15" s="129">
        <v>18</v>
      </c>
      <c r="X15" s="129" t="s">
        <v>28</v>
      </c>
      <c r="Y15" s="129" t="s">
        <v>55</v>
      </c>
      <c r="Z15" s="129" t="s">
        <v>43</v>
      </c>
      <c r="AA15" s="129" t="s">
        <v>74</v>
      </c>
      <c r="AB15" s="129" t="s">
        <v>195</v>
      </c>
      <c r="AE15" s="167" t="s">
        <v>229</v>
      </c>
      <c r="AG15" s="168"/>
      <c r="AH15" s="168"/>
      <c r="AP15" s="168" t="s">
        <v>63</v>
      </c>
      <c r="AR15" s="168" t="s">
        <v>66</v>
      </c>
      <c r="AV15" s="168" t="s">
        <v>91</v>
      </c>
    </row>
    <row r="16" spans="1:53" x14ac:dyDescent="0.15">
      <c r="A16" s="129" t="s">
        <v>40</v>
      </c>
      <c r="B16" s="129" t="s">
        <v>191</v>
      </c>
      <c r="C16" s="129">
        <v>2020</v>
      </c>
      <c r="D16" s="130" t="s">
        <v>390</v>
      </c>
      <c r="E16" s="129" t="s">
        <v>391</v>
      </c>
      <c r="F16" s="129" t="s">
        <v>392</v>
      </c>
      <c r="G16" s="129" t="s">
        <v>31</v>
      </c>
      <c r="H16" s="129" t="s">
        <v>166</v>
      </c>
      <c r="I16" s="129" t="s">
        <v>111</v>
      </c>
      <c r="J16" s="77" t="s">
        <v>27</v>
      </c>
      <c r="K16" s="77" t="s">
        <v>112</v>
      </c>
      <c r="L16" s="129">
        <v>3</v>
      </c>
      <c r="N16" s="129">
        <v>4</v>
      </c>
      <c r="O16" s="129">
        <v>0.85</v>
      </c>
      <c r="P16" s="129">
        <v>0.8</v>
      </c>
      <c r="Q16" s="158">
        <f t="shared" si="2"/>
        <v>0.82499999999999996</v>
      </c>
      <c r="R16" s="129">
        <v>18.8</v>
      </c>
      <c r="S16" s="129">
        <v>104</v>
      </c>
      <c r="T16" s="159">
        <f t="shared" si="0"/>
        <v>33</v>
      </c>
      <c r="U16" s="129">
        <v>498</v>
      </c>
      <c r="V16" s="160">
        <f t="shared" si="1"/>
        <v>4108.5</v>
      </c>
      <c r="W16" s="129">
        <v>18</v>
      </c>
      <c r="X16" s="129" t="s">
        <v>28</v>
      </c>
      <c r="Y16" s="129" t="s">
        <v>55</v>
      </c>
      <c r="Z16" s="129" t="s">
        <v>43</v>
      </c>
      <c r="AA16" s="129" t="s">
        <v>74</v>
      </c>
      <c r="AB16" s="129" t="s">
        <v>195</v>
      </c>
      <c r="AE16" s="167" t="s">
        <v>230</v>
      </c>
      <c r="AG16" s="173"/>
      <c r="AH16" s="173"/>
      <c r="AP16" s="168" t="s">
        <v>66</v>
      </c>
      <c r="AR16" s="168" t="s">
        <v>50</v>
      </c>
      <c r="AV16" s="168" t="s">
        <v>70</v>
      </c>
    </row>
    <row r="17" spans="1:48" x14ac:dyDescent="0.15">
      <c r="A17" s="129" t="s">
        <v>40</v>
      </c>
      <c r="B17" s="129" t="s">
        <v>191</v>
      </c>
      <c r="C17" s="129">
        <v>2020</v>
      </c>
      <c r="D17" s="130" t="s">
        <v>390</v>
      </c>
      <c r="E17" s="129" t="s">
        <v>391</v>
      </c>
      <c r="F17" s="129" t="s">
        <v>392</v>
      </c>
      <c r="G17" s="129" t="s">
        <v>31</v>
      </c>
      <c r="H17" s="129" t="s">
        <v>166</v>
      </c>
      <c r="I17" s="129" t="s">
        <v>111</v>
      </c>
      <c r="J17" s="77" t="s">
        <v>27</v>
      </c>
      <c r="K17" s="77" t="s">
        <v>112</v>
      </c>
      <c r="L17" s="129">
        <v>1</v>
      </c>
      <c r="N17" s="129">
        <v>8</v>
      </c>
      <c r="O17" s="129">
        <v>0.6</v>
      </c>
      <c r="P17" s="129">
        <v>0.75</v>
      </c>
      <c r="Q17" s="158">
        <f t="shared" si="2"/>
        <v>0.67500000000000004</v>
      </c>
      <c r="R17" s="129">
        <v>16</v>
      </c>
      <c r="S17" s="129">
        <v>99</v>
      </c>
      <c r="T17" s="159">
        <f t="shared" si="0"/>
        <v>33</v>
      </c>
      <c r="U17" s="129">
        <v>698</v>
      </c>
      <c r="V17" s="160">
        <f t="shared" si="1"/>
        <v>2879.25</v>
      </c>
      <c r="W17" s="129">
        <v>18</v>
      </c>
      <c r="X17" s="129" t="s">
        <v>28</v>
      </c>
      <c r="Y17" s="129" t="s">
        <v>55</v>
      </c>
      <c r="Z17" s="129" t="s">
        <v>43</v>
      </c>
      <c r="AA17" s="129" t="s">
        <v>74</v>
      </c>
      <c r="AB17" s="129" t="s">
        <v>195</v>
      </c>
      <c r="AE17" s="167" t="s">
        <v>231</v>
      </c>
      <c r="AP17" s="172" t="s">
        <v>232</v>
      </c>
      <c r="AR17" s="168" t="s">
        <v>81</v>
      </c>
      <c r="AV17" s="168" t="s">
        <v>72</v>
      </c>
    </row>
    <row r="18" spans="1:48" x14ac:dyDescent="0.15">
      <c r="A18" s="129" t="s">
        <v>40</v>
      </c>
      <c r="B18" s="129" t="s">
        <v>191</v>
      </c>
      <c r="C18" s="129">
        <v>2020</v>
      </c>
      <c r="D18" s="130" t="s">
        <v>390</v>
      </c>
      <c r="E18" s="129" t="s">
        <v>391</v>
      </c>
      <c r="F18" s="129" t="s">
        <v>392</v>
      </c>
      <c r="G18" s="129" t="s">
        <v>31</v>
      </c>
      <c r="H18" s="129" t="s">
        <v>166</v>
      </c>
      <c r="I18" s="129" t="s">
        <v>111</v>
      </c>
      <c r="J18" s="77" t="s">
        <v>27</v>
      </c>
      <c r="K18" s="77" t="s">
        <v>112</v>
      </c>
      <c r="L18" s="129">
        <v>2</v>
      </c>
      <c r="N18" s="129">
        <v>8</v>
      </c>
      <c r="O18" s="129">
        <v>0.75</v>
      </c>
      <c r="P18" s="129">
        <v>0.65</v>
      </c>
      <c r="Q18" s="158">
        <f t="shared" si="2"/>
        <v>0.7</v>
      </c>
      <c r="R18" s="129">
        <v>16.600000000000001</v>
      </c>
      <c r="S18" s="129">
        <v>94</v>
      </c>
      <c r="T18" s="159">
        <f t="shared" si="0"/>
        <v>36</v>
      </c>
      <c r="U18" s="129">
        <v>698</v>
      </c>
      <c r="V18" s="160">
        <f t="shared" si="1"/>
        <v>3141</v>
      </c>
      <c r="W18" s="129">
        <v>18</v>
      </c>
      <c r="X18" s="129" t="s">
        <v>28</v>
      </c>
      <c r="Y18" s="129" t="s">
        <v>55</v>
      </c>
      <c r="Z18" s="129" t="s">
        <v>43</v>
      </c>
      <c r="AA18" s="129" t="s">
        <v>74</v>
      </c>
      <c r="AB18" s="129" t="s">
        <v>195</v>
      </c>
      <c r="AE18" s="167" t="s">
        <v>224</v>
      </c>
      <c r="AP18" s="172" t="s">
        <v>233</v>
      </c>
      <c r="AR18" s="168" t="s">
        <v>85</v>
      </c>
      <c r="AV18" s="168" t="s">
        <v>74</v>
      </c>
    </row>
    <row r="19" spans="1:48" x14ac:dyDescent="0.15">
      <c r="A19" s="129" t="s">
        <v>40</v>
      </c>
      <c r="B19" s="129" t="s">
        <v>191</v>
      </c>
      <c r="C19" s="129">
        <v>2020</v>
      </c>
      <c r="D19" s="130" t="s">
        <v>390</v>
      </c>
      <c r="E19" s="129" t="s">
        <v>391</v>
      </c>
      <c r="F19" s="129" t="s">
        <v>392</v>
      </c>
      <c r="G19" s="129" t="s">
        <v>31</v>
      </c>
      <c r="H19" s="129" t="s">
        <v>166</v>
      </c>
      <c r="I19" s="129" t="s">
        <v>111</v>
      </c>
      <c r="J19" s="77" t="s">
        <v>27</v>
      </c>
      <c r="K19" s="77" t="s">
        <v>112</v>
      </c>
      <c r="L19" s="129">
        <v>3</v>
      </c>
      <c r="N19" s="129">
        <v>8</v>
      </c>
      <c r="O19" s="129">
        <v>0.7</v>
      </c>
      <c r="P19" s="129">
        <v>0.75</v>
      </c>
      <c r="Q19" s="158">
        <f t="shared" si="2"/>
        <v>0.72499999999999998</v>
      </c>
      <c r="R19" s="129">
        <v>16.3</v>
      </c>
      <c r="S19" s="129">
        <v>100</v>
      </c>
      <c r="T19" s="159">
        <f t="shared" si="0"/>
        <v>33</v>
      </c>
      <c r="U19" s="129">
        <v>698</v>
      </c>
      <c r="V19" s="160">
        <f t="shared" si="1"/>
        <v>2879.25</v>
      </c>
      <c r="W19" s="129">
        <v>18</v>
      </c>
      <c r="X19" s="129" t="s">
        <v>28</v>
      </c>
      <c r="Y19" s="129" t="s">
        <v>55</v>
      </c>
      <c r="Z19" s="129" t="s">
        <v>43</v>
      </c>
      <c r="AA19" s="129" t="s">
        <v>74</v>
      </c>
      <c r="AB19" s="129" t="s">
        <v>195</v>
      </c>
      <c r="AE19" s="178" t="s">
        <v>218</v>
      </c>
      <c r="AP19" s="172" t="s">
        <v>234</v>
      </c>
      <c r="AR19" s="168" t="s">
        <v>235</v>
      </c>
      <c r="AV19" s="168" t="s">
        <v>76</v>
      </c>
    </row>
    <row r="20" spans="1:48" x14ac:dyDescent="0.15">
      <c r="A20" s="129" t="s">
        <v>40</v>
      </c>
      <c r="B20" s="129" t="s">
        <v>191</v>
      </c>
      <c r="C20" s="129">
        <v>2020</v>
      </c>
      <c r="D20" s="130" t="s">
        <v>390</v>
      </c>
      <c r="E20" s="129" t="s">
        <v>394</v>
      </c>
      <c r="F20" s="129" t="s">
        <v>395</v>
      </c>
      <c r="G20" s="129" t="s">
        <v>25</v>
      </c>
      <c r="H20" s="129" t="s">
        <v>113</v>
      </c>
      <c r="I20" s="129" t="s">
        <v>111</v>
      </c>
      <c r="J20" s="77" t="s">
        <v>27</v>
      </c>
      <c r="K20" s="77" t="s">
        <v>112</v>
      </c>
      <c r="L20" s="129">
        <v>1</v>
      </c>
      <c r="N20" s="129">
        <v>1</v>
      </c>
      <c r="O20" s="129">
        <v>1.3</v>
      </c>
      <c r="P20" s="129">
        <v>1.35</v>
      </c>
      <c r="Q20" s="158">
        <f t="shared" si="2"/>
        <v>1.3250000000000002</v>
      </c>
      <c r="R20" s="129">
        <v>15.7</v>
      </c>
      <c r="S20" s="129">
        <v>138</v>
      </c>
      <c r="T20" s="159">
        <f t="shared" si="0"/>
        <v>22</v>
      </c>
      <c r="U20" s="129">
        <v>128</v>
      </c>
      <c r="V20" s="160">
        <f t="shared" si="1"/>
        <v>2816</v>
      </c>
      <c r="W20" s="129">
        <v>4</v>
      </c>
      <c r="X20" s="129" t="s">
        <v>35</v>
      </c>
      <c r="Y20" s="129" t="s">
        <v>74</v>
      </c>
      <c r="Z20" s="129" t="s">
        <v>55</v>
      </c>
      <c r="AA20" s="129" t="s">
        <v>43</v>
      </c>
      <c r="AB20" s="129" t="s">
        <v>195</v>
      </c>
      <c r="AE20" s="178"/>
      <c r="AP20" s="172" t="s">
        <v>236</v>
      </c>
      <c r="AR20" s="168" t="s">
        <v>89</v>
      </c>
      <c r="AV20" s="172" t="s">
        <v>237</v>
      </c>
    </row>
    <row r="21" spans="1:48" x14ac:dyDescent="0.15">
      <c r="A21" s="129" t="s">
        <v>40</v>
      </c>
      <c r="B21" s="129" t="s">
        <v>191</v>
      </c>
      <c r="C21" s="129">
        <v>2020</v>
      </c>
      <c r="D21" s="130" t="s">
        <v>390</v>
      </c>
      <c r="E21" s="129" t="s">
        <v>394</v>
      </c>
      <c r="F21" s="129" t="s">
        <v>395</v>
      </c>
      <c r="G21" s="129" t="s">
        <v>25</v>
      </c>
      <c r="H21" s="129" t="s">
        <v>113</v>
      </c>
      <c r="I21" s="129" t="s">
        <v>111</v>
      </c>
      <c r="J21" s="77" t="s">
        <v>27</v>
      </c>
      <c r="K21" s="77" t="s">
        <v>112</v>
      </c>
      <c r="L21" s="129">
        <v>2</v>
      </c>
      <c r="N21" s="129">
        <v>1</v>
      </c>
      <c r="O21" s="129">
        <v>1.25</v>
      </c>
      <c r="P21" s="129">
        <v>1.45</v>
      </c>
      <c r="Q21" s="158">
        <f t="shared" si="2"/>
        <v>1.35</v>
      </c>
      <c r="R21" s="129">
        <v>15.4</v>
      </c>
      <c r="S21" s="129">
        <v>136</v>
      </c>
      <c r="T21" s="159">
        <f t="shared" si="0"/>
        <v>25</v>
      </c>
      <c r="U21" s="129">
        <v>128</v>
      </c>
      <c r="V21" s="160">
        <f t="shared" si="1"/>
        <v>3200</v>
      </c>
      <c r="W21" s="129">
        <v>4</v>
      </c>
      <c r="X21" s="129" t="s">
        <v>35</v>
      </c>
      <c r="Y21" s="129" t="s">
        <v>74</v>
      </c>
      <c r="Z21" s="129" t="s">
        <v>55</v>
      </c>
      <c r="AA21" s="129" t="s">
        <v>43</v>
      </c>
      <c r="AB21" s="129" t="s">
        <v>195</v>
      </c>
      <c r="AE21" s="173"/>
      <c r="AP21" s="172" t="s">
        <v>238</v>
      </c>
      <c r="AR21" s="168" t="s">
        <v>54</v>
      </c>
      <c r="AV21" s="172" t="s">
        <v>239</v>
      </c>
    </row>
    <row r="22" spans="1:48" x14ac:dyDescent="0.15">
      <c r="A22" s="129" t="s">
        <v>40</v>
      </c>
      <c r="B22" s="129" t="s">
        <v>191</v>
      </c>
      <c r="C22" s="129">
        <v>2020</v>
      </c>
      <c r="D22" s="130" t="s">
        <v>390</v>
      </c>
      <c r="E22" s="129" t="s">
        <v>394</v>
      </c>
      <c r="F22" s="129" t="s">
        <v>395</v>
      </c>
      <c r="G22" s="129" t="s">
        <v>25</v>
      </c>
      <c r="H22" s="129" t="s">
        <v>113</v>
      </c>
      <c r="I22" s="129" t="s">
        <v>111</v>
      </c>
      <c r="J22" s="77" t="s">
        <v>27</v>
      </c>
      <c r="K22" s="77" t="s">
        <v>112</v>
      </c>
      <c r="L22" s="129">
        <v>3</v>
      </c>
      <c r="N22" s="129">
        <v>1</v>
      </c>
      <c r="O22" s="129">
        <v>1.4</v>
      </c>
      <c r="P22" s="129">
        <v>1.25</v>
      </c>
      <c r="Q22" s="158">
        <f t="shared" si="2"/>
        <v>1.325</v>
      </c>
      <c r="R22" s="129">
        <v>15.5</v>
      </c>
      <c r="S22" s="129">
        <v>132</v>
      </c>
      <c r="T22" s="159">
        <f t="shared" si="0"/>
        <v>25</v>
      </c>
      <c r="U22" s="129">
        <v>128</v>
      </c>
      <c r="V22" s="160">
        <f t="shared" si="1"/>
        <v>3200</v>
      </c>
      <c r="W22" s="129">
        <v>4</v>
      </c>
      <c r="X22" s="129" t="s">
        <v>35</v>
      </c>
      <c r="Y22" s="129" t="s">
        <v>74</v>
      </c>
      <c r="Z22" s="129" t="s">
        <v>55</v>
      </c>
      <c r="AA22" s="129" t="s">
        <v>43</v>
      </c>
      <c r="AB22" s="129" t="s">
        <v>195</v>
      </c>
      <c r="AP22" s="172" t="s">
        <v>240</v>
      </c>
      <c r="AR22" s="168" t="s">
        <v>69</v>
      </c>
      <c r="AV22" s="172"/>
    </row>
    <row r="23" spans="1:48" x14ac:dyDescent="0.15">
      <c r="A23" s="129" t="s">
        <v>40</v>
      </c>
      <c r="B23" s="129" t="s">
        <v>191</v>
      </c>
      <c r="C23" s="129">
        <v>2020</v>
      </c>
      <c r="D23" s="130" t="s">
        <v>390</v>
      </c>
      <c r="E23" s="129" t="s">
        <v>394</v>
      </c>
      <c r="F23" s="129" t="s">
        <v>395</v>
      </c>
      <c r="G23" s="129" t="s">
        <v>25</v>
      </c>
      <c r="H23" s="129" t="s">
        <v>113</v>
      </c>
      <c r="I23" s="129" t="s">
        <v>111</v>
      </c>
      <c r="J23" s="77" t="s">
        <v>27</v>
      </c>
      <c r="K23" s="77" t="s">
        <v>112</v>
      </c>
      <c r="L23" s="129">
        <v>1</v>
      </c>
      <c r="N23" s="129">
        <v>4</v>
      </c>
      <c r="O23" s="129">
        <v>1.25</v>
      </c>
      <c r="P23" s="129">
        <v>1.4</v>
      </c>
      <c r="Q23" s="158">
        <f t="shared" si="2"/>
        <v>1.325</v>
      </c>
      <c r="R23" s="129">
        <v>14.4</v>
      </c>
      <c r="S23" s="129">
        <v>104</v>
      </c>
      <c r="T23" s="159">
        <f t="shared" si="0"/>
        <v>33</v>
      </c>
      <c r="U23" s="129">
        <v>398</v>
      </c>
      <c r="V23" s="160">
        <f t="shared" si="1"/>
        <v>3283.5</v>
      </c>
      <c r="W23" s="129">
        <v>4</v>
      </c>
      <c r="X23" s="129" t="s">
        <v>35</v>
      </c>
      <c r="Y23" s="129" t="s">
        <v>74</v>
      </c>
      <c r="Z23" s="129" t="s">
        <v>55</v>
      </c>
      <c r="AA23" s="129" t="s">
        <v>43</v>
      </c>
      <c r="AB23" s="129" t="s">
        <v>195</v>
      </c>
      <c r="AP23" s="172" t="s">
        <v>406</v>
      </c>
      <c r="AR23" s="168" t="s">
        <v>48</v>
      </c>
    </row>
    <row r="24" spans="1:48" x14ac:dyDescent="0.15">
      <c r="A24" s="129" t="s">
        <v>40</v>
      </c>
      <c r="B24" s="129" t="s">
        <v>191</v>
      </c>
      <c r="C24" s="129">
        <v>2020</v>
      </c>
      <c r="D24" s="130" t="s">
        <v>390</v>
      </c>
      <c r="E24" s="129" t="s">
        <v>394</v>
      </c>
      <c r="F24" s="129" t="s">
        <v>395</v>
      </c>
      <c r="G24" s="129" t="s">
        <v>25</v>
      </c>
      <c r="H24" s="129" t="s">
        <v>113</v>
      </c>
      <c r="I24" s="129" t="s">
        <v>111</v>
      </c>
      <c r="J24" s="77" t="s">
        <v>27</v>
      </c>
      <c r="K24" s="77" t="s">
        <v>112</v>
      </c>
      <c r="L24" s="129">
        <v>2</v>
      </c>
      <c r="N24" s="129">
        <v>4</v>
      </c>
      <c r="O24" s="129">
        <v>1.45</v>
      </c>
      <c r="P24" s="129">
        <v>1.3</v>
      </c>
      <c r="Q24" s="158">
        <f t="shared" si="2"/>
        <v>1.375</v>
      </c>
      <c r="R24" s="129">
        <v>14.8</v>
      </c>
      <c r="S24" s="129">
        <v>104</v>
      </c>
      <c r="T24" s="159">
        <f t="shared" si="0"/>
        <v>33</v>
      </c>
      <c r="U24" s="129">
        <v>398</v>
      </c>
      <c r="V24" s="160">
        <f t="shared" si="1"/>
        <v>3283.5</v>
      </c>
      <c r="W24" s="129">
        <v>4</v>
      </c>
      <c r="X24" s="129" t="s">
        <v>35</v>
      </c>
      <c r="Y24" s="129" t="s">
        <v>74</v>
      </c>
      <c r="Z24" s="129" t="s">
        <v>55</v>
      </c>
      <c r="AA24" s="129" t="s">
        <v>43</v>
      </c>
      <c r="AB24" s="129" t="s">
        <v>195</v>
      </c>
      <c r="AP24" s="172" t="s">
        <v>407</v>
      </c>
      <c r="AR24" s="168" t="s">
        <v>77</v>
      </c>
    </row>
    <row r="25" spans="1:48" x14ac:dyDescent="0.15">
      <c r="A25" s="129" t="s">
        <v>40</v>
      </c>
      <c r="B25" s="129" t="s">
        <v>191</v>
      </c>
      <c r="C25" s="129">
        <v>2020</v>
      </c>
      <c r="D25" s="130" t="s">
        <v>390</v>
      </c>
      <c r="E25" s="129" t="s">
        <v>394</v>
      </c>
      <c r="F25" s="129" t="s">
        <v>395</v>
      </c>
      <c r="G25" s="129" t="s">
        <v>25</v>
      </c>
      <c r="H25" s="129" t="s">
        <v>113</v>
      </c>
      <c r="I25" s="129" t="s">
        <v>111</v>
      </c>
      <c r="J25" s="77" t="s">
        <v>27</v>
      </c>
      <c r="K25" s="77" t="s">
        <v>112</v>
      </c>
      <c r="L25" s="129">
        <v>3</v>
      </c>
      <c r="N25" s="129">
        <v>4</v>
      </c>
      <c r="O25" s="129">
        <v>1.35</v>
      </c>
      <c r="P25" s="129">
        <v>1.4</v>
      </c>
      <c r="Q25" s="158">
        <f t="shared" si="2"/>
        <v>1.375</v>
      </c>
      <c r="R25" s="129">
        <v>14.4</v>
      </c>
      <c r="S25" s="129">
        <v>106</v>
      </c>
      <c r="T25" s="159">
        <f t="shared" si="0"/>
        <v>33</v>
      </c>
      <c r="U25" s="129">
        <v>398</v>
      </c>
      <c r="V25" s="160">
        <f t="shared" si="1"/>
        <v>3283.5</v>
      </c>
      <c r="W25" s="129">
        <v>4</v>
      </c>
      <c r="X25" s="129" t="s">
        <v>35</v>
      </c>
      <c r="Y25" s="129" t="s">
        <v>74</v>
      </c>
      <c r="Z25" s="129" t="s">
        <v>55</v>
      </c>
      <c r="AA25" s="129" t="s">
        <v>43</v>
      </c>
      <c r="AB25" s="129" t="s">
        <v>195</v>
      </c>
      <c r="AP25" s="172" t="s">
        <v>408</v>
      </c>
      <c r="AR25" s="172" t="s">
        <v>40</v>
      </c>
    </row>
    <row r="26" spans="1:48" x14ac:dyDescent="0.15">
      <c r="A26" s="129" t="s">
        <v>40</v>
      </c>
      <c r="B26" s="129" t="s">
        <v>191</v>
      </c>
      <c r="C26" s="129">
        <v>2020</v>
      </c>
      <c r="D26" s="130" t="s">
        <v>390</v>
      </c>
      <c r="E26" s="129" t="s">
        <v>394</v>
      </c>
      <c r="F26" s="129" t="s">
        <v>395</v>
      </c>
      <c r="G26" s="129" t="s">
        <v>25</v>
      </c>
      <c r="H26" s="129" t="s">
        <v>166</v>
      </c>
      <c r="I26" s="129" t="s">
        <v>111</v>
      </c>
      <c r="J26" s="77" t="s">
        <v>27</v>
      </c>
      <c r="K26" s="77" t="s">
        <v>112</v>
      </c>
      <c r="L26" s="129">
        <v>1</v>
      </c>
      <c r="N26" s="129">
        <v>1</v>
      </c>
      <c r="O26" s="129">
        <v>0.75</v>
      </c>
      <c r="P26" s="129">
        <v>0.75</v>
      </c>
      <c r="Q26" s="158">
        <f t="shared" si="2"/>
        <v>0.75</v>
      </c>
      <c r="R26" s="129">
        <v>16.7</v>
      </c>
      <c r="S26" s="129">
        <v>134</v>
      </c>
      <c r="T26" s="159">
        <f t="shared" si="0"/>
        <v>25</v>
      </c>
      <c r="U26" s="129">
        <v>128</v>
      </c>
      <c r="V26" s="160">
        <f t="shared" si="1"/>
        <v>3200</v>
      </c>
      <c r="W26" s="129">
        <v>4</v>
      </c>
      <c r="X26" s="129" t="s">
        <v>35</v>
      </c>
      <c r="Y26" s="129" t="s">
        <v>74</v>
      </c>
      <c r="Z26" s="129" t="s">
        <v>55</v>
      </c>
      <c r="AA26" s="129" t="s">
        <v>43</v>
      </c>
      <c r="AB26" s="129" t="s">
        <v>195</v>
      </c>
      <c r="AP26" s="172" t="s">
        <v>241</v>
      </c>
      <c r="AR26" s="129" t="s">
        <v>242</v>
      </c>
    </row>
    <row r="27" spans="1:48" x14ac:dyDescent="0.15">
      <c r="A27" s="129" t="s">
        <v>40</v>
      </c>
      <c r="B27" s="129" t="s">
        <v>191</v>
      </c>
      <c r="C27" s="129">
        <v>2020</v>
      </c>
      <c r="D27" s="130" t="s">
        <v>390</v>
      </c>
      <c r="E27" s="129" t="s">
        <v>394</v>
      </c>
      <c r="F27" s="129" t="s">
        <v>395</v>
      </c>
      <c r="G27" s="129" t="s">
        <v>25</v>
      </c>
      <c r="H27" s="129" t="s">
        <v>166</v>
      </c>
      <c r="I27" s="129" t="s">
        <v>111</v>
      </c>
      <c r="J27" s="77" t="s">
        <v>27</v>
      </c>
      <c r="K27" s="77" t="s">
        <v>112</v>
      </c>
      <c r="L27" s="129">
        <v>2</v>
      </c>
      <c r="N27" s="129">
        <v>1</v>
      </c>
      <c r="O27" s="129">
        <v>0.85</v>
      </c>
      <c r="P27" s="129">
        <v>0.7</v>
      </c>
      <c r="Q27" s="158">
        <f t="shared" si="2"/>
        <v>0.77499999999999991</v>
      </c>
      <c r="R27" s="129">
        <v>17.2</v>
      </c>
      <c r="S27" s="129">
        <v>130</v>
      </c>
      <c r="T27" s="159">
        <f t="shared" si="0"/>
        <v>25</v>
      </c>
      <c r="U27" s="129">
        <v>128</v>
      </c>
      <c r="V27" s="160">
        <f t="shared" si="1"/>
        <v>3200</v>
      </c>
      <c r="W27" s="129">
        <v>4</v>
      </c>
      <c r="X27" s="129" t="s">
        <v>35</v>
      </c>
      <c r="Y27" s="129" t="s">
        <v>74</v>
      </c>
      <c r="Z27" s="129" t="s">
        <v>55</v>
      </c>
      <c r="AA27" s="129" t="s">
        <v>43</v>
      </c>
      <c r="AB27" s="129" t="s">
        <v>195</v>
      </c>
      <c r="AP27" s="27" t="s">
        <v>243</v>
      </c>
      <c r="AQ27" s="77"/>
      <c r="AR27" s="80" t="s">
        <v>409</v>
      </c>
    </row>
    <row r="28" spans="1:48" x14ac:dyDescent="0.15">
      <c r="A28" s="129" t="s">
        <v>40</v>
      </c>
      <c r="B28" s="129" t="s">
        <v>191</v>
      </c>
      <c r="C28" s="129">
        <v>2020</v>
      </c>
      <c r="D28" s="130" t="s">
        <v>390</v>
      </c>
      <c r="E28" s="129" t="s">
        <v>394</v>
      </c>
      <c r="F28" s="129" t="s">
        <v>395</v>
      </c>
      <c r="G28" s="129" t="s">
        <v>25</v>
      </c>
      <c r="H28" s="129" t="s">
        <v>166</v>
      </c>
      <c r="I28" s="129" t="s">
        <v>111</v>
      </c>
      <c r="J28" s="77" t="s">
        <v>27</v>
      </c>
      <c r="K28" s="77" t="s">
        <v>112</v>
      </c>
      <c r="L28" s="129">
        <v>3</v>
      </c>
      <c r="N28" s="129">
        <v>1</v>
      </c>
      <c r="O28" s="129">
        <v>0.75</v>
      </c>
      <c r="P28" s="129">
        <v>0.75</v>
      </c>
      <c r="Q28" s="158">
        <f t="shared" si="2"/>
        <v>0.75</v>
      </c>
      <c r="R28" s="129">
        <v>17.3</v>
      </c>
      <c r="S28" s="129">
        <v>134</v>
      </c>
      <c r="T28" s="159">
        <f t="shared" si="0"/>
        <v>25</v>
      </c>
      <c r="U28" s="129">
        <v>128</v>
      </c>
      <c r="V28" s="160">
        <f t="shared" si="1"/>
        <v>3200</v>
      </c>
      <c r="W28" s="129">
        <v>4</v>
      </c>
      <c r="X28" s="129" t="s">
        <v>35</v>
      </c>
      <c r="Y28" s="129" t="s">
        <v>74</v>
      </c>
      <c r="Z28" s="129" t="s">
        <v>55</v>
      </c>
      <c r="AA28" s="129" t="s">
        <v>43</v>
      </c>
      <c r="AB28" s="129" t="s">
        <v>195</v>
      </c>
      <c r="AP28" s="27" t="s">
        <v>410</v>
      </c>
      <c r="AQ28" s="77"/>
      <c r="AR28" s="80" t="s">
        <v>411</v>
      </c>
    </row>
    <row r="29" spans="1:48" x14ac:dyDescent="0.15">
      <c r="A29" s="129" t="s">
        <v>40</v>
      </c>
      <c r="B29" s="129" t="s">
        <v>191</v>
      </c>
      <c r="C29" s="129">
        <v>2020</v>
      </c>
      <c r="D29" s="130" t="s">
        <v>390</v>
      </c>
      <c r="E29" s="129" t="s">
        <v>394</v>
      </c>
      <c r="F29" s="129" t="s">
        <v>395</v>
      </c>
      <c r="G29" s="129" t="s">
        <v>25</v>
      </c>
      <c r="H29" s="129" t="s">
        <v>166</v>
      </c>
      <c r="I29" s="129" t="s">
        <v>111</v>
      </c>
      <c r="J29" s="77" t="s">
        <v>27</v>
      </c>
      <c r="K29" s="77" t="s">
        <v>112</v>
      </c>
      <c r="L29" s="129">
        <v>1</v>
      </c>
      <c r="N29" s="129">
        <v>4</v>
      </c>
      <c r="O29" s="129">
        <v>0.9</v>
      </c>
      <c r="P29" s="129">
        <v>0.75</v>
      </c>
      <c r="Q29" s="158">
        <f t="shared" si="2"/>
        <v>0.82499999999999996</v>
      </c>
      <c r="R29" s="129">
        <v>16.399999999999999</v>
      </c>
      <c r="S29" s="129">
        <v>116</v>
      </c>
      <c r="T29" s="159">
        <f t="shared" si="0"/>
        <v>30</v>
      </c>
      <c r="U29" s="129">
        <v>498</v>
      </c>
      <c r="V29" s="160">
        <f t="shared" si="1"/>
        <v>3735</v>
      </c>
      <c r="W29" s="129">
        <v>4</v>
      </c>
      <c r="X29" s="129" t="s">
        <v>35</v>
      </c>
      <c r="Y29" s="129" t="s">
        <v>74</v>
      </c>
      <c r="Z29" s="129" t="s">
        <v>55</v>
      </c>
      <c r="AA29" s="129" t="s">
        <v>43</v>
      </c>
      <c r="AB29" s="129" t="s">
        <v>195</v>
      </c>
      <c r="AP29" s="27" t="s">
        <v>412</v>
      </c>
      <c r="AQ29" s="77"/>
      <c r="AR29" s="28"/>
    </row>
    <row r="30" spans="1:48" x14ac:dyDescent="0.15">
      <c r="A30" s="129" t="s">
        <v>40</v>
      </c>
      <c r="B30" s="129" t="s">
        <v>191</v>
      </c>
      <c r="C30" s="129">
        <v>2020</v>
      </c>
      <c r="D30" s="130" t="s">
        <v>390</v>
      </c>
      <c r="E30" s="129" t="s">
        <v>394</v>
      </c>
      <c r="F30" s="129" t="s">
        <v>395</v>
      </c>
      <c r="G30" s="129" t="s">
        <v>25</v>
      </c>
      <c r="H30" s="129" t="s">
        <v>166</v>
      </c>
      <c r="I30" s="129" t="s">
        <v>111</v>
      </c>
      <c r="J30" s="77" t="s">
        <v>27</v>
      </c>
      <c r="K30" s="77" t="s">
        <v>112</v>
      </c>
      <c r="L30" s="129">
        <v>2</v>
      </c>
      <c r="N30" s="129">
        <v>4</v>
      </c>
      <c r="O30" s="129">
        <v>0.95</v>
      </c>
      <c r="P30" s="129">
        <v>0.85</v>
      </c>
      <c r="Q30" s="158">
        <f t="shared" si="2"/>
        <v>0.89999999999999991</v>
      </c>
      <c r="R30" s="129">
        <v>17.399999999999999</v>
      </c>
      <c r="S30" s="129">
        <v>114</v>
      </c>
      <c r="T30" s="159">
        <f t="shared" si="0"/>
        <v>30</v>
      </c>
      <c r="U30" s="129">
        <v>498</v>
      </c>
      <c r="V30" s="160">
        <f t="shared" si="1"/>
        <v>3735</v>
      </c>
      <c r="W30" s="129">
        <v>4</v>
      </c>
      <c r="X30" s="129" t="s">
        <v>35</v>
      </c>
      <c r="Y30" s="129" t="s">
        <v>74</v>
      </c>
      <c r="Z30" s="129" t="s">
        <v>55</v>
      </c>
      <c r="AA30" s="129" t="s">
        <v>43</v>
      </c>
      <c r="AB30" s="129" t="s">
        <v>195</v>
      </c>
    </row>
    <row r="31" spans="1:48" x14ac:dyDescent="0.15">
      <c r="A31" s="129" t="s">
        <v>40</v>
      </c>
      <c r="B31" s="129" t="s">
        <v>191</v>
      </c>
      <c r="C31" s="129">
        <v>2020</v>
      </c>
      <c r="D31" s="130" t="s">
        <v>390</v>
      </c>
      <c r="E31" s="129" t="s">
        <v>394</v>
      </c>
      <c r="F31" s="129" t="s">
        <v>395</v>
      </c>
      <c r="G31" s="129" t="s">
        <v>25</v>
      </c>
      <c r="H31" s="129" t="s">
        <v>166</v>
      </c>
      <c r="I31" s="129" t="s">
        <v>111</v>
      </c>
      <c r="J31" s="77" t="s">
        <v>27</v>
      </c>
      <c r="K31" s="77" t="s">
        <v>112</v>
      </c>
      <c r="L31" s="129">
        <v>3</v>
      </c>
      <c r="N31" s="129">
        <v>4</v>
      </c>
      <c r="O31" s="129">
        <v>0.85</v>
      </c>
      <c r="P31" s="129">
        <v>0.9</v>
      </c>
      <c r="Q31" s="158">
        <f t="shared" si="2"/>
        <v>0.875</v>
      </c>
      <c r="R31" s="129">
        <v>16.899999999999999</v>
      </c>
      <c r="S31" s="129">
        <v>114</v>
      </c>
      <c r="T31" s="159">
        <f t="shared" si="0"/>
        <v>30</v>
      </c>
      <c r="U31" s="129">
        <v>498</v>
      </c>
      <c r="V31" s="160">
        <f t="shared" si="1"/>
        <v>3735</v>
      </c>
      <c r="W31" s="129">
        <v>4</v>
      </c>
      <c r="X31" s="129" t="s">
        <v>35</v>
      </c>
      <c r="Y31" s="129" t="s">
        <v>74</v>
      </c>
      <c r="Z31" s="129" t="s">
        <v>55</v>
      </c>
      <c r="AA31" s="129" t="s">
        <v>43</v>
      </c>
      <c r="AB31" s="129" t="s">
        <v>195</v>
      </c>
    </row>
    <row r="32" spans="1:48" x14ac:dyDescent="0.15">
      <c r="A32" s="129" t="s">
        <v>40</v>
      </c>
      <c r="B32" s="129" t="s">
        <v>191</v>
      </c>
      <c r="C32" s="129">
        <v>2020</v>
      </c>
      <c r="D32" s="130" t="s">
        <v>390</v>
      </c>
      <c r="E32" s="129" t="s">
        <v>371</v>
      </c>
      <c r="F32" s="129" t="s">
        <v>405</v>
      </c>
      <c r="G32" s="129" t="s">
        <v>25</v>
      </c>
      <c r="H32" s="129" t="s">
        <v>113</v>
      </c>
      <c r="I32" s="129" t="s">
        <v>111</v>
      </c>
      <c r="J32" s="77" t="s">
        <v>27</v>
      </c>
      <c r="K32" s="77" t="s">
        <v>112</v>
      </c>
      <c r="L32" s="129">
        <v>1</v>
      </c>
      <c r="N32" s="129">
        <v>1</v>
      </c>
      <c r="O32" s="129">
        <v>0.75</v>
      </c>
      <c r="P32" s="129">
        <v>0.8</v>
      </c>
      <c r="Q32" s="158">
        <f t="shared" si="2"/>
        <v>0.77500000000000002</v>
      </c>
      <c r="R32" s="129">
        <v>15.6</v>
      </c>
      <c r="S32" s="129">
        <v>114</v>
      </c>
      <c r="T32" s="159">
        <f t="shared" si="0"/>
        <v>30</v>
      </c>
      <c r="U32" s="129">
        <v>98</v>
      </c>
      <c r="V32" s="160">
        <f t="shared" si="1"/>
        <v>2940</v>
      </c>
      <c r="W32" s="129">
        <v>30</v>
      </c>
      <c r="X32" s="129" t="s">
        <v>35</v>
      </c>
      <c r="Y32" s="129" t="s">
        <v>43</v>
      </c>
      <c r="Z32" s="129" t="s">
        <v>55</v>
      </c>
      <c r="AA32" s="129" t="s">
        <v>74</v>
      </c>
      <c r="AB32" s="129" t="s">
        <v>195</v>
      </c>
    </row>
    <row r="33" spans="1:28" x14ac:dyDescent="0.15">
      <c r="A33" s="129" t="s">
        <v>40</v>
      </c>
      <c r="B33" s="129" t="s">
        <v>191</v>
      </c>
      <c r="C33" s="129">
        <v>2020</v>
      </c>
      <c r="D33" s="130" t="s">
        <v>390</v>
      </c>
      <c r="E33" s="129" t="s">
        <v>371</v>
      </c>
      <c r="F33" s="129" t="s">
        <v>405</v>
      </c>
      <c r="G33" s="129" t="s">
        <v>25</v>
      </c>
      <c r="H33" s="129" t="s">
        <v>113</v>
      </c>
      <c r="I33" s="129" t="s">
        <v>111</v>
      </c>
      <c r="J33" s="77" t="s">
        <v>27</v>
      </c>
      <c r="K33" s="77" t="s">
        <v>112</v>
      </c>
      <c r="L33" s="129">
        <v>2</v>
      </c>
      <c r="N33" s="129">
        <v>1</v>
      </c>
      <c r="O33" s="129">
        <v>0.75</v>
      </c>
      <c r="P33" s="129">
        <v>0.7</v>
      </c>
      <c r="Q33" s="158">
        <f t="shared" si="2"/>
        <v>0.72499999999999998</v>
      </c>
      <c r="R33" s="129">
        <v>14.9</v>
      </c>
      <c r="S33" s="129">
        <v>112</v>
      </c>
      <c r="T33" s="159">
        <f t="shared" si="0"/>
        <v>33</v>
      </c>
      <c r="U33" s="129">
        <v>98</v>
      </c>
      <c r="V33" s="160">
        <f t="shared" si="1"/>
        <v>3234</v>
      </c>
      <c r="W33" s="129">
        <v>30</v>
      </c>
      <c r="X33" s="129" t="s">
        <v>35</v>
      </c>
      <c r="Y33" s="129" t="s">
        <v>43</v>
      </c>
      <c r="Z33" s="129" t="s">
        <v>55</v>
      </c>
      <c r="AA33" s="129" t="s">
        <v>74</v>
      </c>
      <c r="AB33" s="129" t="s">
        <v>195</v>
      </c>
    </row>
    <row r="34" spans="1:28" x14ac:dyDescent="0.15">
      <c r="A34" s="129" t="s">
        <v>40</v>
      </c>
      <c r="B34" s="129" t="s">
        <v>191</v>
      </c>
      <c r="C34" s="129">
        <v>2020</v>
      </c>
      <c r="D34" s="130" t="s">
        <v>390</v>
      </c>
      <c r="E34" s="129" t="s">
        <v>371</v>
      </c>
      <c r="F34" s="129" t="s">
        <v>405</v>
      </c>
      <c r="G34" s="129" t="s">
        <v>25</v>
      </c>
      <c r="H34" s="129" t="s">
        <v>113</v>
      </c>
      <c r="I34" s="129" t="s">
        <v>111</v>
      </c>
      <c r="J34" s="77" t="s">
        <v>27</v>
      </c>
      <c r="K34" s="77" t="s">
        <v>112</v>
      </c>
      <c r="L34" s="129">
        <v>3</v>
      </c>
      <c r="N34" s="129">
        <v>1</v>
      </c>
      <c r="O34" s="129">
        <v>0.5</v>
      </c>
      <c r="P34" s="129">
        <v>0.55000000000000004</v>
      </c>
      <c r="Q34" s="158">
        <f t="shared" si="2"/>
        <v>0.52500000000000002</v>
      </c>
      <c r="R34" s="129">
        <v>14.4</v>
      </c>
      <c r="S34" s="129">
        <v>112</v>
      </c>
      <c r="T34" s="159">
        <f t="shared" si="0"/>
        <v>33</v>
      </c>
      <c r="U34" s="129">
        <v>98</v>
      </c>
      <c r="V34" s="160">
        <f t="shared" si="1"/>
        <v>3234</v>
      </c>
      <c r="W34" s="129">
        <v>30</v>
      </c>
      <c r="X34" s="129" t="s">
        <v>35</v>
      </c>
      <c r="Y34" s="129" t="s">
        <v>43</v>
      </c>
      <c r="Z34" s="129" t="s">
        <v>55</v>
      </c>
      <c r="AA34" s="129" t="s">
        <v>74</v>
      </c>
      <c r="AB34" s="129" t="s">
        <v>195</v>
      </c>
    </row>
    <row r="35" spans="1:28" x14ac:dyDescent="0.15">
      <c r="A35" s="129" t="s">
        <v>40</v>
      </c>
      <c r="B35" s="129" t="s">
        <v>191</v>
      </c>
      <c r="C35" s="129">
        <v>2020</v>
      </c>
      <c r="D35" s="130" t="s">
        <v>390</v>
      </c>
      <c r="E35" s="129" t="s">
        <v>371</v>
      </c>
      <c r="F35" s="129" t="s">
        <v>405</v>
      </c>
      <c r="G35" s="129" t="s">
        <v>25</v>
      </c>
      <c r="H35" s="129" t="s">
        <v>113</v>
      </c>
      <c r="I35" s="129" t="s">
        <v>111</v>
      </c>
      <c r="J35" s="77" t="s">
        <v>27</v>
      </c>
      <c r="K35" s="77" t="s">
        <v>112</v>
      </c>
      <c r="L35" s="129">
        <v>1</v>
      </c>
      <c r="N35" s="129">
        <v>4</v>
      </c>
      <c r="O35" s="129">
        <v>0.95</v>
      </c>
      <c r="P35" s="129">
        <v>0.8</v>
      </c>
      <c r="Q35" s="158">
        <f t="shared" si="2"/>
        <v>0.875</v>
      </c>
      <c r="R35" s="129">
        <v>13.9</v>
      </c>
      <c r="S35" s="129">
        <v>104</v>
      </c>
      <c r="T35" s="159">
        <f t="shared" si="0"/>
        <v>33</v>
      </c>
      <c r="U35" s="129">
        <v>398</v>
      </c>
      <c r="V35" s="160">
        <f t="shared" si="1"/>
        <v>3283.5</v>
      </c>
      <c r="W35" s="129">
        <v>30</v>
      </c>
      <c r="X35" s="129" t="s">
        <v>35</v>
      </c>
      <c r="Y35" s="129" t="s">
        <v>43</v>
      </c>
      <c r="Z35" s="129" t="s">
        <v>55</v>
      </c>
      <c r="AA35" s="129" t="s">
        <v>74</v>
      </c>
      <c r="AB35" s="129" t="s">
        <v>195</v>
      </c>
    </row>
    <row r="36" spans="1:28" x14ac:dyDescent="0.15">
      <c r="A36" s="129" t="s">
        <v>40</v>
      </c>
      <c r="B36" s="129" t="s">
        <v>191</v>
      </c>
      <c r="C36" s="129">
        <v>2020</v>
      </c>
      <c r="D36" s="130" t="s">
        <v>390</v>
      </c>
      <c r="E36" s="129" t="s">
        <v>371</v>
      </c>
      <c r="F36" s="129" t="s">
        <v>405</v>
      </c>
      <c r="G36" s="129" t="s">
        <v>25</v>
      </c>
      <c r="H36" s="129" t="s">
        <v>113</v>
      </c>
      <c r="I36" s="129" t="s">
        <v>111</v>
      </c>
      <c r="J36" s="77" t="s">
        <v>27</v>
      </c>
      <c r="K36" s="77" t="s">
        <v>112</v>
      </c>
      <c r="L36" s="129">
        <v>2</v>
      </c>
      <c r="N36" s="129">
        <v>4</v>
      </c>
      <c r="O36" s="129">
        <v>0.9</v>
      </c>
      <c r="P36" s="129">
        <v>0.9</v>
      </c>
      <c r="Q36" s="158">
        <f t="shared" si="2"/>
        <v>0.9</v>
      </c>
      <c r="R36" s="129">
        <v>15.2</v>
      </c>
      <c r="S36" s="129">
        <v>106</v>
      </c>
      <c r="T36" s="159">
        <f t="shared" si="0"/>
        <v>33</v>
      </c>
      <c r="U36" s="129">
        <v>398</v>
      </c>
      <c r="V36" s="160">
        <f t="shared" si="1"/>
        <v>3283.5</v>
      </c>
      <c r="W36" s="129">
        <v>30</v>
      </c>
      <c r="X36" s="129" t="s">
        <v>35</v>
      </c>
      <c r="Y36" s="129" t="s">
        <v>43</v>
      </c>
      <c r="Z36" s="129" t="s">
        <v>55</v>
      </c>
      <c r="AA36" s="129" t="s">
        <v>74</v>
      </c>
      <c r="AB36" s="129" t="s">
        <v>195</v>
      </c>
    </row>
    <row r="37" spans="1:28" x14ac:dyDescent="0.15">
      <c r="A37" s="129" t="s">
        <v>40</v>
      </c>
      <c r="B37" s="129" t="s">
        <v>191</v>
      </c>
      <c r="C37" s="129">
        <v>2020</v>
      </c>
      <c r="D37" s="130" t="s">
        <v>390</v>
      </c>
      <c r="E37" s="129" t="s">
        <v>371</v>
      </c>
      <c r="F37" s="129" t="s">
        <v>405</v>
      </c>
      <c r="G37" s="129" t="s">
        <v>25</v>
      </c>
      <c r="H37" s="129" t="s">
        <v>113</v>
      </c>
      <c r="I37" s="129" t="s">
        <v>111</v>
      </c>
      <c r="J37" s="77" t="s">
        <v>27</v>
      </c>
      <c r="K37" s="77" t="s">
        <v>112</v>
      </c>
      <c r="L37" s="129">
        <v>3</v>
      </c>
      <c r="N37" s="129">
        <v>4</v>
      </c>
      <c r="O37" s="129">
        <v>0.95</v>
      </c>
      <c r="P37" s="129">
        <v>1.1000000000000001</v>
      </c>
      <c r="Q37" s="158">
        <f t="shared" si="2"/>
        <v>1.0249999999999999</v>
      </c>
      <c r="R37" s="129">
        <v>14.8</v>
      </c>
      <c r="S37" s="129">
        <v>108</v>
      </c>
      <c r="T37" s="159">
        <f t="shared" si="0"/>
        <v>33</v>
      </c>
      <c r="U37" s="129">
        <v>398</v>
      </c>
      <c r="V37" s="160">
        <f t="shared" si="1"/>
        <v>3283.5</v>
      </c>
      <c r="W37" s="129">
        <v>30</v>
      </c>
      <c r="X37" s="129" t="s">
        <v>35</v>
      </c>
      <c r="Y37" s="129" t="s">
        <v>43</v>
      </c>
      <c r="Z37" s="129" t="s">
        <v>55</v>
      </c>
      <c r="AA37" s="129" t="s">
        <v>74</v>
      </c>
      <c r="AB37" s="129" t="s">
        <v>195</v>
      </c>
    </row>
    <row r="38" spans="1:28" x14ac:dyDescent="0.15">
      <c r="A38" s="129" t="s">
        <v>40</v>
      </c>
      <c r="B38" s="129" t="s">
        <v>191</v>
      </c>
      <c r="C38" s="129">
        <v>2020</v>
      </c>
      <c r="D38" s="130" t="s">
        <v>390</v>
      </c>
      <c r="E38" s="129" t="s">
        <v>371</v>
      </c>
      <c r="F38" s="129" t="s">
        <v>405</v>
      </c>
      <c r="G38" s="129" t="s">
        <v>25</v>
      </c>
      <c r="H38" s="129" t="s">
        <v>113</v>
      </c>
      <c r="I38" s="129" t="s">
        <v>111</v>
      </c>
      <c r="J38" s="77" t="s">
        <v>27</v>
      </c>
      <c r="K38" s="77" t="s">
        <v>112</v>
      </c>
      <c r="L38" s="129">
        <v>1</v>
      </c>
      <c r="N38" s="129">
        <v>1</v>
      </c>
      <c r="O38" s="129">
        <v>0.5</v>
      </c>
      <c r="P38" s="129">
        <v>0.5</v>
      </c>
      <c r="Q38" s="158">
        <f t="shared" si="2"/>
        <v>0.5</v>
      </c>
      <c r="R38" s="129">
        <v>17.100000000000001</v>
      </c>
      <c r="S38" s="129">
        <v>126</v>
      </c>
      <c r="T38" s="159">
        <f t="shared" si="0"/>
        <v>27</v>
      </c>
      <c r="U38" s="129">
        <v>138</v>
      </c>
      <c r="V38" s="160">
        <f t="shared" si="1"/>
        <v>3726</v>
      </c>
      <c r="W38" s="129">
        <v>30</v>
      </c>
      <c r="X38" s="129" t="s">
        <v>35</v>
      </c>
      <c r="Y38" s="129" t="s">
        <v>43</v>
      </c>
      <c r="Z38" s="129" t="s">
        <v>55</v>
      </c>
      <c r="AA38" s="129" t="s">
        <v>74</v>
      </c>
      <c r="AB38" s="129" t="s">
        <v>195</v>
      </c>
    </row>
    <row r="39" spans="1:28" x14ac:dyDescent="0.15">
      <c r="A39" s="129" t="s">
        <v>40</v>
      </c>
      <c r="B39" s="129" t="s">
        <v>191</v>
      </c>
      <c r="C39" s="129">
        <v>2020</v>
      </c>
      <c r="D39" s="130" t="s">
        <v>390</v>
      </c>
      <c r="E39" s="129" t="s">
        <v>371</v>
      </c>
      <c r="F39" s="129" t="s">
        <v>405</v>
      </c>
      <c r="G39" s="129" t="s">
        <v>25</v>
      </c>
      <c r="H39" s="129" t="s">
        <v>113</v>
      </c>
      <c r="I39" s="129" t="s">
        <v>111</v>
      </c>
      <c r="J39" s="77" t="s">
        <v>27</v>
      </c>
      <c r="K39" s="77" t="s">
        <v>112</v>
      </c>
      <c r="L39" s="129">
        <v>2</v>
      </c>
      <c r="N39" s="129">
        <v>1</v>
      </c>
      <c r="O39" s="129">
        <v>0.65</v>
      </c>
      <c r="P39" s="129">
        <v>0.7</v>
      </c>
      <c r="Q39" s="158">
        <f t="shared" si="2"/>
        <v>0.67500000000000004</v>
      </c>
      <c r="R39" s="129">
        <v>15.9</v>
      </c>
      <c r="S39" s="129">
        <v>128</v>
      </c>
      <c r="T39" s="159">
        <f t="shared" si="0"/>
        <v>27</v>
      </c>
      <c r="U39" s="129">
        <v>138</v>
      </c>
      <c r="V39" s="160">
        <f t="shared" si="1"/>
        <v>3726</v>
      </c>
      <c r="W39" s="129">
        <v>30</v>
      </c>
      <c r="X39" s="129" t="s">
        <v>35</v>
      </c>
      <c r="Y39" s="129" t="s">
        <v>43</v>
      </c>
      <c r="Z39" s="129" t="s">
        <v>55</v>
      </c>
      <c r="AA39" s="129" t="s">
        <v>74</v>
      </c>
      <c r="AB39" s="129" t="s">
        <v>195</v>
      </c>
    </row>
    <row r="40" spans="1:28" x14ac:dyDescent="0.15">
      <c r="A40" s="129" t="s">
        <v>40</v>
      </c>
      <c r="B40" s="129" t="s">
        <v>191</v>
      </c>
      <c r="C40" s="129">
        <v>2020</v>
      </c>
      <c r="D40" s="130" t="s">
        <v>390</v>
      </c>
      <c r="E40" s="129" t="s">
        <v>371</v>
      </c>
      <c r="F40" s="129" t="s">
        <v>405</v>
      </c>
      <c r="G40" s="129" t="s">
        <v>25</v>
      </c>
      <c r="H40" s="129" t="s">
        <v>113</v>
      </c>
      <c r="I40" s="129" t="s">
        <v>111</v>
      </c>
      <c r="J40" s="77" t="s">
        <v>27</v>
      </c>
      <c r="K40" s="77" t="s">
        <v>112</v>
      </c>
      <c r="L40" s="129">
        <v>3</v>
      </c>
      <c r="N40" s="129">
        <v>1</v>
      </c>
      <c r="O40" s="129">
        <v>0.7</v>
      </c>
      <c r="P40" s="129">
        <v>0.75</v>
      </c>
      <c r="Q40" s="158">
        <f t="shared" si="2"/>
        <v>0.72499999999999998</v>
      </c>
      <c r="R40" s="129">
        <v>16.600000000000001</v>
      </c>
      <c r="S40" s="129">
        <v>128</v>
      </c>
      <c r="T40" s="159">
        <f t="shared" si="0"/>
        <v>27</v>
      </c>
      <c r="U40" s="129">
        <v>138</v>
      </c>
      <c r="V40" s="160">
        <f t="shared" si="1"/>
        <v>3726</v>
      </c>
      <c r="W40" s="129">
        <v>30</v>
      </c>
      <c r="X40" s="129" t="s">
        <v>35</v>
      </c>
      <c r="Y40" s="129" t="s">
        <v>43</v>
      </c>
      <c r="Z40" s="129" t="s">
        <v>55</v>
      </c>
      <c r="AA40" s="129" t="s">
        <v>74</v>
      </c>
      <c r="AB40" s="129" t="s">
        <v>195</v>
      </c>
    </row>
    <row r="41" spans="1:28" x14ac:dyDescent="0.15">
      <c r="A41" s="129" t="s">
        <v>40</v>
      </c>
      <c r="B41" s="129" t="s">
        <v>191</v>
      </c>
      <c r="C41" s="129">
        <v>2020</v>
      </c>
      <c r="D41" s="130" t="s">
        <v>390</v>
      </c>
      <c r="E41" s="129" t="s">
        <v>371</v>
      </c>
      <c r="F41" s="129" t="s">
        <v>405</v>
      </c>
      <c r="G41" s="129" t="s">
        <v>25</v>
      </c>
      <c r="H41" s="129" t="s">
        <v>166</v>
      </c>
      <c r="I41" s="129" t="s">
        <v>111</v>
      </c>
      <c r="J41" s="77" t="s">
        <v>27</v>
      </c>
      <c r="K41" s="77" t="s">
        <v>112</v>
      </c>
      <c r="L41" s="129">
        <v>1</v>
      </c>
      <c r="N41" s="129">
        <v>2</v>
      </c>
      <c r="O41" s="129">
        <v>1.1499999999999999</v>
      </c>
      <c r="P41" s="129">
        <v>1</v>
      </c>
      <c r="Q41" s="158">
        <f t="shared" si="2"/>
        <v>1.075</v>
      </c>
      <c r="R41" s="129">
        <v>15.6</v>
      </c>
      <c r="S41" s="129">
        <v>154</v>
      </c>
      <c r="T41" s="159">
        <f t="shared" si="0"/>
        <v>18</v>
      </c>
      <c r="U41" s="129">
        <v>398</v>
      </c>
      <c r="V41" s="160">
        <f t="shared" si="1"/>
        <v>3582</v>
      </c>
      <c r="W41" s="129">
        <v>30</v>
      </c>
      <c r="X41" s="129" t="s">
        <v>35</v>
      </c>
      <c r="Y41" s="129" t="s">
        <v>43</v>
      </c>
      <c r="Z41" s="129" t="s">
        <v>55</v>
      </c>
      <c r="AA41" s="129" t="s">
        <v>74</v>
      </c>
      <c r="AB41" s="129" t="s">
        <v>195</v>
      </c>
    </row>
    <row r="42" spans="1:28" x14ac:dyDescent="0.15">
      <c r="A42" s="129" t="s">
        <v>40</v>
      </c>
      <c r="B42" s="129" t="s">
        <v>191</v>
      </c>
      <c r="C42" s="129">
        <v>2020</v>
      </c>
      <c r="D42" s="130" t="s">
        <v>390</v>
      </c>
      <c r="E42" s="129" t="s">
        <v>371</v>
      </c>
      <c r="F42" s="129" t="s">
        <v>405</v>
      </c>
      <c r="G42" s="129" t="s">
        <v>25</v>
      </c>
      <c r="H42" s="129" t="s">
        <v>166</v>
      </c>
      <c r="I42" s="129" t="s">
        <v>111</v>
      </c>
      <c r="J42" s="77" t="s">
        <v>27</v>
      </c>
      <c r="K42" s="77" t="s">
        <v>112</v>
      </c>
      <c r="L42" s="129">
        <v>2</v>
      </c>
      <c r="N42" s="129">
        <v>2</v>
      </c>
      <c r="O42" s="129">
        <v>0.95</v>
      </c>
      <c r="P42" s="129">
        <v>1.1000000000000001</v>
      </c>
      <c r="Q42" s="158">
        <f t="shared" si="2"/>
        <v>1.0249999999999999</v>
      </c>
      <c r="R42" s="129">
        <v>16.100000000000001</v>
      </c>
      <c r="S42" s="129">
        <v>156</v>
      </c>
      <c r="T42" s="159">
        <f t="shared" si="0"/>
        <v>18</v>
      </c>
      <c r="U42" s="129">
        <v>398</v>
      </c>
      <c r="V42" s="160">
        <f t="shared" si="1"/>
        <v>3582</v>
      </c>
      <c r="W42" s="129">
        <v>30</v>
      </c>
      <c r="X42" s="129" t="s">
        <v>35</v>
      </c>
      <c r="Y42" s="129" t="s">
        <v>43</v>
      </c>
      <c r="Z42" s="129" t="s">
        <v>55</v>
      </c>
      <c r="AA42" s="129" t="s">
        <v>74</v>
      </c>
      <c r="AB42" s="129" t="s">
        <v>195</v>
      </c>
    </row>
    <row r="43" spans="1:28" x14ac:dyDescent="0.15">
      <c r="A43" s="129" t="s">
        <v>40</v>
      </c>
      <c r="B43" s="129" t="s">
        <v>191</v>
      </c>
      <c r="C43" s="129">
        <v>2020</v>
      </c>
      <c r="D43" s="130" t="s">
        <v>390</v>
      </c>
      <c r="E43" s="129" t="s">
        <v>371</v>
      </c>
      <c r="F43" s="129" t="s">
        <v>405</v>
      </c>
      <c r="G43" s="129" t="s">
        <v>25</v>
      </c>
      <c r="H43" s="129" t="s">
        <v>166</v>
      </c>
      <c r="I43" s="129" t="s">
        <v>111</v>
      </c>
      <c r="J43" s="77" t="s">
        <v>27</v>
      </c>
      <c r="K43" s="77" t="s">
        <v>112</v>
      </c>
      <c r="L43" s="129">
        <v>3</v>
      </c>
      <c r="N43" s="129">
        <v>2</v>
      </c>
      <c r="O43" s="129">
        <v>1.05</v>
      </c>
      <c r="P43" s="129">
        <v>1.1000000000000001</v>
      </c>
      <c r="Q43" s="158">
        <f t="shared" si="2"/>
        <v>1.0750000000000002</v>
      </c>
      <c r="R43" s="129">
        <v>15.8</v>
      </c>
      <c r="S43" s="129">
        <v>154</v>
      </c>
      <c r="T43" s="159">
        <f t="shared" si="0"/>
        <v>18</v>
      </c>
      <c r="U43" s="129">
        <v>398</v>
      </c>
      <c r="V43" s="160">
        <f t="shared" si="1"/>
        <v>3582</v>
      </c>
      <c r="W43" s="129">
        <v>30</v>
      </c>
      <c r="X43" s="129" t="s">
        <v>35</v>
      </c>
      <c r="Y43" s="129" t="s">
        <v>43</v>
      </c>
      <c r="Z43" s="129" t="s">
        <v>55</v>
      </c>
      <c r="AA43" s="129" t="s">
        <v>74</v>
      </c>
      <c r="AB43" s="129" t="s">
        <v>195</v>
      </c>
    </row>
    <row r="44" spans="1:28" x14ac:dyDescent="0.15">
      <c r="A44" s="129" t="s">
        <v>40</v>
      </c>
      <c r="B44" s="129" t="s">
        <v>191</v>
      </c>
      <c r="C44" s="129">
        <v>2020</v>
      </c>
      <c r="D44" s="130" t="s">
        <v>390</v>
      </c>
      <c r="E44" s="129" t="s">
        <v>371</v>
      </c>
      <c r="F44" s="129" t="s">
        <v>405</v>
      </c>
      <c r="G44" s="129" t="s">
        <v>25</v>
      </c>
      <c r="H44" s="129" t="s">
        <v>166</v>
      </c>
      <c r="I44" s="129" t="s">
        <v>111</v>
      </c>
      <c r="J44" s="77" t="s">
        <v>27</v>
      </c>
      <c r="K44" s="77" t="s">
        <v>112</v>
      </c>
      <c r="L44" s="129">
        <v>1</v>
      </c>
      <c r="N44" s="129">
        <v>6</v>
      </c>
      <c r="O44" s="129">
        <v>1.1000000000000001</v>
      </c>
      <c r="P44" s="129">
        <v>0.95</v>
      </c>
      <c r="Q44" s="158">
        <f t="shared" si="2"/>
        <v>1.0249999999999999</v>
      </c>
      <c r="R44" s="129">
        <v>16.100000000000001</v>
      </c>
      <c r="S44" s="129">
        <v>160</v>
      </c>
      <c r="T44" s="159">
        <f t="shared" si="0"/>
        <v>18</v>
      </c>
      <c r="U44" s="129">
        <v>980</v>
      </c>
      <c r="V44" s="160">
        <f t="shared" si="1"/>
        <v>2940</v>
      </c>
      <c r="W44" s="129">
        <v>30</v>
      </c>
      <c r="X44" s="129" t="s">
        <v>35</v>
      </c>
      <c r="Y44" s="129" t="s">
        <v>43</v>
      </c>
      <c r="Z44" s="129" t="s">
        <v>55</v>
      </c>
      <c r="AA44" s="129" t="s">
        <v>74</v>
      </c>
      <c r="AB44" s="129" t="s">
        <v>195</v>
      </c>
    </row>
    <row r="45" spans="1:28" x14ac:dyDescent="0.15">
      <c r="A45" s="129" t="s">
        <v>40</v>
      </c>
      <c r="B45" s="129" t="s">
        <v>191</v>
      </c>
      <c r="C45" s="129">
        <v>2020</v>
      </c>
      <c r="D45" s="130" t="s">
        <v>390</v>
      </c>
      <c r="E45" s="129" t="s">
        <v>371</v>
      </c>
      <c r="F45" s="129" t="s">
        <v>405</v>
      </c>
      <c r="G45" s="129" t="s">
        <v>25</v>
      </c>
      <c r="H45" s="129" t="s">
        <v>166</v>
      </c>
      <c r="I45" s="129" t="s">
        <v>111</v>
      </c>
      <c r="J45" s="77" t="s">
        <v>27</v>
      </c>
      <c r="K45" s="77" t="s">
        <v>112</v>
      </c>
      <c r="L45" s="129">
        <v>2</v>
      </c>
      <c r="N45" s="129">
        <v>6</v>
      </c>
      <c r="O45" s="129">
        <v>1</v>
      </c>
      <c r="P45" s="129">
        <v>0.85</v>
      </c>
      <c r="Q45" s="158">
        <f t="shared" si="2"/>
        <v>0.92500000000000004</v>
      </c>
      <c r="R45" s="129">
        <v>15.7</v>
      </c>
      <c r="S45" s="129">
        <v>158</v>
      </c>
      <c r="T45" s="159">
        <f t="shared" si="0"/>
        <v>18</v>
      </c>
      <c r="U45" s="129">
        <v>980</v>
      </c>
      <c r="V45" s="160">
        <f t="shared" si="1"/>
        <v>2940</v>
      </c>
      <c r="W45" s="129">
        <v>30</v>
      </c>
      <c r="X45" s="129" t="s">
        <v>35</v>
      </c>
      <c r="Y45" s="129" t="s">
        <v>43</v>
      </c>
      <c r="Z45" s="129" t="s">
        <v>55</v>
      </c>
      <c r="AA45" s="129" t="s">
        <v>74</v>
      </c>
      <c r="AB45" s="129" t="s">
        <v>195</v>
      </c>
    </row>
    <row r="46" spans="1:28" x14ac:dyDescent="0.15">
      <c r="A46" s="129" t="s">
        <v>40</v>
      </c>
      <c r="B46" s="129" t="s">
        <v>191</v>
      </c>
      <c r="C46" s="129">
        <v>2020</v>
      </c>
      <c r="D46" s="130" t="s">
        <v>390</v>
      </c>
      <c r="E46" s="129" t="s">
        <v>371</v>
      </c>
      <c r="F46" s="129" t="s">
        <v>405</v>
      </c>
      <c r="G46" s="129" t="s">
        <v>25</v>
      </c>
      <c r="H46" s="129" t="s">
        <v>166</v>
      </c>
      <c r="I46" s="129" t="s">
        <v>111</v>
      </c>
      <c r="J46" s="77" t="s">
        <v>27</v>
      </c>
      <c r="K46" s="77" t="s">
        <v>112</v>
      </c>
      <c r="L46" s="129">
        <v>3</v>
      </c>
      <c r="N46" s="129">
        <v>6</v>
      </c>
      <c r="O46" s="129">
        <v>1.05</v>
      </c>
      <c r="P46" s="129">
        <v>0.95</v>
      </c>
      <c r="Q46" s="158">
        <f t="shared" si="2"/>
        <v>1</v>
      </c>
      <c r="R46" s="129">
        <v>16.2</v>
      </c>
      <c r="S46" s="129">
        <v>162</v>
      </c>
      <c r="T46" s="159">
        <f t="shared" si="0"/>
        <v>18</v>
      </c>
      <c r="U46" s="129">
        <v>980</v>
      </c>
      <c r="V46" s="160">
        <f t="shared" si="1"/>
        <v>2940</v>
      </c>
      <c r="W46" s="129">
        <v>30</v>
      </c>
      <c r="X46" s="129" t="s">
        <v>35</v>
      </c>
      <c r="Y46" s="129" t="s">
        <v>43</v>
      </c>
      <c r="Z46" s="129" t="s">
        <v>55</v>
      </c>
      <c r="AA46" s="129" t="s">
        <v>74</v>
      </c>
      <c r="AB46" s="129" t="s">
        <v>195</v>
      </c>
    </row>
    <row r="47" spans="1:28" x14ac:dyDescent="0.15">
      <c r="A47" s="129" t="s">
        <v>40</v>
      </c>
      <c r="B47" s="129" t="s">
        <v>191</v>
      </c>
      <c r="C47" s="129">
        <v>2020</v>
      </c>
      <c r="D47" s="130" t="s">
        <v>390</v>
      </c>
      <c r="E47" s="129" t="s">
        <v>170</v>
      </c>
      <c r="F47" s="129" t="s">
        <v>398</v>
      </c>
      <c r="G47" s="129" t="s">
        <v>25</v>
      </c>
      <c r="H47" s="129" t="s">
        <v>113</v>
      </c>
      <c r="I47" s="129" t="s">
        <v>111</v>
      </c>
      <c r="J47" s="77" t="s">
        <v>27</v>
      </c>
      <c r="K47" s="77" t="s">
        <v>112</v>
      </c>
      <c r="L47" s="129">
        <v>1</v>
      </c>
      <c r="N47" s="129">
        <v>1</v>
      </c>
      <c r="O47" s="129">
        <v>0.8</v>
      </c>
      <c r="P47" s="129">
        <v>0.75</v>
      </c>
      <c r="Q47" s="158">
        <f t="shared" si="2"/>
        <v>0.77500000000000002</v>
      </c>
      <c r="R47" s="129">
        <v>15.2</v>
      </c>
      <c r="S47" s="129">
        <v>130</v>
      </c>
      <c r="T47" s="159">
        <f t="shared" si="0"/>
        <v>25</v>
      </c>
      <c r="U47" s="129">
        <v>128</v>
      </c>
      <c r="V47" s="160">
        <f t="shared" si="1"/>
        <v>3200</v>
      </c>
      <c r="W47" s="129">
        <v>15</v>
      </c>
      <c r="X47" s="129" t="s">
        <v>35</v>
      </c>
      <c r="Y47" s="129" t="s">
        <v>74</v>
      </c>
      <c r="Z47" s="129" t="s">
        <v>82</v>
      </c>
      <c r="AA47" s="129" t="s">
        <v>43</v>
      </c>
      <c r="AB47" s="129" t="s">
        <v>195</v>
      </c>
    </row>
    <row r="48" spans="1:28" x14ac:dyDescent="0.15">
      <c r="A48" s="129" t="s">
        <v>40</v>
      </c>
      <c r="B48" s="129" t="s">
        <v>191</v>
      </c>
      <c r="C48" s="129">
        <v>2020</v>
      </c>
      <c r="D48" s="130" t="s">
        <v>390</v>
      </c>
      <c r="E48" s="129" t="s">
        <v>170</v>
      </c>
      <c r="F48" s="129" t="s">
        <v>398</v>
      </c>
      <c r="G48" s="129" t="s">
        <v>25</v>
      </c>
      <c r="H48" s="129" t="s">
        <v>113</v>
      </c>
      <c r="I48" s="129" t="s">
        <v>111</v>
      </c>
      <c r="J48" s="77" t="s">
        <v>27</v>
      </c>
      <c r="K48" s="77" t="s">
        <v>112</v>
      </c>
      <c r="L48" s="129">
        <v>2</v>
      </c>
      <c r="N48" s="129">
        <v>1</v>
      </c>
      <c r="O48" s="129">
        <v>0.75</v>
      </c>
      <c r="P48" s="129">
        <v>0.85</v>
      </c>
      <c r="Q48" s="158">
        <f t="shared" si="2"/>
        <v>0.8</v>
      </c>
      <c r="R48" s="129">
        <v>16.100000000000001</v>
      </c>
      <c r="S48" s="129">
        <v>130</v>
      </c>
      <c r="T48" s="159">
        <f t="shared" si="0"/>
        <v>25</v>
      </c>
      <c r="U48" s="129">
        <v>128</v>
      </c>
      <c r="V48" s="160">
        <f t="shared" si="1"/>
        <v>3200</v>
      </c>
      <c r="W48" s="129">
        <v>15</v>
      </c>
      <c r="X48" s="129" t="s">
        <v>35</v>
      </c>
      <c r="Y48" s="129" t="s">
        <v>74</v>
      </c>
      <c r="Z48" s="129" t="s">
        <v>82</v>
      </c>
      <c r="AA48" s="129" t="s">
        <v>43</v>
      </c>
      <c r="AB48" s="129" t="s">
        <v>195</v>
      </c>
    </row>
    <row r="49" spans="1:28" x14ac:dyDescent="0.15">
      <c r="A49" s="129" t="s">
        <v>40</v>
      </c>
      <c r="B49" s="129" t="s">
        <v>191</v>
      </c>
      <c r="C49" s="129">
        <v>2020</v>
      </c>
      <c r="D49" s="130" t="s">
        <v>390</v>
      </c>
      <c r="E49" s="129" t="s">
        <v>170</v>
      </c>
      <c r="F49" s="129" t="s">
        <v>398</v>
      </c>
      <c r="G49" s="129" t="s">
        <v>25</v>
      </c>
      <c r="H49" s="129" t="s">
        <v>113</v>
      </c>
      <c r="I49" s="129" t="s">
        <v>111</v>
      </c>
      <c r="J49" s="77" t="s">
        <v>27</v>
      </c>
      <c r="K49" s="77" t="s">
        <v>112</v>
      </c>
      <c r="L49" s="129">
        <v>3</v>
      </c>
      <c r="N49" s="129">
        <v>1</v>
      </c>
      <c r="O49" s="129">
        <v>0.85</v>
      </c>
      <c r="P49" s="129">
        <v>0.7</v>
      </c>
      <c r="Q49" s="158">
        <f t="shared" si="2"/>
        <v>0.77499999999999991</v>
      </c>
      <c r="R49" s="129">
        <v>15.6</v>
      </c>
      <c r="S49" s="129">
        <v>128</v>
      </c>
      <c r="T49" s="159">
        <f t="shared" si="0"/>
        <v>27</v>
      </c>
      <c r="U49" s="129">
        <v>128</v>
      </c>
      <c r="V49" s="160">
        <f t="shared" si="1"/>
        <v>3456</v>
      </c>
      <c r="W49" s="129">
        <v>15</v>
      </c>
      <c r="X49" s="129" t="s">
        <v>35</v>
      </c>
      <c r="Y49" s="129" t="s">
        <v>74</v>
      </c>
      <c r="Z49" s="129" t="s">
        <v>82</v>
      </c>
      <c r="AA49" s="129" t="s">
        <v>43</v>
      </c>
      <c r="AB49" s="129" t="s">
        <v>195</v>
      </c>
    </row>
    <row r="50" spans="1:28" x14ac:dyDescent="0.15">
      <c r="A50" s="129" t="s">
        <v>40</v>
      </c>
      <c r="B50" s="129" t="s">
        <v>191</v>
      </c>
      <c r="C50" s="129">
        <v>2020</v>
      </c>
      <c r="D50" s="130" t="s">
        <v>390</v>
      </c>
      <c r="E50" s="129" t="s">
        <v>170</v>
      </c>
      <c r="F50" s="129" t="s">
        <v>398</v>
      </c>
      <c r="G50" s="129" t="s">
        <v>25</v>
      </c>
      <c r="H50" s="129" t="s">
        <v>113</v>
      </c>
      <c r="I50" s="129" t="s">
        <v>165</v>
      </c>
      <c r="J50" s="77" t="s">
        <v>27</v>
      </c>
      <c r="K50" s="77" t="s">
        <v>112</v>
      </c>
      <c r="L50" s="129">
        <v>1</v>
      </c>
      <c r="N50" s="129">
        <v>2</v>
      </c>
      <c r="O50" s="129">
        <v>0.45</v>
      </c>
      <c r="P50" s="129">
        <v>0.5</v>
      </c>
      <c r="Q50" s="158">
        <f t="shared" si="2"/>
        <v>0.47499999999999998</v>
      </c>
      <c r="R50" s="129">
        <v>16.399999999999999</v>
      </c>
      <c r="S50" s="129">
        <v>114</v>
      </c>
      <c r="T50" s="159">
        <f t="shared" si="0"/>
        <v>30</v>
      </c>
      <c r="U50" s="129">
        <v>298</v>
      </c>
      <c r="V50" s="160">
        <f t="shared" si="1"/>
        <v>4470</v>
      </c>
      <c r="W50" s="129">
        <v>15</v>
      </c>
      <c r="X50" s="129" t="s">
        <v>35</v>
      </c>
      <c r="Y50" s="129" t="s">
        <v>74</v>
      </c>
      <c r="Z50" s="129" t="s">
        <v>82</v>
      </c>
      <c r="AA50" s="129" t="s">
        <v>43</v>
      </c>
      <c r="AB50" s="129" t="s">
        <v>195</v>
      </c>
    </row>
    <row r="51" spans="1:28" x14ac:dyDescent="0.15">
      <c r="A51" s="129" t="s">
        <v>40</v>
      </c>
      <c r="B51" s="129" t="s">
        <v>191</v>
      </c>
      <c r="C51" s="129">
        <v>2020</v>
      </c>
      <c r="D51" s="130" t="s">
        <v>390</v>
      </c>
      <c r="E51" s="129" t="s">
        <v>170</v>
      </c>
      <c r="F51" s="129" t="s">
        <v>398</v>
      </c>
      <c r="G51" s="129" t="s">
        <v>25</v>
      </c>
      <c r="H51" s="129" t="s">
        <v>113</v>
      </c>
      <c r="I51" s="129" t="s">
        <v>165</v>
      </c>
      <c r="J51" s="77" t="s">
        <v>27</v>
      </c>
      <c r="K51" s="77" t="s">
        <v>112</v>
      </c>
      <c r="L51" s="129">
        <v>2</v>
      </c>
      <c r="N51" s="129">
        <v>2</v>
      </c>
      <c r="O51" s="129">
        <v>0.55000000000000004</v>
      </c>
      <c r="P51" s="129">
        <v>0.6</v>
      </c>
      <c r="Q51" s="158">
        <f t="shared" si="2"/>
        <v>0.57499999999999996</v>
      </c>
      <c r="R51" s="129">
        <v>15.3</v>
      </c>
      <c r="S51" s="129">
        <v>116</v>
      </c>
      <c r="T51" s="159">
        <f t="shared" si="0"/>
        <v>30</v>
      </c>
      <c r="U51" s="129">
        <v>298</v>
      </c>
      <c r="V51" s="160">
        <f t="shared" si="1"/>
        <v>4470</v>
      </c>
      <c r="W51" s="129">
        <v>15</v>
      </c>
      <c r="X51" s="129" t="s">
        <v>35</v>
      </c>
      <c r="Y51" s="129" t="s">
        <v>74</v>
      </c>
      <c r="Z51" s="129" t="s">
        <v>82</v>
      </c>
      <c r="AA51" s="129" t="s">
        <v>43</v>
      </c>
      <c r="AB51" s="129" t="s">
        <v>195</v>
      </c>
    </row>
    <row r="52" spans="1:28" x14ac:dyDescent="0.15">
      <c r="A52" s="129" t="s">
        <v>40</v>
      </c>
      <c r="B52" s="129" t="s">
        <v>191</v>
      </c>
      <c r="C52" s="129">
        <v>2020</v>
      </c>
      <c r="D52" s="130" t="s">
        <v>390</v>
      </c>
      <c r="E52" s="129" t="s">
        <v>170</v>
      </c>
      <c r="F52" s="129" t="s">
        <v>398</v>
      </c>
      <c r="G52" s="129" t="s">
        <v>25</v>
      </c>
      <c r="H52" s="129" t="s">
        <v>113</v>
      </c>
      <c r="I52" s="129" t="s">
        <v>165</v>
      </c>
      <c r="J52" s="77" t="s">
        <v>27</v>
      </c>
      <c r="K52" s="77" t="s">
        <v>112</v>
      </c>
      <c r="L52" s="129">
        <v>3</v>
      </c>
      <c r="N52" s="129">
        <v>2</v>
      </c>
      <c r="O52" s="129">
        <v>0.6</v>
      </c>
      <c r="P52" s="129">
        <v>0.55000000000000004</v>
      </c>
      <c r="Q52" s="158">
        <f t="shared" si="2"/>
        <v>0.57499999999999996</v>
      </c>
      <c r="R52" s="129">
        <v>16.399999999999999</v>
      </c>
      <c r="S52" s="129">
        <v>114</v>
      </c>
      <c r="T52" s="159">
        <f t="shared" si="0"/>
        <v>30</v>
      </c>
      <c r="U52" s="129">
        <v>298</v>
      </c>
      <c r="V52" s="160">
        <f t="shared" si="1"/>
        <v>4470</v>
      </c>
      <c r="W52" s="129">
        <v>15</v>
      </c>
      <c r="X52" s="129" t="s">
        <v>35</v>
      </c>
      <c r="Y52" s="129" t="s">
        <v>74</v>
      </c>
      <c r="Z52" s="129" t="s">
        <v>82</v>
      </c>
      <c r="AA52" s="129" t="s">
        <v>43</v>
      </c>
      <c r="AB52" s="129" t="s">
        <v>195</v>
      </c>
    </row>
    <row r="53" spans="1:28" x14ac:dyDescent="0.15">
      <c r="A53" s="129" t="s">
        <v>40</v>
      </c>
      <c r="B53" s="129" t="s">
        <v>191</v>
      </c>
      <c r="C53" s="129">
        <v>2020</v>
      </c>
      <c r="D53" s="130" t="s">
        <v>390</v>
      </c>
      <c r="E53" s="129" t="s">
        <v>170</v>
      </c>
      <c r="F53" s="129" t="s">
        <v>398</v>
      </c>
      <c r="G53" s="129" t="s">
        <v>25</v>
      </c>
      <c r="H53" s="129" t="s">
        <v>113</v>
      </c>
      <c r="I53" s="129" t="s">
        <v>111</v>
      </c>
      <c r="J53" s="77" t="s">
        <v>27</v>
      </c>
      <c r="K53" s="77" t="s">
        <v>112</v>
      </c>
      <c r="L53" s="129">
        <v>1</v>
      </c>
      <c r="N53" s="129">
        <v>5</v>
      </c>
      <c r="O53" s="129">
        <v>0.75</v>
      </c>
      <c r="P53" s="129">
        <v>0.8</v>
      </c>
      <c r="Q53" s="158">
        <f t="shared" si="2"/>
        <v>0.77500000000000002</v>
      </c>
      <c r="R53" s="129">
        <v>15</v>
      </c>
      <c r="S53" s="129">
        <v>89</v>
      </c>
      <c r="T53" s="159">
        <f t="shared" si="0"/>
        <v>36</v>
      </c>
      <c r="U53" s="129">
        <v>398</v>
      </c>
      <c r="V53" s="160">
        <f t="shared" si="1"/>
        <v>2865.6</v>
      </c>
      <c r="W53" s="129">
        <v>15</v>
      </c>
      <c r="X53" s="129" t="s">
        <v>35</v>
      </c>
      <c r="Y53" s="129" t="s">
        <v>74</v>
      </c>
      <c r="Z53" s="129" t="s">
        <v>82</v>
      </c>
      <c r="AA53" s="129" t="s">
        <v>43</v>
      </c>
      <c r="AB53" s="129" t="s">
        <v>195</v>
      </c>
    </row>
    <row r="54" spans="1:28" x14ac:dyDescent="0.15">
      <c r="A54" s="129" t="s">
        <v>40</v>
      </c>
      <c r="B54" s="129" t="s">
        <v>191</v>
      </c>
      <c r="C54" s="129">
        <v>2020</v>
      </c>
      <c r="D54" s="130" t="s">
        <v>390</v>
      </c>
      <c r="E54" s="129" t="s">
        <v>170</v>
      </c>
      <c r="F54" s="129" t="s">
        <v>398</v>
      </c>
      <c r="G54" s="129" t="s">
        <v>25</v>
      </c>
      <c r="H54" s="129" t="s">
        <v>113</v>
      </c>
      <c r="I54" s="129" t="s">
        <v>111</v>
      </c>
      <c r="J54" s="77" t="s">
        <v>27</v>
      </c>
      <c r="K54" s="77" t="s">
        <v>112</v>
      </c>
      <c r="L54" s="129">
        <v>2</v>
      </c>
      <c r="N54" s="129">
        <v>5</v>
      </c>
      <c r="O54" s="129">
        <v>0.85</v>
      </c>
      <c r="P54" s="129">
        <v>0.85</v>
      </c>
      <c r="Q54" s="158">
        <f t="shared" si="2"/>
        <v>0.85</v>
      </c>
      <c r="R54" s="129">
        <v>14.7</v>
      </c>
      <c r="S54" s="129">
        <v>93</v>
      </c>
      <c r="T54" s="159">
        <f t="shared" si="0"/>
        <v>36</v>
      </c>
      <c r="U54" s="129">
        <v>398</v>
      </c>
      <c r="V54" s="160">
        <f t="shared" si="1"/>
        <v>2865.6</v>
      </c>
      <c r="W54" s="129">
        <v>15</v>
      </c>
      <c r="X54" s="129" t="s">
        <v>35</v>
      </c>
      <c r="Y54" s="129" t="s">
        <v>74</v>
      </c>
      <c r="Z54" s="129" t="s">
        <v>82</v>
      </c>
      <c r="AA54" s="129" t="s">
        <v>43</v>
      </c>
      <c r="AB54" s="129" t="s">
        <v>195</v>
      </c>
    </row>
    <row r="55" spans="1:28" x14ac:dyDescent="0.15">
      <c r="A55" s="129" t="s">
        <v>40</v>
      </c>
      <c r="B55" s="129" t="s">
        <v>191</v>
      </c>
      <c r="C55" s="129">
        <v>2020</v>
      </c>
      <c r="D55" s="130" t="s">
        <v>390</v>
      </c>
      <c r="E55" s="129" t="s">
        <v>170</v>
      </c>
      <c r="F55" s="129" t="s">
        <v>398</v>
      </c>
      <c r="G55" s="129" t="s">
        <v>25</v>
      </c>
      <c r="H55" s="129" t="s">
        <v>113</v>
      </c>
      <c r="I55" s="129" t="s">
        <v>111</v>
      </c>
      <c r="J55" s="77" t="s">
        <v>27</v>
      </c>
      <c r="K55" s="77" t="s">
        <v>112</v>
      </c>
      <c r="L55" s="129">
        <v>3</v>
      </c>
      <c r="N55" s="129">
        <v>5</v>
      </c>
      <c r="O55" s="129">
        <v>0.8</v>
      </c>
      <c r="P55" s="129">
        <v>0.9</v>
      </c>
      <c r="Q55" s="158">
        <f t="shared" si="2"/>
        <v>0.85000000000000009</v>
      </c>
      <c r="R55" s="129">
        <v>15.6</v>
      </c>
      <c r="S55" s="129">
        <v>90</v>
      </c>
      <c r="T55" s="159">
        <f t="shared" si="0"/>
        <v>36</v>
      </c>
      <c r="U55" s="129">
        <v>398</v>
      </c>
      <c r="V55" s="160">
        <f t="shared" si="1"/>
        <v>2865.6</v>
      </c>
      <c r="W55" s="129">
        <v>15</v>
      </c>
      <c r="X55" s="129" t="s">
        <v>35</v>
      </c>
      <c r="Y55" s="129" t="s">
        <v>74</v>
      </c>
      <c r="Z55" s="129" t="s">
        <v>82</v>
      </c>
      <c r="AA55" s="129" t="s">
        <v>43</v>
      </c>
      <c r="AB55" s="129" t="s">
        <v>195</v>
      </c>
    </row>
    <row r="56" spans="1:28" x14ac:dyDescent="0.15">
      <c r="A56" s="129" t="s">
        <v>40</v>
      </c>
      <c r="B56" s="129" t="s">
        <v>191</v>
      </c>
      <c r="C56" s="129">
        <v>2020</v>
      </c>
      <c r="D56" s="130" t="s">
        <v>390</v>
      </c>
      <c r="E56" s="129" t="s">
        <v>170</v>
      </c>
      <c r="F56" s="129" t="s">
        <v>398</v>
      </c>
      <c r="G56" s="129" t="s">
        <v>25</v>
      </c>
      <c r="H56" s="129" t="s">
        <v>196</v>
      </c>
      <c r="I56" s="129" t="s">
        <v>111</v>
      </c>
      <c r="J56" s="77" t="s">
        <v>66</v>
      </c>
      <c r="K56" s="77" t="s">
        <v>34</v>
      </c>
      <c r="L56" s="129">
        <v>1</v>
      </c>
      <c r="N56" s="129">
        <v>5</v>
      </c>
      <c r="O56" s="129">
        <v>1.25</v>
      </c>
      <c r="P56" s="129">
        <v>1.1499999999999999</v>
      </c>
      <c r="Q56" s="158">
        <f t="shared" si="2"/>
        <v>1.2</v>
      </c>
      <c r="R56" s="129">
        <v>12.2</v>
      </c>
      <c r="S56" s="129">
        <v>75</v>
      </c>
      <c r="T56" s="159">
        <f t="shared" si="0"/>
        <v>42</v>
      </c>
      <c r="U56" s="129">
        <v>298</v>
      </c>
      <c r="V56" s="160">
        <f t="shared" si="1"/>
        <v>2503.2000000000003</v>
      </c>
      <c r="W56" s="129">
        <v>15</v>
      </c>
      <c r="X56" s="129" t="s">
        <v>35</v>
      </c>
      <c r="Y56" s="129" t="s">
        <v>74</v>
      </c>
      <c r="Z56" s="129" t="s">
        <v>82</v>
      </c>
      <c r="AA56" s="129" t="s">
        <v>43</v>
      </c>
      <c r="AB56" s="129" t="s">
        <v>195</v>
      </c>
    </row>
    <row r="57" spans="1:28" x14ac:dyDescent="0.15">
      <c r="A57" s="129" t="s">
        <v>40</v>
      </c>
      <c r="B57" s="129" t="s">
        <v>191</v>
      </c>
      <c r="C57" s="129">
        <v>2020</v>
      </c>
      <c r="D57" s="130" t="s">
        <v>390</v>
      </c>
      <c r="E57" s="129" t="s">
        <v>170</v>
      </c>
      <c r="F57" s="129" t="s">
        <v>398</v>
      </c>
      <c r="G57" s="129" t="s">
        <v>25</v>
      </c>
      <c r="H57" s="129" t="s">
        <v>196</v>
      </c>
      <c r="I57" s="129" t="s">
        <v>111</v>
      </c>
      <c r="J57" s="77" t="s">
        <v>66</v>
      </c>
      <c r="K57" s="77" t="s">
        <v>34</v>
      </c>
      <c r="L57" s="129">
        <v>2</v>
      </c>
      <c r="N57" s="129">
        <v>5</v>
      </c>
      <c r="O57" s="129">
        <v>1.25</v>
      </c>
      <c r="P57" s="129">
        <v>1.25</v>
      </c>
      <c r="Q57" s="158">
        <f t="shared" si="2"/>
        <v>1.25</v>
      </c>
      <c r="R57" s="129">
        <v>10.6</v>
      </c>
      <c r="S57" s="129">
        <v>81</v>
      </c>
      <c r="T57" s="159">
        <f t="shared" si="0"/>
        <v>39</v>
      </c>
      <c r="U57" s="129">
        <v>298</v>
      </c>
      <c r="V57" s="160">
        <f t="shared" si="1"/>
        <v>2324.4</v>
      </c>
      <c r="W57" s="129">
        <v>15</v>
      </c>
      <c r="X57" s="129" t="s">
        <v>35</v>
      </c>
      <c r="Y57" s="129" t="s">
        <v>74</v>
      </c>
      <c r="Z57" s="129" t="s">
        <v>82</v>
      </c>
      <c r="AA57" s="129" t="s">
        <v>43</v>
      </c>
      <c r="AB57" s="129" t="s">
        <v>195</v>
      </c>
    </row>
    <row r="58" spans="1:28" x14ac:dyDescent="0.15">
      <c r="A58" s="129" t="s">
        <v>40</v>
      </c>
      <c r="B58" s="129" t="s">
        <v>191</v>
      </c>
      <c r="C58" s="129">
        <v>2020</v>
      </c>
      <c r="D58" s="130" t="s">
        <v>390</v>
      </c>
      <c r="E58" s="129" t="s">
        <v>170</v>
      </c>
      <c r="F58" s="129" t="s">
        <v>398</v>
      </c>
      <c r="G58" s="129" t="s">
        <v>25</v>
      </c>
      <c r="H58" s="129" t="s">
        <v>196</v>
      </c>
      <c r="I58" s="129" t="s">
        <v>111</v>
      </c>
      <c r="J58" s="77" t="s">
        <v>66</v>
      </c>
      <c r="K58" s="77" t="s">
        <v>34</v>
      </c>
      <c r="L58" s="129">
        <v>3</v>
      </c>
      <c r="N58" s="129">
        <v>5</v>
      </c>
      <c r="O58" s="129">
        <v>1.25</v>
      </c>
      <c r="P58" s="129">
        <v>1.1000000000000001</v>
      </c>
      <c r="Q58" s="158">
        <f t="shared" si="2"/>
        <v>1.175</v>
      </c>
      <c r="R58" s="129">
        <v>11.7</v>
      </c>
      <c r="S58" s="129">
        <v>80</v>
      </c>
      <c r="T58" s="159">
        <f t="shared" si="0"/>
        <v>39</v>
      </c>
      <c r="U58" s="129">
        <v>298</v>
      </c>
      <c r="V58" s="160">
        <f t="shared" si="1"/>
        <v>2324.4</v>
      </c>
      <c r="W58" s="129">
        <v>15</v>
      </c>
      <c r="X58" s="129" t="s">
        <v>35</v>
      </c>
      <c r="Y58" s="129" t="s">
        <v>74</v>
      </c>
      <c r="Z58" s="129" t="s">
        <v>82</v>
      </c>
      <c r="AA58" s="129" t="s">
        <v>43</v>
      </c>
      <c r="AB58" s="129" t="s">
        <v>195</v>
      </c>
    </row>
    <row r="59" spans="1:28" x14ac:dyDescent="0.15">
      <c r="A59" s="129" t="s">
        <v>40</v>
      </c>
      <c r="B59" s="129" t="s">
        <v>191</v>
      </c>
      <c r="C59" s="129">
        <v>2020</v>
      </c>
      <c r="D59" s="130" t="s">
        <v>390</v>
      </c>
      <c r="E59" s="129" t="s">
        <v>170</v>
      </c>
      <c r="F59" s="129" t="s">
        <v>398</v>
      </c>
      <c r="G59" s="129" t="s">
        <v>25</v>
      </c>
      <c r="H59" s="129" t="s">
        <v>166</v>
      </c>
      <c r="I59" s="129" t="s">
        <v>111</v>
      </c>
      <c r="J59" s="77" t="s">
        <v>27</v>
      </c>
      <c r="K59" s="77" t="s">
        <v>112</v>
      </c>
      <c r="L59" s="129">
        <v>1</v>
      </c>
      <c r="N59" s="129">
        <v>1</v>
      </c>
      <c r="O59" s="129">
        <v>0.9</v>
      </c>
      <c r="P59" s="129">
        <v>0.9</v>
      </c>
      <c r="Q59" s="158">
        <f t="shared" si="2"/>
        <v>0.9</v>
      </c>
      <c r="R59" s="129">
        <v>15.4</v>
      </c>
      <c r="S59" s="129">
        <v>126</v>
      </c>
      <c r="T59" s="159">
        <f t="shared" si="0"/>
        <v>27</v>
      </c>
      <c r="U59" s="129">
        <v>128</v>
      </c>
      <c r="V59" s="160">
        <f t="shared" si="1"/>
        <v>3456</v>
      </c>
      <c r="W59" s="129">
        <v>15</v>
      </c>
      <c r="X59" s="129" t="s">
        <v>35</v>
      </c>
      <c r="Y59" s="129" t="s">
        <v>74</v>
      </c>
      <c r="Z59" s="129" t="s">
        <v>82</v>
      </c>
      <c r="AA59" s="129" t="s">
        <v>43</v>
      </c>
      <c r="AB59" s="129" t="s">
        <v>195</v>
      </c>
    </row>
    <row r="60" spans="1:28" x14ac:dyDescent="0.15">
      <c r="A60" s="129" t="s">
        <v>40</v>
      </c>
      <c r="B60" s="129" t="s">
        <v>191</v>
      </c>
      <c r="C60" s="129">
        <v>2020</v>
      </c>
      <c r="D60" s="130" t="s">
        <v>390</v>
      </c>
      <c r="E60" s="129" t="s">
        <v>170</v>
      </c>
      <c r="F60" s="129" t="s">
        <v>398</v>
      </c>
      <c r="G60" s="129" t="s">
        <v>25</v>
      </c>
      <c r="H60" s="129" t="s">
        <v>166</v>
      </c>
      <c r="I60" s="129" t="s">
        <v>111</v>
      </c>
      <c r="J60" s="77" t="s">
        <v>27</v>
      </c>
      <c r="K60" s="77" t="s">
        <v>112</v>
      </c>
      <c r="L60" s="129">
        <v>2</v>
      </c>
      <c r="N60" s="129">
        <v>1</v>
      </c>
      <c r="O60" s="129">
        <v>1.1000000000000001</v>
      </c>
      <c r="P60" s="129">
        <v>0.95</v>
      </c>
      <c r="Q60" s="158">
        <f t="shared" si="2"/>
        <v>1.0249999999999999</v>
      </c>
      <c r="R60" s="129">
        <v>16.600000000000001</v>
      </c>
      <c r="S60" s="129">
        <v>126</v>
      </c>
      <c r="T60" s="159">
        <f t="shared" si="0"/>
        <v>27</v>
      </c>
      <c r="U60" s="129">
        <v>128</v>
      </c>
      <c r="V60" s="160">
        <f t="shared" si="1"/>
        <v>3456</v>
      </c>
      <c r="W60" s="129">
        <v>15</v>
      </c>
      <c r="X60" s="129" t="s">
        <v>35</v>
      </c>
      <c r="Y60" s="129" t="s">
        <v>74</v>
      </c>
      <c r="Z60" s="129" t="s">
        <v>82</v>
      </c>
      <c r="AA60" s="129" t="s">
        <v>43</v>
      </c>
      <c r="AB60" s="129" t="s">
        <v>195</v>
      </c>
    </row>
    <row r="61" spans="1:28" x14ac:dyDescent="0.15">
      <c r="A61" s="129" t="s">
        <v>40</v>
      </c>
      <c r="B61" s="129" t="s">
        <v>191</v>
      </c>
      <c r="C61" s="129">
        <v>2020</v>
      </c>
      <c r="D61" s="130" t="s">
        <v>390</v>
      </c>
      <c r="E61" s="129" t="s">
        <v>170</v>
      </c>
      <c r="F61" s="129" t="s">
        <v>398</v>
      </c>
      <c r="G61" s="129" t="s">
        <v>25</v>
      </c>
      <c r="H61" s="129" t="s">
        <v>166</v>
      </c>
      <c r="I61" s="129" t="s">
        <v>111</v>
      </c>
      <c r="J61" s="77" t="s">
        <v>27</v>
      </c>
      <c r="K61" s="77" t="s">
        <v>112</v>
      </c>
      <c r="L61" s="129">
        <v>3</v>
      </c>
      <c r="N61" s="129">
        <v>1</v>
      </c>
      <c r="O61" s="129">
        <v>0.95</v>
      </c>
      <c r="P61" s="129">
        <v>0.85</v>
      </c>
      <c r="Q61" s="158">
        <f t="shared" si="2"/>
        <v>0.89999999999999991</v>
      </c>
      <c r="R61" s="129">
        <v>15.8</v>
      </c>
      <c r="S61" s="129">
        <v>128</v>
      </c>
      <c r="T61" s="159">
        <f t="shared" si="0"/>
        <v>27</v>
      </c>
      <c r="U61" s="129">
        <v>128</v>
      </c>
      <c r="V61" s="160">
        <f t="shared" si="1"/>
        <v>3456</v>
      </c>
      <c r="W61" s="129">
        <v>15</v>
      </c>
      <c r="X61" s="129" t="s">
        <v>35</v>
      </c>
      <c r="Y61" s="129" t="s">
        <v>74</v>
      </c>
      <c r="Z61" s="129" t="s">
        <v>82</v>
      </c>
      <c r="AA61" s="129" t="s">
        <v>43</v>
      </c>
      <c r="AB61" s="129" t="s">
        <v>195</v>
      </c>
    </row>
    <row r="62" spans="1:28" x14ac:dyDescent="0.15">
      <c r="A62" s="129" t="s">
        <v>40</v>
      </c>
      <c r="B62" s="129" t="s">
        <v>191</v>
      </c>
      <c r="C62" s="129">
        <v>2020</v>
      </c>
      <c r="D62" s="130" t="s">
        <v>390</v>
      </c>
      <c r="E62" s="129" t="s">
        <v>170</v>
      </c>
      <c r="F62" s="129" t="s">
        <v>398</v>
      </c>
      <c r="G62" s="129" t="s">
        <v>25</v>
      </c>
      <c r="H62" s="129" t="s">
        <v>166</v>
      </c>
      <c r="I62" s="129" t="s">
        <v>165</v>
      </c>
      <c r="J62" s="77" t="s">
        <v>27</v>
      </c>
      <c r="K62" s="77" t="s">
        <v>112</v>
      </c>
      <c r="L62" s="129">
        <v>1</v>
      </c>
      <c r="N62" s="129">
        <v>2</v>
      </c>
      <c r="O62" s="129">
        <v>0.75</v>
      </c>
      <c r="P62" s="129">
        <v>0.8</v>
      </c>
      <c r="Q62" s="158">
        <f t="shared" si="2"/>
        <v>0.77500000000000002</v>
      </c>
      <c r="R62" s="129">
        <v>16.600000000000001</v>
      </c>
      <c r="S62" s="129">
        <v>142</v>
      </c>
      <c r="T62" s="159">
        <f t="shared" si="0"/>
        <v>22</v>
      </c>
      <c r="U62" s="129">
        <v>398</v>
      </c>
      <c r="V62" s="160">
        <f t="shared" si="1"/>
        <v>4378</v>
      </c>
      <c r="W62" s="129">
        <v>15</v>
      </c>
      <c r="X62" s="129" t="s">
        <v>35</v>
      </c>
      <c r="Y62" s="129" t="s">
        <v>74</v>
      </c>
      <c r="Z62" s="129" t="s">
        <v>82</v>
      </c>
      <c r="AA62" s="129" t="s">
        <v>43</v>
      </c>
      <c r="AB62" s="129" t="s">
        <v>195</v>
      </c>
    </row>
    <row r="63" spans="1:28" x14ac:dyDescent="0.15">
      <c r="A63" s="129" t="s">
        <v>40</v>
      </c>
      <c r="B63" s="129" t="s">
        <v>191</v>
      </c>
      <c r="C63" s="129">
        <v>2020</v>
      </c>
      <c r="D63" s="130" t="s">
        <v>390</v>
      </c>
      <c r="E63" s="129" t="s">
        <v>170</v>
      </c>
      <c r="F63" s="129" t="s">
        <v>398</v>
      </c>
      <c r="G63" s="129" t="s">
        <v>25</v>
      </c>
      <c r="H63" s="129" t="s">
        <v>166</v>
      </c>
      <c r="I63" s="129" t="s">
        <v>165</v>
      </c>
      <c r="J63" s="77" t="s">
        <v>27</v>
      </c>
      <c r="K63" s="77" t="s">
        <v>112</v>
      </c>
      <c r="L63" s="129">
        <v>2</v>
      </c>
      <c r="N63" s="129">
        <v>2</v>
      </c>
      <c r="O63" s="129">
        <v>0.75</v>
      </c>
      <c r="P63" s="129">
        <v>0.7</v>
      </c>
      <c r="Q63" s="158">
        <f t="shared" si="2"/>
        <v>0.72499999999999998</v>
      </c>
      <c r="R63" s="129">
        <v>17.2</v>
      </c>
      <c r="S63" s="129">
        <v>146</v>
      </c>
      <c r="T63" s="159">
        <f t="shared" si="0"/>
        <v>22</v>
      </c>
      <c r="U63" s="129">
        <v>398</v>
      </c>
      <c r="V63" s="160">
        <f t="shared" si="1"/>
        <v>4378</v>
      </c>
      <c r="W63" s="129">
        <v>15</v>
      </c>
      <c r="X63" s="129" t="s">
        <v>35</v>
      </c>
      <c r="Y63" s="129" t="s">
        <v>74</v>
      </c>
      <c r="Z63" s="129" t="s">
        <v>82</v>
      </c>
      <c r="AA63" s="129" t="s">
        <v>43</v>
      </c>
      <c r="AB63" s="129" t="s">
        <v>195</v>
      </c>
    </row>
    <row r="64" spans="1:28" x14ac:dyDescent="0.15">
      <c r="A64" s="129" t="s">
        <v>40</v>
      </c>
      <c r="B64" s="129" t="s">
        <v>191</v>
      </c>
      <c r="C64" s="129">
        <v>2020</v>
      </c>
      <c r="D64" s="130" t="s">
        <v>390</v>
      </c>
      <c r="E64" s="129" t="s">
        <v>170</v>
      </c>
      <c r="F64" s="129" t="s">
        <v>398</v>
      </c>
      <c r="G64" s="129" t="s">
        <v>25</v>
      </c>
      <c r="H64" s="129" t="s">
        <v>166</v>
      </c>
      <c r="I64" s="129" t="s">
        <v>165</v>
      </c>
      <c r="J64" s="77" t="s">
        <v>27</v>
      </c>
      <c r="K64" s="77" t="s">
        <v>112</v>
      </c>
      <c r="L64" s="129">
        <v>3</v>
      </c>
      <c r="N64" s="129">
        <v>2</v>
      </c>
      <c r="O64" s="129">
        <v>0.7</v>
      </c>
      <c r="P64" s="129">
        <v>0.8</v>
      </c>
      <c r="Q64" s="158">
        <f t="shared" si="2"/>
        <v>0.75</v>
      </c>
      <c r="R64" s="129">
        <v>16.399999999999999</v>
      </c>
      <c r="S64" s="129">
        <v>138</v>
      </c>
      <c r="T64" s="159">
        <f t="shared" si="0"/>
        <v>22</v>
      </c>
      <c r="U64" s="129">
        <v>398</v>
      </c>
      <c r="V64" s="160">
        <f t="shared" si="1"/>
        <v>4378</v>
      </c>
      <c r="W64" s="129">
        <v>15</v>
      </c>
      <c r="X64" s="129" t="s">
        <v>35</v>
      </c>
      <c r="Y64" s="129" t="s">
        <v>74</v>
      </c>
      <c r="Z64" s="129" t="s">
        <v>82</v>
      </c>
      <c r="AA64" s="129" t="s">
        <v>43</v>
      </c>
      <c r="AB64" s="129" t="s">
        <v>195</v>
      </c>
    </row>
    <row r="65" spans="1:28" x14ac:dyDescent="0.15">
      <c r="A65" s="129" t="s">
        <v>40</v>
      </c>
      <c r="B65" s="129" t="s">
        <v>191</v>
      </c>
      <c r="C65" s="129">
        <v>2020</v>
      </c>
      <c r="D65" s="130" t="s">
        <v>390</v>
      </c>
      <c r="E65" s="129" t="s">
        <v>170</v>
      </c>
      <c r="F65" s="129" t="s">
        <v>398</v>
      </c>
      <c r="G65" s="129" t="s">
        <v>25</v>
      </c>
      <c r="H65" s="129" t="s">
        <v>166</v>
      </c>
      <c r="I65" s="129" t="s">
        <v>111</v>
      </c>
      <c r="J65" s="77" t="s">
        <v>27</v>
      </c>
      <c r="K65" s="77" t="s">
        <v>112</v>
      </c>
      <c r="L65" s="129">
        <v>1</v>
      </c>
      <c r="N65" s="129">
        <v>5</v>
      </c>
      <c r="O65" s="129">
        <v>0.9</v>
      </c>
      <c r="P65" s="129">
        <v>0.95</v>
      </c>
      <c r="Q65" s="159">
        <f t="shared" si="2"/>
        <v>0.92500000000000004</v>
      </c>
      <c r="R65" s="129">
        <v>17.100000000000001</v>
      </c>
      <c r="S65" s="129">
        <v>92</v>
      </c>
      <c r="T65" s="159">
        <f t="shared" si="0"/>
        <v>36</v>
      </c>
      <c r="U65" s="129">
        <v>398</v>
      </c>
      <c r="V65" s="159">
        <f t="shared" si="1"/>
        <v>2865.6</v>
      </c>
      <c r="W65" s="129">
        <v>15</v>
      </c>
      <c r="X65" s="129" t="s">
        <v>35</v>
      </c>
      <c r="Y65" s="129" t="s">
        <v>74</v>
      </c>
      <c r="Z65" s="129" t="s">
        <v>82</v>
      </c>
      <c r="AA65" s="129" t="s">
        <v>43</v>
      </c>
      <c r="AB65" s="129" t="s">
        <v>195</v>
      </c>
    </row>
    <row r="66" spans="1:28" x14ac:dyDescent="0.15">
      <c r="A66" s="129" t="s">
        <v>40</v>
      </c>
      <c r="B66" s="129" t="s">
        <v>191</v>
      </c>
      <c r="C66" s="129">
        <v>2020</v>
      </c>
      <c r="D66" s="130" t="s">
        <v>390</v>
      </c>
      <c r="E66" s="129" t="s">
        <v>170</v>
      </c>
      <c r="F66" s="129" t="s">
        <v>398</v>
      </c>
      <c r="G66" s="129" t="s">
        <v>25</v>
      </c>
      <c r="H66" s="129" t="s">
        <v>166</v>
      </c>
      <c r="I66" s="129" t="s">
        <v>111</v>
      </c>
      <c r="J66" s="77" t="s">
        <v>27</v>
      </c>
      <c r="K66" s="77" t="s">
        <v>112</v>
      </c>
      <c r="L66" s="129">
        <v>2</v>
      </c>
      <c r="N66" s="129">
        <v>5</v>
      </c>
      <c r="O66" s="129">
        <v>0.95</v>
      </c>
      <c r="P66" s="129">
        <v>0.85</v>
      </c>
      <c r="Q66" s="159">
        <f t="shared" si="2"/>
        <v>0.89999999999999991</v>
      </c>
      <c r="R66" s="129">
        <v>17.5</v>
      </c>
      <c r="S66" s="129">
        <v>89</v>
      </c>
      <c r="T66" s="159">
        <f t="shared" ref="T66:T129" si="3">IF(H66="","",IF(OR(H66="GREEN",H66="GK"),IF(S66&gt;=$AX$2,VLOOKUP(S66,$AX$2:$AY$12,2,1),""),IF(S66&gt;=$AZ$2,VLOOKUP(S66,$AZ$2:$BA$12,2,1),"")))</f>
        <v>36</v>
      </c>
      <c r="U66" s="129">
        <v>398</v>
      </c>
      <c r="V66" s="159">
        <f t="shared" ref="V66:V129" si="4">IF(OR(N66="",U66="",T66=""),"",U66/N66*T66)</f>
        <v>2865.6</v>
      </c>
      <c r="W66" s="129">
        <v>15</v>
      </c>
      <c r="X66" s="129" t="s">
        <v>35</v>
      </c>
      <c r="Y66" s="129" t="s">
        <v>74</v>
      </c>
      <c r="Z66" s="129" t="s">
        <v>82</v>
      </c>
      <c r="AA66" s="129" t="s">
        <v>43</v>
      </c>
      <c r="AB66" s="129" t="s">
        <v>195</v>
      </c>
    </row>
    <row r="67" spans="1:28" x14ac:dyDescent="0.15">
      <c r="A67" s="129" t="s">
        <v>40</v>
      </c>
      <c r="B67" s="129" t="s">
        <v>191</v>
      </c>
      <c r="C67" s="129">
        <v>2020</v>
      </c>
      <c r="D67" s="130" t="s">
        <v>390</v>
      </c>
      <c r="E67" s="129" t="s">
        <v>170</v>
      </c>
      <c r="F67" s="129" t="s">
        <v>398</v>
      </c>
      <c r="G67" s="129" t="s">
        <v>25</v>
      </c>
      <c r="H67" s="129" t="s">
        <v>166</v>
      </c>
      <c r="I67" s="129" t="s">
        <v>111</v>
      </c>
      <c r="J67" s="77" t="s">
        <v>27</v>
      </c>
      <c r="K67" s="77" t="s">
        <v>112</v>
      </c>
      <c r="L67" s="129">
        <v>3</v>
      </c>
      <c r="N67" s="129">
        <v>5</v>
      </c>
      <c r="O67" s="129">
        <v>0.85</v>
      </c>
      <c r="P67" s="129">
        <v>0.75</v>
      </c>
      <c r="Q67" s="159">
        <f t="shared" ref="Q67:Q130" si="5">IF(OR(O67="",P67=""),"",AVERAGE(O67,P67))</f>
        <v>0.8</v>
      </c>
      <c r="R67" s="129">
        <v>16.7</v>
      </c>
      <c r="S67" s="129">
        <v>93</v>
      </c>
      <c r="T67" s="159">
        <f t="shared" si="3"/>
        <v>36</v>
      </c>
      <c r="U67" s="129">
        <v>398</v>
      </c>
      <c r="V67" s="159">
        <f t="shared" si="4"/>
        <v>2865.6</v>
      </c>
      <c r="W67" s="129">
        <v>15</v>
      </c>
      <c r="X67" s="129" t="s">
        <v>35</v>
      </c>
      <c r="Y67" s="129" t="s">
        <v>74</v>
      </c>
      <c r="Z67" s="129" t="s">
        <v>82</v>
      </c>
      <c r="AA67" s="129" t="s">
        <v>43</v>
      </c>
      <c r="AB67" s="129" t="s">
        <v>195</v>
      </c>
    </row>
    <row r="68" spans="1:28" x14ac:dyDescent="0.15">
      <c r="A68" s="129" t="s">
        <v>40</v>
      </c>
      <c r="B68" s="129" t="s">
        <v>191</v>
      </c>
      <c r="C68" s="129">
        <v>2020</v>
      </c>
      <c r="D68" s="130" t="s">
        <v>390</v>
      </c>
      <c r="E68" s="129" t="s">
        <v>399</v>
      </c>
      <c r="F68" s="129" t="s">
        <v>400</v>
      </c>
      <c r="G68" s="129" t="s">
        <v>25</v>
      </c>
      <c r="H68" s="129" t="s">
        <v>113</v>
      </c>
      <c r="I68" s="129" t="s">
        <v>111</v>
      </c>
      <c r="J68" s="77" t="s">
        <v>27</v>
      </c>
      <c r="K68" s="77" t="s">
        <v>112</v>
      </c>
      <c r="L68" s="129">
        <v>1</v>
      </c>
      <c r="N68" s="129">
        <v>1</v>
      </c>
      <c r="O68" s="129">
        <v>0.95</v>
      </c>
      <c r="P68" s="129">
        <v>1.1000000000000001</v>
      </c>
      <c r="Q68" s="159">
        <f t="shared" si="5"/>
        <v>1.0249999999999999</v>
      </c>
      <c r="R68" s="129">
        <v>17.399999999999999</v>
      </c>
      <c r="S68" s="129">
        <v>138</v>
      </c>
      <c r="T68" s="159">
        <f t="shared" si="3"/>
        <v>22</v>
      </c>
      <c r="U68" s="129">
        <v>98</v>
      </c>
      <c r="V68" s="159">
        <f t="shared" si="4"/>
        <v>2156</v>
      </c>
      <c r="W68" s="129">
        <v>8</v>
      </c>
      <c r="X68" s="129" t="s">
        <v>35</v>
      </c>
      <c r="Y68" s="129" t="s">
        <v>55</v>
      </c>
      <c r="Z68" s="129" t="s">
        <v>74</v>
      </c>
      <c r="AA68" s="129" t="s">
        <v>64</v>
      </c>
      <c r="AB68" s="129" t="s">
        <v>195</v>
      </c>
    </row>
    <row r="69" spans="1:28" x14ac:dyDescent="0.15">
      <c r="A69" s="129" t="s">
        <v>40</v>
      </c>
      <c r="B69" s="129" t="s">
        <v>191</v>
      </c>
      <c r="C69" s="129">
        <v>2020</v>
      </c>
      <c r="D69" s="130" t="s">
        <v>390</v>
      </c>
      <c r="E69" s="129" t="s">
        <v>399</v>
      </c>
      <c r="F69" s="129" t="s">
        <v>400</v>
      </c>
      <c r="G69" s="129" t="s">
        <v>25</v>
      </c>
      <c r="H69" s="129" t="s">
        <v>113</v>
      </c>
      <c r="I69" s="129" t="s">
        <v>111</v>
      </c>
      <c r="J69" s="77" t="s">
        <v>27</v>
      </c>
      <c r="K69" s="77" t="s">
        <v>112</v>
      </c>
      <c r="L69" s="129">
        <v>2</v>
      </c>
      <c r="N69" s="129">
        <v>1</v>
      </c>
      <c r="O69" s="129">
        <v>0.85</v>
      </c>
      <c r="P69" s="129">
        <v>0.95</v>
      </c>
      <c r="Q69" s="159">
        <f t="shared" si="5"/>
        <v>0.89999999999999991</v>
      </c>
      <c r="R69" s="129">
        <v>15.9</v>
      </c>
      <c r="S69" s="129">
        <v>134</v>
      </c>
      <c r="T69" s="159">
        <f t="shared" si="3"/>
        <v>25</v>
      </c>
      <c r="U69" s="129">
        <v>98</v>
      </c>
      <c r="V69" s="159">
        <f t="shared" si="4"/>
        <v>2450</v>
      </c>
      <c r="W69" s="129">
        <v>8</v>
      </c>
      <c r="X69" s="129" t="s">
        <v>35</v>
      </c>
      <c r="Y69" s="129" t="s">
        <v>55</v>
      </c>
      <c r="Z69" s="129" t="s">
        <v>74</v>
      </c>
      <c r="AA69" s="129" t="s">
        <v>64</v>
      </c>
      <c r="AB69" s="129" t="s">
        <v>195</v>
      </c>
    </row>
    <row r="70" spans="1:28" x14ac:dyDescent="0.15">
      <c r="A70" s="129" t="s">
        <v>40</v>
      </c>
      <c r="B70" s="129" t="s">
        <v>191</v>
      </c>
      <c r="C70" s="129">
        <v>2020</v>
      </c>
      <c r="D70" s="130" t="s">
        <v>390</v>
      </c>
      <c r="E70" s="129" t="s">
        <v>399</v>
      </c>
      <c r="F70" s="129" t="s">
        <v>400</v>
      </c>
      <c r="G70" s="129" t="s">
        <v>25</v>
      </c>
      <c r="H70" s="129" t="s">
        <v>113</v>
      </c>
      <c r="I70" s="129" t="s">
        <v>111</v>
      </c>
      <c r="J70" s="77" t="s">
        <v>27</v>
      </c>
      <c r="K70" s="77" t="s">
        <v>112</v>
      </c>
      <c r="L70" s="129">
        <v>3</v>
      </c>
      <c r="N70" s="129">
        <v>1</v>
      </c>
      <c r="O70" s="129">
        <v>1.2</v>
      </c>
      <c r="P70" s="129">
        <v>1.1499999999999999</v>
      </c>
      <c r="Q70" s="159">
        <f t="shared" si="5"/>
        <v>1.1749999999999998</v>
      </c>
      <c r="R70" s="129">
        <v>16.399999999999999</v>
      </c>
      <c r="S70" s="129">
        <v>134</v>
      </c>
      <c r="T70" s="159">
        <f t="shared" si="3"/>
        <v>25</v>
      </c>
      <c r="U70" s="129">
        <v>98</v>
      </c>
      <c r="V70" s="159">
        <f t="shared" si="4"/>
        <v>2450</v>
      </c>
      <c r="W70" s="129">
        <v>8</v>
      </c>
      <c r="X70" s="129" t="s">
        <v>35</v>
      </c>
      <c r="Y70" s="129" t="s">
        <v>55</v>
      </c>
      <c r="Z70" s="129" t="s">
        <v>74</v>
      </c>
      <c r="AA70" s="129" t="s">
        <v>64</v>
      </c>
      <c r="AB70" s="129" t="s">
        <v>195</v>
      </c>
    </row>
    <row r="71" spans="1:28" x14ac:dyDescent="0.15">
      <c r="A71" s="129" t="s">
        <v>40</v>
      </c>
      <c r="B71" s="129" t="s">
        <v>191</v>
      </c>
      <c r="C71" s="129">
        <v>2020</v>
      </c>
      <c r="D71" s="130" t="s">
        <v>390</v>
      </c>
      <c r="E71" s="129" t="s">
        <v>399</v>
      </c>
      <c r="F71" s="129" t="s">
        <v>400</v>
      </c>
      <c r="G71" s="129" t="s">
        <v>25</v>
      </c>
      <c r="H71" s="129" t="s">
        <v>113</v>
      </c>
      <c r="I71" s="129" t="s">
        <v>111</v>
      </c>
      <c r="J71" s="77" t="s">
        <v>27</v>
      </c>
      <c r="K71" s="77" t="s">
        <v>112</v>
      </c>
      <c r="L71" s="129">
        <v>1</v>
      </c>
      <c r="N71" s="129">
        <v>4</v>
      </c>
      <c r="O71" s="129">
        <v>0.75</v>
      </c>
      <c r="P71" s="129">
        <v>0.75</v>
      </c>
      <c r="Q71" s="159">
        <f t="shared" si="5"/>
        <v>0.75</v>
      </c>
      <c r="R71" s="129">
        <v>16.899999999999999</v>
      </c>
      <c r="S71" s="129">
        <v>91</v>
      </c>
      <c r="T71" s="159">
        <f t="shared" si="3"/>
        <v>36</v>
      </c>
      <c r="U71" s="129">
        <v>398</v>
      </c>
      <c r="V71" s="159">
        <f t="shared" si="4"/>
        <v>3582</v>
      </c>
      <c r="W71" s="129">
        <v>8</v>
      </c>
      <c r="X71" s="129" t="s">
        <v>35</v>
      </c>
      <c r="Y71" s="129" t="s">
        <v>55</v>
      </c>
      <c r="Z71" s="129" t="s">
        <v>74</v>
      </c>
      <c r="AA71" s="129" t="s">
        <v>64</v>
      </c>
      <c r="AB71" s="129" t="s">
        <v>195</v>
      </c>
    </row>
    <row r="72" spans="1:28" x14ac:dyDescent="0.15">
      <c r="A72" s="129" t="s">
        <v>40</v>
      </c>
      <c r="B72" s="129" t="s">
        <v>191</v>
      </c>
      <c r="C72" s="129">
        <v>2020</v>
      </c>
      <c r="D72" s="130" t="s">
        <v>390</v>
      </c>
      <c r="E72" s="129" t="s">
        <v>399</v>
      </c>
      <c r="F72" s="129" t="s">
        <v>400</v>
      </c>
      <c r="G72" s="129" t="s">
        <v>25</v>
      </c>
      <c r="H72" s="129" t="s">
        <v>113</v>
      </c>
      <c r="I72" s="129" t="s">
        <v>111</v>
      </c>
      <c r="J72" s="77" t="s">
        <v>27</v>
      </c>
      <c r="K72" s="77" t="s">
        <v>112</v>
      </c>
      <c r="L72" s="129">
        <v>2</v>
      </c>
      <c r="N72" s="129">
        <v>4</v>
      </c>
      <c r="O72" s="129">
        <v>0.8</v>
      </c>
      <c r="P72" s="129">
        <v>0.85</v>
      </c>
      <c r="Q72" s="159">
        <f t="shared" si="5"/>
        <v>0.82499999999999996</v>
      </c>
      <c r="R72" s="129">
        <v>16.7</v>
      </c>
      <c r="S72" s="129">
        <v>86</v>
      </c>
      <c r="T72" s="159">
        <f t="shared" si="3"/>
        <v>36</v>
      </c>
      <c r="U72" s="129">
        <v>398</v>
      </c>
      <c r="V72" s="159">
        <f t="shared" si="4"/>
        <v>3582</v>
      </c>
      <c r="W72" s="129">
        <v>8</v>
      </c>
      <c r="X72" s="129" t="s">
        <v>35</v>
      </c>
      <c r="Y72" s="129" t="s">
        <v>55</v>
      </c>
      <c r="Z72" s="129" t="s">
        <v>74</v>
      </c>
      <c r="AA72" s="129" t="s">
        <v>64</v>
      </c>
      <c r="AB72" s="129" t="s">
        <v>195</v>
      </c>
    </row>
    <row r="73" spans="1:28" x14ac:dyDescent="0.15">
      <c r="A73" s="129" t="s">
        <v>40</v>
      </c>
      <c r="B73" s="129" t="s">
        <v>191</v>
      </c>
      <c r="C73" s="129">
        <v>2020</v>
      </c>
      <c r="D73" s="130" t="s">
        <v>390</v>
      </c>
      <c r="E73" s="129" t="s">
        <v>399</v>
      </c>
      <c r="F73" s="129" t="s">
        <v>400</v>
      </c>
      <c r="G73" s="129" t="s">
        <v>25</v>
      </c>
      <c r="H73" s="129" t="s">
        <v>113</v>
      </c>
      <c r="I73" s="129" t="s">
        <v>111</v>
      </c>
      <c r="J73" s="77" t="s">
        <v>27</v>
      </c>
      <c r="K73" s="77" t="s">
        <v>112</v>
      </c>
      <c r="L73" s="129">
        <v>3</v>
      </c>
      <c r="N73" s="129">
        <v>4</v>
      </c>
      <c r="O73" s="129">
        <v>0.7</v>
      </c>
      <c r="P73" s="129">
        <v>0.8</v>
      </c>
      <c r="Q73" s="159">
        <f t="shared" si="5"/>
        <v>0.75</v>
      </c>
      <c r="R73" s="129">
        <v>15.7</v>
      </c>
      <c r="S73" s="129">
        <v>104</v>
      </c>
      <c r="T73" s="159">
        <f t="shared" si="3"/>
        <v>33</v>
      </c>
      <c r="U73" s="129">
        <v>398</v>
      </c>
      <c r="V73" s="159">
        <f t="shared" si="4"/>
        <v>3283.5</v>
      </c>
      <c r="W73" s="129">
        <v>8</v>
      </c>
      <c r="X73" s="129" t="s">
        <v>35</v>
      </c>
      <c r="Y73" s="129" t="s">
        <v>55</v>
      </c>
      <c r="Z73" s="129" t="s">
        <v>74</v>
      </c>
      <c r="AA73" s="129" t="s">
        <v>64</v>
      </c>
      <c r="AB73" s="129" t="s">
        <v>195</v>
      </c>
    </row>
    <row r="74" spans="1:28" x14ac:dyDescent="0.15">
      <c r="A74" s="129" t="s">
        <v>40</v>
      </c>
      <c r="B74" s="129" t="s">
        <v>191</v>
      </c>
      <c r="C74" s="129">
        <v>2020</v>
      </c>
      <c r="D74" s="130" t="s">
        <v>390</v>
      </c>
      <c r="E74" s="129" t="s">
        <v>399</v>
      </c>
      <c r="F74" s="129" t="s">
        <v>400</v>
      </c>
      <c r="G74" s="129" t="s">
        <v>25</v>
      </c>
      <c r="H74" s="129" t="s">
        <v>166</v>
      </c>
      <c r="I74" s="129" t="s">
        <v>111</v>
      </c>
      <c r="J74" s="77" t="s">
        <v>27</v>
      </c>
      <c r="K74" s="77" t="s">
        <v>112</v>
      </c>
      <c r="L74" s="129">
        <v>1</v>
      </c>
      <c r="N74" s="129">
        <v>1</v>
      </c>
      <c r="O74" s="129">
        <v>0.75</v>
      </c>
      <c r="P74" s="129">
        <v>0.65</v>
      </c>
      <c r="Q74" s="159">
        <f t="shared" si="5"/>
        <v>0.7</v>
      </c>
      <c r="R74" s="129">
        <v>16.600000000000001</v>
      </c>
      <c r="S74" s="129">
        <v>132</v>
      </c>
      <c r="T74" s="159">
        <f t="shared" si="3"/>
        <v>25</v>
      </c>
      <c r="U74" s="129">
        <v>128</v>
      </c>
      <c r="V74" s="159">
        <f t="shared" si="4"/>
        <v>3200</v>
      </c>
      <c r="W74" s="129">
        <v>8</v>
      </c>
      <c r="X74" s="129" t="s">
        <v>35</v>
      </c>
      <c r="Y74" s="129" t="s">
        <v>55</v>
      </c>
      <c r="Z74" s="129" t="s">
        <v>74</v>
      </c>
      <c r="AA74" s="129" t="s">
        <v>64</v>
      </c>
      <c r="AB74" s="129" t="s">
        <v>195</v>
      </c>
    </row>
    <row r="75" spans="1:28" x14ac:dyDescent="0.15">
      <c r="A75" s="129" t="s">
        <v>40</v>
      </c>
      <c r="B75" s="129" t="s">
        <v>191</v>
      </c>
      <c r="C75" s="129">
        <v>2020</v>
      </c>
      <c r="D75" s="130" t="s">
        <v>390</v>
      </c>
      <c r="E75" s="129" t="s">
        <v>399</v>
      </c>
      <c r="F75" s="129" t="s">
        <v>400</v>
      </c>
      <c r="G75" s="129" t="s">
        <v>25</v>
      </c>
      <c r="H75" s="129" t="s">
        <v>166</v>
      </c>
      <c r="I75" s="129" t="s">
        <v>111</v>
      </c>
      <c r="J75" s="77" t="s">
        <v>27</v>
      </c>
      <c r="K75" s="77" t="s">
        <v>112</v>
      </c>
      <c r="L75" s="129">
        <v>2</v>
      </c>
      <c r="N75" s="129">
        <v>1</v>
      </c>
      <c r="O75" s="129">
        <v>0.85</v>
      </c>
      <c r="P75" s="129">
        <v>0.7</v>
      </c>
      <c r="Q75" s="159">
        <f t="shared" si="5"/>
        <v>0.77499999999999991</v>
      </c>
      <c r="R75" s="129">
        <v>17.3</v>
      </c>
      <c r="S75" s="129">
        <v>134</v>
      </c>
      <c r="T75" s="159">
        <f t="shared" si="3"/>
        <v>25</v>
      </c>
      <c r="U75" s="129">
        <v>128</v>
      </c>
      <c r="V75" s="159">
        <f t="shared" si="4"/>
        <v>3200</v>
      </c>
      <c r="W75" s="129">
        <v>8</v>
      </c>
      <c r="X75" s="129" t="s">
        <v>35</v>
      </c>
      <c r="Y75" s="129" t="s">
        <v>55</v>
      </c>
      <c r="Z75" s="129" t="s">
        <v>74</v>
      </c>
      <c r="AA75" s="129" t="s">
        <v>64</v>
      </c>
      <c r="AB75" s="129" t="s">
        <v>195</v>
      </c>
    </row>
    <row r="76" spans="1:28" x14ac:dyDescent="0.15">
      <c r="A76" s="129" t="s">
        <v>40</v>
      </c>
      <c r="B76" s="129" t="s">
        <v>191</v>
      </c>
      <c r="C76" s="129">
        <v>2020</v>
      </c>
      <c r="D76" s="130" t="s">
        <v>390</v>
      </c>
      <c r="E76" s="129" t="s">
        <v>399</v>
      </c>
      <c r="F76" s="129" t="s">
        <v>400</v>
      </c>
      <c r="G76" s="129" t="s">
        <v>25</v>
      </c>
      <c r="H76" s="129" t="s">
        <v>166</v>
      </c>
      <c r="I76" s="129" t="s">
        <v>111</v>
      </c>
      <c r="J76" s="77" t="s">
        <v>27</v>
      </c>
      <c r="K76" s="77" t="s">
        <v>112</v>
      </c>
      <c r="L76" s="129">
        <v>3</v>
      </c>
      <c r="N76" s="129">
        <v>1</v>
      </c>
      <c r="O76" s="129">
        <v>0.6</v>
      </c>
      <c r="P76" s="129">
        <v>0.55000000000000004</v>
      </c>
      <c r="Q76" s="159">
        <f t="shared" si="5"/>
        <v>0.57499999999999996</v>
      </c>
      <c r="R76" s="129">
        <v>17.5</v>
      </c>
      <c r="S76" s="129">
        <v>136</v>
      </c>
      <c r="T76" s="159">
        <f t="shared" si="3"/>
        <v>25</v>
      </c>
      <c r="U76" s="129">
        <v>128</v>
      </c>
      <c r="V76" s="159">
        <f t="shared" si="4"/>
        <v>3200</v>
      </c>
      <c r="W76" s="129">
        <v>8</v>
      </c>
      <c r="X76" s="129" t="s">
        <v>35</v>
      </c>
      <c r="Y76" s="129" t="s">
        <v>55</v>
      </c>
      <c r="Z76" s="129" t="s">
        <v>74</v>
      </c>
      <c r="AA76" s="129" t="s">
        <v>64</v>
      </c>
      <c r="AB76" s="129" t="s">
        <v>195</v>
      </c>
    </row>
    <row r="77" spans="1:28" x14ac:dyDescent="0.15">
      <c r="A77" s="129" t="s">
        <v>40</v>
      </c>
      <c r="B77" s="129" t="s">
        <v>191</v>
      </c>
      <c r="C77" s="129">
        <v>2020</v>
      </c>
      <c r="D77" s="130" t="s">
        <v>390</v>
      </c>
      <c r="E77" s="129" t="s">
        <v>399</v>
      </c>
      <c r="F77" s="129" t="s">
        <v>400</v>
      </c>
      <c r="G77" s="129" t="s">
        <v>25</v>
      </c>
      <c r="H77" s="129" t="s">
        <v>166</v>
      </c>
      <c r="I77" s="129" t="s">
        <v>111</v>
      </c>
      <c r="J77" s="77" t="s">
        <v>27</v>
      </c>
      <c r="K77" s="77" t="s">
        <v>112</v>
      </c>
      <c r="L77" s="129">
        <v>1</v>
      </c>
      <c r="N77" s="129">
        <v>4</v>
      </c>
      <c r="O77" s="129">
        <v>0.7</v>
      </c>
      <c r="P77" s="129">
        <v>0.75</v>
      </c>
      <c r="Q77" s="159">
        <f t="shared" si="5"/>
        <v>0.72499999999999998</v>
      </c>
      <c r="R77" s="129">
        <v>16</v>
      </c>
      <c r="S77" s="129">
        <v>104</v>
      </c>
      <c r="T77" s="159">
        <f t="shared" si="3"/>
        <v>33</v>
      </c>
      <c r="U77" s="129">
        <v>498</v>
      </c>
      <c r="V77" s="159">
        <f t="shared" si="4"/>
        <v>4108.5</v>
      </c>
      <c r="W77" s="129">
        <v>8</v>
      </c>
      <c r="X77" s="129" t="s">
        <v>35</v>
      </c>
      <c r="Y77" s="129" t="s">
        <v>55</v>
      </c>
      <c r="Z77" s="129" t="s">
        <v>74</v>
      </c>
      <c r="AA77" s="129" t="s">
        <v>64</v>
      </c>
      <c r="AB77" s="129" t="s">
        <v>195</v>
      </c>
    </row>
    <row r="78" spans="1:28" x14ac:dyDescent="0.15">
      <c r="A78" s="129" t="s">
        <v>40</v>
      </c>
      <c r="B78" s="129" t="s">
        <v>191</v>
      </c>
      <c r="C78" s="129">
        <v>2020</v>
      </c>
      <c r="D78" s="130" t="s">
        <v>390</v>
      </c>
      <c r="E78" s="129" t="s">
        <v>399</v>
      </c>
      <c r="F78" s="129" t="s">
        <v>400</v>
      </c>
      <c r="G78" s="129" t="s">
        <v>25</v>
      </c>
      <c r="H78" s="129" t="s">
        <v>166</v>
      </c>
      <c r="I78" s="129" t="s">
        <v>111</v>
      </c>
      <c r="J78" s="77" t="s">
        <v>27</v>
      </c>
      <c r="K78" s="77" t="s">
        <v>112</v>
      </c>
      <c r="L78" s="129">
        <v>2</v>
      </c>
      <c r="N78" s="129">
        <v>4</v>
      </c>
      <c r="O78" s="129">
        <v>0.55000000000000004</v>
      </c>
      <c r="P78" s="129">
        <v>0.65</v>
      </c>
      <c r="Q78" s="159">
        <f t="shared" si="5"/>
        <v>0.60000000000000009</v>
      </c>
      <c r="R78" s="129">
        <v>16.5</v>
      </c>
      <c r="S78" s="129">
        <v>102</v>
      </c>
      <c r="T78" s="159">
        <f t="shared" si="3"/>
        <v>33</v>
      </c>
      <c r="U78" s="129">
        <v>498</v>
      </c>
      <c r="V78" s="159">
        <f t="shared" si="4"/>
        <v>4108.5</v>
      </c>
      <c r="W78" s="129">
        <v>8</v>
      </c>
      <c r="X78" s="129" t="s">
        <v>35</v>
      </c>
      <c r="Y78" s="129" t="s">
        <v>55</v>
      </c>
      <c r="Z78" s="129" t="s">
        <v>74</v>
      </c>
      <c r="AA78" s="129" t="s">
        <v>64</v>
      </c>
      <c r="AB78" s="129" t="s">
        <v>195</v>
      </c>
    </row>
    <row r="79" spans="1:28" x14ac:dyDescent="0.15">
      <c r="A79" s="129" t="s">
        <v>40</v>
      </c>
      <c r="B79" s="129" t="s">
        <v>191</v>
      </c>
      <c r="C79" s="129">
        <v>2020</v>
      </c>
      <c r="D79" s="130" t="s">
        <v>390</v>
      </c>
      <c r="E79" s="129" t="s">
        <v>399</v>
      </c>
      <c r="F79" s="129" t="s">
        <v>400</v>
      </c>
      <c r="G79" s="129" t="s">
        <v>25</v>
      </c>
      <c r="H79" s="129" t="s">
        <v>166</v>
      </c>
      <c r="I79" s="129" t="s">
        <v>111</v>
      </c>
      <c r="J79" s="77" t="s">
        <v>27</v>
      </c>
      <c r="K79" s="77" t="s">
        <v>112</v>
      </c>
      <c r="L79" s="129">
        <v>3</v>
      </c>
      <c r="N79" s="129">
        <v>4</v>
      </c>
      <c r="O79" s="129">
        <v>0.65</v>
      </c>
      <c r="P79" s="129">
        <v>0.7</v>
      </c>
      <c r="Q79" s="159">
        <f t="shared" si="5"/>
        <v>0.67500000000000004</v>
      </c>
      <c r="R79" s="129">
        <v>15.7</v>
      </c>
      <c r="S79" s="129">
        <v>93</v>
      </c>
      <c r="T79" s="159">
        <f t="shared" si="3"/>
        <v>36</v>
      </c>
      <c r="U79" s="129">
        <v>498</v>
      </c>
      <c r="V79" s="159">
        <f t="shared" si="4"/>
        <v>4482</v>
      </c>
      <c r="W79" s="129">
        <v>8</v>
      </c>
      <c r="X79" s="129" t="s">
        <v>35</v>
      </c>
      <c r="Y79" s="129" t="s">
        <v>55</v>
      </c>
      <c r="Z79" s="129" t="s">
        <v>74</v>
      </c>
      <c r="AA79" s="129" t="s">
        <v>64</v>
      </c>
      <c r="AB79" s="129" t="s">
        <v>195</v>
      </c>
    </row>
    <row r="80" spans="1:28" x14ac:dyDescent="0.15">
      <c r="A80" s="129" t="s">
        <v>40</v>
      </c>
      <c r="B80" s="129" t="s">
        <v>191</v>
      </c>
      <c r="C80" s="129">
        <v>2020</v>
      </c>
      <c r="D80" s="130" t="s">
        <v>390</v>
      </c>
      <c r="E80" s="129" t="s">
        <v>222</v>
      </c>
      <c r="F80" s="129" t="s">
        <v>393</v>
      </c>
      <c r="G80" s="129" t="s">
        <v>25</v>
      </c>
      <c r="H80" s="129" t="s">
        <v>113</v>
      </c>
      <c r="I80" s="129" t="s">
        <v>111</v>
      </c>
      <c r="J80" s="77" t="s">
        <v>27</v>
      </c>
      <c r="K80" s="77" t="s">
        <v>112</v>
      </c>
      <c r="L80" s="129">
        <v>1</v>
      </c>
      <c r="N80" s="129">
        <v>1</v>
      </c>
      <c r="O80" s="129">
        <v>0.7</v>
      </c>
      <c r="P80" s="129">
        <v>0.85</v>
      </c>
      <c r="Q80" s="159">
        <f t="shared" si="5"/>
        <v>0.77499999999999991</v>
      </c>
      <c r="R80" s="129">
        <v>16.8</v>
      </c>
      <c r="S80" s="129">
        <v>110</v>
      </c>
      <c r="T80" s="159">
        <f t="shared" si="3"/>
        <v>33</v>
      </c>
      <c r="U80" s="129">
        <v>99</v>
      </c>
      <c r="V80" s="159">
        <f t="shared" si="4"/>
        <v>3267</v>
      </c>
      <c r="W80" s="129">
        <v>9</v>
      </c>
      <c r="X80" s="129" t="s">
        <v>35</v>
      </c>
      <c r="Y80" s="129" t="s">
        <v>82</v>
      </c>
      <c r="Z80" s="129" t="s">
        <v>74</v>
      </c>
      <c r="AA80" s="129" t="s">
        <v>55</v>
      </c>
      <c r="AB80" s="129" t="s">
        <v>195</v>
      </c>
    </row>
    <row r="81" spans="1:28" x14ac:dyDescent="0.15">
      <c r="A81" s="129" t="s">
        <v>40</v>
      </c>
      <c r="B81" s="129" t="s">
        <v>191</v>
      </c>
      <c r="C81" s="129">
        <v>2020</v>
      </c>
      <c r="D81" s="130" t="s">
        <v>390</v>
      </c>
      <c r="E81" s="129" t="s">
        <v>222</v>
      </c>
      <c r="F81" s="129" t="s">
        <v>393</v>
      </c>
      <c r="G81" s="129" t="s">
        <v>25</v>
      </c>
      <c r="H81" s="129" t="s">
        <v>113</v>
      </c>
      <c r="I81" s="129" t="s">
        <v>111</v>
      </c>
      <c r="J81" s="77" t="s">
        <v>27</v>
      </c>
      <c r="K81" s="77" t="s">
        <v>112</v>
      </c>
      <c r="L81" s="129">
        <v>2</v>
      </c>
      <c r="N81" s="129">
        <v>1</v>
      </c>
      <c r="O81" s="129">
        <v>0.65</v>
      </c>
      <c r="P81" s="129">
        <v>0.75</v>
      </c>
      <c r="Q81" s="159">
        <f t="shared" si="5"/>
        <v>0.7</v>
      </c>
      <c r="R81" s="129">
        <v>17.2</v>
      </c>
      <c r="S81" s="129">
        <v>110</v>
      </c>
      <c r="T81" s="159">
        <f t="shared" si="3"/>
        <v>33</v>
      </c>
      <c r="U81" s="129">
        <v>99</v>
      </c>
      <c r="V81" s="159">
        <f t="shared" si="4"/>
        <v>3267</v>
      </c>
      <c r="W81" s="129">
        <v>9</v>
      </c>
      <c r="X81" s="129" t="s">
        <v>35</v>
      </c>
      <c r="Y81" s="129" t="s">
        <v>82</v>
      </c>
      <c r="Z81" s="129" t="s">
        <v>74</v>
      </c>
      <c r="AA81" s="129" t="s">
        <v>55</v>
      </c>
      <c r="AB81" s="129" t="s">
        <v>195</v>
      </c>
    </row>
    <row r="82" spans="1:28" x14ac:dyDescent="0.15">
      <c r="A82" s="129" t="s">
        <v>40</v>
      </c>
      <c r="B82" s="129" t="s">
        <v>191</v>
      </c>
      <c r="C82" s="129">
        <v>2020</v>
      </c>
      <c r="D82" s="130" t="s">
        <v>390</v>
      </c>
      <c r="E82" s="129" t="s">
        <v>222</v>
      </c>
      <c r="F82" s="129" t="s">
        <v>393</v>
      </c>
      <c r="G82" s="129" t="s">
        <v>25</v>
      </c>
      <c r="H82" s="129" t="s">
        <v>113</v>
      </c>
      <c r="I82" s="129" t="s">
        <v>111</v>
      </c>
      <c r="J82" s="77" t="s">
        <v>27</v>
      </c>
      <c r="K82" s="77" t="s">
        <v>112</v>
      </c>
      <c r="L82" s="129">
        <v>3</v>
      </c>
      <c r="N82" s="129">
        <v>1</v>
      </c>
      <c r="O82" s="129">
        <v>0.55000000000000004</v>
      </c>
      <c r="P82" s="129">
        <v>0.5</v>
      </c>
      <c r="Q82" s="159">
        <f t="shared" si="5"/>
        <v>0.52500000000000002</v>
      </c>
      <c r="R82" s="129">
        <v>17</v>
      </c>
      <c r="S82" s="129">
        <v>106</v>
      </c>
      <c r="T82" s="159">
        <f t="shared" si="3"/>
        <v>33</v>
      </c>
      <c r="U82" s="129">
        <v>99</v>
      </c>
      <c r="V82" s="159">
        <f t="shared" si="4"/>
        <v>3267</v>
      </c>
      <c r="W82" s="129">
        <v>9</v>
      </c>
      <c r="X82" s="129" t="s">
        <v>35</v>
      </c>
      <c r="Y82" s="129" t="s">
        <v>82</v>
      </c>
      <c r="Z82" s="129" t="s">
        <v>74</v>
      </c>
      <c r="AA82" s="129" t="s">
        <v>55</v>
      </c>
      <c r="AB82" s="129" t="s">
        <v>195</v>
      </c>
    </row>
    <row r="83" spans="1:28" x14ac:dyDescent="0.15">
      <c r="A83" s="129" t="s">
        <v>40</v>
      </c>
      <c r="B83" s="129" t="s">
        <v>191</v>
      </c>
      <c r="C83" s="129">
        <v>2020</v>
      </c>
      <c r="D83" s="130" t="s">
        <v>390</v>
      </c>
      <c r="E83" s="129" t="s">
        <v>222</v>
      </c>
      <c r="F83" s="129" t="s">
        <v>393</v>
      </c>
      <c r="G83" s="129" t="s">
        <v>25</v>
      </c>
      <c r="H83" s="129" t="s">
        <v>113</v>
      </c>
      <c r="I83" s="129" t="s">
        <v>111</v>
      </c>
      <c r="J83" s="77" t="s">
        <v>27</v>
      </c>
      <c r="K83" s="77" t="s">
        <v>112</v>
      </c>
      <c r="L83" s="129">
        <v>1</v>
      </c>
      <c r="N83" s="129">
        <v>5</v>
      </c>
      <c r="O83" s="129">
        <v>0.6</v>
      </c>
      <c r="P83" s="129">
        <v>0.55000000000000004</v>
      </c>
      <c r="Q83" s="159">
        <f t="shared" si="5"/>
        <v>0.57499999999999996</v>
      </c>
      <c r="R83" s="129">
        <v>17.100000000000001</v>
      </c>
      <c r="S83" s="129">
        <v>73</v>
      </c>
      <c r="T83" s="159">
        <f t="shared" si="3"/>
        <v>42</v>
      </c>
      <c r="U83" s="129">
        <v>377</v>
      </c>
      <c r="V83" s="159">
        <f t="shared" si="4"/>
        <v>3166.8</v>
      </c>
      <c r="W83" s="129">
        <v>9</v>
      </c>
      <c r="X83" s="129" t="s">
        <v>35</v>
      </c>
      <c r="Y83" s="129" t="s">
        <v>82</v>
      </c>
      <c r="Z83" s="129" t="s">
        <v>74</v>
      </c>
      <c r="AA83" s="129" t="s">
        <v>55</v>
      </c>
      <c r="AB83" s="129" t="s">
        <v>195</v>
      </c>
    </row>
    <row r="84" spans="1:28" x14ac:dyDescent="0.15">
      <c r="A84" s="129" t="s">
        <v>40</v>
      </c>
      <c r="B84" s="129" t="s">
        <v>191</v>
      </c>
      <c r="C84" s="129">
        <v>2020</v>
      </c>
      <c r="D84" s="130" t="s">
        <v>390</v>
      </c>
      <c r="E84" s="129" t="s">
        <v>222</v>
      </c>
      <c r="F84" s="129" t="s">
        <v>393</v>
      </c>
      <c r="G84" s="129" t="s">
        <v>25</v>
      </c>
      <c r="H84" s="129" t="s">
        <v>113</v>
      </c>
      <c r="I84" s="129" t="s">
        <v>111</v>
      </c>
      <c r="J84" s="77" t="s">
        <v>27</v>
      </c>
      <c r="K84" s="77" t="s">
        <v>112</v>
      </c>
      <c r="L84" s="129">
        <v>2</v>
      </c>
      <c r="N84" s="129">
        <v>5</v>
      </c>
      <c r="O84" s="129">
        <v>0.75</v>
      </c>
      <c r="P84" s="129">
        <v>0.65</v>
      </c>
      <c r="Q84" s="159">
        <f t="shared" si="5"/>
        <v>0.7</v>
      </c>
      <c r="R84" s="129">
        <v>17.399999999999999</v>
      </c>
      <c r="S84" s="129">
        <v>79</v>
      </c>
      <c r="T84" s="159">
        <f t="shared" si="3"/>
        <v>39</v>
      </c>
      <c r="U84" s="129">
        <v>377</v>
      </c>
      <c r="V84" s="159">
        <f t="shared" si="4"/>
        <v>2940.6000000000004</v>
      </c>
      <c r="W84" s="129">
        <v>9</v>
      </c>
      <c r="X84" s="129" t="s">
        <v>35</v>
      </c>
      <c r="Y84" s="129" t="s">
        <v>82</v>
      </c>
      <c r="Z84" s="129" t="s">
        <v>74</v>
      </c>
      <c r="AA84" s="129" t="s">
        <v>55</v>
      </c>
      <c r="AB84" s="129" t="s">
        <v>195</v>
      </c>
    </row>
    <row r="85" spans="1:28" x14ac:dyDescent="0.15">
      <c r="A85" s="129" t="s">
        <v>40</v>
      </c>
      <c r="B85" s="129" t="s">
        <v>191</v>
      </c>
      <c r="C85" s="129">
        <v>2020</v>
      </c>
      <c r="D85" s="130" t="s">
        <v>390</v>
      </c>
      <c r="E85" s="129" t="s">
        <v>222</v>
      </c>
      <c r="F85" s="129" t="s">
        <v>393</v>
      </c>
      <c r="G85" s="129" t="s">
        <v>25</v>
      </c>
      <c r="H85" s="129" t="s">
        <v>113</v>
      </c>
      <c r="I85" s="129" t="s">
        <v>111</v>
      </c>
      <c r="J85" s="77" t="s">
        <v>27</v>
      </c>
      <c r="K85" s="77" t="s">
        <v>112</v>
      </c>
      <c r="L85" s="129">
        <v>3</v>
      </c>
      <c r="N85" s="129">
        <v>5</v>
      </c>
      <c r="O85" s="129">
        <v>0.6</v>
      </c>
      <c r="P85" s="129">
        <v>0.75</v>
      </c>
      <c r="Q85" s="159">
        <f t="shared" si="5"/>
        <v>0.67500000000000004</v>
      </c>
      <c r="R85" s="129">
        <v>16.399999999999999</v>
      </c>
      <c r="S85" s="129">
        <v>82</v>
      </c>
      <c r="T85" s="159">
        <f t="shared" si="3"/>
        <v>39</v>
      </c>
      <c r="U85" s="129">
        <v>377</v>
      </c>
      <c r="V85" s="159">
        <f t="shared" si="4"/>
        <v>2940.6000000000004</v>
      </c>
      <c r="W85" s="129">
        <v>9</v>
      </c>
      <c r="X85" s="129" t="s">
        <v>35</v>
      </c>
      <c r="Y85" s="129" t="s">
        <v>82</v>
      </c>
      <c r="Z85" s="129" t="s">
        <v>74</v>
      </c>
      <c r="AA85" s="129" t="s">
        <v>55</v>
      </c>
      <c r="AB85" s="129" t="s">
        <v>195</v>
      </c>
    </row>
    <row r="86" spans="1:28" x14ac:dyDescent="0.15">
      <c r="A86" s="129" t="s">
        <v>40</v>
      </c>
      <c r="B86" s="129" t="s">
        <v>191</v>
      </c>
      <c r="C86" s="129">
        <v>2020</v>
      </c>
      <c r="D86" s="130" t="s">
        <v>390</v>
      </c>
      <c r="E86" s="129" t="s">
        <v>222</v>
      </c>
      <c r="F86" s="129" t="s">
        <v>393</v>
      </c>
      <c r="G86" s="129" t="s">
        <v>25</v>
      </c>
      <c r="H86" s="129" t="s">
        <v>113</v>
      </c>
      <c r="I86" s="129" t="s">
        <v>111</v>
      </c>
      <c r="J86" s="77" t="s">
        <v>27</v>
      </c>
      <c r="K86" s="77" t="s">
        <v>112</v>
      </c>
      <c r="L86" s="129">
        <v>1</v>
      </c>
      <c r="N86" s="129">
        <v>8</v>
      </c>
      <c r="O86" s="129">
        <v>0.9</v>
      </c>
      <c r="P86" s="129">
        <v>0.75</v>
      </c>
      <c r="Q86" s="159">
        <f t="shared" si="5"/>
        <v>0.82499999999999996</v>
      </c>
      <c r="R86" s="129">
        <v>17.2</v>
      </c>
      <c r="S86" s="129">
        <v>72</v>
      </c>
      <c r="T86" s="159">
        <f t="shared" si="3"/>
        <v>42</v>
      </c>
      <c r="U86" s="129">
        <v>397</v>
      </c>
      <c r="V86" s="159">
        <f t="shared" si="4"/>
        <v>2084.25</v>
      </c>
      <c r="W86" s="129">
        <v>9</v>
      </c>
      <c r="X86" s="129" t="s">
        <v>35</v>
      </c>
      <c r="Y86" s="129" t="s">
        <v>82</v>
      </c>
      <c r="Z86" s="129" t="s">
        <v>74</v>
      </c>
      <c r="AA86" s="129" t="s">
        <v>55</v>
      </c>
      <c r="AB86" s="129" t="s">
        <v>195</v>
      </c>
    </row>
    <row r="87" spans="1:28" x14ac:dyDescent="0.15">
      <c r="A87" s="129" t="s">
        <v>40</v>
      </c>
      <c r="B87" s="129" t="s">
        <v>191</v>
      </c>
      <c r="C87" s="129">
        <v>2020</v>
      </c>
      <c r="D87" s="130" t="s">
        <v>390</v>
      </c>
      <c r="E87" s="129" t="s">
        <v>222</v>
      </c>
      <c r="F87" s="129" t="s">
        <v>393</v>
      </c>
      <c r="G87" s="129" t="s">
        <v>25</v>
      </c>
      <c r="H87" s="129" t="s">
        <v>113</v>
      </c>
      <c r="I87" s="129" t="s">
        <v>111</v>
      </c>
      <c r="J87" s="77" t="s">
        <v>27</v>
      </c>
      <c r="K87" s="77" t="s">
        <v>112</v>
      </c>
      <c r="L87" s="129">
        <v>2</v>
      </c>
      <c r="N87" s="129">
        <v>8</v>
      </c>
      <c r="O87" s="129">
        <v>0.75</v>
      </c>
      <c r="P87" s="129">
        <v>0.8</v>
      </c>
      <c r="Q87" s="159">
        <f t="shared" si="5"/>
        <v>0.77500000000000002</v>
      </c>
      <c r="R87" s="129">
        <v>16.7</v>
      </c>
      <c r="S87" s="129">
        <v>74</v>
      </c>
      <c r="T87" s="159">
        <f t="shared" si="3"/>
        <v>42</v>
      </c>
      <c r="U87" s="129">
        <v>397</v>
      </c>
      <c r="V87" s="159">
        <f t="shared" si="4"/>
        <v>2084.25</v>
      </c>
      <c r="W87" s="129">
        <v>9</v>
      </c>
      <c r="X87" s="129" t="s">
        <v>35</v>
      </c>
      <c r="Y87" s="129" t="s">
        <v>82</v>
      </c>
      <c r="Z87" s="129" t="s">
        <v>74</v>
      </c>
      <c r="AA87" s="129" t="s">
        <v>55</v>
      </c>
      <c r="AB87" s="129" t="s">
        <v>195</v>
      </c>
    </row>
    <row r="88" spans="1:28" x14ac:dyDescent="0.15">
      <c r="A88" s="129" t="s">
        <v>40</v>
      </c>
      <c r="B88" s="129" t="s">
        <v>191</v>
      </c>
      <c r="C88" s="129">
        <v>2020</v>
      </c>
      <c r="D88" s="130" t="s">
        <v>390</v>
      </c>
      <c r="E88" s="129" t="s">
        <v>222</v>
      </c>
      <c r="F88" s="129" t="s">
        <v>393</v>
      </c>
      <c r="G88" s="129" t="s">
        <v>25</v>
      </c>
      <c r="H88" s="129" t="s">
        <v>113</v>
      </c>
      <c r="I88" s="129" t="s">
        <v>111</v>
      </c>
      <c r="J88" s="77" t="s">
        <v>27</v>
      </c>
      <c r="K88" s="77" t="s">
        <v>112</v>
      </c>
      <c r="L88" s="129">
        <v>3</v>
      </c>
      <c r="N88" s="129">
        <v>8</v>
      </c>
      <c r="O88" s="129">
        <v>0.75</v>
      </c>
      <c r="P88" s="129">
        <v>0.85</v>
      </c>
      <c r="Q88" s="159">
        <f t="shared" si="5"/>
        <v>0.8</v>
      </c>
      <c r="R88" s="129">
        <v>17.2</v>
      </c>
      <c r="S88" s="129">
        <v>78</v>
      </c>
      <c r="T88" s="159">
        <f t="shared" si="3"/>
        <v>39</v>
      </c>
      <c r="U88" s="129">
        <v>397</v>
      </c>
      <c r="V88" s="159">
        <f t="shared" si="4"/>
        <v>1935.375</v>
      </c>
      <c r="W88" s="129">
        <v>9</v>
      </c>
      <c r="X88" s="129" t="s">
        <v>35</v>
      </c>
      <c r="Y88" s="129" t="s">
        <v>82</v>
      </c>
      <c r="Z88" s="129" t="s">
        <v>74</v>
      </c>
      <c r="AA88" s="129" t="s">
        <v>55</v>
      </c>
      <c r="AB88" s="129" t="s">
        <v>195</v>
      </c>
    </row>
    <row r="89" spans="1:28" x14ac:dyDescent="0.15">
      <c r="A89" s="129" t="s">
        <v>40</v>
      </c>
      <c r="B89" s="129" t="s">
        <v>191</v>
      </c>
      <c r="C89" s="129">
        <v>2020</v>
      </c>
      <c r="D89" s="130" t="s">
        <v>390</v>
      </c>
      <c r="E89" s="129" t="s">
        <v>222</v>
      </c>
      <c r="F89" s="129" t="s">
        <v>393</v>
      </c>
      <c r="G89" s="129" t="s">
        <v>25</v>
      </c>
      <c r="H89" s="129" t="s">
        <v>166</v>
      </c>
      <c r="I89" s="129" t="s">
        <v>111</v>
      </c>
      <c r="J89" s="77" t="s">
        <v>27</v>
      </c>
      <c r="K89" s="77" t="s">
        <v>112</v>
      </c>
      <c r="L89" s="129">
        <v>1</v>
      </c>
      <c r="N89" s="129">
        <v>1</v>
      </c>
      <c r="O89" s="129">
        <v>0.95</v>
      </c>
      <c r="P89" s="129">
        <v>0.95</v>
      </c>
      <c r="Q89" s="159">
        <f t="shared" si="5"/>
        <v>0.95</v>
      </c>
      <c r="R89" s="129">
        <v>16.8</v>
      </c>
      <c r="S89" s="129">
        <v>138</v>
      </c>
      <c r="T89" s="159">
        <f t="shared" si="3"/>
        <v>22</v>
      </c>
      <c r="U89" s="129">
        <v>99</v>
      </c>
      <c r="V89" s="159">
        <f t="shared" si="4"/>
        <v>2178</v>
      </c>
      <c r="W89" s="129">
        <v>9</v>
      </c>
      <c r="X89" s="129" t="s">
        <v>35</v>
      </c>
      <c r="Y89" s="129" t="s">
        <v>82</v>
      </c>
      <c r="Z89" s="129" t="s">
        <v>74</v>
      </c>
      <c r="AA89" s="129" t="s">
        <v>55</v>
      </c>
      <c r="AB89" s="129" t="s">
        <v>195</v>
      </c>
    </row>
    <row r="90" spans="1:28" x14ac:dyDescent="0.15">
      <c r="A90" s="129" t="s">
        <v>40</v>
      </c>
      <c r="B90" s="129" t="s">
        <v>191</v>
      </c>
      <c r="C90" s="129">
        <v>2020</v>
      </c>
      <c r="D90" s="130" t="s">
        <v>390</v>
      </c>
      <c r="E90" s="129" t="s">
        <v>222</v>
      </c>
      <c r="F90" s="129" t="s">
        <v>393</v>
      </c>
      <c r="G90" s="129" t="s">
        <v>25</v>
      </c>
      <c r="H90" s="129" t="s">
        <v>166</v>
      </c>
      <c r="I90" s="129" t="s">
        <v>111</v>
      </c>
      <c r="J90" s="77" t="s">
        <v>27</v>
      </c>
      <c r="K90" s="77" t="s">
        <v>112</v>
      </c>
      <c r="L90" s="129">
        <v>2</v>
      </c>
      <c r="N90" s="129">
        <v>1</v>
      </c>
      <c r="O90" s="129">
        <v>0.85</v>
      </c>
      <c r="P90" s="129">
        <v>0.8</v>
      </c>
      <c r="Q90" s="159">
        <f t="shared" si="5"/>
        <v>0.82499999999999996</v>
      </c>
      <c r="R90" s="129">
        <v>17.2</v>
      </c>
      <c r="S90" s="129">
        <v>134</v>
      </c>
      <c r="T90" s="159">
        <f t="shared" si="3"/>
        <v>25</v>
      </c>
      <c r="U90" s="129">
        <v>99</v>
      </c>
      <c r="V90" s="159">
        <f t="shared" si="4"/>
        <v>2475</v>
      </c>
      <c r="W90" s="129">
        <v>9</v>
      </c>
      <c r="X90" s="129" t="s">
        <v>35</v>
      </c>
      <c r="Y90" s="129" t="s">
        <v>82</v>
      </c>
      <c r="Z90" s="129" t="s">
        <v>74</v>
      </c>
      <c r="AA90" s="129" t="s">
        <v>55</v>
      </c>
      <c r="AB90" s="129" t="s">
        <v>195</v>
      </c>
    </row>
    <row r="91" spans="1:28" x14ac:dyDescent="0.15">
      <c r="A91" s="129" t="s">
        <v>40</v>
      </c>
      <c r="B91" s="129" t="s">
        <v>191</v>
      </c>
      <c r="C91" s="129">
        <v>2020</v>
      </c>
      <c r="D91" s="130" t="s">
        <v>390</v>
      </c>
      <c r="E91" s="129" t="s">
        <v>222</v>
      </c>
      <c r="F91" s="129" t="s">
        <v>393</v>
      </c>
      <c r="G91" s="129" t="s">
        <v>25</v>
      </c>
      <c r="H91" s="129" t="s">
        <v>166</v>
      </c>
      <c r="I91" s="129" t="s">
        <v>111</v>
      </c>
      <c r="J91" s="77" t="s">
        <v>27</v>
      </c>
      <c r="K91" s="77" t="s">
        <v>112</v>
      </c>
      <c r="L91" s="129">
        <v>3</v>
      </c>
      <c r="N91" s="129">
        <v>1</v>
      </c>
      <c r="O91" s="129">
        <v>0.9</v>
      </c>
      <c r="P91" s="129">
        <v>0.95</v>
      </c>
      <c r="Q91" s="159">
        <f t="shared" si="5"/>
        <v>0.92500000000000004</v>
      </c>
      <c r="R91" s="129">
        <v>16.3</v>
      </c>
      <c r="S91" s="129">
        <v>130</v>
      </c>
      <c r="T91" s="159">
        <f t="shared" si="3"/>
        <v>25</v>
      </c>
      <c r="U91" s="129">
        <v>99</v>
      </c>
      <c r="V91" s="159">
        <f t="shared" si="4"/>
        <v>2475</v>
      </c>
      <c r="W91" s="129">
        <v>9</v>
      </c>
      <c r="X91" s="129" t="s">
        <v>35</v>
      </c>
      <c r="Y91" s="129" t="s">
        <v>82</v>
      </c>
      <c r="Z91" s="129" t="s">
        <v>74</v>
      </c>
      <c r="AA91" s="129" t="s">
        <v>55</v>
      </c>
      <c r="AB91" s="129" t="s">
        <v>195</v>
      </c>
    </row>
    <row r="92" spans="1:28" x14ac:dyDescent="0.15">
      <c r="A92" s="129" t="s">
        <v>40</v>
      </c>
      <c r="B92" s="129" t="s">
        <v>191</v>
      </c>
      <c r="C92" s="129">
        <v>2020</v>
      </c>
      <c r="D92" s="130" t="s">
        <v>390</v>
      </c>
      <c r="E92" s="129" t="s">
        <v>222</v>
      </c>
      <c r="F92" s="129" t="s">
        <v>393</v>
      </c>
      <c r="G92" s="129" t="s">
        <v>25</v>
      </c>
      <c r="H92" s="129" t="s">
        <v>166</v>
      </c>
      <c r="I92" s="129" t="s">
        <v>111</v>
      </c>
      <c r="J92" s="77" t="s">
        <v>27</v>
      </c>
      <c r="K92" s="77" t="s">
        <v>112</v>
      </c>
      <c r="L92" s="129">
        <v>1</v>
      </c>
      <c r="N92" s="129">
        <v>4</v>
      </c>
      <c r="O92" s="129">
        <v>0.85</v>
      </c>
      <c r="P92" s="129">
        <v>0.85</v>
      </c>
      <c r="Q92" s="159">
        <f t="shared" si="5"/>
        <v>0.85</v>
      </c>
      <c r="R92" s="129">
        <v>16.600000000000001</v>
      </c>
      <c r="S92" s="129">
        <v>89</v>
      </c>
      <c r="T92" s="159">
        <f t="shared" si="3"/>
        <v>36</v>
      </c>
      <c r="U92" s="129">
        <v>377</v>
      </c>
      <c r="V92" s="159">
        <f t="shared" si="4"/>
        <v>3393</v>
      </c>
      <c r="W92" s="129">
        <v>9</v>
      </c>
      <c r="X92" s="129" t="s">
        <v>35</v>
      </c>
      <c r="Y92" s="129" t="s">
        <v>82</v>
      </c>
      <c r="Z92" s="129" t="s">
        <v>74</v>
      </c>
      <c r="AA92" s="129" t="s">
        <v>55</v>
      </c>
      <c r="AB92" s="129" t="s">
        <v>195</v>
      </c>
    </row>
    <row r="93" spans="1:28" x14ac:dyDescent="0.15">
      <c r="A93" s="129" t="s">
        <v>40</v>
      </c>
      <c r="B93" s="129" t="s">
        <v>191</v>
      </c>
      <c r="C93" s="129">
        <v>2020</v>
      </c>
      <c r="D93" s="130" t="s">
        <v>390</v>
      </c>
      <c r="E93" s="129" t="s">
        <v>222</v>
      </c>
      <c r="F93" s="129" t="s">
        <v>393</v>
      </c>
      <c r="G93" s="129" t="s">
        <v>25</v>
      </c>
      <c r="H93" s="129" t="s">
        <v>166</v>
      </c>
      <c r="I93" s="129" t="s">
        <v>111</v>
      </c>
      <c r="J93" s="77" t="s">
        <v>27</v>
      </c>
      <c r="K93" s="77" t="s">
        <v>112</v>
      </c>
      <c r="L93" s="129">
        <v>2</v>
      </c>
      <c r="N93" s="129">
        <v>4</v>
      </c>
      <c r="O93" s="129">
        <v>0.8</v>
      </c>
      <c r="P93" s="129">
        <v>0.75</v>
      </c>
      <c r="Q93" s="159">
        <f t="shared" si="5"/>
        <v>0.77500000000000002</v>
      </c>
      <c r="R93" s="129">
        <v>16.399999999999999</v>
      </c>
      <c r="S93" s="129">
        <v>83</v>
      </c>
      <c r="T93" s="159">
        <f t="shared" si="3"/>
        <v>39</v>
      </c>
      <c r="U93" s="129">
        <v>377</v>
      </c>
      <c r="V93" s="159">
        <f t="shared" si="4"/>
        <v>3675.75</v>
      </c>
      <c r="W93" s="129">
        <v>9</v>
      </c>
      <c r="X93" s="129" t="s">
        <v>35</v>
      </c>
      <c r="Y93" s="129" t="s">
        <v>82</v>
      </c>
      <c r="Z93" s="129" t="s">
        <v>74</v>
      </c>
      <c r="AA93" s="129" t="s">
        <v>55</v>
      </c>
      <c r="AB93" s="129" t="s">
        <v>195</v>
      </c>
    </row>
    <row r="94" spans="1:28" x14ac:dyDescent="0.15">
      <c r="A94" s="129" t="s">
        <v>40</v>
      </c>
      <c r="B94" s="129" t="s">
        <v>191</v>
      </c>
      <c r="C94" s="129">
        <v>2020</v>
      </c>
      <c r="D94" s="130" t="s">
        <v>390</v>
      </c>
      <c r="E94" s="129" t="s">
        <v>222</v>
      </c>
      <c r="F94" s="129" t="s">
        <v>393</v>
      </c>
      <c r="G94" s="129" t="s">
        <v>25</v>
      </c>
      <c r="H94" s="129" t="s">
        <v>166</v>
      </c>
      <c r="I94" s="129" t="s">
        <v>111</v>
      </c>
      <c r="J94" s="77" t="s">
        <v>27</v>
      </c>
      <c r="K94" s="77" t="s">
        <v>112</v>
      </c>
      <c r="L94" s="129">
        <v>3</v>
      </c>
      <c r="N94" s="129">
        <v>4</v>
      </c>
      <c r="O94" s="129">
        <v>0.75</v>
      </c>
      <c r="P94" s="129">
        <v>0.85</v>
      </c>
      <c r="Q94" s="159">
        <f t="shared" si="5"/>
        <v>0.8</v>
      </c>
      <c r="R94" s="129">
        <v>16.8</v>
      </c>
      <c r="S94" s="129">
        <v>92</v>
      </c>
      <c r="T94" s="159">
        <f t="shared" si="3"/>
        <v>36</v>
      </c>
      <c r="U94" s="129">
        <v>377</v>
      </c>
      <c r="V94" s="159">
        <f t="shared" si="4"/>
        <v>3393</v>
      </c>
      <c r="W94" s="129">
        <v>9</v>
      </c>
      <c r="X94" s="129" t="s">
        <v>35</v>
      </c>
      <c r="Y94" s="129" t="s">
        <v>82</v>
      </c>
      <c r="Z94" s="129" t="s">
        <v>74</v>
      </c>
      <c r="AA94" s="129" t="s">
        <v>55</v>
      </c>
      <c r="AB94" s="129" t="s">
        <v>195</v>
      </c>
    </row>
    <row r="95" spans="1:28" x14ac:dyDescent="0.15">
      <c r="A95" s="129" t="s">
        <v>40</v>
      </c>
      <c r="B95" s="129" t="s">
        <v>191</v>
      </c>
      <c r="C95" s="129">
        <v>2020</v>
      </c>
      <c r="D95" s="130" t="s">
        <v>390</v>
      </c>
      <c r="E95" s="129" t="s">
        <v>401</v>
      </c>
      <c r="F95" s="129" t="s">
        <v>393</v>
      </c>
      <c r="G95" s="129" t="s">
        <v>25</v>
      </c>
      <c r="H95" s="129" t="s">
        <v>113</v>
      </c>
      <c r="I95" s="129" t="s">
        <v>111</v>
      </c>
      <c r="J95" s="77" t="s">
        <v>27</v>
      </c>
      <c r="K95" s="77" t="s">
        <v>112</v>
      </c>
      <c r="L95" s="129">
        <v>1</v>
      </c>
      <c r="N95" s="129">
        <v>4</v>
      </c>
      <c r="O95" s="129">
        <v>0.75</v>
      </c>
      <c r="P95" s="129">
        <v>0.9</v>
      </c>
      <c r="Q95" s="159">
        <f t="shared" si="5"/>
        <v>0.82499999999999996</v>
      </c>
      <c r="R95" s="129">
        <v>15.2</v>
      </c>
      <c r="S95" s="129">
        <v>99</v>
      </c>
      <c r="T95" s="159">
        <f t="shared" si="3"/>
        <v>33</v>
      </c>
      <c r="U95" s="129">
        <v>398</v>
      </c>
      <c r="V95" s="159">
        <f t="shared" si="4"/>
        <v>3283.5</v>
      </c>
      <c r="W95" s="129">
        <v>10</v>
      </c>
      <c r="X95" s="129" t="s">
        <v>35</v>
      </c>
      <c r="Y95" s="129" t="s">
        <v>55</v>
      </c>
      <c r="Z95" s="129" t="s">
        <v>82</v>
      </c>
      <c r="AA95" s="129" t="s">
        <v>74</v>
      </c>
      <c r="AB95" s="129" t="s">
        <v>195</v>
      </c>
    </row>
    <row r="96" spans="1:28" x14ac:dyDescent="0.15">
      <c r="A96" s="129" t="s">
        <v>40</v>
      </c>
      <c r="B96" s="129" t="s">
        <v>191</v>
      </c>
      <c r="C96" s="129">
        <v>2020</v>
      </c>
      <c r="D96" s="130" t="s">
        <v>390</v>
      </c>
      <c r="E96" s="129" t="s">
        <v>401</v>
      </c>
      <c r="F96" s="129" t="s">
        <v>393</v>
      </c>
      <c r="G96" s="129" t="s">
        <v>25</v>
      </c>
      <c r="H96" s="129" t="s">
        <v>113</v>
      </c>
      <c r="I96" s="129" t="s">
        <v>111</v>
      </c>
      <c r="J96" s="77" t="s">
        <v>27</v>
      </c>
      <c r="K96" s="77" t="s">
        <v>112</v>
      </c>
      <c r="L96" s="129">
        <v>2</v>
      </c>
      <c r="N96" s="129">
        <v>4</v>
      </c>
      <c r="O96" s="129">
        <v>0.75</v>
      </c>
      <c r="P96" s="129">
        <v>0.85</v>
      </c>
      <c r="Q96" s="159">
        <f t="shared" si="5"/>
        <v>0.8</v>
      </c>
      <c r="R96" s="129">
        <v>14.9</v>
      </c>
      <c r="S96" s="129">
        <v>95</v>
      </c>
      <c r="T96" s="159">
        <f t="shared" si="3"/>
        <v>36</v>
      </c>
      <c r="U96" s="129">
        <v>398</v>
      </c>
      <c r="V96" s="159">
        <f t="shared" si="4"/>
        <v>3582</v>
      </c>
      <c r="W96" s="129">
        <v>10</v>
      </c>
      <c r="X96" s="129" t="s">
        <v>35</v>
      </c>
      <c r="Y96" s="129" t="s">
        <v>55</v>
      </c>
      <c r="Z96" s="129" t="s">
        <v>82</v>
      </c>
      <c r="AA96" s="129" t="s">
        <v>74</v>
      </c>
      <c r="AB96" s="129" t="s">
        <v>195</v>
      </c>
    </row>
    <row r="97" spans="1:28" x14ac:dyDescent="0.15">
      <c r="A97" s="129" t="s">
        <v>40</v>
      </c>
      <c r="B97" s="129" t="s">
        <v>191</v>
      </c>
      <c r="C97" s="129">
        <v>2020</v>
      </c>
      <c r="D97" s="130" t="s">
        <v>390</v>
      </c>
      <c r="E97" s="129" t="s">
        <v>401</v>
      </c>
      <c r="F97" s="129" t="s">
        <v>393</v>
      </c>
      <c r="G97" s="129" t="s">
        <v>25</v>
      </c>
      <c r="H97" s="129" t="s">
        <v>113</v>
      </c>
      <c r="I97" s="129" t="s">
        <v>111</v>
      </c>
      <c r="J97" s="77" t="s">
        <v>27</v>
      </c>
      <c r="K97" s="77" t="s">
        <v>112</v>
      </c>
      <c r="L97" s="129">
        <v>3</v>
      </c>
      <c r="N97" s="129">
        <v>4</v>
      </c>
      <c r="O97" s="129">
        <v>0.85</v>
      </c>
      <c r="P97" s="129">
        <v>0.65</v>
      </c>
      <c r="Q97" s="159">
        <f t="shared" si="5"/>
        <v>0.75</v>
      </c>
      <c r="R97" s="129">
        <v>15.5</v>
      </c>
      <c r="S97" s="129">
        <v>104</v>
      </c>
      <c r="T97" s="159">
        <f t="shared" si="3"/>
        <v>33</v>
      </c>
      <c r="U97" s="129">
        <v>398</v>
      </c>
      <c r="V97" s="159">
        <f t="shared" si="4"/>
        <v>3283.5</v>
      </c>
      <c r="W97" s="129">
        <v>10</v>
      </c>
      <c r="X97" s="129" t="s">
        <v>35</v>
      </c>
      <c r="Y97" s="129" t="s">
        <v>55</v>
      </c>
      <c r="Z97" s="129" t="s">
        <v>82</v>
      </c>
      <c r="AA97" s="129" t="s">
        <v>74</v>
      </c>
      <c r="AB97" s="129" t="s">
        <v>195</v>
      </c>
    </row>
    <row r="98" spans="1:28" x14ac:dyDescent="0.15">
      <c r="A98" s="129" t="s">
        <v>40</v>
      </c>
      <c r="B98" s="129" t="s">
        <v>191</v>
      </c>
      <c r="C98" s="129">
        <v>2020</v>
      </c>
      <c r="D98" s="130" t="s">
        <v>390</v>
      </c>
      <c r="E98" s="129" t="s">
        <v>401</v>
      </c>
      <c r="F98" s="129" t="s">
        <v>393</v>
      </c>
      <c r="G98" s="129" t="s">
        <v>25</v>
      </c>
      <c r="H98" s="129" t="s">
        <v>113</v>
      </c>
      <c r="I98" s="129" t="s">
        <v>111</v>
      </c>
      <c r="J98" s="77" t="s">
        <v>27</v>
      </c>
      <c r="K98" s="77" t="s">
        <v>112</v>
      </c>
      <c r="L98" s="129">
        <v>1</v>
      </c>
      <c r="N98" s="129">
        <v>8</v>
      </c>
      <c r="O98" s="129">
        <v>1.25</v>
      </c>
      <c r="P98" s="129">
        <v>1.4</v>
      </c>
      <c r="Q98" s="159">
        <f t="shared" si="5"/>
        <v>1.325</v>
      </c>
      <c r="R98" s="129">
        <v>15.7</v>
      </c>
      <c r="S98" s="129">
        <v>84</v>
      </c>
      <c r="T98" s="159">
        <f t="shared" si="3"/>
        <v>36</v>
      </c>
      <c r="U98" s="129">
        <v>398</v>
      </c>
      <c r="V98" s="159">
        <f t="shared" si="4"/>
        <v>1791</v>
      </c>
      <c r="W98" s="129">
        <v>10</v>
      </c>
      <c r="X98" s="129" t="s">
        <v>35</v>
      </c>
      <c r="Y98" s="129" t="s">
        <v>55</v>
      </c>
      <c r="Z98" s="129" t="s">
        <v>82</v>
      </c>
      <c r="AA98" s="129" t="s">
        <v>74</v>
      </c>
      <c r="AB98" s="129" t="s">
        <v>195</v>
      </c>
    </row>
    <row r="99" spans="1:28" x14ac:dyDescent="0.15">
      <c r="A99" s="129" t="s">
        <v>40</v>
      </c>
      <c r="B99" s="129" t="s">
        <v>191</v>
      </c>
      <c r="C99" s="129">
        <v>2020</v>
      </c>
      <c r="D99" s="130" t="s">
        <v>390</v>
      </c>
      <c r="E99" s="129" t="s">
        <v>401</v>
      </c>
      <c r="F99" s="129" t="s">
        <v>393</v>
      </c>
      <c r="G99" s="129" t="s">
        <v>25</v>
      </c>
      <c r="H99" s="129" t="s">
        <v>113</v>
      </c>
      <c r="I99" s="129" t="s">
        <v>111</v>
      </c>
      <c r="J99" s="77" t="s">
        <v>27</v>
      </c>
      <c r="K99" s="77" t="s">
        <v>112</v>
      </c>
      <c r="L99" s="129">
        <v>2</v>
      </c>
      <c r="N99" s="129">
        <v>8</v>
      </c>
      <c r="O99" s="129">
        <v>1.1499999999999999</v>
      </c>
      <c r="P99" s="129">
        <v>1.3</v>
      </c>
      <c r="Q99" s="159">
        <f t="shared" si="5"/>
        <v>1.2250000000000001</v>
      </c>
      <c r="R99" s="129">
        <v>14.6</v>
      </c>
      <c r="S99" s="129">
        <v>86</v>
      </c>
      <c r="T99" s="159">
        <f t="shared" si="3"/>
        <v>36</v>
      </c>
      <c r="U99" s="129">
        <v>398</v>
      </c>
      <c r="V99" s="159">
        <f t="shared" si="4"/>
        <v>1791</v>
      </c>
      <c r="W99" s="129">
        <v>10</v>
      </c>
      <c r="X99" s="129" t="s">
        <v>35</v>
      </c>
      <c r="Y99" s="129" t="s">
        <v>55</v>
      </c>
      <c r="Z99" s="129" t="s">
        <v>82</v>
      </c>
      <c r="AA99" s="129" t="s">
        <v>74</v>
      </c>
      <c r="AB99" s="129" t="s">
        <v>195</v>
      </c>
    </row>
    <row r="100" spans="1:28" x14ac:dyDescent="0.15">
      <c r="A100" s="129" t="s">
        <v>40</v>
      </c>
      <c r="B100" s="129" t="s">
        <v>191</v>
      </c>
      <c r="C100" s="129">
        <v>2020</v>
      </c>
      <c r="D100" s="130" t="s">
        <v>390</v>
      </c>
      <c r="E100" s="129" t="s">
        <v>401</v>
      </c>
      <c r="F100" s="129" t="s">
        <v>393</v>
      </c>
      <c r="G100" s="129" t="s">
        <v>25</v>
      </c>
      <c r="H100" s="129" t="s">
        <v>113</v>
      </c>
      <c r="I100" s="129" t="s">
        <v>111</v>
      </c>
      <c r="J100" s="77" t="s">
        <v>27</v>
      </c>
      <c r="K100" s="77" t="s">
        <v>112</v>
      </c>
      <c r="L100" s="129">
        <v>3</v>
      </c>
      <c r="N100" s="129">
        <v>8</v>
      </c>
      <c r="O100" s="129">
        <v>1.5</v>
      </c>
      <c r="P100" s="129">
        <v>1.35</v>
      </c>
      <c r="Q100" s="159">
        <f t="shared" si="5"/>
        <v>1.425</v>
      </c>
      <c r="R100" s="129">
        <v>14.3</v>
      </c>
      <c r="S100" s="129">
        <v>93</v>
      </c>
      <c r="T100" s="159">
        <f t="shared" si="3"/>
        <v>36</v>
      </c>
      <c r="U100" s="129">
        <v>398</v>
      </c>
      <c r="V100" s="159">
        <f t="shared" si="4"/>
        <v>1791</v>
      </c>
      <c r="W100" s="129">
        <v>10</v>
      </c>
      <c r="X100" s="129" t="s">
        <v>35</v>
      </c>
      <c r="Y100" s="129" t="s">
        <v>55</v>
      </c>
      <c r="Z100" s="129" t="s">
        <v>82</v>
      </c>
      <c r="AA100" s="129" t="s">
        <v>74</v>
      </c>
      <c r="AB100" s="129" t="s">
        <v>195</v>
      </c>
    </row>
    <row r="101" spans="1:28" x14ac:dyDescent="0.15">
      <c r="A101" s="129" t="s">
        <v>40</v>
      </c>
      <c r="B101" s="129" t="s">
        <v>191</v>
      </c>
      <c r="C101" s="129">
        <v>2020</v>
      </c>
      <c r="D101" s="130" t="s">
        <v>390</v>
      </c>
      <c r="E101" s="129" t="s">
        <v>401</v>
      </c>
      <c r="F101" s="129" t="s">
        <v>393</v>
      </c>
      <c r="G101" s="129" t="s">
        <v>25</v>
      </c>
      <c r="H101" s="129" t="s">
        <v>113</v>
      </c>
      <c r="I101" s="129" t="s">
        <v>165</v>
      </c>
      <c r="J101" s="77" t="s">
        <v>27</v>
      </c>
      <c r="K101" s="77" t="s">
        <v>112</v>
      </c>
      <c r="L101" s="129">
        <v>1</v>
      </c>
      <c r="N101" s="129">
        <v>4</v>
      </c>
      <c r="O101" s="129">
        <v>1.25</v>
      </c>
      <c r="P101" s="129">
        <v>1.5</v>
      </c>
      <c r="Q101" s="159">
        <f t="shared" si="5"/>
        <v>1.375</v>
      </c>
      <c r="R101" s="129">
        <v>16.399999999999999</v>
      </c>
      <c r="S101" s="129">
        <v>95</v>
      </c>
      <c r="T101" s="159">
        <f t="shared" si="3"/>
        <v>36</v>
      </c>
      <c r="U101" s="129">
        <v>398</v>
      </c>
      <c r="V101" s="159">
        <f t="shared" si="4"/>
        <v>3582</v>
      </c>
      <c r="W101" s="129">
        <v>10</v>
      </c>
      <c r="X101" s="129" t="s">
        <v>35</v>
      </c>
      <c r="Y101" s="129" t="s">
        <v>55</v>
      </c>
      <c r="Z101" s="129" t="s">
        <v>82</v>
      </c>
      <c r="AA101" s="129" t="s">
        <v>74</v>
      </c>
      <c r="AB101" s="129" t="s">
        <v>195</v>
      </c>
    </row>
    <row r="102" spans="1:28" x14ac:dyDescent="0.15">
      <c r="A102" s="129" t="s">
        <v>40</v>
      </c>
      <c r="B102" s="129" t="s">
        <v>191</v>
      </c>
      <c r="C102" s="129">
        <v>2020</v>
      </c>
      <c r="D102" s="130" t="s">
        <v>390</v>
      </c>
      <c r="E102" s="129" t="s">
        <v>401</v>
      </c>
      <c r="F102" s="129" t="s">
        <v>393</v>
      </c>
      <c r="G102" s="129" t="s">
        <v>25</v>
      </c>
      <c r="H102" s="129" t="s">
        <v>113</v>
      </c>
      <c r="I102" s="129" t="s">
        <v>165</v>
      </c>
      <c r="J102" s="77" t="s">
        <v>27</v>
      </c>
      <c r="K102" s="77" t="s">
        <v>112</v>
      </c>
      <c r="L102" s="129">
        <v>2</v>
      </c>
      <c r="N102" s="129">
        <v>4</v>
      </c>
      <c r="O102" s="129">
        <v>1.5</v>
      </c>
      <c r="P102" s="129">
        <v>1.25</v>
      </c>
      <c r="Q102" s="159">
        <f t="shared" si="5"/>
        <v>1.375</v>
      </c>
      <c r="R102" s="129">
        <v>17.3</v>
      </c>
      <c r="S102" s="129">
        <v>102</v>
      </c>
      <c r="T102" s="159">
        <f t="shared" si="3"/>
        <v>33</v>
      </c>
      <c r="U102" s="129">
        <v>398</v>
      </c>
      <c r="V102" s="159">
        <f t="shared" si="4"/>
        <v>3283.5</v>
      </c>
      <c r="W102" s="129">
        <v>10</v>
      </c>
      <c r="X102" s="129" t="s">
        <v>35</v>
      </c>
      <c r="Y102" s="129" t="s">
        <v>55</v>
      </c>
      <c r="Z102" s="129" t="s">
        <v>82</v>
      </c>
      <c r="AA102" s="129" t="s">
        <v>74</v>
      </c>
      <c r="AB102" s="129" t="s">
        <v>195</v>
      </c>
    </row>
    <row r="103" spans="1:28" x14ac:dyDescent="0.15">
      <c r="A103" s="129" t="s">
        <v>40</v>
      </c>
      <c r="B103" s="129" t="s">
        <v>191</v>
      </c>
      <c r="C103" s="129">
        <v>2020</v>
      </c>
      <c r="D103" s="130" t="s">
        <v>390</v>
      </c>
      <c r="E103" s="129" t="s">
        <v>401</v>
      </c>
      <c r="F103" s="129" t="s">
        <v>393</v>
      </c>
      <c r="G103" s="129" t="s">
        <v>25</v>
      </c>
      <c r="H103" s="129" t="s">
        <v>113</v>
      </c>
      <c r="I103" s="129" t="s">
        <v>165</v>
      </c>
      <c r="J103" s="77" t="s">
        <v>27</v>
      </c>
      <c r="K103" s="77" t="s">
        <v>112</v>
      </c>
      <c r="L103" s="129">
        <v>3</v>
      </c>
      <c r="N103" s="129">
        <v>4</v>
      </c>
      <c r="O103" s="129">
        <v>1.1499999999999999</v>
      </c>
      <c r="P103" s="129">
        <v>1.35</v>
      </c>
      <c r="Q103" s="159">
        <f t="shared" si="5"/>
        <v>1.25</v>
      </c>
      <c r="R103" s="129">
        <v>15.8</v>
      </c>
      <c r="S103" s="129">
        <v>95</v>
      </c>
      <c r="T103" s="159">
        <f t="shared" si="3"/>
        <v>36</v>
      </c>
      <c r="U103" s="129">
        <v>398</v>
      </c>
      <c r="V103" s="159">
        <f t="shared" si="4"/>
        <v>3582</v>
      </c>
      <c r="W103" s="129">
        <v>10</v>
      </c>
      <c r="X103" s="129" t="s">
        <v>35</v>
      </c>
      <c r="Y103" s="129" t="s">
        <v>55</v>
      </c>
      <c r="Z103" s="129" t="s">
        <v>82</v>
      </c>
      <c r="AA103" s="129" t="s">
        <v>74</v>
      </c>
      <c r="AB103" s="129" t="s">
        <v>195</v>
      </c>
    </row>
    <row r="104" spans="1:28" x14ac:dyDescent="0.15">
      <c r="A104" s="129" t="s">
        <v>40</v>
      </c>
      <c r="B104" s="129" t="s">
        <v>191</v>
      </c>
      <c r="C104" s="129">
        <v>2020</v>
      </c>
      <c r="D104" s="130" t="s">
        <v>390</v>
      </c>
      <c r="E104" s="129" t="s">
        <v>401</v>
      </c>
      <c r="F104" s="129" t="s">
        <v>393</v>
      </c>
      <c r="G104" s="129" t="s">
        <v>25</v>
      </c>
      <c r="H104" s="129" t="s">
        <v>166</v>
      </c>
      <c r="I104" s="129" t="s">
        <v>111</v>
      </c>
      <c r="J104" s="77" t="s">
        <v>27</v>
      </c>
      <c r="K104" s="77" t="s">
        <v>112</v>
      </c>
      <c r="L104" s="129">
        <v>1</v>
      </c>
      <c r="N104" s="129">
        <v>1</v>
      </c>
      <c r="O104" s="129">
        <v>0.7</v>
      </c>
      <c r="P104" s="129">
        <v>0.75</v>
      </c>
      <c r="Q104" s="159">
        <f t="shared" si="5"/>
        <v>0.72499999999999998</v>
      </c>
      <c r="R104" s="129">
        <v>18.5</v>
      </c>
      <c r="S104" s="129">
        <v>148</v>
      </c>
      <c r="T104" s="159">
        <f t="shared" si="3"/>
        <v>22</v>
      </c>
      <c r="U104" s="129">
        <v>158</v>
      </c>
      <c r="V104" s="159">
        <f t="shared" si="4"/>
        <v>3476</v>
      </c>
      <c r="W104" s="129">
        <v>10</v>
      </c>
      <c r="X104" s="129" t="s">
        <v>35</v>
      </c>
      <c r="Y104" s="129" t="s">
        <v>55</v>
      </c>
      <c r="Z104" s="129" t="s">
        <v>82</v>
      </c>
      <c r="AA104" s="129" t="s">
        <v>74</v>
      </c>
      <c r="AB104" s="129" t="s">
        <v>195</v>
      </c>
    </row>
    <row r="105" spans="1:28" x14ac:dyDescent="0.15">
      <c r="A105" s="129" t="s">
        <v>40</v>
      </c>
      <c r="B105" s="129" t="s">
        <v>191</v>
      </c>
      <c r="C105" s="129">
        <v>2020</v>
      </c>
      <c r="D105" s="130" t="s">
        <v>390</v>
      </c>
      <c r="E105" s="129" t="s">
        <v>401</v>
      </c>
      <c r="F105" s="129" t="s">
        <v>393</v>
      </c>
      <c r="G105" s="129" t="s">
        <v>25</v>
      </c>
      <c r="H105" s="129" t="s">
        <v>166</v>
      </c>
      <c r="I105" s="129" t="s">
        <v>111</v>
      </c>
      <c r="J105" s="77" t="s">
        <v>27</v>
      </c>
      <c r="K105" s="77" t="s">
        <v>112</v>
      </c>
      <c r="L105" s="129">
        <v>2</v>
      </c>
      <c r="N105" s="129">
        <v>1</v>
      </c>
      <c r="O105" s="129">
        <v>0.65</v>
      </c>
      <c r="P105" s="129">
        <v>0.6</v>
      </c>
      <c r="Q105" s="159">
        <f t="shared" si="5"/>
        <v>0.625</v>
      </c>
      <c r="R105" s="129">
        <v>19.3</v>
      </c>
      <c r="S105" s="129">
        <v>146</v>
      </c>
      <c r="T105" s="159">
        <f t="shared" si="3"/>
        <v>22</v>
      </c>
      <c r="U105" s="129">
        <v>158</v>
      </c>
      <c r="V105" s="159">
        <f t="shared" si="4"/>
        <v>3476</v>
      </c>
      <c r="W105" s="129">
        <v>10</v>
      </c>
      <c r="X105" s="129" t="s">
        <v>35</v>
      </c>
      <c r="Y105" s="129" t="s">
        <v>55</v>
      </c>
      <c r="Z105" s="129" t="s">
        <v>82</v>
      </c>
      <c r="AA105" s="129" t="s">
        <v>74</v>
      </c>
      <c r="AB105" s="129" t="s">
        <v>195</v>
      </c>
    </row>
    <row r="106" spans="1:28" x14ac:dyDescent="0.15">
      <c r="A106" s="129" t="s">
        <v>40</v>
      </c>
      <c r="B106" s="129" t="s">
        <v>191</v>
      </c>
      <c r="C106" s="129">
        <v>2020</v>
      </c>
      <c r="D106" s="130" t="s">
        <v>390</v>
      </c>
      <c r="E106" s="129" t="s">
        <v>401</v>
      </c>
      <c r="F106" s="129" t="s">
        <v>393</v>
      </c>
      <c r="G106" s="129" t="s">
        <v>25</v>
      </c>
      <c r="H106" s="129" t="s">
        <v>166</v>
      </c>
      <c r="I106" s="129" t="s">
        <v>111</v>
      </c>
      <c r="J106" s="77" t="s">
        <v>27</v>
      </c>
      <c r="K106" s="77" t="s">
        <v>112</v>
      </c>
      <c r="L106" s="129">
        <v>3</v>
      </c>
      <c r="N106" s="129">
        <v>1</v>
      </c>
      <c r="O106" s="129">
        <v>0.55000000000000004</v>
      </c>
      <c r="P106" s="129">
        <v>0.7</v>
      </c>
      <c r="Q106" s="159">
        <f t="shared" si="5"/>
        <v>0.625</v>
      </c>
      <c r="R106" s="129">
        <v>18.2</v>
      </c>
      <c r="S106" s="129">
        <v>142</v>
      </c>
      <c r="T106" s="159">
        <f t="shared" si="3"/>
        <v>22</v>
      </c>
      <c r="U106" s="129">
        <v>158</v>
      </c>
      <c r="V106" s="159">
        <f t="shared" si="4"/>
        <v>3476</v>
      </c>
      <c r="W106" s="129">
        <v>10</v>
      </c>
      <c r="X106" s="129" t="s">
        <v>35</v>
      </c>
      <c r="Y106" s="129" t="s">
        <v>55</v>
      </c>
      <c r="Z106" s="129" t="s">
        <v>82</v>
      </c>
      <c r="AA106" s="129" t="s">
        <v>74</v>
      </c>
      <c r="AB106" s="129" t="s">
        <v>195</v>
      </c>
    </row>
    <row r="107" spans="1:28" x14ac:dyDescent="0.15">
      <c r="A107" s="129" t="s">
        <v>40</v>
      </c>
      <c r="B107" s="129" t="s">
        <v>191</v>
      </c>
      <c r="C107" s="129">
        <v>2020</v>
      </c>
      <c r="D107" s="130" t="s">
        <v>390</v>
      </c>
      <c r="E107" s="129" t="s">
        <v>401</v>
      </c>
      <c r="F107" s="129" t="s">
        <v>393</v>
      </c>
      <c r="G107" s="129" t="s">
        <v>25</v>
      </c>
      <c r="H107" s="129" t="s">
        <v>166</v>
      </c>
      <c r="I107" s="129" t="s">
        <v>111</v>
      </c>
      <c r="J107" s="77" t="s">
        <v>27</v>
      </c>
      <c r="K107" s="77" t="s">
        <v>112</v>
      </c>
      <c r="L107" s="129">
        <v>1</v>
      </c>
      <c r="N107" s="129">
        <v>4</v>
      </c>
      <c r="O107" s="129">
        <v>0.8</v>
      </c>
      <c r="P107" s="129">
        <v>0.85</v>
      </c>
      <c r="Q107" s="159">
        <f t="shared" si="5"/>
        <v>0.82499999999999996</v>
      </c>
      <c r="R107" s="129">
        <v>17</v>
      </c>
      <c r="S107" s="129">
        <v>112</v>
      </c>
      <c r="T107" s="159">
        <f t="shared" si="3"/>
        <v>33</v>
      </c>
      <c r="U107" s="129">
        <v>498</v>
      </c>
      <c r="V107" s="159">
        <f t="shared" si="4"/>
        <v>4108.5</v>
      </c>
      <c r="W107" s="129">
        <v>10</v>
      </c>
      <c r="X107" s="129" t="s">
        <v>35</v>
      </c>
      <c r="Y107" s="129" t="s">
        <v>55</v>
      </c>
      <c r="Z107" s="129" t="s">
        <v>82</v>
      </c>
      <c r="AA107" s="129" t="s">
        <v>74</v>
      </c>
      <c r="AB107" s="129" t="s">
        <v>195</v>
      </c>
    </row>
    <row r="108" spans="1:28" x14ac:dyDescent="0.15">
      <c r="A108" s="129" t="s">
        <v>40</v>
      </c>
      <c r="B108" s="129" t="s">
        <v>191</v>
      </c>
      <c r="C108" s="129">
        <v>2020</v>
      </c>
      <c r="D108" s="130" t="s">
        <v>390</v>
      </c>
      <c r="E108" s="129" t="s">
        <v>401</v>
      </c>
      <c r="F108" s="129" t="s">
        <v>393</v>
      </c>
      <c r="G108" s="129" t="s">
        <v>25</v>
      </c>
      <c r="H108" s="129" t="s">
        <v>166</v>
      </c>
      <c r="I108" s="129" t="s">
        <v>111</v>
      </c>
      <c r="J108" s="77" t="s">
        <v>27</v>
      </c>
      <c r="K108" s="77" t="s">
        <v>112</v>
      </c>
      <c r="L108" s="129">
        <v>2</v>
      </c>
      <c r="N108" s="129">
        <v>4</v>
      </c>
      <c r="O108" s="129">
        <v>0.7</v>
      </c>
      <c r="P108" s="129">
        <v>0.75</v>
      </c>
      <c r="Q108" s="159">
        <f t="shared" si="5"/>
        <v>0.72499999999999998</v>
      </c>
      <c r="R108" s="129">
        <v>17.600000000000001</v>
      </c>
      <c r="S108" s="129">
        <v>116</v>
      </c>
      <c r="T108" s="159">
        <f t="shared" si="3"/>
        <v>30</v>
      </c>
      <c r="U108" s="129">
        <v>498</v>
      </c>
      <c r="V108" s="159">
        <f t="shared" si="4"/>
        <v>3735</v>
      </c>
      <c r="W108" s="129">
        <v>10</v>
      </c>
      <c r="X108" s="129" t="s">
        <v>35</v>
      </c>
      <c r="Y108" s="129" t="s">
        <v>55</v>
      </c>
      <c r="Z108" s="129" t="s">
        <v>82</v>
      </c>
      <c r="AA108" s="129" t="s">
        <v>74</v>
      </c>
      <c r="AB108" s="129" t="s">
        <v>195</v>
      </c>
    </row>
    <row r="109" spans="1:28" x14ac:dyDescent="0.15">
      <c r="A109" s="129" t="s">
        <v>40</v>
      </c>
      <c r="B109" s="129" t="s">
        <v>191</v>
      </c>
      <c r="C109" s="129">
        <v>2020</v>
      </c>
      <c r="D109" s="130" t="s">
        <v>390</v>
      </c>
      <c r="E109" s="129" t="s">
        <v>401</v>
      </c>
      <c r="F109" s="129" t="s">
        <v>393</v>
      </c>
      <c r="G109" s="129" t="s">
        <v>25</v>
      </c>
      <c r="H109" s="129" t="s">
        <v>166</v>
      </c>
      <c r="I109" s="129" t="s">
        <v>111</v>
      </c>
      <c r="J109" s="77" t="s">
        <v>27</v>
      </c>
      <c r="K109" s="77" t="s">
        <v>112</v>
      </c>
      <c r="L109" s="129">
        <v>3</v>
      </c>
      <c r="N109" s="129">
        <v>4</v>
      </c>
      <c r="O109" s="129">
        <v>0.75</v>
      </c>
      <c r="P109" s="129">
        <v>0.75</v>
      </c>
      <c r="Q109" s="159">
        <f t="shared" si="5"/>
        <v>0.75</v>
      </c>
      <c r="R109" s="129">
        <v>17.399999999999999</v>
      </c>
      <c r="S109" s="129">
        <v>114</v>
      </c>
      <c r="T109" s="159">
        <f t="shared" si="3"/>
        <v>30</v>
      </c>
      <c r="U109" s="129">
        <v>498</v>
      </c>
      <c r="V109" s="159">
        <f t="shared" si="4"/>
        <v>3735</v>
      </c>
      <c r="W109" s="129">
        <v>10</v>
      </c>
      <c r="X109" s="129" t="s">
        <v>35</v>
      </c>
      <c r="Y109" s="129" t="s">
        <v>55</v>
      </c>
      <c r="Z109" s="129" t="s">
        <v>82</v>
      </c>
      <c r="AA109" s="129" t="s">
        <v>74</v>
      </c>
      <c r="AB109" s="129" t="s">
        <v>195</v>
      </c>
    </row>
    <row r="110" spans="1:28" x14ac:dyDescent="0.15">
      <c r="A110" s="129" t="s">
        <v>40</v>
      </c>
      <c r="B110" s="129" t="s">
        <v>191</v>
      </c>
      <c r="C110" s="129">
        <v>2020</v>
      </c>
      <c r="D110" s="130" t="s">
        <v>390</v>
      </c>
      <c r="E110" s="129" t="s">
        <v>401</v>
      </c>
      <c r="F110" s="129" t="s">
        <v>393</v>
      </c>
      <c r="G110" s="129" t="s">
        <v>25</v>
      </c>
      <c r="H110" s="129" t="s">
        <v>166</v>
      </c>
      <c r="I110" s="129" t="s">
        <v>111</v>
      </c>
      <c r="J110" s="77" t="s">
        <v>27</v>
      </c>
      <c r="K110" s="77" t="s">
        <v>112</v>
      </c>
      <c r="L110" s="129">
        <v>1</v>
      </c>
      <c r="N110" s="129">
        <v>6</v>
      </c>
      <c r="O110" s="129">
        <v>1.1000000000000001</v>
      </c>
      <c r="P110" s="129">
        <v>1.1499999999999999</v>
      </c>
      <c r="Q110" s="159">
        <f t="shared" si="5"/>
        <v>1.125</v>
      </c>
      <c r="R110" s="129">
        <v>17.8</v>
      </c>
      <c r="S110" s="129">
        <v>146</v>
      </c>
      <c r="T110" s="159">
        <f t="shared" si="3"/>
        <v>22</v>
      </c>
      <c r="U110" s="129">
        <v>880</v>
      </c>
      <c r="V110" s="159">
        <f t="shared" si="4"/>
        <v>3226.6666666666665</v>
      </c>
      <c r="W110" s="129">
        <v>10</v>
      </c>
      <c r="X110" s="129" t="s">
        <v>35</v>
      </c>
      <c r="Y110" s="129" t="s">
        <v>55</v>
      </c>
      <c r="Z110" s="129" t="s">
        <v>82</v>
      </c>
      <c r="AA110" s="129" t="s">
        <v>74</v>
      </c>
      <c r="AB110" s="129" t="s">
        <v>195</v>
      </c>
    </row>
    <row r="111" spans="1:28" x14ac:dyDescent="0.15">
      <c r="A111" s="129" t="s">
        <v>40</v>
      </c>
      <c r="B111" s="129" t="s">
        <v>191</v>
      </c>
      <c r="C111" s="129">
        <v>2020</v>
      </c>
      <c r="D111" s="130" t="s">
        <v>390</v>
      </c>
      <c r="E111" s="129" t="s">
        <v>401</v>
      </c>
      <c r="F111" s="129" t="s">
        <v>393</v>
      </c>
      <c r="G111" s="129" t="s">
        <v>25</v>
      </c>
      <c r="H111" s="129" t="s">
        <v>166</v>
      </c>
      <c r="I111" s="129" t="s">
        <v>111</v>
      </c>
      <c r="J111" s="77" t="s">
        <v>27</v>
      </c>
      <c r="K111" s="77" t="s">
        <v>112</v>
      </c>
      <c r="L111" s="129">
        <v>2</v>
      </c>
      <c r="N111" s="129">
        <v>6</v>
      </c>
      <c r="O111" s="129">
        <v>0.75</v>
      </c>
      <c r="P111" s="129">
        <v>0.8</v>
      </c>
      <c r="Q111" s="159">
        <f t="shared" si="5"/>
        <v>0.77500000000000002</v>
      </c>
      <c r="R111" s="129">
        <v>18.2</v>
      </c>
      <c r="S111" s="129">
        <v>136</v>
      </c>
      <c r="T111" s="159">
        <f t="shared" si="3"/>
        <v>25</v>
      </c>
      <c r="U111" s="129">
        <v>880</v>
      </c>
      <c r="V111" s="159">
        <f t="shared" si="4"/>
        <v>3666.6666666666665</v>
      </c>
      <c r="W111" s="129">
        <v>10</v>
      </c>
      <c r="X111" s="129" t="s">
        <v>35</v>
      </c>
      <c r="Y111" s="129" t="s">
        <v>55</v>
      </c>
      <c r="Z111" s="129" t="s">
        <v>82</v>
      </c>
      <c r="AA111" s="129" t="s">
        <v>74</v>
      </c>
      <c r="AB111" s="129" t="s">
        <v>195</v>
      </c>
    </row>
    <row r="112" spans="1:28" x14ac:dyDescent="0.15">
      <c r="A112" s="129" t="s">
        <v>40</v>
      </c>
      <c r="B112" s="129" t="s">
        <v>191</v>
      </c>
      <c r="C112" s="129">
        <v>2020</v>
      </c>
      <c r="D112" s="130" t="s">
        <v>390</v>
      </c>
      <c r="E112" s="129" t="s">
        <v>401</v>
      </c>
      <c r="F112" s="129" t="s">
        <v>393</v>
      </c>
      <c r="G112" s="129" t="s">
        <v>25</v>
      </c>
      <c r="H112" s="129" t="s">
        <v>166</v>
      </c>
      <c r="I112" s="129" t="s">
        <v>111</v>
      </c>
      <c r="J112" s="77" t="s">
        <v>27</v>
      </c>
      <c r="K112" s="77" t="s">
        <v>112</v>
      </c>
      <c r="L112" s="129">
        <v>3</v>
      </c>
      <c r="N112" s="129">
        <v>6</v>
      </c>
      <c r="O112" s="129">
        <v>0.75</v>
      </c>
      <c r="P112" s="129">
        <v>0.85</v>
      </c>
      <c r="Q112" s="159">
        <f t="shared" si="5"/>
        <v>0.8</v>
      </c>
      <c r="R112" s="129">
        <v>18.5</v>
      </c>
      <c r="S112" s="129">
        <v>138</v>
      </c>
      <c r="T112" s="159">
        <f t="shared" si="3"/>
        <v>22</v>
      </c>
      <c r="U112" s="129">
        <v>880</v>
      </c>
      <c r="V112" s="159">
        <f t="shared" si="4"/>
        <v>3226.6666666666665</v>
      </c>
      <c r="W112" s="129">
        <v>10</v>
      </c>
      <c r="X112" s="129" t="s">
        <v>35</v>
      </c>
      <c r="Y112" s="129" t="s">
        <v>55</v>
      </c>
      <c r="Z112" s="129" t="s">
        <v>82</v>
      </c>
      <c r="AA112" s="129" t="s">
        <v>74</v>
      </c>
      <c r="AB112" s="129" t="s">
        <v>195</v>
      </c>
    </row>
    <row r="113" spans="1:28" x14ac:dyDescent="0.15">
      <c r="A113" s="129" t="s">
        <v>40</v>
      </c>
      <c r="B113" s="129" t="s">
        <v>191</v>
      </c>
      <c r="C113" s="129">
        <v>2020</v>
      </c>
      <c r="D113" s="130" t="s">
        <v>390</v>
      </c>
      <c r="E113" s="129" t="s">
        <v>401</v>
      </c>
      <c r="F113" s="129" t="s">
        <v>393</v>
      </c>
      <c r="G113" s="129" t="s">
        <v>25</v>
      </c>
      <c r="H113" s="129" t="s">
        <v>166</v>
      </c>
      <c r="I113" s="129" t="s">
        <v>165</v>
      </c>
      <c r="J113" s="77" t="s">
        <v>27</v>
      </c>
      <c r="K113" s="77" t="s">
        <v>112</v>
      </c>
      <c r="L113" s="129">
        <v>1</v>
      </c>
      <c r="N113" s="129">
        <v>4</v>
      </c>
      <c r="O113" s="129">
        <v>0.65</v>
      </c>
      <c r="P113" s="129">
        <v>0.55000000000000004</v>
      </c>
      <c r="Q113" s="159">
        <f t="shared" si="5"/>
        <v>0.60000000000000009</v>
      </c>
      <c r="R113" s="129">
        <v>16.600000000000001</v>
      </c>
      <c r="S113" s="129">
        <v>106</v>
      </c>
      <c r="T113" s="159">
        <f t="shared" si="3"/>
        <v>33</v>
      </c>
      <c r="U113" s="129">
        <v>498</v>
      </c>
      <c r="V113" s="159">
        <f t="shared" si="4"/>
        <v>4108.5</v>
      </c>
      <c r="W113" s="129">
        <v>10</v>
      </c>
      <c r="X113" s="129" t="s">
        <v>35</v>
      </c>
      <c r="Y113" s="129" t="s">
        <v>55</v>
      </c>
      <c r="Z113" s="129" t="s">
        <v>82</v>
      </c>
      <c r="AA113" s="129" t="s">
        <v>74</v>
      </c>
      <c r="AB113" s="129" t="s">
        <v>195</v>
      </c>
    </row>
    <row r="114" spans="1:28" x14ac:dyDescent="0.15">
      <c r="A114" s="129" t="s">
        <v>40</v>
      </c>
      <c r="B114" s="129" t="s">
        <v>191</v>
      </c>
      <c r="C114" s="129">
        <v>2020</v>
      </c>
      <c r="D114" s="130" t="s">
        <v>390</v>
      </c>
      <c r="E114" s="129" t="s">
        <v>401</v>
      </c>
      <c r="F114" s="129" t="s">
        <v>393</v>
      </c>
      <c r="G114" s="129" t="s">
        <v>25</v>
      </c>
      <c r="H114" s="129" t="s">
        <v>166</v>
      </c>
      <c r="I114" s="129" t="s">
        <v>165</v>
      </c>
      <c r="J114" s="77" t="s">
        <v>27</v>
      </c>
      <c r="K114" s="77" t="s">
        <v>112</v>
      </c>
      <c r="L114" s="129">
        <v>2</v>
      </c>
      <c r="N114" s="129">
        <v>4</v>
      </c>
      <c r="O114" s="129">
        <v>0.75</v>
      </c>
      <c r="P114" s="129">
        <v>0.55000000000000004</v>
      </c>
      <c r="Q114" s="159">
        <f t="shared" si="5"/>
        <v>0.65</v>
      </c>
      <c r="R114" s="129">
        <v>17.3</v>
      </c>
      <c r="S114" s="129">
        <v>100</v>
      </c>
      <c r="T114" s="159">
        <f t="shared" si="3"/>
        <v>33</v>
      </c>
      <c r="U114" s="129">
        <v>498</v>
      </c>
      <c r="V114" s="159">
        <f t="shared" si="4"/>
        <v>4108.5</v>
      </c>
      <c r="W114" s="129">
        <v>10</v>
      </c>
      <c r="X114" s="129" t="s">
        <v>35</v>
      </c>
      <c r="Y114" s="129" t="s">
        <v>55</v>
      </c>
      <c r="Z114" s="129" t="s">
        <v>82</v>
      </c>
      <c r="AA114" s="129" t="s">
        <v>74</v>
      </c>
      <c r="AB114" s="129" t="s">
        <v>195</v>
      </c>
    </row>
    <row r="115" spans="1:28" x14ac:dyDescent="0.15">
      <c r="A115" s="129" t="s">
        <v>40</v>
      </c>
      <c r="B115" s="129" t="s">
        <v>191</v>
      </c>
      <c r="C115" s="129">
        <v>2020</v>
      </c>
      <c r="D115" s="130" t="s">
        <v>390</v>
      </c>
      <c r="E115" s="129" t="s">
        <v>401</v>
      </c>
      <c r="F115" s="129" t="s">
        <v>393</v>
      </c>
      <c r="G115" s="129" t="s">
        <v>25</v>
      </c>
      <c r="H115" s="129" t="s">
        <v>166</v>
      </c>
      <c r="I115" s="129" t="s">
        <v>165</v>
      </c>
      <c r="J115" s="77" t="s">
        <v>27</v>
      </c>
      <c r="K115" s="77" t="s">
        <v>112</v>
      </c>
      <c r="L115" s="129">
        <v>3</v>
      </c>
      <c r="N115" s="129">
        <v>4</v>
      </c>
      <c r="O115" s="129">
        <v>0.7</v>
      </c>
      <c r="P115" s="129">
        <v>0.65</v>
      </c>
      <c r="Q115" s="159">
        <f t="shared" si="5"/>
        <v>0.67500000000000004</v>
      </c>
      <c r="R115" s="129">
        <v>18.8</v>
      </c>
      <c r="S115" s="129">
        <v>106</v>
      </c>
      <c r="T115" s="159">
        <f t="shared" si="3"/>
        <v>33</v>
      </c>
      <c r="U115" s="129">
        <v>498</v>
      </c>
      <c r="V115" s="159">
        <f t="shared" si="4"/>
        <v>4108.5</v>
      </c>
      <c r="W115" s="129">
        <v>10</v>
      </c>
      <c r="X115" s="129" t="s">
        <v>35</v>
      </c>
      <c r="Y115" s="129" t="s">
        <v>55</v>
      </c>
      <c r="Z115" s="129" t="s">
        <v>82</v>
      </c>
      <c r="AA115" s="129" t="s">
        <v>74</v>
      </c>
      <c r="AB115" s="129" t="s">
        <v>195</v>
      </c>
    </row>
    <row r="116" spans="1:28" x14ac:dyDescent="0.15">
      <c r="A116" s="129" t="s">
        <v>40</v>
      </c>
      <c r="B116" s="129" t="s">
        <v>191</v>
      </c>
      <c r="C116" s="129">
        <v>2020</v>
      </c>
      <c r="D116" s="130" t="s">
        <v>390</v>
      </c>
      <c r="E116" s="129" t="s">
        <v>396</v>
      </c>
      <c r="F116" s="129" t="s">
        <v>397</v>
      </c>
      <c r="G116" s="129" t="s">
        <v>31</v>
      </c>
      <c r="H116" s="129" t="s">
        <v>113</v>
      </c>
      <c r="I116" s="129" t="s">
        <v>111</v>
      </c>
      <c r="J116" s="77" t="s">
        <v>27</v>
      </c>
      <c r="K116" s="77" t="s">
        <v>112</v>
      </c>
      <c r="L116" s="129">
        <v>1</v>
      </c>
      <c r="N116" s="129">
        <v>1</v>
      </c>
      <c r="O116" s="129">
        <v>0.65</v>
      </c>
      <c r="P116" s="129">
        <v>0.6</v>
      </c>
      <c r="Q116" s="159">
        <f t="shared" si="5"/>
        <v>0.625</v>
      </c>
      <c r="R116" s="129">
        <v>15.1</v>
      </c>
      <c r="S116" s="129">
        <v>138</v>
      </c>
      <c r="T116" s="159">
        <f t="shared" si="3"/>
        <v>22</v>
      </c>
      <c r="U116" s="129">
        <v>98</v>
      </c>
      <c r="V116" s="159">
        <f t="shared" si="4"/>
        <v>2156</v>
      </c>
      <c r="W116" s="129">
        <v>18</v>
      </c>
      <c r="X116" s="129" t="s">
        <v>35</v>
      </c>
      <c r="Y116" s="129" t="s">
        <v>43</v>
      </c>
      <c r="Z116" s="129" t="s">
        <v>55</v>
      </c>
      <c r="AA116" s="129" t="s">
        <v>74</v>
      </c>
      <c r="AB116" s="129" t="s">
        <v>195</v>
      </c>
    </row>
    <row r="117" spans="1:28" x14ac:dyDescent="0.15">
      <c r="A117" s="129" t="s">
        <v>40</v>
      </c>
      <c r="B117" s="129" t="s">
        <v>191</v>
      </c>
      <c r="C117" s="129">
        <v>2020</v>
      </c>
      <c r="D117" s="130" t="s">
        <v>390</v>
      </c>
      <c r="E117" s="129" t="s">
        <v>396</v>
      </c>
      <c r="F117" s="129" t="s">
        <v>397</v>
      </c>
      <c r="G117" s="129" t="s">
        <v>31</v>
      </c>
      <c r="H117" s="129" t="s">
        <v>113</v>
      </c>
      <c r="I117" s="129" t="s">
        <v>111</v>
      </c>
      <c r="J117" s="77" t="s">
        <v>27</v>
      </c>
      <c r="K117" s="77" t="s">
        <v>112</v>
      </c>
      <c r="L117" s="129">
        <v>2</v>
      </c>
      <c r="N117" s="129">
        <v>1</v>
      </c>
      <c r="O117" s="129">
        <v>0.7</v>
      </c>
      <c r="P117" s="129">
        <v>0.65</v>
      </c>
      <c r="Q117" s="159">
        <f t="shared" si="5"/>
        <v>0.67500000000000004</v>
      </c>
      <c r="R117" s="129">
        <v>13.4</v>
      </c>
      <c r="S117" s="129">
        <v>132</v>
      </c>
      <c r="T117" s="159">
        <f t="shared" si="3"/>
        <v>25</v>
      </c>
      <c r="U117" s="129">
        <v>98</v>
      </c>
      <c r="V117" s="159">
        <f t="shared" si="4"/>
        <v>2450</v>
      </c>
      <c r="W117" s="129">
        <v>18</v>
      </c>
      <c r="X117" s="129" t="s">
        <v>35</v>
      </c>
      <c r="Y117" s="129" t="s">
        <v>43</v>
      </c>
      <c r="Z117" s="129" t="s">
        <v>55</v>
      </c>
      <c r="AA117" s="129" t="s">
        <v>74</v>
      </c>
      <c r="AB117" s="129" t="s">
        <v>195</v>
      </c>
    </row>
    <row r="118" spans="1:28" x14ac:dyDescent="0.15">
      <c r="A118" s="129" t="s">
        <v>40</v>
      </c>
      <c r="B118" s="129" t="s">
        <v>191</v>
      </c>
      <c r="C118" s="129">
        <v>2020</v>
      </c>
      <c r="D118" s="130" t="s">
        <v>390</v>
      </c>
      <c r="E118" s="129" t="s">
        <v>396</v>
      </c>
      <c r="F118" s="129" t="s">
        <v>397</v>
      </c>
      <c r="G118" s="129" t="s">
        <v>31</v>
      </c>
      <c r="H118" s="129" t="s">
        <v>113</v>
      </c>
      <c r="I118" s="129" t="s">
        <v>111</v>
      </c>
      <c r="J118" s="77" t="s">
        <v>27</v>
      </c>
      <c r="K118" s="77" t="s">
        <v>112</v>
      </c>
      <c r="L118" s="129">
        <v>3</v>
      </c>
      <c r="N118" s="129">
        <v>1</v>
      </c>
      <c r="O118" s="129">
        <v>0.75</v>
      </c>
      <c r="P118" s="129">
        <v>0.7</v>
      </c>
      <c r="Q118" s="159">
        <f t="shared" si="5"/>
        <v>0.72499999999999998</v>
      </c>
      <c r="R118" s="129">
        <v>13.8</v>
      </c>
      <c r="S118" s="129">
        <v>136</v>
      </c>
      <c r="T118" s="159">
        <f t="shared" si="3"/>
        <v>25</v>
      </c>
      <c r="U118" s="129">
        <v>98</v>
      </c>
      <c r="V118" s="159">
        <f t="shared" si="4"/>
        <v>2450</v>
      </c>
      <c r="W118" s="129">
        <v>18</v>
      </c>
      <c r="X118" s="129" t="s">
        <v>35</v>
      </c>
      <c r="Y118" s="129" t="s">
        <v>43</v>
      </c>
      <c r="Z118" s="129" t="s">
        <v>55</v>
      </c>
      <c r="AA118" s="129" t="s">
        <v>74</v>
      </c>
      <c r="AB118" s="129" t="s">
        <v>195</v>
      </c>
    </row>
    <row r="119" spans="1:28" x14ac:dyDescent="0.15">
      <c r="A119" s="129" t="s">
        <v>40</v>
      </c>
      <c r="B119" s="129" t="s">
        <v>191</v>
      </c>
      <c r="C119" s="129">
        <v>2020</v>
      </c>
      <c r="D119" s="130" t="s">
        <v>390</v>
      </c>
      <c r="E119" s="129" t="s">
        <v>396</v>
      </c>
      <c r="F119" s="129" t="s">
        <v>397</v>
      </c>
      <c r="G119" s="129" t="s">
        <v>31</v>
      </c>
      <c r="H119" s="129" t="s">
        <v>166</v>
      </c>
      <c r="I119" s="129" t="s">
        <v>111</v>
      </c>
      <c r="J119" s="77" t="s">
        <v>27</v>
      </c>
      <c r="K119" s="77" t="s">
        <v>112</v>
      </c>
      <c r="L119" s="129">
        <v>1</v>
      </c>
      <c r="N119" s="129">
        <v>1</v>
      </c>
      <c r="O119" s="129">
        <v>0.6</v>
      </c>
      <c r="P119" s="129">
        <v>0.55000000000000004</v>
      </c>
      <c r="Q119" s="159">
        <f t="shared" si="5"/>
        <v>0.57499999999999996</v>
      </c>
      <c r="R119" s="129">
        <v>17.399999999999999</v>
      </c>
      <c r="S119" s="129">
        <v>138</v>
      </c>
      <c r="T119" s="159">
        <f t="shared" si="3"/>
        <v>22</v>
      </c>
      <c r="U119" s="129">
        <v>98</v>
      </c>
      <c r="V119" s="159">
        <f t="shared" si="4"/>
        <v>2156</v>
      </c>
      <c r="W119" s="129">
        <v>18</v>
      </c>
      <c r="X119" s="129" t="s">
        <v>35</v>
      </c>
      <c r="Y119" s="129" t="s">
        <v>43</v>
      </c>
      <c r="Z119" s="129" t="s">
        <v>55</v>
      </c>
      <c r="AA119" s="129" t="s">
        <v>74</v>
      </c>
      <c r="AB119" s="129" t="s">
        <v>195</v>
      </c>
    </row>
    <row r="120" spans="1:28" x14ac:dyDescent="0.15">
      <c r="A120" s="129" t="s">
        <v>40</v>
      </c>
      <c r="B120" s="129" t="s">
        <v>191</v>
      </c>
      <c r="C120" s="129">
        <v>2020</v>
      </c>
      <c r="D120" s="130" t="s">
        <v>390</v>
      </c>
      <c r="E120" s="129" t="s">
        <v>396</v>
      </c>
      <c r="F120" s="129" t="s">
        <v>397</v>
      </c>
      <c r="G120" s="129" t="s">
        <v>31</v>
      </c>
      <c r="H120" s="129" t="s">
        <v>166</v>
      </c>
      <c r="I120" s="129" t="s">
        <v>111</v>
      </c>
      <c r="J120" s="77" t="s">
        <v>27</v>
      </c>
      <c r="K120" s="77" t="s">
        <v>112</v>
      </c>
      <c r="L120" s="129">
        <v>2</v>
      </c>
      <c r="N120" s="129">
        <v>1</v>
      </c>
      <c r="O120" s="129">
        <v>0.5</v>
      </c>
      <c r="P120" s="129">
        <v>0.5</v>
      </c>
      <c r="Q120" s="159">
        <f t="shared" si="5"/>
        <v>0.5</v>
      </c>
      <c r="R120" s="129">
        <v>16.8</v>
      </c>
      <c r="S120" s="129">
        <v>128</v>
      </c>
      <c r="T120" s="159">
        <f t="shared" si="3"/>
        <v>27</v>
      </c>
      <c r="U120" s="129">
        <v>98</v>
      </c>
      <c r="V120" s="159">
        <f t="shared" si="4"/>
        <v>2646</v>
      </c>
      <c r="W120" s="129">
        <v>18</v>
      </c>
      <c r="X120" s="129" t="s">
        <v>35</v>
      </c>
      <c r="Y120" s="129" t="s">
        <v>43</v>
      </c>
      <c r="Z120" s="129" t="s">
        <v>55</v>
      </c>
      <c r="AA120" s="129" t="s">
        <v>74</v>
      </c>
      <c r="AB120" s="129" t="s">
        <v>195</v>
      </c>
    </row>
    <row r="121" spans="1:28" x14ac:dyDescent="0.15">
      <c r="A121" s="129" t="s">
        <v>40</v>
      </c>
      <c r="B121" s="129" t="s">
        <v>191</v>
      </c>
      <c r="C121" s="129">
        <v>2020</v>
      </c>
      <c r="D121" s="130" t="s">
        <v>390</v>
      </c>
      <c r="E121" s="129" t="s">
        <v>396</v>
      </c>
      <c r="F121" s="129" t="s">
        <v>397</v>
      </c>
      <c r="G121" s="129" t="s">
        <v>31</v>
      </c>
      <c r="H121" s="129" t="s">
        <v>166</v>
      </c>
      <c r="I121" s="129" t="s">
        <v>111</v>
      </c>
      <c r="J121" s="77" t="s">
        <v>27</v>
      </c>
      <c r="K121" s="77" t="s">
        <v>112</v>
      </c>
      <c r="L121" s="129">
        <v>3</v>
      </c>
      <c r="N121" s="129">
        <v>1</v>
      </c>
      <c r="O121" s="129">
        <v>0.55000000000000004</v>
      </c>
      <c r="P121" s="129">
        <v>0.55000000000000004</v>
      </c>
      <c r="Q121" s="159">
        <f t="shared" si="5"/>
        <v>0.55000000000000004</v>
      </c>
      <c r="R121" s="129">
        <v>17</v>
      </c>
      <c r="S121" s="129">
        <v>130</v>
      </c>
      <c r="T121" s="159">
        <f t="shared" si="3"/>
        <v>25</v>
      </c>
      <c r="U121" s="129">
        <v>98</v>
      </c>
      <c r="V121" s="159">
        <f t="shared" si="4"/>
        <v>2450</v>
      </c>
      <c r="W121" s="129">
        <v>18</v>
      </c>
      <c r="X121" s="129" t="s">
        <v>35</v>
      </c>
      <c r="Y121" s="129" t="s">
        <v>43</v>
      </c>
      <c r="Z121" s="129" t="s">
        <v>55</v>
      </c>
      <c r="AA121" s="129" t="s">
        <v>74</v>
      </c>
      <c r="AB121" s="129" t="s">
        <v>195</v>
      </c>
    </row>
    <row r="122" spans="1:28" x14ac:dyDescent="0.15">
      <c r="A122" s="129" t="s">
        <v>40</v>
      </c>
      <c r="B122" s="129" t="s">
        <v>191</v>
      </c>
      <c r="C122" s="129">
        <v>2020</v>
      </c>
      <c r="D122" s="130" t="s">
        <v>390</v>
      </c>
      <c r="E122" s="129" t="s">
        <v>402</v>
      </c>
      <c r="F122" s="129" t="s">
        <v>403</v>
      </c>
      <c r="G122" s="129" t="s">
        <v>25</v>
      </c>
      <c r="H122" s="129" t="s">
        <v>113</v>
      </c>
      <c r="I122" s="129" t="s">
        <v>111</v>
      </c>
      <c r="J122" s="77" t="s">
        <v>27</v>
      </c>
      <c r="K122" s="77" t="s">
        <v>112</v>
      </c>
      <c r="L122" s="129">
        <v>1</v>
      </c>
      <c r="N122" s="129">
        <v>1</v>
      </c>
      <c r="O122" s="129">
        <v>0.75</v>
      </c>
      <c r="P122" s="129">
        <v>0.8</v>
      </c>
      <c r="Q122" s="159">
        <f t="shared" si="5"/>
        <v>0.77500000000000002</v>
      </c>
      <c r="R122" s="129">
        <v>16.100000000000001</v>
      </c>
      <c r="S122" s="129">
        <v>136</v>
      </c>
      <c r="T122" s="159">
        <f t="shared" si="3"/>
        <v>25</v>
      </c>
      <c r="U122" s="129">
        <v>98</v>
      </c>
      <c r="V122" s="159">
        <f t="shared" si="4"/>
        <v>2450</v>
      </c>
      <c r="W122" s="129">
        <v>12</v>
      </c>
      <c r="X122" s="129" t="s">
        <v>35</v>
      </c>
      <c r="Y122" s="129" t="s">
        <v>74</v>
      </c>
      <c r="Z122" s="129" t="s">
        <v>43</v>
      </c>
      <c r="AA122" s="129" t="s">
        <v>82</v>
      </c>
      <c r="AB122" s="129" t="s">
        <v>195</v>
      </c>
    </row>
    <row r="123" spans="1:28" x14ac:dyDescent="0.15">
      <c r="A123" s="129" t="s">
        <v>40</v>
      </c>
      <c r="B123" s="129" t="s">
        <v>191</v>
      </c>
      <c r="C123" s="129">
        <v>2020</v>
      </c>
      <c r="D123" s="130" t="s">
        <v>390</v>
      </c>
      <c r="E123" s="129" t="s">
        <v>402</v>
      </c>
      <c r="F123" s="129" t="s">
        <v>403</v>
      </c>
      <c r="G123" s="129" t="s">
        <v>25</v>
      </c>
      <c r="H123" s="129" t="s">
        <v>113</v>
      </c>
      <c r="I123" s="129" t="s">
        <v>111</v>
      </c>
      <c r="J123" s="77" t="s">
        <v>27</v>
      </c>
      <c r="K123" s="77" t="s">
        <v>112</v>
      </c>
      <c r="L123" s="129">
        <v>2</v>
      </c>
      <c r="N123" s="129">
        <v>1</v>
      </c>
      <c r="O123" s="129">
        <v>0.75</v>
      </c>
      <c r="P123" s="129">
        <v>0.75</v>
      </c>
      <c r="Q123" s="159">
        <f t="shared" si="5"/>
        <v>0.75</v>
      </c>
      <c r="R123" s="129">
        <v>16.8</v>
      </c>
      <c r="S123" s="129">
        <v>134</v>
      </c>
      <c r="T123" s="159">
        <f t="shared" si="3"/>
        <v>25</v>
      </c>
      <c r="U123" s="129">
        <v>98</v>
      </c>
      <c r="V123" s="159">
        <f t="shared" si="4"/>
        <v>2450</v>
      </c>
      <c r="W123" s="129">
        <v>12</v>
      </c>
      <c r="X123" s="129" t="s">
        <v>35</v>
      </c>
      <c r="Y123" s="129" t="s">
        <v>74</v>
      </c>
      <c r="Z123" s="129" t="s">
        <v>43</v>
      </c>
      <c r="AA123" s="129" t="s">
        <v>82</v>
      </c>
      <c r="AB123" s="129" t="s">
        <v>195</v>
      </c>
    </row>
    <row r="124" spans="1:28" x14ac:dyDescent="0.15">
      <c r="A124" s="129" t="s">
        <v>40</v>
      </c>
      <c r="B124" s="129" t="s">
        <v>191</v>
      </c>
      <c r="C124" s="129">
        <v>2020</v>
      </c>
      <c r="D124" s="130" t="s">
        <v>390</v>
      </c>
      <c r="E124" s="129" t="s">
        <v>402</v>
      </c>
      <c r="F124" s="129" t="s">
        <v>403</v>
      </c>
      <c r="G124" s="129" t="s">
        <v>25</v>
      </c>
      <c r="H124" s="129" t="s">
        <v>113</v>
      </c>
      <c r="I124" s="129" t="s">
        <v>111</v>
      </c>
      <c r="J124" s="77" t="s">
        <v>27</v>
      </c>
      <c r="K124" s="77" t="s">
        <v>112</v>
      </c>
      <c r="L124" s="129">
        <v>3</v>
      </c>
      <c r="N124" s="129">
        <v>1</v>
      </c>
      <c r="O124" s="129">
        <v>0.7</v>
      </c>
      <c r="P124" s="129">
        <v>0.75</v>
      </c>
      <c r="Q124" s="159">
        <f t="shared" si="5"/>
        <v>0.72499999999999998</v>
      </c>
      <c r="R124" s="129">
        <v>16.399999999999999</v>
      </c>
      <c r="S124" s="129">
        <v>134</v>
      </c>
      <c r="T124" s="159">
        <f t="shared" si="3"/>
        <v>25</v>
      </c>
      <c r="U124" s="129">
        <v>98</v>
      </c>
      <c r="V124" s="159">
        <f t="shared" si="4"/>
        <v>2450</v>
      </c>
      <c r="W124" s="129">
        <v>12</v>
      </c>
      <c r="X124" s="129" t="s">
        <v>35</v>
      </c>
      <c r="Y124" s="129" t="s">
        <v>74</v>
      </c>
      <c r="Z124" s="129" t="s">
        <v>43</v>
      </c>
      <c r="AA124" s="129" t="s">
        <v>82</v>
      </c>
      <c r="AB124" s="129" t="s">
        <v>195</v>
      </c>
    </row>
    <row r="125" spans="1:28" x14ac:dyDescent="0.15">
      <c r="A125" s="129" t="s">
        <v>40</v>
      </c>
      <c r="B125" s="129" t="s">
        <v>191</v>
      </c>
      <c r="C125" s="129">
        <v>2020</v>
      </c>
      <c r="D125" s="130" t="s">
        <v>390</v>
      </c>
      <c r="E125" s="129" t="s">
        <v>402</v>
      </c>
      <c r="F125" s="129" t="s">
        <v>403</v>
      </c>
      <c r="G125" s="129" t="s">
        <v>25</v>
      </c>
      <c r="H125" s="129" t="s">
        <v>113</v>
      </c>
      <c r="I125" s="129" t="s">
        <v>111</v>
      </c>
      <c r="J125" s="77" t="s">
        <v>27</v>
      </c>
      <c r="K125" s="77" t="s">
        <v>112</v>
      </c>
      <c r="L125" s="129">
        <v>1</v>
      </c>
      <c r="N125" s="129">
        <v>4</v>
      </c>
      <c r="O125" s="129">
        <v>0.95</v>
      </c>
      <c r="P125" s="129">
        <v>1</v>
      </c>
      <c r="Q125" s="159">
        <f t="shared" si="5"/>
        <v>0.97499999999999998</v>
      </c>
      <c r="R125" s="129">
        <v>15.4</v>
      </c>
      <c r="S125" s="129">
        <v>100</v>
      </c>
      <c r="T125" s="159">
        <f t="shared" si="3"/>
        <v>33</v>
      </c>
      <c r="U125" s="129">
        <v>398</v>
      </c>
      <c r="V125" s="159">
        <f t="shared" si="4"/>
        <v>3283.5</v>
      </c>
      <c r="W125" s="129">
        <v>12</v>
      </c>
      <c r="X125" s="129" t="s">
        <v>35</v>
      </c>
      <c r="Y125" s="129" t="s">
        <v>74</v>
      </c>
      <c r="Z125" s="129" t="s">
        <v>43</v>
      </c>
      <c r="AA125" s="129" t="s">
        <v>82</v>
      </c>
      <c r="AB125" s="129" t="s">
        <v>195</v>
      </c>
    </row>
    <row r="126" spans="1:28" x14ac:dyDescent="0.15">
      <c r="A126" s="129" t="s">
        <v>40</v>
      </c>
      <c r="B126" s="129" t="s">
        <v>191</v>
      </c>
      <c r="C126" s="129">
        <v>2020</v>
      </c>
      <c r="D126" s="130" t="s">
        <v>390</v>
      </c>
      <c r="E126" s="129" t="s">
        <v>402</v>
      </c>
      <c r="F126" s="129" t="s">
        <v>403</v>
      </c>
      <c r="G126" s="129" t="s">
        <v>25</v>
      </c>
      <c r="H126" s="129" t="s">
        <v>113</v>
      </c>
      <c r="I126" s="129" t="s">
        <v>111</v>
      </c>
      <c r="J126" s="77" t="s">
        <v>27</v>
      </c>
      <c r="K126" s="77" t="s">
        <v>112</v>
      </c>
      <c r="L126" s="129">
        <v>2</v>
      </c>
      <c r="N126" s="129">
        <v>4</v>
      </c>
      <c r="O126" s="129">
        <v>0.9</v>
      </c>
      <c r="P126" s="129">
        <v>0.95</v>
      </c>
      <c r="Q126" s="159">
        <f t="shared" si="5"/>
        <v>0.92500000000000004</v>
      </c>
      <c r="R126" s="129">
        <v>15.3</v>
      </c>
      <c r="S126" s="129">
        <v>96</v>
      </c>
      <c r="T126" s="159">
        <f t="shared" si="3"/>
        <v>36</v>
      </c>
      <c r="U126" s="129">
        <v>398</v>
      </c>
      <c r="V126" s="159">
        <f t="shared" si="4"/>
        <v>3582</v>
      </c>
      <c r="W126" s="129">
        <v>12</v>
      </c>
      <c r="X126" s="129" t="s">
        <v>35</v>
      </c>
      <c r="Y126" s="129" t="s">
        <v>74</v>
      </c>
      <c r="Z126" s="129" t="s">
        <v>43</v>
      </c>
      <c r="AA126" s="129" t="s">
        <v>82</v>
      </c>
      <c r="AB126" s="129" t="s">
        <v>195</v>
      </c>
    </row>
    <row r="127" spans="1:28" x14ac:dyDescent="0.15">
      <c r="A127" s="129" t="s">
        <v>40</v>
      </c>
      <c r="B127" s="129" t="s">
        <v>191</v>
      </c>
      <c r="C127" s="129">
        <v>2020</v>
      </c>
      <c r="D127" s="130" t="s">
        <v>390</v>
      </c>
      <c r="E127" s="129" t="s">
        <v>402</v>
      </c>
      <c r="F127" s="129" t="s">
        <v>403</v>
      </c>
      <c r="G127" s="129" t="s">
        <v>25</v>
      </c>
      <c r="H127" s="129" t="s">
        <v>113</v>
      </c>
      <c r="I127" s="129" t="s">
        <v>111</v>
      </c>
      <c r="J127" s="77" t="s">
        <v>27</v>
      </c>
      <c r="K127" s="77" t="s">
        <v>112</v>
      </c>
      <c r="L127" s="129">
        <v>3</v>
      </c>
      <c r="N127" s="129">
        <v>4</v>
      </c>
      <c r="O127" s="129">
        <v>1.1000000000000001</v>
      </c>
      <c r="P127" s="129">
        <v>1</v>
      </c>
      <c r="Q127" s="159">
        <f t="shared" si="5"/>
        <v>1.05</v>
      </c>
      <c r="R127" s="129">
        <v>15.5</v>
      </c>
      <c r="S127" s="129">
        <v>95</v>
      </c>
      <c r="T127" s="159">
        <f t="shared" si="3"/>
        <v>36</v>
      </c>
      <c r="U127" s="129">
        <v>398</v>
      </c>
      <c r="V127" s="159">
        <f t="shared" si="4"/>
        <v>3582</v>
      </c>
      <c r="W127" s="129">
        <v>12</v>
      </c>
      <c r="X127" s="129" t="s">
        <v>35</v>
      </c>
      <c r="Y127" s="129" t="s">
        <v>74</v>
      </c>
      <c r="Z127" s="129" t="s">
        <v>43</v>
      </c>
      <c r="AA127" s="129" t="s">
        <v>82</v>
      </c>
      <c r="AB127" s="129" t="s">
        <v>195</v>
      </c>
    </row>
    <row r="128" spans="1:28" x14ac:dyDescent="0.15">
      <c r="A128" s="129" t="s">
        <v>40</v>
      </c>
      <c r="B128" s="129" t="s">
        <v>191</v>
      </c>
      <c r="C128" s="129">
        <v>2020</v>
      </c>
      <c r="D128" s="130" t="s">
        <v>390</v>
      </c>
      <c r="E128" s="129" t="s">
        <v>402</v>
      </c>
      <c r="F128" s="129" t="s">
        <v>403</v>
      </c>
      <c r="G128" s="129" t="s">
        <v>25</v>
      </c>
      <c r="H128" s="129" t="s">
        <v>113</v>
      </c>
      <c r="I128" s="129" t="s">
        <v>111</v>
      </c>
      <c r="J128" s="77" t="s">
        <v>27</v>
      </c>
      <c r="K128" s="77" t="s">
        <v>112</v>
      </c>
      <c r="L128" s="129">
        <v>1</v>
      </c>
      <c r="N128" s="129">
        <v>8</v>
      </c>
      <c r="O128" s="129">
        <v>0.85</v>
      </c>
      <c r="P128" s="129">
        <v>0.75</v>
      </c>
      <c r="Q128" s="159">
        <f t="shared" si="5"/>
        <v>0.8</v>
      </c>
      <c r="R128" s="129">
        <v>14.6</v>
      </c>
      <c r="S128" s="129">
        <v>95</v>
      </c>
      <c r="T128" s="159">
        <f t="shared" si="3"/>
        <v>36</v>
      </c>
      <c r="U128" s="129">
        <v>498</v>
      </c>
      <c r="V128" s="159">
        <f t="shared" si="4"/>
        <v>2241</v>
      </c>
      <c r="W128" s="129">
        <v>12</v>
      </c>
      <c r="X128" s="129" t="s">
        <v>35</v>
      </c>
      <c r="Y128" s="129" t="s">
        <v>74</v>
      </c>
      <c r="Z128" s="129" t="s">
        <v>43</v>
      </c>
      <c r="AA128" s="129" t="s">
        <v>82</v>
      </c>
      <c r="AB128" s="129" t="s">
        <v>195</v>
      </c>
    </row>
    <row r="129" spans="1:28" x14ac:dyDescent="0.15">
      <c r="A129" s="129" t="s">
        <v>40</v>
      </c>
      <c r="B129" s="129" t="s">
        <v>191</v>
      </c>
      <c r="C129" s="129">
        <v>2020</v>
      </c>
      <c r="D129" s="130" t="s">
        <v>390</v>
      </c>
      <c r="E129" s="129" t="s">
        <v>402</v>
      </c>
      <c r="F129" s="129" t="s">
        <v>403</v>
      </c>
      <c r="G129" s="129" t="s">
        <v>25</v>
      </c>
      <c r="H129" s="129" t="s">
        <v>113</v>
      </c>
      <c r="I129" s="129" t="s">
        <v>111</v>
      </c>
      <c r="J129" s="77" t="s">
        <v>27</v>
      </c>
      <c r="K129" s="77" t="s">
        <v>112</v>
      </c>
      <c r="L129" s="129">
        <v>2</v>
      </c>
      <c r="N129" s="129">
        <v>8</v>
      </c>
      <c r="O129" s="129">
        <v>0.75</v>
      </c>
      <c r="P129" s="129">
        <v>0.8</v>
      </c>
      <c r="Q129" s="159">
        <f t="shared" si="5"/>
        <v>0.77500000000000002</v>
      </c>
      <c r="R129" s="129">
        <v>15.3</v>
      </c>
      <c r="S129" s="129">
        <v>90</v>
      </c>
      <c r="T129" s="159">
        <f t="shared" si="3"/>
        <v>36</v>
      </c>
      <c r="U129" s="129">
        <v>498</v>
      </c>
      <c r="V129" s="159">
        <f t="shared" si="4"/>
        <v>2241</v>
      </c>
      <c r="W129" s="129">
        <v>12</v>
      </c>
      <c r="X129" s="129" t="s">
        <v>35</v>
      </c>
      <c r="Y129" s="129" t="s">
        <v>74</v>
      </c>
      <c r="Z129" s="129" t="s">
        <v>43</v>
      </c>
      <c r="AA129" s="129" t="s">
        <v>82</v>
      </c>
      <c r="AB129" s="129" t="s">
        <v>195</v>
      </c>
    </row>
    <row r="130" spans="1:28" x14ac:dyDescent="0.15">
      <c r="A130" s="129" t="s">
        <v>40</v>
      </c>
      <c r="B130" s="129" t="s">
        <v>191</v>
      </c>
      <c r="C130" s="129">
        <v>2020</v>
      </c>
      <c r="D130" s="130" t="s">
        <v>390</v>
      </c>
      <c r="E130" s="129" t="s">
        <v>402</v>
      </c>
      <c r="F130" s="129" t="s">
        <v>403</v>
      </c>
      <c r="G130" s="129" t="s">
        <v>25</v>
      </c>
      <c r="H130" s="129" t="s">
        <v>113</v>
      </c>
      <c r="I130" s="129" t="s">
        <v>111</v>
      </c>
      <c r="J130" s="77" t="s">
        <v>27</v>
      </c>
      <c r="K130" s="77" t="s">
        <v>112</v>
      </c>
      <c r="L130" s="129">
        <v>3</v>
      </c>
      <c r="N130" s="129">
        <v>8</v>
      </c>
      <c r="O130" s="129">
        <v>0.75</v>
      </c>
      <c r="P130" s="129">
        <v>0.75</v>
      </c>
      <c r="Q130" s="159">
        <f t="shared" si="5"/>
        <v>0.75</v>
      </c>
      <c r="R130" s="129">
        <v>14.8</v>
      </c>
      <c r="S130" s="129">
        <v>85</v>
      </c>
      <c r="T130" s="159">
        <f t="shared" ref="T130:T151" si="6">IF(H130="","",IF(OR(H130="GREEN",H130="GK"),IF(S130&gt;=$AX$2,VLOOKUP(S130,$AX$2:$AY$12,2,1),""),IF(S130&gt;=$AZ$2,VLOOKUP(S130,$AZ$2:$BA$12,2,1),"")))</f>
        <v>36</v>
      </c>
      <c r="U130" s="129">
        <v>498</v>
      </c>
      <c r="V130" s="159">
        <f t="shared" ref="V130:V151" si="7">IF(OR(N130="",U130="",T130=""),"",U130/N130*T130)</f>
        <v>2241</v>
      </c>
      <c r="W130" s="129">
        <v>12</v>
      </c>
      <c r="X130" s="129" t="s">
        <v>35</v>
      </c>
      <c r="Y130" s="129" t="s">
        <v>74</v>
      </c>
      <c r="Z130" s="129" t="s">
        <v>43</v>
      </c>
      <c r="AA130" s="129" t="s">
        <v>82</v>
      </c>
      <c r="AB130" s="129" t="s">
        <v>195</v>
      </c>
    </row>
    <row r="131" spans="1:28" x14ac:dyDescent="0.15">
      <c r="A131" s="129" t="s">
        <v>40</v>
      </c>
      <c r="B131" s="129" t="s">
        <v>191</v>
      </c>
      <c r="C131" s="129">
        <v>2020</v>
      </c>
      <c r="D131" s="130" t="s">
        <v>390</v>
      </c>
      <c r="E131" s="129" t="s">
        <v>402</v>
      </c>
      <c r="F131" s="129" t="s">
        <v>403</v>
      </c>
      <c r="G131" s="129" t="s">
        <v>25</v>
      </c>
      <c r="H131" s="129" t="s">
        <v>166</v>
      </c>
      <c r="I131" s="129" t="s">
        <v>111</v>
      </c>
      <c r="J131" s="77" t="s">
        <v>27</v>
      </c>
      <c r="K131" s="77" t="s">
        <v>112</v>
      </c>
      <c r="L131" s="129">
        <v>1</v>
      </c>
      <c r="N131" s="129">
        <v>1</v>
      </c>
      <c r="O131" s="129">
        <v>0.75</v>
      </c>
      <c r="P131" s="129">
        <v>0.85</v>
      </c>
      <c r="Q131" s="159">
        <f t="shared" ref="Q131:Q151" si="8">IF(OR(O131="",P131=""),"",AVERAGE(O131,P131))</f>
        <v>0.8</v>
      </c>
      <c r="R131" s="129">
        <v>16.2</v>
      </c>
      <c r="S131" s="129">
        <v>140</v>
      </c>
      <c r="T131" s="159">
        <f t="shared" si="6"/>
        <v>22</v>
      </c>
      <c r="U131" s="129">
        <v>98</v>
      </c>
      <c r="V131" s="159">
        <f t="shared" si="7"/>
        <v>2156</v>
      </c>
      <c r="W131" s="129">
        <v>12</v>
      </c>
      <c r="X131" s="129" t="s">
        <v>35</v>
      </c>
      <c r="Y131" s="129" t="s">
        <v>74</v>
      </c>
      <c r="Z131" s="129" t="s">
        <v>43</v>
      </c>
      <c r="AA131" s="129" t="s">
        <v>82</v>
      </c>
      <c r="AB131" s="129" t="s">
        <v>195</v>
      </c>
    </row>
    <row r="132" spans="1:28" x14ac:dyDescent="0.15">
      <c r="A132" s="129" t="s">
        <v>40</v>
      </c>
      <c r="B132" s="129" t="s">
        <v>191</v>
      </c>
      <c r="C132" s="129">
        <v>2020</v>
      </c>
      <c r="D132" s="130" t="s">
        <v>390</v>
      </c>
      <c r="E132" s="129" t="s">
        <v>402</v>
      </c>
      <c r="F132" s="129" t="s">
        <v>403</v>
      </c>
      <c r="G132" s="129" t="s">
        <v>25</v>
      </c>
      <c r="H132" s="129" t="s">
        <v>166</v>
      </c>
      <c r="I132" s="129" t="s">
        <v>111</v>
      </c>
      <c r="J132" s="77" t="s">
        <v>27</v>
      </c>
      <c r="K132" s="77" t="s">
        <v>112</v>
      </c>
      <c r="L132" s="129">
        <v>2</v>
      </c>
      <c r="N132" s="129">
        <v>1</v>
      </c>
      <c r="O132" s="129">
        <v>0.8</v>
      </c>
      <c r="P132" s="129">
        <v>0.8</v>
      </c>
      <c r="Q132" s="159">
        <f t="shared" si="8"/>
        <v>0.8</v>
      </c>
      <c r="R132" s="129">
        <v>16.5</v>
      </c>
      <c r="S132" s="129">
        <v>142</v>
      </c>
      <c r="T132" s="159">
        <f t="shared" si="6"/>
        <v>22</v>
      </c>
      <c r="U132" s="129">
        <v>98</v>
      </c>
      <c r="V132" s="159">
        <f t="shared" si="7"/>
        <v>2156</v>
      </c>
      <c r="W132" s="129">
        <v>12</v>
      </c>
      <c r="X132" s="129" t="s">
        <v>35</v>
      </c>
      <c r="Y132" s="129" t="s">
        <v>74</v>
      </c>
      <c r="Z132" s="129" t="s">
        <v>43</v>
      </c>
      <c r="AA132" s="129" t="s">
        <v>82</v>
      </c>
      <c r="AB132" s="129" t="s">
        <v>195</v>
      </c>
    </row>
    <row r="133" spans="1:28" x14ac:dyDescent="0.15">
      <c r="A133" s="129" t="s">
        <v>40</v>
      </c>
      <c r="B133" s="129" t="s">
        <v>191</v>
      </c>
      <c r="C133" s="129">
        <v>2020</v>
      </c>
      <c r="D133" s="130" t="s">
        <v>390</v>
      </c>
      <c r="E133" s="129" t="s">
        <v>402</v>
      </c>
      <c r="F133" s="129" t="s">
        <v>403</v>
      </c>
      <c r="G133" s="129" t="s">
        <v>25</v>
      </c>
      <c r="H133" s="129" t="s">
        <v>166</v>
      </c>
      <c r="I133" s="129" t="s">
        <v>111</v>
      </c>
      <c r="J133" s="77" t="s">
        <v>27</v>
      </c>
      <c r="K133" s="77" t="s">
        <v>112</v>
      </c>
      <c r="L133" s="129">
        <v>3</v>
      </c>
      <c r="N133" s="129">
        <v>1</v>
      </c>
      <c r="O133" s="129">
        <v>0.75</v>
      </c>
      <c r="P133" s="129">
        <v>0.75</v>
      </c>
      <c r="Q133" s="159">
        <f t="shared" si="8"/>
        <v>0.75</v>
      </c>
      <c r="R133" s="129">
        <v>16.8</v>
      </c>
      <c r="S133" s="129">
        <v>148</v>
      </c>
      <c r="T133" s="159">
        <f t="shared" si="6"/>
        <v>22</v>
      </c>
      <c r="U133" s="129">
        <v>98</v>
      </c>
      <c r="V133" s="159">
        <f t="shared" si="7"/>
        <v>2156</v>
      </c>
      <c r="W133" s="129">
        <v>12</v>
      </c>
      <c r="X133" s="129" t="s">
        <v>35</v>
      </c>
      <c r="Y133" s="129" t="s">
        <v>74</v>
      </c>
      <c r="Z133" s="129" t="s">
        <v>43</v>
      </c>
      <c r="AA133" s="129" t="s">
        <v>82</v>
      </c>
      <c r="AB133" s="129" t="s">
        <v>195</v>
      </c>
    </row>
    <row r="134" spans="1:28" x14ac:dyDescent="0.15">
      <c r="A134" s="129" t="s">
        <v>40</v>
      </c>
      <c r="B134" s="129" t="s">
        <v>191</v>
      </c>
      <c r="C134" s="129">
        <v>2020</v>
      </c>
      <c r="D134" s="130" t="s">
        <v>390</v>
      </c>
      <c r="E134" s="129" t="s">
        <v>402</v>
      </c>
      <c r="F134" s="129" t="s">
        <v>403</v>
      </c>
      <c r="G134" s="129" t="s">
        <v>25</v>
      </c>
      <c r="H134" s="129" t="s">
        <v>166</v>
      </c>
      <c r="I134" s="129" t="s">
        <v>111</v>
      </c>
      <c r="J134" s="77" t="s">
        <v>27</v>
      </c>
      <c r="K134" s="77" t="s">
        <v>112</v>
      </c>
      <c r="L134" s="129">
        <v>1</v>
      </c>
      <c r="N134" s="129">
        <v>4</v>
      </c>
      <c r="O134" s="129">
        <v>0.75</v>
      </c>
      <c r="P134" s="129">
        <v>0.7</v>
      </c>
      <c r="Q134" s="159">
        <f t="shared" si="8"/>
        <v>0.72499999999999998</v>
      </c>
      <c r="R134" s="129">
        <v>16.5</v>
      </c>
      <c r="S134" s="129">
        <v>112</v>
      </c>
      <c r="T134" s="159">
        <f t="shared" si="6"/>
        <v>33</v>
      </c>
      <c r="U134" s="129">
        <v>498</v>
      </c>
      <c r="V134" s="159">
        <f t="shared" si="7"/>
        <v>4108.5</v>
      </c>
      <c r="W134" s="129">
        <v>12</v>
      </c>
      <c r="X134" s="129" t="s">
        <v>35</v>
      </c>
      <c r="Y134" s="129" t="s">
        <v>74</v>
      </c>
      <c r="Z134" s="129" t="s">
        <v>43</v>
      </c>
      <c r="AA134" s="129" t="s">
        <v>82</v>
      </c>
      <c r="AB134" s="129" t="s">
        <v>195</v>
      </c>
    </row>
    <row r="135" spans="1:28" x14ac:dyDescent="0.15">
      <c r="A135" s="129" t="s">
        <v>40</v>
      </c>
      <c r="B135" s="129" t="s">
        <v>191</v>
      </c>
      <c r="C135" s="129">
        <v>2020</v>
      </c>
      <c r="D135" s="130" t="s">
        <v>390</v>
      </c>
      <c r="E135" s="129" t="s">
        <v>402</v>
      </c>
      <c r="F135" s="129" t="s">
        <v>403</v>
      </c>
      <c r="G135" s="129" t="s">
        <v>25</v>
      </c>
      <c r="H135" s="129" t="s">
        <v>166</v>
      </c>
      <c r="I135" s="129" t="s">
        <v>111</v>
      </c>
      <c r="J135" s="77" t="s">
        <v>27</v>
      </c>
      <c r="K135" s="77" t="s">
        <v>112</v>
      </c>
      <c r="L135" s="129">
        <v>2</v>
      </c>
      <c r="N135" s="129">
        <v>4</v>
      </c>
      <c r="O135" s="129">
        <v>0.8</v>
      </c>
      <c r="P135" s="129">
        <v>0.85</v>
      </c>
      <c r="Q135" s="159">
        <f t="shared" si="8"/>
        <v>0.82499999999999996</v>
      </c>
      <c r="R135" s="129">
        <v>17.8</v>
      </c>
      <c r="S135" s="129">
        <v>116</v>
      </c>
      <c r="T135" s="159">
        <f t="shared" si="6"/>
        <v>30</v>
      </c>
      <c r="U135" s="129">
        <v>498</v>
      </c>
      <c r="V135" s="159">
        <f t="shared" si="7"/>
        <v>3735</v>
      </c>
      <c r="W135" s="129">
        <v>12</v>
      </c>
      <c r="X135" s="129" t="s">
        <v>35</v>
      </c>
      <c r="Y135" s="129" t="s">
        <v>74</v>
      </c>
      <c r="Z135" s="129" t="s">
        <v>43</v>
      </c>
      <c r="AA135" s="129" t="s">
        <v>82</v>
      </c>
      <c r="AB135" s="129" t="s">
        <v>195</v>
      </c>
    </row>
    <row r="136" spans="1:28" x14ac:dyDescent="0.15">
      <c r="A136" s="129" t="s">
        <v>40</v>
      </c>
      <c r="B136" s="129" t="s">
        <v>191</v>
      </c>
      <c r="C136" s="129">
        <v>2020</v>
      </c>
      <c r="D136" s="130" t="s">
        <v>390</v>
      </c>
      <c r="E136" s="129" t="s">
        <v>402</v>
      </c>
      <c r="F136" s="129" t="s">
        <v>403</v>
      </c>
      <c r="G136" s="129" t="s">
        <v>25</v>
      </c>
      <c r="H136" s="129" t="s">
        <v>166</v>
      </c>
      <c r="I136" s="129" t="s">
        <v>111</v>
      </c>
      <c r="J136" s="77" t="s">
        <v>27</v>
      </c>
      <c r="K136" s="77" t="s">
        <v>112</v>
      </c>
      <c r="L136" s="129">
        <v>3</v>
      </c>
      <c r="N136" s="129">
        <v>4</v>
      </c>
      <c r="O136" s="129">
        <v>0.75</v>
      </c>
      <c r="P136" s="129">
        <v>0.8</v>
      </c>
      <c r="Q136" s="159">
        <f t="shared" si="8"/>
        <v>0.77500000000000002</v>
      </c>
      <c r="R136" s="129">
        <v>16.8</v>
      </c>
      <c r="S136" s="129">
        <v>114</v>
      </c>
      <c r="T136" s="159">
        <f t="shared" si="6"/>
        <v>30</v>
      </c>
      <c r="U136" s="129">
        <v>498</v>
      </c>
      <c r="V136" s="159">
        <f t="shared" si="7"/>
        <v>3735</v>
      </c>
      <c r="W136" s="129">
        <v>12</v>
      </c>
      <c r="X136" s="129" t="s">
        <v>35</v>
      </c>
      <c r="Y136" s="129" t="s">
        <v>74</v>
      </c>
      <c r="Z136" s="129" t="s">
        <v>43</v>
      </c>
      <c r="AA136" s="129" t="s">
        <v>82</v>
      </c>
      <c r="AB136" s="129" t="s">
        <v>195</v>
      </c>
    </row>
    <row r="137" spans="1:28" x14ac:dyDescent="0.15">
      <c r="A137" s="129" t="s">
        <v>40</v>
      </c>
      <c r="B137" s="129" t="s">
        <v>191</v>
      </c>
      <c r="C137" s="129">
        <v>2020</v>
      </c>
      <c r="D137" s="130" t="s">
        <v>390</v>
      </c>
      <c r="E137" s="129" t="s">
        <v>402</v>
      </c>
      <c r="F137" s="129" t="s">
        <v>403</v>
      </c>
      <c r="G137" s="129" t="s">
        <v>25</v>
      </c>
      <c r="H137" s="129" t="s">
        <v>166</v>
      </c>
      <c r="I137" s="129" t="s">
        <v>111</v>
      </c>
      <c r="J137" s="77" t="s">
        <v>27</v>
      </c>
      <c r="K137" s="77" t="s">
        <v>112</v>
      </c>
      <c r="L137" s="129">
        <v>1</v>
      </c>
      <c r="N137" s="129">
        <v>8</v>
      </c>
      <c r="O137" s="129">
        <v>0.8</v>
      </c>
      <c r="P137" s="129">
        <v>0.75</v>
      </c>
      <c r="Q137" s="159">
        <f t="shared" si="8"/>
        <v>0.77500000000000002</v>
      </c>
      <c r="R137" s="129">
        <v>16.399999999999999</v>
      </c>
      <c r="S137" s="129">
        <v>108</v>
      </c>
      <c r="T137" s="159">
        <f t="shared" si="6"/>
        <v>33</v>
      </c>
      <c r="U137" s="129">
        <v>698</v>
      </c>
      <c r="V137" s="159">
        <f t="shared" si="7"/>
        <v>2879.25</v>
      </c>
      <c r="W137" s="129">
        <v>12</v>
      </c>
      <c r="X137" s="129" t="s">
        <v>35</v>
      </c>
      <c r="Y137" s="129" t="s">
        <v>74</v>
      </c>
      <c r="Z137" s="129" t="s">
        <v>43</v>
      </c>
      <c r="AA137" s="129" t="s">
        <v>82</v>
      </c>
      <c r="AB137" s="129" t="s">
        <v>195</v>
      </c>
    </row>
    <row r="138" spans="1:28" x14ac:dyDescent="0.15">
      <c r="A138" s="129" t="s">
        <v>40</v>
      </c>
      <c r="B138" s="129" t="s">
        <v>191</v>
      </c>
      <c r="C138" s="129">
        <v>2020</v>
      </c>
      <c r="D138" s="130" t="s">
        <v>390</v>
      </c>
      <c r="E138" s="129" t="s">
        <v>402</v>
      </c>
      <c r="F138" s="129" t="s">
        <v>403</v>
      </c>
      <c r="G138" s="129" t="s">
        <v>25</v>
      </c>
      <c r="H138" s="129" t="s">
        <v>166</v>
      </c>
      <c r="I138" s="129" t="s">
        <v>111</v>
      </c>
      <c r="J138" s="77" t="s">
        <v>27</v>
      </c>
      <c r="K138" s="77" t="s">
        <v>112</v>
      </c>
      <c r="L138" s="129">
        <v>2</v>
      </c>
      <c r="N138" s="129">
        <v>8</v>
      </c>
      <c r="O138" s="129">
        <v>0.75</v>
      </c>
      <c r="P138" s="129">
        <v>0.7</v>
      </c>
      <c r="Q138" s="159">
        <f t="shared" si="8"/>
        <v>0.72499999999999998</v>
      </c>
      <c r="R138" s="129">
        <v>15.8</v>
      </c>
      <c r="S138" s="129">
        <v>112</v>
      </c>
      <c r="T138" s="159">
        <f t="shared" si="6"/>
        <v>33</v>
      </c>
      <c r="U138" s="129">
        <v>698</v>
      </c>
      <c r="V138" s="159">
        <f t="shared" si="7"/>
        <v>2879.25</v>
      </c>
      <c r="W138" s="129">
        <v>12</v>
      </c>
      <c r="X138" s="129" t="s">
        <v>35</v>
      </c>
      <c r="Y138" s="129" t="s">
        <v>74</v>
      </c>
      <c r="Z138" s="129" t="s">
        <v>43</v>
      </c>
      <c r="AA138" s="129" t="s">
        <v>82</v>
      </c>
      <c r="AB138" s="129" t="s">
        <v>195</v>
      </c>
    </row>
    <row r="139" spans="1:28" x14ac:dyDescent="0.15">
      <c r="A139" s="129" t="s">
        <v>40</v>
      </c>
      <c r="B139" s="129" t="s">
        <v>191</v>
      </c>
      <c r="C139" s="129">
        <v>2020</v>
      </c>
      <c r="D139" s="130" t="s">
        <v>390</v>
      </c>
      <c r="E139" s="129" t="s">
        <v>402</v>
      </c>
      <c r="F139" s="129" t="s">
        <v>403</v>
      </c>
      <c r="G139" s="129" t="s">
        <v>25</v>
      </c>
      <c r="H139" s="129" t="s">
        <v>166</v>
      </c>
      <c r="I139" s="129" t="s">
        <v>111</v>
      </c>
      <c r="J139" s="77" t="s">
        <v>27</v>
      </c>
      <c r="K139" s="77" t="s">
        <v>112</v>
      </c>
      <c r="L139" s="129">
        <v>3</v>
      </c>
      <c r="N139" s="129">
        <v>8</v>
      </c>
      <c r="O139" s="129">
        <v>0.9</v>
      </c>
      <c r="P139" s="129">
        <v>0.85</v>
      </c>
      <c r="Q139" s="159">
        <f t="shared" si="8"/>
        <v>0.875</v>
      </c>
      <c r="R139" s="129">
        <v>16.399999999999999</v>
      </c>
      <c r="S139" s="129">
        <v>106</v>
      </c>
      <c r="T139" s="159">
        <f t="shared" si="6"/>
        <v>33</v>
      </c>
      <c r="U139" s="129">
        <v>698</v>
      </c>
      <c r="V139" s="159">
        <f t="shared" si="7"/>
        <v>2879.25</v>
      </c>
      <c r="W139" s="129">
        <v>12</v>
      </c>
      <c r="X139" s="129" t="s">
        <v>35</v>
      </c>
      <c r="Y139" s="129" t="s">
        <v>74</v>
      </c>
      <c r="Z139" s="129" t="s">
        <v>43</v>
      </c>
      <c r="AA139" s="129" t="s">
        <v>82</v>
      </c>
      <c r="AB139" s="129" t="s">
        <v>195</v>
      </c>
    </row>
    <row r="140" spans="1:28" x14ac:dyDescent="0.15">
      <c r="A140" s="129" t="s">
        <v>40</v>
      </c>
      <c r="B140" s="129" t="s">
        <v>191</v>
      </c>
      <c r="C140" s="129">
        <v>2020</v>
      </c>
      <c r="D140" s="130" t="s">
        <v>390</v>
      </c>
      <c r="E140" s="129" t="s">
        <v>404</v>
      </c>
      <c r="F140" s="129" t="s">
        <v>392</v>
      </c>
      <c r="G140" s="129" t="s">
        <v>25</v>
      </c>
      <c r="H140" s="129" t="s">
        <v>113</v>
      </c>
      <c r="I140" s="129" t="s">
        <v>111</v>
      </c>
      <c r="J140" s="77" t="s">
        <v>27</v>
      </c>
      <c r="K140" s="77" t="s">
        <v>112</v>
      </c>
      <c r="L140" s="129">
        <v>1</v>
      </c>
      <c r="N140" s="129">
        <v>1</v>
      </c>
      <c r="O140" s="129">
        <v>1.5</v>
      </c>
      <c r="P140" s="129">
        <v>1.4</v>
      </c>
      <c r="Q140" s="159">
        <f t="shared" si="8"/>
        <v>1.45</v>
      </c>
      <c r="R140" s="129">
        <v>16.8</v>
      </c>
      <c r="S140" s="129">
        <v>112</v>
      </c>
      <c r="T140" s="159">
        <f t="shared" si="6"/>
        <v>33</v>
      </c>
      <c r="U140" s="129">
        <v>98</v>
      </c>
      <c r="V140" s="159">
        <f t="shared" si="7"/>
        <v>3234</v>
      </c>
      <c r="W140" s="129">
        <v>10</v>
      </c>
      <c r="X140" s="129" t="s">
        <v>35</v>
      </c>
      <c r="Y140" s="129" t="s">
        <v>74</v>
      </c>
      <c r="Z140" s="129" t="s">
        <v>55</v>
      </c>
      <c r="AA140" s="129" t="s">
        <v>43</v>
      </c>
      <c r="AB140" s="129" t="s">
        <v>195</v>
      </c>
    </row>
    <row r="141" spans="1:28" x14ac:dyDescent="0.15">
      <c r="A141" s="129" t="s">
        <v>40</v>
      </c>
      <c r="B141" s="129" t="s">
        <v>191</v>
      </c>
      <c r="C141" s="129">
        <v>2020</v>
      </c>
      <c r="D141" s="130" t="s">
        <v>390</v>
      </c>
      <c r="E141" s="129" t="s">
        <v>404</v>
      </c>
      <c r="F141" s="129" t="s">
        <v>392</v>
      </c>
      <c r="G141" s="129" t="s">
        <v>25</v>
      </c>
      <c r="H141" s="129" t="s">
        <v>113</v>
      </c>
      <c r="I141" s="129" t="s">
        <v>111</v>
      </c>
      <c r="J141" s="77" t="s">
        <v>27</v>
      </c>
      <c r="K141" s="77" t="s">
        <v>112</v>
      </c>
      <c r="L141" s="129">
        <v>2</v>
      </c>
      <c r="N141" s="129">
        <v>1</v>
      </c>
      <c r="O141" s="129">
        <v>1.6</v>
      </c>
      <c r="P141" s="129">
        <v>1.45</v>
      </c>
      <c r="Q141" s="159">
        <f t="shared" si="8"/>
        <v>1.5249999999999999</v>
      </c>
      <c r="R141" s="129">
        <v>16.600000000000001</v>
      </c>
      <c r="S141" s="129">
        <v>116</v>
      </c>
      <c r="T141" s="159">
        <f t="shared" si="6"/>
        <v>30</v>
      </c>
      <c r="U141" s="129">
        <v>98</v>
      </c>
      <c r="V141" s="159">
        <f t="shared" si="7"/>
        <v>2940</v>
      </c>
      <c r="W141" s="129">
        <v>10</v>
      </c>
      <c r="X141" s="129" t="s">
        <v>35</v>
      </c>
      <c r="Y141" s="129" t="s">
        <v>74</v>
      </c>
      <c r="Z141" s="129" t="s">
        <v>55</v>
      </c>
      <c r="AA141" s="129" t="s">
        <v>43</v>
      </c>
      <c r="AB141" s="129" t="s">
        <v>195</v>
      </c>
    </row>
    <row r="142" spans="1:28" x14ac:dyDescent="0.15">
      <c r="A142" s="129" t="s">
        <v>40</v>
      </c>
      <c r="B142" s="129" t="s">
        <v>191</v>
      </c>
      <c r="C142" s="129">
        <v>2020</v>
      </c>
      <c r="D142" s="130" t="s">
        <v>390</v>
      </c>
      <c r="E142" s="129" t="s">
        <v>404</v>
      </c>
      <c r="F142" s="129" t="s">
        <v>392</v>
      </c>
      <c r="G142" s="129" t="s">
        <v>25</v>
      </c>
      <c r="H142" s="129" t="s">
        <v>113</v>
      </c>
      <c r="I142" s="129" t="s">
        <v>111</v>
      </c>
      <c r="J142" s="77" t="s">
        <v>27</v>
      </c>
      <c r="K142" s="77" t="s">
        <v>112</v>
      </c>
      <c r="L142" s="129">
        <v>3</v>
      </c>
      <c r="N142" s="129">
        <v>1</v>
      </c>
      <c r="O142" s="129">
        <v>1.55</v>
      </c>
      <c r="P142" s="129">
        <v>1.6</v>
      </c>
      <c r="Q142" s="159">
        <f t="shared" si="8"/>
        <v>1.5750000000000002</v>
      </c>
      <c r="R142" s="129">
        <v>15.2</v>
      </c>
      <c r="S142" s="129">
        <v>110</v>
      </c>
      <c r="T142" s="159">
        <f t="shared" si="6"/>
        <v>33</v>
      </c>
      <c r="U142" s="129">
        <v>98</v>
      </c>
      <c r="V142" s="159">
        <f t="shared" si="7"/>
        <v>3234</v>
      </c>
      <c r="W142" s="129">
        <v>10</v>
      </c>
      <c r="X142" s="129" t="s">
        <v>35</v>
      </c>
      <c r="Y142" s="129" t="s">
        <v>74</v>
      </c>
      <c r="Z142" s="129" t="s">
        <v>55</v>
      </c>
      <c r="AA142" s="129" t="s">
        <v>43</v>
      </c>
      <c r="AB142" s="129" t="s">
        <v>195</v>
      </c>
    </row>
    <row r="143" spans="1:28" x14ac:dyDescent="0.15">
      <c r="A143" s="129" t="s">
        <v>40</v>
      </c>
      <c r="B143" s="129" t="s">
        <v>191</v>
      </c>
      <c r="C143" s="129">
        <v>2020</v>
      </c>
      <c r="D143" s="130" t="s">
        <v>390</v>
      </c>
      <c r="E143" s="129" t="s">
        <v>404</v>
      </c>
      <c r="F143" s="129" t="s">
        <v>392</v>
      </c>
      <c r="G143" s="129" t="s">
        <v>25</v>
      </c>
      <c r="H143" s="129" t="s">
        <v>113</v>
      </c>
      <c r="I143" s="129" t="s">
        <v>111</v>
      </c>
      <c r="J143" s="77" t="s">
        <v>27</v>
      </c>
      <c r="K143" s="77" t="s">
        <v>112</v>
      </c>
      <c r="L143" s="129">
        <v>1</v>
      </c>
      <c r="N143" s="129">
        <v>8</v>
      </c>
      <c r="O143" s="129">
        <v>1</v>
      </c>
      <c r="P143" s="129">
        <v>1.1000000000000001</v>
      </c>
      <c r="Q143" s="159">
        <f t="shared" si="8"/>
        <v>1.05</v>
      </c>
      <c r="R143" s="129">
        <v>14.6</v>
      </c>
      <c r="S143" s="129">
        <v>90</v>
      </c>
      <c r="T143" s="159">
        <f t="shared" si="6"/>
        <v>36</v>
      </c>
      <c r="U143" s="129">
        <v>598</v>
      </c>
      <c r="V143" s="159">
        <f t="shared" si="7"/>
        <v>2691</v>
      </c>
      <c r="W143" s="129">
        <v>10</v>
      </c>
      <c r="X143" s="129" t="s">
        <v>35</v>
      </c>
      <c r="Y143" s="129" t="s">
        <v>74</v>
      </c>
      <c r="Z143" s="129" t="s">
        <v>55</v>
      </c>
      <c r="AA143" s="129" t="s">
        <v>43</v>
      </c>
      <c r="AB143" s="129" t="s">
        <v>195</v>
      </c>
    </row>
    <row r="144" spans="1:28" x14ac:dyDescent="0.15">
      <c r="A144" s="129" t="s">
        <v>40</v>
      </c>
      <c r="B144" s="129" t="s">
        <v>191</v>
      </c>
      <c r="C144" s="129">
        <v>2020</v>
      </c>
      <c r="D144" s="130" t="s">
        <v>390</v>
      </c>
      <c r="E144" s="129" t="s">
        <v>404</v>
      </c>
      <c r="F144" s="129" t="s">
        <v>392</v>
      </c>
      <c r="G144" s="129" t="s">
        <v>25</v>
      </c>
      <c r="H144" s="129" t="s">
        <v>113</v>
      </c>
      <c r="I144" s="129" t="s">
        <v>111</v>
      </c>
      <c r="J144" s="77" t="s">
        <v>27</v>
      </c>
      <c r="K144" s="77" t="s">
        <v>112</v>
      </c>
      <c r="L144" s="129">
        <v>2</v>
      </c>
      <c r="N144" s="129">
        <v>8</v>
      </c>
      <c r="O144" s="129">
        <v>1.1000000000000001</v>
      </c>
      <c r="P144" s="129">
        <v>1.1499999999999999</v>
      </c>
      <c r="Q144" s="159">
        <f t="shared" si="8"/>
        <v>1.125</v>
      </c>
      <c r="R144" s="129">
        <v>14.5</v>
      </c>
      <c r="S144" s="129">
        <v>86</v>
      </c>
      <c r="T144" s="159">
        <f t="shared" si="6"/>
        <v>36</v>
      </c>
      <c r="U144" s="129">
        <v>598</v>
      </c>
      <c r="V144" s="159">
        <f t="shared" si="7"/>
        <v>2691</v>
      </c>
      <c r="W144" s="129">
        <v>10</v>
      </c>
      <c r="X144" s="129" t="s">
        <v>35</v>
      </c>
      <c r="Y144" s="129" t="s">
        <v>74</v>
      </c>
      <c r="Z144" s="129" t="s">
        <v>55</v>
      </c>
      <c r="AA144" s="129" t="s">
        <v>43</v>
      </c>
      <c r="AB144" s="129" t="s">
        <v>195</v>
      </c>
    </row>
    <row r="145" spans="1:28" x14ac:dyDescent="0.15">
      <c r="A145" s="129" t="s">
        <v>40</v>
      </c>
      <c r="B145" s="129" t="s">
        <v>191</v>
      </c>
      <c r="C145" s="129">
        <v>2020</v>
      </c>
      <c r="D145" s="130" t="s">
        <v>390</v>
      </c>
      <c r="E145" s="129" t="s">
        <v>404</v>
      </c>
      <c r="F145" s="129" t="s">
        <v>392</v>
      </c>
      <c r="G145" s="129" t="s">
        <v>25</v>
      </c>
      <c r="H145" s="129" t="s">
        <v>113</v>
      </c>
      <c r="I145" s="129" t="s">
        <v>111</v>
      </c>
      <c r="J145" s="77" t="s">
        <v>27</v>
      </c>
      <c r="K145" s="77" t="s">
        <v>112</v>
      </c>
      <c r="L145" s="129">
        <v>3</v>
      </c>
      <c r="N145" s="129">
        <v>8</v>
      </c>
      <c r="O145" s="129">
        <v>1</v>
      </c>
      <c r="P145" s="129">
        <v>1.25</v>
      </c>
      <c r="Q145" s="159">
        <f t="shared" si="8"/>
        <v>1.125</v>
      </c>
      <c r="R145" s="129">
        <v>14.2</v>
      </c>
      <c r="S145" s="129">
        <v>90</v>
      </c>
      <c r="T145" s="159">
        <f t="shared" si="6"/>
        <v>36</v>
      </c>
      <c r="U145" s="129">
        <v>598</v>
      </c>
      <c r="V145" s="159">
        <f t="shared" si="7"/>
        <v>2691</v>
      </c>
      <c r="W145" s="129">
        <v>10</v>
      </c>
      <c r="X145" s="129" t="s">
        <v>35</v>
      </c>
      <c r="Y145" s="129" t="s">
        <v>74</v>
      </c>
      <c r="Z145" s="129" t="s">
        <v>55</v>
      </c>
      <c r="AA145" s="129" t="s">
        <v>43</v>
      </c>
      <c r="AB145" s="129" t="s">
        <v>195</v>
      </c>
    </row>
    <row r="146" spans="1:28" x14ac:dyDescent="0.15">
      <c r="A146" s="129" t="s">
        <v>40</v>
      </c>
      <c r="B146" s="129" t="s">
        <v>191</v>
      </c>
      <c r="C146" s="129">
        <v>2020</v>
      </c>
      <c r="D146" s="130" t="s">
        <v>390</v>
      </c>
      <c r="E146" s="129" t="s">
        <v>404</v>
      </c>
      <c r="F146" s="129" t="s">
        <v>392</v>
      </c>
      <c r="G146" s="129" t="s">
        <v>25</v>
      </c>
      <c r="H146" s="129" t="s">
        <v>166</v>
      </c>
      <c r="I146" s="129" t="s">
        <v>111</v>
      </c>
      <c r="J146" s="77" t="s">
        <v>27</v>
      </c>
      <c r="K146" s="77" t="s">
        <v>112</v>
      </c>
      <c r="L146" s="129">
        <v>1</v>
      </c>
      <c r="N146" s="129">
        <v>1</v>
      </c>
      <c r="O146" s="129">
        <v>0.75</v>
      </c>
      <c r="P146" s="129">
        <v>0.75</v>
      </c>
      <c r="Q146" s="159">
        <f t="shared" si="8"/>
        <v>0.75</v>
      </c>
      <c r="R146" s="129">
        <v>15.3</v>
      </c>
      <c r="S146" s="129">
        <v>124</v>
      </c>
      <c r="T146" s="159">
        <f t="shared" si="6"/>
        <v>27</v>
      </c>
      <c r="U146" s="129">
        <v>128</v>
      </c>
      <c r="V146" s="159">
        <f t="shared" si="7"/>
        <v>3456</v>
      </c>
      <c r="W146" s="129">
        <v>10</v>
      </c>
      <c r="X146" s="129" t="s">
        <v>35</v>
      </c>
      <c r="Y146" s="129" t="s">
        <v>74</v>
      </c>
      <c r="Z146" s="129" t="s">
        <v>55</v>
      </c>
      <c r="AA146" s="129" t="s">
        <v>43</v>
      </c>
      <c r="AB146" s="129" t="s">
        <v>195</v>
      </c>
    </row>
    <row r="147" spans="1:28" x14ac:dyDescent="0.15">
      <c r="A147" s="129" t="s">
        <v>40</v>
      </c>
      <c r="B147" s="129" t="s">
        <v>191</v>
      </c>
      <c r="C147" s="129">
        <v>2020</v>
      </c>
      <c r="D147" s="130" t="s">
        <v>390</v>
      </c>
      <c r="E147" s="129" t="s">
        <v>404</v>
      </c>
      <c r="F147" s="129" t="s">
        <v>392</v>
      </c>
      <c r="G147" s="129" t="s">
        <v>25</v>
      </c>
      <c r="H147" s="129" t="s">
        <v>166</v>
      </c>
      <c r="I147" s="129" t="s">
        <v>111</v>
      </c>
      <c r="J147" s="77" t="s">
        <v>27</v>
      </c>
      <c r="K147" s="77" t="s">
        <v>112</v>
      </c>
      <c r="L147" s="129">
        <v>2</v>
      </c>
      <c r="N147" s="129">
        <v>1</v>
      </c>
      <c r="O147" s="129">
        <v>0.8</v>
      </c>
      <c r="P147" s="129">
        <v>0.7</v>
      </c>
      <c r="Q147" s="159">
        <f t="shared" si="8"/>
        <v>0.75</v>
      </c>
      <c r="R147" s="129">
        <v>15.7</v>
      </c>
      <c r="S147" s="129">
        <v>118</v>
      </c>
      <c r="T147" s="159">
        <f t="shared" si="6"/>
        <v>30</v>
      </c>
      <c r="U147" s="129">
        <v>128</v>
      </c>
      <c r="V147" s="159">
        <f t="shared" si="7"/>
        <v>3840</v>
      </c>
      <c r="W147" s="129">
        <v>10</v>
      </c>
      <c r="X147" s="129" t="s">
        <v>35</v>
      </c>
      <c r="Y147" s="129" t="s">
        <v>74</v>
      </c>
      <c r="Z147" s="129" t="s">
        <v>55</v>
      </c>
      <c r="AA147" s="129" t="s">
        <v>43</v>
      </c>
      <c r="AB147" s="129" t="s">
        <v>195</v>
      </c>
    </row>
    <row r="148" spans="1:28" x14ac:dyDescent="0.15">
      <c r="A148" s="129" t="s">
        <v>40</v>
      </c>
      <c r="B148" s="129" t="s">
        <v>191</v>
      </c>
      <c r="C148" s="129">
        <v>2020</v>
      </c>
      <c r="D148" s="130" t="s">
        <v>390</v>
      </c>
      <c r="E148" s="129" t="s">
        <v>404</v>
      </c>
      <c r="F148" s="129" t="s">
        <v>392</v>
      </c>
      <c r="G148" s="129" t="s">
        <v>25</v>
      </c>
      <c r="H148" s="129" t="s">
        <v>166</v>
      </c>
      <c r="I148" s="129" t="s">
        <v>111</v>
      </c>
      <c r="J148" s="77" t="s">
        <v>27</v>
      </c>
      <c r="K148" s="77" t="s">
        <v>112</v>
      </c>
      <c r="L148" s="129">
        <v>3</v>
      </c>
      <c r="N148" s="129">
        <v>1</v>
      </c>
      <c r="O148" s="129">
        <v>0.75</v>
      </c>
      <c r="P148" s="129">
        <v>0.75</v>
      </c>
      <c r="Q148" s="159">
        <f t="shared" si="8"/>
        <v>0.75</v>
      </c>
      <c r="R148" s="129">
        <v>15.6</v>
      </c>
      <c r="S148" s="129">
        <v>122</v>
      </c>
      <c r="T148" s="159">
        <f t="shared" si="6"/>
        <v>27</v>
      </c>
      <c r="U148" s="129">
        <v>128</v>
      </c>
      <c r="V148" s="159">
        <f t="shared" si="7"/>
        <v>3456</v>
      </c>
      <c r="W148" s="129">
        <v>10</v>
      </c>
      <c r="X148" s="129" t="s">
        <v>35</v>
      </c>
      <c r="Y148" s="129" t="s">
        <v>74</v>
      </c>
      <c r="Z148" s="129" t="s">
        <v>55</v>
      </c>
      <c r="AA148" s="129" t="s">
        <v>43</v>
      </c>
      <c r="AB148" s="129" t="s">
        <v>195</v>
      </c>
    </row>
    <row r="149" spans="1:28" x14ac:dyDescent="0.15">
      <c r="A149" s="129" t="s">
        <v>40</v>
      </c>
      <c r="B149" s="129" t="s">
        <v>191</v>
      </c>
      <c r="C149" s="129">
        <v>2020</v>
      </c>
      <c r="D149" s="130" t="s">
        <v>390</v>
      </c>
      <c r="E149" s="129" t="s">
        <v>404</v>
      </c>
      <c r="F149" s="129" t="s">
        <v>392</v>
      </c>
      <c r="G149" s="129" t="s">
        <v>25</v>
      </c>
      <c r="H149" s="129" t="s">
        <v>166</v>
      </c>
      <c r="I149" s="129" t="s">
        <v>111</v>
      </c>
      <c r="J149" s="77" t="s">
        <v>27</v>
      </c>
      <c r="K149" s="77" t="s">
        <v>112</v>
      </c>
      <c r="L149" s="129">
        <v>1</v>
      </c>
      <c r="N149" s="129">
        <v>8</v>
      </c>
      <c r="O149" s="129">
        <v>0.75</v>
      </c>
      <c r="P149" s="129">
        <v>0.75</v>
      </c>
      <c r="Q149" s="159">
        <f t="shared" si="8"/>
        <v>0.75</v>
      </c>
      <c r="R149" s="129">
        <v>16.100000000000001</v>
      </c>
      <c r="S149" s="129">
        <v>95</v>
      </c>
      <c r="T149" s="159">
        <f t="shared" si="6"/>
        <v>36</v>
      </c>
      <c r="U149" s="129">
        <v>698</v>
      </c>
      <c r="V149" s="159">
        <f t="shared" si="7"/>
        <v>3141</v>
      </c>
      <c r="W149" s="129">
        <v>10</v>
      </c>
      <c r="X149" s="129" t="s">
        <v>35</v>
      </c>
      <c r="Y149" s="129" t="s">
        <v>74</v>
      </c>
      <c r="Z149" s="129" t="s">
        <v>55</v>
      </c>
      <c r="AA149" s="129" t="s">
        <v>43</v>
      </c>
      <c r="AB149" s="129" t="s">
        <v>195</v>
      </c>
    </row>
    <row r="150" spans="1:28" x14ac:dyDescent="0.15">
      <c r="A150" s="129" t="s">
        <v>40</v>
      </c>
      <c r="B150" s="129" t="s">
        <v>191</v>
      </c>
      <c r="C150" s="129">
        <v>2020</v>
      </c>
      <c r="D150" s="130" t="s">
        <v>390</v>
      </c>
      <c r="E150" s="129" t="s">
        <v>404</v>
      </c>
      <c r="F150" s="129" t="s">
        <v>392</v>
      </c>
      <c r="G150" s="129" t="s">
        <v>25</v>
      </c>
      <c r="H150" s="129" t="s">
        <v>166</v>
      </c>
      <c r="I150" s="129" t="s">
        <v>111</v>
      </c>
      <c r="J150" s="77" t="s">
        <v>27</v>
      </c>
      <c r="K150" s="77" t="s">
        <v>112</v>
      </c>
      <c r="L150" s="129">
        <v>2</v>
      </c>
      <c r="N150" s="129">
        <v>8</v>
      </c>
      <c r="O150" s="129">
        <v>0.6</v>
      </c>
      <c r="P150" s="129">
        <v>0.65</v>
      </c>
      <c r="Q150" s="159">
        <f t="shared" si="8"/>
        <v>0.625</v>
      </c>
      <c r="R150" s="129">
        <v>15.4</v>
      </c>
      <c r="S150" s="129">
        <v>92</v>
      </c>
      <c r="T150" s="159">
        <f t="shared" si="6"/>
        <v>36</v>
      </c>
      <c r="U150" s="129">
        <v>698</v>
      </c>
      <c r="V150" s="159">
        <f t="shared" si="7"/>
        <v>3141</v>
      </c>
      <c r="W150" s="129">
        <v>10</v>
      </c>
      <c r="X150" s="129" t="s">
        <v>35</v>
      </c>
      <c r="Y150" s="129" t="s">
        <v>74</v>
      </c>
      <c r="Z150" s="129" t="s">
        <v>55</v>
      </c>
      <c r="AA150" s="129" t="s">
        <v>43</v>
      </c>
      <c r="AB150" s="129" t="s">
        <v>195</v>
      </c>
    </row>
    <row r="151" spans="1:28" x14ac:dyDescent="0.15">
      <c r="A151" s="129" t="s">
        <v>40</v>
      </c>
      <c r="B151" s="129" t="s">
        <v>191</v>
      </c>
      <c r="C151" s="129">
        <v>2020</v>
      </c>
      <c r="D151" s="130" t="s">
        <v>390</v>
      </c>
      <c r="E151" s="129" t="s">
        <v>404</v>
      </c>
      <c r="F151" s="129" t="s">
        <v>392</v>
      </c>
      <c r="G151" s="129" t="s">
        <v>25</v>
      </c>
      <c r="H151" s="129" t="s">
        <v>166</v>
      </c>
      <c r="I151" s="129" t="s">
        <v>111</v>
      </c>
      <c r="J151" s="77" t="s">
        <v>27</v>
      </c>
      <c r="K151" s="77" t="s">
        <v>112</v>
      </c>
      <c r="L151" s="129">
        <v>3</v>
      </c>
      <c r="N151" s="129">
        <v>8</v>
      </c>
      <c r="O151" s="129">
        <v>0.75</v>
      </c>
      <c r="P151" s="129">
        <v>0.6</v>
      </c>
      <c r="Q151" s="159">
        <f t="shared" si="8"/>
        <v>0.67500000000000004</v>
      </c>
      <c r="R151" s="129">
        <v>16.5</v>
      </c>
      <c r="S151" s="129">
        <v>96</v>
      </c>
      <c r="T151" s="159">
        <f t="shared" si="6"/>
        <v>36</v>
      </c>
      <c r="U151" s="129">
        <v>698</v>
      </c>
      <c r="V151" s="159">
        <f t="shared" si="7"/>
        <v>3141</v>
      </c>
      <c r="W151" s="129">
        <v>10</v>
      </c>
      <c r="X151" s="129" t="s">
        <v>35</v>
      </c>
      <c r="Y151" s="129" t="s">
        <v>74</v>
      </c>
      <c r="Z151" s="129" t="s">
        <v>55</v>
      </c>
      <c r="AA151" s="129" t="s">
        <v>43</v>
      </c>
      <c r="AB151" s="129" t="s">
        <v>195</v>
      </c>
    </row>
    <row r="152" spans="1:28" x14ac:dyDescent="0.15">
      <c r="D152" s="130"/>
    </row>
    <row r="153" spans="1:28" x14ac:dyDescent="0.15">
      <c r="D153" s="130"/>
    </row>
    <row r="154" spans="1:28" x14ac:dyDescent="0.15">
      <c r="D154" s="130"/>
    </row>
    <row r="155" spans="1:28" x14ac:dyDescent="0.15">
      <c r="D155" s="130"/>
    </row>
    <row r="156" spans="1:28" x14ac:dyDescent="0.15">
      <c r="D156" s="130"/>
    </row>
    <row r="157" spans="1:28" x14ac:dyDescent="0.15">
      <c r="D157" s="130"/>
    </row>
    <row r="158" spans="1:28" x14ac:dyDescent="0.15">
      <c r="D158" s="130"/>
    </row>
    <row r="159" spans="1:28" x14ac:dyDescent="0.15">
      <c r="D159" s="130"/>
    </row>
    <row r="160" spans="1:28" x14ac:dyDescent="0.15">
      <c r="D160" s="130"/>
    </row>
    <row r="161" spans="4:4" x14ac:dyDescent="0.15">
      <c r="D161" s="130"/>
    </row>
    <row r="162" spans="4:4" x14ac:dyDescent="0.15">
      <c r="D162" s="130"/>
    </row>
  </sheetData>
  <autoFilter ref="A1:BA162" xr:uid="{00000000-0009-0000-0000-000000000000}"/>
  <phoneticPr fontId="3"/>
  <dataValidations count="18">
    <dataValidation type="decimal" allowBlank="1" showInputMessage="1" showErrorMessage="1" error="硬度を正しく入力して下さい。" sqref="O2:P500" xr:uid="{35D7A12C-C1ED-40CA-94F7-2ECB6CB0F9B2}">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214E89F0-6E29-479C-8417-5AC9577904C2}">
      <formula1>$AV$2:$AV$20</formula1>
    </dataValidation>
    <dataValidation type="list" allowBlank="1" showInputMessage="1" showErrorMessage="1" sqref="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CD2333E0-C769-4383-9B90-5D314044955B}">
      <formula1>$AR$2:$AR$25</formula1>
    </dataValidation>
    <dataValidation type="list" allowBlank="1" showInputMessage="1" showErrorMessage="1" sqref="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86902A92-A4A8-4E8B-89F7-FC6537C8B51D}">
      <formula1>$AP$2:$AP$27</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5EFFF638-1F42-4878-BE1D-28E72C8E457E}">
      <formula1>$AR$2:$AR$30</formula1>
    </dataValidation>
    <dataValidation type="list" allowBlank="1" showInputMessage="1" showErrorMessage="1" sqref="J65535:J65613 J131071:J131149 J196607:J196685 J262143:J262221 J327679:J327757 J393215:J393293 J458751:J458829 J524287:J524365 J589823:J589901 J655359:J655437 J720895:J720973 J786431:J786509 J851967:J852045 J917503:J917581 J983039:J983117" xr:uid="{3ABCF840-C599-42AE-8198-9A025F5618AE}">
      <formula1>$AP$2:$AP$15</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C182DB2C-F8C3-45B9-A2CA-DBE9AA8F7B7B}">
      <formula1>$AL$4:$AL$12</formula1>
    </dataValidation>
    <dataValidation type="list" allowBlank="1" showInputMessage="1" showErrorMessage="1" sqref="Y2:AA500" xr:uid="{B45705CC-76BD-4817-A22C-21789B084C44}">
      <formula1>$AV$2:$AV$21</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F5EF60FF-D2CA-4D66-A533-B8E4B79A00FF}">
      <formula1>$AT$2:$AT$3</formula1>
    </dataValidation>
    <dataValidation type="list" allowBlank="1" showInputMessage="1" showErrorMessage="1" sqref="K2:K1000" xr:uid="{ECDD1A9C-4660-47E4-A17F-5267C3AB4C39}">
      <formula1>$AR$2:$AR$28</formula1>
    </dataValidation>
    <dataValidation type="list" allowBlank="1" showInputMessage="1" showErrorMessage="1" sqref="J2:J1000" xr:uid="{A03D0290-ECAD-4D74-9EB3-4B4EBA3E942C}">
      <formula1>$AP$2:$AP$29</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A697A62C-FDEE-40EA-BFAA-027B0CBA2BD9}">
      <formula1>$AH$2:$AH$11</formula1>
    </dataValidation>
    <dataValidation allowBlank="1" showInputMessage="1" showErrorMessage="1" sqref="B2:B16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E6A0C600-491F-4FF0-8296-AE55753DCD93}"/>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58AA9DB4-F302-4E2A-AF77-45858A29B1EA}">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137D0D79-C9D1-404D-A04B-585341C8E195}">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D80BB14B-583F-4FC5-984E-4E6978E854BC}">
      <formula1>$AJ$2:$AJ$4</formula1>
    </dataValidation>
    <dataValidation type="list" allowBlank="1" showInputMessage="1" showErrorMessage="1" sqref="H2:H1153" xr:uid="{BC9D560A-870D-4031-A713-386D659B6287}">
      <formula1>$AL$2:$AL$9</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9F2F3168-EAD2-4D28-AB22-143D4A204C2B}">
      <formula1>$AN$5:$AN$6</formula1>
    </dataValidation>
  </dataValidations>
  <pageMargins left="0.69930555555555596" right="0.69930555555555596" top="0.75" bottom="0.75" header="0.3" footer="0.3"/>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64682-9EF9-43EF-9533-82D478E2A404}">
  <sheetPr>
    <pageSetUpPr fitToPage="1"/>
  </sheetPr>
  <dimension ref="A1:BA683"/>
  <sheetViews>
    <sheetView zoomScale="85" zoomScaleNormal="85" workbookViewId="0">
      <pane ySplit="1" topLeftCell="A2" activePane="bottomLeft" state="frozen"/>
      <selection pane="bottomLeft" activeCell="A2" sqref="A2"/>
    </sheetView>
  </sheetViews>
  <sheetFormatPr defaultRowHeight="13.5" x14ac:dyDescent="0.15"/>
  <cols>
    <col min="1" max="3" width="9" style="77" customWidth="1"/>
    <col min="4" max="4" width="10.5" style="77" customWidth="1"/>
    <col min="5" max="5" width="11.25" style="77" bestFit="1" customWidth="1"/>
    <col min="6" max="7" width="9" style="77"/>
    <col min="8" max="9" width="9" style="77" customWidth="1"/>
    <col min="10" max="11" width="9" style="77"/>
    <col min="12" max="16" width="9" style="77" customWidth="1"/>
    <col min="17" max="17" width="9" style="16" customWidth="1"/>
    <col min="18" max="18" width="9" style="77"/>
    <col min="19" max="19" width="9.5" style="77" bestFit="1" customWidth="1"/>
    <col min="20" max="20" width="9" style="16" customWidth="1"/>
    <col min="21" max="21" width="9" style="77"/>
    <col min="22" max="22" width="9" style="16" customWidth="1"/>
    <col min="23" max="28" width="9" style="77"/>
    <col min="29" max="29" width="26.5" style="77" customWidth="1"/>
    <col min="30" max="32" width="9" style="77"/>
    <col min="33" max="33" width="15.75" style="77" bestFit="1" customWidth="1"/>
    <col min="34" max="34" width="15" style="77" bestFit="1" customWidth="1"/>
    <col min="35" max="256" width="9" style="77"/>
    <col min="257" max="259" width="9" style="77" customWidth="1"/>
    <col min="260" max="260" width="10.5" style="77" customWidth="1"/>
    <col min="261" max="261" width="11.25" style="77" bestFit="1" customWidth="1"/>
    <col min="262" max="263" width="9" style="77"/>
    <col min="264" max="273" width="9" style="77" customWidth="1"/>
    <col min="274" max="274" width="9" style="77"/>
    <col min="275" max="275" width="9.5" style="77" bestFit="1" customWidth="1"/>
    <col min="276" max="276" width="9" style="77" customWidth="1"/>
    <col min="277" max="277" width="9" style="77"/>
    <col min="278" max="278" width="9" style="77" customWidth="1"/>
    <col min="279" max="284" width="9" style="77"/>
    <col min="285" max="285" width="26.5" style="77" customWidth="1"/>
    <col min="286" max="288" width="9" style="77"/>
    <col min="289" max="289" width="14.75" style="77" bestFit="1" customWidth="1"/>
    <col min="290" max="512" width="9" style="77"/>
    <col min="513" max="515" width="9" style="77" customWidth="1"/>
    <col min="516" max="516" width="10.5" style="77" customWidth="1"/>
    <col min="517" max="517" width="11.25" style="77" bestFit="1" customWidth="1"/>
    <col min="518" max="519" width="9" style="77"/>
    <col min="520" max="529" width="9" style="77" customWidth="1"/>
    <col min="530" max="530" width="9" style="77"/>
    <col min="531" max="531" width="9.5" style="77" bestFit="1" customWidth="1"/>
    <col min="532" max="532" width="9" style="77" customWidth="1"/>
    <col min="533" max="533" width="9" style="77"/>
    <col min="534" max="534" width="9" style="77" customWidth="1"/>
    <col min="535" max="540" width="9" style="77"/>
    <col min="541" max="541" width="26.5" style="77" customWidth="1"/>
    <col min="542" max="544" width="9" style="77"/>
    <col min="545" max="545" width="14.75" style="77" bestFit="1" customWidth="1"/>
    <col min="546" max="768" width="9" style="77"/>
    <col min="769" max="771" width="9" style="77" customWidth="1"/>
    <col min="772" max="772" width="10.5" style="77" customWidth="1"/>
    <col min="773" max="773" width="11.25" style="77" bestFit="1" customWidth="1"/>
    <col min="774" max="775" width="9" style="77"/>
    <col min="776" max="785" width="9" style="77" customWidth="1"/>
    <col min="786" max="786" width="9" style="77"/>
    <col min="787" max="787" width="9.5" style="77" bestFit="1" customWidth="1"/>
    <col min="788" max="788" width="9" style="77" customWidth="1"/>
    <col min="789" max="789" width="9" style="77"/>
    <col min="790" max="790" width="9" style="77" customWidth="1"/>
    <col min="791" max="796" width="9" style="77"/>
    <col min="797" max="797" width="26.5" style="77" customWidth="1"/>
    <col min="798" max="800" width="9" style="77"/>
    <col min="801" max="801" width="14.75" style="77" bestFit="1" customWidth="1"/>
    <col min="802" max="1024" width="9" style="77"/>
    <col min="1025" max="1027" width="9" style="77" customWidth="1"/>
    <col min="1028" max="1028" width="10.5" style="77" customWidth="1"/>
    <col min="1029" max="1029" width="11.25" style="77" bestFit="1" customWidth="1"/>
    <col min="1030" max="1031" width="9" style="77"/>
    <col min="1032" max="1041" width="9" style="77" customWidth="1"/>
    <col min="1042" max="1042" width="9" style="77"/>
    <col min="1043" max="1043" width="9.5" style="77" bestFit="1" customWidth="1"/>
    <col min="1044" max="1044" width="9" style="77" customWidth="1"/>
    <col min="1045" max="1045" width="9" style="77"/>
    <col min="1046" max="1046" width="9" style="77" customWidth="1"/>
    <col min="1047" max="1052" width="9" style="77"/>
    <col min="1053" max="1053" width="26.5" style="77" customWidth="1"/>
    <col min="1054" max="1056" width="9" style="77"/>
    <col min="1057" max="1057" width="14.75" style="77" bestFit="1" customWidth="1"/>
    <col min="1058" max="1280" width="9" style="77"/>
    <col min="1281" max="1283" width="9" style="77" customWidth="1"/>
    <col min="1284" max="1284" width="10.5" style="77" customWidth="1"/>
    <col min="1285" max="1285" width="11.25" style="77" bestFit="1" customWidth="1"/>
    <col min="1286" max="1287" width="9" style="77"/>
    <col min="1288" max="1297" width="9" style="77" customWidth="1"/>
    <col min="1298" max="1298" width="9" style="77"/>
    <col min="1299" max="1299" width="9.5" style="77" bestFit="1" customWidth="1"/>
    <col min="1300" max="1300" width="9" style="77" customWidth="1"/>
    <col min="1301" max="1301" width="9" style="77"/>
    <col min="1302" max="1302" width="9" style="77" customWidth="1"/>
    <col min="1303" max="1308" width="9" style="77"/>
    <col min="1309" max="1309" width="26.5" style="77" customWidth="1"/>
    <col min="1310" max="1312" width="9" style="77"/>
    <col min="1313" max="1313" width="14.75" style="77" bestFit="1" customWidth="1"/>
    <col min="1314" max="1536" width="9" style="77"/>
    <col min="1537" max="1539" width="9" style="77" customWidth="1"/>
    <col min="1540" max="1540" width="10.5" style="77" customWidth="1"/>
    <col min="1541" max="1541" width="11.25" style="77" bestFit="1" customWidth="1"/>
    <col min="1542" max="1543" width="9" style="77"/>
    <col min="1544" max="1553" width="9" style="77" customWidth="1"/>
    <col min="1554" max="1554" width="9" style="77"/>
    <col min="1555" max="1555" width="9.5" style="77" bestFit="1" customWidth="1"/>
    <col min="1556" max="1556" width="9" style="77" customWidth="1"/>
    <col min="1557" max="1557" width="9" style="77"/>
    <col min="1558" max="1558" width="9" style="77" customWidth="1"/>
    <col min="1559" max="1564" width="9" style="77"/>
    <col min="1565" max="1565" width="26.5" style="77" customWidth="1"/>
    <col min="1566" max="1568" width="9" style="77"/>
    <col min="1569" max="1569" width="14.75" style="77" bestFit="1" customWidth="1"/>
    <col min="1570" max="1792" width="9" style="77"/>
    <col min="1793" max="1795" width="9" style="77" customWidth="1"/>
    <col min="1796" max="1796" width="10.5" style="77" customWidth="1"/>
    <col min="1797" max="1797" width="11.25" style="77" bestFit="1" customWidth="1"/>
    <col min="1798" max="1799" width="9" style="77"/>
    <col min="1800" max="1809" width="9" style="77" customWidth="1"/>
    <col min="1810" max="1810" width="9" style="77"/>
    <col min="1811" max="1811" width="9.5" style="77" bestFit="1" customWidth="1"/>
    <col min="1812" max="1812" width="9" style="77" customWidth="1"/>
    <col min="1813" max="1813" width="9" style="77"/>
    <col min="1814" max="1814" width="9" style="77" customWidth="1"/>
    <col min="1815" max="1820" width="9" style="77"/>
    <col min="1821" max="1821" width="26.5" style="77" customWidth="1"/>
    <col min="1822" max="1824" width="9" style="77"/>
    <col min="1825" max="1825" width="14.75" style="77" bestFit="1" customWidth="1"/>
    <col min="1826" max="2048" width="9" style="77"/>
    <col min="2049" max="2051" width="9" style="77" customWidth="1"/>
    <col min="2052" max="2052" width="10.5" style="77" customWidth="1"/>
    <col min="2053" max="2053" width="11.25" style="77" bestFit="1" customWidth="1"/>
    <col min="2054" max="2055" width="9" style="77"/>
    <col min="2056" max="2065" width="9" style="77" customWidth="1"/>
    <col min="2066" max="2066" width="9" style="77"/>
    <col min="2067" max="2067" width="9.5" style="77" bestFit="1" customWidth="1"/>
    <col min="2068" max="2068" width="9" style="77" customWidth="1"/>
    <col min="2069" max="2069" width="9" style="77"/>
    <col min="2070" max="2070" width="9" style="77" customWidth="1"/>
    <col min="2071" max="2076" width="9" style="77"/>
    <col min="2077" max="2077" width="26.5" style="77" customWidth="1"/>
    <col min="2078" max="2080" width="9" style="77"/>
    <col min="2081" max="2081" width="14.75" style="77" bestFit="1" customWidth="1"/>
    <col min="2082" max="2304" width="9" style="77"/>
    <col min="2305" max="2307" width="9" style="77" customWidth="1"/>
    <col min="2308" max="2308" width="10.5" style="77" customWidth="1"/>
    <col min="2309" max="2309" width="11.25" style="77" bestFit="1" customWidth="1"/>
    <col min="2310" max="2311" width="9" style="77"/>
    <col min="2312" max="2321" width="9" style="77" customWidth="1"/>
    <col min="2322" max="2322" width="9" style="77"/>
    <col min="2323" max="2323" width="9.5" style="77" bestFit="1" customWidth="1"/>
    <col min="2324" max="2324" width="9" style="77" customWidth="1"/>
    <col min="2325" max="2325" width="9" style="77"/>
    <col min="2326" max="2326" width="9" style="77" customWidth="1"/>
    <col min="2327" max="2332" width="9" style="77"/>
    <col min="2333" max="2333" width="26.5" style="77" customWidth="1"/>
    <col min="2334" max="2336" width="9" style="77"/>
    <col min="2337" max="2337" width="14.75" style="77" bestFit="1" customWidth="1"/>
    <col min="2338" max="2560" width="9" style="77"/>
    <col min="2561" max="2563" width="9" style="77" customWidth="1"/>
    <col min="2564" max="2564" width="10.5" style="77" customWidth="1"/>
    <col min="2565" max="2565" width="11.25" style="77" bestFit="1" customWidth="1"/>
    <col min="2566" max="2567" width="9" style="77"/>
    <col min="2568" max="2577" width="9" style="77" customWidth="1"/>
    <col min="2578" max="2578" width="9" style="77"/>
    <col min="2579" max="2579" width="9.5" style="77" bestFit="1" customWidth="1"/>
    <col min="2580" max="2580" width="9" style="77" customWidth="1"/>
    <col min="2581" max="2581" width="9" style="77"/>
    <col min="2582" max="2582" width="9" style="77" customWidth="1"/>
    <col min="2583" max="2588" width="9" style="77"/>
    <col min="2589" max="2589" width="26.5" style="77" customWidth="1"/>
    <col min="2590" max="2592" width="9" style="77"/>
    <col min="2593" max="2593" width="14.75" style="77" bestFit="1" customWidth="1"/>
    <col min="2594" max="2816" width="9" style="77"/>
    <col min="2817" max="2819" width="9" style="77" customWidth="1"/>
    <col min="2820" max="2820" width="10.5" style="77" customWidth="1"/>
    <col min="2821" max="2821" width="11.25" style="77" bestFit="1" customWidth="1"/>
    <col min="2822" max="2823" width="9" style="77"/>
    <col min="2824" max="2833" width="9" style="77" customWidth="1"/>
    <col min="2834" max="2834" width="9" style="77"/>
    <col min="2835" max="2835" width="9.5" style="77" bestFit="1" customWidth="1"/>
    <col min="2836" max="2836" width="9" style="77" customWidth="1"/>
    <col min="2837" max="2837" width="9" style="77"/>
    <col min="2838" max="2838" width="9" style="77" customWidth="1"/>
    <col min="2839" max="2844" width="9" style="77"/>
    <col min="2845" max="2845" width="26.5" style="77" customWidth="1"/>
    <col min="2846" max="2848" width="9" style="77"/>
    <col min="2849" max="2849" width="14.75" style="77" bestFit="1" customWidth="1"/>
    <col min="2850" max="3072" width="9" style="77"/>
    <col min="3073" max="3075" width="9" style="77" customWidth="1"/>
    <col min="3076" max="3076" width="10.5" style="77" customWidth="1"/>
    <col min="3077" max="3077" width="11.25" style="77" bestFit="1" customWidth="1"/>
    <col min="3078" max="3079" width="9" style="77"/>
    <col min="3080" max="3089" width="9" style="77" customWidth="1"/>
    <col min="3090" max="3090" width="9" style="77"/>
    <col min="3091" max="3091" width="9.5" style="77" bestFit="1" customWidth="1"/>
    <col min="3092" max="3092" width="9" style="77" customWidth="1"/>
    <col min="3093" max="3093" width="9" style="77"/>
    <col min="3094" max="3094" width="9" style="77" customWidth="1"/>
    <col min="3095" max="3100" width="9" style="77"/>
    <col min="3101" max="3101" width="26.5" style="77" customWidth="1"/>
    <col min="3102" max="3104" width="9" style="77"/>
    <col min="3105" max="3105" width="14.75" style="77" bestFit="1" customWidth="1"/>
    <col min="3106" max="3328" width="9" style="77"/>
    <col min="3329" max="3331" width="9" style="77" customWidth="1"/>
    <col min="3332" max="3332" width="10.5" style="77" customWidth="1"/>
    <col min="3333" max="3333" width="11.25" style="77" bestFit="1" customWidth="1"/>
    <col min="3334" max="3335" width="9" style="77"/>
    <col min="3336" max="3345" width="9" style="77" customWidth="1"/>
    <col min="3346" max="3346" width="9" style="77"/>
    <col min="3347" max="3347" width="9.5" style="77" bestFit="1" customWidth="1"/>
    <col min="3348" max="3348" width="9" style="77" customWidth="1"/>
    <col min="3349" max="3349" width="9" style="77"/>
    <col min="3350" max="3350" width="9" style="77" customWidth="1"/>
    <col min="3351" max="3356" width="9" style="77"/>
    <col min="3357" max="3357" width="26.5" style="77" customWidth="1"/>
    <col min="3358" max="3360" width="9" style="77"/>
    <col min="3361" max="3361" width="14.75" style="77" bestFit="1" customWidth="1"/>
    <col min="3362" max="3584" width="9" style="77"/>
    <col min="3585" max="3587" width="9" style="77" customWidth="1"/>
    <col min="3588" max="3588" width="10.5" style="77" customWidth="1"/>
    <col min="3589" max="3589" width="11.25" style="77" bestFit="1" customWidth="1"/>
    <col min="3590" max="3591" width="9" style="77"/>
    <col min="3592" max="3601" width="9" style="77" customWidth="1"/>
    <col min="3602" max="3602" width="9" style="77"/>
    <col min="3603" max="3603" width="9.5" style="77" bestFit="1" customWidth="1"/>
    <col min="3604" max="3604" width="9" style="77" customWidth="1"/>
    <col min="3605" max="3605" width="9" style="77"/>
    <col min="3606" max="3606" width="9" style="77" customWidth="1"/>
    <col min="3607" max="3612" width="9" style="77"/>
    <col min="3613" max="3613" width="26.5" style="77" customWidth="1"/>
    <col min="3614" max="3616" width="9" style="77"/>
    <col min="3617" max="3617" width="14.75" style="77" bestFit="1" customWidth="1"/>
    <col min="3618" max="3840" width="9" style="77"/>
    <col min="3841" max="3843" width="9" style="77" customWidth="1"/>
    <col min="3844" max="3844" width="10.5" style="77" customWidth="1"/>
    <col min="3845" max="3845" width="11.25" style="77" bestFit="1" customWidth="1"/>
    <col min="3846" max="3847" width="9" style="77"/>
    <col min="3848" max="3857" width="9" style="77" customWidth="1"/>
    <col min="3858" max="3858" width="9" style="77"/>
    <col min="3859" max="3859" width="9.5" style="77" bestFit="1" customWidth="1"/>
    <col min="3860" max="3860" width="9" style="77" customWidth="1"/>
    <col min="3861" max="3861" width="9" style="77"/>
    <col min="3862" max="3862" width="9" style="77" customWidth="1"/>
    <col min="3863" max="3868" width="9" style="77"/>
    <col min="3869" max="3869" width="26.5" style="77" customWidth="1"/>
    <col min="3870" max="3872" width="9" style="77"/>
    <col min="3873" max="3873" width="14.75" style="77" bestFit="1" customWidth="1"/>
    <col min="3874" max="4096" width="9" style="77"/>
    <col min="4097" max="4099" width="9" style="77" customWidth="1"/>
    <col min="4100" max="4100" width="10.5" style="77" customWidth="1"/>
    <col min="4101" max="4101" width="11.25" style="77" bestFit="1" customWidth="1"/>
    <col min="4102" max="4103" width="9" style="77"/>
    <col min="4104" max="4113" width="9" style="77" customWidth="1"/>
    <col min="4114" max="4114" width="9" style="77"/>
    <col min="4115" max="4115" width="9.5" style="77" bestFit="1" customWidth="1"/>
    <col min="4116" max="4116" width="9" style="77" customWidth="1"/>
    <col min="4117" max="4117" width="9" style="77"/>
    <col min="4118" max="4118" width="9" style="77" customWidth="1"/>
    <col min="4119" max="4124" width="9" style="77"/>
    <col min="4125" max="4125" width="26.5" style="77" customWidth="1"/>
    <col min="4126" max="4128" width="9" style="77"/>
    <col min="4129" max="4129" width="14.75" style="77" bestFit="1" customWidth="1"/>
    <col min="4130" max="4352" width="9" style="77"/>
    <col min="4353" max="4355" width="9" style="77" customWidth="1"/>
    <col min="4356" max="4356" width="10.5" style="77" customWidth="1"/>
    <col min="4357" max="4357" width="11.25" style="77" bestFit="1" customWidth="1"/>
    <col min="4358" max="4359" width="9" style="77"/>
    <col min="4360" max="4369" width="9" style="77" customWidth="1"/>
    <col min="4370" max="4370" width="9" style="77"/>
    <col min="4371" max="4371" width="9.5" style="77" bestFit="1" customWidth="1"/>
    <col min="4372" max="4372" width="9" style="77" customWidth="1"/>
    <col min="4373" max="4373" width="9" style="77"/>
    <col min="4374" max="4374" width="9" style="77" customWidth="1"/>
    <col min="4375" max="4380" width="9" style="77"/>
    <col min="4381" max="4381" width="26.5" style="77" customWidth="1"/>
    <col min="4382" max="4384" width="9" style="77"/>
    <col min="4385" max="4385" width="14.75" style="77" bestFit="1" customWidth="1"/>
    <col min="4386" max="4608" width="9" style="77"/>
    <col min="4609" max="4611" width="9" style="77" customWidth="1"/>
    <col min="4612" max="4612" width="10.5" style="77" customWidth="1"/>
    <col min="4613" max="4613" width="11.25" style="77" bestFit="1" customWidth="1"/>
    <col min="4614" max="4615" width="9" style="77"/>
    <col min="4616" max="4625" width="9" style="77" customWidth="1"/>
    <col min="4626" max="4626" width="9" style="77"/>
    <col min="4627" max="4627" width="9.5" style="77" bestFit="1" customWidth="1"/>
    <col min="4628" max="4628" width="9" style="77" customWidth="1"/>
    <col min="4629" max="4629" width="9" style="77"/>
    <col min="4630" max="4630" width="9" style="77" customWidth="1"/>
    <col min="4631" max="4636" width="9" style="77"/>
    <col min="4637" max="4637" width="26.5" style="77" customWidth="1"/>
    <col min="4638" max="4640" width="9" style="77"/>
    <col min="4641" max="4641" width="14.75" style="77" bestFit="1" customWidth="1"/>
    <col min="4642" max="4864" width="9" style="77"/>
    <col min="4865" max="4867" width="9" style="77" customWidth="1"/>
    <col min="4868" max="4868" width="10.5" style="77" customWidth="1"/>
    <col min="4869" max="4869" width="11.25" style="77" bestFit="1" customWidth="1"/>
    <col min="4870" max="4871" width="9" style="77"/>
    <col min="4872" max="4881" width="9" style="77" customWidth="1"/>
    <col min="4882" max="4882" width="9" style="77"/>
    <col min="4883" max="4883" width="9.5" style="77" bestFit="1" customWidth="1"/>
    <col min="4884" max="4884" width="9" style="77" customWidth="1"/>
    <col min="4885" max="4885" width="9" style="77"/>
    <col min="4886" max="4886" width="9" style="77" customWidth="1"/>
    <col min="4887" max="4892" width="9" style="77"/>
    <col min="4893" max="4893" width="26.5" style="77" customWidth="1"/>
    <col min="4894" max="4896" width="9" style="77"/>
    <col min="4897" max="4897" width="14.75" style="77" bestFit="1" customWidth="1"/>
    <col min="4898" max="5120" width="9" style="77"/>
    <col min="5121" max="5123" width="9" style="77" customWidth="1"/>
    <col min="5124" max="5124" width="10.5" style="77" customWidth="1"/>
    <col min="5125" max="5125" width="11.25" style="77" bestFit="1" customWidth="1"/>
    <col min="5126" max="5127" width="9" style="77"/>
    <col min="5128" max="5137" width="9" style="77" customWidth="1"/>
    <col min="5138" max="5138" width="9" style="77"/>
    <col min="5139" max="5139" width="9.5" style="77" bestFit="1" customWidth="1"/>
    <col min="5140" max="5140" width="9" style="77" customWidth="1"/>
    <col min="5141" max="5141" width="9" style="77"/>
    <col min="5142" max="5142" width="9" style="77" customWidth="1"/>
    <col min="5143" max="5148" width="9" style="77"/>
    <col min="5149" max="5149" width="26.5" style="77" customWidth="1"/>
    <col min="5150" max="5152" width="9" style="77"/>
    <col min="5153" max="5153" width="14.75" style="77" bestFit="1" customWidth="1"/>
    <col min="5154" max="5376" width="9" style="77"/>
    <col min="5377" max="5379" width="9" style="77" customWidth="1"/>
    <col min="5380" max="5380" width="10.5" style="77" customWidth="1"/>
    <col min="5381" max="5381" width="11.25" style="77" bestFit="1" customWidth="1"/>
    <col min="5382" max="5383" width="9" style="77"/>
    <col min="5384" max="5393" width="9" style="77" customWidth="1"/>
    <col min="5394" max="5394" width="9" style="77"/>
    <col min="5395" max="5395" width="9.5" style="77" bestFit="1" customWidth="1"/>
    <col min="5396" max="5396" width="9" style="77" customWidth="1"/>
    <col min="5397" max="5397" width="9" style="77"/>
    <col min="5398" max="5398" width="9" style="77" customWidth="1"/>
    <col min="5399" max="5404" width="9" style="77"/>
    <col min="5405" max="5405" width="26.5" style="77" customWidth="1"/>
    <col min="5406" max="5408" width="9" style="77"/>
    <col min="5409" max="5409" width="14.75" style="77" bestFit="1" customWidth="1"/>
    <col min="5410" max="5632" width="9" style="77"/>
    <col min="5633" max="5635" width="9" style="77" customWidth="1"/>
    <col min="5636" max="5636" width="10.5" style="77" customWidth="1"/>
    <col min="5637" max="5637" width="11.25" style="77" bestFit="1" customWidth="1"/>
    <col min="5638" max="5639" width="9" style="77"/>
    <col min="5640" max="5649" width="9" style="77" customWidth="1"/>
    <col min="5650" max="5650" width="9" style="77"/>
    <col min="5651" max="5651" width="9.5" style="77" bestFit="1" customWidth="1"/>
    <col min="5652" max="5652" width="9" style="77" customWidth="1"/>
    <col min="5653" max="5653" width="9" style="77"/>
    <col min="5654" max="5654" width="9" style="77" customWidth="1"/>
    <col min="5655" max="5660" width="9" style="77"/>
    <col min="5661" max="5661" width="26.5" style="77" customWidth="1"/>
    <col min="5662" max="5664" width="9" style="77"/>
    <col min="5665" max="5665" width="14.75" style="77" bestFit="1" customWidth="1"/>
    <col min="5666" max="5888" width="9" style="77"/>
    <col min="5889" max="5891" width="9" style="77" customWidth="1"/>
    <col min="5892" max="5892" width="10.5" style="77" customWidth="1"/>
    <col min="5893" max="5893" width="11.25" style="77" bestFit="1" customWidth="1"/>
    <col min="5894" max="5895" width="9" style="77"/>
    <col min="5896" max="5905" width="9" style="77" customWidth="1"/>
    <col min="5906" max="5906" width="9" style="77"/>
    <col min="5907" max="5907" width="9.5" style="77" bestFit="1" customWidth="1"/>
    <col min="5908" max="5908" width="9" style="77" customWidth="1"/>
    <col min="5909" max="5909" width="9" style="77"/>
    <col min="5910" max="5910" width="9" style="77" customWidth="1"/>
    <col min="5911" max="5916" width="9" style="77"/>
    <col min="5917" max="5917" width="26.5" style="77" customWidth="1"/>
    <col min="5918" max="5920" width="9" style="77"/>
    <col min="5921" max="5921" width="14.75" style="77" bestFit="1" customWidth="1"/>
    <col min="5922" max="6144" width="9" style="77"/>
    <col min="6145" max="6147" width="9" style="77" customWidth="1"/>
    <col min="6148" max="6148" width="10.5" style="77" customWidth="1"/>
    <col min="6149" max="6149" width="11.25" style="77" bestFit="1" customWidth="1"/>
    <col min="6150" max="6151" width="9" style="77"/>
    <col min="6152" max="6161" width="9" style="77" customWidth="1"/>
    <col min="6162" max="6162" width="9" style="77"/>
    <col min="6163" max="6163" width="9.5" style="77" bestFit="1" customWidth="1"/>
    <col min="6164" max="6164" width="9" style="77" customWidth="1"/>
    <col min="6165" max="6165" width="9" style="77"/>
    <col min="6166" max="6166" width="9" style="77" customWidth="1"/>
    <col min="6167" max="6172" width="9" style="77"/>
    <col min="6173" max="6173" width="26.5" style="77" customWidth="1"/>
    <col min="6174" max="6176" width="9" style="77"/>
    <col min="6177" max="6177" width="14.75" style="77" bestFit="1" customWidth="1"/>
    <col min="6178" max="6400" width="9" style="77"/>
    <col min="6401" max="6403" width="9" style="77" customWidth="1"/>
    <col min="6404" max="6404" width="10.5" style="77" customWidth="1"/>
    <col min="6405" max="6405" width="11.25" style="77" bestFit="1" customWidth="1"/>
    <col min="6406" max="6407" width="9" style="77"/>
    <col min="6408" max="6417" width="9" style="77" customWidth="1"/>
    <col min="6418" max="6418" width="9" style="77"/>
    <col min="6419" max="6419" width="9.5" style="77" bestFit="1" customWidth="1"/>
    <col min="6420" max="6420" width="9" style="77" customWidth="1"/>
    <col min="6421" max="6421" width="9" style="77"/>
    <col min="6422" max="6422" width="9" style="77" customWidth="1"/>
    <col min="6423" max="6428" width="9" style="77"/>
    <col min="6429" max="6429" width="26.5" style="77" customWidth="1"/>
    <col min="6430" max="6432" width="9" style="77"/>
    <col min="6433" max="6433" width="14.75" style="77" bestFit="1" customWidth="1"/>
    <col min="6434" max="6656" width="9" style="77"/>
    <col min="6657" max="6659" width="9" style="77" customWidth="1"/>
    <col min="6660" max="6660" width="10.5" style="77" customWidth="1"/>
    <col min="6661" max="6661" width="11.25" style="77" bestFit="1" customWidth="1"/>
    <col min="6662" max="6663" width="9" style="77"/>
    <col min="6664" max="6673" width="9" style="77" customWidth="1"/>
    <col min="6674" max="6674" width="9" style="77"/>
    <col min="6675" max="6675" width="9.5" style="77" bestFit="1" customWidth="1"/>
    <col min="6676" max="6676" width="9" style="77" customWidth="1"/>
    <col min="6677" max="6677" width="9" style="77"/>
    <col min="6678" max="6678" width="9" style="77" customWidth="1"/>
    <col min="6679" max="6684" width="9" style="77"/>
    <col min="6685" max="6685" width="26.5" style="77" customWidth="1"/>
    <col min="6686" max="6688" width="9" style="77"/>
    <col min="6689" max="6689" width="14.75" style="77" bestFit="1" customWidth="1"/>
    <col min="6690" max="6912" width="9" style="77"/>
    <col min="6913" max="6915" width="9" style="77" customWidth="1"/>
    <col min="6916" max="6916" width="10.5" style="77" customWidth="1"/>
    <col min="6917" max="6917" width="11.25" style="77" bestFit="1" customWidth="1"/>
    <col min="6918" max="6919" width="9" style="77"/>
    <col min="6920" max="6929" width="9" style="77" customWidth="1"/>
    <col min="6930" max="6930" width="9" style="77"/>
    <col min="6931" max="6931" width="9.5" style="77" bestFit="1" customWidth="1"/>
    <col min="6932" max="6932" width="9" style="77" customWidth="1"/>
    <col min="6933" max="6933" width="9" style="77"/>
    <col min="6934" max="6934" width="9" style="77" customWidth="1"/>
    <col min="6935" max="6940" width="9" style="77"/>
    <col min="6941" max="6941" width="26.5" style="77" customWidth="1"/>
    <col min="6942" max="6944" width="9" style="77"/>
    <col min="6945" max="6945" width="14.75" style="77" bestFit="1" customWidth="1"/>
    <col min="6946" max="7168" width="9" style="77"/>
    <col min="7169" max="7171" width="9" style="77" customWidth="1"/>
    <col min="7172" max="7172" width="10.5" style="77" customWidth="1"/>
    <col min="7173" max="7173" width="11.25" style="77" bestFit="1" customWidth="1"/>
    <col min="7174" max="7175" width="9" style="77"/>
    <col min="7176" max="7185" width="9" style="77" customWidth="1"/>
    <col min="7186" max="7186" width="9" style="77"/>
    <col min="7187" max="7187" width="9.5" style="77" bestFit="1" customWidth="1"/>
    <col min="7188" max="7188" width="9" style="77" customWidth="1"/>
    <col min="7189" max="7189" width="9" style="77"/>
    <col min="7190" max="7190" width="9" style="77" customWidth="1"/>
    <col min="7191" max="7196" width="9" style="77"/>
    <col min="7197" max="7197" width="26.5" style="77" customWidth="1"/>
    <col min="7198" max="7200" width="9" style="77"/>
    <col min="7201" max="7201" width="14.75" style="77" bestFit="1" customWidth="1"/>
    <col min="7202" max="7424" width="9" style="77"/>
    <col min="7425" max="7427" width="9" style="77" customWidth="1"/>
    <col min="7428" max="7428" width="10.5" style="77" customWidth="1"/>
    <col min="7429" max="7429" width="11.25" style="77" bestFit="1" customWidth="1"/>
    <col min="7430" max="7431" width="9" style="77"/>
    <col min="7432" max="7441" width="9" style="77" customWidth="1"/>
    <col min="7442" max="7442" width="9" style="77"/>
    <col min="7443" max="7443" width="9.5" style="77" bestFit="1" customWidth="1"/>
    <col min="7444" max="7444" width="9" style="77" customWidth="1"/>
    <col min="7445" max="7445" width="9" style="77"/>
    <col min="7446" max="7446" width="9" style="77" customWidth="1"/>
    <col min="7447" max="7452" width="9" style="77"/>
    <col min="7453" max="7453" width="26.5" style="77" customWidth="1"/>
    <col min="7454" max="7456" width="9" style="77"/>
    <col min="7457" max="7457" width="14.75" style="77" bestFit="1" customWidth="1"/>
    <col min="7458" max="7680" width="9" style="77"/>
    <col min="7681" max="7683" width="9" style="77" customWidth="1"/>
    <col min="7684" max="7684" width="10.5" style="77" customWidth="1"/>
    <col min="7685" max="7685" width="11.25" style="77" bestFit="1" customWidth="1"/>
    <col min="7686" max="7687" width="9" style="77"/>
    <col min="7688" max="7697" width="9" style="77" customWidth="1"/>
    <col min="7698" max="7698" width="9" style="77"/>
    <col min="7699" max="7699" width="9.5" style="77" bestFit="1" customWidth="1"/>
    <col min="7700" max="7700" width="9" style="77" customWidth="1"/>
    <col min="7701" max="7701" width="9" style="77"/>
    <col min="7702" max="7702" width="9" style="77" customWidth="1"/>
    <col min="7703" max="7708" width="9" style="77"/>
    <col min="7709" max="7709" width="26.5" style="77" customWidth="1"/>
    <col min="7710" max="7712" width="9" style="77"/>
    <col min="7713" max="7713" width="14.75" style="77" bestFit="1" customWidth="1"/>
    <col min="7714" max="7936" width="9" style="77"/>
    <col min="7937" max="7939" width="9" style="77" customWidth="1"/>
    <col min="7940" max="7940" width="10.5" style="77" customWidth="1"/>
    <col min="7941" max="7941" width="11.25" style="77" bestFit="1" customWidth="1"/>
    <col min="7942" max="7943" width="9" style="77"/>
    <col min="7944" max="7953" width="9" style="77" customWidth="1"/>
    <col min="7954" max="7954" width="9" style="77"/>
    <col min="7955" max="7955" width="9.5" style="77" bestFit="1" customWidth="1"/>
    <col min="7956" max="7956" width="9" style="77" customWidth="1"/>
    <col min="7957" max="7957" width="9" style="77"/>
    <col min="7958" max="7958" width="9" style="77" customWidth="1"/>
    <col min="7959" max="7964" width="9" style="77"/>
    <col min="7965" max="7965" width="26.5" style="77" customWidth="1"/>
    <col min="7966" max="7968" width="9" style="77"/>
    <col min="7969" max="7969" width="14.75" style="77" bestFit="1" customWidth="1"/>
    <col min="7970" max="8192" width="9" style="77"/>
    <col min="8193" max="8195" width="9" style="77" customWidth="1"/>
    <col min="8196" max="8196" width="10.5" style="77" customWidth="1"/>
    <col min="8197" max="8197" width="11.25" style="77" bestFit="1" customWidth="1"/>
    <col min="8198" max="8199" width="9" style="77"/>
    <col min="8200" max="8209" width="9" style="77" customWidth="1"/>
    <col min="8210" max="8210" width="9" style="77"/>
    <col min="8211" max="8211" width="9.5" style="77" bestFit="1" customWidth="1"/>
    <col min="8212" max="8212" width="9" style="77" customWidth="1"/>
    <col min="8213" max="8213" width="9" style="77"/>
    <col min="8214" max="8214" width="9" style="77" customWidth="1"/>
    <col min="8215" max="8220" width="9" style="77"/>
    <col min="8221" max="8221" width="26.5" style="77" customWidth="1"/>
    <col min="8222" max="8224" width="9" style="77"/>
    <col min="8225" max="8225" width="14.75" style="77" bestFit="1" customWidth="1"/>
    <col min="8226" max="8448" width="9" style="77"/>
    <col min="8449" max="8451" width="9" style="77" customWidth="1"/>
    <col min="8452" max="8452" width="10.5" style="77" customWidth="1"/>
    <col min="8453" max="8453" width="11.25" style="77" bestFit="1" customWidth="1"/>
    <col min="8454" max="8455" width="9" style="77"/>
    <col min="8456" max="8465" width="9" style="77" customWidth="1"/>
    <col min="8466" max="8466" width="9" style="77"/>
    <col min="8467" max="8467" width="9.5" style="77" bestFit="1" customWidth="1"/>
    <col min="8468" max="8468" width="9" style="77" customWidth="1"/>
    <col min="8469" max="8469" width="9" style="77"/>
    <col min="8470" max="8470" width="9" style="77" customWidth="1"/>
    <col min="8471" max="8476" width="9" style="77"/>
    <col min="8477" max="8477" width="26.5" style="77" customWidth="1"/>
    <col min="8478" max="8480" width="9" style="77"/>
    <col min="8481" max="8481" width="14.75" style="77" bestFit="1" customWidth="1"/>
    <col min="8482" max="8704" width="9" style="77"/>
    <col min="8705" max="8707" width="9" style="77" customWidth="1"/>
    <col min="8708" max="8708" width="10.5" style="77" customWidth="1"/>
    <col min="8709" max="8709" width="11.25" style="77" bestFit="1" customWidth="1"/>
    <col min="8710" max="8711" width="9" style="77"/>
    <col min="8712" max="8721" width="9" style="77" customWidth="1"/>
    <col min="8722" max="8722" width="9" style="77"/>
    <col min="8723" max="8723" width="9.5" style="77" bestFit="1" customWidth="1"/>
    <col min="8724" max="8724" width="9" style="77" customWidth="1"/>
    <col min="8725" max="8725" width="9" style="77"/>
    <col min="8726" max="8726" width="9" style="77" customWidth="1"/>
    <col min="8727" max="8732" width="9" style="77"/>
    <col min="8733" max="8733" width="26.5" style="77" customWidth="1"/>
    <col min="8734" max="8736" width="9" style="77"/>
    <col min="8737" max="8737" width="14.75" style="77" bestFit="1" customWidth="1"/>
    <col min="8738" max="8960" width="9" style="77"/>
    <col min="8961" max="8963" width="9" style="77" customWidth="1"/>
    <col min="8964" max="8964" width="10.5" style="77" customWidth="1"/>
    <col min="8965" max="8965" width="11.25" style="77" bestFit="1" customWidth="1"/>
    <col min="8966" max="8967" width="9" style="77"/>
    <col min="8968" max="8977" width="9" style="77" customWidth="1"/>
    <col min="8978" max="8978" width="9" style="77"/>
    <col min="8979" max="8979" width="9.5" style="77" bestFit="1" customWidth="1"/>
    <col min="8980" max="8980" width="9" style="77" customWidth="1"/>
    <col min="8981" max="8981" width="9" style="77"/>
    <col min="8982" max="8982" width="9" style="77" customWidth="1"/>
    <col min="8983" max="8988" width="9" style="77"/>
    <col min="8989" max="8989" width="26.5" style="77" customWidth="1"/>
    <col min="8990" max="8992" width="9" style="77"/>
    <col min="8993" max="8993" width="14.75" style="77" bestFit="1" customWidth="1"/>
    <col min="8994" max="9216" width="9" style="77"/>
    <col min="9217" max="9219" width="9" style="77" customWidth="1"/>
    <col min="9220" max="9220" width="10.5" style="77" customWidth="1"/>
    <col min="9221" max="9221" width="11.25" style="77" bestFit="1" customWidth="1"/>
    <col min="9222" max="9223" width="9" style="77"/>
    <col min="9224" max="9233" width="9" style="77" customWidth="1"/>
    <col min="9234" max="9234" width="9" style="77"/>
    <col min="9235" max="9235" width="9.5" style="77" bestFit="1" customWidth="1"/>
    <col min="9236" max="9236" width="9" style="77" customWidth="1"/>
    <col min="9237" max="9237" width="9" style="77"/>
    <col min="9238" max="9238" width="9" style="77" customWidth="1"/>
    <col min="9239" max="9244" width="9" style="77"/>
    <col min="9245" max="9245" width="26.5" style="77" customWidth="1"/>
    <col min="9246" max="9248" width="9" style="77"/>
    <col min="9249" max="9249" width="14.75" style="77" bestFit="1" customWidth="1"/>
    <col min="9250" max="9472" width="9" style="77"/>
    <col min="9473" max="9475" width="9" style="77" customWidth="1"/>
    <col min="9476" max="9476" width="10.5" style="77" customWidth="1"/>
    <col min="9477" max="9477" width="11.25" style="77" bestFit="1" customWidth="1"/>
    <col min="9478" max="9479" width="9" style="77"/>
    <col min="9480" max="9489" width="9" style="77" customWidth="1"/>
    <col min="9490" max="9490" width="9" style="77"/>
    <col min="9491" max="9491" width="9.5" style="77" bestFit="1" customWidth="1"/>
    <col min="9492" max="9492" width="9" style="77" customWidth="1"/>
    <col min="9493" max="9493" width="9" style="77"/>
    <col min="9494" max="9494" width="9" style="77" customWidth="1"/>
    <col min="9495" max="9500" width="9" style="77"/>
    <col min="9501" max="9501" width="26.5" style="77" customWidth="1"/>
    <col min="9502" max="9504" width="9" style="77"/>
    <col min="9505" max="9505" width="14.75" style="77" bestFit="1" customWidth="1"/>
    <col min="9506" max="9728" width="9" style="77"/>
    <col min="9729" max="9731" width="9" style="77" customWidth="1"/>
    <col min="9732" max="9732" width="10.5" style="77" customWidth="1"/>
    <col min="9733" max="9733" width="11.25" style="77" bestFit="1" customWidth="1"/>
    <col min="9734" max="9735" width="9" style="77"/>
    <col min="9736" max="9745" width="9" style="77" customWidth="1"/>
    <col min="9746" max="9746" width="9" style="77"/>
    <col min="9747" max="9747" width="9.5" style="77" bestFit="1" customWidth="1"/>
    <col min="9748" max="9748" width="9" style="77" customWidth="1"/>
    <col min="9749" max="9749" width="9" style="77"/>
    <col min="9750" max="9750" width="9" style="77" customWidth="1"/>
    <col min="9751" max="9756" width="9" style="77"/>
    <col min="9757" max="9757" width="26.5" style="77" customWidth="1"/>
    <col min="9758" max="9760" width="9" style="77"/>
    <col min="9761" max="9761" width="14.75" style="77" bestFit="1" customWidth="1"/>
    <col min="9762" max="9984" width="9" style="77"/>
    <col min="9985" max="9987" width="9" style="77" customWidth="1"/>
    <col min="9988" max="9988" width="10.5" style="77" customWidth="1"/>
    <col min="9989" max="9989" width="11.25" style="77" bestFit="1" customWidth="1"/>
    <col min="9990" max="9991" width="9" style="77"/>
    <col min="9992" max="10001" width="9" style="77" customWidth="1"/>
    <col min="10002" max="10002" width="9" style="77"/>
    <col min="10003" max="10003" width="9.5" style="77" bestFit="1" customWidth="1"/>
    <col min="10004" max="10004" width="9" style="77" customWidth="1"/>
    <col min="10005" max="10005" width="9" style="77"/>
    <col min="10006" max="10006" width="9" style="77" customWidth="1"/>
    <col min="10007" max="10012" width="9" style="77"/>
    <col min="10013" max="10013" width="26.5" style="77" customWidth="1"/>
    <col min="10014" max="10016" width="9" style="77"/>
    <col min="10017" max="10017" width="14.75" style="77" bestFit="1" customWidth="1"/>
    <col min="10018" max="10240" width="9" style="77"/>
    <col min="10241" max="10243" width="9" style="77" customWidth="1"/>
    <col min="10244" max="10244" width="10.5" style="77" customWidth="1"/>
    <col min="10245" max="10245" width="11.25" style="77" bestFit="1" customWidth="1"/>
    <col min="10246" max="10247" width="9" style="77"/>
    <col min="10248" max="10257" width="9" style="77" customWidth="1"/>
    <col min="10258" max="10258" width="9" style="77"/>
    <col min="10259" max="10259" width="9.5" style="77" bestFit="1" customWidth="1"/>
    <col min="10260" max="10260" width="9" style="77" customWidth="1"/>
    <col min="10261" max="10261" width="9" style="77"/>
    <col min="10262" max="10262" width="9" style="77" customWidth="1"/>
    <col min="10263" max="10268" width="9" style="77"/>
    <col min="10269" max="10269" width="26.5" style="77" customWidth="1"/>
    <col min="10270" max="10272" width="9" style="77"/>
    <col min="10273" max="10273" width="14.75" style="77" bestFit="1" customWidth="1"/>
    <col min="10274" max="10496" width="9" style="77"/>
    <col min="10497" max="10499" width="9" style="77" customWidth="1"/>
    <col min="10500" max="10500" width="10.5" style="77" customWidth="1"/>
    <col min="10501" max="10501" width="11.25" style="77" bestFit="1" customWidth="1"/>
    <col min="10502" max="10503" width="9" style="77"/>
    <col min="10504" max="10513" width="9" style="77" customWidth="1"/>
    <col min="10514" max="10514" width="9" style="77"/>
    <col min="10515" max="10515" width="9.5" style="77" bestFit="1" customWidth="1"/>
    <col min="10516" max="10516" width="9" style="77" customWidth="1"/>
    <col min="10517" max="10517" width="9" style="77"/>
    <col min="10518" max="10518" width="9" style="77" customWidth="1"/>
    <col min="10519" max="10524" width="9" style="77"/>
    <col min="10525" max="10525" width="26.5" style="77" customWidth="1"/>
    <col min="10526" max="10528" width="9" style="77"/>
    <col min="10529" max="10529" width="14.75" style="77" bestFit="1" customWidth="1"/>
    <col min="10530" max="10752" width="9" style="77"/>
    <col min="10753" max="10755" width="9" style="77" customWidth="1"/>
    <col min="10756" max="10756" width="10.5" style="77" customWidth="1"/>
    <col min="10757" max="10757" width="11.25" style="77" bestFit="1" customWidth="1"/>
    <col min="10758" max="10759" width="9" style="77"/>
    <col min="10760" max="10769" width="9" style="77" customWidth="1"/>
    <col min="10770" max="10770" width="9" style="77"/>
    <col min="10771" max="10771" width="9.5" style="77" bestFit="1" customWidth="1"/>
    <col min="10772" max="10772" width="9" style="77" customWidth="1"/>
    <col min="10773" max="10773" width="9" style="77"/>
    <col min="10774" max="10774" width="9" style="77" customWidth="1"/>
    <col min="10775" max="10780" width="9" style="77"/>
    <col min="10781" max="10781" width="26.5" style="77" customWidth="1"/>
    <col min="10782" max="10784" width="9" style="77"/>
    <col min="10785" max="10785" width="14.75" style="77" bestFit="1" customWidth="1"/>
    <col min="10786" max="11008" width="9" style="77"/>
    <col min="11009" max="11011" width="9" style="77" customWidth="1"/>
    <col min="11012" max="11012" width="10.5" style="77" customWidth="1"/>
    <col min="11013" max="11013" width="11.25" style="77" bestFit="1" customWidth="1"/>
    <col min="11014" max="11015" width="9" style="77"/>
    <col min="11016" max="11025" width="9" style="77" customWidth="1"/>
    <col min="11026" max="11026" width="9" style="77"/>
    <col min="11027" max="11027" width="9.5" style="77" bestFit="1" customWidth="1"/>
    <col min="11028" max="11028" width="9" style="77" customWidth="1"/>
    <col min="11029" max="11029" width="9" style="77"/>
    <col min="11030" max="11030" width="9" style="77" customWidth="1"/>
    <col min="11031" max="11036" width="9" style="77"/>
    <col min="11037" max="11037" width="26.5" style="77" customWidth="1"/>
    <col min="11038" max="11040" width="9" style="77"/>
    <col min="11041" max="11041" width="14.75" style="77" bestFit="1" customWidth="1"/>
    <col min="11042" max="11264" width="9" style="77"/>
    <col min="11265" max="11267" width="9" style="77" customWidth="1"/>
    <col min="11268" max="11268" width="10.5" style="77" customWidth="1"/>
    <col min="11269" max="11269" width="11.25" style="77" bestFit="1" customWidth="1"/>
    <col min="11270" max="11271" width="9" style="77"/>
    <col min="11272" max="11281" width="9" style="77" customWidth="1"/>
    <col min="11282" max="11282" width="9" style="77"/>
    <col min="11283" max="11283" width="9.5" style="77" bestFit="1" customWidth="1"/>
    <col min="11284" max="11284" width="9" style="77" customWidth="1"/>
    <col min="11285" max="11285" width="9" style="77"/>
    <col min="11286" max="11286" width="9" style="77" customWidth="1"/>
    <col min="11287" max="11292" width="9" style="77"/>
    <col min="11293" max="11293" width="26.5" style="77" customWidth="1"/>
    <col min="11294" max="11296" width="9" style="77"/>
    <col min="11297" max="11297" width="14.75" style="77" bestFit="1" customWidth="1"/>
    <col min="11298" max="11520" width="9" style="77"/>
    <col min="11521" max="11523" width="9" style="77" customWidth="1"/>
    <col min="11524" max="11524" width="10.5" style="77" customWidth="1"/>
    <col min="11525" max="11525" width="11.25" style="77" bestFit="1" customWidth="1"/>
    <col min="11526" max="11527" width="9" style="77"/>
    <col min="11528" max="11537" width="9" style="77" customWidth="1"/>
    <col min="11538" max="11538" width="9" style="77"/>
    <col min="11539" max="11539" width="9.5" style="77" bestFit="1" customWidth="1"/>
    <col min="11540" max="11540" width="9" style="77" customWidth="1"/>
    <col min="11541" max="11541" width="9" style="77"/>
    <col min="11542" max="11542" width="9" style="77" customWidth="1"/>
    <col min="11543" max="11548" width="9" style="77"/>
    <col min="11549" max="11549" width="26.5" style="77" customWidth="1"/>
    <col min="11550" max="11552" width="9" style="77"/>
    <col min="11553" max="11553" width="14.75" style="77" bestFit="1" customWidth="1"/>
    <col min="11554" max="11776" width="9" style="77"/>
    <col min="11777" max="11779" width="9" style="77" customWidth="1"/>
    <col min="11780" max="11780" width="10.5" style="77" customWidth="1"/>
    <col min="11781" max="11781" width="11.25" style="77" bestFit="1" customWidth="1"/>
    <col min="11782" max="11783" width="9" style="77"/>
    <col min="11784" max="11793" width="9" style="77" customWidth="1"/>
    <col min="11794" max="11794" width="9" style="77"/>
    <col min="11795" max="11795" width="9.5" style="77" bestFit="1" customWidth="1"/>
    <col min="11796" max="11796" width="9" style="77" customWidth="1"/>
    <col min="11797" max="11797" width="9" style="77"/>
    <col min="11798" max="11798" width="9" style="77" customWidth="1"/>
    <col min="11799" max="11804" width="9" style="77"/>
    <col min="11805" max="11805" width="26.5" style="77" customWidth="1"/>
    <col min="11806" max="11808" width="9" style="77"/>
    <col min="11809" max="11809" width="14.75" style="77" bestFit="1" customWidth="1"/>
    <col min="11810" max="12032" width="9" style="77"/>
    <col min="12033" max="12035" width="9" style="77" customWidth="1"/>
    <col min="12036" max="12036" width="10.5" style="77" customWidth="1"/>
    <col min="12037" max="12037" width="11.25" style="77" bestFit="1" customWidth="1"/>
    <col min="12038" max="12039" width="9" style="77"/>
    <col min="12040" max="12049" width="9" style="77" customWidth="1"/>
    <col min="12050" max="12050" width="9" style="77"/>
    <col min="12051" max="12051" width="9.5" style="77" bestFit="1" customWidth="1"/>
    <col min="12052" max="12052" width="9" style="77" customWidth="1"/>
    <col min="12053" max="12053" width="9" style="77"/>
    <col min="12054" max="12054" width="9" style="77" customWidth="1"/>
    <col min="12055" max="12060" width="9" style="77"/>
    <col min="12061" max="12061" width="26.5" style="77" customWidth="1"/>
    <col min="12062" max="12064" width="9" style="77"/>
    <col min="12065" max="12065" width="14.75" style="77" bestFit="1" customWidth="1"/>
    <col min="12066" max="12288" width="9" style="77"/>
    <col min="12289" max="12291" width="9" style="77" customWidth="1"/>
    <col min="12292" max="12292" width="10.5" style="77" customWidth="1"/>
    <col min="12293" max="12293" width="11.25" style="77" bestFit="1" customWidth="1"/>
    <col min="12294" max="12295" width="9" style="77"/>
    <col min="12296" max="12305" width="9" style="77" customWidth="1"/>
    <col min="12306" max="12306" width="9" style="77"/>
    <col min="12307" max="12307" width="9.5" style="77" bestFit="1" customWidth="1"/>
    <col min="12308" max="12308" width="9" style="77" customWidth="1"/>
    <col min="12309" max="12309" width="9" style="77"/>
    <col min="12310" max="12310" width="9" style="77" customWidth="1"/>
    <col min="12311" max="12316" width="9" style="77"/>
    <col min="12317" max="12317" width="26.5" style="77" customWidth="1"/>
    <col min="12318" max="12320" width="9" style="77"/>
    <col min="12321" max="12321" width="14.75" style="77" bestFit="1" customWidth="1"/>
    <col min="12322" max="12544" width="9" style="77"/>
    <col min="12545" max="12547" width="9" style="77" customWidth="1"/>
    <col min="12548" max="12548" width="10.5" style="77" customWidth="1"/>
    <col min="12549" max="12549" width="11.25" style="77" bestFit="1" customWidth="1"/>
    <col min="12550" max="12551" width="9" style="77"/>
    <col min="12552" max="12561" width="9" style="77" customWidth="1"/>
    <col min="12562" max="12562" width="9" style="77"/>
    <col min="12563" max="12563" width="9.5" style="77" bestFit="1" customWidth="1"/>
    <col min="12564" max="12564" width="9" style="77" customWidth="1"/>
    <col min="12565" max="12565" width="9" style="77"/>
    <col min="12566" max="12566" width="9" style="77" customWidth="1"/>
    <col min="12567" max="12572" width="9" style="77"/>
    <col min="12573" max="12573" width="26.5" style="77" customWidth="1"/>
    <col min="12574" max="12576" width="9" style="77"/>
    <col min="12577" max="12577" width="14.75" style="77" bestFit="1" customWidth="1"/>
    <col min="12578" max="12800" width="9" style="77"/>
    <col min="12801" max="12803" width="9" style="77" customWidth="1"/>
    <col min="12804" max="12804" width="10.5" style="77" customWidth="1"/>
    <col min="12805" max="12805" width="11.25" style="77" bestFit="1" customWidth="1"/>
    <col min="12806" max="12807" width="9" style="77"/>
    <col min="12808" max="12817" width="9" style="77" customWidth="1"/>
    <col min="12818" max="12818" width="9" style="77"/>
    <col min="12819" max="12819" width="9.5" style="77" bestFit="1" customWidth="1"/>
    <col min="12820" max="12820" width="9" style="77" customWidth="1"/>
    <col min="12821" max="12821" width="9" style="77"/>
    <col min="12822" max="12822" width="9" style="77" customWidth="1"/>
    <col min="12823" max="12828" width="9" style="77"/>
    <col min="12829" max="12829" width="26.5" style="77" customWidth="1"/>
    <col min="12830" max="12832" width="9" style="77"/>
    <col min="12833" max="12833" width="14.75" style="77" bestFit="1" customWidth="1"/>
    <col min="12834" max="13056" width="9" style="77"/>
    <col min="13057" max="13059" width="9" style="77" customWidth="1"/>
    <col min="13060" max="13060" width="10.5" style="77" customWidth="1"/>
    <col min="13061" max="13061" width="11.25" style="77" bestFit="1" customWidth="1"/>
    <col min="13062" max="13063" width="9" style="77"/>
    <col min="13064" max="13073" width="9" style="77" customWidth="1"/>
    <col min="13074" max="13074" width="9" style="77"/>
    <col min="13075" max="13075" width="9.5" style="77" bestFit="1" customWidth="1"/>
    <col min="13076" max="13076" width="9" style="77" customWidth="1"/>
    <col min="13077" max="13077" width="9" style="77"/>
    <col min="13078" max="13078" width="9" style="77" customWidth="1"/>
    <col min="13079" max="13084" width="9" style="77"/>
    <col min="13085" max="13085" width="26.5" style="77" customWidth="1"/>
    <col min="13086" max="13088" width="9" style="77"/>
    <col min="13089" max="13089" width="14.75" style="77" bestFit="1" customWidth="1"/>
    <col min="13090" max="13312" width="9" style="77"/>
    <col min="13313" max="13315" width="9" style="77" customWidth="1"/>
    <col min="13316" max="13316" width="10.5" style="77" customWidth="1"/>
    <col min="13317" max="13317" width="11.25" style="77" bestFit="1" customWidth="1"/>
    <col min="13318" max="13319" width="9" style="77"/>
    <col min="13320" max="13329" width="9" style="77" customWidth="1"/>
    <col min="13330" max="13330" width="9" style="77"/>
    <col min="13331" max="13331" width="9.5" style="77" bestFit="1" customWidth="1"/>
    <col min="13332" max="13332" width="9" style="77" customWidth="1"/>
    <col min="13333" max="13333" width="9" style="77"/>
    <col min="13334" max="13334" width="9" style="77" customWidth="1"/>
    <col min="13335" max="13340" width="9" style="77"/>
    <col min="13341" max="13341" width="26.5" style="77" customWidth="1"/>
    <col min="13342" max="13344" width="9" style="77"/>
    <col min="13345" max="13345" width="14.75" style="77" bestFit="1" customWidth="1"/>
    <col min="13346" max="13568" width="9" style="77"/>
    <col min="13569" max="13571" width="9" style="77" customWidth="1"/>
    <col min="13572" max="13572" width="10.5" style="77" customWidth="1"/>
    <col min="13573" max="13573" width="11.25" style="77" bestFit="1" customWidth="1"/>
    <col min="13574" max="13575" width="9" style="77"/>
    <col min="13576" max="13585" width="9" style="77" customWidth="1"/>
    <col min="13586" max="13586" width="9" style="77"/>
    <col min="13587" max="13587" width="9.5" style="77" bestFit="1" customWidth="1"/>
    <col min="13588" max="13588" width="9" style="77" customWidth="1"/>
    <col min="13589" max="13589" width="9" style="77"/>
    <col min="13590" max="13590" width="9" style="77" customWidth="1"/>
    <col min="13591" max="13596" width="9" style="77"/>
    <col min="13597" max="13597" width="26.5" style="77" customWidth="1"/>
    <col min="13598" max="13600" width="9" style="77"/>
    <col min="13601" max="13601" width="14.75" style="77" bestFit="1" customWidth="1"/>
    <col min="13602" max="13824" width="9" style="77"/>
    <col min="13825" max="13827" width="9" style="77" customWidth="1"/>
    <col min="13828" max="13828" width="10.5" style="77" customWidth="1"/>
    <col min="13829" max="13829" width="11.25" style="77" bestFit="1" customWidth="1"/>
    <col min="13830" max="13831" width="9" style="77"/>
    <col min="13832" max="13841" width="9" style="77" customWidth="1"/>
    <col min="13842" max="13842" width="9" style="77"/>
    <col min="13843" max="13843" width="9.5" style="77" bestFit="1" customWidth="1"/>
    <col min="13844" max="13844" width="9" style="77" customWidth="1"/>
    <col min="13845" max="13845" width="9" style="77"/>
    <col min="13846" max="13846" width="9" style="77" customWidth="1"/>
    <col min="13847" max="13852" width="9" style="77"/>
    <col min="13853" max="13853" width="26.5" style="77" customWidth="1"/>
    <col min="13854" max="13856" width="9" style="77"/>
    <col min="13857" max="13857" width="14.75" style="77" bestFit="1" customWidth="1"/>
    <col min="13858" max="14080" width="9" style="77"/>
    <col min="14081" max="14083" width="9" style="77" customWidth="1"/>
    <col min="14084" max="14084" width="10.5" style="77" customWidth="1"/>
    <col min="14085" max="14085" width="11.25" style="77" bestFit="1" customWidth="1"/>
    <col min="14086" max="14087" width="9" style="77"/>
    <col min="14088" max="14097" width="9" style="77" customWidth="1"/>
    <col min="14098" max="14098" width="9" style="77"/>
    <col min="14099" max="14099" width="9.5" style="77" bestFit="1" customWidth="1"/>
    <col min="14100" max="14100" width="9" style="77" customWidth="1"/>
    <col min="14101" max="14101" width="9" style="77"/>
    <col min="14102" max="14102" width="9" style="77" customWidth="1"/>
    <col min="14103" max="14108" width="9" style="77"/>
    <col min="14109" max="14109" width="26.5" style="77" customWidth="1"/>
    <col min="14110" max="14112" width="9" style="77"/>
    <col min="14113" max="14113" width="14.75" style="77" bestFit="1" customWidth="1"/>
    <col min="14114" max="14336" width="9" style="77"/>
    <col min="14337" max="14339" width="9" style="77" customWidth="1"/>
    <col min="14340" max="14340" width="10.5" style="77" customWidth="1"/>
    <col min="14341" max="14341" width="11.25" style="77" bestFit="1" customWidth="1"/>
    <col min="14342" max="14343" width="9" style="77"/>
    <col min="14344" max="14353" width="9" style="77" customWidth="1"/>
    <col min="14354" max="14354" width="9" style="77"/>
    <col min="14355" max="14355" width="9.5" style="77" bestFit="1" customWidth="1"/>
    <col min="14356" max="14356" width="9" style="77" customWidth="1"/>
    <col min="14357" max="14357" width="9" style="77"/>
    <col min="14358" max="14358" width="9" style="77" customWidth="1"/>
    <col min="14359" max="14364" width="9" style="77"/>
    <col min="14365" max="14365" width="26.5" style="77" customWidth="1"/>
    <col min="14366" max="14368" width="9" style="77"/>
    <col min="14369" max="14369" width="14.75" style="77" bestFit="1" customWidth="1"/>
    <col min="14370" max="14592" width="9" style="77"/>
    <col min="14593" max="14595" width="9" style="77" customWidth="1"/>
    <col min="14596" max="14596" width="10.5" style="77" customWidth="1"/>
    <col min="14597" max="14597" width="11.25" style="77" bestFit="1" customWidth="1"/>
    <col min="14598" max="14599" width="9" style="77"/>
    <col min="14600" max="14609" width="9" style="77" customWidth="1"/>
    <col min="14610" max="14610" width="9" style="77"/>
    <col min="14611" max="14611" width="9.5" style="77" bestFit="1" customWidth="1"/>
    <col min="14612" max="14612" width="9" style="77" customWidth="1"/>
    <col min="14613" max="14613" width="9" style="77"/>
    <col min="14614" max="14614" width="9" style="77" customWidth="1"/>
    <col min="14615" max="14620" width="9" style="77"/>
    <col min="14621" max="14621" width="26.5" style="77" customWidth="1"/>
    <col min="14622" max="14624" width="9" style="77"/>
    <col min="14625" max="14625" width="14.75" style="77" bestFit="1" customWidth="1"/>
    <col min="14626" max="14848" width="9" style="77"/>
    <col min="14849" max="14851" width="9" style="77" customWidth="1"/>
    <col min="14852" max="14852" width="10.5" style="77" customWidth="1"/>
    <col min="14853" max="14853" width="11.25" style="77" bestFit="1" customWidth="1"/>
    <col min="14854" max="14855" width="9" style="77"/>
    <col min="14856" max="14865" width="9" style="77" customWidth="1"/>
    <col min="14866" max="14866" width="9" style="77"/>
    <col min="14867" max="14867" width="9.5" style="77" bestFit="1" customWidth="1"/>
    <col min="14868" max="14868" width="9" style="77" customWidth="1"/>
    <col min="14869" max="14869" width="9" style="77"/>
    <col min="14870" max="14870" width="9" style="77" customWidth="1"/>
    <col min="14871" max="14876" width="9" style="77"/>
    <col min="14877" max="14877" width="26.5" style="77" customWidth="1"/>
    <col min="14878" max="14880" width="9" style="77"/>
    <col min="14881" max="14881" width="14.75" style="77" bestFit="1" customWidth="1"/>
    <col min="14882" max="15104" width="9" style="77"/>
    <col min="15105" max="15107" width="9" style="77" customWidth="1"/>
    <col min="15108" max="15108" width="10.5" style="77" customWidth="1"/>
    <col min="15109" max="15109" width="11.25" style="77" bestFit="1" customWidth="1"/>
    <col min="15110" max="15111" width="9" style="77"/>
    <col min="15112" max="15121" width="9" style="77" customWidth="1"/>
    <col min="15122" max="15122" width="9" style="77"/>
    <col min="15123" max="15123" width="9.5" style="77" bestFit="1" customWidth="1"/>
    <col min="15124" max="15124" width="9" style="77" customWidth="1"/>
    <col min="15125" max="15125" width="9" style="77"/>
    <col min="15126" max="15126" width="9" style="77" customWidth="1"/>
    <col min="15127" max="15132" width="9" style="77"/>
    <col min="15133" max="15133" width="26.5" style="77" customWidth="1"/>
    <col min="15134" max="15136" width="9" style="77"/>
    <col min="15137" max="15137" width="14.75" style="77" bestFit="1" customWidth="1"/>
    <col min="15138" max="15360" width="9" style="77"/>
    <col min="15361" max="15363" width="9" style="77" customWidth="1"/>
    <col min="15364" max="15364" width="10.5" style="77" customWidth="1"/>
    <col min="15365" max="15365" width="11.25" style="77" bestFit="1" customWidth="1"/>
    <col min="15366" max="15367" width="9" style="77"/>
    <col min="15368" max="15377" width="9" style="77" customWidth="1"/>
    <col min="15378" max="15378" width="9" style="77"/>
    <col min="15379" max="15379" width="9.5" style="77" bestFit="1" customWidth="1"/>
    <col min="15380" max="15380" width="9" style="77" customWidth="1"/>
    <col min="15381" max="15381" width="9" style="77"/>
    <col min="15382" max="15382" width="9" style="77" customWidth="1"/>
    <col min="15383" max="15388" width="9" style="77"/>
    <col min="15389" max="15389" width="26.5" style="77" customWidth="1"/>
    <col min="15390" max="15392" width="9" style="77"/>
    <col min="15393" max="15393" width="14.75" style="77" bestFit="1" customWidth="1"/>
    <col min="15394" max="15616" width="9" style="77"/>
    <col min="15617" max="15619" width="9" style="77" customWidth="1"/>
    <col min="15620" max="15620" width="10.5" style="77" customWidth="1"/>
    <col min="15621" max="15621" width="11.25" style="77" bestFit="1" customWidth="1"/>
    <col min="15622" max="15623" width="9" style="77"/>
    <col min="15624" max="15633" width="9" style="77" customWidth="1"/>
    <col min="15634" max="15634" width="9" style="77"/>
    <col min="15635" max="15635" width="9.5" style="77" bestFit="1" customWidth="1"/>
    <col min="15636" max="15636" width="9" style="77" customWidth="1"/>
    <col min="15637" max="15637" width="9" style="77"/>
    <col min="15638" max="15638" width="9" style="77" customWidth="1"/>
    <col min="15639" max="15644" width="9" style="77"/>
    <col min="15645" max="15645" width="26.5" style="77" customWidth="1"/>
    <col min="15646" max="15648" width="9" style="77"/>
    <col min="15649" max="15649" width="14.75" style="77" bestFit="1" customWidth="1"/>
    <col min="15650" max="15872" width="9" style="77"/>
    <col min="15873" max="15875" width="9" style="77" customWidth="1"/>
    <col min="15876" max="15876" width="10.5" style="77" customWidth="1"/>
    <col min="15877" max="15877" width="11.25" style="77" bestFit="1" customWidth="1"/>
    <col min="15878" max="15879" width="9" style="77"/>
    <col min="15880" max="15889" width="9" style="77" customWidth="1"/>
    <col min="15890" max="15890" width="9" style="77"/>
    <col min="15891" max="15891" width="9.5" style="77" bestFit="1" customWidth="1"/>
    <col min="15892" max="15892" width="9" style="77" customWidth="1"/>
    <col min="15893" max="15893" width="9" style="77"/>
    <col min="15894" max="15894" width="9" style="77" customWidth="1"/>
    <col min="15895" max="15900" width="9" style="77"/>
    <col min="15901" max="15901" width="26.5" style="77" customWidth="1"/>
    <col min="15902" max="15904" width="9" style="77"/>
    <col min="15905" max="15905" width="14.75" style="77" bestFit="1" customWidth="1"/>
    <col min="15906" max="16128" width="9" style="77"/>
    <col min="16129" max="16131" width="9" style="77" customWidth="1"/>
    <col min="16132" max="16132" width="10.5" style="77" customWidth="1"/>
    <col min="16133" max="16133" width="11.25" style="77" bestFit="1" customWidth="1"/>
    <col min="16134" max="16135" width="9" style="77"/>
    <col min="16136" max="16145" width="9" style="77" customWidth="1"/>
    <col min="16146" max="16146" width="9" style="77"/>
    <col min="16147" max="16147" width="9.5" style="77" bestFit="1" customWidth="1"/>
    <col min="16148" max="16148" width="9" style="77" customWidth="1"/>
    <col min="16149" max="16149" width="9" style="77"/>
    <col min="16150" max="16150" width="9" style="77" customWidth="1"/>
    <col min="16151" max="16156" width="9" style="77"/>
    <col min="16157" max="16157" width="26.5" style="77" customWidth="1"/>
    <col min="16158" max="16160" width="9" style="77"/>
    <col min="16161" max="16161" width="14.75" style="77" bestFit="1" customWidth="1"/>
    <col min="16162" max="16384" width="9" style="77"/>
  </cols>
  <sheetData>
    <row r="1" spans="1:53" ht="45" x14ac:dyDescent="0.15">
      <c r="A1" s="40" t="s">
        <v>324</v>
      </c>
      <c r="B1" s="92" t="s">
        <v>1</v>
      </c>
      <c r="C1" s="92" t="s">
        <v>118</v>
      </c>
      <c r="D1" s="93" t="s">
        <v>2</v>
      </c>
      <c r="E1" s="83" t="s">
        <v>245</v>
      </c>
      <c r="F1" s="83" t="s">
        <v>4</v>
      </c>
      <c r="G1" s="83" t="s">
        <v>5</v>
      </c>
      <c r="H1" s="83" t="s">
        <v>325</v>
      </c>
      <c r="I1" s="83" t="s">
        <v>7</v>
      </c>
      <c r="J1" s="83" t="s">
        <v>8</v>
      </c>
      <c r="K1" s="83" t="s">
        <v>9</v>
      </c>
      <c r="L1" s="93" t="s">
        <v>119</v>
      </c>
      <c r="M1" s="93" t="s">
        <v>10</v>
      </c>
      <c r="N1" s="93" t="s">
        <v>279</v>
      </c>
      <c r="O1" s="93" t="s">
        <v>120</v>
      </c>
      <c r="P1" s="93" t="s">
        <v>121</v>
      </c>
      <c r="Q1" s="3" t="s">
        <v>12</v>
      </c>
      <c r="R1" s="93" t="s">
        <v>122</v>
      </c>
      <c r="S1" s="93" t="s">
        <v>123</v>
      </c>
      <c r="T1" s="3" t="s">
        <v>13</v>
      </c>
      <c r="U1" s="114" t="s">
        <v>246</v>
      </c>
      <c r="V1" s="5" t="s">
        <v>14</v>
      </c>
      <c r="W1" s="93" t="s">
        <v>15</v>
      </c>
      <c r="X1" s="83" t="s">
        <v>16</v>
      </c>
      <c r="Y1" s="83" t="s">
        <v>17</v>
      </c>
      <c r="Z1" s="83" t="s">
        <v>18</v>
      </c>
      <c r="AA1" s="42" t="s">
        <v>19</v>
      </c>
      <c r="AB1" s="115" t="s">
        <v>124</v>
      </c>
      <c r="AE1" s="96" t="s">
        <v>0</v>
      </c>
      <c r="AF1" s="116"/>
      <c r="AG1" s="96" t="s">
        <v>3</v>
      </c>
      <c r="AH1" s="96" t="s">
        <v>4</v>
      </c>
      <c r="AI1" s="116"/>
      <c r="AJ1" s="96" t="s">
        <v>5</v>
      </c>
      <c r="AK1" s="116"/>
      <c r="AL1" s="10" t="s">
        <v>6</v>
      </c>
      <c r="AM1" s="116"/>
      <c r="AN1" s="10" t="s">
        <v>7</v>
      </c>
      <c r="AO1" s="116"/>
      <c r="AP1" s="10" t="s">
        <v>20</v>
      </c>
      <c r="AQ1" s="116"/>
      <c r="AR1" s="10" t="s">
        <v>9</v>
      </c>
      <c r="AS1" s="116"/>
      <c r="AT1" s="11" t="s">
        <v>21</v>
      </c>
      <c r="AU1" s="116"/>
      <c r="AV1" s="10" t="s">
        <v>22</v>
      </c>
      <c r="AX1" s="12" t="s">
        <v>125</v>
      </c>
      <c r="AY1" s="13" t="s">
        <v>126</v>
      </c>
      <c r="AZ1" s="13" t="s">
        <v>127</v>
      </c>
      <c r="BA1" s="14" t="s">
        <v>128</v>
      </c>
    </row>
    <row r="2" spans="1:53" s="48" customFormat="1" x14ac:dyDescent="0.15">
      <c r="A2" s="129" t="s">
        <v>48</v>
      </c>
      <c r="B2" s="129" t="s">
        <v>326</v>
      </c>
      <c r="C2" s="129">
        <v>2020</v>
      </c>
      <c r="D2" s="130" t="s">
        <v>327</v>
      </c>
      <c r="E2" s="129" t="s">
        <v>328</v>
      </c>
      <c r="F2" s="129" t="s">
        <v>329</v>
      </c>
      <c r="G2" s="129" t="s">
        <v>31</v>
      </c>
      <c r="H2" s="129" t="s">
        <v>166</v>
      </c>
      <c r="I2" s="77" t="s">
        <v>111</v>
      </c>
      <c r="J2" s="77" t="s">
        <v>27</v>
      </c>
      <c r="K2" s="77" t="s">
        <v>112</v>
      </c>
      <c r="L2" s="77">
        <v>1</v>
      </c>
      <c r="M2" s="77"/>
      <c r="N2" s="77">
        <v>1</v>
      </c>
      <c r="O2" s="77">
        <v>0.6</v>
      </c>
      <c r="P2" s="77">
        <v>0.5</v>
      </c>
      <c r="Q2" s="44">
        <f t="shared" ref="Q2:Q65" si="0">IF(OR(O2="",P2=""),"",AVERAGE(O2,P2))</f>
        <v>0.55000000000000004</v>
      </c>
      <c r="R2" s="77">
        <v>17.7</v>
      </c>
      <c r="S2" s="77">
        <v>149</v>
      </c>
      <c r="T2" s="16">
        <f t="shared" ref="T2:T65" si="1">IF(H2="","",IF(OR(H2="GREEN",H2="GK"),IF(S2&gt;=$AX$2,VLOOKUP(S2,$AX$2:$AY$15,2,1),""),IF(S2&gt;=$AZ$2,VLOOKUP(S2,$AZ$2:$BA$15,2,1),"")))</f>
        <v>22</v>
      </c>
      <c r="U2" s="77">
        <v>128</v>
      </c>
      <c r="V2" s="131">
        <f>IF(OR(N2="",U2="",T2=""),"",U2/N2*T2)</f>
        <v>2816</v>
      </c>
      <c r="W2" s="77">
        <v>13</v>
      </c>
      <c r="X2" s="77" t="s">
        <v>35</v>
      </c>
      <c r="Y2" s="77" t="s">
        <v>55</v>
      </c>
      <c r="Z2" s="77" t="s">
        <v>43</v>
      </c>
      <c r="AA2" s="77" t="s">
        <v>64</v>
      </c>
      <c r="AB2" s="129" t="s">
        <v>330</v>
      </c>
      <c r="AC2" s="34"/>
      <c r="AE2" s="103" t="s">
        <v>24</v>
      </c>
      <c r="AG2" s="132" t="s">
        <v>331</v>
      </c>
      <c r="AH2" s="132" t="s">
        <v>329</v>
      </c>
      <c r="AJ2" s="49" t="s">
        <v>25</v>
      </c>
      <c r="AL2" s="106" t="s">
        <v>107</v>
      </c>
      <c r="AN2" s="49" t="s">
        <v>26</v>
      </c>
      <c r="AP2" s="50" t="s">
        <v>27</v>
      </c>
      <c r="AR2" s="50" t="s">
        <v>129</v>
      </c>
      <c r="AT2" s="49" t="s">
        <v>28</v>
      </c>
      <c r="AV2" s="50" t="s">
        <v>29</v>
      </c>
      <c r="AX2" s="133">
        <v>1</v>
      </c>
      <c r="AY2" s="134">
        <v>50</v>
      </c>
      <c r="AZ2" s="134">
        <v>1</v>
      </c>
      <c r="BA2" s="135">
        <v>50</v>
      </c>
    </row>
    <row r="3" spans="1:53" x14ac:dyDescent="0.15">
      <c r="A3" s="129" t="s">
        <v>48</v>
      </c>
      <c r="B3" s="129" t="s">
        <v>326</v>
      </c>
      <c r="C3" s="129">
        <v>2020</v>
      </c>
      <c r="D3" s="130" t="s">
        <v>327</v>
      </c>
      <c r="E3" s="129" t="s">
        <v>332</v>
      </c>
      <c r="F3" s="129" t="s">
        <v>329</v>
      </c>
      <c r="G3" s="129" t="s">
        <v>31</v>
      </c>
      <c r="H3" s="129" t="s">
        <v>166</v>
      </c>
      <c r="I3" s="77" t="s">
        <v>111</v>
      </c>
      <c r="J3" s="77" t="s">
        <v>27</v>
      </c>
      <c r="K3" s="77" t="s">
        <v>112</v>
      </c>
      <c r="L3" s="77">
        <v>2</v>
      </c>
      <c r="N3" s="77">
        <v>1</v>
      </c>
      <c r="O3" s="77">
        <v>0.55000000000000004</v>
      </c>
      <c r="P3" s="77">
        <v>0.55000000000000004</v>
      </c>
      <c r="Q3" s="44">
        <f t="shared" si="0"/>
        <v>0.55000000000000004</v>
      </c>
      <c r="R3" s="77">
        <v>17.8</v>
      </c>
      <c r="S3" s="77">
        <v>149.5</v>
      </c>
      <c r="T3" s="16">
        <f t="shared" si="1"/>
        <v>22</v>
      </c>
      <c r="U3" s="77">
        <v>128</v>
      </c>
      <c r="V3" s="131">
        <f t="shared" ref="V3:V66" si="2">IF(OR(N3="",U3="",T3=""),"",U3/N3*T3)</f>
        <v>2816</v>
      </c>
      <c r="W3" s="77">
        <v>13</v>
      </c>
      <c r="X3" s="77" t="s">
        <v>35</v>
      </c>
      <c r="Y3" s="77" t="s">
        <v>55</v>
      </c>
      <c r="Z3" s="77" t="s">
        <v>43</v>
      </c>
      <c r="AA3" s="77" t="s">
        <v>64</v>
      </c>
      <c r="AB3" s="129" t="s">
        <v>330</v>
      </c>
      <c r="AC3" s="34"/>
      <c r="AE3" s="22" t="s">
        <v>30</v>
      </c>
      <c r="AG3" s="132" t="s">
        <v>333</v>
      </c>
      <c r="AH3" s="132" t="s">
        <v>334</v>
      </c>
      <c r="AJ3" s="80" t="s">
        <v>31</v>
      </c>
      <c r="AL3" s="80" t="s">
        <v>108</v>
      </c>
      <c r="AN3" s="80" t="s">
        <v>32</v>
      </c>
      <c r="AP3" s="80" t="s">
        <v>33</v>
      </c>
      <c r="AR3" s="80" t="s">
        <v>34</v>
      </c>
      <c r="AT3" s="80" t="s">
        <v>35</v>
      </c>
      <c r="AV3" s="80" t="s">
        <v>36</v>
      </c>
      <c r="AX3" s="24">
        <v>72</v>
      </c>
      <c r="AY3" s="25">
        <v>46</v>
      </c>
      <c r="AZ3" s="25">
        <v>71</v>
      </c>
      <c r="BA3" s="26">
        <v>42</v>
      </c>
    </row>
    <row r="4" spans="1:53" x14ac:dyDescent="0.15">
      <c r="A4" s="129" t="s">
        <v>48</v>
      </c>
      <c r="B4" s="129" t="s">
        <v>326</v>
      </c>
      <c r="C4" s="129">
        <v>2020</v>
      </c>
      <c r="D4" s="130" t="s">
        <v>327</v>
      </c>
      <c r="E4" s="129" t="s">
        <v>332</v>
      </c>
      <c r="F4" s="129" t="s">
        <v>329</v>
      </c>
      <c r="G4" s="129" t="s">
        <v>31</v>
      </c>
      <c r="H4" s="129" t="s">
        <v>166</v>
      </c>
      <c r="I4" s="77" t="s">
        <v>111</v>
      </c>
      <c r="J4" s="77" t="s">
        <v>27</v>
      </c>
      <c r="K4" s="77" t="s">
        <v>112</v>
      </c>
      <c r="L4" s="77">
        <v>3</v>
      </c>
      <c r="N4" s="77">
        <v>1</v>
      </c>
      <c r="O4" s="77">
        <v>0.55000000000000004</v>
      </c>
      <c r="P4" s="77">
        <v>0.6</v>
      </c>
      <c r="Q4" s="44">
        <f t="shared" si="0"/>
        <v>0.57499999999999996</v>
      </c>
      <c r="R4" s="77">
        <v>17.5</v>
      </c>
      <c r="S4" s="77">
        <v>170</v>
      </c>
      <c r="T4" s="16">
        <f t="shared" si="1"/>
        <v>18</v>
      </c>
      <c r="U4" s="77">
        <v>128</v>
      </c>
      <c r="V4" s="131">
        <f t="shared" si="2"/>
        <v>2304</v>
      </c>
      <c r="W4" s="77">
        <v>13</v>
      </c>
      <c r="X4" s="77" t="s">
        <v>35</v>
      </c>
      <c r="Y4" s="77" t="s">
        <v>55</v>
      </c>
      <c r="Z4" s="77" t="s">
        <v>43</v>
      </c>
      <c r="AA4" s="77" t="s">
        <v>64</v>
      </c>
      <c r="AB4" s="129" t="s">
        <v>330</v>
      </c>
      <c r="AC4" s="34"/>
      <c r="AE4" s="22" t="s">
        <v>23</v>
      </c>
      <c r="AG4" s="132" t="s">
        <v>335</v>
      </c>
      <c r="AH4" s="132" t="s">
        <v>336</v>
      </c>
      <c r="AJ4" s="27" t="s">
        <v>37</v>
      </c>
      <c r="AL4" s="80" t="s">
        <v>109</v>
      </c>
      <c r="AN4" s="28" t="s">
        <v>38</v>
      </c>
      <c r="AP4" s="80" t="s">
        <v>130</v>
      </c>
      <c r="AR4" s="80" t="s">
        <v>131</v>
      </c>
      <c r="AT4" s="28"/>
      <c r="AV4" s="80" t="s">
        <v>39</v>
      </c>
      <c r="AX4" s="24">
        <v>75</v>
      </c>
      <c r="AY4" s="25">
        <v>42</v>
      </c>
      <c r="AZ4" s="25">
        <v>76</v>
      </c>
      <c r="BA4" s="26">
        <v>39</v>
      </c>
    </row>
    <row r="5" spans="1:53" x14ac:dyDescent="0.15">
      <c r="A5" s="129" t="s">
        <v>48</v>
      </c>
      <c r="B5" s="129" t="s">
        <v>326</v>
      </c>
      <c r="C5" s="129">
        <v>2020</v>
      </c>
      <c r="D5" s="130" t="s">
        <v>327</v>
      </c>
      <c r="E5" s="129" t="s">
        <v>328</v>
      </c>
      <c r="F5" s="129" t="s">
        <v>329</v>
      </c>
      <c r="G5" s="129" t="s">
        <v>31</v>
      </c>
      <c r="H5" s="129" t="s">
        <v>166</v>
      </c>
      <c r="I5" s="77" t="s">
        <v>111</v>
      </c>
      <c r="J5" s="77" t="s">
        <v>27</v>
      </c>
      <c r="K5" s="77" t="s">
        <v>112</v>
      </c>
      <c r="L5" s="77">
        <v>1</v>
      </c>
      <c r="N5" s="77">
        <v>4</v>
      </c>
      <c r="O5" s="77">
        <v>0.6</v>
      </c>
      <c r="P5" s="77">
        <v>0.6</v>
      </c>
      <c r="Q5" s="44">
        <f>IF(OR(O5="",P5=""),"",AVERAGE(O5,P5))</f>
        <v>0.6</v>
      </c>
      <c r="R5" s="77">
        <v>17.100000000000001</v>
      </c>
      <c r="S5" s="77">
        <v>92.5</v>
      </c>
      <c r="T5" s="16">
        <f t="shared" si="1"/>
        <v>36</v>
      </c>
      <c r="U5" s="77">
        <v>398</v>
      </c>
      <c r="V5" s="131">
        <f t="shared" si="2"/>
        <v>3582</v>
      </c>
      <c r="W5" s="77">
        <v>13</v>
      </c>
      <c r="X5" s="77" t="s">
        <v>35</v>
      </c>
      <c r="Y5" s="77" t="s">
        <v>55</v>
      </c>
      <c r="Z5" s="77" t="s">
        <v>43</v>
      </c>
      <c r="AA5" s="77" t="s">
        <v>64</v>
      </c>
      <c r="AB5" s="129" t="s">
        <v>330</v>
      </c>
      <c r="AC5" s="34"/>
      <c r="AE5" s="22" t="s">
        <v>40</v>
      </c>
      <c r="AG5" s="132" t="s">
        <v>337</v>
      </c>
      <c r="AH5" s="132" t="s">
        <v>338</v>
      </c>
      <c r="AJ5" s="27"/>
      <c r="AL5" s="80" t="s">
        <v>132</v>
      </c>
      <c r="AN5" s="111" t="s">
        <v>133</v>
      </c>
      <c r="AP5" s="80" t="s">
        <v>134</v>
      </c>
      <c r="AR5" s="80" t="s">
        <v>42</v>
      </c>
      <c r="AV5" s="80" t="s">
        <v>43</v>
      </c>
      <c r="AX5" s="24">
        <v>84</v>
      </c>
      <c r="AY5" s="25">
        <v>39</v>
      </c>
      <c r="AZ5" s="25">
        <v>84</v>
      </c>
      <c r="BA5" s="26">
        <v>36</v>
      </c>
    </row>
    <row r="6" spans="1:53" x14ac:dyDescent="0.15">
      <c r="A6" s="129" t="s">
        <v>48</v>
      </c>
      <c r="B6" s="129" t="s">
        <v>326</v>
      </c>
      <c r="C6" s="129">
        <v>2020</v>
      </c>
      <c r="D6" s="130" t="s">
        <v>327</v>
      </c>
      <c r="E6" s="129" t="s">
        <v>332</v>
      </c>
      <c r="F6" s="129" t="s">
        <v>329</v>
      </c>
      <c r="G6" s="129" t="s">
        <v>31</v>
      </c>
      <c r="H6" s="129" t="s">
        <v>166</v>
      </c>
      <c r="I6" s="77" t="s">
        <v>111</v>
      </c>
      <c r="J6" s="77" t="s">
        <v>27</v>
      </c>
      <c r="K6" s="77" t="s">
        <v>112</v>
      </c>
      <c r="L6" s="77">
        <v>2</v>
      </c>
      <c r="N6" s="77">
        <v>4</v>
      </c>
      <c r="O6" s="77">
        <v>0.5</v>
      </c>
      <c r="P6" s="77">
        <v>0.55000000000000004</v>
      </c>
      <c r="Q6" s="44">
        <f t="shared" si="0"/>
        <v>0.52500000000000002</v>
      </c>
      <c r="R6" s="77">
        <v>17.5</v>
      </c>
      <c r="S6" s="77">
        <v>104.5</v>
      </c>
      <c r="T6" s="16">
        <f t="shared" si="1"/>
        <v>33</v>
      </c>
      <c r="U6" s="77">
        <v>398</v>
      </c>
      <c r="V6" s="131">
        <f t="shared" si="2"/>
        <v>3283.5</v>
      </c>
      <c r="W6" s="77">
        <v>13</v>
      </c>
      <c r="X6" s="77" t="s">
        <v>35</v>
      </c>
      <c r="Y6" s="77" t="s">
        <v>55</v>
      </c>
      <c r="Z6" s="77" t="s">
        <v>43</v>
      </c>
      <c r="AA6" s="77" t="s">
        <v>64</v>
      </c>
      <c r="AB6" s="129" t="s">
        <v>330</v>
      </c>
      <c r="AC6" s="34"/>
      <c r="AE6" s="22" t="s">
        <v>44</v>
      </c>
      <c r="AG6" s="132" t="s">
        <v>339</v>
      </c>
      <c r="AH6" s="132" t="s">
        <v>340</v>
      </c>
      <c r="AJ6" s="27"/>
      <c r="AL6" s="80" t="s">
        <v>135</v>
      </c>
      <c r="AN6" s="111" t="s">
        <v>136</v>
      </c>
      <c r="AP6" s="80" t="s">
        <v>41</v>
      </c>
      <c r="AR6" s="80" t="s">
        <v>46</v>
      </c>
      <c r="AV6" s="80" t="s">
        <v>47</v>
      </c>
      <c r="AX6" s="24">
        <v>97</v>
      </c>
      <c r="AY6" s="25">
        <v>36</v>
      </c>
      <c r="AZ6" s="25">
        <v>99</v>
      </c>
      <c r="BA6" s="26">
        <v>33</v>
      </c>
    </row>
    <row r="7" spans="1:53" x14ac:dyDescent="0.15">
      <c r="A7" s="129" t="s">
        <v>48</v>
      </c>
      <c r="B7" s="129" t="s">
        <v>326</v>
      </c>
      <c r="C7" s="129">
        <v>2020</v>
      </c>
      <c r="D7" s="130" t="s">
        <v>327</v>
      </c>
      <c r="E7" s="129" t="s">
        <v>332</v>
      </c>
      <c r="F7" s="129" t="s">
        <v>329</v>
      </c>
      <c r="G7" s="129" t="s">
        <v>31</v>
      </c>
      <c r="H7" s="129" t="s">
        <v>166</v>
      </c>
      <c r="I7" s="77" t="s">
        <v>111</v>
      </c>
      <c r="J7" s="77" t="s">
        <v>27</v>
      </c>
      <c r="K7" s="77" t="s">
        <v>112</v>
      </c>
      <c r="L7" s="77">
        <v>3</v>
      </c>
      <c r="N7" s="77">
        <v>4</v>
      </c>
      <c r="O7" s="77">
        <v>0.2</v>
      </c>
      <c r="P7" s="77">
        <v>0.2</v>
      </c>
      <c r="Q7" s="44">
        <f t="shared" si="0"/>
        <v>0.2</v>
      </c>
      <c r="R7" s="77">
        <v>15.9</v>
      </c>
      <c r="S7" s="77">
        <v>101.5</v>
      </c>
      <c r="T7" s="16">
        <f t="shared" si="1"/>
        <v>33</v>
      </c>
      <c r="U7" s="77">
        <v>398</v>
      </c>
      <c r="V7" s="131">
        <f t="shared" si="2"/>
        <v>3283.5</v>
      </c>
      <c r="W7" s="77">
        <v>13</v>
      </c>
      <c r="X7" s="77" t="s">
        <v>35</v>
      </c>
      <c r="Y7" s="77" t="s">
        <v>55</v>
      </c>
      <c r="Z7" s="77" t="s">
        <v>43</v>
      </c>
      <c r="AA7" s="77" t="s">
        <v>64</v>
      </c>
      <c r="AB7" s="129" t="s">
        <v>330</v>
      </c>
      <c r="AC7" s="34"/>
      <c r="AE7" s="22" t="s">
        <v>48</v>
      </c>
      <c r="AG7" s="132" t="s">
        <v>341</v>
      </c>
      <c r="AH7" s="132" t="s">
        <v>340</v>
      </c>
      <c r="AJ7" s="27"/>
      <c r="AL7" s="86" t="s">
        <v>137</v>
      </c>
      <c r="AN7" s="111"/>
      <c r="AP7" s="80" t="s">
        <v>45</v>
      </c>
      <c r="AR7" s="80" t="s">
        <v>102</v>
      </c>
      <c r="AV7" s="80" t="s">
        <v>51</v>
      </c>
      <c r="AX7" s="24">
        <v>109</v>
      </c>
      <c r="AY7" s="25">
        <v>33</v>
      </c>
      <c r="AZ7" s="25">
        <v>113</v>
      </c>
      <c r="BA7" s="26">
        <v>30</v>
      </c>
    </row>
    <row r="8" spans="1:53" x14ac:dyDescent="0.15">
      <c r="A8" s="129" t="s">
        <v>48</v>
      </c>
      <c r="B8" s="129" t="s">
        <v>326</v>
      </c>
      <c r="C8" s="129">
        <v>2020</v>
      </c>
      <c r="D8" s="130" t="s">
        <v>327</v>
      </c>
      <c r="E8" s="129" t="s">
        <v>328</v>
      </c>
      <c r="F8" s="129" t="s">
        <v>329</v>
      </c>
      <c r="G8" s="129" t="s">
        <v>31</v>
      </c>
      <c r="H8" s="129" t="s">
        <v>113</v>
      </c>
      <c r="I8" s="77" t="s">
        <v>111</v>
      </c>
      <c r="J8" s="77" t="s">
        <v>27</v>
      </c>
      <c r="K8" s="77" t="s">
        <v>112</v>
      </c>
      <c r="L8" s="77">
        <v>1</v>
      </c>
      <c r="N8" s="77">
        <v>8</v>
      </c>
      <c r="O8" s="77">
        <v>0.65</v>
      </c>
      <c r="P8" s="77">
        <v>0.75</v>
      </c>
      <c r="Q8" s="44">
        <f t="shared" si="0"/>
        <v>0.7</v>
      </c>
      <c r="R8" s="77">
        <v>16.600000000000001</v>
      </c>
      <c r="S8" s="77">
        <v>84.5</v>
      </c>
      <c r="T8" s="16">
        <f t="shared" si="1"/>
        <v>36</v>
      </c>
      <c r="U8" s="77">
        <v>498</v>
      </c>
      <c r="V8" s="131">
        <f t="shared" si="2"/>
        <v>2241</v>
      </c>
      <c r="W8" s="77">
        <v>13</v>
      </c>
      <c r="X8" s="77" t="s">
        <v>35</v>
      </c>
      <c r="Y8" s="77" t="s">
        <v>55</v>
      </c>
      <c r="Z8" s="77" t="s">
        <v>43</v>
      </c>
      <c r="AA8" s="77" t="s">
        <v>64</v>
      </c>
      <c r="AB8" s="129" t="s">
        <v>330</v>
      </c>
      <c r="AC8" s="34"/>
      <c r="AE8" s="22" t="s">
        <v>46</v>
      </c>
      <c r="AG8" s="132" t="s">
        <v>342</v>
      </c>
      <c r="AH8" s="132" t="s">
        <v>343</v>
      </c>
      <c r="AJ8" s="28"/>
      <c r="AL8" s="86" t="s">
        <v>110</v>
      </c>
      <c r="AN8" s="111"/>
      <c r="AP8" s="80" t="s">
        <v>49</v>
      </c>
      <c r="AR8" s="80" t="s">
        <v>67</v>
      </c>
      <c r="AV8" s="80" t="s">
        <v>82</v>
      </c>
      <c r="AX8" s="24">
        <v>119</v>
      </c>
      <c r="AY8" s="25">
        <v>30</v>
      </c>
      <c r="AZ8" s="25">
        <v>121</v>
      </c>
      <c r="BA8" s="26">
        <v>27</v>
      </c>
    </row>
    <row r="9" spans="1:53" x14ac:dyDescent="0.15">
      <c r="A9" s="129" t="s">
        <v>48</v>
      </c>
      <c r="B9" s="129" t="s">
        <v>326</v>
      </c>
      <c r="C9" s="129">
        <v>2020</v>
      </c>
      <c r="D9" s="130" t="s">
        <v>327</v>
      </c>
      <c r="E9" s="129" t="s">
        <v>332</v>
      </c>
      <c r="F9" s="129" t="s">
        <v>329</v>
      </c>
      <c r="G9" s="129" t="s">
        <v>31</v>
      </c>
      <c r="H9" s="129" t="s">
        <v>113</v>
      </c>
      <c r="I9" s="77" t="s">
        <v>111</v>
      </c>
      <c r="J9" s="77" t="s">
        <v>27</v>
      </c>
      <c r="K9" s="77" t="s">
        <v>112</v>
      </c>
      <c r="L9" s="77">
        <v>2</v>
      </c>
      <c r="N9" s="77">
        <v>8</v>
      </c>
      <c r="O9" s="34">
        <v>1</v>
      </c>
      <c r="P9" s="77">
        <v>0.95</v>
      </c>
      <c r="Q9" s="44">
        <f t="shared" si="0"/>
        <v>0.97499999999999998</v>
      </c>
      <c r="R9" s="34">
        <v>15.7</v>
      </c>
      <c r="S9" s="77">
        <v>83</v>
      </c>
      <c r="T9" s="16">
        <f t="shared" si="1"/>
        <v>39</v>
      </c>
      <c r="U9" s="77">
        <v>498</v>
      </c>
      <c r="V9" s="131">
        <f t="shared" si="2"/>
        <v>2427.75</v>
      </c>
      <c r="W9" s="77">
        <v>13</v>
      </c>
      <c r="X9" s="77" t="s">
        <v>35</v>
      </c>
      <c r="Y9" s="77" t="s">
        <v>55</v>
      </c>
      <c r="Z9" s="77" t="s">
        <v>43</v>
      </c>
      <c r="AA9" s="77" t="s">
        <v>64</v>
      </c>
      <c r="AB9" s="129" t="s">
        <v>330</v>
      </c>
      <c r="AC9" s="34"/>
      <c r="AE9" s="22" t="s">
        <v>83</v>
      </c>
      <c r="AG9" s="132" t="s">
        <v>344</v>
      </c>
      <c r="AH9" s="132" t="s">
        <v>345</v>
      </c>
      <c r="AL9" s="80" t="s">
        <v>139</v>
      </c>
      <c r="AN9" s="111"/>
      <c r="AP9" s="80" t="s">
        <v>80</v>
      </c>
      <c r="AR9" s="80" t="s">
        <v>75</v>
      </c>
      <c r="AV9" s="80" t="s">
        <v>86</v>
      </c>
      <c r="AX9" s="24">
        <v>128</v>
      </c>
      <c r="AY9" s="25">
        <v>27</v>
      </c>
      <c r="AZ9" s="25">
        <v>129</v>
      </c>
      <c r="BA9" s="26">
        <v>25</v>
      </c>
    </row>
    <row r="10" spans="1:53" x14ac:dyDescent="0.15">
      <c r="A10" s="129" t="s">
        <v>48</v>
      </c>
      <c r="B10" s="129" t="s">
        <v>326</v>
      </c>
      <c r="C10" s="129">
        <v>2020</v>
      </c>
      <c r="D10" s="130" t="s">
        <v>327</v>
      </c>
      <c r="E10" s="129" t="s">
        <v>332</v>
      </c>
      <c r="F10" s="129" t="s">
        <v>329</v>
      </c>
      <c r="G10" s="129" t="s">
        <v>31</v>
      </c>
      <c r="H10" s="129" t="s">
        <v>113</v>
      </c>
      <c r="I10" s="77" t="s">
        <v>111</v>
      </c>
      <c r="J10" s="77" t="s">
        <v>27</v>
      </c>
      <c r="K10" s="77" t="s">
        <v>112</v>
      </c>
      <c r="L10" s="77">
        <v>3</v>
      </c>
      <c r="N10" s="77">
        <v>8</v>
      </c>
      <c r="O10" s="34">
        <v>0.9</v>
      </c>
      <c r="P10" s="77">
        <v>0.85</v>
      </c>
      <c r="Q10" s="44">
        <f t="shared" si="0"/>
        <v>0.875</v>
      </c>
      <c r="R10" s="77">
        <v>14</v>
      </c>
      <c r="S10" s="77">
        <v>93</v>
      </c>
      <c r="T10" s="16">
        <f t="shared" si="1"/>
        <v>36</v>
      </c>
      <c r="U10" s="77">
        <v>498</v>
      </c>
      <c r="V10" s="131">
        <f t="shared" si="2"/>
        <v>2241</v>
      </c>
      <c r="W10" s="77">
        <v>13</v>
      </c>
      <c r="X10" s="77" t="s">
        <v>35</v>
      </c>
      <c r="Y10" s="77" t="s">
        <v>55</v>
      </c>
      <c r="Z10" s="77" t="s">
        <v>43</v>
      </c>
      <c r="AA10" s="77" t="s">
        <v>64</v>
      </c>
      <c r="AB10" s="129" t="s">
        <v>330</v>
      </c>
      <c r="AC10" s="34"/>
      <c r="AE10" s="22" t="s">
        <v>87</v>
      </c>
      <c r="AG10" s="132" t="s">
        <v>346</v>
      </c>
      <c r="AH10" s="132" t="s">
        <v>347</v>
      </c>
      <c r="AL10" s="111"/>
      <c r="AP10" s="80" t="s">
        <v>84</v>
      </c>
      <c r="AR10" s="80" t="s">
        <v>103</v>
      </c>
      <c r="AV10" s="80" t="s">
        <v>90</v>
      </c>
      <c r="AX10" s="24">
        <v>138</v>
      </c>
      <c r="AY10" s="25">
        <v>25</v>
      </c>
      <c r="AZ10" s="25">
        <v>138</v>
      </c>
      <c r="BA10" s="26">
        <v>22</v>
      </c>
    </row>
    <row r="11" spans="1:53" x14ac:dyDescent="0.15">
      <c r="A11" s="129" t="s">
        <v>48</v>
      </c>
      <c r="B11" s="129" t="s">
        <v>326</v>
      </c>
      <c r="C11" s="129">
        <v>2020</v>
      </c>
      <c r="D11" s="130" t="s">
        <v>327</v>
      </c>
      <c r="E11" s="129" t="s">
        <v>348</v>
      </c>
      <c r="F11" s="129" t="s">
        <v>334</v>
      </c>
      <c r="G11" s="129" t="s">
        <v>25</v>
      </c>
      <c r="H11" s="129" t="s">
        <v>166</v>
      </c>
      <c r="I11" s="77" t="s">
        <v>111</v>
      </c>
      <c r="J11" s="77" t="s">
        <v>27</v>
      </c>
      <c r="K11" s="77" t="s">
        <v>112</v>
      </c>
      <c r="L11" s="77">
        <v>1</v>
      </c>
      <c r="N11" s="77">
        <v>1</v>
      </c>
      <c r="O11" s="77">
        <v>0.6</v>
      </c>
      <c r="P11" s="77">
        <v>0.6</v>
      </c>
      <c r="Q11" s="44">
        <f t="shared" si="0"/>
        <v>0.6</v>
      </c>
      <c r="R11" s="77">
        <v>14.7</v>
      </c>
      <c r="S11" s="77">
        <v>125.5</v>
      </c>
      <c r="T11" s="16">
        <f t="shared" si="1"/>
        <v>27</v>
      </c>
      <c r="U11" s="77">
        <v>138</v>
      </c>
      <c r="V11" s="131">
        <f t="shared" si="2"/>
        <v>3726</v>
      </c>
      <c r="W11" s="77">
        <v>20</v>
      </c>
      <c r="X11" s="77" t="s">
        <v>35</v>
      </c>
      <c r="Y11" s="77" t="s">
        <v>43</v>
      </c>
      <c r="Z11" s="77" t="s">
        <v>55</v>
      </c>
      <c r="AA11" s="77" t="s">
        <v>64</v>
      </c>
      <c r="AB11" s="129" t="s">
        <v>330</v>
      </c>
      <c r="AC11" s="34"/>
      <c r="AE11" s="22" t="s">
        <v>52</v>
      </c>
      <c r="AG11" s="132" t="s">
        <v>349</v>
      </c>
      <c r="AH11" s="132" t="s">
        <v>347</v>
      </c>
      <c r="AL11" s="136"/>
      <c r="AP11" s="80" t="s">
        <v>88</v>
      </c>
      <c r="AR11" s="80" t="s">
        <v>73</v>
      </c>
      <c r="AV11" s="86" t="s">
        <v>350</v>
      </c>
      <c r="AX11" s="24">
        <v>151</v>
      </c>
      <c r="AY11" s="25">
        <v>22</v>
      </c>
      <c r="AZ11" s="25">
        <v>152</v>
      </c>
      <c r="BA11" s="26">
        <v>18</v>
      </c>
    </row>
    <row r="12" spans="1:53" x14ac:dyDescent="0.15">
      <c r="A12" s="129" t="s">
        <v>48</v>
      </c>
      <c r="B12" s="129" t="s">
        <v>326</v>
      </c>
      <c r="C12" s="129">
        <v>2020</v>
      </c>
      <c r="D12" s="130" t="s">
        <v>327</v>
      </c>
      <c r="E12" s="129" t="s">
        <v>348</v>
      </c>
      <c r="F12" s="129" t="s">
        <v>334</v>
      </c>
      <c r="G12" s="129" t="s">
        <v>25</v>
      </c>
      <c r="H12" s="129" t="s">
        <v>166</v>
      </c>
      <c r="I12" s="77" t="s">
        <v>111</v>
      </c>
      <c r="J12" s="77" t="s">
        <v>27</v>
      </c>
      <c r="K12" s="77" t="s">
        <v>112</v>
      </c>
      <c r="L12" s="77">
        <v>2</v>
      </c>
      <c r="N12" s="77">
        <v>1</v>
      </c>
      <c r="O12" s="77">
        <v>0.5</v>
      </c>
      <c r="P12" s="77">
        <v>0.5</v>
      </c>
      <c r="Q12" s="44">
        <f t="shared" si="0"/>
        <v>0.5</v>
      </c>
      <c r="R12" s="34">
        <v>15.2</v>
      </c>
      <c r="S12" s="77">
        <v>131</v>
      </c>
      <c r="T12" s="16">
        <f t="shared" si="1"/>
        <v>25</v>
      </c>
      <c r="U12" s="77">
        <v>138</v>
      </c>
      <c r="V12" s="131">
        <f t="shared" si="2"/>
        <v>3450</v>
      </c>
      <c r="W12" s="77">
        <v>20</v>
      </c>
      <c r="X12" s="77" t="s">
        <v>35</v>
      </c>
      <c r="Y12" s="77" t="s">
        <v>43</v>
      </c>
      <c r="Z12" s="77" t="s">
        <v>55</v>
      </c>
      <c r="AA12" s="77" t="s">
        <v>64</v>
      </c>
      <c r="AB12" s="129" t="s">
        <v>330</v>
      </c>
      <c r="AC12" s="34"/>
      <c r="AE12" s="22" t="s">
        <v>56</v>
      </c>
      <c r="AG12" s="80"/>
      <c r="AH12" s="22"/>
      <c r="AL12" s="136"/>
      <c r="AP12" s="80" t="s">
        <v>53</v>
      </c>
      <c r="AR12" s="80" t="s">
        <v>104</v>
      </c>
      <c r="AV12" s="86" t="s">
        <v>351</v>
      </c>
      <c r="AX12" s="24">
        <v>180</v>
      </c>
      <c r="AY12" s="25">
        <v>18</v>
      </c>
      <c r="AZ12" s="25">
        <v>181</v>
      </c>
      <c r="BA12" s="26">
        <v>16</v>
      </c>
    </row>
    <row r="13" spans="1:53" x14ac:dyDescent="0.15">
      <c r="A13" s="129" t="s">
        <v>48</v>
      </c>
      <c r="B13" s="129" t="s">
        <v>326</v>
      </c>
      <c r="C13" s="129">
        <v>2020</v>
      </c>
      <c r="D13" s="130" t="s">
        <v>327</v>
      </c>
      <c r="E13" s="129" t="s">
        <v>348</v>
      </c>
      <c r="F13" s="129" t="s">
        <v>334</v>
      </c>
      <c r="G13" s="129" t="s">
        <v>25</v>
      </c>
      <c r="H13" s="129" t="s">
        <v>166</v>
      </c>
      <c r="I13" s="77" t="s">
        <v>111</v>
      </c>
      <c r="J13" s="77" t="s">
        <v>27</v>
      </c>
      <c r="K13" s="77" t="s">
        <v>112</v>
      </c>
      <c r="L13" s="77">
        <v>3</v>
      </c>
      <c r="N13" s="77">
        <v>1</v>
      </c>
      <c r="O13" s="77">
        <v>0.55000000000000004</v>
      </c>
      <c r="P13" s="77">
        <v>0.5</v>
      </c>
      <c r="Q13" s="44">
        <f t="shared" si="0"/>
        <v>0.52500000000000002</v>
      </c>
      <c r="R13" s="77">
        <v>14</v>
      </c>
      <c r="S13" s="77">
        <v>136.5</v>
      </c>
      <c r="T13" s="16">
        <f t="shared" si="1"/>
        <v>25</v>
      </c>
      <c r="U13" s="77">
        <v>138</v>
      </c>
      <c r="V13" s="131">
        <f t="shared" si="2"/>
        <v>3450</v>
      </c>
      <c r="W13" s="77">
        <v>20</v>
      </c>
      <c r="X13" s="77" t="s">
        <v>35</v>
      </c>
      <c r="Y13" s="77" t="s">
        <v>43</v>
      </c>
      <c r="Z13" s="77" t="s">
        <v>55</v>
      </c>
      <c r="AA13" s="77" t="s">
        <v>64</v>
      </c>
      <c r="AB13" s="129" t="s">
        <v>330</v>
      </c>
      <c r="AC13" s="34"/>
      <c r="AE13" s="22" t="s">
        <v>59</v>
      </c>
      <c r="AG13" s="80"/>
      <c r="AH13" s="22"/>
      <c r="AL13" s="137"/>
      <c r="AP13" s="80" t="s">
        <v>57</v>
      </c>
      <c r="AR13" s="80" t="s">
        <v>87</v>
      </c>
      <c r="AV13" s="86" t="s">
        <v>352</v>
      </c>
      <c r="AX13" s="24"/>
      <c r="AY13" s="25"/>
      <c r="AZ13" s="25"/>
      <c r="BA13" s="26"/>
    </row>
    <row r="14" spans="1:53" x14ac:dyDescent="0.15">
      <c r="A14" s="129" t="s">
        <v>48</v>
      </c>
      <c r="B14" s="129" t="s">
        <v>326</v>
      </c>
      <c r="C14" s="129">
        <v>2020</v>
      </c>
      <c r="D14" s="130" t="s">
        <v>327</v>
      </c>
      <c r="E14" s="129" t="s">
        <v>348</v>
      </c>
      <c r="F14" s="129" t="s">
        <v>334</v>
      </c>
      <c r="G14" s="129" t="s">
        <v>25</v>
      </c>
      <c r="H14" s="129" t="s">
        <v>166</v>
      </c>
      <c r="I14" s="77" t="s">
        <v>111</v>
      </c>
      <c r="J14" s="77" t="s">
        <v>27</v>
      </c>
      <c r="K14" s="77" t="s">
        <v>112</v>
      </c>
      <c r="L14" s="77">
        <v>1</v>
      </c>
      <c r="N14" s="77">
        <v>4</v>
      </c>
      <c r="O14" s="77">
        <v>0.55000000000000004</v>
      </c>
      <c r="P14" s="77">
        <v>0.5</v>
      </c>
      <c r="Q14" s="44">
        <f t="shared" si="0"/>
        <v>0.52500000000000002</v>
      </c>
      <c r="R14" s="77">
        <v>15.5</v>
      </c>
      <c r="S14" s="77">
        <v>107</v>
      </c>
      <c r="T14" s="16">
        <f t="shared" si="1"/>
        <v>33</v>
      </c>
      <c r="U14" s="77">
        <v>398</v>
      </c>
      <c r="V14" s="131">
        <f t="shared" si="2"/>
        <v>3283.5</v>
      </c>
      <c r="W14" s="77">
        <v>20</v>
      </c>
      <c r="X14" s="77" t="s">
        <v>35</v>
      </c>
      <c r="Y14" s="77" t="s">
        <v>43</v>
      </c>
      <c r="Z14" s="77" t="s">
        <v>55</v>
      </c>
      <c r="AA14" s="77" t="s">
        <v>64</v>
      </c>
      <c r="AB14" s="129" t="s">
        <v>330</v>
      </c>
      <c r="AC14" s="34"/>
      <c r="AE14" s="22" t="s">
        <v>62</v>
      </c>
      <c r="AG14" s="80"/>
      <c r="AH14" s="22"/>
      <c r="AL14" s="34"/>
      <c r="AP14" s="80" t="s">
        <v>60</v>
      </c>
      <c r="AR14" s="80" t="s">
        <v>105</v>
      </c>
      <c r="AV14" s="86" t="s">
        <v>353</v>
      </c>
      <c r="AX14" s="24"/>
      <c r="AY14" s="25"/>
      <c r="AZ14" s="25"/>
      <c r="BA14" s="26"/>
    </row>
    <row r="15" spans="1:53" x14ac:dyDescent="0.15">
      <c r="A15" s="129" t="s">
        <v>48</v>
      </c>
      <c r="B15" s="129" t="s">
        <v>326</v>
      </c>
      <c r="C15" s="129">
        <v>2020</v>
      </c>
      <c r="D15" s="130" t="s">
        <v>327</v>
      </c>
      <c r="E15" s="129" t="s">
        <v>348</v>
      </c>
      <c r="F15" s="129" t="s">
        <v>334</v>
      </c>
      <c r="G15" s="129" t="s">
        <v>25</v>
      </c>
      <c r="H15" s="129" t="s">
        <v>166</v>
      </c>
      <c r="I15" s="77" t="s">
        <v>111</v>
      </c>
      <c r="J15" s="77" t="s">
        <v>27</v>
      </c>
      <c r="K15" s="77" t="s">
        <v>112</v>
      </c>
      <c r="L15" s="77">
        <v>2</v>
      </c>
      <c r="N15" s="77">
        <v>4</v>
      </c>
      <c r="O15" s="77">
        <v>0.5</v>
      </c>
      <c r="P15" s="77">
        <v>0.5</v>
      </c>
      <c r="Q15" s="44">
        <f t="shared" si="0"/>
        <v>0.5</v>
      </c>
      <c r="R15" s="34">
        <v>15.4</v>
      </c>
      <c r="S15" s="77">
        <v>107.5</v>
      </c>
      <c r="T15" s="16">
        <f t="shared" si="1"/>
        <v>33</v>
      </c>
      <c r="U15" s="77">
        <v>398</v>
      </c>
      <c r="V15" s="131">
        <f t="shared" si="2"/>
        <v>3283.5</v>
      </c>
      <c r="W15" s="77">
        <v>20</v>
      </c>
      <c r="X15" s="77" t="s">
        <v>35</v>
      </c>
      <c r="Y15" s="77" t="s">
        <v>43</v>
      </c>
      <c r="Z15" s="77" t="s">
        <v>55</v>
      </c>
      <c r="AA15" s="77" t="s">
        <v>64</v>
      </c>
      <c r="AB15" s="129" t="s">
        <v>330</v>
      </c>
      <c r="AC15" s="34"/>
      <c r="AE15" s="22" t="s">
        <v>65</v>
      </c>
      <c r="AG15" s="80"/>
      <c r="AH15" s="80"/>
      <c r="AL15" s="34"/>
      <c r="AP15" s="80" t="s">
        <v>63</v>
      </c>
      <c r="AR15" s="80" t="s">
        <v>79</v>
      </c>
      <c r="AV15" s="86" t="s">
        <v>354</v>
      </c>
      <c r="AX15" s="31"/>
      <c r="AY15" s="32"/>
      <c r="AZ15" s="32"/>
      <c r="BA15" s="33"/>
    </row>
    <row r="16" spans="1:53" x14ac:dyDescent="0.15">
      <c r="A16" s="129" t="s">
        <v>48</v>
      </c>
      <c r="B16" s="129" t="s">
        <v>326</v>
      </c>
      <c r="C16" s="129">
        <v>2020</v>
      </c>
      <c r="D16" s="130" t="s">
        <v>327</v>
      </c>
      <c r="E16" s="129" t="s">
        <v>348</v>
      </c>
      <c r="F16" s="129" t="s">
        <v>334</v>
      </c>
      <c r="G16" s="129" t="s">
        <v>25</v>
      </c>
      <c r="H16" s="129" t="s">
        <v>166</v>
      </c>
      <c r="I16" s="77" t="s">
        <v>111</v>
      </c>
      <c r="J16" s="77" t="s">
        <v>27</v>
      </c>
      <c r="K16" s="77" t="s">
        <v>112</v>
      </c>
      <c r="L16" s="77">
        <v>3</v>
      </c>
      <c r="N16" s="77">
        <v>4</v>
      </c>
      <c r="O16" s="77">
        <v>0.5</v>
      </c>
      <c r="P16" s="77">
        <v>0.5</v>
      </c>
      <c r="Q16" s="44">
        <f t="shared" si="0"/>
        <v>0.5</v>
      </c>
      <c r="R16" s="77">
        <v>16.399999999999999</v>
      </c>
      <c r="S16" s="77">
        <v>107.5</v>
      </c>
      <c r="T16" s="16">
        <f t="shared" si="1"/>
        <v>33</v>
      </c>
      <c r="U16" s="77">
        <v>398</v>
      </c>
      <c r="V16" s="131">
        <f t="shared" si="2"/>
        <v>3283.5</v>
      </c>
      <c r="W16" s="77">
        <v>20</v>
      </c>
      <c r="X16" s="77" t="s">
        <v>35</v>
      </c>
      <c r="Y16" s="77" t="s">
        <v>43</v>
      </c>
      <c r="Z16" s="77" t="s">
        <v>55</v>
      </c>
      <c r="AA16" s="77" t="s">
        <v>64</v>
      </c>
      <c r="AB16" s="129" t="s">
        <v>330</v>
      </c>
      <c r="AC16" s="34"/>
      <c r="AE16" s="22" t="s">
        <v>68</v>
      </c>
      <c r="AG16" s="80"/>
      <c r="AH16" s="80"/>
      <c r="AP16" s="80" t="s">
        <v>66</v>
      </c>
      <c r="AR16" s="80" t="s">
        <v>50</v>
      </c>
      <c r="AV16" s="86" t="s">
        <v>355</v>
      </c>
    </row>
    <row r="17" spans="1:48" x14ac:dyDescent="0.15">
      <c r="A17" s="129" t="s">
        <v>48</v>
      </c>
      <c r="B17" s="129" t="s">
        <v>326</v>
      </c>
      <c r="C17" s="129">
        <v>2020</v>
      </c>
      <c r="D17" s="130" t="s">
        <v>327</v>
      </c>
      <c r="E17" s="129" t="s">
        <v>348</v>
      </c>
      <c r="F17" s="129" t="s">
        <v>334</v>
      </c>
      <c r="G17" s="129" t="s">
        <v>25</v>
      </c>
      <c r="H17" s="129" t="s">
        <v>113</v>
      </c>
      <c r="I17" s="77" t="s">
        <v>111</v>
      </c>
      <c r="J17" s="77" t="s">
        <v>27</v>
      </c>
      <c r="K17" s="77" t="s">
        <v>112</v>
      </c>
      <c r="L17" s="77">
        <v>1</v>
      </c>
      <c r="N17" s="77">
        <v>1</v>
      </c>
      <c r="O17" s="77">
        <v>0.65</v>
      </c>
      <c r="P17" s="77">
        <v>0.6</v>
      </c>
      <c r="Q17" s="44">
        <f t="shared" si="0"/>
        <v>0.625</v>
      </c>
      <c r="R17" s="77">
        <v>16.2</v>
      </c>
      <c r="S17" s="77">
        <v>129.5</v>
      </c>
      <c r="T17" s="16">
        <f t="shared" si="1"/>
        <v>25</v>
      </c>
      <c r="U17" s="77">
        <v>98</v>
      </c>
      <c r="V17" s="131">
        <f t="shared" si="2"/>
        <v>2450</v>
      </c>
      <c r="W17" s="77">
        <v>20</v>
      </c>
      <c r="X17" s="77" t="s">
        <v>35</v>
      </c>
      <c r="Y17" s="77" t="s">
        <v>43</v>
      </c>
      <c r="Z17" s="77" t="s">
        <v>55</v>
      </c>
      <c r="AA17" s="77" t="s">
        <v>64</v>
      </c>
      <c r="AB17" s="129" t="s">
        <v>330</v>
      </c>
      <c r="AC17" s="34"/>
      <c r="AE17" s="22" t="s">
        <v>71</v>
      </c>
      <c r="AP17" s="27" t="s">
        <v>93</v>
      </c>
      <c r="AR17" s="80" t="s">
        <v>81</v>
      </c>
      <c r="AV17" s="86" t="s">
        <v>356</v>
      </c>
    </row>
    <row r="18" spans="1:48" x14ac:dyDescent="0.15">
      <c r="A18" s="129" t="s">
        <v>48</v>
      </c>
      <c r="B18" s="129" t="s">
        <v>326</v>
      </c>
      <c r="C18" s="129">
        <v>2020</v>
      </c>
      <c r="D18" s="130" t="s">
        <v>327</v>
      </c>
      <c r="E18" s="129" t="s">
        <v>348</v>
      </c>
      <c r="F18" s="129" t="s">
        <v>334</v>
      </c>
      <c r="G18" s="129" t="s">
        <v>25</v>
      </c>
      <c r="H18" s="129" t="s">
        <v>113</v>
      </c>
      <c r="I18" s="77" t="s">
        <v>111</v>
      </c>
      <c r="J18" s="77" t="s">
        <v>27</v>
      </c>
      <c r="K18" s="77" t="s">
        <v>112</v>
      </c>
      <c r="L18" s="77">
        <v>2</v>
      </c>
      <c r="N18" s="77">
        <v>1</v>
      </c>
      <c r="O18" s="77">
        <v>0.85</v>
      </c>
      <c r="P18" s="77">
        <v>0.75</v>
      </c>
      <c r="Q18" s="44">
        <f t="shared" si="0"/>
        <v>0.8</v>
      </c>
      <c r="R18" s="34">
        <v>14.5</v>
      </c>
      <c r="S18" s="77">
        <v>127.5</v>
      </c>
      <c r="T18" s="16">
        <f t="shared" si="1"/>
        <v>27</v>
      </c>
      <c r="U18" s="77">
        <v>98</v>
      </c>
      <c r="V18" s="131">
        <f t="shared" si="2"/>
        <v>2646</v>
      </c>
      <c r="W18" s="77">
        <v>20</v>
      </c>
      <c r="X18" s="77" t="s">
        <v>35</v>
      </c>
      <c r="Y18" s="77" t="s">
        <v>43</v>
      </c>
      <c r="Z18" s="77" t="s">
        <v>55</v>
      </c>
      <c r="AA18" s="77" t="s">
        <v>64</v>
      </c>
      <c r="AB18" s="129" t="s">
        <v>330</v>
      </c>
      <c r="AC18" s="34"/>
      <c r="AE18" s="22" t="s">
        <v>73</v>
      </c>
      <c r="AP18" s="27" t="s">
        <v>94</v>
      </c>
      <c r="AR18" s="80" t="s">
        <v>85</v>
      </c>
      <c r="AV18" s="86" t="s">
        <v>114</v>
      </c>
    </row>
    <row r="19" spans="1:48" x14ac:dyDescent="0.15">
      <c r="A19" s="129" t="s">
        <v>48</v>
      </c>
      <c r="B19" s="129" t="s">
        <v>326</v>
      </c>
      <c r="C19" s="129">
        <v>2020</v>
      </c>
      <c r="D19" s="130" t="s">
        <v>327</v>
      </c>
      <c r="E19" s="129" t="s">
        <v>348</v>
      </c>
      <c r="F19" s="129" t="s">
        <v>334</v>
      </c>
      <c r="G19" s="129" t="s">
        <v>25</v>
      </c>
      <c r="H19" s="129" t="s">
        <v>113</v>
      </c>
      <c r="I19" s="77" t="s">
        <v>111</v>
      </c>
      <c r="J19" s="77" t="s">
        <v>27</v>
      </c>
      <c r="K19" s="77" t="s">
        <v>112</v>
      </c>
      <c r="L19" s="77">
        <v>3</v>
      </c>
      <c r="N19" s="77">
        <v>1</v>
      </c>
      <c r="O19" s="34">
        <v>0.9</v>
      </c>
      <c r="P19" s="77">
        <v>0.75</v>
      </c>
      <c r="Q19" s="44">
        <f t="shared" si="0"/>
        <v>0.82499999999999996</v>
      </c>
      <c r="R19" s="77">
        <v>13.8</v>
      </c>
      <c r="S19" s="77">
        <v>134</v>
      </c>
      <c r="T19" s="16">
        <f t="shared" si="1"/>
        <v>25</v>
      </c>
      <c r="U19" s="77">
        <v>98</v>
      </c>
      <c r="V19" s="131">
        <f t="shared" si="2"/>
        <v>2450</v>
      </c>
      <c r="W19" s="77">
        <v>20</v>
      </c>
      <c r="X19" s="77" t="s">
        <v>35</v>
      </c>
      <c r="Y19" s="77" t="s">
        <v>43</v>
      </c>
      <c r="Z19" s="77" t="s">
        <v>55</v>
      </c>
      <c r="AA19" s="77" t="s">
        <v>64</v>
      </c>
      <c r="AB19" s="129" t="s">
        <v>330</v>
      </c>
      <c r="AC19" s="34"/>
      <c r="AE19" s="35" t="s">
        <v>75</v>
      </c>
      <c r="AP19" s="27" t="s">
        <v>95</v>
      </c>
      <c r="AR19" s="80" t="s">
        <v>106</v>
      </c>
      <c r="AV19" s="86" t="s">
        <v>357</v>
      </c>
    </row>
    <row r="20" spans="1:48" x14ac:dyDescent="0.15">
      <c r="A20" s="129" t="s">
        <v>48</v>
      </c>
      <c r="B20" s="129" t="s">
        <v>326</v>
      </c>
      <c r="C20" s="129">
        <v>2020</v>
      </c>
      <c r="D20" s="130" t="s">
        <v>327</v>
      </c>
      <c r="E20" s="129" t="s">
        <v>348</v>
      </c>
      <c r="F20" s="129" t="s">
        <v>334</v>
      </c>
      <c r="G20" s="129" t="s">
        <v>25</v>
      </c>
      <c r="H20" s="129" t="s">
        <v>113</v>
      </c>
      <c r="I20" s="77" t="s">
        <v>111</v>
      </c>
      <c r="J20" s="77" t="s">
        <v>27</v>
      </c>
      <c r="K20" s="77" t="s">
        <v>112</v>
      </c>
      <c r="L20" s="77">
        <v>1</v>
      </c>
      <c r="N20" s="77">
        <v>8</v>
      </c>
      <c r="O20" s="77">
        <v>0.6</v>
      </c>
      <c r="P20" s="77">
        <v>0.85</v>
      </c>
      <c r="Q20" s="44">
        <f t="shared" si="0"/>
        <v>0.72499999999999998</v>
      </c>
      <c r="R20" s="77">
        <v>11.2</v>
      </c>
      <c r="S20" s="77">
        <v>84</v>
      </c>
      <c r="T20" s="16">
        <f t="shared" si="1"/>
        <v>36</v>
      </c>
      <c r="U20" s="77">
        <v>498</v>
      </c>
      <c r="V20" s="131">
        <f t="shared" si="2"/>
        <v>2241</v>
      </c>
      <c r="W20" s="77">
        <v>20</v>
      </c>
      <c r="X20" s="77" t="s">
        <v>35</v>
      </c>
      <c r="Y20" s="77" t="s">
        <v>43</v>
      </c>
      <c r="Z20" s="77" t="s">
        <v>55</v>
      </c>
      <c r="AA20" s="77" t="s">
        <v>64</v>
      </c>
      <c r="AB20" s="129" t="s">
        <v>330</v>
      </c>
      <c r="AC20" s="34"/>
      <c r="AE20" s="22"/>
      <c r="AP20" s="27" t="s">
        <v>96</v>
      </c>
      <c r="AR20" s="80" t="s">
        <v>89</v>
      </c>
      <c r="AV20" s="86" t="s">
        <v>358</v>
      </c>
    </row>
    <row r="21" spans="1:48" x14ac:dyDescent="0.15">
      <c r="A21" s="129" t="s">
        <v>48</v>
      </c>
      <c r="B21" s="129" t="s">
        <v>326</v>
      </c>
      <c r="C21" s="129">
        <v>2020</v>
      </c>
      <c r="D21" s="130" t="s">
        <v>327</v>
      </c>
      <c r="E21" s="129" t="s">
        <v>348</v>
      </c>
      <c r="F21" s="129" t="s">
        <v>334</v>
      </c>
      <c r="G21" s="129" t="s">
        <v>25</v>
      </c>
      <c r="H21" s="129" t="s">
        <v>113</v>
      </c>
      <c r="I21" s="77" t="s">
        <v>111</v>
      </c>
      <c r="J21" s="77" t="s">
        <v>27</v>
      </c>
      <c r="K21" s="77" t="s">
        <v>112</v>
      </c>
      <c r="L21" s="77">
        <v>2</v>
      </c>
      <c r="N21" s="77">
        <v>8</v>
      </c>
      <c r="O21" s="77">
        <v>0.5</v>
      </c>
      <c r="P21" s="77">
        <v>0.5</v>
      </c>
      <c r="Q21" s="44">
        <f t="shared" si="0"/>
        <v>0.5</v>
      </c>
      <c r="R21" s="77">
        <v>14.5</v>
      </c>
      <c r="S21" s="77">
        <v>85</v>
      </c>
      <c r="T21" s="16">
        <f t="shared" si="1"/>
        <v>36</v>
      </c>
      <c r="U21" s="77">
        <v>498</v>
      </c>
      <c r="V21" s="131">
        <f t="shared" si="2"/>
        <v>2241</v>
      </c>
      <c r="W21" s="77">
        <v>20</v>
      </c>
      <c r="X21" s="77" t="s">
        <v>35</v>
      </c>
      <c r="Y21" s="77" t="s">
        <v>43</v>
      </c>
      <c r="Z21" s="77" t="s">
        <v>55</v>
      </c>
      <c r="AA21" s="77" t="s">
        <v>64</v>
      </c>
      <c r="AB21" s="129" t="s">
        <v>330</v>
      </c>
      <c r="AC21" s="34"/>
      <c r="AE21" s="22"/>
      <c r="AP21" s="27" t="s">
        <v>97</v>
      </c>
      <c r="AR21" s="80" t="s">
        <v>54</v>
      </c>
      <c r="AV21" s="86" t="s">
        <v>359</v>
      </c>
    </row>
    <row r="22" spans="1:48" x14ac:dyDescent="0.15">
      <c r="A22" s="129" t="s">
        <v>48</v>
      </c>
      <c r="B22" s="129" t="s">
        <v>326</v>
      </c>
      <c r="C22" s="129">
        <v>2020</v>
      </c>
      <c r="D22" s="130" t="s">
        <v>327</v>
      </c>
      <c r="E22" s="129" t="s">
        <v>348</v>
      </c>
      <c r="F22" s="129" t="s">
        <v>334</v>
      </c>
      <c r="G22" s="129" t="s">
        <v>25</v>
      </c>
      <c r="H22" s="129" t="s">
        <v>113</v>
      </c>
      <c r="I22" s="77" t="s">
        <v>111</v>
      </c>
      <c r="J22" s="77" t="s">
        <v>27</v>
      </c>
      <c r="K22" s="77" t="s">
        <v>112</v>
      </c>
      <c r="L22" s="77">
        <v>3</v>
      </c>
      <c r="N22" s="77">
        <v>8</v>
      </c>
      <c r="O22" s="34">
        <v>0.55000000000000004</v>
      </c>
      <c r="P22" s="77">
        <v>0.5</v>
      </c>
      <c r="Q22" s="44">
        <f t="shared" si="0"/>
        <v>0.52500000000000002</v>
      </c>
      <c r="R22" s="77">
        <v>14.7</v>
      </c>
      <c r="S22" s="77">
        <v>85.5</v>
      </c>
      <c r="T22" s="16">
        <f t="shared" si="1"/>
        <v>36</v>
      </c>
      <c r="U22" s="77">
        <v>498</v>
      </c>
      <c r="V22" s="131">
        <f t="shared" si="2"/>
        <v>2241</v>
      </c>
      <c r="W22" s="77">
        <v>20</v>
      </c>
      <c r="X22" s="77" t="s">
        <v>35</v>
      </c>
      <c r="Y22" s="77" t="s">
        <v>43</v>
      </c>
      <c r="Z22" s="77" t="s">
        <v>55</v>
      </c>
      <c r="AA22" s="77" t="s">
        <v>64</v>
      </c>
      <c r="AB22" s="129" t="s">
        <v>330</v>
      </c>
      <c r="AC22" s="34"/>
      <c r="AE22" s="35"/>
      <c r="AP22" s="27" t="s">
        <v>98</v>
      </c>
      <c r="AR22" s="80" t="s">
        <v>69</v>
      </c>
      <c r="AV22" s="80"/>
    </row>
    <row r="23" spans="1:48" x14ac:dyDescent="0.15">
      <c r="A23" s="129" t="s">
        <v>48</v>
      </c>
      <c r="B23" s="129" t="s">
        <v>326</v>
      </c>
      <c r="C23" s="129">
        <v>2020</v>
      </c>
      <c r="D23" s="130" t="s">
        <v>327</v>
      </c>
      <c r="E23" s="129" t="s">
        <v>348</v>
      </c>
      <c r="F23" s="129" t="s">
        <v>334</v>
      </c>
      <c r="G23" s="129" t="s">
        <v>25</v>
      </c>
      <c r="H23" s="129" t="s">
        <v>113</v>
      </c>
      <c r="I23" s="77" t="s">
        <v>165</v>
      </c>
      <c r="J23" s="77" t="s">
        <v>27</v>
      </c>
      <c r="K23" s="77" t="s">
        <v>112</v>
      </c>
      <c r="L23" s="77">
        <v>1</v>
      </c>
      <c r="N23" s="77">
        <v>5</v>
      </c>
      <c r="O23" s="77">
        <v>0.65</v>
      </c>
      <c r="P23" s="77">
        <v>0.6</v>
      </c>
      <c r="Q23" s="44">
        <f t="shared" si="0"/>
        <v>0.625</v>
      </c>
      <c r="R23" s="77">
        <v>11</v>
      </c>
      <c r="S23" s="77">
        <v>77</v>
      </c>
      <c r="T23" s="16">
        <f t="shared" si="1"/>
        <v>39</v>
      </c>
      <c r="U23" s="77">
        <v>355</v>
      </c>
      <c r="V23" s="131">
        <f t="shared" si="2"/>
        <v>2769</v>
      </c>
      <c r="W23" s="77">
        <v>20</v>
      </c>
      <c r="X23" s="77" t="s">
        <v>35</v>
      </c>
      <c r="Y23" s="77" t="s">
        <v>43</v>
      </c>
      <c r="Z23" s="77" t="s">
        <v>55</v>
      </c>
      <c r="AA23" s="77" t="s">
        <v>64</v>
      </c>
      <c r="AB23" s="129" t="s">
        <v>330</v>
      </c>
      <c r="AC23" s="34"/>
      <c r="AE23" s="22"/>
      <c r="AP23" s="27" t="s">
        <v>116</v>
      </c>
      <c r="AR23" s="80" t="s">
        <v>48</v>
      </c>
    </row>
    <row r="24" spans="1:48" x14ac:dyDescent="0.15">
      <c r="A24" s="129" t="s">
        <v>48</v>
      </c>
      <c r="B24" s="129" t="s">
        <v>326</v>
      </c>
      <c r="C24" s="129">
        <v>2020</v>
      </c>
      <c r="D24" s="130" t="s">
        <v>327</v>
      </c>
      <c r="E24" s="129" t="s">
        <v>348</v>
      </c>
      <c r="F24" s="129" t="s">
        <v>334</v>
      </c>
      <c r="G24" s="129" t="s">
        <v>25</v>
      </c>
      <c r="H24" s="129" t="s">
        <v>113</v>
      </c>
      <c r="I24" s="77" t="s">
        <v>165</v>
      </c>
      <c r="J24" s="77" t="s">
        <v>27</v>
      </c>
      <c r="K24" s="77" t="s">
        <v>112</v>
      </c>
      <c r="L24" s="77">
        <v>2</v>
      </c>
      <c r="N24" s="77">
        <v>5</v>
      </c>
      <c r="O24" s="77">
        <v>0.75</v>
      </c>
      <c r="P24" s="77">
        <v>0.8</v>
      </c>
      <c r="Q24" s="44">
        <f t="shared" si="0"/>
        <v>0.77500000000000002</v>
      </c>
      <c r="R24" s="77">
        <v>13.7</v>
      </c>
      <c r="S24" s="77">
        <v>80</v>
      </c>
      <c r="T24" s="16">
        <f t="shared" si="1"/>
        <v>39</v>
      </c>
      <c r="U24" s="77">
        <v>355</v>
      </c>
      <c r="V24" s="131">
        <f t="shared" si="2"/>
        <v>2769</v>
      </c>
      <c r="W24" s="77">
        <v>20</v>
      </c>
      <c r="X24" s="77" t="s">
        <v>35</v>
      </c>
      <c r="Y24" s="77" t="s">
        <v>43</v>
      </c>
      <c r="Z24" s="77" t="s">
        <v>55</v>
      </c>
      <c r="AA24" s="77" t="s">
        <v>64</v>
      </c>
      <c r="AB24" s="129" t="s">
        <v>330</v>
      </c>
      <c r="AC24" s="34"/>
      <c r="AE24" s="22"/>
      <c r="AP24" s="27" t="s">
        <v>117</v>
      </c>
      <c r="AR24" s="80" t="s">
        <v>77</v>
      </c>
    </row>
    <row r="25" spans="1:48" x14ac:dyDescent="0.15">
      <c r="A25" s="129" t="s">
        <v>48</v>
      </c>
      <c r="B25" s="129" t="s">
        <v>326</v>
      </c>
      <c r="C25" s="129">
        <v>2020</v>
      </c>
      <c r="D25" s="130" t="s">
        <v>327</v>
      </c>
      <c r="E25" s="129" t="s">
        <v>348</v>
      </c>
      <c r="F25" s="129" t="s">
        <v>334</v>
      </c>
      <c r="G25" s="129" t="s">
        <v>25</v>
      </c>
      <c r="H25" s="129" t="s">
        <v>113</v>
      </c>
      <c r="I25" s="77" t="s">
        <v>165</v>
      </c>
      <c r="J25" s="77" t="s">
        <v>27</v>
      </c>
      <c r="K25" s="77" t="s">
        <v>112</v>
      </c>
      <c r="L25" s="77">
        <v>3</v>
      </c>
      <c r="N25" s="77">
        <v>5</v>
      </c>
      <c r="O25" s="34">
        <v>0.5</v>
      </c>
      <c r="P25" s="77">
        <v>0.5</v>
      </c>
      <c r="Q25" s="44">
        <f t="shared" si="0"/>
        <v>0.5</v>
      </c>
      <c r="R25" s="77">
        <v>15.2</v>
      </c>
      <c r="S25" s="77">
        <v>83</v>
      </c>
      <c r="T25" s="16">
        <f t="shared" si="1"/>
        <v>39</v>
      </c>
      <c r="U25" s="77">
        <v>355</v>
      </c>
      <c r="V25" s="131">
        <f t="shared" si="2"/>
        <v>2769</v>
      </c>
      <c r="W25" s="77">
        <v>20</v>
      </c>
      <c r="X25" s="77" t="s">
        <v>35</v>
      </c>
      <c r="Y25" s="77" t="s">
        <v>43</v>
      </c>
      <c r="Z25" s="77" t="s">
        <v>55</v>
      </c>
      <c r="AA25" s="77" t="s">
        <v>64</v>
      </c>
      <c r="AB25" s="129" t="s">
        <v>330</v>
      </c>
      <c r="AC25" s="34"/>
      <c r="AE25" s="35"/>
      <c r="AP25" s="27" t="s">
        <v>99</v>
      </c>
      <c r="AR25" s="27" t="s">
        <v>78</v>
      </c>
    </row>
    <row r="26" spans="1:48" x14ac:dyDescent="0.15">
      <c r="A26" s="129" t="s">
        <v>48</v>
      </c>
      <c r="B26" s="129" t="s">
        <v>326</v>
      </c>
      <c r="C26" s="129">
        <v>2020</v>
      </c>
      <c r="D26" s="130" t="s">
        <v>327</v>
      </c>
      <c r="E26" s="129" t="s">
        <v>335</v>
      </c>
      <c r="F26" s="129" t="s">
        <v>336</v>
      </c>
      <c r="G26" s="129" t="s">
        <v>31</v>
      </c>
      <c r="H26" s="129" t="s">
        <v>166</v>
      </c>
      <c r="I26" s="77" t="s">
        <v>111</v>
      </c>
      <c r="J26" s="77" t="s">
        <v>27</v>
      </c>
      <c r="K26" s="77" t="s">
        <v>112</v>
      </c>
      <c r="L26" s="77">
        <v>1</v>
      </c>
      <c r="N26" s="77">
        <v>1</v>
      </c>
      <c r="O26" s="77">
        <v>0.5</v>
      </c>
      <c r="P26" s="34">
        <v>0.5</v>
      </c>
      <c r="Q26" s="44">
        <f t="shared" si="0"/>
        <v>0.5</v>
      </c>
      <c r="R26" s="77">
        <v>15</v>
      </c>
      <c r="S26" s="77">
        <v>132.5</v>
      </c>
      <c r="T26" s="16">
        <f t="shared" si="1"/>
        <v>25</v>
      </c>
      <c r="U26" s="77">
        <v>146</v>
      </c>
      <c r="V26" s="131">
        <f t="shared" si="2"/>
        <v>3650</v>
      </c>
      <c r="W26" s="77">
        <v>4</v>
      </c>
      <c r="X26" s="77" t="s">
        <v>28</v>
      </c>
      <c r="Y26" s="77" t="s">
        <v>43</v>
      </c>
      <c r="Z26" s="77" t="s">
        <v>74</v>
      </c>
      <c r="AA26" s="77" t="s">
        <v>64</v>
      </c>
      <c r="AB26" s="129" t="s">
        <v>330</v>
      </c>
      <c r="AC26" s="34"/>
      <c r="AD26" s="34"/>
      <c r="AE26" s="35"/>
      <c r="AP26" s="27" t="s">
        <v>100</v>
      </c>
      <c r="AR26" s="80" t="s">
        <v>138</v>
      </c>
    </row>
    <row r="27" spans="1:48" x14ac:dyDescent="0.15">
      <c r="A27" s="129" t="s">
        <v>48</v>
      </c>
      <c r="B27" s="129" t="s">
        <v>326</v>
      </c>
      <c r="C27" s="129">
        <v>2020</v>
      </c>
      <c r="D27" s="130" t="s">
        <v>327</v>
      </c>
      <c r="E27" s="129" t="s">
        <v>335</v>
      </c>
      <c r="F27" s="129" t="s">
        <v>336</v>
      </c>
      <c r="G27" s="129" t="s">
        <v>31</v>
      </c>
      <c r="H27" s="129" t="s">
        <v>166</v>
      </c>
      <c r="I27" s="77" t="s">
        <v>111</v>
      </c>
      <c r="J27" s="77" t="s">
        <v>27</v>
      </c>
      <c r="K27" s="77" t="s">
        <v>112</v>
      </c>
      <c r="L27" s="77">
        <v>2</v>
      </c>
      <c r="N27" s="77">
        <v>1</v>
      </c>
      <c r="O27" s="77">
        <v>0.2</v>
      </c>
      <c r="P27" s="34">
        <v>0.2</v>
      </c>
      <c r="Q27" s="44">
        <f t="shared" si="0"/>
        <v>0.2</v>
      </c>
      <c r="R27" s="77">
        <v>16.100000000000001</v>
      </c>
      <c r="S27" s="77">
        <v>146.5</v>
      </c>
      <c r="T27" s="16">
        <f t="shared" si="1"/>
        <v>22</v>
      </c>
      <c r="U27" s="77">
        <v>146</v>
      </c>
      <c r="V27" s="131">
        <f t="shared" si="2"/>
        <v>3212</v>
      </c>
      <c r="W27" s="77">
        <v>4</v>
      </c>
      <c r="X27" s="77" t="s">
        <v>28</v>
      </c>
      <c r="Y27" s="77" t="s">
        <v>43</v>
      </c>
      <c r="Z27" s="77" t="s">
        <v>74</v>
      </c>
      <c r="AA27" s="77" t="s">
        <v>64</v>
      </c>
      <c r="AB27" s="129" t="s">
        <v>330</v>
      </c>
      <c r="AC27" s="34"/>
      <c r="AD27" s="34"/>
      <c r="AE27" s="28"/>
      <c r="AP27" s="27" t="s">
        <v>101</v>
      </c>
      <c r="AR27" s="80" t="s">
        <v>159</v>
      </c>
    </row>
    <row r="28" spans="1:48" x14ac:dyDescent="0.15">
      <c r="A28" s="129" t="s">
        <v>48</v>
      </c>
      <c r="B28" s="129" t="s">
        <v>326</v>
      </c>
      <c r="C28" s="129">
        <v>2020</v>
      </c>
      <c r="D28" s="130" t="s">
        <v>327</v>
      </c>
      <c r="E28" s="129" t="s">
        <v>335</v>
      </c>
      <c r="F28" s="129" t="s">
        <v>336</v>
      </c>
      <c r="G28" s="129" t="s">
        <v>31</v>
      </c>
      <c r="H28" s="129" t="s">
        <v>166</v>
      </c>
      <c r="I28" s="77" t="s">
        <v>111</v>
      </c>
      <c r="J28" s="77" t="s">
        <v>27</v>
      </c>
      <c r="K28" s="77" t="s">
        <v>112</v>
      </c>
      <c r="L28" s="77">
        <v>3</v>
      </c>
      <c r="N28" s="77">
        <v>1</v>
      </c>
      <c r="O28" s="77">
        <v>0.55000000000000004</v>
      </c>
      <c r="P28" s="34">
        <v>0.5</v>
      </c>
      <c r="Q28" s="44">
        <f t="shared" si="0"/>
        <v>0.52500000000000002</v>
      </c>
      <c r="R28" s="77">
        <v>16.399999999999999</v>
      </c>
      <c r="S28" s="77">
        <v>145.5</v>
      </c>
      <c r="T28" s="16">
        <f t="shared" si="1"/>
        <v>22</v>
      </c>
      <c r="U28" s="77">
        <v>146</v>
      </c>
      <c r="V28" s="131">
        <f t="shared" si="2"/>
        <v>3212</v>
      </c>
      <c r="W28" s="77">
        <v>4</v>
      </c>
      <c r="X28" s="77" t="s">
        <v>28</v>
      </c>
      <c r="Y28" s="77" t="s">
        <v>43</v>
      </c>
      <c r="Z28" s="77" t="s">
        <v>74</v>
      </c>
      <c r="AA28" s="77" t="s">
        <v>64</v>
      </c>
      <c r="AB28" s="129" t="s">
        <v>330</v>
      </c>
      <c r="AC28" s="34"/>
      <c r="AD28" s="34"/>
      <c r="AP28" s="27" t="s">
        <v>156</v>
      </c>
      <c r="AR28" s="80" t="s">
        <v>158</v>
      </c>
    </row>
    <row r="29" spans="1:48" x14ac:dyDescent="0.15">
      <c r="A29" s="129" t="s">
        <v>48</v>
      </c>
      <c r="B29" s="129" t="s">
        <v>326</v>
      </c>
      <c r="C29" s="129">
        <v>2020</v>
      </c>
      <c r="D29" s="130" t="s">
        <v>327</v>
      </c>
      <c r="E29" s="129" t="s">
        <v>335</v>
      </c>
      <c r="F29" s="129" t="s">
        <v>336</v>
      </c>
      <c r="G29" s="129" t="s">
        <v>31</v>
      </c>
      <c r="H29" s="129" t="s">
        <v>166</v>
      </c>
      <c r="I29" s="77" t="s">
        <v>111</v>
      </c>
      <c r="J29" s="77" t="s">
        <v>27</v>
      </c>
      <c r="K29" s="77" t="s">
        <v>112</v>
      </c>
      <c r="L29" s="77">
        <v>1</v>
      </c>
      <c r="N29" s="77">
        <v>4</v>
      </c>
      <c r="O29" s="77">
        <v>0.2</v>
      </c>
      <c r="P29" s="77">
        <v>0.2</v>
      </c>
      <c r="Q29" s="44">
        <f t="shared" si="0"/>
        <v>0.2</v>
      </c>
      <c r="R29" s="77">
        <v>15.7</v>
      </c>
      <c r="S29" s="77">
        <v>104</v>
      </c>
      <c r="T29" s="16">
        <f t="shared" si="1"/>
        <v>33</v>
      </c>
      <c r="U29" s="77">
        <v>544</v>
      </c>
      <c r="V29" s="131">
        <f t="shared" si="2"/>
        <v>4488</v>
      </c>
      <c r="W29" s="77">
        <v>4</v>
      </c>
      <c r="X29" s="77" t="s">
        <v>28</v>
      </c>
      <c r="Y29" s="77" t="s">
        <v>43</v>
      </c>
      <c r="Z29" s="77" t="s">
        <v>74</v>
      </c>
      <c r="AA29" s="77" t="s">
        <v>64</v>
      </c>
      <c r="AB29" s="129" t="s">
        <v>330</v>
      </c>
      <c r="AC29" s="34"/>
      <c r="AP29" s="27" t="s">
        <v>157</v>
      </c>
      <c r="AR29" s="28" t="s">
        <v>360</v>
      </c>
    </row>
    <row r="30" spans="1:48" x14ac:dyDescent="0.15">
      <c r="A30" s="129" t="s">
        <v>48</v>
      </c>
      <c r="B30" s="129" t="s">
        <v>326</v>
      </c>
      <c r="C30" s="129">
        <v>2020</v>
      </c>
      <c r="D30" s="130" t="s">
        <v>327</v>
      </c>
      <c r="E30" s="129" t="s">
        <v>335</v>
      </c>
      <c r="F30" s="129" t="s">
        <v>336</v>
      </c>
      <c r="G30" s="129" t="s">
        <v>31</v>
      </c>
      <c r="H30" s="129" t="s">
        <v>166</v>
      </c>
      <c r="I30" s="77" t="s">
        <v>111</v>
      </c>
      <c r="J30" s="77" t="s">
        <v>27</v>
      </c>
      <c r="K30" s="77" t="s">
        <v>112</v>
      </c>
      <c r="L30" s="77">
        <v>2</v>
      </c>
      <c r="N30" s="77">
        <v>4</v>
      </c>
      <c r="O30" s="77">
        <v>0.2</v>
      </c>
      <c r="P30" s="34">
        <v>0.2</v>
      </c>
      <c r="Q30" s="44">
        <f t="shared" si="0"/>
        <v>0.2</v>
      </c>
      <c r="R30" s="77">
        <v>16</v>
      </c>
      <c r="S30" s="77">
        <v>110</v>
      </c>
      <c r="T30" s="16">
        <f t="shared" si="1"/>
        <v>33</v>
      </c>
      <c r="U30" s="77">
        <v>544</v>
      </c>
      <c r="V30" s="131">
        <f t="shared" si="2"/>
        <v>4488</v>
      </c>
      <c r="W30" s="77">
        <v>4</v>
      </c>
      <c r="X30" s="77" t="s">
        <v>28</v>
      </c>
      <c r="Y30" s="77" t="s">
        <v>43</v>
      </c>
      <c r="Z30" s="77" t="s">
        <v>74</v>
      </c>
      <c r="AA30" s="77" t="s">
        <v>64</v>
      </c>
      <c r="AB30" s="129" t="s">
        <v>330</v>
      </c>
      <c r="AC30" s="34"/>
    </row>
    <row r="31" spans="1:48" x14ac:dyDescent="0.15">
      <c r="A31" s="129" t="s">
        <v>48</v>
      </c>
      <c r="B31" s="129" t="s">
        <v>326</v>
      </c>
      <c r="C31" s="129">
        <v>2020</v>
      </c>
      <c r="D31" s="130" t="s">
        <v>327</v>
      </c>
      <c r="E31" s="129" t="s">
        <v>335</v>
      </c>
      <c r="F31" s="129" t="s">
        <v>336</v>
      </c>
      <c r="G31" s="129" t="s">
        <v>31</v>
      </c>
      <c r="H31" s="129" t="s">
        <v>166</v>
      </c>
      <c r="I31" s="77" t="s">
        <v>111</v>
      </c>
      <c r="J31" s="77" t="s">
        <v>27</v>
      </c>
      <c r="K31" s="77" t="s">
        <v>112</v>
      </c>
      <c r="L31" s="77">
        <v>3</v>
      </c>
      <c r="N31" s="77">
        <v>4</v>
      </c>
      <c r="O31" s="77">
        <v>0.2</v>
      </c>
      <c r="P31" s="77">
        <v>0.2</v>
      </c>
      <c r="Q31" s="44">
        <f t="shared" si="0"/>
        <v>0.2</v>
      </c>
      <c r="R31" s="77">
        <v>14.7</v>
      </c>
      <c r="S31" s="77">
        <v>93</v>
      </c>
      <c r="T31" s="16">
        <f t="shared" si="1"/>
        <v>36</v>
      </c>
      <c r="U31" s="77">
        <v>544</v>
      </c>
      <c r="V31" s="131">
        <f t="shared" si="2"/>
        <v>4896</v>
      </c>
      <c r="W31" s="77">
        <v>4</v>
      </c>
      <c r="X31" s="77" t="s">
        <v>28</v>
      </c>
      <c r="Y31" s="77" t="s">
        <v>43</v>
      </c>
      <c r="Z31" s="77" t="s">
        <v>74</v>
      </c>
      <c r="AA31" s="77" t="s">
        <v>64</v>
      </c>
      <c r="AB31" s="129" t="s">
        <v>330</v>
      </c>
      <c r="AC31" s="34"/>
    </row>
    <row r="32" spans="1:48" x14ac:dyDescent="0.15">
      <c r="A32" s="129" t="s">
        <v>48</v>
      </c>
      <c r="B32" s="129" t="s">
        <v>326</v>
      </c>
      <c r="C32" s="129">
        <v>2020</v>
      </c>
      <c r="D32" s="130" t="s">
        <v>327</v>
      </c>
      <c r="E32" s="129" t="s">
        <v>335</v>
      </c>
      <c r="F32" s="129" t="s">
        <v>336</v>
      </c>
      <c r="G32" s="129" t="s">
        <v>31</v>
      </c>
      <c r="H32" s="129" t="s">
        <v>113</v>
      </c>
      <c r="I32" s="77" t="s">
        <v>111</v>
      </c>
      <c r="J32" s="77" t="s">
        <v>27</v>
      </c>
      <c r="K32" s="77" t="s">
        <v>112</v>
      </c>
      <c r="L32" s="77">
        <v>1</v>
      </c>
      <c r="N32" s="77">
        <v>1</v>
      </c>
      <c r="O32" s="77">
        <v>0.6</v>
      </c>
      <c r="P32" s="77">
        <v>0.5</v>
      </c>
      <c r="Q32" s="44">
        <f t="shared" si="0"/>
        <v>0.55000000000000004</v>
      </c>
      <c r="R32" s="77">
        <v>15.9</v>
      </c>
      <c r="S32" s="77">
        <v>125.5</v>
      </c>
      <c r="T32" s="16">
        <f t="shared" si="1"/>
        <v>27</v>
      </c>
      <c r="U32" s="77">
        <v>146</v>
      </c>
      <c r="V32" s="131">
        <f t="shared" si="2"/>
        <v>3942</v>
      </c>
      <c r="W32" s="77">
        <v>4</v>
      </c>
      <c r="X32" s="77" t="s">
        <v>28</v>
      </c>
      <c r="Y32" s="77" t="s">
        <v>43</v>
      </c>
      <c r="Z32" s="77" t="s">
        <v>74</v>
      </c>
      <c r="AA32" s="77" t="s">
        <v>64</v>
      </c>
      <c r="AB32" s="129" t="s">
        <v>330</v>
      </c>
      <c r="AC32" s="34"/>
    </row>
    <row r="33" spans="1:29" x14ac:dyDescent="0.15">
      <c r="A33" s="129" t="s">
        <v>48</v>
      </c>
      <c r="B33" s="129" t="s">
        <v>326</v>
      </c>
      <c r="C33" s="129">
        <v>2020</v>
      </c>
      <c r="D33" s="130" t="s">
        <v>327</v>
      </c>
      <c r="E33" s="129" t="s">
        <v>335</v>
      </c>
      <c r="F33" s="129" t="s">
        <v>336</v>
      </c>
      <c r="G33" s="129" t="s">
        <v>31</v>
      </c>
      <c r="H33" s="129" t="s">
        <v>113</v>
      </c>
      <c r="I33" s="77" t="s">
        <v>111</v>
      </c>
      <c r="J33" s="77" t="s">
        <v>27</v>
      </c>
      <c r="K33" s="77" t="s">
        <v>112</v>
      </c>
      <c r="L33" s="77">
        <v>2</v>
      </c>
      <c r="N33" s="77">
        <v>1</v>
      </c>
      <c r="O33" s="77">
        <v>0.55000000000000004</v>
      </c>
      <c r="P33" s="77">
        <v>0.55000000000000004</v>
      </c>
      <c r="Q33" s="44">
        <f t="shared" si="0"/>
        <v>0.55000000000000004</v>
      </c>
      <c r="R33" s="77">
        <v>14.4</v>
      </c>
      <c r="S33" s="77">
        <v>122.5</v>
      </c>
      <c r="T33" s="16">
        <f t="shared" si="1"/>
        <v>27</v>
      </c>
      <c r="U33" s="77">
        <v>146</v>
      </c>
      <c r="V33" s="131">
        <f t="shared" si="2"/>
        <v>3942</v>
      </c>
      <c r="W33" s="77">
        <v>4</v>
      </c>
      <c r="X33" s="77" t="s">
        <v>28</v>
      </c>
      <c r="Y33" s="77" t="s">
        <v>43</v>
      </c>
      <c r="Z33" s="77" t="s">
        <v>74</v>
      </c>
      <c r="AA33" s="77" t="s">
        <v>64</v>
      </c>
      <c r="AB33" s="129" t="s">
        <v>330</v>
      </c>
      <c r="AC33" s="34"/>
    </row>
    <row r="34" spans="1:29" x14ac:dyDescent="0.15">
      <c r="A34" s="129" t="s">
        <v>48</v>
      </c>
      <c r="B34" s="129" t="s">
        <v>326</v>
      </c>
      <c r="C34" s="129">
        <v>2020</v>
      </c>
      <c r="D34" s="130" t="s">
        <v>327</v>
      </c>
      <c r="E34" s="129" t="s">
        <v>335</v>
      </c>
      <c r="F34" s="129" t="s">
        <v>336</v>
      </c>
      <c r="G34" s="129" t="s">
        <v>31</v>
      </c>
      <c r="H34" s="129" t="s">
        <v>113</v>
      </c>
      <c r="I34" s="77" t="s">
        <v>111</v>
      </c>
      <c r="J34" s="77" t="s">
        <v>27</v>
      </c>
      <c r="K34" s="77" t="s">
        <v>112</v>
      </c>
      <c r="L34" s="77">
        <v>3</v>
      </c>
      <c r="N34" s="77">
        <v>1</v>
      </c>
      <c r="O34" s="77">
        <v>0.6</v>
      </c>
      <c r="P34" s="77">
        <v>0.6</v>
      </c>
      <c r="Q34" s="44">
        <f t="shared" si="0"/>
        <v>0.6</v>
      </c>
      <c r="R34" s="77">
        <v>13.3</v>
      </c>
      <c r="S34" s="77">
        <v>132.5</v>
      </c>
      <c r="T34" s="16">
        <f t="shared" si="1"/>
        <v>25</v>
      </c>
      <c r="U34" s="77">
        <v>146</v>
      </c>
      <c r="V34" s="131">
        <f t="shared" si="2"/>
        <v>3650</v>
      </c>
      <c r="W34" s="77">
        <v>4</v>
      </c>
      <c r="X34" s="77" t="s">
        <v>28</v>
      </c>
      <c r="Y34" s="77" t="s">
        <v>43</v>
      </c>
      <c r="Z34" s="77" t="s">
        <v>74</v>
      </c>
      <c r="AA34" s="77" t="s">
        <v>64</v>
      </c>
      <c r="AB34" s="129" t="s">
        <v>330</v>
      </c>
      <c r="AC34" s="34"/>
    </row>
    <row r="35" spans="1:29" x14ac:dyDescent="0.15">
      <c r="A35" s="129" t="s">
        <v>48</v>
      </c>
      <c r="B35" s="129" t="s">
        <v>326</v>
      </c>
      <c r="C35" s="129">
        <v>2020</v>
      </c>
      <c r="D35" s="130" t="s">
        <v>327</v>
      </c>
      <c r="E35" s="129" t="s">
        <v>335</v>
      </c>
      <c r="F35" s="129" t="s">
        <v>336</v>
      </c>
      <c r="G35" s="129" t="s">
        <v>31</v>
      </c>
      <c r="H35" s="129" t="s">
        <v>113</v>
      </c>
      <c r="I35" s="77" t="s">
        <v>111</v>
      </c>
      <c r="J35" s="77" t="s">
        <v>27</v>
      </c>
      <c r="K35" s="77" t="s">
        <v>112</v>
      </c>
      <c r="L35" s="77">
        <v>1</v>
      </c>
      <c r="N35" s="77">
        <v>4</v>
      </c>
      <c r="O35" s="77">
        <v>0.5</v>
      </c>
      <c r="P35" s="77">
        <v>0.5</v>
      </c>
      <c r="Q35" s="44">
        <f t="shared" si="0"/>
        <v>0.5</v>
      </c>
      <c r="R35" s="77">
        <v>12.3</v>
      </c>
      <c r="S35" s="77">
        <v>98.5</v>
      </c>
      <c r="T35" s="16">
        <f t="shared" si="1"/>
        <v>36</v>
      </c>
      <c r="U35" s="77">
        <v>424</v>
      </c>
      <c r="V35" s="131">
        <f t="shared" si="2"/>
        <v>3816</v>
      </c>
      <c r="W35" s="77">
        <v>4</v>
      </c>
      <c r="X35" s="77" t="s">
        <v>28</v>
      </c>
      <c r="Y35" s="77" t="s">
        <v>43</v>
      </c>
      <c r="Z35" s="77" t="s">
        <v>74</v>
      </c>
      <c r="AA35" s="77" t="s">
        <v>64</v>
      </c>
      <c r="AB35" s="129" t="s">
        <v>330</v>
      </c>
      <c r="AC35" s="34"/>
    </row>
    <row r="36" spans="1:29" x14ac:dyDescent="0.15">
      <c r="A36" s="129" t="s">
        <v>48</v>
      </c>
      <c r="B36" s="129" t="s">
        <v>326</v>
      </c>
      <c r="C36" s="129">
        <v>2020</v>
      </c>
      <c r="D36" s="130" t="s">
        <v>327</v>
      </c>
      <c r="E36" s="129" t="s">
        <v>335</v>
      </c>
      <c r="F36" s="129" t="s">
        <v>336</v>
      </c>
      <c r="G36" s="129" t="s">
        <v>31</v>
      </c>
      <c r="H36" s="129" t="s">
        <v>113</v>
      </c>
      <c r="I36" s="77" t="s">
        <v>111</v>
      </c>
      <c r="J36" s="77" t="s">
        <v>27</v>
      </c>
      <c r="K36" s="77" t="s">
        <v>112</v>
      </c>
      <c r="L36" s="77">
        <v>2</v>
      </c>
      <c r="N36" s="77">
        <v>4</v>
      </c>
      <c r="O36" s="77">
        <v>0.6</v>
      </c>
      <c r="P36" s="77">
        <v>0.6</v>
      </c>
      <c r="Q36" s="44">
        <f t="shared" si="0"/>
        <v>0.6</v>
      </c>
      <c r="R36" s="77">
        <v>13.7</v>
      </c>
      <c r="S36" s="77">
        <v>97.5</v>
      </c>
      <c r="T36" s="16">
        <f t="shared" si="1"/>
        <v>36</v>
      </c>
      <c r="U36" s="77">
        <v>424</v>
      </c>
      <c r="V36" s="131">
        <f t="shared" si="2"/>
        <v>3816</v>
      </c>
      <c r="W36" s="77">
        <v>4</v>
      </c>
      <c r="X36" s="77" t="s">
        <v>28</v>
      </c>
      <c r="Y36" s="77" t="s">
        <v>43</v>
      </c>
      <c r="Z36" s="77" t="s">
        <v>74</v>
      </c>
      <c r="AA36" s="77" t="s">
        <v>64</v>
      </c>
      <c r="AB36" s="129" t="s">
        <v>330</v>
      </c>
      <c r="AC36" s="34"/>
    </row>
    <row r="37" spans="1:29" x14ac:dyDescent="0.15">
      <c r="A37" s="129" t="s">
        <v>48</v>
      </c>
      <c r="B37" s="129" t="s">
        <v>326</v>
      </c>
      <c r="C37" s="129">
        <v>2020</v>
      </c>
      <c r="D37" s="130" t="s">
        <v>327</v>
      </c>
      <c r="E37" s="129" t="s">
        <v>335</v>
      </c>
      <c r="F37" s="129" t="s">
        <v>336</v>
      </c>
      <c r="G37" s="129" t="s">
        <v>31</v>
      </c>
      <c r="H37" s="129" t="s">
        <v>113</v>
      </c>
      <c r="I37" s="77" t="s">
        <v>111</v>
      </c>
      <c r="J37" s="77" t="s">
        <v>27</v>
      </c>
      <c r="K37" s="77" t="s">
        <v>112</v>
      </c>
      <c r="L37" s="77">
        <v>3</v>
      </c>
      <c r="N37" s="77">
        <v>4</v>
      </c>
      <c r="O37" s="77">
        <v>0.5</v>
      </c>
      <c r="P37" s="77">
        <v>0.5</v>
      </c>
      <c r="Q37" s="44">
        <f t="shared" si="0"/>
        <v>0.5</v>
      </c>
      <c r="R37" s="77">
        <v>14.8</v>
      </c>
      <c r="S37" s="77">
        <v>99.5</v>
      </c>
      <c r="T37" s="16">
        <f t="shared" si="1"/>
        <v>33</v>
      </c>
      <c r="U37" s="77">
        <v>424</v>
      </c>
      <c r="V37" s="131">
        <f t="shared" si="2"/>
        <v>3498</v>
      </c>
      <c r="W37" s="77">
        <v>4</v>
      </c>
      <c r="X37" s="77" t="s">
        <v>28</v>
      </c>
      <c r="Y37" s="77" t="s">
        <v>43</v>
      </c>
      <c r="Z37" s="77" t="s">
        <v>74</v>
      </c>
      <c r="AA37" s="77" t="s">
        <v>64</v>
      </c>
      <c r="AB37" s="129" t="s">
        <v>330</v>
      </c>
      <c r="AC37" s="34"/>
    </row>
    <row r="38" spans="1:29" x14ac:dyDescent="0.15">
      <c r="A38" s="129" t="s">
        <v>48</v>
      </c>
      <c r="B38" s="129" t="s">
        <v>326</v>
      </c>
      <c r="C38" s="129">
        <v>2020</v>
      </c>
      <c r="D38" s="130" t="s">
        <v>327</v>
      </c>
      <c r="E38" s="129" t="s">
        <v>361</v>
      </c>
      <c r="F38" s="129" t="s">
        <v>338</v>
      </c>
      <c r="G38" s="129" t="s">
        <v>25</v>
      </c>
      <c r="H38" s="129" t="s">
        <v>166</v>
      </c>
      <c r="I38" s="77" t="s">
        <v>111</v>
      </c>
      <c r="J38" s="77" t="s">
        <v>27</v>
      </c>
      <c r="K38" s="77" t="s">
        <v>112</v>
      </c>
      <c r="L38" s="77">
        <v>1</v>
      </c>
      <c r="N38" s="77">
        <v>1</v>
      </c>
      <c r="O38" s="77">
        <v>0.6</v>
      </c>
      <c r="P38" s="77">
        <v>0.55000000000000004</v>
      </c>
      <c r="Q38" s="44">
        <f t="shared" si="0"/>
        <v>0.57499999999999996</v>
      </c>
      <c r="R38" s="77">
        <v>16.399999999999999</v>
      </c>
      <c r="S38" s="77">
        <v>147</v>
      </c>
      <c r="T38" s="16">
        <f t="shared" si="1"/>
        <v>22</v>
      </c>
      <c r="U38" s="77">
        <v>128</v>
      </c>
      <c r="V38" s="131">
        <f t="shared" si="2"/>
        <v>2816</v>
      </c>
      <c r="W38" s="77">
        <v>12</v>
      </c>
      <c r="X38" s="77" t="s">
        <v>35</v>
      </c>
      <c r="Y38" s="77" t="s">
        <v>64</v>
      </c>
      <c r="Z38" s="77" t="s">
        <v>76</v>
      </c>
      <c r="AA38" s="77" t="s">
        <v>74</v>
      </c>
      <c r="AB38" s="129" t="s">
        <v>330</v>
      </c>
      <c r="AC38" s="34"/>
    </row>
    <row r="39" spans="1:29" x14ac:dyDescent="0.15">
      <c r="A39" s="129" t="s">
        <v>48</v>
      </c>
      <c r="B39" s="129" t="s">
        <v>326</v>
      </c>
      <c r="C39" s="129">
        <v>2020</v>
      </c>
      <c r="D39" s="130" t="s">
        <v>327</v>
      </c>
      <c r="E39" s="129" t="s">
        <v>361</v>
      </c>
      <c r="F39" s="129" t="s">
        <v>338</v>
      </c>
      <c r="G39" s="129" t="s">
        <v>25</v>
      </c>
      <c r="H39" s="129" t="s">
        <v>166</v>
      </c>
      <c r="I39" s="77" t="s">
        <v>111</v>
      </c>
      <c r="J39" s="77" t="s">
        <v>27</v>
      </c>
      <c r="K39" s="77" t="s">
        <v>112</v>
      </c>
      <c r="L39" s="77">
        <v>2</v>
      </c>
      <c r="N39" s="77">
        <v>1</v>
      </c>
      <c r="O39" s="77">
        <v>0.55000000000000004</v>
      </c>
      <c r="P39" s="77">
        <v>0.55000000000000004</v>
      </c>
      <c r="Q39" s="44">
        <f t="shared" si="0"/>
        <v>0.55000000000000004</v>
      </c>
      <c r="R39" s="77">
        <v>15.7</v>
      </c>
      <c r="S39" s="77">
        <v>146.5</v>
      </c>
      <c r="T39" s="16">
        <f t="shared" si="1"/>
        <v>22</v>
      </c>
      <c r="U39" s="77">
        <v>128</v>
      </c>
      <c r="V39" s="131">
        <f t="shared" si="2"/>
        <v>2816</v>
      </c>
      <c r="W39" s="77">
        <v>12</v>
      </c>
      <c r="X39" s="77" t="s">
        <v>35</v>
      </c>
      <c r="Y39" s="77" t="s">
        <v>64</v>
      </c>
      <c r="Z39" s="77" t="s">
        <v>76</v>
      </c>
      <c r="AA39" s="77" t="s">
        <v>74</v>
      </c>
      <c r="AB39" s="129" t="s">
        <v>330</v>
      </c>
      <c r="AC39" s="34"/>
    </row>
    <row r="40" spans="1:29" x14ac:dyDescent="0.15">
      <c r="A40" s="129" t="s">
        <v>48</v>
      </c>
      <c r="B40" s="129" t="s">
        <v>326</v>
      </c>
      <c r="C40" s="129">
        <v>2020</v>
      </c>
      <c r="D40" s="130" t="s">
        <v>327</v>
      </c>
      <c r="E40" s="129" t="s">
        <v>361</v>
      </c>
      <c r="F40" s="129" t="s">
        <v>338</v>
      </c>
      <c r="G40" s="129" t="s">
        <v>25</v>
      </c>
      <c r="H40" s="129" t="s">
        <v>166</v>
      </c>
      <c r="I40" s="77" t="s">
        <v>111</v>
      </c>
      <c r="J40" s="77" t="s">
        <v>27</v>
      </c>
      <c r="K40" s="77" t="s">
        <v>112</v>
      </c>
      <c r="L40" s="77">
        <v>3</v>
      </c>
      <c r="N40" s="77">
        <v>1</v>
      </c>
      <c r="O40" s="77">
        <v>0.55000000000000004</v>
      </c>
      <c r="P40" s="77">
        <v>0.5</v>
      </c>
      <c r="Q40" s="44">
        <f t="shared" si="0"/>
        <v>0.52500000000000002</v>
      </c>
      <c r="R40" s="77">
        <v>16.2</v>
      </c>
      <c r="S40" s="77">
        <v>141</v>
      </c>
      <c r="T40" s="16">
        <f t="shared" si="1"/>
        <v>22</v>
      </c>
      <c r="U40" s="77">
        <v>128</v>
      </c>
      <c r="V40" s="131">
        <f t="shared" si="2"/>
        <v>2816</v>
      </c>
      <c r="W40" s="77">
        <v>12</v>
      </c>
      <c r="X40" s="77" t="s">
        <v>35</v>
      </c>
      <c r="Y40" s="77" t="s">
        <v>64</v>
      </c>
      <c r="Z40" s="77" t="s">
        <v>76</v>
      </c>
      <c r="AA40" s="77" t="s">
        <v>74</v>
      </c>
      <c r="AB40" s="129" t="s">
        <v>330</v>
      </c>
      <c r="AC40" s="34"/>
    </row>
    <row r="41" spans="1:29" x14ac:dyDescent="0.15">
      <c r="A41" s="129" t="s">
        <v>48</v>
      </c>
      <c r="B41" s="129" t="s">
        <v>326</v>
      </c>
      <c r="C41" s="129">
        <v>2020</v>
      </c>
      <c r="D41" s="130" t="s">
        <v>327</v>
      </c>
      <c r="E41" s="129" t="s">
        <v>361</v>
      </c>
      <c r="F41" s="129" t="s">
        <v>338</v>
      </c>
      <c r="G41" s="129" t="s">
        <v>25</v>
      </c>
      <c r="H41" s="129" t="s">
        <v>166</v>
      </c>
      <c r="I41" s="77" t="s">
        <v>111</v>
      </c>
      <c r="J41" s="77" t="s">
        <v>27</v>
      </c>
      <c r="K41" s="77" t="s">
        <v>112</v>
      </c>
      <c r="L41" s="77">
        <v>1</v>
      </c>
      <c r="N41" s="77">
        <v>7</v>
      </c>
      <c r="O41" s="77">
        <v>0.2</v>
      </c>
      <c r="P41" s="77">
        <v>0.2</v>
      </c>
      <c r="Q41" s="44">
        <f t="shared" si="0"/>
        <v>0.2</v>
      </c>
      <c r="R41" s="77">
        <v>16.399999999999999</v>
      </c>
      <c r="S41" s="77">
        <v>91.5</v>
      </c>
      <c r="T41" s="16">
        <f t="shared" si="1"/>
        <v>36</v>
      </c>
      <c r="U41" s="77">
        <v>698</v>
      </c>
      <c r="V41" s="131">
        <f t="shared" si="2"/>
        <v>3589.7142857142853</v>
      </c>
      <c r="W41" s="77">
        <v>12</v>
      </c>
      <c r="X41" s="77" t="s">
        <v>35</v>
      </c>
      <c r="Y41" s="77" t="s">
        <v>64</v>
      </c>
      <c r="Z41" s="77" t="s">
        <v>76</v>
      </c>
      <c r="AA41" s="77" t="s">
        <v>74</v>
      </c>
      <c r="AB41" s="129" t="s">
        <v>330</v>
      </c>
      <c r="AC41" s="34"/>
    </row>
    <row r="42" spans="1:29" x14ac:dyDescent="0.15">
      <c r="A42" s="129" t="s">
        <v>48</v>
      </c>
      <c r="B42" s="129" t="s">
        <v>326</v>
      </c>
      <c r="C42" s="129">
        <v>2020</v>
      </c>
      <c r="D42" s="130" t="s">
        <v>327</v>
      </c>
      <c r="E42" s="129" t="s">
        <v>361</v>
      </c>
      <c r="F42" s="129" t="s">
        <v>338</v>
      </c>
      <c r="G42" s="129" t="s">
        <v>25</v>
      </c>
      <c r="H42" s="129" t="s">
        <v>166</v>
      </c>
      <c r="I42" s="77" t="s">
        <v>111</v>
      </c>
      <c r="J42" s="77" t="s">
        <v>27</v>
      </c>
      <c r="K42" s="77" t="s">
        <v>112</v>
      </c>
      <c r="L42" s="77">
        <v>2</v>
      </c>
      <c r="N42" s="77">
        <v>7</v>
      </c>
      <c r="O42" s="77">
        <v>0.2</v>
      </c>
      <c r="P42" s="77">
        <v>0.2</v>
      </c>
      <c r="Q42" s="44">
        <f t="shared" si="0"/>
        <v>0.2</v>
      </c>
      <c r="R42" s="77">
        <v>16.7</v>
      </c>
      <c r="S42" s="77">
        <v>83.5</v>
      </c>
      <c r="T42" s="16">
        <f t="shared" si="1"/>
        <v>39</v>
      </c>
      <c r="U42" s="77">
        <v>698</v>
      </c>
      <c r="V42" s="131">
        <f t="shared" si="2"/>
        <v>3888.8571428571427</v>
      </c>
      <c r="W42" s="77">
        <v>12</v>
      </c>
      <c r="X42" s="77" t="s">
        <v>35</v>
      </c>
      <c r="Y42" s="77" t="s">
        <v>64</v>
      </c>
      <c r="Z42" s="77" t="s">
        <v>76</v>
      </c>
      <c r="AA42" s="77" t="s">
        <v>74</v>
      </c>
      <c r="AB42" s="129" t="s">
        <v>330</v>
      </c>
      <c r="AC42" s="34"/>
    </row>
    <row r="43" spans="1:29" x14ac:dyDescent="0.15">
      <c r="A43" s="129" t="s">
        <v>48</v>
      </c>
      <c r="B43" s="129" t="s">
        <v>326</v>
      </c>
      <c r="C43" s="129">
        <v>2020</v>
      </c>
      <c r="D43" s="130" t="s">
        <v>327</v>
      </c>
      <c r="E43" s="129" t="s">
        <v>361</v>
      </c>
      <c r="F43" s="129" t="s">
        <v>338</v>
      </c>
      <c r="G43" s="129" t="s">
        <v>25</v>
      </c>
      <c r="H43" s="129" t="s">
        <v>166</v>
      </c>
      <c r="I43" s="77" t="s">
        <v>111</v>
      </c>
      <c r="J43" s="77" t="s">
        <v>27</v>
      </c>
      <c r="K43" s="77" t="s">
        <v>112</v>
      </c>
      <c r="L43" s="77">
        <v>3</v>
      </c>
      <c r="N43" s="77">
        <v>7</v>
      </c>
      <c r="O43" s="77">
        <v>0.2</v>
      </c>
      <c r="P43" s="77">
        <v>0.2</v>
      </c>
      <c r="Q43" s="44">
        <f t="shared" si="0"/>
        <v>0.2</v>
      </c>
      <c r="R43" s="77">
        <v>16.100000000000001</v>
      </c>
      <c r="S43" s="77">
        <v>89</v>
      </c>
      <c r="T43" s="16">
        <f t="shared" si="1"/>
        <v>36</v>
      </c>
      <c r="U43" s="77">
        <v>698</v>
      </c>
      <c r="V43" s="131">
        <f t="shared" si="2"/>
        <v>3589.7142857142853</v>
      </c>
      <c r="W43" s="77">
        <v>12</v>
      </c>
      <c r="X43" s="77" t="s">
        <v>35</v>
      </c>
      <c r="Y43" s="77" t="s">
        <v>64</v>
      </c>
      <c r="Z43" s="77" t="s">
        <v>76</v>
      </c>
      <c r="AA43" s="77" t="s">
        <v>74</v>
      </c>
      <c r="AB43" s="129" t="s">
        <v>330</v>
      </c>
      <c r="AC43" s="34"/>
    </row>
    <row r="44" spans="1:29" x14ac:dyDescent="0.15">
      <c r="A44" s="129" t="s">
        <v>48</v>
      </c>
      <c r="B44" s="129" t="s">
        <v>326</v>
      </c>
      <c r="C44" s="129">
        <v>2020</v>
      </c>
      <c r="D44" s="130" t="s">
        <v>327</v>
      </c>
      <c r="E44" s="129" t="s">
        <v>361</v>
      </c>
      <c r="F44" s="129" t="s">
        <v>338</v>
      </c>
      <c r="G44" s="129" t="s">
        <v>25</v>
      </c>
      <c r="H44" s="129" t="s">
        <v>113</v>
      </c>
      <c r="I44" s="77" t="s">
        <v>111</v>
      </c>
      <c r="J44" s="77" t="s">
        <v>27</v>
      </c>
      <c r="K44" s="77" t="s">
        <v>112</v>
      </c>
      <c r="L44" s="77">
        <v>1</v>
      </c>
      <c r="N44" s="77">
        <v>1</v>
      </c>
      <c r="O44" s="77">
        <v>0.55000000000000004</v>
      </c>
      <c r="P44" s="77">
        <v>0.75</v>
      </c>
      <c r="Q44" s="44">
        <f t="shared" si="0"/>
        <v>0.65</v>
      </c>
      <c r="R44" s="77">
        <v>16.600000000000001</v>
      </c>
      <c r="S44" s="77">
        <v>119.5</v>
      </c>
      <c r="T44" s="16">
        <f t="shared" si="1"/>
        <v>30</v>
      </c>
      <c r="U44" s="77">
        <v>98</v>
      </c>
      <c r="V44" s="131">
        <f t="shared" si="2"/>
        <v>2940</v>
      </c>
      <c r="W44" s="77">
        <v>12</v>
      </c>
      <c r="X44" s="77" t="s">
        <v>35</v>
      </c>
      <c r="Y44" s="77" t="s">
        <v>64</v>
      </c>
      <c r="Z44" s="77" t="s">
        <v>76</v>
      </c>
      <c r="AA44" s="77" t="s">
        <v>74</v>
      </c>
      <c r="AB44" s="129" t="s">
        <v>330</v>
      </c>
    </row>
    <row r="45" spans="1:29" x14ac:dyDescent="0.15">
      <c r="A45" s="129" t="s">
        <v>48</v>
      </c>
      <c r="B45" s="129" t="s">
        <v>326</v>
      </c>
      <c r="C45" s="129">
        <v>2020</v>
      </c>
      <c r="D45" s="130" t="s">
        <v>327</v>
      </c>
      <c r="E45" s="129" t="s">
        <v>361</v>
      </c>
      <c r="F45" s="129" t="s">
        <v>338</v>
      </c>
      <c r="G45" s="129" t="s">
        <v>25</v>
      </c>
      <c r="H45" s="129" t="s">
        <v>113</v>
      </c>
      <c r="I45" s="77" t="s">
        <v>111</v>
      </c>
      <c r="J45" s="77" t="s">
        <v>27</v>
      </c>
      <c r="K45" s="77" t="s">
        <v>112</v>
      </c>
      <c r="L45" s="77">
        <v>2</v>
      </c>
      <c r="N45" s="77">
        <v>1</v>
      </c>
      <c r="O45" s="77">
        <v>0.5</v>
      </c>
      <c r="P45" s="77">
        <v>0.5</v>
      </c>
      <c r="Q45" s="44">
        <f t="shared" si="0"/>
        <v>0.5</v>
      </c>
      <c r="R45" s="77">
        <v>18</v>
      </c>
      <c r="S45" s="77">
        <v>122</v>
      </c>
      <c r="T45" s="16">
        <f t="shared" si="1"/>
        <v>27</v>
      </c>
      <c r="U45" s="77">
        <v>98</v>
      </c>
      <c r="V45" s="131">
        <f t="shared" si="2"/>
        <v>2646</v>
      </c>
      <c r="W45" s="77">
        <v>12</v>
      </c>
      <c r="X45" s="77" t="s">
        <v>35</v>
      </c>
      <c r="Y45" s="77" t="s">
        <v>64</v>
      </c>
      <c r="Z45" s="77" t="s">
        <v>76</v>
      </c>
      <c r="AA45" s="77" t="s">
        <v>74</v>
      </c>
      <c r="AB45" s="129" t="s">
        <v>330</v>
      </c>
    </row>
    <row r="46" spans="1:29" x14ac:dyDescent="0.15">
      <c r="A46" s="129" t="s">
        <v>48</v>
      </c>
      <c r="B46" s="129" t="s">
        <v>326</v>
      </c>
      <c r="C46" s="129">
        <v>2020</v>
      </c>
      <c r="D46" s="130" t="s">
        <v>327</v>
      </c>
      <c r="E46" s="129" t="s">
        <v>361</v>
      </c>
      <c r="F46" s="129" t="s">
        <v>338</v>
      </c>
      <c r="G46" s="129" t="s">
        <v>25</v>
      </c>
      <c r="H46" s="129" t="s">
        <v>113</v>
      </c>
      <c r="I46" s="77" t="s">
        <v>111</v>
      </c>
      <c r="J46" s="77" t="s">
        <v>27</v>
      </c>
      <c r="K46" s="77" t="s">
        <v>112</v>
      </c>
      <c r="L46" s="77">
        <v>3</v>
      </c>
      <c r="N46" s="77">
        <v>1</v>
      </c>
      <c r="O46" s="77">
        <v>0.6</v>
      </c>
      <c r="P46" s="77">
        <v>0.5</v>
      </c>
      <c r="Q46" s="44">
        <f t="shared" si="0"/>
        <v>0.55000000000000004</v>
      </c>
      <c r="R46" s="77">
        <v>19.8</v>
      </c>
      <c r="S46" s="77">
        <v>135</v>
      </c>
      <c r="T46" s="16">
        <f t="shared" si="1"/>
        <v>25</v>
      </c>
      <c r="U46" s="77">
        <v>98</v>
      </c>
      <c r="V46" s="131">
        <f t="shared" si="2"/>
        <v>2450</v>
      </c>
      <c r="W46" s="77">
        <v>12</v>
      </c>
      <c r="X46" s="77" t="s">
        <v>35</v>
      </c>
      <c r="Y46" s="77" t="s">
        <v>64</v>
      </c>
      <c r="Z46" s="77" t="s">
        <v>76</v>
      </c>
      <c r="AA46" s="77" t="s">
        <v>74</v>
      </c>
      <c r="AB46" s="129" t="s">
        <v>330</v>
      </c>
    </row>
    <row r="47" spans="1:29" x14ac:dyDescent="0.15">
      <c r="A47" s="129" t="s">
        <v>48</v>
      </c>
      <c r="B47" s="129" t="s">
        <v>326</v>
      </c>
      <c r="C47" s="129">
        <v>2020</v>
      </c>
      <c r="D47" s="130" t="s">
        <v>327</v>
      </c>
      <c r="E47" s="129" t="s">
        <v>361</v>
      </c>
      <c r="F47" s="129" t="s">
        <v>338</v>
      </c>
      <c r="G47" s="129" t="s">
        <v>25</v>
      </c>
      <c r="H47" s="129" t="s">
        <v>113</v>
      </c>
      <c r="I47" s="77" t="s">
        <v>111</v>
      </c>
      <c r="J47" s="77" t="s">
        <v>27</v>
      </c>
      <c r="K47" s="77" t="s">
        <v>112</v>
      </c>
      <c r="L47" s="77">
        <v>1</v>
      </c>
      <c r="N47" s="77">
        <v>4</v>
      </c>
      <c r="O47" s="77">
        <v>0.5</v>
      </c>
      <c r="P47" s="77">
        <v>0.65</v>
      </c>
      <c r="Q47" s="44">
        <f t="shared" si="0"/>
        <v>0.57499999999999996</v>
      </c>
      <c r="R47" s="77">
        <v>16.899999999999999</v>
      </c>
      <c r="S47" s="77">
        <v>99.5</v>
      </c>
      <c r="T47" s="16">
        <f t="shared" si="1"/>
        <v>33</v>
      </c>
      <c r="U47" s="77">
        <v>298</v>
      </c>
      <c r="V47" s="131">
        <f t="shared" si="2"/>
        <v>2458.5</v>
      </c>
      <c r="W47" s="77">
        <v>12</v>
      </c>
      <c r="X47" s="77" t="s">
        <v>35</v>
      </c>
      <c r="Y47" s="77" t="s">
        <v>64</v>
      </c>
      <c r="Z47" s="77" t="s">
        <v>76</v>
      </c>
      <c r="AA47" s="77" t="s">
        <v>74</v>
      </c>
      <c r="AB47" s="129" t="s">
        <v>330</v>
      </c>
      <c r="AC47" s="34"/>
    </row>
    <row r="48" spans="1:29" x14ac:dyDescent="0.15">
      <c r="A48" s="129" t="s">
        <v>48</v>
      </c>
      <c r="B48" s="129" t="s">
        <v>326</v>
      </c>
      <c r="C48" s="129">
        <v>2020</v>
      </c>
      <c r="D48" s="130" t="s">
        <v>327</v>
      </c>
      <c r="E48" s="129" t="s">
        <v>361</v>
      </c>
      <c r="F48" s="129" t="s">
        <v>338</v>
      </c>
      <c r="G48" s="129" t="s">
        <v>25</v>
      </c>
      <c r="H48" s="129" t="s">
        <v>113</v>
      </c>
      <c r="I48" s="77" t="s">
        <v>111</v>
      </c>
      <c r="J48" s="77" t="s">
        <v>27</v>
      </c>
      <c r="K48" s="77" t="s">
        <v>112</v>
      </c>
      <c r="L48" s="77">
        <v>2</v>
      </c>
      <c r="N48" s="77">
        <v>4</v>
      </c>
      <c r="O48" s="77">
        <v>0.65</v>
      </c>
      <c r="P48" s="77">
        <v>0.9</v>
      </c>
      <c r="Q48" s="44">
        <f t="shared" si="0"/>
        <v>0.77500000000000002</v>
      </c>
      <c r="R48" s="77">
        <v>16.399999999999999</v>
      </c>
      <c r="S48" s="77">
        <v>103</v>
      </c>
      <c r="T48" s="16">
        <f t="shared" si="1"/>
        <v>33</v>
      </c>
      <c r="U48" s="77">
        <v>298</v>
      </c>
      <c r="V48" s="131">
        <f t="shared" si="2"/>
        <v>2458.5</v>
      </c>
      <c r="W48" s="77">
        <v>12</v>
      </c>
      <c r="X48" s="77" t="s">
        <v>35</v>
      </c>
      <c r="Y48" s="77" t="s">
        <v>64</v>
      </c>
      <c r="Z48" s="77" t="s">
        <v>76</v>
      </c>
      <c r="AA48" s="77" t="s">
        <v>74</v>
      </c>
      <c r="AB48" s="129" t="s">
        <v>330</v>
      </c>
      <c r="AC48" s="34"/>
    </row>
    <row r="49" spans="1:29" x14ac:dyDescent="0.15">
      <c r="A49" s="129" t="s">
        <v>48</v>
      </c>
      <c r="B49" s="129" t="s">
        <v>326</v>
      </c>
      <c r="C49" s="129">
        <v>2020</v>
      </c>
      <c r="D49" s="130" t="s">
        <v>327</v>
      </c>
      <c r="E49" s="129" t="s">
        <v>361</v>
      </c>
      <c r="F49" s="129" t="s">
        <v>338</v>
      </c>
      <c r="G49" s="129" t="s">
        <v>25</v>
      </c>
      <c r="H49" s="129" t="s">
        <v>113</v>
      </c>
      <c r="I49" s="77" t="s">
        <v>111</v>
      </c>
      <c r="J49" s="77" t="s">
        <v>27</v>
      </c>
      <c r="K49" s="77" t="s">
        <v>112</v>
      </c>
      <c r="L49" s="77">
        <v>3</v>
      </c>
      <c r="N49" s="77">
        <v>4</v>
      </c>
      <c r="O49" s="77">
        <v>0.75</v>
      </c>
      <c r="P49" s="77">
        <v>0.5</v>
      </c>
      <c r="Q49" s="44">
        <f t="shared" si="0"/>
        <v>0.625</v>
      </c>
      <c r="R49" s="77">
        <v>16.399999999999999</v>
      </c>
      <c r="S49" s="77">
        <v>100.5</v>
      </c>
      <c r="T49" s="16">
        <f t="shared" si="1"/>
        <v>33</v>
      </c>
      <c r="U49" s="77">
        <v>298</v>
      </c>
      <c r="V49" s="131">
        <f t="shared" si="2"/>
        <v>2458.5</v>
      </c>
      <c r="W49" s="77">
        <v>12</v>
      </c>
      <c r="X49" s="77" t="s">
        <v>35</v>
      </c>
      <c r="Y49" s="77" t="s">
        <v>64</v>
      </c>
      <c r="Z49" s="77" t="s">
        <v>76</v>
      </c>
      <c r="AA49" s="77" t="s">
        <v>74</v>
      </c>
      <c r="AB49" s="129" t="s">
        <v>330</v>
      </c>
      <c r="AC49" s="34"/>
    </row>
    <row r="50" spans="1:29" x14ac:dyDescent="0.15">
      <c r="A50" s="129" t="s">
        <v>48</v>
      </c>
      <c r="B50" s="129" t="s">
        <v>326</v>
      </c>
      <c r="C50" s="129">
        <v>2020</v>
      </c>
      <c r="D50" s="130" t="s">
        <v>327</v>
      </c>
      <c r="E50" s="129" t="s">
        <v>361</v>
      </c>
      <c r="F50" s="129" t="s">
        <v>338</v>
      </c>
      <c r="G50" s="129" t="s">
        <v>25</v>
      </c>
      <c r="H50" s="129" t="s">
        <v>113</v>
      </c>
      <c r="I50" s="77" t="s">
        <v>111</v>
      </c>
      <c r="J50" s="77" t="s">
        <v>27</v>
      </c>
      <c r="K50" s="77" t="s">
        <v>112</v>
      </c>
      <c r="L50" s="77">
        <v>1</v>
      </c>
      <c r="N50" s="77">
        <v>7</v>
      </c>
      <c r="O50" s="77">
        <v>0.65</v>
      </c>
      <c r="P50" s="77">
        <v>0.85</v>
      </c>
      <c r="Q50" s="44">
        <f t="shared" si="0"/>
        <v>0.75</v>
      </c>
      <c r="R50" s="77">
        <v>17.3</v>
      </c>
      <c r="S50" s="77">
        <v>84</v>
      </c>
      <c r="T50" s="16">
        <f t="shared" si="1"/>
        <v>36</v>
      </c>
      <c r="U50" s="77">
        <v>498</v>
      </c>
      <c r="V50" s="131">
        <f t="shared" si="2"/>
        <v>2561.1428571428569</v>
      </c>
      <c r="W50" s="77">
        <v>12</v>
      </c>
      <c r="X50" s="77" t="s">
        <v>35</v>
      </c>
      <c r="Y50" s="77" t="s">
        <v>64</v>
      </c>
      <c r="Z50" s="77" t="s">
        <v>76</v>
      </c>
      <c r="AA50" s="77" t="s">
        <v>74</v>
      </c>
      <c r="AB50" s="129" t="s">
        <v>330</v>
      </c>
      <c r="AC50" s="34"/>
    </row>
    <row r="51" spans="1:29" x14ac:dyDescent="0.15">
      <c r="A51" s="129" t="s">
        <v>48</v>
      </c>
      <c r="B51" s="129" t="s">
        <v>326</v>
      </c>
      <c r="C51" s="129">
        <v>2020</v>
      </c>
      <c r="D51" s="130" t="s">
        <v>327</v>
      </c>
      <c r="E51" s="129" t="s">
        <v>361</v>
      </c>
      <c r="F51" s="129" t="s">
        <v>338</v>
      </c>
      <c r="G51" s="129" t="s">
        <v>25</v>
      </c>
      <c r="H51" s="129" t="s">
        <v>113</v>
      </c>
      <c r="I51" s="77" t="s">
        <v>111</v>
      </c>
      <c r="J51" s="77" t="s">
        <v>27</v>
      </c>
      <c r="K51" s="77" t="s">
        <v>112</v>
      </c>
      <c r="L51" s="77">
        <v>2</v>
      </c>
      <c r="N51" s="77">
        <v>7</v>
      </c>
      <c r="O51" s="77">
        <v>0.65</v>
      </c>
      <c r="P51" s="77">
        <v>0.65</v>
      </c>
      <c r="Q51" s="44">
        <f t="shared" si="0"/>
        <v>0.65</v>
      </c>
      <c r="R51" s="77">
        <v>17.5</v>
      </c>
      <c r="S51" s="77">
        <v>92.5</v>
      </c>
      <c r="T51" s="16">
        <f t="shared" si="1"/>
        <v>36</v>
      </c>
      <c r="U51" s="77">
        <v>498</v>
      </c>
      <c r="V51" s="131">
        <f t="shared" si="2"/>
        <v>2561.1428571428569</v>
      </c>
      <c r="W51" s="77">
        <v>12</v>
      </c>
      <c r="X51" s="77" t="s">
        <v>35</v>
      </c>
      <c r="Y51" s="77" t="s">
        <v>64</v>
      </c>
      <c r="Z51" s="77" t="s">
        <v>76</v>
      </c>
      <c r="AA51" s="77" t="s">
        <v>74</v>
      </c>
      <c r="AB51" s="129" t="s">
        <v>330</v>
      </c>
      <c r="AC51" s="34"/>
    </row>
    <row r="52" spans="1:29" x14ac:dyDescent="0.15">
      <c r="A52" s="129" t="s">
        <v>48</v>
      </c>
      <c r="B52" s="129" t="s">
        <v>326</v>
      </c>
      <c r="C52" s="129">
        <v>2020</v>
      </c>
      <c r="D52" s="130" t="s">
        <v>327</v>
      </c>
      <c r="E52" s="129" t="s">
        <v>361</v>
      </c>
      <c r="F52" s="129" t="s">
        <v>338</v>
      </c>
      <c r="G52" s="129" t="s">
        <v>25</v>
      </c>
      <c r="H52" s="129" t="s">
        <v>113</v>
      </c>
      <c r="I52" s="77" t="s">
        <v>111</v>
      </c>
      <c r="J52" s="77" t="s">
        <v>27</v>
      </c>
      <c r="K52" s="77" t="s">
        <v>112</v>
      </c>
      <c r="L52" s="77">
        <v>3</v>
      </c>
      <c r="N52" s="77">
        <v>7</v>
      </c>
      <c r="O52" s="77">
        <v>0.7</v>
      </c>
      <c r="P52" s="77">
        <v>0.7</v>
      </c>
      <c r="Q52" s="44">
        <f t="shared" si="0"/>
        <v>0.7</v>
      </c>
      <c r="R52" s="77">
        <v>15.2</v>
      </c>
      <c r="S52" s="77">
        <v>93</v>
      </c>
      <c r="T52" s="16">
        <f t="shared" si="1"/>
        <v>36</v>
      </c>
      <c r="U52" s="77">
        <v>498</v>
      </c>
      <c r="V52" s="131">
        <f t="shared" si="2"/>
        <v>2561.1428571428569</v>
      </c>
      <c r="W52" s="77">
        <v>12</v>
      </c>
      <c r="X52" s="77" t="s">
        <v>35</v>
      </c>
      <c r="Y52" s="77" t="s">
        <v>64</v>
      </c>
      <c r="Z52" s="77" t="s">
        <v>76</v>
      </c>
      <c r="AA52" s="77" t="s">
        <v>74</v>
      </c>
      <c r="AB52" s="129" t="s">
        <v>330</v>
      </c>
      <c r="AC52" s="34"/>
    </row>
    <row r="53" spans="1:29" x14ac:dyDescent="0.15">
      <c r="A53" s="129" t="s">
        <v>48</v>
      </c>
      <c r="B53" s="129" t="s">
        <v>326</v>
      </c>
      <c r="C53" s="129">
        <v>2020</v>
      </c>
      <c r="D53" s="130" t="s">
        <v>327</v>
      </c>
      <c r="E53" s="129" t="s">
        <v>339</v>
      </c>
      <c r="F53" s="129" t="s">
        <v>340</v>
      </c>
      <c r="G53" s="129" t="s">
        <v>25</v>
      </c>
      <c r="H53" s="129" t="s">
        <v>166</v>
      </c>
      <c r="I53" s="77" t="s">
        <v>111</v>
      </c>
      <c r="J53" s="77" t="s">
        <v>27</v>
      </c>
      <c r="K53" s="77" t="s">
        <v>112</v>
      </c>
      <c r="L53" s="77">
        <v>1</v>
      </c>
      <c r="N53" s="77">
        <v>1</v>
      </c>
      <c r="O53" s="77">
        <v>0.5</v>
      </c>
      <c r="P53" s="77">
        <v>0.5</v>
      </c>
      <c r="Q53" s="44">
        <f t="shared" si="0"/>
        <v>0.5</v>
      </c>
      <c r="R53" s="77">
        <v>16.3</v>
      </c>
      <c r="S53" s="77">
        <v>145.5</v>
      </c>
      <c r="T53" s="16">
        <f t="shared" si="1"/>
        <v>22</v>
      </c>
      <c r="U53" s="77">
        <v>98</v>
      </c>
      <c r="V53" s="131">
        <f t="shared" si="2"/>
        <v>2156</v>
      </c>
      <c r="W53" s="77">
        <v>14</v>
      </c>
      <c r="X53" s="77" t="s">
        <v>35</v>
      </c>
      <c r="Y53" s="77" t="s">
        <v>55</v>
      </c>
      <c r="Z53" s="77" t="s">
        <v>43</v>
      </c>
      <c r="AA53" s="77" t="s">
        <v>64</v>
      </c>
      <c r="AB53" s="129" t="s">
        <v>330</v>
      </c>
      <c r="AC53" s="34"/>
    </row>
    <row r="54" spans="1:29" x14ac:dyDescent="0.15">
      <c r="A54" s="129" t="s">
        <v>48</v>
      </c>
      <c r="B54" s="129" t="s">
        <v>326</v>
      </c>
      <c r="C54" s="129">
        <v>2020</v>
      </c>
      <c r="D54" s="130" t="s">
        <v>327</v>
      </c>
      <c r="E54" s="129" t="s">
        <v>339</v>
      </c>
      <c r="F54" s="129" t="s">
        <v>340</v>
      </c>
      <c r="G54" s="129" t="s">
        <v>25</v>
      </c>
      <c r="H54" s="129" t="s">
        <v>166</v>
      </c>
      <c r="I54" s="77" t="s">
        <v>111</v>
      </c>
      <c r="J54" s="77" t="s">
        <v>27</v>
      </c>
      <c r="K54" s="77" t="s">
        <v>112</v>
      </c>
      <c r="L54" s="77">
        <v>2</v>
      </c>
      <c r="N54" s="77">
        <v>1</v>
      </c>
      <c r="O54" s="77">
        <v>0.55000000000000004</v>
      </c>
      <c r="P54" s="77">
        <v>0.6</v>
      </c>
      <c r="Q54" s="44">
        <f t="shared" si="0"/>
        <v>0.57499999999999996</v>
      </c>
      <c r="R54" s="77">
        <v>13.9</v>
      </c>
      <c r="S54" s="77">
        <v>147.5</v>
      </c>
      <c r="T54" s="16">
        <f t="shared" si="1"/>
        <v>22</v>
      </c>
      <c r="U54" s="77">
        <v>98</v>
      </c>
      <c r="V54" s="131">
        <f t="shared" si="2"/>
        <v>2156</v>
      </c>
      <c r="W54" s="77">
        <v>14</v>
      </c>
      <c r="X54" s="77" t="s">
        <v>35</v>
      </c>
      <c r="Y54" s="77" t="s">
        <v>55</v>
      </c>
      <c r="Z54" s="77" t="s">
        <v>43</v>
      </c>
      <c r="AA54" s="77" t="s">
        <v>64</v>
      </c>
      <c r="AB54" s="129" t="s">
        <v>330</v>
      </c>
      <c r="AC54" s="34"/>
    </row>
    <row r="55" spans="1:29" x14ac:dyDescent="0.15">
      <c r="A55" s="129" t="s">
        <v>48</v>
      </c>
      <c r="B55" s="129" t="s">
        <v>326</v>
      </c>
      <c r="C55" s="129">
        <v>2020</v>
      </c>
      <c r="D55" s="130" t="s">
        <v>327</v>
      </c>
      <c r="E55" s="129" t="s">
        <v>339</v>
      </c>
      <c r="F55" s="129" t="s">
        <v>340</v>
      </c>
      <c r="G55" s="129" t="s">
        <v>25</v>
      </c>
      <c r="H55" s="129" t="s">
        <v>166</v>
      </c>
      <c r="I55" s="77" t="s">
        <v>111</v>
      </c>
      <c r="J55" s="77" t="s">
        <v>27</v>
      </c>
      <c r="K55" s="77" t="s">
        <v>112</v>
      </c>
      <c r="L55" s="77">
        <v>3</v>
      </c>
      <c r="N55" s="77">
        <v>1</v>
      </c>
      <c r="O55" s="77">
        <v>0.5</v>
      </c>
      <c r="P55" s="77">
        <v>0.5</v>
      </c>
      <c r="Q55" s="44">
        <f t="shared" si="0"/>
        <v>0.5</v>
      </c>
      <c r="R55" s="77">
        <v>13.4</v>
      </c>
      <c r="S55" s="77">
        <v>138</v>
      </c>
      <c r="T55" s="16">
        <f t="shared" si="1"/>
        <v>22</v>
      </c>
      <c r="U55" s="77">
        <v>98</v>
      </c>
      <c r="V55" s="131">
        <f t="shared" si="2"/>
        <v>2156</v>
      </c>
      <c r="W55" s="77">
        <v>14</v>
      </c>
      <c r="X55" s="77" t="s">
        <v>35</v>
      </c>
      <c r="Y55" s="77" t="s">
        <v>55</v>
      </c>
      <c r="Z55" s="77" t="s">
        <v>43</v>
      </c>
      <c r="AA55" s="77" t="s">
        <v>64</v>
      </c>
      <c r="AB55" s="129" t="s">
        <v>330</v>
      </c>
      <c r="AC55" s="34"/>
    </row>
    <row r="56" spans="1:29" x14ac:dyDescent="0.15">
      <c r="A56" s="129" t="s">
        <v>48</v>
      </c>
      <c r="B56" s="129" t="s">
        <v>326</v>
      </c>
      <c r="C56" s="129">
        <v>2020</v>
      </c>
      <c r="D56" s="130" t="s">
        <v>327</v>
      </c>
      <c r="E56" s="129" t="s">
        <v>339</v>
      </c>
      <c r="F56" s="129" t="s">
        <v>340</v>
      </c>
      <c r="G56" s="129" t="s">
        <v>25</v>
      </c>
      <c r="H56" s="129" t="s">
        <v>166</v>
      </c>
      <c r="I56" s="77" t="s">
        <v>111</v>
      </c>
      <c r="J56" s="77" t="s">
        <v>27</v>
      </c>
      <c r="K56" s="77" t="s">
        <v>112</v>
      </c>
      <c r="L56" s="77">
        <v>1</v>
      </c>
      <c r="N56" s="77">
        <v>4</v>
      </c>
      <c r="O56" s="77">
        <v>0.6</v>
      </c>
      <c r="P56" s="77">
        <v>0.6</v>
      </c>
      <c r="Q56" s="44">
        <f t="shared" si="0"/>
        <v>0.6</v>
      </c>
      <c r="R56" s="77">
        <v>13.5</v>
      </c>
      <c r="S56" s="77">
        <v>110</v>
      </c>
      <c r="T56" s="16">
        <f t="shared" si="1"/>
        <v>33</v>
      </c>
      <c r="U56" s="77">
        <v>498</v>
      </c>
      <c r="V56" s="131">
        <f t="shared" si="2"/>
        <v>4108.5</v>
      </c>
      <c r="W56" s="77">
        <v>14</v>
      </c>
      <c r="X56" s="77" t="s">
        <v>35</v>
      </c>
      <c r="Y56" s="77" t="s">
        <v>55</v>
      </c>
      <c r="Z56" s="77" t="s">
        <v>43</v>
      </c>
      <c r="AA56" s="77" t="s">
        <v>64</v>
      </c>
      <c r="AB56" s="129" t="s">
        <v>330</v>
      </c>
      <c r="AC56" s="34"/>
    </row>
    <row r="57" spans="1:29" x14ac:dyDescent="0.15">
      <c r="A57" s="129" t="s">
        <v>48</v>
      </c>
      <c r="B57" s="129" t="s">
        <v>326</v>
      </c>
      <c r="C57" s="129">
        <v>2020</v>
      </c>
      <c r="D57" s="130" t="s">
        <v>327</v>
      </c>
      <c r="E57" s="129" t="s">
        <v>339</v>
      </c>
      <c r="F57" s="129" t="s">
        <v>340</v>
      </c>
      <c r="G57" s="129" t="s">
        <v>25</v>
      </c>
      <c r="H57" s="129" t="s">
        <v>166</v>
      </c>
      <c r="I57" s="77" t="s">
        <v>111</v>
      </c>
      <c r="J57" s="77" t="s">
        <v>27</v>
      </c>
      <c r="K57" s="77" t="s">
        <v>112</v>
      </c>
      <c r="L57" s="77">
        <v>2</v>
      </c>
      <c r="N57" s="77">
        <v>4</v>
      </c>
      <c r="O57" s="77">
        <v>0.5</v>
      </c>
      <c r="P57" s="77">
        <v>0.55000000000000004</v>
      </c>
      <c r="Q57" s="44">
        <f t="shared" si="0"/>
        <v>0.52500000000000002</v>
      </c>
      <c r="R57" s="77">
        <v>15.6</v>
      </c>
      <c r="S57" s="77">
        <v>110</v>
      </c>
      <c r="T57" s="16">
        <f t="shared" si="1"/>
        <v>33</v>
      </c>
      <c r="U57" s="77">
        <v>498</v>
      </c>
      <c r="V57" s="131">
        <f t="shared" si="2"/>
        <v>4108.5</v>
      </c>
      <c r="W57" s="77">
        <v>14</v>
      </c>
      <c r="X57" s="77" t="s">
        <v>35</v>
      </c>
      <c r="Y57" s="77" t="s">
        <v>55</v>
      </c>
      <c r="Z57" s="77" t="s">
        <v>43</v>
      </c>
      <c r="AA57" s="77" t="s">
        <v>64</v>
      </c>
      <c r="AB57" s="129" t="s">
        <v>330</v>
      </c>
      <c r="AC57" s="34"/>
    </row>
    <row r="58" spans="1:29" x14ac:dyDescent="0.15">
      <c r="A58" s="129" t="s">
        <v>48</v>
      </c>
      <c r="B58" s="129" t="s">
        <v>326</v>
      </c>
      <c r="C58" s="129">
        <v>2020</v>
      </c>
      <c r="D58" s="130" t="s">
        <v>327</v>
      </c>
      <c r="E58" s="129" t="s">
        <v>339</v>
      </c>
      <c r="F58" s="129" t="s">
        <v>340</v>
      </c>
      <c r="G58" s="129" t="s">
        <v>25</v>
      </c>
      <c r="H58" s="129" t="s">
        <v>166</v>
      </c>
      <c r="I58" s="77" t="s">
        <v>111</v>
      </c>
      <c r="J58" s="77" t="s">
        <v>27</v>
      </c>
      <c r="K58" s="77" t="s">
        <v>112</v>
      </c>
      <c r="L58" s="77">
        <v>3</v>
      </c>
      <c r="N58" s="77">
        <v>4</v>
      </c>
      <c r="O58" s="77">
        <v>0.5</v>
      </c>
      <c r="P58" s="77">
        <v>0.5</v>
      </c>
      <c r="Q58" s="44">
        <f t="shared" si="0"/>
        <v>0.5</v>
      </c>
      <c r="R58" s="77">
        <v>16.8</v>
      </c>
      <c r="S58" s="77">
        <v>108</v>
      </c>
      <c r="T58" s="16">
        <f t="shared" si="1"/>
        <v>33</v>
      </c>
      <c r="U58" s="77">
        <v>498</v>
      </c>
      <c r="V58" s="131">
        <f t="shared" si="2"/>
        <v>4108.5</v>
      </c>
      <c r="W58" s="77">
        <v>14</v>
      </c>
      <c r="X58" s="77" t="s">
        <v>35</v>
      </c>
      <c r="Y58" s="77" t="s">
        <v>55</v>
      </c>
      <c r="Z58" s="77" t="s">
        <v>43</v>
      </c>
      <c r="AA58" s="77" t="s">
        <v>64</v>
      </c>
      <c r="AB58" s="129" t="s">
        <v>330</v>
      </c>
      <c r="AC58" s="34"/>
    </row>
    <row r="59" spans="1:29" x14ac:dyDescent="0.15">
      <c r="A59" s="129" t="s">
        <v>48</v>
      </c>
      <c r="B59" s="129" t="s">
        <v>326</v>
      </c>
      <c r="C59" s="129">
        <v>2020</v>
      </c>
      <c r="D59" s="130" t="s">
        <v>327</v>
      </c>
      <c r="E59" s="129" t="s">
        <v>339</v>
      </c>
      <c r="F59" s="129" t="s">
        <v>340</v>
      </c>
      <c r="G59" s="129" t="s">
        <v>25</v>
      </c>
      <c r="H59" s="129" t="s">
        <v>166</v>
      </c>
      <c r="I59" s="77" t="s">
        <v>165</v>
      </c>
      <c r="J59" s="77" t="s">
        <v>27</v>
      </c>
      <c r="K59" s="77" t="s">
        <v>112</v>
      </c>
      <c r="L59" s="77">
        <v>1</v>
      </c>
      <c r="N59" s="77">
        <v>1</v>
      </c>
      <c r="O59" s="77">
        <v>0.7</v>
      </c>
      <c r="P59" s="77">
        <v>0.55000000000000004</v>
      </c>
      <c r="Q59" s="44">
        <f t="shared" si="0"/>
        <v>0.625</v>
      </c>
      <c r="R59" s="77">
        <v>17</v>
      </c>
      <c r="S59" s="77">
        <v>123</v>
      </c>
      <c r="T59" s="16">
        <f t="shared" si="1"/>
        <v>27</v>
      </c>
      <c r="U59" s="77">
        <v>128</v>
      </c>
      <c r="V59" s="131">
        <f t="shared" si="2"/>
        <v>3456</v>
      </c>
      <c r="W59" s="77">
        <v>14</v>
      </c>
      <c r="X59" s="77" t="s">
        <v>35</v>
      </c>
      <c r="Y59" s="77" t="s">
        <v>55</v>
      </c>
      <c r="Z59" s="77" t="s">
        <v>43</v>
      </c>
      <c r="AA59" s="77" t="s">
        <v>64</v>
      </c>
      <c r="AB59" s="129" t="s">
        <v>330</v>
      </c>
    </row>
    <row r="60" spans="1:29" x14ac:dyDescent="0.15">
      <c r="A60" s="129" t="s">
        <v>48</v>
      </c>
      <c r="B60" s="129" t="s">
        <v>326</v>
      </c>
      <c r="C60" s="129">
        <v>2020</v>
      </c>
      <c r="D60" s="130" t="s">
        <v>327</v>
      </c>
      <c r="E60" s="129" t="s">
        <v>339</v>
      </c>
      <c r="F60" s="129" t="s">
        <v>340</v>
      </c>
      <c r="G60" s="129" t="s">
        <v>25</v>
      </c>
      <c r="H60" s="129" t="s">
        <v>166</v>
      </c>
      <c r="I60" s="77" t="s">
        <v>165</v>
      </c>
      <c r="J60" s="77" t="s">
        <v>27</v>
      </c>
      <c r="K60" s="77" t="s">
        <v>112</v>
      </c>
      <c r="L60" s="77">
        <v>2</v>
      </c>
      <c r="N60" s="77">
        <v>1</v>
      </c>
      <c r="O60" s="77">
        <v>0.5</v>
      </c>
      <c r="P60" s="77">
        <v>0.5</v>
      </c>
      <c r="Q60" s="44">
        <f t="shared" si="0"/>
        <v>0.5</v>
      </c>
      <c r="R60" s="77">
        <v>16</v>
      </c>
      <c r="S60" s="77">
        <v>126</v>
      </c>
      <c r="T60" s="16">
        <f t="shared" si="1"/>
        <v>27</v>
      </c>
      <c r="U60" s="77">
        <v>128</v>
      </c>
      <c r="V60" s="131">
        <f t="shared" si="2"/>
        <v>3456</v>
      </c>
      <c r="W60" s="77">
        <v>14</v>
      </c>
      <c r="X60" s="77" t="s">
        <v>35</v>
      </c>
      <c r="Y60" s="77" t="s">
        <v>55</v>
      </c>
      <c r="Z60" s="77" t="s">
        <v>43</v>
      </c>
      <c r="AA60" s="77" t="s">
        <v>64</v>
      </c>
      <c r="AB60" s="129" t="s">
        <v>330</v>
      </c>
    </row>
    <row r="61" spans="1:29" x14ac:dyDescent="0.15">
      <c r="A61" s="129" t="s">
        <v>48</v>
      </c>
      <c r="B61" s="129" t="s">
        <v>326</v>
      </c>
      <c r="C61" s="129">
        <v>2020</v>
      </c>
      <c r="D61" s="130" t="s">
        <v>327</v>
      </c>
      <c r="E61" s="129" t="s">
        <v>339</v>
      </c>
      <c r="F61" s="129" t="s">
        <v>340</v>
      </c>
      <c r="G61" s="129" t="s">
        <v>25</v>
      </c>
      <c r="H61" s="129" t="s">
        <v>166</v>
      </c>
      <c r="I61" s="77" t="s">
        <v>165</v>
      </c>
      <c r="J61" s="77" t="s">
        <v>27</v>
      </c>
      <c r="K61" s="77" t="s">
        <v>112</v>
      </c>
      <c r="L61" s="77">
        <v>3</v>
      </c>
      <c r="N61" s="77">
        <v>1</v>
      </c>
      <c r="O61" s="77">
        <v>0.95</v>
      </c>
      <c r="P61" s="77">
        <v>0.7</v>
      </c>
      <c r="Q61" s="44">
        <f t="shared" si="0"/>
        <v>0.82499999999999996</v>
      </c>
      <c r="R61" s="77">
        <v>15.6</v>
      </c>
      <c r="S61" s="77">
        <v>123</v>
      </c>
      <c r="T61" s="16">
        <f t="shared" si="1"/>
        <v>27</v>
      </c>
      <c r="U61" s="77">
        <v>128</v>
      </c>
      <c r="V61" s="131">
        <f t="shared" si="2"/>
        <v>3456</v>
      </c>
      <c r="W61" s="77">
        <v>14</v>
      </c>
      <c r="X61" s="77" t="s">
        <v>35</v>
      </c>
      <c r="Y61" s="77" t="s">
        <v>55</v>
      </c>
      <c r="Z61" s="77" t="s">
        <v>43</v>
      </c>
      <c r="AA61" s="77" t="s">
        <v>64</v>
      </c>
      <c r="AB61" s="129" t="s">
        <v>330</v>
      </c>
    </row>
    <row r="62" spans="1:29" x14ac:dyDescent="0.15">
      <c r="A62" s="129" t="s">
        <v>48</v>
      </c>
      <c r="B62" s="129" t="s">
        <v>326</v>
      </c>
      <c r="C62" s="129">
        <v>2020</v>
      </c>
      <c r="D62" s="130" t="s">
        <v>327</v>
      </c>
      <c r="E62" s="129" t="s">
        <v>339</v>
      </c>
      <c r="F62" s="129" t="s">
        <v>340</v>
      </c>
      <c r="G62" s="129" t="s">
        <v>25</v>
      </c>
      <c r="H62" s="129" t="s">
        <v>113</v>
      </c>
      <c r="I62" s="77" t="s">
        <v>111</v>
      </c>
      <c r="J62" s="77" t="s">
        <v>27</v>
      </c>
      <c r="K62" s="77" t="s">
        <v>112</v>
      </c>
      <c r="L62" s="77">
        <v>1</v>
      </c>
      <c r="N62" s="77">
        <v>4</v>
      </c>
      <c r="O62" s="77">
        <v>0.95</v>
      </c>
      <c r="P62" s="77">
        <v>0.6</v>
      </c>
      <c r="Q62" s="44">
        <f>IF(OR(O62="",P62=""),"",AVERAGE(O62,P62))</f>
        <v>0.77499999999999991</v>
      </c>
      <c r="R62" s="77">
        <v>20.100000000000001</v>
      </c>
      <c r="S62" s="77">
        <v>99</v>
      </c>
      <c r="T62" s="16">
        <f t="shared" si="1"/>
        <v>33</v>
      </c>
      <c r="U62" s="77">
        <v>398</v>
      </c>
      <c r="V62" s="131">
        <f t="shared" si="2"/>
        <v>3283.5</v>
      </c>
      <c r="W62" s="77">
        <v>14</v>
      </c>
      <c r="X62" s="77" t="s">
        <v>35</v>
      </c>
      <c r="Y62" s="77" t="s">
        <v>55</v>
      </c>
      <c r="Z62" s="77" t="s">
        <v>43</v>
      </c>
      <c r="AA62" s="77" t="s">
        <v>64</v>
      </c>
      <c r="AB62" s="129" t="s">
        <v>330</v>
      </c>
    </row>
    <row r="63" spans="1:29" x14ac:dyDescent="0.15">
      <c r="A63" s="129" t="s">
        <v>48</v>
      </c>
      <c r="B63" s="129" t="s">
        <v>326</v>
      </c>
      <c r="C63" s="129">
        <v>2020</v>
      </c>
      <c r="D63" s="130" t="s">
        <v>327</v>
      </c>
      <c r="E63" s="129" t="s">
        <v>339</v>
      </c>
      <c r="F63" s="129" t="s">
        <v>340</v>
      </c>
      <c r="G63" s="129" t="s">
        <v>25</v>
      </c>
      <c r="H63" s="129" t="s">
        <v>113</v>
      </c>
      <c r="I63" s="77" t="s">
        <v>111</v>
      </c>
      <c r="J63" s="77" t="s">
        <v>27</v>
      </c>
      <c r="K63" s="77" t="s">
        <v>112</v>
      </c>
      <c r="L63" s="77">
        <v>2</v>
      </c>
      <c r="N63" s="77">
        <v>4</v>
      </c>
      <c r="O63" s="77">
        <v>0.55000000000000004</v>
      </c>
      <c r="P63" s="77">
        <v>0.55000000000000004</v>
      </c>
      <c r="Q63" s="44">
        <f t="shared" si="0"/>
        <v>0.55000000000000004</v>
      </c>
      <c r="R63" s="77">
        <v>19.3</v>
      </c>
      <c r="S63" s="77">
        <v>94</v>
      </c>
      <c r="T63" s="16">
        <f t="shared" si="1"/>
        <v>36</v>
      </c>
      <c r="U63" s="77">
        <v>398</v>
      </c>
      <c r="V63" s="131">
        <f t="shared" si="2"/>
        <v>3582</v>
      </c>
      <c r="W63" s="77">
        <v>14</v>
      </c>
      <c r="X63" s="77" t="s">
        <v>35</v>
      </c>
      <c r="Y63" s="77" t="s">
        <v>55</v>
      </c>
      <c r="Z63" s="77" t="s">
        <v>43</v>
      </c>
      <c r="AA63" s="77" t="s">
        <v>64</v>
      </c>
      <c r="AB63" s="129" t="s">
        <v>330</v>
      </c>
    </row>
    <row r="64" spans="1:29" x14ac:dyDescent="0.15">
      <c r="A64" s="129" t="s">
        <v>48</v>
      </c>
      <c r="B64" s="129" t="s">
        <v>326</v>
      </c>
      <c r="C64" s="129">
        <v>2020</v>
      </c>
      <c r="D64" s="130" t="s">
        <v>327</v>
      </c>
      <c r="E64" s="129" t="s">
        <v>339</v>
      </c>
      <c r="F64" s="129" t="s">
        <v>340</v>
      </c>
      <c r="G64" s="129" t="s">
        <v>25</v>
      </c>
      <c r="H64" s="129" t="s">
        <v>113</v>
      </c>
      <c r="I64" s="77" t="s">
        <v>111</v>
      </c>
      <c r="J64" s="77" t="s">
        <v>27</v>
      </c>
      <c r="K64" s="77" t="s">
        <v>112</v>
      </c>
      <c r="L64" s="77">
        <v>3</v>
      </c>
      <c r="N64" s="77">
        <v>4</v>
      </c>
      <c r="O64" s="77">
        <v>0.7</v>
      </c>
      <c r="P64" s="77">
        <v>0.75</v>
      </c>
      <c r="Q64" s="44">
        <f t="shared" si="0"/>
        <v>0.72499999999999998</v>
      </c>
      <c r="R64" s="77">
        <v>19.5</v>
      </c>
      <c r="S64" s="77">
        <v>91</v>
      </c>
      <c r="T64" s="16">
        <f t="shared" si="1"/>
        <v>36</v>
      </c>
      <c r="U64" s="77">
        <v>398</v>
      </c>
      <c r="V64" s="131">
        <f t="shared" si="2"/>
        <v>3582</v>
      </c>
      <c r="W64" s="77">
        <v>14</v>
      </c>
      <c r="X64" s="77" t="s">
        <v>35</v>
      </c>
      <c r="Y64" s="77" t="s">
        <v>55</v>
      </c>
      <c r="Z64" s="77" t="s">
        <v>43</v>
      </c>
      <c r="AA64" s="77" t="s">
        <v>64</v>
      </c>
      <c r="AB64" s="129" t="s">
        <v>330</v>
      </c>
    </row>
    <row r="65" spans="1:29" x14ac:dyDescent="0.15">
      <c r="A65" s="129" t="s">
        <v>48</v>
      </c>
      <c r="B65" s="129" t="s">
        <v>326</v>
      </c>
      <c r="C65" s="129">
        <v>2020</v>
      </c>
      <c r="D65" s="130" t="s">
        <v>327</v>
      </c>
      <c r="E65" s="129" t="s">
        <v>303</v>
      </c>
      <c r="F65" s="129" t="s">
        <v>340</v>
      </c>
      <c r="G65" s="129" t="s">
        <v>25</v>
      </c>
      <c r="H65" s="129" t="s">
        <v>166</v>
      </c>
      <c r="I65" s="77" t="s">
        <v>111</v>
      </c>
      <c r="J65" s="77" t="s">
        <v>27</v>
      </c>
      <c r="K65" s="77" t="s">
        <v>112</v>
      </c>
      <c r="L65" s="77">
        <v>1</v>
      </c>
      <c r="N65" s="77">
        <v>1</v>
      </c>
      <c r="O65" s="77">
        <v>0.65</v>
      </c>
      <c r="P65" s="77">
        <v>0.75</v>
      </c>
      <c r="Q65" s="44">
        <f t="shared" si="0"/>
        <v>0.7</v>
      </c>
      <c r="R65" s="77">
        <v>16.2</v>
      </c>
      <c r="S65" s="77">
        <v>128.5</v>
      </c>
      <c r="T65" s="16">
        <f t="shared" si="1"/>
        <v>27</v>
      </c>
      <c r="U65" s="77">
        <v>128</v>
      </c>
      <c r="V65" s="131">
        <f t="shared" si="2"/>
        <v>3456</v>
      </c>
      <c r="W65" s="77">
        <v>8</v>
      </c>
      <c r="X65" s="77" t="s">
        <v>35</v>
      </c>
      <c r="Y65" s="77" t="s">
        <v>55</v>
      </c>
      <c r="Z65" s="77" t="s">
        <v>76</v>
      </c>
      <c r="AA65" s="77" t="s">
        <v>43</v>
      </c>
      <c r="AB65" s="129" t="s">
        <v>330</v>
      </c>
      <c r="AC65" s="34"/>
    </row>
    <row r="66" spans="1:29" x14ac:dyDescent="0.15">
      <c r="A66" s="129" t="s">
        <v>48</v>
      </c>
      <c r="B66" s="129" t="s">
        <v>326</v>
      </c>
      <c r="C66" s="129">
        <v>2020</v>
      </c>
      <c r="D66" s="130" t="s">
        <v>327</v>
      </c>
      <c r="E66" s="129" t="s">
        <v>303</v>
      </c>
      <c r="F66" s="129" t="s">
        <v>340</v>
      </c>
      <c r="G66" s="129" t="s">
        <v>25</v>
      </c>
      <c r="H66" s="129" t="s">
        <v>166</v>
      </c>
      <c r="I66" s="77" t="s">
        <v>111</v>
      </c>
      <c r="J66" s="77" t="s">
        <v>27</v>
      </c>
      <c r="K66" s="77" t="s">
        <v>112</v>
      </c>
      <c r="L66" s="77">
        <v>2</v>
      </c>
      <c r="N66" s="77">
        <v>1</v>
      </c>
      <c r="O66" s="77">
        <v>0.75</v>
      </c>
      <c r="P66" s="77">
        <v>0.85</v>
      </c>
      <c r="Q66" s="44">
        <f t="shared" ref="Q66:Q130" si="3">IF(OR(O66="",P66=""),"",AVERAGE(O66,P66))</f>
        <v>0.8</v>
      </c>
      <c r="R66" s="77">
        <v>15.3</v>
      </c>
      <c r="S66" s="77">
        <v>134</v>
      </c>
      <c r="T66" s="16">
        <f t="shared" ref="T66:T130" si="4">IF(H66="","",IF(OR(H66="GREEN",H66="GK"),IF(S66&gt;=$AX$2,VLOOKUP(S66,$AX$2:$AY$15,2,1),""),IF(S66&gt;=$AZ$2,VLOOKUP(S66,$AZ$2:$BA$15,2,1),"")))</f>
        <v>25</v>
      </c>
      <c r="U66" s="77">
        <v>128</v>
      </c>
      <c r="V66" s="131">
        <f t="shared" si="2"/>
        <v>3200</v>
      </c>
      <c r="W66" s="77">
        <v>8</v>
      </c>
      <c r="X66" s="77" t="s">
        <v>35</v>
      </c>
      <c r="Y66" s="77" t="s">
        <v>55</v>
      </c>
      <c r="Z66" s="77" t="s">
        <v>76</v>
      </c>
      <c r="AA66" s="77" t="s">
        <v>43</v>
      </c>
      <c r="AB66" s="129" t="s">
        <v>330</v>
      </c>
      <c r="AC66" s="34"/>
    </row>
    <row r="67" spans="1:29" x14ac:dyDescent="0.15">
      <c r="A67" s="129" t="s">
        <v>48</v>
      </c>
      <c r="B67" s="129" t="s">
        <v>326</v>
      </c>
      <c r="C67" s="129">
        <v>2020</v>
      </c>
      <c r="D67" s="130" t="s">
        <v>327</v>
      </c>
      <c r="E67" s="129" t="s">
        <v>303</v>
      </c>
      <c r="F67" s="129" t="s">
        <v>340</v>
      </c>
      <c r="G67" s="129" t="s">
        <v>25</v>
      </c>
      <c r="H67" s="129" t="s">
        <v>166</v>
      </c>
      <c r="I67" s="77" t="s">
        <v>111</v>
      </c>
      <c r="J67" s="77" t="s">
        <v>27</v>
      </c>
      <c r="K67" s="77" t="s">
        <v>112</v>
      </c>
      <c r="L67" s="77">
        <v>3</v>
      </c>
      <c r="N67" s="77">
        <v>1</v>
      </c>
      <c r="O67" s="77">
        <v>0.95</v>
      </c>
      <c r="P67" s="77">
        <v>1.05</v>
      </c>
      <c r="Q67" s="44">
        <f t="shared" si="3"/>
        <v>1</v>
      </c>
      <c r="R67" s="34">
        <v>15.8</v>
      </c>
      <c r="S67" s="77">
        <v>135.5</v>
      </c>
      <c r="T67" s="16">
        <f t="shared" si="4"/>
        <v>25</v>
      </c>
      <c r="U67" s="77">
        <v>128</v>
      </c>
      <c r="V67" s="131">
        <f t="shared" ref="V67:V130" si="5">IF(OR(N67="",U67="",T67=""),"",U67/N67*T67)</f>
        <v>3200</v>
      </c>
      <c r="W67" s="77">
        <v>8</v>
      </c>
      <c r="X67" s="77" t="s">
        <v>35</v>
      </c>
      <c r="Y67" s="77" t="s">
        <v>55</v>
      </c>
      <c r="Z67" s="77" t="s">
        <v>76</v>
      </c>
      <c r="AA67" s="77" t="s">
        <v>43</v>
      </c>
      <c r="AB67" s="129" t="s">
        <v>330</v>
      </c>
      <c r="AC67" s="34"/>
    </row>
    <row r="68" spans="1:29" x14ac:dyDescent="0.15">
      <c r="A68" s="129" t="s">
        <v>48</v>
      </c>
      <c r="B68" s="129" t="s">
        <v>326</v>
      </c>
      <c r="C68" s="129">
        <v>2020</v>
      </c>
      <c r="D68" s="130" t="s">
        <v>327</v>
      </c>
      <c r="E68" s="129" t="s">
        <v>303</v>
      </c>
      <c r="F68" s="129" t="s">
        <v>340</v>
      </c>
      <c r="G68" s="129" t="s">
        <v>25</v>
      </c>
      <c r="H68" s="129" t="s">
        <v>113</v>
      </c>
      <c r="I68" s="77" t="s">
        <v>111</v>
      </c>
      <c r="J68" s="77" t="s">
        <v>27</v>
      </c>
      <c r="K68" s="77" t="s">
        <v>112</v>
      </c>
      <c r="L68" s="77">
        <v>1</v>
      </c>
      <c r="N68" s="77">
        <v>1</v>
      </c>
      <c r="O68" s="77">
        <v>0.85</v>
      </c>
      <c r="P68" s="77">
        <v>0.95</v>
      </c>
      <c r="Q68" s="44">
        <f t="shared" si="3"/>
        <v>0.89999999999999991</v>
      </c>
      <c r="R68" s="77">
        <v>16.8</v>
      </c>
      <c r="S68" s="77">
        <v>117</v>
      </c>
      <c r="T68" s="16">
        <f t="shared" si="4"/>
        <v>30</v>
      </c>
      <c r="U68" s="77">
        <v>88</v>
      </c>
      <c r="V68" s="131">
        <f t="shared" si="5"/>
        <v>2640</v>
      </c>
      <c r="W68" s="77">
        <v>8</v>
      </c>
      <c r="X68" s="77" t="s">
        <v>35</v>
      </c>
      <c r="Y68" s="77" t="s">
        <v>55</v>
      </c>
      <c r="Z68" s="77" t="s">
        <v>76</v>
      </c>
      <c r="AA68" s="77" t="s">
        <v>43</v>
      </c>
      <c r="AB68" s="129" t="s">
        <v>330</v>
      </c>
      <c r="AC68" s="34"/>
    </row>
    <row r="69" spans="1:29" x14ac:dyDescent="0.15">
      <c r="A69" s="129" t="s">
        <v>48</v>
      </c>
      <c r="B69" s="129" t="s">
        <v>326</v>
      </c>
      <c r="C69" s="129">
        <v>2020</v>
      </c>
      <c r="D69" s="130" t="s">
        <v>327</v>
      </c>
      <c r="E69" s="129" t="s">
        <v>303</v>
      </c>
      <c r="F69" s="129" t="s">
        <v>340</v>
      </c>
      <c r="G69" s="129" t="s">
        <v>25</v>
      </c>
      <c r="H69" s="129" t="s">
        <v>113</v>
      </c>
      <c r="I69" s="77" t="s">
        <v>111</v>
      </c>
      <c r="J69" s="77" t="s">
        <v>27</v>
      </c>
      <c r="K69" s="77" t="s">
        <v>112</v>
      </c>
      <c r="L69" s="77">
        <v>2</v>
      </c>
      <c r="N69" s="77">
        <v>1</v>
      </c>
      <c r="O69" s="77">
        <v>0.65</v>
      </c>
      <c r="P69" s="77">
        <v>0.7</v>
      </c>
      <c r="Q69" s="44">
        <f t="shared" si="3"/>
        <v>0.67500000000000004</v>
      </c>
      <c r="R69" s="34">
        <v>15.6</v>
      </c>
      <c r="S69" s="77">
        <v>115.5</v>
      </c>
      <c r="T69" s="16">
        <f t="shared" si="4"/>
        <v>30</v>
      </c>
      <c r="U69" s="77">
        <v>88</v>
      </c>
      <c r="V69" s="131">
        <f t="shared" si="5"/>
        <v>2640</v>
      </c>
      <c r="W69" s="77">
        <v>8</v>
      </c>
      <c r="X69" s="77" t="s">
        <v>35</v>
      </c>
      <c r="Y69" s="77" t="s">
        <v>55</v>
      </c>
      <c r="Z69" s="77" t="s">
        <v>76</v>
      </c>
      <c r="AA69" s="77" t="s">
        <v>43</v>
      </c>
      <c r="AB69" s="129" t="s">
        <v>330</v>
      </c>
      <c r="AC69" s="34"/>
    </row>
    <row r="70" spans="1:29" x14ac:dyDescent="0.15">
      <c r="A70" s="129" t="s">
        <v>48</v>
      </c>
      <c r="B70" s="129" t="s">
        <v>326</v>
      </c>
      <c r="C70" s="129">
        <v>2020</v>
      </c>
      <c r="D70" s="130" t="s">
        <v>327</v>
      </c>
      <c r="E70" s="129" t="s">
        <v>303</v>
      </c>
      <c r="F70" s="129" t="s">
        <v>340</v>
      </c>
      <c r="G70" s="129" t="s">
        <v>25</v>
      </c>
      <c r="H70" s="129" t="s">
        <v>113</v>
      </c>
      <c r="I70" s="77" t="s">
        <v>111</v>
      </c>
      <c r="J70" s="77" t="s">
        <v>27</v>
      </c>
      <c r="K70" s="77" t="s">
        <v>112</v>
      </c>
      <c r="L70" s="77">
        <v>3</v>
      </c>
      <c r="N70" s="77">
        <v>1</v>
      </c>
      <c r="O70" s="77">
        <v>0.75</v>
      </c>
      <c r="P70" s="77">
        <v>0.9</v>
      </c>
      <c r="Q70" s="44">
        <f t="shared" si="3"/>
        <v>0.82499999999999996</v>
      </c>
      <c r="R70" s="34">
        <v>15.7</v>
      </c>
      <c r="S70" s="77">
        <v>116.5</v>
      </c>
      <c r="T70" s="16">
        <f t="shared" si="4"/>
        <v>30</v>
      </c>
      <c r="U70" s="77">
        <v>88</v>
      </c>
      <c r="V70" s="131">
        <f t="shared" si="5"/>
        <v>2640</v>
      </c>
      <c r="W70" s="77">
        <v>8</v>
      </c>
      <c r="X70" s="77" t="s">
        <v>35</v>
      </c>
      <c r="Y70" s="77" t="s">
        <v>55</v>
      </c>
      <c r="Z70" s="77" t="s">
        <v>76</v>
      </c>
      <c r="AA70" s="77" t="s">
        <v>43</v>
      </c>
      <c r="AB70" s="129" t="s">
        <v>330</v>
      </c>
      <c r="AC70" s="34"/>
    </row>
    <row r="71" spans="1:29" x14ac:dyDescent="0.15">
      <c r="A71" s="129" t="s">
        <v>48</v>
      </c>
      <c r="B71" s="129" t="s">
        <v>326</v>
      </c>
      <c r="C71" s="129">
        <v>2020</v>
      </c>
      <c r="D71" s="130" t="s">
        <v>327</v>
      </c>
      <c r="E71" s="129" t="s">
        <v>362</v>
      </c>
      <c r="F71" s="129" t="s">
        <v>343</v>
      </c>
      <c r="G71" s="129" t="s">
        <v>25</v>
      </c>
      <c r="H71" s="129" t="s">
        <v>166</v>
      </c>
      <c r="I71" s="77" t="s">
        <v>111</v>
      </c>
      <c r="J71" s="77" t="s">
        <v>27</v>
      </c>
      <c r="K71" s="77" t="s">
        <v>112</v>
      </c>
      <c r="L71" s="77">
        <v>1</v>
      </c>
      <c r="N71" s="77">
        <v>1</v>
      </c>
      <c r="O71" s="77">
        <v>0.6</v>
      </c>
      <c r="P71" s="77">
        <v>0.6</v>
      </c>
      <c r="Q71" s="44">
        <f t="shared" si="3"/>
        <v>0.6</v>
      </c>
      <c r="R71" s="77">
        <v>16.2</v>
      </c>
      <c r="S71" s="77">
        <v>135</v>
      </c>
      <c r="T71" s="16">
        <f t="shared" si="4"/>
        <v>25</v>
      </c>
      <c r="U71" s="77">
        <v>138</v>
      </c>
      <c r="V71" s="131">
        <f t="shared" si="5"/>
        <v>3450</v>
      </c>
      <c r="W71" s="77">
        <v>15</v>
      </c>
      <c r="X71" s="77" t="s">
        <v>35</v>
      </c>
      <c r="Y71" s="77" t="s">
        <v>55</v>
      </c>
      <c r="Z71" s="77" t="s">
        <v>64</v>
      </c>
      <c r="AA71" s="77" t="s">
        <v>74</v>
      </c>
      <c r="AB71" s="129" t="s">
        <v>330</v>
      </c>
      <c r="AC71" s="34"/>
    </row>
    <row r="72" spans="1:29" x14ac:dyDescent="0.15">
      <c r="A72" s="129" t="s">
        <v>48</v>
      </c>
      <c r="B72" s="129" t="s">
        <v>326</v>
      </c>
      <c r="C72" s="129">
        <v>2020</v>
      </c>
      <c r="D72" s="130" t="s">
        <v>327</v>
      </c>
      <c r="E72" s="129" t="s">
        <v>362</v>
      </c>
      <c r="F72" s="129" t="s">
        <v>343</v>
      </c>
      <c r="G72" s="129" t="s">
        <v>25</v>
      </c>
      <c r="H72" s="129" t="s">
        <v>166</v>
      </c>
      <c r="I72" s="77" t="s">
        <v>111</v>
      </c>
      <c r="J72" s="77" t="s">
        <v>27</v>
      </c>
      <c r="K72" s="77" t="s">
        <v>112</v>
      </c>
      <c r="L72" s="77">
        <v>2</v>
      </c>
      <c r="N72" s="77">
        <v>1</v>
      </c>
      <c r="O72" s="77">
        <v>0.2</v>
      </c>
      <c r="P72" s="77">
        <v>0.65</v>
      </c>
      <c r="Q72" s="44">
        <f t="shared" si="3"/>
        <v>0.42500000000000004</v>
      </c>
      <c r="R72" s="77">
        <v>14.8</v>
      </c>
      <c r="S72" s="77">
        <v>144.5</v>
      </c>
      <c r="T72" s="16">
        <f t="shared" si="4"/>
        <v>22</v>
      </c>
      <c r="U72" s="77">
        <v>138</v>
      </c>
      <c r="V72" s="131">
        <f t="shared" si="5"/>
        <v>3036</v>
      </c>
      <c r="W72" s="77">
        <v>15</v>
      </c>
      <c r="X72" s="77" t="s">
        <v>35</v>
      </c>
      <c r="Y72" s="77" t="s">
        <v>55</v>
      </c>
      <c r="Z72" s="77" t="s">
        <v>64</v>
      </c>
      <c r="AA72" s="77" t="s">
        <v>74</v>
      </c>
      <c r="AB72" s="129" t="s">
        <v>330</v>
      </c>
      <c r="AC72" s="34"/>
    </row>
    <row r="73" spans="1:29" x14ac:dyDescent="0.15">
      <c r="A73" s="129" t="s">
        <v>48</v>
      </c>
      <c r="B73" s="129" t="s">
        <v>326</v>
      </c>
      <c r="C73" s="129">
        <v>2020</v>
      </c>
      <c r="D73" s="130" t="s">
        <v>327</v>
      </c>
      <c r="E73" s="129" t="s">
        <v>362</v>
      </c>
      <c r="F73" s="129" t="s">
        <v>343</v>
      </c>
      <c r="G73" s="129" t="s">
        <v>25</v>
      </c>
      <c r="H73" s="129" t="s">
        <v>166</v>
      </c>
      <c r="I73" s="77" t="s">
        <v>111</v>
      </c>
      <c r="J73" s="77" t="s">
        <v>27</v>
      </c>
      <c r="K73" s="77" t="s">
        <v>112</v>
      </c>
      <c r="L73" s="77">
        <v>3</v>
      </c>
      <c r="N73" s="77">
        <v>1</v>
      </c>
      <c r="O73" s="77">
        <v>0.5</v>
      </c>
      <c r="P73" s="77">
        <v>0.5</v>
      </c>
      <c r="Q73" s="44">
        <f t="shared" si="3"/>
        <v>0.5</v>
      </c>
      <c r="R73" s="77">
        <v>15.9</v>
      </c>
      <c r="S73" s="77">
        <v>144</v>
      </c>
      <c r="T73" s="16">
        <f t="shared" si="4"/>
        <v>22</v>
      </c>
      <c r="U73" s="77">
        <v>138</v>
      </c>
      <c r="V73" s="131">
        <f t="shared" si="5"/>
        <v>3036</v>
      </c>
      <c r="W73" s="77">
        <v>15</v>
      </c>
      <c r="X73" s="77" t="s">
        <v>35</v>
      </c>
      <c r="Y73" s="77" t="s">
        <v>55</v>
      </c>
      <c r="Z73" s="77" t="s">
        <v>64</v>
      </c>
      <c r="AA73" s="77" t="s">
        <v>74</v>
      </c>
      <c r="AB73" s="129" t="s">
        <v>330</v>
      </c>
      <c r="AC73" s="34"/>
    </row>
    <row r="74" spans="1:29" x14ac:dyDescent="0.15">
      <c r="A74" s="129" t="s">
        <v>48</v>
      </c>
      <c r="B74" s="129" t="s">
        <v>326</v>
      </c>
      <c r="C74" s="129">
        <v>2020</v>
      </c>
      <c r="D74" s="130" t="s">
        <v>327</v>
      </c>
      <c r="E74" s="129" t="s">
        <v>362</v>
      </c>
      <c r="F74" s="129" t="s">
        <v>343</v>
      </c>
      <c r="G74" s="129" t="s">
        <v>25</v>
      </c>
      <c r="H74" s="129" t="s">
        <v>166</v>
      </c>
      <c r="I74" s="77" t="s">
        <v>111</v>
      </c>
      <c r="J74" s="77" t="s">
        <v>27</v>
      </c>
      <c r="K74" s="77" t="s">
        <v>112</v>
      </c>
      <c r="L74" s="77">
        <v>1</v>
      </c>
      <c r="N74" s="77">
        <v>4</v>
      </c>
      <c r="O74" s="77">
        <v>0.5</v>
      </c>
      <c r="P74" s="77">
        <v>0.5</v>
      </c>
      <c r="Q74" s="44">
        <f t="shared" si="3"/>
        <v>0.5</v>
      </c>
      <c r="R74" s="77">
        <v>17.399999999999999</v>
      </c>
      <c r="S74" s="77">
        <v>104.5</v>
      </c>
      <c r="T74" s="16">
        <f t="shared" si="4"/>
        <v>33</v>
      </c>
      <c r="U74" s="77">
        <v>498</v>
      </c>
      <c r="V74" s="131">
        <f t="shared" si="5"/>
        <v>4108.5</v>
      </c>
      <c r="W74" s="77">
        <v>15</v>
      </c>
      <c r="X74" s="77" t="s">
        <v>35</v>
      </c>
      <c r="Y74" s="77" t="s">
        <v>55</v>
      </c>
      <c r="Z74" s="77" t="s">
        <v>64</v>
      </c>
      <c r="AA74" s="77" t="s">
        <v>74</v>
      </c>
      <c r="AB74" s="129" t="s">
        <v>330</v>
      </c>
    </row>
    <row r="75" spans="1:29" x14ac:dyDescent="0.15">
      <c r="A75" s="129" t="s">
        <v>48</v>
      </c>
      <c r="B75" s="129" t="s">
        <v>326</v>
      </c>
      <c r="C75" s="129">
        <v>2020</v>
      </c>
      <c r="D75" s="130" t="s">
        <v>327</v>
      </c>
      <c r="E75" s="129" t="s">
        <v>362</v>
      </c>
      <c r="F75" s="129" t="s">
        <v>343</v>
      </c>
      <c r="G75" s="129" t="s">
        <v>25</v>
      </c>
      <c r="H75" s="129" t="s">
        <v>166</v>
      </c>
      <c r="I75" s="77" t="s">
        <v>111</v>
      </c>
      <c r="J75" s="77" t="s">
        <v>27</v>
      </c>
      <c r="K75" s="77" t="s">
        <v>112</v>
      </c>
      <c r="L75" s="77">
        <v>2</v>
      </c>
      <c r="N75" s="77">
        <v>4</v>
      </c>
      <c r="O75" s="77">
        <v>0.55000000000000004</v>
      </c>
      <c r="P75" s="77">
        <v>0.65</v>
      </c>
      <c r="Q75" s="44">
        <f t="shared" si="3"/>
        <v>0.60000000000000009</v>
      </c>
      <c r="R75" s="77">
        <v>16.600000000000001</v>
      </c>
      <c r="S75" s="77">
        <v>102</v>
      </c>
      <c r="T75" s="16">
        <f t="shared" si="4"/>
        <v>33</v>
      </c>
      <c r="U75" s="77">
        <v>498</v>
      </c>
      <c r="V75" s="131">
        <f t="shared" si="5"/>
        <v>4108.5</v>
      </c>
      <c r="W75" s="77">
        <v>15</v>
      </c>
      <c r="X75" s="77" t="s">
        <v>35</v>
      </c>
      <c r="Y75" s="77" t="s">
        <v>55</v>
      </c>
      <c r="Z75" s="77" t="s">
        <v>64</v>
      </c>
      <c r="AA75" s="77" t="s">
        <v>74</v>
      </c>
      <c r="AB75" s="129" t="s">
        <v>330</v>
      </c>
    </row>
    <row r="76" spans="1:29" x14ac:dyDescent="0.15">
      <c r="A76" s="129" t="s">
        <v>48</v>
      </c>
      <c r="B76" s="129" t="s">
        <v>326</v>
      </c>
      <c r="C76" s="129">
        <v>2020</v>
      </c>
      <c r="D76" s="130" t="s">
        <v>327</v>
      </c>
      <c r="E76" s="129" t="s">
        <v>362</v>
      </c>
      <c r="F76" s="129" t="s">
        <v>343</v>
      </c>
      <c r="G76" s="129" t="s">
        <v>25</v>
      </c>
      <c r="H76" s="129" t="s">
        <v>166</v>
      </c>
      <c r="I76" s="77" t="s">
        <v>111</v>
      </c>
      <c r="J76" s="77" t="s">
        <v>27</v>
      </c>
      <c r="K76" s="77" t="s">
        <v>112</v>
      </c>
      <c r="L76" s="77">
        <v>3</v>
      </c>
      <c r="N76" s="77">
        <v>4</v>
      </c>
      <c r="O76" s="77">
        <v>0.55000000000000004</v>
      </c>
      <c r="P76" s="77">
        <v>0.55000000000000004</v>
      </c>
      <c r="Q76" s="44">
        <f t="shared" si="3"/>
        <v>0.55000000000000004</v>
      </c>
      <c r="R76" s="77">
        <v>16.600000000000001</v>
      </c>
      <c r="S76" s="77">
        <v>104.5</v>
      </c>
      <c r="T76" s="16">
        <f t="shared" si="4"/>
        <v>33</v>
      </c>
      <c r="U76" s="77">
        <v>498</v>
      </c>
      <c r="V76" s="131">
        <f t="shared" si="5"/>
        <v>4108.5</v>
      </c>
      <c r="W76" s="77">
        <v>15</v>
      </c>
      <c r="X76" s="77" t="s">
        <v>35</v>
      </c>
      <c r="Y76" s="77" t="s">
        <v>55</v>
      </c>
      <c r="Z76" s="77" t="s">
        <v>64</v>
      </c>
      <c r="AA76" s="77" t="s">
        <v>74</v>
      </c>
      <c r="AB76" s="129" t="s">
        <v>330</v>
      </c>
    </row>
    <row r="77" spans="1:29" x14ac:dyDescent="0.15">
      <c r="A77" s="129" t="s">
        <v>48</v>
      </c>
      <c r="B77" s="129" t="s">
        <v>326</v>
      </c>
      <c r="C77" s="129">
        <v>2020</v>
      </c>
      <c r="D77" s="130" t="s">
        <v>327</v>
      </c>
      <c r="E77" s="129" t="s">
        <v>362</v>
      </c>
      <c r="F77" s="129" t="s">
        <v>343</v>
      </c>
      <c r="G77" s="129" t="s">
        <v>25</v>
      </c>
      <c r="H77" s="129" t="s">
        <v>113</v>
      </c>
      <c r="I77" s="77" t="s">
        <v>111</v>
      </c>
      <c r="J77" s="77" t="s">
        <v>27</v>
      </c>
      <c r="K77" s="77" t="s">
        <v>112</v>
      </c>
      <c r="L77" s="77">
        <v>1</v>
      </c>
      <c r="N77" s="77">
        <v>1</v>
      </c>
      <c r="O77" s="77">
        <v>0.65</v>
      </c>
      <c r="P77" s="77">
        <v>0.75</v>
      </c>
      <c r="Q77" s="44">
        <f t="shared" si="3"/>
        <v>0.7</v>
      </c>
      <c r="R77" s="77">
        <v>15.6</v>
      </c>
      <c r="S77" s="77">
        <v>109</v>
      </c>
      <c r="T77" s="16">
        <f t="shared" si="4"/>
        <v>33</v>
      </c>
      <c r="U77" s="77">
        <v>128</v>
      </c>
      <c r="V77" s="131">
        <f t="shared" si="5"/>
        <v>4224</v>
      </c>
      <c r="W77" s="77">
        <v>15</v>
      </c>
      <c r="X77" s="77" t="s">
        <v>35</v>
      </c>
      <c r="Y77" s="77" t="s">
        <v>55</v>
      </c>
      <c r="Z77" s="77" t="s">
        <v>64</v>
      </c>
      <c r="AA77" s="77" t="s">
        <v>74</v>
      </c>
      <c r="AB77" s="129" t="s">
        <v>330</v>
      </c>
    </row>
    <row r="78" spans="1:29" x14ac:dyDescent="0.15">
      <c r="A78" s="129" t="s">
        <v>48</v>
      </c>
      <c r="B78" s="129" t="s">
        <v>326</v>
      </c>
      <c r="C78" s="129">
        <v>2020</v>
      </c>
      <c r="D78" s="130" t="s">
        <v>327</v>
      </c>
      <c r="E78" s="129" t="s">
        <v>362</v>
      </c>
      <c r="F78" s="129" t="s">
        <v>343</v>
      </c>
      <c r="G78" s="129" t="s">
        <v>25</v>
      </c>
      <c r="H78" s="129" t="s">
        <v>113</v>
      </c>
      <c r="I78" s="77" t="s">
        <v>111</v>
      </c>
      <c r="J78" s="77" t="s">
        <v>27</v>
      </c>
      <c r="K78" s="77" t="s">
        <v>112</v>
      </c>
      <c r="L78" s="77">
        <v>2</v>
      </c>
      <c r="N78" s="77">
        <v>1</v>
      </c>
      <c r="O78" s="77">
        <v>0.75</v>
      </c>
      <c r="P78" s="77">
        <v>0.9</v>
      </c>
      <c r="Q78" s="44">
        <f t="shared" si="3"/>
        <v>0.82499999999999996</v>
      </c>
      <c r="R78" s="77">
        <v>14.5</v>
      </c>
      <c r="S78" s="77">
        <v>111.5</v>
      </c>
      <c r="T78" s="16">
        <f t="shared" si="4"/>
        <v>33</v>
      </c>
      <c r="U78" s="77">
        <v>128</v>
      </c>
      <c r="V78" s="131">
        <f t="shared" si="5"/>
        <v>4224</v>
      </c>
      <c r="W78" s="77">
        <v>15</v>
      </c>
      <c r="X78" s="77" t="s">
        <v>35</v>
      </c>
      <c r="Y78" s="77" t="s">
        <v>55</v>
      </c>
      <c r="Z78" s="77" t="s">
        <v>64</v>
      </c>
      <c r="AA78" s="77" t="s">
        <v>74</v>
      </c>
      <c r="AB78" s="129" t="s">
        <v>330</v>
      </c>
    </row>
    <row r="79" spans="1:29" x14ac:dyDescent="0.15">
      <c r="A79" s="129" t="s">
        <v>48</v>
      </c>
      <c r="B79" s="129" t="s">
        <v>326</v>
      </c>
      <c r="C79" s="129">
        <v>2020</v>
      </c>
      <c r="D79" s="130" t="s">
        <v>327</v>
      </c>
      <c r="E79" s="129" t="s">
        <v>362</v>
      </c>
      <c r="F79" s="129" t="s">
        <v>343</v>
      </c>
      <c r="G79" s="129" t="s">
        <v>25</v>
      </c>
      <c r="H79" s="129" t="s">
        <v>113</v>
      </c>
      <c r="I79" s="77" t="s">
        <v>111</v>
      </c>
      <c r="J79" s="77" t="s">
        <v>27</v>
      </c>
      <c r="K79" s="77" t="s">
        <v>112</v>
      </c>
      <c r="L79" s="77">
        <v>3</v>
      </c>
      <c r="N79" s="77">
        <v>1</v>
      </c>
      <c r="O79" s="77">
        <v>0.75</v>
      </c>
      <c r="P79" s="77">
        <v>0.8</v>
      </c>
      <c r="Q79" s="44">
        <f t="shared" si="3"/>
        <v>0.77500000000000002</v>
      </c>
      <c r="R79" s="77">
        <v>14.9</v>
      </c>
      <c r="S79" s="77">
        <v>106.5</v>
      </c>
      <c r="T79" s="16">
        <f t="shared" si="4"/>
        <v>33</v>
      </c>
      <c r="U79" s="77">
        <v>128</v>
      </c>
      <c r="V79" s="131">
        <f t="shared" si="5"/>
        <v>4224</v>
      </c>
      <c r="W79" s="77">
        <v>15</v>
      </c>
      <c r="X79" s="77" t="s">
        <v>35</v>
      </c>
      <c r="Y79" s="77" t="s">
        <v>55</v>
      </c>
      <c r="Z79" s="77" t="s">
        <v>64</v>
      </c>
      <c r="AA79" s="77" t="s">
        <v>74</v>
      </c>
      <c r="AB79" s="129" t="s">
        <v>330</v>
      </c>
    </row>
    <row r="80" spans="1:29" x14ac:dyDescent="0.15">
      <c r="A80" s="129" t="s">
        <v>48</v>
      </c>
      <c r="B80" s="129" t="s">
        <v>326</v>
      </c>
      <c r="C80" s="129">
        <v>2020</v>
      </c>
      <c r="D80" s="130" t="s">
        <v>327</v>
      </c>
      <c r="E80" s="129" t="s">
        <v>362</v>
      </c>
      <c r="F80" s="129" t="s">
        <v>343</v>
      </c>
      <c r="G80" s="129" t="s">
        <v>25</v>
      </c>
      <c r="H80" s="129" t="s">
        <v>113</v>
      </c>
      <c r="I80" s="77" t="s">
        <v>111</v>
      </c>
      <c r="J80" s="77" t="s">
        <v>27</v>
      </c>
      <c r="K80" s="77" t="s">
        <v>112</v>
      </c>
      <c r="L80" s="77">
        <v>1</v>
      </c>
      <c r="N80" s="77">
        <v>4</v>
      </c>
      <c r="O80" s="77">
        <v>0.75</v>
      </c>
      <c r="P80" s="77">
        <v>0.9</v>
      </c>
      <c r="Q80" s="44">
        <f t="shared" si="3"/>
        <v>0.82499999999999996</v>
      </c>
      <c r="R80" s="77">
        <v>14.8</v>
      </c>
      <c r="S80" s="77">
        <v>99.5</v>
      </c>
      <c r="T80" s="16">
        <f t="shared" si="4"/>
        <v>33</v>
      </c>
      <c r="U80" s="77">
        <v>398</v>
      </c>
      <c r="V80" s="131">
        <f t="shared" si="5"/>
        <v>3283.5</v>
      </c>
      <c r="W80" s="77">
        <v>15</v>
      </c>
      <c r="X80" s="77" t="s">
        <v>35</v>
      </c>
      <c r="Y80" s="77" t="s">
        <v>55</v>
      </c>
      <c r="Z80" s="77" t="s">
        <v>64</v>
      </c>
      <c r="AA80" s="77" t="s">
        <v>74</v>
      </c>
      <c r="AB80" s="129" t="s">
        <v>330</v>
      </c>
    </row>
    <row r="81" spans="1:28" x14ac:dyDescent="0.15">
      <c r="A81" s="129" t="s">
        <v>48</v>
      </c>
      <c r="B81" s="129" t="s">
        <v>326</v>
      </c>
      <c r="C81" s="129">
        <v>2020</v>
      </c>
      <c r="D81" s="130" t="s">
        <v>327</v>
      </c>
      <c r="E81" s="129" t="s">
        <v>362</v>
      </c>
      <c r="F81" s="129" t="s">
        <v>343</v>
      </c>
      <c r="G81" s="129" t="s">
        <v>25</v>
      </c>
      <c r="H81" s="129" t="s">
        <v>113</v>
      </c>
      <c r="I81" s="77" t="s">
        <v>111</v>
      </c>
      <c r="J81" s="77" t="s">
        <v>27</v>
      </c>
      <c r="K81" s="77" t="s">
        <v>112</v>
      </c>
      <c r="L81" s="77">
        <v>2</v>
      </c>
      <c r="N81" s="77">
        <v>4</v>
      </c>
      <c r="O81" s="77">
        <v>0.85</v>
      </c>
      <c r="P81" s="77">
        <v>0.85</v>
      </c>
      <c r="Q81" s="44">
        <f t="shared" si="3"/>
        <v>0.85</v>
      </c>
      <c r="R81" s="77">
        <v>14.1</v>
      </c>
      <c r="S81" s="77">
        <v>96</v>
      </c>
      <c r="T81" s="16">
        <f t="shared" si="4"/>
        <v>36</v>
      </c>
      <c r="U81" s="77">
        <v>398</v>
      </c>
      <c r="V81" s="131">
        <f t="shared" si="5"/>
        <v>3582</v>
      </c>
      <c r="W81" s="77">
        <v>15</v>
      </c>
      <c r="X81" s="77" t="s">
        <v>35</v>
      </c>
      <c r="Y81" s="77" t="s">
        <v>55</v>
      </c>
      <c r="Z81" s="77" t="s">
        <v>64</v>
      </c>
      <c r="AA81" s="77" t="s">
        <v>74</v>
      </c>
      <c r="AB81" s="129" t="s">
        <v>330</v>
      </c>
    </row>
    <row r="82" spans="1:28" x14ac:dyDescent="0.15">
      <c r="A82" s="129" t="s">
        <v>48</v>
      </c>
      <c r="B82" s="129" t="s">
        <v>326</v>
      </c>
      <c r="C82" s="129">
        <v>2020</v>
      </c>
      <c r="D82" s="130" t="s">
        <v>327</v>
      </c>
      <c r="E82" s="129" t="s">
        <v>362</v>
      </c>
      <c r="F82" s="129" t="s">
        <v>343</v>
      </c>
      <c r="G82" s="129" t="s">
        <v>25</v>
      </c>
      <c r="H82" s="129" t="s">
        <v>113</v>
      </c>
      <c r="I82" s="77" t="s">
        <v>111</v>
      </c>
      <c r="J82" s="77" t="s">
        <v>27</v>
      </c>
      <c r="K82" s="77" t="s">
        <v>112</v>
      </c>
      <c r="L82" s="77">
        <v>3</v>
      </c>
      <c r="N82" s="77">
        <v>4</v>
      </c>
      <c r="O82" s="77">
        <v>0.8</v>
      </c>
      <c r="P82" s="77">
        <v>0.9</v>
      </c>
      <c r="Q82" s="44">
        <f t="shared" si="3"/>
        <v>0.85000000000000009</v>
      </c>
      <c r="R82" s="77">
        <v>16.8</v>
      </c>
      <c r="S82" s="77">
        <v>103.5</v>
      </c>
      <c r="T82" s="16">
        <f t="shared" si="4"/>
        <v>33</v>
      </c>
      <c r="U82" s="77">
        <v>398</v>
      </c>
      <c r="V82" s="131">
        <f t="shared" si="5"/>
        <v>3283.5</v>
      </c>
      <c r="W82" s="77">
        <v>15</v>
      </c>
      <c r="X82" s="77" t="s">
        <v>35</v>
      </c>
      <c r="Y82" s="77" t="s">
        <v>55</v>
      </c>
      <c r="Z82" s="77" t="s">
        <v>64</v>
      </c>
      <c r="AA82" s="77" t="s">
        <v>74</v>
      </c>
      <c r="AB82" s="129" t="s">
        <v>330</v>
      </c>
    </row>
    <row r="83" spans="1:28" x14ac:dyDescent="0.15">
      <c r="A83" s="129" t="s">
        <v>48</v>
      </c>
      <c r="B83" s="129" t="s">
        <v>326</v>
      </c>
      <c r="C83" s="129">
        <v>2020</v>
      </c>
      <c r="D83" s="130" t="s">
        <v>327</v>
      </c>
      <c r="E83" s="129" t="s">
        <v>362</v>
      </c>
      <c r="F83" s="129" t="s">
        <v>343</v>
      </c>
      <c r="G83" s="129" t="s">
        <v>25</v>
      </c>
      <c r="H83" s="129" t="s">
        <v>113</v>
      </c>
      <c r="I83" s="77" t="s">
        <v>111</v>
      </c>
      <c r="J83" s="77" t="s">
        <v>27</v>
      </c>
      <c r="K83" s="77" t="s">
        <v>112</v>
      </c>
      <c r="L83" s="77">
        <v>1</v>
      </c>
      <c r="N83" s="77">
        <v>1</v>
      </c>
      <c r="O83" s="77">
        <v>0.6</v>
      </c>
      <c r="P83" s="77">
        <v>0.75</v>
      </c>
      <c r="Q83" s="44">
        <f t="shared" si="3"/>
        <v>0.67500000000000004</v>
      </c>
      <c r="R83" s="77">
        <v>15.6</v>
      </c>
      <c r="S83" s="77">
        <v>109</v>
      </c>
      <c r="T83" s="16">
        <f t="shared" si="4"/>
        <v>33</v>
      </c>
      <c r="U83" s="77">
        <v>128</v>
      </c>
      <c r="V83" s="131">
        <f t="shared" si="5"/>
        <v>4224</v>
      </c>
      <c r="W83" s="77">
        <v>15</v>
      </c>
      <c r="X83" s="77" t="s">
        <v>35</v>
      </c>
      <c r="Y83" s="77" t="s">
        <v>55</v>
      </c>
      <c r="Z83" s="77" t="s">
        <v>64</v>
      </c>
      <c r="AA83" s="77" t="s">
        <v>74</v>
      </c>
      <c r="AB83" s="129" t="s">
        <v>330</v>
      </c>
    </row>
    <row r="84" spans="1:28" x14ac:dyDescent="0.15">
      <c r="A84" s="129" t="s">
        <v>48</v>
      </c>
      <c r="B84" s="129" t="s">
        <v>326</v>
      </c>
      <c r="C84" s="129">
        <v>2020</v>
      </c>
      <c r="D84" s="130" t="s">
        <v>327</v>
      </c>
      <c r="E84" s="129" t="s">
        <v>362</v>
      </c>
      <c r="F84" s="129" t="s">
        <v>343</v>
      </c>
      <c r="G84" s="129" t="s">
        <v>25</v>
      </c>
      <c r="H84" s="129" t="s">
        <v>113</v>
      </c>
      <c r="I84" s="77" t="s">
        <v>111</v>
      </c>
      <c r="J84" s="77" t="s">
        <v>27</v>
      </c>
      <c r="K84" s="77" t="s">
        <v>112</v>
      </c>
      <c r="L84" s="77">
        <v>2</v>
      </c>
      <c r="N84" s="77">
        <v>1</v>
      </c>
      <c r="O84" s="77">
        <v>0.75</v>
      </c>
      <c r="P84" s="77">
        <v>0.9</v>
      </c>
      <c r="Q84" s="44">
        <f t="shared" si="3"/>
        <v>0.82499999999999996</v>
      </c>
      <c r="R84" s="77">
        <v>14.5</v>
      </c>
      <c r="S84" s="77">
        <v>111.5</v>
      </c>
      <c r="T84" s="16">
        <f t="shared" si="4"/>
        <v>33</v>
      </c>
      <c r="U84" s="77">
        <v>128</v>
      </c>
      <c r="V84" s="131">
        <f t="shared" si="5"/>
        <v>4224</v>
      </c>
      <c r="W84" s="77">
        <v>15</v>
      </c>
      <c r="X84" s="77" t="s">
        <v>35</v>
      </c>
      <c r="Y84" s="77" t="s">
        <v>55</v>
      </c>
      <c r="Z84" s="77" t="s">
        <v>64</v>
      </c>
      <c r="AA84" s="77" t="s">
        <v>74</v>
      </c>
      <c r="AB84" s="129" t="s">
        <v>330</v>
      </c>
    </row>
    <row r="85" spans="1:28" x14ac:dyDescent="0.15">
      <c r="A85" s="129" t="s">
        <v>48</v>
      </c>
      <c r="B85" s="129" t="s">
        <v>326</v>
      </c>
      <c r="C85" s="129">
        <v>2020</v>
      </c>
      <c r="D85" s="130" t="s">
        <v>327</v>
      </c>
      <c r="E85" s="129" t="s">
        <v>362</v>
      </c>
      <c r="F85" s="129" t="s">
        <v>343</v>
      </c>
      <c r="G85" s="129" t="s">
        <v>25</v>
      </c>
      <c r="H85" s="129" t="s">
        <v>113</v>
      </c>
      <c r="I85" s="77" t="s">
        <v>111</v>
      </c>
      <c r="J85" s="77" t="s">
        <v>27</v>
      </c>
      <c r="K85" s="77" t="s">
        <v>112</v>
      </c>
      <c r="L85" s="77">
        <v>3</v>
      </c>
      <c r="N85" s="77">
        <v>1</v>
      </c>
      <c r="O85" s="77">
        <v>0.75</v>
      </c>
      <c r="P85" s="77">
        <v>0.8</v>
      </c>
      <c r="Q85" s="44">
        <f t="shared" si="3"/>
        <v>0.77500000000000002</v>
      </c>
      <c r="R85" s="77">
        <v>14.9</v>
      </c>
      <c r="S85" s="77">
        <v>106.5</v>
      </c>
      <c r="T85" s="16">
        <f t="shared" si="4"/>
        <v>33</v>
      </c>
      <c r="U85" s="77">
        <v>128</v>
      </c>
      <c r="V85" s="131">
        <f t="shared" si="5"/>
        <v>4224</v>
      </c>
      <c r="W85" s="77">
        <v>15</v>
      </c>
      <c r="X85" s="77" t="s">
        <v>35</v>
      </c>
      <c r="Y85" s="77" t="s">
        <v>55</v>
      </c>
      <c r="Z85" s="77" t="s">
        <v>64</v>
      </c>
      <c r="AA85" s="77" t="s">
        <v>74</v>
      </c>
      <c r="AB85" s="129" t="s">
        <v>330</v>
      </c>
    </row>
    <row r="86" spans="1:28" x14ac:dyDescent="0.15">
      <c r="A86" s="129" t="s">
        <v>48</v>
      </c>
      <c r="B86" s="129" t="s">
        <v>326</v>
      </c>
      <c r="C86" s="129">
        <v>2020</v>
      </c>
      <c r="D86" s="130" t="s">
        <v>327</v>
      </c>
      <c r="E86" s="129" t="s">
        <v>362</v>
      </c>
      <c r="F86" s="129" t="s">
        <v>343</v>
      </c>
      <c r="G86" s="129" t="s">
        <v>25</v>
      </c>
      <c r="H86" s="129" t="s">
        <v>113</v>
      </c>
      <c r="I86" s="77" t="s">
        <v>111</v>
      </c>
      <c r="J86" s="77" t="s">
        <v>27</v>
      </c>
      <c r="K86" s="77" t="s">
        <v>112</v>
      </c>
      <c r="L86" s="77">
        <v>1</v>
      </c>
      <c r="N86" s="77">
        <v>4</v>
      </c>
      <c r="O86" s="77">
        <v>0.75</v>
      </c>
      <c r="P86" s="77">
        <v>0.9</v>
      </c>
      <c r="Q86" s="44">
        <f t="shared" si="3"/>
        <v>0.82499999999999996</v>
      </c>
      <c r="R86" s="77">
        <v>14.8</v>
      </c>
      <c r="S86" s="77">
        <v>99.5</v>
      </c>
      <c r="T86" s="16">
        <f t="shared" si="4"/>
        <v>33</v>
      </c>
      <c r="U86" s="77">
        <v>398</v>
      </c>
      <c r="V86" s="131">
        <f t="shared" si="5"/>
        <v>3283.5</v>
      </c>
      <c r="W86" s="77">
        <v>15</v>
      </c>
      <c r="X86" s="77" t="s">
        <v>35</v>
      </c>
      <c r="Y86" s="77" t="s">
        <v>55</v>
      </c>
      <c r="Z86" s="77" t="s">
        <v>64</v>
      </c>
      <c r="AA86" s="77" t="s">
        <v>74</v>
      </c>
      <c r="AB86" s="129" t="s">
        <v>330</v>
      </c>
    </row>
    <row r="87" spans="1:28" x14ac:dyDescent="0.15">
      <c r="A87" s="129" t="s">
        <v>48</v>
      </c>
      <c r="B87" s="129" t="s">
        <v>326</v>
      </c>
      <c r="C87" s="129">
        <v>2020</v>
      </c>
      <c r="D87" s="130" t="s">
        <v>327</v>
      </c>
      <c r="E87" s="129" t="s">
        <v>362</v>
      </c>
      <c r="F87" s="129" t="s">
        <v>343</v>
      </c>
      <c r="G87" s="129" t="s">
        <v>25</v>
      </c>
      <c r="H87" s="129" t="s">
        <v>113</v>
      </c>
      <c r="I87" s="77" t="s">
        <v>111</v>
      </c>
      <c r="J87" s="77" t="s">
        <v>27</v>
      </c>
      <c r="K87" s="77" t="s">
        <v>112</v>
      </c>
      <c r="L87" s="77">
        <v>2</v>
      </c>
      <c r="N87" s="77">
        <v>4</v>
      </c>
      <c r="O87" s="77">
        <v>0.85</v>
      </c>
      <c r="P87" s="77">
        <v>0.85</v>
      </c>
      <c r="Q87" s="44">
        <f t="shared" si="3"/>
        <v>0.85</v>
      </c>
      <c r="R87" s="77">
        <v>14.1</v>
      </c>
      <c r="S87" s="77">
        <v>96</v>
      </c>
      <c r="T87" s="16">
        <f t="shared" si="4"/>
        <v>36</v>
      </c>
      <c r="U87" s="77">
        <v>398</v>
      </c>
      <c r="V87" s="131">
        <f t="shared" si="5"/>
        <v>3582</v>
      </c>
      <c r="W87" s="77">
        <v>15</v>
      </c>
      <c r="X87" s="77" t="s">
        <v>35</v>
      </c>
      <c r="Y87" s="77" t="s">
        <v>55</v>
      </c>
      <c r="Z87" s="77" t="s">
        <v>64</v>
      </c>
      <c r="AA87" s="77" t="s">
        <v>74</v>
      </c>
      <c r="AB87" s="129" t="s">
        <v>330</v>
      </c>
    </row>
    <row r="88" spans="1:28" x14ac:dyDescent="0.15">
      <c r="A88" s="129" t="s">
        <v>48</v>
      </c>
      <c r="B88" s="129" t="s">
        <v>326</v>
      </c>
      <c r="C88" s="129">
        <v>2020</v>
      </c>
      <c r="D88" s="130" t="s">
        <v>327</v>
      </c>
      <c r="E88" s="129" t="s">
        <v>362</v>
      </c>
      <c r="F88" s="129" t="s">
        <v>343</v>
      </c>
      <c r="G88" s="129" t="s">
        <v>25</v>
      </c>
      <c r="H88" s="129" t="s">
        <v>113</v>
      </c>
      <c r="I88" s="77" t="s">
        <v>111</v>
      </c>
      <c r="J88" s="77" t="s">
        <v>27</v>
      </c>
      <c r="K88" s="77" t="s">
        <v>112</v>
      </c>
      <c r="L88" s="77">
        <v>3</v>
      </c>
      <c r="N88" s="77">
        <v>4</v>
      </c>
      <c r="O88" s="77">
        <v>0.8</v>
      </c>
      <c r="P88" s="77">
        <v>0.9</v>
      </c>
      <c r="Q88" s="44">
        <f t="shared" si="3"/>
        <v>0.85000000000000009</v>
      </c>
      <c r="R88" s="77">
        <v>16.8</v>
      </c>
      <c r="S88" s="77">
        <v>103.5</v>
      </c>
      <c r="T88" s="16">
        <f t="shared" si="4"/>
        <v>33</v>
      </c>
      <c r="U88" s="77">
        <v>398</v>
      </c>
      <c r="V88" s="131">
        <f t="shared" si="5"/>
        <v>3283.5</v>
      </c>
      <c r="W88" s="77">
        <v>15</v>
      </c>
      <c r="X88" s="77" t="s">
        <v>35</v>
      </c>
      <c r="Y88" s="77" t="s">
        <v>55</v>
      </c>
      <c r="Z88" s="77" t="s">
        <v>64</v>
      </c>
      <c r="AA88" s="77" t="s">
        <v>74</v>
      </c>
      <c r="AB88" s="129" t="s">
        <v>330</v>
      </c>
    </row>
    <row r="89" spans="1:28" x14ac:dyDescent="0.15">
      <c r="A89" s="129" t="s">
        <v>48</v>
      </c>
      <c r="B89" s="129" t="s">
        <v>326</v>
      </c>
      <c r="C89" s="129">
        <v>2020</v>
      </c>
      <c r="D89" s="130" t="s">
        <v>327</v>
      </c>
      <c r="E89" s="129" t="s">
        <v>362</v>
      </c>
      <c r="F89" s="129" t="s">
        <v>343</v>
      </c>
      <c r="G89" s="129" t="s">
        <v>25</v>
      </c>
      <c r="H89" s="129" t="s">
        <v>113</v>
      </c>
      <c r="I89" s="77" t="s">
        <v>111</v>
      </c>
      <c r="J89" s="77" t="s">
        <v>27</v>
      </c>
      <c r="K89" s="77" t="s">
        <v>112</v>
      </c>
      <c r="L89" s="77">
        <v>1</v>
      </c>
      <c r="N89" s="77">
        <v>5</v>
      </c>
      <c r="O89" s="77">
        <v>0.7</v>
      </c>
      <c r="P89" s="77">
        <v>0.75</v>
      </c>
      <c r="Q89" s="44">
        <f t="shared" si="3"/>
        <v>0.72499999999999998</v>
      </c>
      <c r="R89" s="77">
        <v>14.7</v>
      </c>
      <c r="S89" s="77">
        <v>72</v>
      </c>
      <c r="T89" s="16">
        <f t="shared" si="4"/>
        <v>42</v>
      </c>
      <c r="U89" s="77">
        <v>398</v>
      </c>
      <c r="V89" s="131">
        <f t="shared" si="5"/>
        <v>3343.2</v>
      </c>
      <c r="W89" s="77">
        <v>15</v>
      </c>
      <c r="X89" s="77" t="s">
        <v>35</v>
      </c>
      <c r="Y89" s="77" t="s">
        <v>55</v>
      </c>
      <c r="Z89" s="77" t="s">
        <v>64</v>
      </c>
      <c r="AA89" s="77" t="s">
        <v>74</v>
      </c>
      <c r="AB89" s="129" t="s">
        <v>330</v>
      </c>
    </row>
    <row r="90" spans="1:28" x14ac:dyDescent="0.15">
      <c r="A90" s="129" t="s">
        <v>48</v>
      </c>
      <c r="B90" s="129" t="s">
        <v>326</v>
      </c>
      <c r="C90" s="129">
        <v>2020</v>
      </c>
      <c r="D90" s="130" t="s">
        <v>327</v>
      </c>
      <c r="E90" s="129" t="s">
        <v>362</v>
      </c>
      <c r="F90" s="129" t="s">
        <v>343</v>
      </c>
      <c r="G90" s="129" t="s">
        <v>25</v>
      </c>
      <c r="H90" s="129" t="s">
        <v>113</v>
      </c>
      <c r="I90" s="77" t="s">
        <v>111</v>
      </c>
      <c r="J90" s="77" t="s">
        <v>27</v>
      </c>
      <c r="K90" s="77" t="s">
        <v>112</v>
      </c>
      <c r="L90" s="77">
        <v>2</v>
      </c>
      <c r="N90" s="77">
        <v>5</v>
      </c>
      <c r="O90" s="77">
        <v>0.55000000000000004</v>
      </c>
      <c r="P90" s="77">
        <v>0.6</v>
      </c>
      <c r="Q90" s="44">
        <f t="shared" si="3"/>
        <v>0.57499999999999996</v>
      </c>
      <c r="R90" s="77">
        <v>15.7</v>
      </c>
      <c r="S90" s="77">
        <v>78.5</v>
      </c>
      <c r="T90" s="16">
        <f t="shared" si="4"/>
        <v>39</v>
      </c>
      <c r="U90" s="77">
        <v>398</v>
      </c>
      <c r="V90" s="131">
        <f t="shared" si="5"/>
        <v>3104.3999999999996</v>
      </c>
      <c r="W90" s="77">
        <v>15</v>
      </c>
      <c r="X90" s="77" t="s">
        <v>35</v>
      </c>
      <c r="Y90" s="77" t="s">
        <v>55</v>
      </c>
      <c r="Z90" s="77" t="s">
        <v>64</v>
      </c>
      <c r="AA90" s="77" t="s">
        <v>74</v>
      </c>
      <c r="AB90" s="129" t="s">
        <v>330</v>
      </c>
    </row>
    <row r="91" spans="1:28" x14ac:dyDescent="0.15">
      <c r="A91" s="129" t="s">
        <v>48</v>
      </c>
      <c r="B91" s="129" t="s">
        <v>326</v>
      </c>
      <c r="C91" s="129">
        <v>2020</v>
      </c>
      <c r="D91" s="130" t="s">
        <v>327</v>
      </c>
      <c r="E91" s="129" t="s">
        <v>362</v>
      </c>
      <c r="F91" s="129" t="s">
        <v>343</v>
      </c>
      <c r="G91" s="129" t="s">
        <v>25</v>
      </c>
      <c r="H91" s="129" t="s">
        <v>113</v>
      </c>
      <c r="I91" s="77" t="s">
        <v>111</v>
      </c>
      <c r="J91" s="77" t="s">
        <v>27</v>
      </c>
      <c r="K91" s="77" t="s">
        <v>112</v>
      </c>
      <c r="L91" s="77">
        <v>3</v>
      </c>
      <c r="N91" s="77">
        <v>5</v>
      </c>
      <c r="O91" s="77">
        <v>0.55000000000000004</v>
      </c>
      <c r="P91" s="77">
        <v>0.5</v>
      </c>
      <c r="Q91" s="44">
        <f t="shared" si="3"/>
        <v>0.52500000000000002</v>
      </c>
      <c r="R91" s="77">
        <v>15</v>
      </c>
      <c r="S91" s="77">
        <v>70.5</v>
      </c>
      <c r="T91" s="16">
        <f t="shared" si="4"/>
        <v>50</v>
      </c>
      <c r="U91" s="77">
        <v>398</v>
      </c>
      <c r="V91" s="131">
        <f t="shared" si="5"/>
        <v>3979.9999999999995</v>
      </c>
      <c r="W91" s="77">
        <v>15</v>
      </c>
      <c r="X91" s="77" t="s">
        <v>35</v>
      </c>
      <c r="Y91" s="77" t="s">
        <v>55</v>
      </c>
      <c r="Z91" s="77" t="s">
        <v>64</v>
      </c>
      <c r="AA91" s="77" t="s">
        <v>74</v>
      </c>
      <c r="AB91" s="129" t="s">
        <v>330</v>
      </c>
    </row>
    <row r="92" spans="1:28" x14ac:dyDescent="0.15">
      <c r="A92" s="129" t="s">
        <v>48</v>
      </c>
      <c r="B92" s="129" t="s">
        <v>326</v>
      </c>
      <c r="C92" s="129">
        <v>2020</v>
      </c>
      <c r="D92" s="130" t="s">
        <v>327</v>
      </c>
      <c r="E92" s="129" t="s">
        <v>363</v>
      </c>
      <c r="F92" s="129" t="s">
        <v>345</v>
      </c>
      <c r="G92" s="129" t="s">
        <v>25</v>
      </c>
      <c r="H92" s="129" t="s">
        <v>166</v>
      </c>
      <c r="I92" s="77" t="s">
        <v>111</v>
      </c>
      <c r="J92" s="77" t="s">
        <v>27</v>
      </c>
      <c r="K92" s="77" t="s">
        <v>112</v>
      </c>
      <c r="L92" s="77">
        <v>1</v>
      </c>
      <c r="N92" s="77">
        <v>1</v>
      </c>
      <c r="O92" s="77">
        <v>0.65</v>
      </c>
      <c r="P92" s="77">
        <v>0.7</v>
      </c>
      <c r="Q92" s="44">
        <f t="shared" si="3"/>
        <v>0.67500000000000004</v>
      </c>
      <c r="R92" s="77">
        <v>17.399999999999999</v>
      </c>
      <c r="S92" s="77">
        <v>154</v>
      </c>
      <c r="T92" s="16">
        <f t="shared" si="4"/>
        <v>18</v>
      </c>
      <c r="U92" s="77">
        <v>138</v>
      </c>
      <c r="V92" s="131">
        <f t="shared" si="5"/>
        <v>2484</v>
      </c>
      <c r="W92" s="77">
        <v>12</v>
      </c>
      <c r="X92" s="77" t="s">
        <v>35</v>
      </c>
      <c r="Y92" s="77" t="s">
        <v>55</v>
      </c>
      <c r="Z92" s="77" t="s">
        <v>43</v>
      </c>
      <c r="AA92" s="77" t="s">
        <v>36</v>
      </c>
      <c r="AB92" s="129" t="s">
        <v>330</v>
      </c>
    </row>
    <row r="93" spans="1:28" x14ac:dyDescent="0.15">
      <c r="A93" s="129" t="s">
        <v>48</v>
      </c>
      <c r="B93" s="129" t="s">
        <v>326</v>
      </c>
      <c r="C93" s="129">
        <v>2020</v>
      </c>
      <c r="D93" s="130" t="s">
        <v>327</v>
      </c>
      <c r="E93" s="129" t="s">
        <v>363</v>
      </c>
      <c r="F93" s="129" t="s">
        <v>345</v>
      </c>
      <c r="G93" s="129" t="s">
        <v>25</v>
      </c>
      <c r="H93" s="129" t="s">
        <v>166</v>
      </c>
      <c r="I93" s="77" t="s">
        <v>111</v>
      </c>
      <c r="J93" s="77" t="s">
        <v>27</v>
      </c>
      <c r="K93" s="77" t="s">
        <v>112</v>
      </c>
      <c r="L93" s="77">
        <v>2</v>
      </c>
      <c r="N93" s="77">
        <v>1</v>
      </c>
      <c r="O93" s="77">
        <v>0.5</v>
      </c>
      <c r="P93" s="77">
        <v>0.5</v>
      </c>
      <c r="Q93" s="44">
        <f t="shared" si="3"/>
        <v>0.5</v>
      </c>
      <c r="R93" s="77">
        <v>19.100000000000001</v>
      </c>
      <c r="S93" s="77">
        <v>157.5</v>
      </c>
      <c r="T93" s="16">
        <f t="shared" si="4"/>
        <v>18</v>
      </c>
      <c r="U93" s="77">
        <v>138</v>
      </c>
      <c r="V93" s="131">
        <f t="shared" si="5"/>
        <v>2484</v>
      </c>
      <c r="W93" s="77">
        <v>12</v>
      </c>
      <c r="X93" s="77" t="s">
        <v>35</v>
      </c>
      <c r="Y93" s="77" t="s">
        <v>55</v>
      </c>
      <c r="Z93" s="77" t="s">
        <v>43</v>
      </c>
      <c r="AA93" s="77" t="s">
        <v>36</v>
      </c>
      <c r="AB93" s="129" t="s">
        <v>330</v>
      </c>
    </row>
    <row r="94" spans="1:28" x14ac:dyDescent="0.15">
      <c r="A94" s="129" t="s">
        <v>48</v>
      </c>
      <c r="B94" s="129" t="s">
        <v>326</v>
      </c>
      <c r="C94" s="129">
        <v>2020</v>
      </c>
      <c r="D94" s="130" t="s">
        <v>327</v>
      </c>
      <c r="E94" s="129" t="s">
        <v>363</v>
      </c>
      <c r="F94" s="129" t="s">
        <v>345</v>
      </c>
      <c r="G94" s="129" t="s">
        <v>25</v>
      </c>
      <c r="H94" s="129" t="s">
        <v>166</v>
      </c>
      <c r="I94" s="77" t="s">
        <v>111</v>
      </c>
      <c r="J94" s="77" t="s">
        <v>27</v>
      </c>
      <c r="K94" s="77" t="s">
        <v>112</v>
      </c>
      <c r="L94" s="77">
        <v>3</v>
      </c>
      <c r="N94" s="77">
        <v>1</v>
      </c>
      <c r="O94" s="77">
        <v>0.5</v>
      </c>
      <c r="P94" s="77">
        <v>0.5</v>
      </c>
      <c r="Q94" s="44">
        <f t="shared" si="3"/>
        <v>0.5</v>
      </c>
      <c r="R94" s="77">
        <v>19.2</v>
      </c>
      <c r="S94" s="77">
        <v>151</v>
      </c>
      <c r="T94" s="16">
        <f t="shared" si="4"/>
        <v>22</v>
      </c>
      <c r="U94" s="77">
        <v>138</v>
      </c>
      <c r="V94" s="131">
        <f t="shared" si="5"/>
        <v>3036</v>
      </c>
      <c r="W94" s="77">
        <v>12</v>
      </c>
      <c r="X94" s="77" t="s">
        <v>35</v>
      </c>
      <c r="Y94" s="77" t="s">
        <v>55</v>
      </c>
      <c r="Z94" s="77" t="s">
        <v>43</v>
      </c>
      <c r="AA94" s="77" t="s">
        <v>36</v>
      </c>
      <c r="AB94" s="129" t="s">
        <v>330</v>
      </c>
    </row>
    <row r="95" spans="1:28" x14ac:dyDescent="0.15">
      <c r="A95" s="129" t="s">
        <v>48</v>
      </c>
      <c r="B95" s="129" t="s">
        <v>326</v>
      </c>
      <c r="C95" s="129">
        <v>2020</v>
      </c>
      <c r="D95" s="130" t="s">
        <v>327</v>
      </c>
      <c r="E95" s="129" t="s">
        <v>363</v>
      </c>
      <c r="F95" s="129" t="s">
        <v>345</v>
      </c>
      <c r="G95" s="129" t="s">
        <v>25</v>
      </c>
      <c r="H95" s="129" t="s">
        <v>166</v>
      </c>
      <c r="I95" s="77" t="s">
        <v>111</v>
      </c>
      <c r="J95" s="77" t="s">
        <v>27</v>
      </c>
      <c r="K95" s="77" t="s">
        <v>112</v>
      </c>
      <c r="L95" s="77">
        <v>1</v>
      </c>
      <c r="N95" s="77">
        <v>3</v>
      </c>
      <c r="O95" s="77">
        <v>0.5</v>
      </c>
      <c r="P95" s="77">
        <v>0.55000000000000004</v>
      </c>
      <c r="Q95" s="16">
        <f t="shared" si="3"/>
        <v>0.52500000000000002</v>
      </c>
      <c r="R95" s="77">
        <v>17.3</v>
      </c>
      <c r="S95" s="77">
        <v>128.5</v>
      </c>
      <c r="T95" s="16">
        <f t="shared" si="4"/>
        <v>27</v>
      </c>
      <c r="U95" s="77">
        <v>398</v>
      </c>
      <c r="V95" s="16">
        <f t="shared" si="5"/>
        <v>3581.9999999999995</v>
      </c>
      <c r="W95" s="77">
        <v>12</v>
      </c>
      <c r="X95" s="77" t="s">
        <v>35</v>
      </c>
      <c r="Y95" s="77" t="s">
        <v>55</v>
      </c>
      <c r="Z95" s="77" t="s">
        <v>43</v>
      </c>
      <c r="AA95" s="77" t="s">
        <v>36</v>
      </c>
      <c r="AB95" s="129" t="s">
        <v>330</v>
      </c>
    </row>
    <row r="96" spans="1:28" x14ac:dyDescent="0.15">
      <c r="A96" s="129" t="s">
        <v>48</v>
      </c>
      <c r="B96" s="129" t="s">
        <v>326</v>
      </c>
      <c r="C96" s="129">
        <v>2020</v>
      </c>
      <c r="D96" s="130" t="s">
        <v>327</v>
      </c>
      <c r="E96" s="129" t="s">
        <v>363</v>
      </c>
      <c r="F96" s="129" t="s">
        <v>345</v>
      </c>
      <c r="G96" s="129" t="s">
        <v>25</v>
      </c>
      <c r="H96" s="129" t="s">
        <v>166</v>
      </c>
      <c r="I96" s="77" t="s">
        <v>111</v>
      </c>
      <c r="J96" s="77" t="s">
        <v>27</v>
      </c>
      <c r="K96" s="77" t="s">
        <v>112</v>
      </c>
      <c r="L96" s="77">
        <v>2</v>
      </c>
      <c r="N96" s="77">
        <v>3</v>
      </c>
      <c r="O96" s="77">
        <v>0.2</v>
      </c>
      <c r="P96" s="77">
        <v>0.2</v>
      </c>
      <c r="Q96" s="44">
        <f t="shared" si="3"/>
        <v>0.2</v>
      </c>
      <c r="R96" s="77">
        <v>17.399999999999999</v>
      </c>
      <c r="S96" s="77">
        <v>132.5</v>
      </c>
      <c r="T96" s="16">
        <f t="shared" si="4"/>
        <v>25</v>
      </c>
      <c r="U96" s="77">
        <v>398</v>
      </c>
      <c r="V96" s="131">
        <f t="shared" si="5"/>
        <v>3316.6666666666665</v>
      </c>
      <c r="W96" s="77">
        <v>12</v>
      </c>
      <c r="X96" s="77" t="s">
        <v>35</v>
      </c>
      <c r="Y96" s="77" t="s">
        <v>55</v>
      </c>
      <c r="Z96" s="77" t="s">
        <v>43</v>
      </c>
      <c r="AA96" s="77" t="s">
        <v>36</v>
      </c>
      <c r="AB96" s="129" t="s">
        <v>330</v>
      </c>
    </row>
    <row r="97" spans="1:28" x14ac:dyDescent="0.15">
      <c r="A97" s="129" t="s">
        <v>48</v>
      </c>
      <c r="B97" s="129" t="s">
        <v>326</v>
      </c>
      <c r="C97" s="129">
        <v>2020</v>
      </c>
      <c r="D97" s="130" t="s">
        <v>327</v>
      </c>
      <c r="E97" s="129" t="s">
        <v>363</v>
      </c>
      <c r="F97" s="129" t="s">
        <v>345</v>
      </c>
      <c r="G97" s="129" t="s">
        <v>25</v>
      </c>
      <c r="H97" s="129" t="s">
        <v>166</v>
      </c>
      <c r="I97" s="77" t="s">
        <v>111</v>
      </c>
      <c r="J97" s="77" t="s">
        <v>27</v>
      </c>
      <c r="K97" s="77" t="s">
        <v>112</v>
      </c>
      <c r="L97" s="77">
        <v>3</v>
      </c>
      <c r="N97" s="77">
        <v>3</v>
      </c>
      <c r="O97" s="77">
        <v>0.2</v>
      </c>
      <c r="P97" s="77">
        <v>0.2</v>
      </c>
      <c r="Q97" s="44">
        <f t="shared" si="3"/>
        <v>0.2</v>
      </c>
      <c r="R97" s="77">
        <v>17.3</v>
      </c>
      <c r="S97" s="77">
        <v>133.5</v>
      </c>
      <c r="T97" s="16">
        <f t="shared" si="4"/>
        <v>25</v>
      </c>
      <c r="U97" s="77">
        <v>398</v>
      </c>
      <c r="V97" s="131">
        <f t="shared" si="5"/>
        <v>3316.6666666666665</v>
      </c>
      <c r="W97" s="77">
        <v>12</v>
      </c>
      <c r="X97" s="77" t="s">
        <v>35</v>
      </c>
      <c r="Y97" s="77" t="s">
        <v>55</v>
      </c>
      <c r="Z97" s="77" t="s">
        <v>43</v>
      </c>
      <c r="AA97" s="77" t="s">
        <v>36</v>
      </c>
      <c r="AB97" s="129" t="s">
        <v>330</v>
      </c>
    </row>
    <row r="98" spans="1:28" x14ac:dyDescent="0.15">
      <c r="A98" s="129" t="s">
        <v>48</v>
      </c>
      <c r="B98" s="129" t="s">
        <v>326</v>
      </c>
      <c r="C98" s="129">
        <v>2020</v>
      </c>
      <c r="D98" s="130" t="s">
        <v>327</v>
      </c>
      <c r="E98" s="129" t="s">
        <v>363</v>
      </c>
      <c r="F98" s="129" t="s">
        <v>345</v>
      </c>
      <c r="G98" s="129" t="s">
        <v>25</v>
      </c>
      <c r="H98" s="129" t="s">
        <v>166</v>
      </c>
      <c r="I98" s="77" t="s">
        <v>111</v>
      </c>
      <c r="J98" s="77" t="s">
        <v>27</v>
      </c>
      <c r="K98" s="77" t="s">
        <v>112</v>
      </c>
      <c r="L98" s="77">
        <v>1</v>
      </c>
      <c r="N98" s="77">
        <v>8</v>
      </c>
      <c r="O98" s="77">
        <v>0.5</v>
      </c>
      <c r="P98" s="77">
        <v>0.55000000000000004</v>
      </c>
      <c r="Q98" s="44">
        <f t="shared" si="3"/>
        <v>0.52500000000000002</v>
      </c>
      <c r="R98" s="77">
        <v>12.3</v>
      </c>
      <c r="S98" s="77">
        <v>100.5</v>
      </c>
      <c r="T98" s="16">
        <f t="shared" si="4"/>
        <v>33</v>
      </c>
      <c r="U98" s="77">
        <v>780</v>
      </c>
      <c r="V98" s="131">
        <f t="shared" si="5"/>
        <v>3217.5</v>
      </c>
      <c r="W98" s="77">
        <v>12</v>
      </c>
      <c r="X98" s="77" t="s">
        <v>35</v>
      </c>
      <c r="Y98" s="77" t="s">
        <v>55</v>
      </c>
      <c r="Z98" s="77" t="s">
        <v>43</v>
      </c>
      <c r="AA98" s="77" t="s">
        <v>36</v>
      </c>
      <c r="AB98" s="129" t="s">
        <v>330</v>
      </c>
    </row>
    <row r="99" spans="1:28" x14ac:dyDescent="0.15">
      <c r="A99" s="129" t="s">
        <v>48</v>
      </c>
      <c r="B99" s="129" t="s">
        <v>326</v>
      </c>
      <c r="C99" s="129">
        <v>2020</v>
      </c>
      <c r="D99" s="130" t="s">
        <v>327</v>
      </c>
      <c r="E99" s="129" t="s">
        <v>363</v>
      </c>
      <c r="F99" s="129" t="s">
        <v>345</v>
      </c>
      <c r="G99" s="129" t="s">
        <v>25</v>
      </c>
      <c r="H99" s="129" t="s">
        <v>166</v>
      </c>
      <c r="I99" s="77" t="s">
        <v>111</v>
      </c>
      <c r="J99" s="77" t="s">
        <v>27</v>
      </c>
      <c r="K99" s="77" t="s">
        <v>112</v>
      </c>
      <c r="L99" s="77">
        <v>2</v>
      </c>
      <c r="N99" s="77">
        <v>8</v>
      </c>
      <c r="O99" s="77">
        <v>0.5</v>
      </c>
      <c r="P99" s="77">
        <v>0.5</v>
      </c>
      <c r="Q99" s="44">
        <f t="shared" si="3"/>
        <v>0.5</v>
      </c>
      <c r="R99" s="77">
        <v>15.3</v>
      </c>
      <c r="S99" s="77">
        <v>102</v>
      </c>
      <c r="T99" s="16">
        <f t="shared" si="4"/>
        <v>33</v>
      </c>
      <c r="U99" s="77">
        <v>780</v>
      </c>
      <c r="V99" s="131">
        <f t="shared" si="5"/>
        <v>3217.5</v>
      </c>
      <c r="W99" s="77">
        <v>12</v>
      </c>
      <c r="X99" s="77" t="s">
        <v>35</v>
      </c>
      <c r="Y99" s="77" t="s">
        <v>55</v>
      </c>
      <c r="Z99" s="77" t="s">
        <v>43</v>
      </c>
      <c r="AA99" s="77" t="s">
        <v>36</v>
      </c>
      <c r="AB99" s="129" t="s">
        <v>330</v>
      </c>
    </row>
    <row r="100" spans="1:28" x14ac:dyDescent="0.15">
      <c r="A100" s="129" t="s">
        <v>48</v>
      </c>
      <c r="B100" s="129" t="s">
        <v>326</v>
      </c>
      <c r="C100" s="129">
        <v>2020</v>
      </c>
      <c r="D100" s="130" t="s">
        <v>327</v>
      </c>
      <c r="E100" s="129" t="s">
        <v>363</v>
      </c>
      <c r="F100" s="129" t="s">
        <v>345</v>
      </c>
      <c r="G100" s="129" t="s">
        <v>25</v>
      </c>
      <c r="H100" s="129" t="s">
        <v>166</v>
      </c>
      <c r="I100" s="77" t="s">
        <v>111</v>
      </c>
      <c r="J100" s="77" t="s">
        <v>27</v>
      </c>
      <c r="K100" s="77" t="s">
        <v>112</v>
      </c>
      <c r="L100" s="77">
        <v>3</v>
      </c>
      <c r="N100" s="77">
        <v>8</v>
      </c>
      <c r="O100" s="77">
        <v>0.6</v>
      </c>
      <c r="P100" s="77">
        <v>0.6</v>
      </c>
      <c r="Q100" s="44">
        <f t="shared" si="3"/>
        <v>0.6</v>
      </c>
      <c r="R100" s="77">
        <v>16.8</v>
      </c>
      <c r="S100" s="77">
        <v>103</v>
      </c>
      <c r="T100" s="16">
        <f t="shared" si="4"/>
        <v>33</v>
      </c>
      <c r="U100" s="77">
        <v>780</v>
      </c>
      <c r="V100" s="131">
        <f t="shared" si="5"/>
        <v>3217.5</v>
      </c>
      <c r="W100" s="77">
        <v>12</v>
      </c>
      <c r="X100" s="77" t="s">
        <v>35</v>
      </c>
      <c r="Y100" s="77" t="s">
        <v>55</v>
      </c>
      <c r="Z100" s="77" t="s">
        <v>43</v>
      </c>
      <c r="AA100" s="77" t="s">
        <v>36</v>
      </c>
      <c r="AB100" s="129" t="s">
        <v>330</v>
      </c>
    </row>
    <row r="101" spans="1:28" x14ac:dyDescent="0.15">
      <c r="A101" s="129" t="s">
        <v>48</v>
      </c>
      <c r="B101" s="129" t="s">
        <v>326</v>
      </c>
      <c r="C101" s="129">
        <v>2020</v>
      </c>
      <c r="D101" s="130" t="s">
        <v>327</v>
      </c>
      <c r="E101" s="129" t="s">
        <v>363</v>
      </c>
      <c r="F101" s="129" t="s">
        <v>345</v>
      </c>
      <c r="G101" s="129" t="s">
        <v>25</v>
      </c>
      <c r="H101" s="129" t="s">
        <v>113</v>
      </c>
      <c r="I101" s="77" t="s">
        <v>111</v>
      </c>
      <c r="J101" s="77" t="s">
        <v>27</v>
      </c>
      <c r="K101" s="77" t="s">
        <v>112</v>
      </c>
      <c r="L101" s="77">
        <v>1</v>
      </c>
      <c r="N101" s="77">
        <v>1</v>
      </c>
      <c r="O101" s="77">
        <v>0.75</v>
      </c>
      <c r="P101" s="77">
        <v>0.6</v>
      </c>
      <c r="Q101" s="44">
        <f t="shared" si="3"/>
        <v>0.67500000000000004</v>
      </c>
      <c r="R101" s="77">
        <v>13.7</v>
      </c>
      <c r="S101" s="77">
        <v>111</v>
      </c>
      <c r="T101" s="16">
        <f t="shared" si="4"/>
        <v>33</v>
      </c>
      <c r="U101" s="77">
        <v>98</v>
      </c>
      <c r="V101" s="131">
        <f t="shared" si="5"/>
        <v>3234</v>
      </c>
      <c r="W101" s="77">
        <v>12</v>
      </c>
      <c r="X101" s="77" t="s">
        <v>35</v>
      </c>
      <c r="Y101" s="77" t="s">
        <v>55</v>
      </c>
      <c r="Z101" s="77" t="s">
        <v>43</v>
      </c>
      <c r="AA101" s="77" t="s">
        <v>36</v>
      </c>
      <c r="AB101" s="129" t="s">
        <v>330</v>
      </c>
    </row>
    <row r="102" spans="1:28" x14ac:dyDescent="0.15">
      <c r="A102" s="129" t="s">
        <v>48</v>
      </c>
      <c r="B102" s="129" t="s">
        <v>326</v>
      </c>
      <c r="C102" s="129">
        <v>2020</v>
      </c>
      <c r="D102" s="130" t="s">
        <v>327</v>
      </c>
      <c r="E102" s="129" t="s">
        <v>363</v>
      </c>
      <c r="F102" s="129" t="s">
        <v>345</v>
      </c>
      <c r="G102" s="129" t="s">
        <v>25</v>
      </c>
      <c r="H102" s="129" t="s">
        <v>113</v>
      </c>
      <c r="I102" s="77" t="s">
        <v>111</v>
      </c>
      <c r="J102" s="77" t="s">
        <v>27</v>
      </c>
      <c r="K102" s="77" t="s">
        <v>112</v>
      </c>
      <c r="L102" s="77">
        <v>2</v>
      </c>
      <c r="N102" s="77">
        <v>1</v>
      </c>
      <c r="O102" s="77">
        <v>0.6</v>
      </c>
      <c r="P102" s="77">
        <v>0.55000000000000004</v>
      </c>
      <c r="Q102" s="44">
        <f t="shared" si="3"/>
        <v>0.57499999999999996</v>
      </c>
      <c r="R102" s="77">
        <v>16.5</v>
      </c>
      <c r="S102" s="77">
        <v>112.5</v>
      </c>
      <c r="T102" s="16">
        <f t="shared" si="4"/>
        <v>33</v>
      </c>
      <c r="U102" s="77">
        <v>98</v>
      </c>
      <c r="V102" s="131">
        <f t="shared" si="5"/>
        <v>3234</v>
      </c>
      <c r="W102" s="77">
        <v>12</v>
      </c>
      <c r="X102" s="77" t="s">
        <v>35</v>
      </c>
      <c r="Y102" s="77" t="s">
        <v>55</v>
      </c>
      <c r="Z102" s="77" t="s">
        <v>43</v>
      </c>
      <c r="AA102" s="77" t="s">
        <v>36</v>
      </c>
      <c r="AB102" s="129" t="s">
        <v>330</v>
      </c>
    </row>
    <row r="103" spans="1:28" x14ac:dyDescent="0.15">
      <c r="A103" s="129" t="s">
        <v>48</v>
      </c>
      <c r="B103" s="129" t="s">
        <v>326</v>
      </c>
      <c r="C103" s="129">
        <v>2020</v>
      </c>
      <c r="D103" s="130" t="s">
        <v>327</v>
      </c>
      <c r="E103" s="129" t="s">
        <v>363</v>
      </c>
      <c r="F103" s="129" t="s">
        <v>345</v>
      </c>
      <c r="G103" s="129" t="s">
        <v>25</v>
      </c>
      <c r="H103" s="129" t="s">
        <v>113</v>
      </c>
      <c r="I103" s="77" t="s">
        <v>111</v>
      </c>
      <c r="J103" s="77" t="s">
        <v>27</v>
      </c>
      <c r="K103" s="77" t="s">
        <v>112</v>
      </c>
      <c r="L103" s="77">
        <v>3</v>
      </c>
      <c r="N103" s="77">
        <v>1</v>
      </c>
      <c r="O103" s="77">
        <v>0.5</v>
      </c>
      <c r="P103" s="77">
        <v>0.5</v>
      </c>
      <c r="Q103" s="44">
        <f t="shared" si="3"/>
        <v>0.5</v>
      </c>
      <c r="R103" s="77">
        <v>15.8</v>
      </c>
      <c r="S103" s="77">
        <v>108</v>
      </c>
      <c r="T103" s="16">
        <f t="shared" si="4"/>
        <v>33</v>
      </c>
      <c r="U103" s="77">
        <v>98</v>
      </c>
      <c r="V103" s="131">
        <f t="shared" si="5"/>
        <v>3234</v>
      </c>
      <c r="W103" s="77">
        <v>12</v>
      </c>
      <c r="X103" s="77" t="s">
        <v>35</v>
      </c>
      <c r="Y103" s="77" t="s">
        <v>55</v>
      </c>
      <c r="Z103" s="77" t="s">
        <v>43</v>
      </c>
      <c r="AA103" s="77" t="s">
        <v>36</v>
      </c>
      <c r="AB103" s="129" t="s">
        <v>330</v>
      </c>
    </row>
    <row r="104" spans="1:28" x14ac:dyDescent="0.15">
      <c r="A104" s="129" t="s">
        <v>48</v>
      </c>
      <c r="B104" s="129" t="s">
        <v>326</v>
      </c>
      <c r="C104" s="129">
        <v>2020</v>
      </c>
      <c r="D104" s="130" t="s">
        <v>327</v>
      </c>
      <c r="E104" s="129" t="s">
        <v>363</v>
      </c>
      <c r="F104" s="129" t="s">
        <v>345</v>
      </c>
      <c r="G104" s="129" t="s">
        <v>25</v>
      </c>
      <c r="H104" s="129" t="s">
        <v>113</v>
      </c>
      <c r="I104" s="77" t="s">
        <v>111</v>
      </c>
      <c r="J104" s="77" t="s">
        <v>27</v>
      </c>
      <c r="K104" s="77" t="s">
        <v>112</v>
      </c>
      <c r="L104" s="77">
        <v>1</v>
      </c>
      <c r="N104" s="77">
        <v>5</v>
      </c>
      <c r="O104" s="77">
        <v>0.55000000000000004</v>
      </c>
      <c r="P104" s="77">
        <v>0.5</v>
      </c>
      <c r="Q104" s="44">
        <f t="shared" si="3"/>
        <v>0.52500000000000002</v>
      </c>
      <c r="R104" s="77">
        <v>16.2</v>
      </c>
      <c r="S104" s="77">
        <v>90</v>
      </c>
      <c r="T104" s="16">
        <f t="shared" si="4"/>
        <v>36</v>
      </c>
      <c r="U104" s="77">
        <v>398</v>
      </c>
      <c r="V104" s="131">
        <f t="shared" si="5"/>
        <v>2865.6</v>
      </c>
      <c r="W104" s="77">
        <v>12</v>
      </c>
      <c r="X104" s="77" t="s">
        <v>35</v>
      </c>
      <c r="Y104" s="77" t="s">
        <v>55</v>
      </c>
      <c r="Z104" s="77" t="s">
        <v>43</v>
      </c>
      <c r="AA104" s="77" t="s">
        <v>36</v>
      </c>
      <c r="AB104" s="129" t="s">
        <v>330</v>
      </c>
    </row>
    <row r="105" spans="1:28" x14ac:dyDescent="0.15">
      <c r="A105" s="129" t="s">
        <v>48</v>
      </c>
      <c r="B105" s="129" t="s">
        <v>326</v>
      </c>
      <c r="C105" s="129">
        <v>2020</v>
      </c>
      <c r="D105" s="130" t="s">
        <v>327</v>
      </c>
      <c r="E105" s="129" t="s">
        <v>363</v>
      </c>
      <c r="F105" s="129" t="s">
        <v>345</v>
      </c>
      <c r="G105" s="129" t="s">
        <v>25</v>
      </c>
      <c r="H105" s="129" t="s">
        <v>113</v>
      </c>
      <c r="I105" s="77" t="s">
        <v>111</v>
      </c>
      <c r="J105" s="77" t="s">
        <v>27</v>
      </c>
      <c r="K105" s="77" t="s">
        <v>112</v>
      </c>
      <c r="L105" s="77">
        <v>2</v>
      </c>
      <c r="N105" s="77">
        <v>5</v>
      </c>
      <c r="O105" s="77">
        <v>0.6</v>
      </c>
      <c r="P105" s="77">
        <v>0.6</v>
      </c>
      <c r="Q105" s="44">
        <f t="shared" si="3"/>
        <v>0.6</v>
      </c>
      <c r="R105" s="77">
        <v>16.7</v>
      </c>
      <c r="S105" s="77">
        <v>86</v>
      </c>
      <c r="T105" s="16">
        <f t="shared" si="4"/>
        <v>36</v>
      </c>
      <c r="U105" s="77">
        <v>398</v>
      </c>
      <c r="V105" s="131">
        <f t="shared" si="5"/>
        <v>2865.6</v>
      </c>
      <c r="W105" s="77">
        <v>12</v>
      </c>
      <c r="X105" s="77" t="s">
        <v>35</v>
      </c>
      <c r="Y105" s="77" t="s">
        <v>55</v>
      </c>
      <c r="Z105" s="77" t="s">
        <v>43</v>
      </c>
      <c r="AA105" s="77" t="s">
        <v>36</v>
      </c>
      <c r="AB105" s="129" t="s">
        <v>330</v>
      </c>
    </row>
    <row r="106" spans="1:28" x14ac:dyDescent="0.15">
      <c r="A106" s="129" t="s">
        <v>48</v>
      </c>
      <c r="B106" s="129" t="s">
        <v>326</v>
      </c>
      <c r="C106" s="129">
        <v>2020</v>
      </c>
      <c r="D106" s="130" t="s">
        <v>327</v>
      </c>
      <c r="E106" s="129" t="s">
        <v>363</v>
      </c>
      <c r="F106" s="129" t="s">
        <v>345</v>
      </c>
      <c r="G106" s="129" t="s">
        <v>25</v>
      </c>
      <c r="H106" s="129" t="s">
        <v>113</v>
      </c>
      <c r="I106" s="77" t="s">
        <v>111</v>
      </c>
      <c r="J106" s="77" t="s">
        <v>27</v>
      </c>
      <c r="K106" s="77" t="s">
        <v>112</v>
      </c>
      <c r="L106" s="77">
        <v>3</v>
      </c>
      <c r="N106" s="77">
        <v>5</v>
      </c>
      <c r="O106" s="77">
        <v>0.6</v>
      </c>
      <c r="P106" s="77">
        <v>0.75</v>
      </c>
      <c r="Q106" s="44">
        <f t="shared" si="3"/>
        <v>0.67500000000000004</v>
      </c>
      <c r="R106" s="77">
        <v>16.5</v>
      </c>
      <c r="S106" s="77">
        <v>88</v>
      </c>
      <c r="T106" s="16">
        <f t="shared" si="4"/>
        <v>36</v>
      </c>
      <c r="U106" s="77">
        <v>398</v>
      </c>
      <c r="V106" s="131">
        <f t="shared" si="5"/>
        <v>2865.6</v>
      </c>
      <c r="W106" s="77">
        <v>12</v>
      </c>
      <c r="X106" s="77" t="s">
        <v>35</v>
      </c>
      <c r="Y106" s="77" t="s">
        <v>55</v>
      </c>
      <c r="Z106" s="77" t="s">
        <v>43</v>
      </c>
      <c r="AA106" s="77" t="s">
        <v>36</v>
      </c>
      <c r="AB106" s="129" t="s">
        <v>330</v>
      </c>
    </row>
    <row r="107" spans="1:28" x14ac:dyDescent="0.15">
      <c r="A107" s="129" t="s">
        <v>48</v>
      </c>
      <c r="B107" s="129" t="s">
        <v>326</v>
      </c>
      <c r="C107" s="129">
        <v>2020</v>
      </c>
      <c r="D107" s="130" t="s">
        <v>327</v>
      </c>
      <c r="E107" s="129" t="s">
        <v>363</v>
      </c>
      <c r="F107" s="129" t="s">
        <v>345</v>
      </c>
      <c r="G107" s="129" t="s">
        <v>25</v>
      </c>
      <c r="H107" s="129" t="s">
        <v>113</v>
      </c>
      <c r="I107" s="77" t="s">
        <v>111</v>
      </c>
      <c r="J107" s="77" t="s">
        <v>27</v>
      </c>
      <c r="K107" s="77" t="s">
        <v>112</v>
      </c>
      <c r="L107" s="77">
        <v>1</v>
      </c>
      <c r="N107" s="77">
        <v>8</v>
      </c>
      <c r="O107" s="77">
        <v>0.6</v>
      </c>
      <c r="P107" s="77">
        <v>0.8</v>
      </c>
      <c r="Q107" s="44">
        <f t="shared" si="3"/>
        <v>0.7</v>
      </c>
      <c r="R107" s="77">
        <v>13.4</v>
      </c>
      <c r="S107" s="77">
        <v>88.5</v>
      </c>
      <c r="T107" s="16">
        <f t="shared" si="4"/>
        <v>36</v>
      </c>
      <c r="U107" s="77">
        <v>598</v>
      </c>
      <c r="V107" s="131">
        <f t="shared" si="5"/>
        <v>2691</v>
      </c>
      <c r="W107" s="77">
        <v>12</v>
      </c>
      <c r="X107" s="77" t="s">
        <v>35</v>
      </c>
      <c r="Y107" s="77" t="s">
        <v>55</v>
      </c>
      <c r="Z107" s="77" t="s">
        <v>43</v>
      </c>
      <c r="AA107" s="77" t="s">
        <v>36</v>
      </c>
      <c r="AB107" s="129" t="s">
        <v>330</v>
      </c>
    </row>
    <row r="108" spans="1:28" x14ac:dyDescent="0.15">
      <c r="A108" s="129" t="s">
        <v>48</v>
      </c>
      <c r="B108" s="129" t="s">
        <v>326</v>
      </c>
      <c r="C108" s="129">
        <v>2020</v>
      </c>
      <c r="D108" s="130" t="s">
        <v>327</v>
      </c>
      <c r="E108" s="129" t="s">
        <v>363</v>
      </c>
      <c r="F108" s="129" t="s">
        <v>345</v>
      </c>
      <c r="G108" s="129" t="s">
        <v>25</v>
      </c>
      <c r="H108" s="129" t="s">
        <v>113</v>
      </c>
      <c r="I108" s="77" t="s">
        <v>111</v>
      </c>
      <c r="J108" s="77" t="s">
        <v>27</v>
      </c>
      <c r="K108" s="77" t="s">
        <v>112</v>
      </c>
      <c r="L108" s="77">
        <v>2</v>
      </c>
      <c r="N108" s="77">
        <v>8</v>
      </c>
      <c r="O108" s="77">
        <v>0.6</v>
      </c>
      <c r="P108" s="77">
        <v>0.7</v>
      </c>
      <c r="Q108" s="44">
        <f t="shared" si="3"/>
        <v>0.64999999999999991</v>
      </c>
      <c r="R108" s="77">
        <v>15.1</v>
      </c>
      <c r="S108" s="77">
        <v>88</v>
      </c>
      <c r="T108" s="16">
        <f t="shared" si="4"/>
        <v>36</v>
      </c>
      <c r="U108" s="77">
        <v>598</v>
      </c>
      <c r="V108" s="131">
        <f t="shared" si="5"/>
        <v>2691</v>
      </c>
      <c r="W108" s="77">
        <v>12</v>
      </c>
      <c r="X108" s="77" t="s">
        <v>35</v>
      </c>
      <c r="Y108" s="77" t="s">
        <v>55</v>
      </c>
      <c r="Z108" s="77" t="s">
        <v>43</v>
      </c>
      <c r="AA108" s="77" t="s">
        <v>36</v>
      </c>
      <c r="AB108" s="129" t="s">
        <v>330</v>
      </c>
    </row>
    <row r="109" spans="1:28" x14ac:dyDescent="0.15">
      <c r="A109" s="129" t="s">
        <v>48</v>
      </c>
      <c r="B109" s="129" t="s">
        <v>326</v>
      </c>
      <c r="C109" s="129">
        <v>2020</v>
      </c>
      <c r="D109" s="130" t="s">
        <v>327</v>
      </c>
      <c r="E109" s="129" t="s">
        <v>363</v>
      </c>
      <c r="F109" s="129" t="s">
        <v>345</v>
      </c>
      <c r="G109" s="129" t="s">
        <v>25</v>
      </c>
      <c r="H109" s="129" t="s">
        <v>113</v>
      </c>
      <c r="I109" s="77" t="s">
        <v>111</v>
      </c>
      <c r="J109" s="77" t="s">
        <v>27</v>
      </c>
      <c r="K109" s="77" t="s">
        <v>112</v>
      </c>
      <c r="L109" s="77">
        <v>3</v>
      </c>
      <c r="N109" s="77">
        <v>8</v>
      </c>
      <c r="O109" s="77">
        <v>0.6</v>
      </c>
      <c r="P109" s="77">
        <v>0.8</v>
      </c>
      <c r="Q109" s="44">
        <f t="shared" si="3"/>
        <v>0.7</v>
      </c>
      <c r="R109" s="77">
        <v>11.5</v>
      </c>
      <c r="S109" s="77">
        <v>88</v>
      </c>
      <c r="T109" s="16">
        <f t="shared" si="4"/>
        <v>36</v>
      </c>
      <c r="U109" s="77">
        <v>598</v>
      </c>
      <c r="V109" s="131">
        <f t="shared" si="5"/>
        <v>2691</v>
      </c>
      <c r="W109" s="77">
        <v>12</v>
      </c>
      <c r="X109" s="77" t="s">
        <v>35</v>
      </c>
      <c r="Y109" s="77" t="s">
        <v>55</v>
      </c>
      <c r="Z109" s="77" t="s">
        <v>43</v>
      </c>
      <c r="AA109" s="77" t="s">
        <v>36</v>
      </c>
      <c r="AB109" s="129" t="s">
        <v>330</v>
      </c>
    </row>
    <row r="110" spans="1:28" x14ac:dyDescent="0.15">
      <c r="A110" s="129" t="s">
        <v>48</v>
      </c>
      <c r="B110" s="129" t="s">
        <v>326</v>
      </c>
      <c r="C110" s="129">
        <v>2020</v>
      </c>
      <c r="D110" s="130" t="s">
        <v>327</v>
      </c>
      <c r="E110" s="129" t="s">
        <v>364</v>
      </c>
      <c r="F110" s="129" t="s">
        <v>347</v>
      </c>
      <c r="G110" s="129" t="s">
        <v>25</v>
      </c>
      <c r="H110" s="129" t="s">
        <v>166</v>
      </c>
      <c r="I110" s="77" t="s">
        <v>111</v>
      </c>
      <c r="J110" s="77" t="s">
        <v>27</v>
      </c>
      <c r="K110" s="77" t="s">
        <v>112</v>
      </c>
      <c r="L110" s="77">
        <v>1</v>
      </c>
      <c r="N110" s="77">
        <v>1</v>
      </c>
      <c r="O110" s="77">
        <v>0.7</v>
      </c>
      <c r="P110" s="77">
        <v>0.7</v>
      </c>
      <c r="Q110" s="44">
        <f t="shared" si="3"/>
        <v>0.7</v>
      </c>
      <c r="R110" s="77">
        <v>14.6</v>
      </c>
      <c r="S110" s="77">
        <v>123.5</v>
      </c>
      <c r="T110" s="16">
        <f>IF(H122="","",IF(OR(H122="GREEN",H122="GK"),IF(S110&gt;=$AX$2,VLOOKUP(S110,$AX$2:$AY$15,2,1),""),IF(S110&gt;=$AZ$2,VLOOKUP(S110,$AZ$2:$BA$15,2,1),"")))</f>
        <v>27</v>
      </c>
      <c r="U110" s="77">
        <v>158</v>
      </c>
      <c r="V110" s="131">
        <f>IF(OR(N122="",U110="",T110=""),"",U110/N122*T110)</f>
        <v>4266</v>
      </c>
      <c r="W110" s="77">
        <v>4</v>
      </c>
      <c r="X110" s="77" t="s">
        <v>35</v>
      </c>
      <c r="Y110" s="77" t="s">
        <v>55</v>
      </c>
      <c r="Z110" s="77" t="s">
        <v>74</v>
      </c>
      <c r="AA110" s="77" t="s">
        <v>82</v>
      </c>
      <c r="AB110" s="129" t="s">
        <v>330</v>
      </c>
    </row>
    <row r="111" spans="1:28" x14ac:dyDescent="0.15">
      <c r="A111" s="129" t="s">
        <v>48</v>
      </c>
      <c r="B111" s="129" t="s">
        <v>326</v>
      </c>
      <c r="C111" s="129">
        <v>2020</v>
      </c>
      <c r="D111" s="130" t="s">
        <v>327</v>
      </c>
      <c r="E111" s="129" t="s">
        <v>364</v>
      </c>
      <c r="F111" s="129" t="s">
        <v>347</v>
      </c>
      <c r="G111" s="129" t="s">
        <v>25</v>
      </c>
      <c r="H111" s="129" t="s">
        <v>166</v>
      </c>
      <c r="I111" s="77" t="s">
        <v>111</v>
      </c>
      <c r="J111" s="77" t="s">
        <v>27</v>
      </c>
      <c r="K111" s="77" t="s">
        <v>112</v>
      </c>
      <c r="L111" s="77">
        <v>2</v>
      </c>
      <c r="N111" s="77">
        <v>1</v>
      </c>
      <c r="O111" s="77">
        <v>0.55000000000000004</v>
      </c>
      <c r="P111" s="77">
        <v>0.7</v>
      </c>
      <c r="Q111" s="44">
        <f t="shared" si="3"/>
        <v>0.625</v>
      </c>
      <c r="R111" s="77">
        <v>15.8</v>
      </c>
      <c r="S111" s="77">
        <v>117</v>
      </c>
      <c r="T111" s="16">
        <f>IF(H123="","",IF(OR(H123="GREEN",H123="GK"),IF(S111&gt;=$AX$2,VLOOKUP(S111,$AX$2:$AY$15,2,1),""),IF(S111&gt;=$AZ$2,VLOOKUP(S111,$AZ$2:$BA$15,2,1),"")))</f>
        <v>30</v>
      </c>
      <c r="U111" s="77">
        <v>158</v>
      </c>
      <c r="V111" s="131">
        <f>IF(OR(N123="",U111="",T111=""),"",U111/N123*T111)</f>
        <v>4740</v>
      </c>
      <c r="W111" s="77">
        <v>4</v>
      </c>
      <c r="X111" s="77" t="s">
        <v>35</v>
      </c>
      <c r="Y111" s="77" t="s">
        <v>55</v>
      </c>
      <c r="Z111" s="77" t="s">
        <v>74</v>
      </c>
      <c r="AA111" s="77" t="s">
        <v>82</v>
      </c>
      <c r="AB111" s="129" t="s">
        <v>330</v>
      </c>
    </row>
    <row r="112" spans="1:28" x14ac:dyDescent="0.15">
      <c r="A112" s="129" t="s">
        <v>48</v>
      </c>
      <c r="B112" s="129" t="s">
        <v>326</v>
      </c>
      <c r="C112" s="129">
        <v>2020</v>
      </c>
      <c r="D112" s="130" t="s">
        <v>327</v>
      </c>
      <c r="E112" s="129" t="s">
        <v>364</v>
      </c>
      <c r="F112" s="129" t="s">
        <v>347</v>
      </c>
      <c r="G112" s="129" t="s">
        <v>25</v>
      </c>
      <c r="H112" s="129" t="s">
        <v>166</v>
      </c>
      <c r="I112" s="77" t="s">
        <v>111</v>
      </c>
      <c r="J112" s="77" t="s">
        <v>27</v>
      </c>
      <c r="K112" s="77" t="s">
        <v>112</v>
      </c>
      <c r="L112" s="77">
        <v>3</v>
      </c>
      <c r="N112" s="77">
        <v>1</v>
      </c>
      <c r="O112" s="77">
        <v>0.65</v>
      </c>
      <c r="P112" s="77">
        <v>0.7</v>
      </c>
      <c r="Q112" s="44">
        <f t="shared" si="3"/>
        <v>0.67500000000000004</v>
      </c>
      <c r="R112" s="77">
        <v>15.6</v>
      </c>
      <c r="S112" s="77">
        <v>115</v>
      </c>
      <c r="T112" s="16">
        <f>IF(H124="","",IF(OR(H124="GREEN",H124="GK"),IF(S112&gt;=$AX$2,VLOOKUP(S112,$AX$2:$AY$15,2,1),""),IF(S112&gt;=$AZ$2,VLOOKUP(S112,$AZ$2:$BA$15,2,1),"")))</f>
        <v>30</v>
      </c>
      <c r="U112" s="77">
        <v>158</v>
      </c>
      <c r="V112" s="131">
        <f>IF(OR(N124="",U112="",T112=""),"",U112/N124*T112)</f>
        <v>4740</v>
      </c>
      <c r="W112" s="77">
        <v>4</v>
      </c>
      <c r="X112" s="77" t="s">
        <v>35</v>
      </c>
      <c r="Y112" s="77" t="s">
        <v>55</v>
      </c>
      <c r="Z112" s="77" t="s">
        <v>74</v>
      </c>
      <c r="AA112" s="77" t="s">
        <v>82</v>
      </c>
      <c r="AB112" s="129" t="s">
        <v>330</v>
      </c>
    </row>
    <row r="113" spans="1:28" x14ac:dyDescent="0.15">
      <c r="A113" s="129" t="s">
        <v>48</v>
      </c>
      <c r="B113" s="129" t="s">
        <v>326</v>
      </c>
      <c r="C113" s="129">
        <v>2020</v>
      </c>
      <c r="D113" s="130" t="s">
        <v>327</v>
      </c>
      <c r="E113" s="129" t="s">
        <v>364</v>
      </c>
      <c r="F113" s="129" t="s">
        <v>347</v>
      </c>
      <c r="G113" s="129" t="s">
        <v>25</v>
      </c>
      <c r="H113" s="129" t="s">
        <v>166</v>
      </c>
      <c r="I113" s="77" t="s">
        <v>111</v>
      </c>
      <c r="J113" s="77" t="s">
        <v>27</v>
      </c>
      <c r="K113" s="77" t="s">
        <v>112</v>
      </c>
      <c r="L113" s="77">
        <v>1</v>
      </c>
      <c r="N113" s="77">
        <v>4</v>
      </c>
      <c r="O113" s="77">
        <v>0.5</v>
      </c>
      <c r="P113" s="77">
        <v>0.65</v>
      </c>
      <c r="Q113" s="16">
        <f t="shared" si="3"/>
        <v>0.57499999999999996</v>
      </c>
      <c r="R113" s="77">
        <v>16.5</v>
      </c>
      <c r="S113" s="77">
        <v>95</v>
      </c>
      <c r="T113" s="16">
        <f t="shared" si="4"/>
        <v>36</v>
      </c>
      <c r="U113" s="77">
        <v>498</v>
      </c>
      <c r="V113" s="16">
        <f t="shared" si="5"/>
        <v>4482</v>
      </c>
      <c r="W113" s="77">
        <v>4</v>
      </c>
      <c r="X113" s="77" t="s">
        <v>35</v>
      </c>
      <c r="Y113" s="77" t="s">
        <v>55</v>
      </c>
      <c r="Z113" s="77" t="s">
        <v>74</v>
      </c>
      <c r="AA113" s="77" t="s">
        <v>82</v>
      </c>
      <c r="AB113" s="129" t="s">
        <v>330</v>
      </c>
    </row>
    <row r="114" spans="1:28" x14ac:dyDescent="0.15">
      <c r="A114" s="129" t="s">
        <v>48</v>
      </c>
      <c r="B114" s="129" t="s">
        <v>326</v>
      </c>
      <c r="C114" s="129">
        <v>2020</v>
      </c>
      <c r="D114" s="130" t="s">
        <v>327</v>
      </c>
      <c r="E114" s="129" t="s">
        <v>364</v>
      </c>
      <c r="F114" s="129" t="s">
        <v>347</v>
      </c>
      <c r="G114" s="129" t="s">
        <v>25</v>
      </c>
      <c r="H114" s="129" t="s">
        <v>166</v>
      </c>
      <c r="I114" s="77" t="s">
        <v>111</v>
      </c>
      <c r="J114" s="77" t="s">
        <v>27</v>
      </c>
      <c r="K114" s="77" t="s">
        <v>112</v>
      </c>
      <c r="L114" s="77">
        <v>2</v>
      </c>
      <c r="N114" s="77">
        <v>4</v>
      </c>
      <c r="O114" s="77">
        <v>0.5</v>
      </c>
      <c r="P114" s="77">
        <v>0.55000000000000004</v>
      </c>
      <c r="Q114" s="16">
        <f t="shared" si="3"/>
        <v>0.52500000000000002</v>
      </c>
      <c r="R114" s="77">
        <v>13.3</v>
      </c>
      <c r="S114" s="77">
        <v>97</v>
      </c>
      <c r="T114" s="16">
        <f t="shared" si="4"/>
        <v>36</v>
      </c>
      <c r="U114" s="77">
        <v>498</v>
      </c>
      <c r="V114" s="16">
        <f t="shared" si="5"/>
        <v>4482</v>
      </c>
      <c r="W114" s="77">
        <v>4</v>
      </c>
      <c r="X114" s="77" t="s">
        <v>35</v>
      </c>
      <c r="Y114" s="77" t="s">
        <v>55</v>
      </c>
      <c r="Z114" s="77" t="s">
        <v>74</v>
      </c>
      <c r="AA114" s="77" t="s">
        <v>82</v>
      </c>
      <c r="AB114" s="129" t="s">
        <v>330</v>
      </c>
    </row>
    <row r="115" spans="1:28" x14ac:dyDescent="0.15">
      <c r="A115" s="129" t="s">
        <v>48</v>
      </c>
      <c r="B115" s="129" t="s">
        <v>326</v>
      </c>
      <c r="C115" s="129">
        <v>2020</v>
      </c>
      <c r="D115" s="130" t="s">
        <v>327</v>
      </c>
      <c r="E115" s="129" t="s">
        <v>364</v>
      </c>
      <c r="F115" s="129" t="s">
        <v>347</v>
      </c>
      <c r="G115" s="129" t="s">
        <v>25</v>
      </c>
      <c r="H115" s="129" t="s">
        <v>166</v>
      </c>
      <c r="I115" s="77" t="s">
        <v>111</v>
      </c>
      <c r="J115" s="77" t="s">
        <v>27</v>
      </c>
      <c r="K115" s="77" t="s">
        <v>112</v>
      </c>
      <c r="L115" s="77">
        <v>3</v>
      </c>
      <c r="N115" s="77">
        <v>4</v>
      </c>
      <c r="O115" s="77">
        <v>0.5</v>
      </c>
      <c r="P115" s="77">
        <v>0.5</v>
      </c>
      <c r="Q115" s="16">
        <f t="shared" si="3"/>
        <v>0.5</v>
      </c>
      <c r="R115" s="77">
        <v>15.5</v>
      </c>
      <c r="S115" s="77">
        <v>97.5</v>
      </c>
      <c r="T115" s="16">
        <f t="shared" si="4"/>
        <v>36</v>
      </c>
      <c r="U115" s="77">
        <v>498</v>
      </c>
      <c r="V115" s="16">
        <f t="shared" si="5"/>
        <v>4482</v>
      </c>
      <c r="W115" s="77">
        <v>4</v>
      </c>
      <c r="X115" s="77" t="s">
        <v>35</v>
      </c>
      <c r="Y115" s="77" t="s">
        <v>55</v>
      </c>
      <c r="Z115" s="77" t="s">
        <v>74</v>
      </c>
      <c r="AA115" s="77" t="s">
        <v>82</v>
      </c>
      <c r="AB115" s="129" t="s">
        <v>330</v>
      </c>
    </row>
    <row r="116" spans="1:28" x14ac:dyDescent="0.15">
      <c r="A116" s="129" t="s">
        <v>48</v>
      </c>
      <c r="B116" s="129" t="s">
        <v>326</v>
      </c>
      <c r="C116" s="129">
        <v>2020</v>
      </c>
      <c r="D116" s="130" t="s">
        <v>327</v>
      </c>
      <c r="E116" s="129" t="s">
        <v>364</v>
      </c>
      <c r="F116" s="129" t="s">
        <v>347</v>
      </c>
      <c r="G116" s="129" t="s">
        <v>25</v>
      </c>
      <c r="H116" s="129" t="s">
        <v>113</v>
      </c>
      <c r="I116" s="77" t="s">
        <v>111</v>
      </c>
      <c r="J116" s="77" t="s">
        <v>27</v>
      </c>
      <c r="K116" s="77" t="s">
        <v>112</v>
      </c>
      <c r="L116" s="77">
        <v>1</v>
      </c>
      <c r="N116" s="77">
        <v>1</v>
      </c>
      <c r="O116" s="77">
        <v>0.8</v>
      </c>
      <c r="P116" s="77">
        <v>0.8</v>
      </c>
      <c r="Q116" s="16">
        <f t="shared" si="3"/>
        <v>0.8</v>
      </c>
      <c r="R116" s="77">
        <v>14.9</v>
      </c>
      <c r="S116" s="77">
        <v>134.5</v>
      </c>
      <c r="T116" s="16">
        <f t="shared" si="4"/>
        <v>25</v>
      </c>
      <c r="U116" s="77">
        <v>138</v>
      </c>
      <c r="V116" s="16">
        <f t="shared" si="5"/>
        <v>3450</v>
      </c>
      <c r="W116" s="77">
        <v>4</v>
      </c>
      <c r="X116" s="77" t="s">
        <v>35</v>
      </c>
      <c r="Y116" s="77" t="s">
        <v>55</v>
      </c>
      <c r="Z116" s="77" t="s">
        <v>74</v>
      </c>
      <c r="AA116" s="77" t="s">
        <v>82</v>
      </c>
      <c r="AB116" s="129" t="s">
        <v>330</v>
      </c>
    </row>
    <row r="117" spans="1:28" x14ac:dyDescent="0.15">
      <c r="A117" s="129" t="s">
        <v>48</v>
      </c>
      <c r="B117" s="129" t="s">
        <v>326</v>
      </c>
      <c r="C117" s="129">
        <v>2020</v>
      </c>
      <c r="D117" s="130" t="s">
        <v>327</v>
      </c>
      <c r="E117" s="129" t="s">
        <v>364</v>
      </c>
      <c r="F117" s="129" t="s">
        <v>347</v>
      </c>
      <c r="G117" s="129" t="s">
        <v>25</v>
      </c>
      <c r="H117" s="129" t="s">
        <v>113</v>
      </c>
      <c r="I117" s="77" t="s">
        <v>111</v>
      </c>
      <c r="J117" s="77" t="s">
        <v>27</v>
      </c>
      <c r="K117" s="77" t="s">
        <v>112</v>
      </c>
      <c r="L117" s="77">
        <v>2</v>
      </c>
      <c r="N117" s="77">
        <v>1</v>
      </c>
      <c r="O117" s="77">
        <v>0.85</v>
      </c>
      <c r="P117" s="77">
        <v>0.7</v>
      </c>
      <c r="Q117" s="16">
        <f t="shared" si="3"/>
        <v>0.77499999999999991</v>
      </c>
      <c r="R117" s="77">
        <v>14.7</v>
      </c>
      <c r="S117" s="77">
        <v>107</v>
      </c>
      <c r="T117" s="16">
        <f t="shared" si="4"/>
        <v>33</v>
      </c>
      <c r="U117" s="77">
        <v>138</v>
      </c>
      <c r="V117" s="16">
        <f t="shared" si="5"/>
        <v>4554</v>
      </c>
      <c r="W117" s="77">
        <v>4</v>
      </c>
      <c r="X117" s="77" t="s">
        <v>35</v>
      </c>
      <c r="Y117" s="77" t="s">
        <v>55</v>
      </c>
      <c r="Z117" s="77" t="s">
        <v>74</v>
      </c>
      <c r="AA117" s="77" t="s">
        <v>82</v>
      </c>
      <c r="AB117" s="129" t="s">
        <v>330</v>
      </c>
    </row>
    <row r="118" spans="1:28" x14ac:dyDescent="0.15">
      <c r="A118" s="129" t="s">
        <v>48</v>
      </c>
      <c r="B118" s="129" t="s">
        <v>326</v>
      </c>
      <c r="C118" s="129">
        <v>2020</v>
      </c>
      <c r="D118" s="130" t="s">
        <v>327</v>
      </c>
      <c r="E118" s="129" t="s">
        <v>364</v>
      </c>
      <c r="F118" s="129" t="s">
        <v>347</v>
      </c>
      <c r="G118" s="129" t="s">
        <v>25</v>
      </c>
      <c r="H118" s="129" t="s">
        <v>113</v>
      </c>
      <c r="I118" s="77" t="s">
        <v>111</v>
      </c>
      <c r="J118" s="77" t="s">
        <v>27</v>
      </c>
      <c r="K118" s="77" t="s">
        <v>112</v>
      </c>
      <c r="L118" s="77">
        <v>3</v>
      </c>
      <c r="N118" s="77">
        <v>1</v>
      </c>
      <c r="O118" s="77">
        <v>0.85</v>
      </c>
      <c r="P118" s="77">
        <v>0.85</v>
      </c>
      <c r="Q118" s="16">
        <f t="shared" si="3"/>
        <v>0.85</v>
      </c>
      <c r="R118" s="77">
        <v>15.2</v>
      </c>
      <c r="S118" s="77">
        <v>113.5</v>
      </c>
      <c r="T118" s="16">
        <f t="shared" si="4"/>
        <v>30</v>
      </c>
      <c r="U118" s="77">
        <v>138</v>
      </c>
      <c r="V118" s="16">
        <f t="shared" si="5"/>
        <v>4140</v>
      </c>
      <c r="W118" s="77">
        <v>4</v>
      </c>
      <c r="X118" s="77" t="s">
        <v>35</v>
      </c>
      <c r="Y118" s="77" t="s">
        <v>55</v>
      </c>
      <c r="Z118" s="77" t="s">
        <v>74</v>
      </c>
      <c r="AA118" s="77" t="s">
        <v>82</v>
      </c>
      <c r="AB118" s="129" t="s">
        <v>330</v>
      </c>
    </row>
    <row r="119" spans="1:28" x14ac:dyDescent="0.15">
      <c r="A119" s="129" t="s">
        <v>48</v>
      </c>
      <c r="B119" s="129" t="s">
        <v>326</v>
      </c>
      <c r="C119" s="129">
        <v>2020</v>
      </c>
      <c r="D119" s="130" t="s">
        <v>327</v>
      </c>
      <c r="E119" s="129" t="s">
        <v>364</v>
      </c>
      <c r="F119" s="129" t="s">
        <v>347</v>
      </c>
      <c r="G119" s="129" t="s">
        <v>25</v>
      </c>
      <c r="H119" s="129" t="s">
        <v>113</v>
      </c>
      <c r="I119" s="77" t="s">
        <v>111</v>
      </c>
      <c r="J119" s="77" t="s">
        <v>27</v>
      </c>
      <c r="K119" s="77" t="s">
        <v>112</v>
      </c>
      <c r="L119" s="77">
        <v>1</v>
      </c>
      <c r="N119" s="77">
        <v>4</v>
      </c>
      <c r="O119" s="77">
        <v>0.75</v>
      </c>
      <c r="P119" s="77">
        <v>0.8</v>
      </c>
      <c r="Q119" s="16">
        <f t="shared" si="3"/>
        <v>0.77500000000000002</v>
      </c>
      <c r="R119" s="77">
        <v>16</v>
      </c>
      <c r="S119" s="77">
        <v>97</v>
      </c>
      <c r="T119" s="16">
        <f t="shared" si="4"/>
        <v>36</v>
      </c>
      <c r="U119" s="77">
        <v>398</v>
      </c>
      <c r="V119" s="16">
        <f t="shared" si="5"/>
        <v>3582</v>
      </c>
      <c r="W119" s="77">
        <v>4</v>
      </c>
      <c r="X119" s="77" t="s">
        <v>35</v>
      </c>
      <c r="Y119" s="77" t="s">
        <v>55</v>
      </c>
      <c r="Z119" s="77" t="s">
        <v>74</v>
      </c>
      <c r="AA119" s="77" t="s">
        <v>82</v>
      </c>
      <c r="AB119" s="129" t="s">
        <v>330</v>
      </c>
    </row>
    <row r="120" spans="1:28" x14ac:dyDescent="0.15">
      <c r="A120" s="129" t="s">
        <v>48</v>
      </c>
      <c r="B120" s="129" t="s">
        <v>326</v>
      </c>
      <c r="C120" s="129">
        <v>2020</v>
      </c>
      <c r="D120" s="130" t="s">
        <v>327</v>
      </c>
      <c r="E120" s="129" t="s">
        <v>364</v>
      </c>
      <c r="F120" s="129" t="s">
        <v>347</v>
      </c>
      <c r="G120" s="129" t="s">
        <v>25</v>
      </c>
      <c r="H120" s="129" t="s">
        <v>113</v>
      </c>
      <c r="I120" s="77" t="s">
        <v>111</v>
      </c>
      <c r="J120" s="77" t="s">
        <v>27</v>
      </c>
      <c r="K120" s="77" t="s">
        <v>112</v>
      </c>
      <c r="L120" s="77">
        <v>2</v>
      </c>
      <c r="N120" s="77">
        <v>4</v>
      </c>
      <c r="O120" s="77">
        <v>0.8</v>
      </c>
      <c r="P120" s="77">
        <v>0.8</v>
      </c>
      <c r="Q120" s="16">
        <f t="shared" si="3"/>
        <v>0.8</v>
      </c>
      <c r="R120" s="77">
        <v>16.5</v>
      </c>
      <c r="S120" s="77">
        <v>96</v>
      </c>
      <c r="T120" s="16">
        <f t="shared" si="4"/>
        <v>36</v>
      </c>
      <c r="U120" s="77">
        <v>398</v>
      </c>
      <c r="V120" s="16">
        <f t="shared" si="5"/>
        <v>3582</v>
      </c>
      <c r="W120" s="77">
        <v>4</v>
      </c>
      <c r="X120" s="77" t="s">
        <v>35</v>
      </c>
      <c r="Y120" s="77" t="s">
        <v>55</v>
      </c>
      <c r="Z120" s="77" t="s">
        <v>74</v>
      </c>
      <c r="AA120" s="77" t="s">
        <v>82</v>
      </c>
      <c r="AB120" s="129" t="s">
        <v>330</v>
      </c>
    </row>
    <row r="121" spans="1:28" x14ac:dyDescent="0.15">
      <c r="A121" s="129" t="s">
        <v>48</v>
      </c>
      <c r="B121" s="129" t="s">
        <v>326</v>
      </c>
      <c r="C121" s="129">
        <v>2020</v>
      </c>
      <c r="D121" s="130" t="s">
        <v>327</v>
      </c>
      <c r="E121" s="129" t="s">
        <v>364</v>
      </c>
      <c r="F121" s="129" t="s">
        <v>347</v>
      </c>
      <c r="G121" s="129" t="s">
        <v>25</v>
      </c>
      <c r="H121" s="129" t="s">
        <v>113</v>
      </c>
      <c r="I121" s="77" t="s">
        <v>111</v>
      </c>
      <c r="J121" s="77" t="s">
        <v>27</v>
      </c>
      <c r="K121" s="77" t="s">
        <v>112</v>
      </c>
      <c r="L121" s="77">
        <v>3</v>
      </c>
      <c r="N121" s="77">
        <v>4</v>
      </c>
      <c r="O121" s="77">
        <v>0.8</v>
      </c>
      <c r="P121" s="77">
        <v>0.8</v>
      </c>
      <c r="Q121" s="16">
        <f t="shared" si="3"/>
        <v>0.8</v>
      </c>
      <c r="R121" s="77">
        <v>17.100000000000001</v>
      </c>
      <c r="S121" s="77">
        <v>101.5</v>
      </c>
      <c r="T121" s="16">
        <f t="shared" si="4"/>
        <v>33</v>
      </c>
      <c r="U121" s="77">
        <v>398</v>
      </c>
      <c r="V121" s="16">
        <f t="shared" si="5"/>
        <v>3283.5</v>
      </c>
      <c r="W121" s="77">
        <v>4</v>
      </c>
      <c r="X121" s="77" t="s">
        <v>35</v>
      </c>
      <c r="Y121" s="77" t="s">
        <v>55</v>
      </c>
      <c r="Z121" s="77" t="s">
        <v>74</v>
      </c>
      <c r="AA121" s="77" t="s">
        <v>82</v>
      </c>
      <c r="AB121" s="129" t="s">
        <v>330</v>
      </c>
    </row>
    <row r="122" spans="1:28" x14ac:dyDescent="0.15">
      <c r="A122" s="129" t="s">
        <v>48</v>
      </c>
      <c r="B122" s="129" t="s">
        <v>326</v>
      </c>
      <c r="C122" s="129">
        <v>2020</v>
      </c>
      <c r="D122" s="130" t="s">
        <v>327</v>
      </c>
      <c r="E122" s="129" t="s">
        <v>365</v>
      </c>
      <c r="F122" s="129" t="s">
        <v>347</v>
      </c>
      <c r="G122" s="129" t="s">
        <v>25</v>
      </c>
      <c r="H122" s="129" t="s">
        <v>166</v>
      </c>
      <c r="I122" s="77" t="s">
        <v>111</v>
      </c>
      <c r="J122" s="77" t="s">
        <v>27</v>
      </c>
      <c r="K122" s="77" t="s">
        <v>112</v>
      </c>
      <c r="L122" s="77">
        <v>1</v>
      </c>
      <c r="N122" s="77">
        <v>1</v>
      </c>
      <c r="O122" s="77">
        <v>0.3</v>
      </c>
      <c r="P122" s="77">
        <v>0.5</v>
      </c>
      <c r="Q122" s="16">
        <f t="shared" si="3"/>
        <v>0.4</v>
      </c>
      <c r="R122" s="77">
        <v>18.5</v>
      </c>
      <c r="S122" s="77">
        <v>164</v>
      </c>
      <c r="T122" s="16">
        <f t="shared" si="4"/>
        <v>18</v>
      </c>
      <c r="U122" s="77">
        <v>158</v>
      </c>
      <c r="V122" s="16">
        <f t="shared" si="5"/>
        <v>2844</v>
      </c>
      <c r="W122" s="77">
        <v>6</v>
      </c>
      <c r="X122" s="77" t="s">
        <v>28</v>
      </c>
      <c r="Y122" s="77" t="s">
        <v>55</v>
      </c>
      <c r="Z122" s="77" t="s">
        <v>74</v>
      </c>
      <c r="AA122" s="77" t="s">
        <v>36</v>
      </c>
      <c r="AB122" s="129" t="s">
        <v>330</v>
      </c>
    </row>
    <row r="123" spans="1:28" x14ac:dyDescent="0.15">
      <c r="A123" s="129" t="s">
        <v>48</v>
      </c>
      <c r="B123" s="129" t="s">
        <v>326</v>
      </c>
      <c r="C123" s="129">
        <v>2020</v>
      </c>
      <c r="D123" s="130" t="s">
        <v>327</v>
      </c>
      <c r="E123" s="129" t="s">
        <v>365</v>
      </c>
      <c r="F123" s="129" t="s">
        <v>347</v>
      </c>
      <c r="G123" s="129" t="s">
        <v>25</v>
      </c>
      <c r="H123" s="129" t="s">
        <v>166</v>
      </c>
      <c r="I123" s="77" t="s">
        <v>111</v>
      </c>
      <c r="J123" s="77" t="s">
        <v>27</v>
      </c>
      <c r="K123" s="77" t="s">
        <v>112</v>
      </c>
      <c r="L123" s="77">
        <v>2</v>
      </c>
      <c r="N123" s="77">
        <v>1</v>
      </c>
      <c r="O123" s="77">
        <v>0.2</v>
      </c>
      <c r="P123" s="77">
        <v>0.5</v>
      </c>
      <c r="Q123" s="16">
        <f t="shared" si="3"/>
        <v>0.35</v>
      </c>
      <c r="R123" s="77">
        <v>18.5</v>
      </c>
      <c r="S123" s="77">
        <v>156.5</v>
      </c>
      <c r="T123" s="16">
        <f t="shared" si="4"/>
        <v>18</v>
      </c>
      <c r="U123" s="77">
        <v>158</v>
      </c>
      <c r="V123" s="16">
        <f t="shared" si="5"/>
        <v>2844</v>
      </c>
      <c r="W123" s="77">
        <v>6</v>
      </c>
      <c r="X123" s="77" t="s">
        <v>28</v>
      </c>
      <c r="Y123" s="77" t="s">
        <v>55</v>
      </c>
      <c r="Z123" s="77" t="s">
        <v>74</v>
      </c>
      <c r="AA123" s="77" t="s">
        <v>36</v>
      </c>
      <c r="AB123" s="129" t="s">
        <v>330</v>
      </c>
    </row>
    <row r="124" spans="1:28" x14ac:dyDescent="0.15">
      <c r="A124" s="129" t="s">
        <v>48</v>
      </c>
      <c r="B124" s="129" t="s">
        <v>326</v>
      </c>
      <c r="C124" s="129">
        <v>2020</v>
      </c>
      <c r="D124" s="130" t="s">
        <v>327</v>
      </c>
      <c r="E124" s="129" t="s">
        <v>365</v>
      </c>
      <c r="F124" s="129" t="s">
        <v>347</v>
      </c>
      <c r="G124" s="129" t="s">
        <v>25</v>
      </c>
      <c r="H124" s="129" t="s">
        <v>166</v>
      </c>
      <c r="I124" s="77" t="s">
        <v>111</v>
      </c>
      <c r="J124" s="77" t="s">
        <v>27</v>
      </c>
      <c r="K124" s="77" t="s">
        <v>112</v>
      </c>
      <c r="L124" s="77">
        <v>3</v>
      </c>
      <c r="N124" s="77">
        <v>1</v>
      </c>
      <c r="O124" s="77">
        <v>0.5</v>
      </c>
      <c r="P124" s="77">
        <v>0.5</v>
      </c>
      <c r="Q124" s="16">
        <f t="shared" si="3"/>
        <v>0.5</v>
      </c>
      <c r="R124" s="77">
        <v>18</v>
      </c>
      <c r="S124" s="77">
        <v>156</v>
      </c>
      <c r="T124" s="16">
        <f t="shared" si="4"/>
        <v>18</v>
      </c>
      <c r="U124" s="77">
        <v>158</v>
      </c>
      <c r="V124" s="16">
        <f t="shared" si="5"/>
        <v>2844</v>
      </c>
      <c r="W124" s="77">
        <v>6</v>
      </c>
      <c r="X124" s="77" t="s">
        <v>28</v>
      </c>
      <c r="Y124" s="77" t="s">
        <v>55</v>
      </c>
      <c r="Z124" s="77" t="s">
        <v>74</v>
      </c>
      <c r="AA124" s="77" t="s">
        <v>36</v>
      </c>
      <c r="AB124" s="129" t="s">
        <v>330</v>
      </c>
    </row>
    <row r="125" spans="1:28" x14ac:dyDescent="0.15">
      <c r="A125" s="129" t="s">
        <v>48</v>
      </c>
      <c r="B125" s="129" t="s">
        <v>326</v>
      </c>
      <c r="C125" s="129">
        <v>2020</v>
      </c>
      <c r="D125" s="130" t="s">
        <v>327</v>
      </c>
      <c r="E125" s="129" t="s">
        <v>365</v>
      </c>
      <c r="F125" s="129" t="s">
        <v>347</v>
      </c>
      <c r="G125" s="129" t="s">
        <v>25</v>
      </c>
      <c r="H125" s="129" t="s">
        <v>113</v>
      </c>
      <c r="I125" s="77" t="s">
        <v>111</v>
      </c>
      <c r="J125" s="77" t="s">
        <v>27</v>
      </c>
      <c r="K125" s="77" t="s">
        <v>112</v>
      </c>
      <c r="L125" s="77">
        <v>1</v>
      </c>
      <c r="N125" s="77">
        <v>1</v>
      </c>
      <c r="O125" s="77">
        <v>0.2</v>
      </c>
      <c r="P125" s="77">
        <v>0.2</v>
      </c>
      <c r="Q125" s="16">
        <f t="shared" si="3"/>
        <v>0.2</v>
      </c>
      <c r="R125" s="77">
        <v>13.6</v>
      </c>
      <c r="S125" s="77">
        <v>183.5</v>
      </c>
      <c r="T125" s="16">
        <f t="shared" si="4"/>
        <v>16</v>
      </c>
      <c r="U125" s="77">
        <v>158</v>
      </c>
      <c r="V125" s="16">
        <f t="shared" si="5"/>
        <v>2528</v>
      </c>
      <c r="W125" s="77">
        <v>6</v>
      </c>
      <c r="X125" s="77" t="s">
        <v>28</v>
      </c>
      <c r="Y125" s="77" t="s">
        <v>55</v>
      </c>
      <c r="Z125" s="77" t="s">
        <v>74</v>
      </c>
      <c r="AA125" s="77" t="s">
        <v>36</v>
      </c>
      <c r="AB125" s="129" t="s">
        <v>330</v>
      </c>
    </row>
    <row r="126" spans="1:28" x14ac:dyDescent="0.15">
      <c r="A126" s="129" t="s">
        <v>48</v>
      </c>
      <c r="B126" s="129" t="s">
        <v>326</v>
      </c>
      <c r="C126" s="129">
        <v>2020</v>
      </c>
      <c r="D126" s="130" t="s">
        <v>327</v>
      </c>
      <c r="E126" s="129" t="s">
        <v>365</v>
      </c>
      <c r="F126" s="129" t="s">
        <v>347</v>
      </c>
      <c r="G126" s="129" t="s">
        <v>25</v>
      </c>
      <c r="H126" s="129" t="s">
        <v>113</v>
      </c>
      <c r="I126" s="77" t="s">
        <v>111</v>
      </c>
      <c r="J126" s="77" t="s">
        <v>27</v>
      </c>
      <c r="K126" s="77" t="s">
        <v>112</v>
      </c>
      <c r="L126" s="77">
        <v>2</v>
      </c>
      <c r="N126" s="77">
        <v>1</v>
      </c>
      <c r="O126" s="77">
        <v>0.2</v>
      </c>
      <c r="P126" s="77">
        <v>0.2</v>
      </c>
      <c r="Q126" s="16">
        <f t="shared" si="3"/>
        <v>0.2</v>
      </c>
      <c r="R126" s="77">
        <v>13.7</v>
      </c>
      <c r="S126" s="77">
        <v>179.5</v>
      </c>
      <c r="T126" s="16">
        <f t="shared" si="4"/>
        <v>18</v>
      </c>
      <c r="U126" s="77">
        <v>158</v>
      </c>
      <c r="V126" s="16">
        <f t="shared" si="5"/>
        <v>2844</v>
      </c>
      <c r="W126" s="77">
        <v>6</v>
      </c>
      <c r="X126" s="77" t="s">
        <v>28</v>
      </c>
      <c r="Y126" s="77" t="s">
        <v>55</v>
      </c>
      <c r="Z126" s="77" t="s">
        <v>74</v>
      </c>
      <c r="AA126" s="77" t="s">
        <v>36</v>
      </c>
      <c r="AB126" s="129" t="s">
        <v>330</v>
      </c>
    </row>
    <row r="127" spans="1:28" x14ac:dyDescent="0.15">
      <c r="A127" s="129" t="s">
        <v>48</v>
      </c>
      <c r="B127" s="129" t="s">
        <v>326</v>
      </c>
      <c r="C127" s="129">
        <v>2020</v>
      </c>
      <c r="D127" s="130" t="s">
        <v>327</v>
      </c>
      <c r="E127" s="129" t="s">
        <v>365</v>
      </c>
      <c r="F127" s="129" t="s">
        <v>347</v>
      </c>
      <c r="G127" s="129" t="s">
        <v>25</v>
      </c>
      <c r="H127" s="129" t="s">
        <v>113</v>
      </c>
      <c r="I127" s="77" t="s">
        <v>111</v>
      </c>
      <c r="J127" s="77" t="s">
        <v>27</v>
      </c>
      <c r="K127" s="77" t="s">
        <v>112</v>
      </c>
      <c r="L127" s="77">
        <v>3</v>
      </c>
      <c r="N127" s="77">
        <v>1</v>
      </c>
      <c r="O127" s="77">
        <v>0.2</v>
      </c>
      <c r="P127" s="77">
        <v>0.2</v>
      </c>
      <c r="Q127" s="16">
        <f t="shared" si="3"/>
        <v>0.2</v>
      </c>
      <c r="R127" s="77">
        <v>15</v>
      </c>
      <c r="S127" s="77">
        <v>177.5</v>
      </c>
      <c r="T127" s="16">
        <f t="shared" si="4"/>
        <v>18</v>
      </c>
      <c r="U127" s="77">
        <v>158</v>
      </c>
      <c r="V127" s="16">
        <f t="shared" si="5"/>
        <v>2844</v>
      </c>
      <c r="W127" s="77">
        <v>6</v>
      </c>
      <c r="X127" s="77" t="s">
        <v>28</v>
      </c>
      <c r="Y127" s="77" t="s">
        <v>55</v>
      </c>
      <c r="Z127" s="77" t="s">
        <v>74</v>
      </c>
      <c r="AA127" s="77" t="s">
        <v>36</v>
      </c>
      <c r="AB127" s="129" t="s">
        <v>330</v>
      </c>
    </row>
    <row r="128" spans="1:28" x14ac:dyDescent="0.15">
      <c r="A128" s="129" t="s">
        <v>48</v>
      </c>
      <c r="B128" s="129" t="s">
        <v>326</v>
      </c>
      <c r="C128" s="129">
        <v>2020</v>
      </c>
      <c r="D128" s="130" t="s">
        <v>327</v>
      </c>
      <c r="E128" s="129" t="s">
        <v>365</v>
      </c>
      <c r="F128" s="129" t="s">
        <v>347</v>
      </c>
      <c r="G128" s="129" t="s">
        <v>25</v>
      </c>
      <c r="H128" s="129" t="s">
        <v>113</v>
      </c>
      <c r="I128" s="77" t="s">
        <v>111</v>
      </c>
      <c r="J128" s="77" t="s">
        <v>27</v>
      </c>
      <c r="K128" s="77" t="s">
        <v>112</v>
      </c>
      <c r="L128" s="77">
        <v>1</v>
      </c>
      <c r="N128" s="77">
        <v>4</v>
      </c>
      <c r="O128" s="77">
        <v>0.8</v>
      </c>
      <c r="P128" s="77">
        <v>0.75</v>
      </c>
      <c r="Q128" s="16">
        <f t="shared" si="3"/>
        <v>0.77500000000000002</v>
      </c>
      <c r="R128" s="77">
        <v>15.5</v>
      </c>
      <c r="S128" s="77">
        <v>85</v>
      </c>
      <c r="T128" s="16">
        <f t="shared" si="4"/>
        <v>36</v>
      </c>
      <c r="U128" s="77">
        <v>498</v>
      </c>
      <c r="V128" s="16">
        <f t="shared" si="5"/>
        <v>4482</v>
      </c>
      <c r="W128" s="77">
        <v>6</v>
      </c>
      <c r="X128" s="77" t="s">
        <v>28</v>
      </c>
      <c r="Y128" s="77" t="s">
        <v>55</v>
      </c>
      <c r="Z128" s="77" t="s">
        <v>74</v>
      </c>
      <c r="AA128" s="77" t="s">
        <v>36</v>
      </c>
      <c r="AB128" s="129" t="s">
        <v>330</v>
      </c>
    </row>
    <row r="129" spans="1:28" x14ac:dyDescent="0.15">
      <c r="A129" s="129" t="s">
        <v>48</v>
      </c>
      <c r="B129" s="129" t="s">
        <v>326</v>
      </c>
      <c r="C129" s="129">
        <v>2020</v>
      </c>
      <c r="D129" s="130" t="s">
        <v>327</v>
      </c>
      <c r="E129" s="129" t="s">
        <v>365</v>
      </c>
      <c r="F129" s="129" t="s">
        <v>347</v>
      </c>
      <c r="G129" s="129" t="s">
        <v>25</v>
      </c>
      <c r="H129" s="129" t="s">
        <v>113</v>
      </c>
      <c r="I129" s="77" t="s">
        <v>111</v>
      </c>
      <c r="J129" s="77" t="s">
        <v>27</v>
      </c>
      <c r="K129" s="77" t="s">
        <v>112</v>
      </c>
      <c r="L129" s="77">
        <v>2</v>
      </c>
      <c r="N129" s="77">
        <v>4</v>
      </c>
      <c r="O129" s="77">
        <v>0.6</v>
      </c>
      <c r="P129" s="77">
        <v>0.55000000000000004</v>
      </c>
      <c r="Q129" s="16">
        <f t="shared" si="3"/>
        <v>0.57499999999999996</v>
      </c>
      <c r="R129" s="77">
        <v>15</v>
      </c>
      <c r="S129" s="77">
        <v>88.5</v>
      </c>
      <c r="T129" s="16">
        <f t="shared" si="4"/>
        <v>36</v>
      </c>
      <c r="U129" s="77">
        <v>498</v>
      </c>
      <c r="V129" s="16">
        <f t="shared" si="5"/>
        <v>4482</v>
      </c>
      <c r="W129" s="77">
        <v>6</v>
      </c>
      <c r="X129" s="77" t="s">
        <v>28</v>
      </c>
      <c r="Y129" s="77" t="s">
        <v>55</v>
      </c>
      <c r="Z129" s="77" t="s">
        <v>74</v>
      </c>
      <c r="AA129" s="77" t="s">
        <v>36</v>
      </c>
      <c r="AB129" s="129" t="s">
        <v>330</v>
      </c>
    </row>
    <row r="130" spans="1:28" x14ac:dyDescent="0.15">
      <c r="A130" s="129" t="s">
        <v>48</v>
      </c>
      <c r="B130" s="129" t="s">
        <v>326</v>
      </c>
      <c r="C130" s="129">
        <v>2020</v>
      </c>
      <c r="D130" s="130" t="s">
        <v>327</v>
      </c>
      <c r="E130" s="129" t="s">
        <v>365</v>
      </c>
      <c r="F130" s="129" t="s">
        <v>347</v>
      </c>
      <c r="G130" s="129" t="s">
        <v>25</v>
      </c>
      <c r="H130" s="129" t="s">
        <v>113</v>
      </c>
      <c r="I130" s="77" t="s">
        <v>111</v>
      </c>
      <c r="J130" s="77" t="s">
        <v>27</v>
      </c>
      <c r="K130" s="77" t="s">
        <v>112</v>
      </c>
      <c r="L130" s="77">
        <v>3</v>
      </c>
      <c r="N130" s="77">
        <v>4</v>
      </c>
      <c r="O130" s="77">
        <v>0.6</v>
      </c>
      <c r="P130" s="77">
        <v>0.75</v>
      </c>
      <c r="Q130" s="16">
        <f t="shared" si="3"/>
        <v>0.67500000000000004</v>
      </c>
      <c r="R130" s="77">
        <v>14.8</v>
      </c>
      <c r="S130" s="77">
        <v>90.5</v>
      </c>
      <c r="T130" s="16">
        <f t="shared" si="4"/>
        <v>36</v>
      </c>
      <c r="U130" s="77">
        <v>498</v>
      </c>
      <c r="V130" s="16">
        <f t="shared" si="5"/>
        <v>4482</v>
      </c>
      <c r="W130" s="77">
        <v>6</v>
      </c>
      <c r="X130" s="77" t="s">
        <v>28</v>
      </c>
      <c r="Y130" s="77" t="s">
        <v>55</v>
      </c>
      <c r="Z130" s="77" t="s">
        <v>74</v>
      </c>
      <c r="AA130" s="77" t="s">
        <v>36</v>
      </c>
      <c r="AB130" s="129" t="s">
        <v>330</v>
      </c>
    </row>
    <row r="131" spans="1:28" x14ac:dyDescent="0.15">
      <c r="A131" s="129"/>
      <c r="B131" s="129"/>
      <c r="C131" s="129"/>
      <c r="D131" s="130"/>
      <c r="E131" s="129"/>
      <c r="F131" s="129"/>
      <c r="G131" s="129"/>
      <c r="H131" s="129"/>
      <c r="AB131" s="129"/>
    </row>
    <row r="132" spans="1:28" x14ac:dyDescent="0.15">
      <c r="A132" s="129"/>
      <c r="B132" s="129"/>
      <c r="C132" s="129"/>
      <c r="D132" s="130"/>
      <c r="E132" s="129"/>
      <c r="F132" s="129"/>
      <c r="G132" s="129"/>
      <c r="H132" s="129"/>
      <c r="AB132" s="129"/>
    </row>
    <row r="133" spans="1:28" x14ac:dyDescent="0.15">
      <c r="A133" s="129"/>
      <c r="B133" s="129"/>
      <c r="C133" s="129"/>
      <c r="D133" s="130"/>
      <c r="E133" s="129"/>
      <c r="F133" s="129"/>
      <c r="G133" s="129"/>
      <c r="H133" s="129"/>
      <c r="AB133" s="129"/>
    </row>
    <row r="134" spans="1:28" x14ac:dyDescent="0.15">
      <c r="A134" s="129"/>
      <c r="B134" s="129"/>
      <c r="C134" s="129"/>
      <c r="D134" s="130"/>
      <c r="E134" s="129"/>
      <c r="F134" s="129"/>
      <c r="G134" s="129"/>
      <c r="H134" s="129"/>
      <c r="AB134" s="129"/>
    </row>
    <row r="135" spans="1:28" x14ac:dyDescent="0.15">
      <c r="A135" s="129"/>
      <c r="B135" s="129"/>
      <c r="C135" s="129"/>
      <c r="D135" s="130"/>
      <c r="E135" s="129"/>
      <c r="F135" s="129"/>
      <c r="G135" s="129"/>
      <c r="H135" s="129"/>
      <c r="AB135" s="129"/>
    </row>
    <row r="136" spans="1:28" x14ac:dyDescent="0.15">
      <c r="A136" s="129"/>
      <c r="B136" s="129"/>
      <c r="C136" s="129"/>
      <c r="D136" s="130"/>
      <c r="E136" s="129"/>
      <c r="F136" s="129"/>
      <c r="G136" s="129"/>
      <c r="H136" s="129"/>
      <c r="AB136" s="129"/>
    </row>
    <row r="137" spans="1:28" x14ac:dyDescent="0.15">
      <c r="A137" s="129"/>
      <c r="B137" s="129"/>
      <c r="C137" s="129"/>
      <c r="D137" s="130"/>
      <c r="E137" s="129"/>
      <c r="F137" s="129"/>
      <c r="G137" s="129"/>
      <c r="H137" s="129"/>
      <c r="AB137" s="129"/>
    </row>
    <row r="138" spans="1:28" x14ac:dyDescent="0.15">
      <c r="A138" s="129"/>
      <c r="B138" s="129"/>
      <c r="C138" s="129"/>
      <c r="D138" s="130"/>
      <c r="E138" s="129"/>
      <c r="F138" s="129"/>
      <c r="G138" s="129"/>
      <c r="H138" s="129"/>
      <c r="AB138" s="129"/>
    </row>
    <row r="139" spans="1:28" x14ac:dyDescent="0.15">
      <c r="A139" s="129"/>
      <c r="B139" s="129"/>
      <c r="C139" s="129"/>
      <c r="D139" s="130"/>
      <c r="E139" s="129"/>
      <c r="F139" s="129"/>
      <c r="G139" s="129"/>
      <c r="H139" s="129"/>
      <c r="AB139" s="129"/>
    </row>
    <row r="140" spans="1:28" x14ac:dyDescent="0.15">
      <c r="A140" s="129"/>
      <c r="B140" s="129"/>
      <c r="C140" s="129"/>
      <c r="D140" s="130"/>
      <c r="E140" s="129"/>
      <c r="F140" s="129"/>
      <c r="G140" s="129"/>
      <c r="H140" s="129"/>
      <c r="AB140" s="129"/>
    </row>
    <row r="141" spans="1:28" x14ac:dyDescent="0.15">
      <c r="A141" s="129"/>
      <c r="B141" s="129"/>
      <c r="C141" s="129"/>
      <c r="D141" s="130"/>
      <c r="E141" s="129"/>
      <c r="F141" s="129"/>
      <c r="G141" s="129"/>
      <c r="H141" s="129"/>
      <c r="AB141" s="129"/>
    </row>
    <row r="142" spans="1:28" x14ac:dyDescent="0.15">
      <c r="A142" s="129"/>
      <c r="B142" s="129"/>
      <c r="C142" s="129"/>
      <c r="D142" s="130"/>
      <c r="E142" s="129"/>
      <c r="F142" s="129"/>
      <c r="G142" s="129"/>
      <c r="H142" s="129"/>
      <c r="AB142" s="129"/>
    </row>
    <row r="143" spans="1:28" x14ac:dyDescent="0.15">
      <c r="A143" s="129"/>
      <c r="B143" s="129"/>
      <c r="C143" s="129"/>
      <c r="D143" s="130"/>
      <c r="E143" s="129"/>
      <c r="F143" s="129"/>
      <c r="G143" s="129"/>
      <c r="H143" s="129"/>
      <c r="AB143" s="129"/>
    </row>
    <row r="144" spans="1:28" x14ac:dyDescent="0.15">
      <c r="A144" s="129"/>
      <c r="B144" s="129"/>
      <c r="C144" s="129"/>
      <c r="D144" s="130"/>
      <c r="E144" s="129"/>
      <c r="F144" s="129"/>
      <c r="G144" s="129"/>
      <c r="H144" s="129"/>
      <c r="AB144" s="129"/>
    </row>
    <row r="145" spans="1:28" x14ac:dyDescent="0.15">
      <c r="A145" s="129"/>
      <c r="B145" s="129"/>
      <c r="C145" s="129"/>
      <c r="D145" s="130"/>
      <c r="E145" s="129"/>
      <c r="F145" s="129"/>
      <c r="G145" s="129"/>
      <c r="H145" s="129"/>
      <c r="AB145" s="129"/>
    </row>
    <row r="146" spans="1:28" x14ac:dyDescent="0.15">
      <c r="A146" s="129"/>
      <c r="B146" s="129"/>
      <c r="C146" s="129"/>
      <c r="D146" s="130"/>
      <c r="E146" s="129"/>
      <c r="F146" s="129"/>
      <c r="G146" s="129"/>
      <c r="H146" s="129"/>
      <c r="AB146" s="129"/>
    </row>
    <row r="147" spans="1:28" x14ac:dyDescent="0.15">
      <c r="A147" s="129"/>
      <c r="B147" s="129"/>
      <c r="C147" s="129"/>
      <c r="D147" s="130"/>
      <c r="E147" s="129"/>
      <c r="F147" s="129"/>
      <c r="G147" s="129"/>
      <c r="H147" s="129"/>
      <c r="AB147" s="129"/>
    </row>
    <row r="148" spans="1:28" x14ac:dyDescent="0.15">
      <c r="A148" s="129"/>
      <c r="B148" s="129"/>
      <c r="C148" s="129"/>
      <c r="D148" s="130"/>
      <c r="E148" s="129"/>
      <c r="F148" s="129"/>
      <c r="G148" s="129"/>
      <c r="H148" s="129"/>
      <c r="AB148" s="129"/>
    </row>
    <row r="149" spans="1:28" x14ac:dyDescent="0.15">
      <c r="A149" s="129"/>
      <c r="B149" s="129"/>
      <c r="C149" s="129"/>
      <c r="D149" s="130"/>
      <c r="E149" s="129"/>
      <c r="F149" s="129"/>
      <c r="G149" s="129"/>
      <c r="H149" s="129"/>
      <c r="AB149" s="129"/>
    </row>
    <row r="150" spans="1:28" x14ac:dyDescent="0.15">
      <c r="A150" s="129"/>
      <c r="B150" s="129"/>
      <c r="C150" s="129"/>
      <c r="D150" s="130"/>
      <c r="E150" s="129"/>
      <c r="F150" s="129"/>
      <c r="G150" s="129"/>
      <c r="H150" s="129"/>
      <c r="AB150" s="129"/>
    </row>
    <row r="151" spans="1:28" x14ac:dyDescent="0.15">
      <c r="A151" s="129"/>
      <c r="B151" s="129"/>
      <c r="C151" s="129"/>
      <c r="D151" s="130"/>
      <c r="E151" s="129"/>
      <c r="F151" s="129"/>
      <c r="G151" s="129"/>
      <c r="H151" s="129"/>
      <c r="AB151" s="129"/>
    </row>
    <row r="152" spans="1:28" x14ac:dyDescent="0.15">
      <c r="A152" s="129"/>
      <c r="B152" s="129"/>
      <c r="C152" s="129"/>
      <c r="D152" s="130"/>
      <c r="E152" s="129"/>
      <c r="F152" s="129"/>
      <c r="G152" s="129"/>
      <c r="H152" s="129"/>
      <c r="AB152" s="129"/>
    </row>
    <row r="153" spans="1:28" x14ac:dyDescent="0.15">
      <c r="A153" s="129"/>
      <c r="B153" s="129"/>
      <c r="C153" s="129"/>
      <c r="D153" s="130"/>
      <c r="E153" s="129"/>
      <c r="F153" s="129"/>
      <c r="G153" s="129"/>
      <c r="H153" s="129"/>
      <c r="AB153" s="129"/>
    </row>
    <row r="154" spans="1:28" x14ac:dyDescent="0.15">
      <c r="A154" s="129"/>
      <c r="B154" s="129"/>
      <c r="C154" s="129"/>
      <c r="D154" s="130"/>
      <c r="E154" s="129"/>
      <c r="F154" s="129"/>
      <c r="G154" s="129"/>
      <c r="H154" s="129"/>
      <c r="AB154" s="129"/>
    </row>
    <row r="155" spans="1:28" x14ac:dyDescent="0.15">
      <c r="A155" s="129"/>
      <c r="B155" s="129"/>
      <c r="C155" s="129"/>
      <c r="D155" s="130"/>
      <c r="E155" s="129"/>
      <c r="F155" s="129"/>
      <c r="G155" s="129"/>
      <c r="H155" s="129"/>
      <c r="AB155" s="129"/>
    </row>
    <row r="156" spans="1:28" x14ac:dyDescent="0.15">
      <c r="A156" s="129"/>
      <c r="B156" s="129"/>
      <c r="C156" s="129"/>
      <c r="D156" s="130"/>
      <c r="E156" s="129"/>
      <c r="F156" s="129"/>
      <c r="G156" s="129"/>
      <c r="H156" s="129"/>
      <c r="AB156" s="129"/>
    </row>
    <row r="157" spans="1:28" x14ac:dyDescent="0.15">
      <c r="A157" s="129"/>
      <c r="B157" s="129"/>
      <c r="C157" s="129"/>
      <c r="D157" s="130"/>
      <c r="E157" s="129"/>
      <c r="F157" s="129"/>
      <c r="G157" s="129"/>
      <c r="H157" s="129"/>
      <c r="AB157" s="129"/>
    </row>
    <row r="158" spans="1:28" x14ac:dyDescent="0.15">
      <c r="A158" s="129"/>
      <c r="B158" s="129"/>
      <c r="C158" s="129"/>
      <c r="D158" s="130"/>
      <c r="E158" s="129"/>
      <c r="F158" s="129"/>
      <c r="G158" s="129"/>
      <c r="H158" s="129"/>
      <c r="AB158" s="129"/>
    </row>
    <row r="159" spans="1:28" x14ac:dyDescent="0.15">
      <c r="A159" s="129"/>
      <c r="B159" s="129"/>
      <c r="C159" s="129"/>
      <c r="D159" s="130"/>
      <c r="E159" s="129"/>
      <c r="F159" s="129"/>
      <c r="G159" s="129"/>
      <c r="H159" s="129"/>
      <c r="AB159" s="129"/>
    </row>
    <row r="160" spans="1:28" x14ac:dyDescent="0.15">
      <c r="A160" s="129"/>
      <c r="B160" s="129"/>
      <c r="C160" s="129"/>
      <c r="D160" s="130"/>
      <c r="E160" s="129"/>
      <c r="F160" s="129"/>
      <c r="G160" s="129"/>
      <c r="H160" s="129"/>
      <c r="AB160" s="129"/>
    </row>
    <row r="161" spans="1:28" x14ac:dyDescent="0.15">
      <c r="A161" s="129"/>
      <c r="B161" s="129"/>
      <c r="C161" s="129"/>
      <c r="D161" s="130"/>
      <c r="E161" s="129"/>
      <c r="F161" s="129"/>
      <c r="G161" s="129"/>
      <c r="H161" s="129"/>
      <c r="AB161" s="129"/>
    </row>
    <row r="162" spans="1:28" x14ac:dyDescent="0.15">
      <c r="A162" s="129"/>
      <c r="B162" s="129"/>
      <c r="C162" s="129"/>
      <c r="D162" s="130"/>
      <c r="E162" s="129"/>
      <c r="F162" s="129"/>
      <c r="G162" s="129"/>
      <c r="H162" s="129"/>
      <c r="AB162" s="129"/>
    </row>
    <row r="163" spans="1:28" x14ac:dyDescent="0.15">
      <c r="A163" s="129"/>
      <c r="B163" s="129"/>
      <c r="C163" s="129"/>
      <c r="D163" s="130"/>
      <c r="E163" s="129"/>
      <c r="F163" s="129"/>
      <c r="G163" s="129"/>
      <c r="H163" s="129"/>
      <c r="AB163" s="129"/>
    </row>
    <row r="164" spans="1:28" x14ac:dyDescent="0.15">
      <c r="A164" s="129"/>
      <c r="B164" s="129"/>
      <c r="C164" s="129"/>
      <c r="D164" s="130"/>
      <c r="E164" s="129"/>
      <c r="F164" s="129"/>
      <c r="G164" s="129"/>
      <c r="H164" s="129"/>
      <c r="AB164" s="129"/>
    </row>
    <row r="165" spans="1:28" x14ac:dyDescent="0.15">
      <c r="A165" s="129"/>
      <c r="B165" s="129"/>
      <c r="C165" s="129"/>
      <c r="D165" s="130"/>
      <c r="E165" s="129"/>
      <c r="F165" s="129"/>
      <c r="G165" s="129"/>
      <c r="H165" s="129"/>
      <c r="AB165" s="129"/>
    </row>
    <row r="166" spans="1:28" x14ac:dyDescent="0.15">
      <c r="A166" s="129"/>
      <c r="B166" s="129"/>
      <c r="C166" s="129"/>
      <c r="D166" s="130"/>
      <c r="E166" s="129"/>
      <c r="F166" s="129"/>
      <c r="G166" s="129"/>
      <c r="H166" s="129"/>
      <c r="AB166" s="129"/>
    </row>
    <row r="167" spans="1:28" x14ac:dyDescent="0.15">
      <c r="A167" s="129"/>
      <c r="B167" s="129"/>
      <c r="C167" s="129"/>
      <c r="D167" s="130"/>
      <c r="E167" s="129"/>
      <c r="F167" s="129"/>
      <c r="G167" s="129"/>
      <c r="H167" s="129"/>
      <c r="AB167" s="129"/>
    </row>
    <row r="168" spans="1:28" x14ac:dyDescent="0.15">
      <c r="A168" s="129"/>
      <c r="B168" s="129"/>
      <c r="C168" s="129"/>
      <c r="D168" s="130"/>
      <c r="E168" s="129"/>
      <c r="F168" s="129"/>
      <c r="G168" s="129"/>
      <c r="H168" s="129"/>
      <c r="AB168" s="129"/>
    </row>
    <row r="169" spans="1:28" x14ac:dyDescent="0.15">
      <c r="A169" s="129"/>
      <c r="B169" s="129"/>
      <c r="C169" s="129"/>
      <c r="D169" s="130"/>
      <c r="E169" s="129"/>
      <c r="F169" s="129"/>
      <c r="G169" s="129"/>
      <c r="H169" s="129"/>
      <c r="AB169" s="129"/>
    </row>
    <row r="170" spans="1:28" x14ac:dyDescent="0.15">
      <c r="A170" s="129"/>
      <c r="B170" s="129"/>
      <c r="C170" s="129"/>
      <c r="D170" s="130"/>
      <c r="E170" s="129"/>
      <c r="F170" s="129"/>
      <c r="G170" s="129"/>
      <c r="H170" s="129"/>
      <c r="AB170" s="129"/>
    </row>
    <row r="171" spans="1:28" x14ac:dyDescent="0.15">
      <c r="A171" s="129"/>
      <c r="B171" s="129"/>
      <c r="C171" s="129"/>
      <c r="D171" s="130"/>
      <c r="E171" s="129"/>
      <c r="F171" s="129"/>
      <c r="G171" s="129"/>
      <c r="H171" s="129"/>
      <c r="AB171" s="129"/>
    </row>
    <row r="172" spans="1:28" x14ac:dyDescent="0.15">
      <c r="A172" s="129"/>
      <c r="B172" s="129"/>
      <c r="C172" s="129"/>
      <c r="D172" s="130"/>
      <c r="E172" s="129"/>
      <c r="F172" s="129"/>
      <c r="G172" s="129"/>
      <c r="H172" s="129"/>
      <c r="AB172" s="129"/>
    </row>
    <row r="173" spans="1:28" x14ac:dyDescent="0.15">
      <c r="A173" s="129"/>
      <c r="B173" s="129"/>
      <c r="C173" s="129"/>
      <c r="D173" s="130"/>
      <c r="E173" s="129"/>
      <c r="F173" s="129"/>
      <c r="G173" s="129"/>
      <c r="H173" s="129"/>
      <c r="AB173" s="129"/>
    </row>
    <row r="174" spans="1:28" x14ac:dyDescent="0.15">
      <c r="A174" s="129"/>
      <c r="B174" s="129"/>
      <c r="C174" s="129"/>
      <c r="D174" s="130"/>
      <c r="E174" s="129"/>
      <c r="F174" s="129"/>
      <c r="G174" s="129"/>
      <c r="H174" s="129"/>
      <c r="AB174" s="129"/>
    </row>
    <row r="175" spans="1:28" x14ac:dyDescent="0.15">
      <c r="A175" s="129"/>
      <c r="B175" s="129"/>
      <c r="C175" s="129"/>
      <c r="D175" s="130"/>
      <c r="E175" s="129"/>
      <c r="F175" s="129"/>
      <c r="G175" s="129"/>
      <c r="H175" s="129"/>
      <c r="AB175" s="129"/>
    </row>
    <row r="176" spans="1:28" x14ac:dyDescent="0.15">
      <c r="A176" s="129"/>
      <c r="B176" s="129"/>
      <c r="C176" s="129"/>
      <c r="D176" s="130"/>
      <c r="E176" s="129"/>
      <c r="F176" s="129"/>
      <c r="G176" s="129"/>
      <c r="H176" s="129"/>
      <c r="AB176" s="129"/>
    </row>
    <row r="177" spans="1:28" x14ac:dyDescent="0.15">
      <c r="A177" s="129"/>
      <c r="B177" s="129"/>
      <c r="C177" s="129"/>
      <c r="D177" s="130"/>
      <c r="E177" s="129"/>
      <c r="F177" s="129"/>
      <c r="G177" s="129"/>
      <c r="H177" s="129"/>
      <c r="AB177" s="129"/>
    </row>
    <row r="178" spans="1:28" x14ac:dyDescent="0.15">
      <c r="A178" s="129"/>
      <c r="B178" s="129"/>
      <c r="C178" s="129"/>
      <c r="D178" s="130"/>
      <c r="E178" s="129"/>
      <c r="F178" s="129"/>
      <c r="G178" s="129"/>
      <c r="H178" s="129"/>
      <c r="AB178" s="129"/>
    </row>
    <row r="179" spans="1:28" x14ac:dyDescent="0.15">
      <c r="A179" s="129"/>
      <c r="B179" s="129"/>
      <c r="C179" s="129"/>
      <c r="D179" s="130"/>
      <c r="E179" s="129"/>
      <c r="F179" s="129"/>
      <c r="G179" s="129"/>
      <c r="H179" s="129"/>
      <c r="AB179" s="129"/>
    </row>
    <row r="180" spans="1:28" x14ac:dyDescent="0.15">
      <c r="A180" s="129"/>
      <c r="B180" s="129"/>
      <c r="C180" s="129"/>
      <c r="D180" s="130"/>
      <c r="E180" s="129"/>
      <c r="F180" s="129"/>
      <c r="G180" s="129"/>
      <c r="H180" s="129"/>
      <c r="AB180" s="129"/>
    </row>
    <row r="181" spans="1:28" x14ac:dyDescent="0.15">
      <c r="A181" s="129"/>
      <c r="B181" s="129"/>
      <c r="C181" s="129"/>
      <c r="D181" s="130"/>
      <c r="E181" s="129"/>
      <c r="F181" s="129"/>
      <c r="G181" s="129"/>
      <c r="H181" s="129"/>
      <c r="AB181" s="129"/>
    </row>
    <row r="182" spans="1:28" x14ac:dyDescent="0.15">
      <c r="A182" s="129"/>
      <c r="B182" s="129"/>
      <c r="C182" s="129"/>
      <c r="D182" s="130"/>
      <c r="E182" s="129"/>
      <c r="F182" s="129"/>
      <c r="G182" s="129"/>
      <c r="H182" s="129"/>
      <c r="AB182" s="129"/>
    </row>
    <row r="183" spans="1:28" x14ac:dyDescent="0.15">
      <c r="A183" s="129"/>
      <c r="B183" s="129"/>
      <c r="C183" s="129"/>
      <c r="D183" s="130"/>
      <c r="E183" s="129"/>
      <c r="F183" s="129"/>
      <c r="G183" s="129"/>
      <c r="H183" s="129"/>
      <c r="AB183" s="129"/>
    </row>
    <row r="184" spans="1:28" x14ac:dyDescent="0.15">
      <c r="A184" s="129"/>
      <c r="B184" s="129"/>
      <c r="C184" s="129"/>
      <c r="D184" s="130"/>
      <c r="E184" s="129"/>
      <c r="F184" s="129"/>
      <c r="G184" s="129"/>
      <c r="H184" s="129"/>
      <c r="AB184" s="129"/>
    </row>
    <row r="185" spans="1:28" x14ac:dyDescent="0.15">
      <c r="A185" s="129"/>
      <c r="B185" s="129"/>
      <c r="C185" s="129"/>
      <c r="D185" s="130"/>
      <c r="E185" s="129"/>
      <c r="F185" s="129"/>
      <c r="G185" s="129"/>
      <c r="H185" s="129"/>
      <c r="AB185" s="129"/>
    </row>
    <row r="186" spans="1:28" x14ac:dyDescent="0.15">
      <c r="A186" s="129"/>
      <c r="B186" s="129"/>
      <c r="C186" s="129"/>
      <c r="D186" s="130"/>
      <c r="E186" s="129"/>
      <c r="F186" s="129"/>
      <c r="G186" s="129"/>
      <c r="H186" s="129"/>
      <c r="AB186" s="129"/>
    </row>
    <row r="187" spans="1:28" x14ac:dyDescent="0.15">
      <c r="A187" s="129"/>
      <c r="B187" s="129"/>
      <c r="C187" s="129"/>
      <c r="D187" s="130"/>
      <c r="E187" s="129"/>
      <c r="F187" s="129"/>
      <c r="G187" s="129"/>
      <c r="H187" s="129"/>
      <c r="AB187" s="129"/>
    </row>
    <row r="188" spans="1:28" x14ac:dyDescent="0.15">
      <c r="A188" s="129"/>
      <c r="B188" s="129"/>
      <c r="C188" s="129"/>
      <c r="D188" s="130"/>
      <c r="E188" s="129"/>
      <c r="F188" s="129"/>
      <c r="G188" s="129"/>
      <c r="H188" s="129"/>
      <c r="AB188" s="129"/>
    </row>
    <row r="189" spans="1:28" x14ac:dyDescent="0.15">
      <c r="A189" s="129"/>
      <c r="B189" s="129"/>
      <c r="C189" s="129"/>
      <c r="D189" s="130"/>
      <c r="E189" s="129"/>
      <c r="F189" s="129"/>
      <c r="G189" s="129"/>
      <c r="H189" s="129"/>
      <c r="AB189" s="129"/>
    </row>
    <row r="190" spans="1:28" x14ac:dyDescent="0.15">
      <c r="A190" s="129"/>
      <c r="B190" s="129"/>
      <c r="C190" s="129"/>
      <c r="D190" s="130"/>
      <c r="E190" s="129"/>
      <c r="F190" s="129"/>
      <c r="G190" s="129"/>
      <c r="H190" s="129"/>
      <c r="AB190" s="129"/>
    </row>
    <row r="191" spans="1:28" x14ac:dyDescent="0.15">
      <c r="A191" s="129"/>
      <c r="B191" s="129"/>
      <c r="C191" s="129"/>
      <c r="D191" s="130"/>
      <c r="E191" s="129"/>
      <c r="F191" s="129"/>
      <c r="G191" s="129"/>
      <c r="H191" s="129"/>
      <c r="AB191" s="129"/>
    </row>
    <row r="192" spans="1:28" x14ac:dyDescent="0.15">
      <c r="A192" s="129"/>
      <c r="B192" s="129"/>
      <c r="C192" s="129"/>
      <c r="D192" s="130"/>
      <c r="E192" s="129"/>
      <c r="F192" s="129"/>
      <c r="G192" s="129"/>
      <c r="H192" s="129"/>
      <c r="AB192" s="129"/>
    </row>
    <row r="193" spans="1:28" x14ac:dyDescent="0.15">
      <c r="A193" s="129"/>
      <c r="B193" s="129"/>
      <c r="C193" s="129"/>
      <c r="D193" s="130"/>
      <c r="E193" s="129"/>
      <c r="F193" s="129"/>
      <c r="G193" s="129"/>
      <c r="H193" s="129"/>
      <c r="AB193" s="129"/>
    </row>
    <row r="194" spans="1:28" x14ac:dyDescent="0.15">
      <c r="A194" s="129"/>
      <c r="B194" s="129"/>
      <c r="C194" s="129"/>
      <c r="D194" s="130"/>
      <c r="E194" s="129"/>
      <c r="F194" s="129"/>
      <c r="G194" s="129"/>
      <c r="H194" s="129"/>
      <c r="AB194" s="129"/>
    </row>
    <row r="195" spans="1:28" x14ac:dyDescent="0.15">
      <c r="A195" s="129"/>
      <c r="B195" s="129"/>
      <c r="C195" s="129"/>
      <c r="D195" s="130"/>
      <c r="E195" s="129"/>
      <c r="F195" s="129"/>
      <c r="G195" s="129"/>
      <c r="H195" s="129"/>
      <c r="AB195" s="129"/>
    </row>
    <row r="196" spans="1:28" x14ac:dyDescent="0.15">
      <c r="A196" s="129"/>
      <c r="B196" s="129"/>
      <c r="C196" s="129"/>
      <c r="D196" s="130"/>
      <c r="E196" s="129"/>
      <c r="F196" s="129"/>
      <c r="G196" s="129"/>
      <c r="H196" s="129"/>
      <c r="AB196" s="129"/>
    </row>
    <row r="197" spans="1:28" x14ac:dyDescent="0.15">
      <c r="A197" s="129"/>
      <c r="B197" s="129"/>
      <c r="C197" s="129"/>
      <c r="D197" s="130"/>
      <c r="E197" s="129"/>
      <c r="F197" s="129"/>
      <c r="G197" s="129"/>
      <c r="H197" s="129"/>
      <c r="AB197" s="129"/>
    </row>
    <row r="198" spans="1:28" x14ac:dyDescent="0.15">
      <c r="A198" s="129"/>
      <c r="B198" s="129"/>
      <c r="C198" s="129"/>
      <c r="D198" s="130"/>
      <c r="E198" s="129"/>
      <c r="F198" s="129"/>
      <c r="G198" s="129"/>
      <c r="H198" s="129"/>
      <c r="AB198" s="129"/>
    </row>
    <row r="199" spans="1:28" x14ac:dyDescent="0.15">
      <c r="A199" s="129"/>
      <c r="B199" s="129"/>
      <c r="C199" s="129"/>
      <c r="D199" s="130"/>
      <c r="E199" s="129"/>
      <c r="F199" s="129"/>
      <c r="G199" s="129"/>
      <c r="H199" s="129"/>
      <c r="AB199" s="129"/>
    </row>
    <row r="200" spans="1:28" x14ac:dyDescent="0.15">
      <c r="A200" s="129"/>
      <c r="B200" s="129"/>
      <c r="C200" s="129"/>
      <c r="D200" s="130"/>
      <c r="E200" s="129"/>
      <c r="F200" s="129"/>
      <c r="G200" s="129"/>
      <c r="H200" s="129"/>
      <c r="AB200" s="129"/>
    </row>
    <row r="201" spans="1:28" x14ac:dyDescent="0.15">
      <c r="A201" s="129"/>
      <c r="B201" s="129"/>
      <c r="C201" s="129"/>
      <c r="D201" s="130"/>
      <c r="E201" s="129"/>
      <c r="F201" s="129"/>
      <c r="G201" s="129"/>
      <c r="H201" s="129"/>
      <c r="AB201" s="129"/>
    </row>
    <row r="202" spans="1:28" x14ac:dyDescent="0.15">
      <c r="A202" s="129"/>
      <c r="B202" s="129"/>
      <c r="C202" s="129"/>
      <c r="D202" s="130"/>
      <c r="E202" s="129"/>
      <c r="F202" s="129"/>
      <c r="G202" s="129"/>
      <c r="H202" s="129"/>
      <c r="AB202" s="129"/>
    </row>
    <row r="203" spans="1:28" x14ac:dyDescent="0.15">
      <c r="A203" s="129"/>
      <c r="B203" s="129"/>
      <c r="C203" s="129"/>
      <c r="D203" s="130"/>
      <c r="E203" s="129"/>
      <c r="F203" s="129"/>
      <c r="G203" s="129"/>
      <c r="H203" s="129"/>
      <c r="AB203" s="129"/>
    </row>
    <row r="204" spans="1:28" x14ac:dyDescent="0.15">
      <c r="A204" s="129"/>
      <c r="B204" s="129"/>
      <c r="C204" s="129"/>
      <c r="D204" s="130"/>
      <c r="E204" s="129"/>
      <c r="F204" s="129"/>
      <c r="G204" s="129"/>
      <c r="H204" s="129"/>
      <c r="AB204" s="129"/>
    </row>
    <row r="205" spans="1:28" x14ac:dyDescent="0.15">
      <c r="A205" s="129"/>
      <c r="B205" s="129"/>
      <c r="C205" s="129"/>
      <c r="D205" s="130"/>
      <c r="E205" s="129"/>
      <c r="F205" s="129"/>
      <c r="G205" s="129"/>
      <c r="H205" s="129"/>
      <c r="AB205" s="129"/>
    </row>
    <row r="206" spans="1:28" x14ac:dyDescent="0.15">
      <c r="A206" s="129"/>
      <c r="B206" s="129"/>
      <c r="C206" s="129"/>
      <c r="D206" s="130"/>
      <c r="E206" s="129"/>
      <c r="F206" s="129"/>
      <c r="G206" s="129"/>
      <c r="H206" s="129"/>
      <c r="AB206" s="129"/>
    </row>
    <row r="207" spans="1:28" x14ac:dyDescent="0.15">
      <c r="A207" s="129"/>
      <c r="B207" s="129"/>
      <c r="C207" s="129"/>
      <c r="D207" s="130"/>
      <c r="E207" s="129"/>
      <c r="F207" s="129"/>
      <c r="G207" s="129"/>
      <c r="H207" s="129"/>
      <c r="AB207" s="129"/>
    </row>
    <row r="208" spans="1:28" x14ac:dyDescent="0.15">
      <c r="A208" s="129"/>
      <c r="B208" s="129"/>
      <c r="C208" s="129"/>
      <c r="D208" s="130"/>
      <c r="E208" s="129"/>
      <c r="F208" s="129"/>
      <c r="G208" s="129"/>
      <c r="H208" s="129"/>
      <c r="AB208" s="129"/>
    </row>
    <row r="209" spans="1:28" x14ac:dyDescent="0.15">
      <c r="A209" s="129"/>
      <c r="B209" s="129"/>
      <c r="C209" s="129"/>
      <c r="D209" s="130"/>
      <c r="E209" s="129"/>
      <c r="F209" s="129"/>
      <c r="G209" s="129"/>
      <c r="H209" s="129"/>
      <c r="AB209" s="129"/>
    </row>
    <row r="210" spans="1:28" x14ac:dyDescent="0.15">
      <c r="A210" s="129"/>
      <c r="B210" s="129"/>
      <c r="C210" s="129"/>
      <c r="D210" s="130"/>
      <c r="E210" s="129"/>
      <c r="F210" s="129"/>
      <c r="G210" s="129"/>
      <c r="H210" s="129"/>
      <c r="AB210" s="129"/>
    </row>
    <row r="211" spans="1:28" x14ac:dyDescent="0.15">
      <c r="A211" s="129"/>
      <c r="B211" s="129"/>
      <c r="C211" s="129"/>
      <c r="D211" s="130"/>
      <c r="E211" s="129"/>
      <c r="F211" s="129"/>
      <c r="G211" s="129"/>
      <c r="H211" s="129"/>
      <c r="AB211" s="129"/>
    </row>
    <row r="212" spans="1:28" x14ac:dyDescent="0.15">
      <c r="A212" s="129"/>
      <c r="B212" s="129"/>
      <c r="C212" s="129"/>
      <c r="D212" s="130"/>
      <c r="E212" s="129"/>
      <c r="F212" s="129"/>
      <c r="G212" s="129"/>
      <c r="H212" s="129"/>
      <c r="AB212" s="129"/>
    </row>
    <row r="213" spans="1:28" x14ac:dyDescent="0.15">
      <c r="A213" s="129"/>
      <c r="B213" s="129"/>
      <c r="C213" s="129"/>
      <c r="D213" s="130"/>
      <c r="E213" s="129"/>
      <c r="F213" s="129"/>
      <c r="G213" s="129"/>
      <c r="H213" s="129"/>
      <c r="AB213" s="129"/>
    </row>
    <row r="214" spans="1:28" x14ac:dyDescent="0.15">
      <c r="A214" s="129"/>
      <c r="B214" s="129"/>
      <c r="C214" s="129"/>
      <c r="D214" s="130"/>
      <c r="E214" s="129"/>
      <c r="F214" s="129"/>
      <c r="G214" s="129"/>
      <c r="H214" s="129"/>
      <c r="AB214" s="129"/>
    </row>
    <row r="215" spans="1:28" x14ac:dyDescent="0.15">
      <c r="A215" s="129"/>
      <c r="B215" s="129"/>
      <c r="C215" s="129"/>
      <c r="D215" s="130"/>
      <c r="E215" s="129"/>
      <c r="F215" s="129"/>
      <c r="G215" s="129"/>
      <c r="H215" s="129"/>
      <c r="AB215" s="129"/>
    </row>
    <row r="216" spans="1:28" x14ac:dyDescent="0.15">
      <c r="A216" s="129"/>
      <c r="B216" s="129"/>
      <c r="C216" s="129"/>
      <c r="D216" s="130"/>
      <c r="E216" s="129"/>
      <c r="F216" s="129"/>
      <c r="G216" s="129"/>
      <c r="H216" s="129"/>
      <c r="AB216" s="129"/>
    </row>
    <row r="217" spans="1:28" x14ac:dyDescent="0.15">
      <c r="A217" s="129"/>
      <c r="B217" s="129"/>
      <c r="C217" s="129"/>
      <c r="D217" s="130"/>
      <c r="E217" s="129"/>
      <c r="F217" s="129"/>
      <c r="G217" s="129"/>
      <c r="H217" s="129"/>
      <c r="AB217" s="129"/>
    </row>
    <row r="218" spans="1:28" x14ac:dyDescent="0.15">
      <c r="A218" s="129"/>
      <c r="B218" s="129"/>
      <c r="C218" s="129"/>
      <c r="D218" s="130"/>
      <c r="E218" s="129"/>
      <c r="F218" s="129"/>
      <c r="G218" s="129"/>
      <c r="H218" s="129"/>
      <c r="AB218" s="129"/>
    </row>
    <row r="219" spans="1:28" x14ac:dyDescent="0.15">
      <c r="A219" s="129"/>
      <c r="B219" s="129"/>
      <c r="C219" s="129"/>
      <c r="D219" s="130"/>
      <c r="E219" s="129"/>
      <c r="F219" s="129"/>
      <c r="G219" s="129"/>
      <c r="H219" s="129"/>
      <c r="AB219" s="129"/>
    </row>
    <row r="220" spans="1:28" x14ac:dyDescent="0.15">
      <c r="A220" s="129"/>
      <c r="B220" s="129"/>
      <c r="C220" s="129"/>
      <c r="D220" s="130"/>
      <c r="E220" s="129"/>
      <c r="F220" s="129"/>
      <c r="G220" s="129"/>
      <c r="H220" s="129"/>
      <c r="AB220" s="129"/>
    </row>
    <row r="221" spans="1:28" x14ac:dyDescent="0.15">
      <c r="A221" s="129"/>
      <c r="B221" s="129"/>
      <c r="C221" s="129"/>
      <c r="D221" s="130"/>
      <c r="E221" s="129"/>
      <c r="F221" s="129"/>
      <c r="G221" s="129"/>
      <c r="H221" s="129"/>
      <c r="AB221" s="129"/>
    </row>
    <row r="222" spans="1:28" x14ac:dyDescent="0.15">
      <c r="A222" s="129"/>
      <c r="B222" s="129"/>
      <c r="C222" s="129"/>
      <c r="D222" s="130"/>
      <c r="E222" s="129"/>
      <c r="F222" s="129"/>
      <c r="G222" s="129"/>
      <c r="H222" s="129"/>
      <c r="AB222" s="129"/>
    </row>
    <row r="223" spans="1:28" x14ac:dyDescent="0.15">
      <c r="A223" s="129"/>
      <c r="B223" s="129"/>
      <c r="C223" s="129"/>
      <c r="D223" s="130"/>
      <c r="E223" s="129"/>
      <c r="F223" s="129"/>
      <c r="G223" s="129"/>
      <c r="H223" s="129"/>
      <c r="AB223" s="129"/>
    </row>
    <row r="224" spans="1:28" x14ac:dyDescent="0.15">
      <c r="A224" s="129"/>
      <c r="B224" s="129"/>
      <c r="C224" s="129"/>
      <c r="D224" s="130"/>
      <c r="E224" s="129"/>
      <c r="F224" s="129"/>
      <c r="G224" s="129"/>
      <c r="H224" s="129"/>
      <c r="AB224" s="129"/>
    </row>
    <row r="225" spans="1:28" x14ac:dyDescent="0.15">
      <c r="A225" s="129"/>
      <c r="B225" s="129"/>
      <c r="C225" s="129"/>
      <c r="D225" s="130"/>
      <c r="E225" s="129"/>
      <c r="F225" s="129"/>
      <c r="G225" s="129"/>
      <c r="H225" s="129"/>
      <c r="AB225" s="129"/>
    </row>
    <row r="226" spans="1:28" x14ac:dyDescent="0.15">
      <c r="A226" s="129"/>
      <c r="B226" s="129"/>
      <c r="C226" s="129"/>
      <c r="D226" s="130"/>
      <c r="E226" s="129"/>
      <c r="F226" s="129"/>
      <c r="G226" s="129"/>
      <c r="H226" s="129"/>
      <c r="AB226" s="129"/>
    </row>
    <row r="227" spans="1:28" x14ac:dyDescent="0.15">
      <c r="A227" s="129"/>
      <c r="B227" s="129"/>
      <c r="C227" s="129"/>
      <c r="D227" s="130"/>
      <c r="E227" s="129"/>
      <c r="F227" s="129"/>
      <c r="G227" s="129"/>
      <c r="H227" s="129"/>
      <c r="AB227" s="129"/>
    </row>
    <row r="228" spans="1:28" x14ac:dyDescent="0.15">
      <c r="A228" s="129"/>
      <c r="B228" s="129"/>
      <c r="C228" s="129"/>
      <c r="D228" s="130"/>
      <c r="E228" s="129"/>
      <c r="F228" s="129"/>
      <c r="G228" s="129"/>
      <c r="H228" s="129"/>
      <c r="AB228" s="129"/>
    </row>
    <row r="229" spans="1:28" x14ac:dyDescent="0.15">
      <c r="A229" s="129"/>
      <c r="B229" s="129"/>
      <c r="C229" s="129"/>
      <c r="D229" s="130"/>
      <c r="E229" s="129"/>
      <c r="F229" s="129"/>
      <c r="G229" s="129"/>
      <c r="H229" s="129"/>
      <c r="AB229" s="129"/>
    </row>
    <row r="230" spans="1:28" x14ac:dyDescent="0.15">
      <c r="A230" s="129"/>
      <c r="B230" s="129"/>
      <c r="C230" s="129"/>
      <c r="D230" s="130"/>
      <c r="E230" s="129"/>
      <c r="F230" s="129"/>
      <c r="G230" s="129"/>
      <c r="H230" s="129"/>
      <c r="AB230" s="129"/>
    </row>
    <row r="231" spans="1:28" x14ac:dyDescent="0.15">
      <c r="A231" s="129"/>
      <c r="B231" s="129"/>
      <c r="C231" s="129"/>
      <c r="D231" s="130"/>
      <c r="E231" s="129"/>
      <c r="F231" s="129"/>
      <c r="G231" s="129"/>
      <c r="H231" s="129"/>
      <c r="AB231" s="129"/>
    </row>
    <row r="232" spans="1:28" x14ac:dyDescent="0.15">
      <c r="A232" s="129"/>
      <c r="B232" s="129"/>
      <c r="C232" s="129"/>
      <c r="D232" s="130"/>
      <c r="E232" s="129"/>
      <c r="F232" s="129"/>
      <c r="G232" s="129"/>
      <c r="H232" s="129"/>
      <c r="AB232" s="129"/>
    </row>
    <row r="233" spans="1:28" x14ac:dyDescent="0.15">
      <c r="A233" s="129"/>
      <c r="B233" s="129"/>
      <c r="C233" s="129"/>
      <c r="D233" s="130"/>
      <c r="E233" s="129"/>
      <c r="F233" s="129"/>
      <c r="G233" s="129"/>
      <c r="H233" s="129"/>
      <c r="AB233" s="129"/>
    </row>
    <row r="234" spans="1:28" x14ac:dyDescent="0.15">
      <c r="A234" s="129"/>
      <c r="B234" s="129"/>
      <c r="C234" s="129"/>
      <c r="D234" s="130"/>
      <c r="E234" s="129"/>
      <c r="F234" s="129"/>
      <c r="G234" s="129"/>
      <c r="H234" s="129"/>
      <c r="AB234" s="129"/>
    </row>
    <row r="235" spans="1:28" x14ac:dyDescent="0.15">
      <c r="A235" s="129"/>
      <c r="B235" s="129"/>
      <c r="C235" s="129"/>
      <c r="D235" s="130"/>
      <c r="E235" s="129"/>
      <c r="F235" s="129"/>
      <c r="G235" s="129"/>
      <c r="H235" s="129"/>
      <c r="AB235" s="129"/>
    </row>
    <row r="236" spans="1:28" x14ac:dyDescent="0.15">
      <c r="A236" s="129"/>
      <c r="B236" s="129"/>
      <c r="C236" s="129"/>
      <c r="D236" s="130"/>
      <c r="E236" s="129"/>
      <c r="F236" s="129"/>
      <c r="G236" s="129"/>
      <c r="H236" s="129"/>
      <c r="AB236" s="129"/>
    </row>
    <row r="237" spans="1:28" x14ac:dyDescent="0.15">
      <c r="A237" s="129"/>
      <c r="B237" s="129"/>
      <c r="C237" s="129"/>
      <c r="D237" s="130"/>
      <c r="E237" s="129"/>
      <c r="F237" s="129"/>
      <c r="G237" s="129"/>
      <c r="H237" s="129"/>
      <c r="AB237" s="129"/>
    </row>
    <row r="238" spans="1:28" x14ac:dyDescent="0.15">
      <c r="A238" s="129"/>
      <c r="B238" s="129"/>
      <c r="C238" s="129"/>
      <c r="D238" s="130"/>
      <c r="E238" s="129"/>
      <c r="F238" s="129"/>
      <c r="G238" s="129"/>
      <c r="H238" s="129"/>
      <c r="AB238" s="129"/>
    </row>
    <row r="239" spans="1:28" x14ac:dyDescent="0.15">
      <c r="A239" s="129"/>
      <c r="B239" s="129"/>
      <c r="C239" s="129"/>
      <c r="D239" s="130"/>
      <c r="E239" s="129"/>
      <c r="F239" s="129"/>
      <c r="G239" s="129"/>
      <c r="H239" s="129"/>
      <c r="AB239" s="129"/>
    </row>
    <row r="240" spans="1:28" x14ac:dyDescent="0.15">
      <c r="A240" s="129"/>
      <c r="B240" s="129"/>
      <c r="C240" s="129"/>
      <c r="D240" s="130"/>
      <c r="E240" s="129"/>
      <c r="F240" s="129"/>
      <c r="G240" s="129"/>
      <c r="H240" s="129"/>
      <c r="AB240" s="129"/>
    </row>
    <row r="241" spans="1:28" x14ac:dyDescent="0.15">
      <c r="A241" s="129"/>
      <c r="B241" s="129"/>
      <c r="C241" s="129"/>
      <c r="D241" s="130"/>
      <c r="E241" s="129"/>
      <c r="F241" s="129"/>
      <c r="G241" s="129"/>
      <c r="H241" s="129"/>
      <c r="AB241" s="129"/>
    </row>
    <row r="242" spans="1:28" x14ac:dyDescent="0.15">
      <c r="A242" s="129"/>
      <c r="B242" s="129"/>
      <c r="C242" s="129"/>
      <c r="D242" s="130"/>
      <c r="E242" s="129"/>
      <c r="F242" s="129"/>
      <c r="G242" s="129"/>
      <c r="H242" s="129"/>
      <c r="AB242" s="129"/>
    </row>
    <row r="243" spans="1:28" x14ac:dyDescent="0.15">
      <c r="A243" s="129"/>
      <c r="B243" s="129"/>
      <c r="C243" s="129"/>
      <c r="D243" s="130"/>
      <c r="E243" s="129"/>
      <c r="F243" s="129"/>
      <c r="G243" s="129"/>
      <c r="H243" s="129"/>
      <c r="AB243" s="129"/>
    </row>
    <row r="244" spans="1:28" x14ac:dyDescent="0.15">
      <c r="A244" s="129"/>
      <c r="B244" s="129"/>
      <c r="C244" s="129"/>
      <c r="D244" s="130"/>
      <c r="E244" s="129"/>
      <c r="F244" s="129"/>
      <c r="G244" s="129"/>
      <c r="H244" s="129"/>
      <c r="AB244" s="129"/>
    </row>
    <row r="245" spans="1:28" x14ac:dyDescent="0.15">
      <c r="A245" s="129"/>
      <c r="B245" s="129"/>
      <c r="C245" s="129"/>
      <c r="D245" s="130"/>
      <c r="E245" s="129"/>
      <c r="F245" s="129"/>
      <c r="G245" s="129"/>
      <c r="H245" s="129"/>
      <c r="AB245" s="129"/>
    </row>
    <row r="246" spans="1:28" x14ac:dyDescent="0.15">
      <c r="A246" s="129"/>
      <c r="B246" s="129"/>
      <c r="C246" s="129"/>
      <c r="D246" s="130"/>
      <c r="E246" s="129"/>
      <c r="F246" s="129"/>
      <c r="G246" s="129"/>
      <c r="H246" s="129"/>
      <c r="AB246" s="129"/>
    </row>
    <row r="247" spans="1:28" x14ac:dyDescent="0.15">
      <c r="A247" s="129"/>
      <c r="B247" s="129"/>
      <c r="C247" s="129"/>
      <c r="D247" s="130"/>
      <c r="E247" s="129"/>
      <c r="F247" s="129"/>
      <c r="G247" s="129"/>
      <c r="H247" s="129"/>
      <c r="AB247" s="129"/>
    </row>
    <row r="248" spans="1:28" x14ac:dyDescent="0.15">
      <c r="A248" s="129"/>
      <c r="B248" s="129"/>
      <c r="C248" s="129"/>
      <c r="D248" s="130"/>
      <c r="E248" s="129"/>
      <c r="F248" s="129"/>
      <c r="G248" s="129"/>
      <c r="H248" s="129"/>
      <c r="AB248" s="129"/>
    </row>
    <row r="249" spans="1:28" x14ac:dyDescent="0.15">
      <c r="A249" s="129"/>
      <c r="B249" s="129"/>
      <c r="C249" s="129"/>
      <c r="D249" s="130"/>
      <c r="E249" s="129"/>
      <c r="F249" s="129"/>
      <c r="G249" s="129"/>
      <c r="H249" s="129"/>
      <c r="AB249" s="129"/>
    </row>
    <row r="250" spans="1:28" x14ac:dyDescent="0.15">
      <c r="A250" s="129"/>
      <c r="B250" s="129"/>
      <c r="C250" s="129"/>
      <c r="D250" s="130"/>
      <c r="E250" s="129"/>
      <c r="F250" s="129"/>
      <c r="G250" s="129"/>
      <c r="H250" s="129"/>
      <c r="AB250" s="129"/>
    </row>
    <row r="251" spans="1:28" x14ac:dyDescent="0.15">
      <c r="A251" s="129"/>
      <c r="B251" s="129"/>
      <c r="C251" s="129"/>
      <c r="D251" s="130"/>
      <c r="E251" s="129"/>
      <c r="F251" s="129"/>
      <c r="G251" s="129"/>
      <c r="H251" s="129"/>
      <c r="AB251" s="129"/>
    </row>
    <row r="252" spans="1:28" x14ac:dyDescent="0.15">
      <c r="A252" s="129"/>
      <c r="B252" s="129"/>
      <c r="C252" s="129"/>
      <c r="D252" s="130"/>
      <c r="E252" s="129"/>
      <c r="F252" s="129"/>
      <c r="G252" s="129"/>
      <c r="H252" s="129"/>
      <c r="AB252" s="129"/>
    </row>
    <row r="253" spans="1:28" x14ac:dyDescent="0.15">
      <c r="A253" s="129"/>
      <c r="B253" s="129"/>
      <c r="C253" s="129"/>
      <c r="D253" s="130"/>
      <c r="E253" s="129"/>
      <c r="F253" s="129"/>
      <c r="G253" s="129"/>
      <c r="H253" s="129"/>
      <c r="AB253" s="129"/>
    </row>
    <row r="254" spans="1:28" x14ac:dyDescent="0.15">
      <c r="A254" s="129"/>
      <c r="B254" s="129"/>
      <c r="C254" s="129"/>
      <c r="D254" s="130"/>
      <c r="E254" s="129"/>
      <c r="F254" s="129"/>
      <c r="G254" s="129"/>
      <c r="H254" s="129"/>
      <c r="AB254" s="129"/>
    </row>
    <row r="255" spans="1:28" x14ac:dyDescent="0.15">
      <c r="A255" s="129"/>
      <c r="B255" s="129"/>
      <c r="C255" s="129"/>
      <c r="D255" s="130"/>
      <c r="E255" s="129"/>
      <c r="F255" s="129"/>
      <c r="G255" s="129"/>
      <c r="H255" s="129"/>
      <c r="AB255" s="129"/>
    </row>
    <row r="256" spans="1:28" x14ac:dyDescent="0.15">
      <c r="A256" s="129"/>
      <c r="B256" s="129"/>
      <c r="C256" s="129"/>
      <c r="D256" s="130"/>
      <c r="E256" s="129"/>
      <c r="F256" s="129"/>
      <c r="G256" s="129"/>
      <c r="H256" s="129"/>
      <c r="AB256" s="129"/>
    </row>
    <row r="257" spans="1:28" x14ac:dyDescent="0.15">
      <c r="A257" s="129"/>
      <c r="B257" s="129"/>
      <c r="C257" s="129"/>
      <c r="D257" s="130"/>
      <c r="E257" s="129"/>
      <c r="F257" s="129"/>
      <c r="G257" s="129"/>
      <c r="H257" s="129"/>
      <c r="AB257" s="129"/>
    </row>
    <row r="258" spans="1:28" x14ac:dyDescent="0.15">
      <c r="A258" s="129"/>
      <c r="B258" s="129"/>
      <c r="C258" s="129"/>
      <c r="D258" s="130"/>
      <c r="E258" s="129"/>
      <c r="F258" s="129"/>
      <c r="G258" s="129"/>
      <c r="H258" s="129"/>
      <c r="AB258" s="129"/>
    </row>
    <row r="259" spans="1:28" x14ac:dyDescent="0.15">
      <c r="A259" s="129"/>
      <c r="B259" s="129"/>
      <c r="C259" s="129"/>
      <c r="D259" s="130"/>
      <c r="E259" s="129"/>
      <c r="F259" s="129"/>
      <c r="G259" s="129"/>
      <c r="H259" s="129"/>
      <c r="AB259" s="129"/>
    </row>
    <row r="260" spans="1:28" x14ac:dyDescent="0.15">
      <c r="A260" s="129"/>
      <c r="B260" s="129"/>
      <c r="C260" s="129"/>
      <c r="D260" s="130"/>
      <c r="E260" s="129"/>
      <c r="F260" s="129"/>
      <c r="G260" s="129"/>
      <c r="H260" s="129"/>
      <c r="AB260" s="129"/>
    </row>
    <row r="261" spans="1:28" x14ac:dyDescent="0.15">
      <c r="A261" s="129"/>
      <c r="B261" s="129"/>
      <c r="C261" s="129"/>
      <c r="D261" s="130"/>
      <c r="E261" s="129"/>
      <c r="F261" s="129"/>
      <c r="G261" s="129"/>
      <c r="H261" s="129"/>
      <c r="AB261" s="129"/>
    </row>
    <row r="262" spans="1:28" x14ac:dyDescent="0.15">
      <c r="A262" s="129"/>
      <c r="B262" s="129"/>
      <c r="C262" s="129"/>
      <c r="D262" s="130"/>
      <c r="E262" s="129"/>
      <c r="F262" s="129"/>
      <c r="G262" s="129"/>
      <c r="H262" s="129"/>
      <c r="AB262" s="129"/>
    </row>
    <row r="263" spans="1:28" x14ac:dyDescent="0.15">
      <c r="A263" s="129"/>
      <c r="B263" s="129"/>
      <c r="C263" s="129"/>
      <c r="D263" s="130"/>
      <c r="E263" s="129"/>
      <c r="F263" s="129"/>
      <c r="G263" s="129"/>
      <c r="H263" s="129"/>
      <c r="AB263" s="129"/>
    </row>
    <row r="264" spans="1:28" x14ac:dyDescent="0.15">
      <c r="A264" s="129"/>
      <c r="B264" s="129"/>
      <c r="C264" s="129"/>
      <c r="D264" s="130"/>
      <c r="E264" s="129"/>
      <c r="F264" s="129"/>
      <c r="G264" s="129"/>
      <c r="H264" s="129"/>
      <c r="AB264" s="129"/>
    </row>
    <row r="265" spans="1:28" x14ac:dyDescent="0.15">
      <c r="A265" s="129"/>
      <c r="B265" s="129"/>
      <c r="C265" s="129"/>
      <c r="D265" s="130"/>
      <c r="E265" s="129"/>
      <c r="F265" s="129"/>
      <c r="G265" s="129"/>
      <c r="H265" s="129"/>
      <c r="AB265" s="129"/>
    </row>
    <row r="266" spans="1:28" x14ac:dyDescent="0.15">
      <c r="A266" s="129"/>
      <c r="B266" s="129"/>
      <c r="C266" s="129"/>
      <c r="D266" s="130"/>
      <c r="E266" s="129"/>
      <c r="F266" s="129"/>
      <c r="G266" s="129"/>
      <c r="H266" s="129"/>
      <c r="AB266" s="129"/>
    </row>
    <row r="267" spans="1:28" x14ac:dyDescent="0.15">
      <c r="A267" s="129"/>
      <c r="B267" s="129"/>
      <c r="C267" s="129"/>
      <c r="D267" s="130"/>
      <c r="E267" s="129"/>
      <c r="F267" s="129"/>
      <c r="G267" s="129"/>
      <c r="H267" s="129"/>
      <c r="AB267" s="129"/>
    </row>
    <row r="268" spans="1:28" x14ac:dyDescent="0.15">
      <c r="A268" s="129"/>
      <c r="B268" s="129"/>
      <c r="C268" s="129"/>
      <c r="D268" s="130"/>
      <c r="E268" s="129"/>
      <c r="F268" s="129"/>
      <c r="G268" s="129"/>
      <c r="H268" s="129"/>
      <c r="AB268" s="129"/>
    </row>
    <row r="269" spans="1:28" x14ac:dyDescent="0.15">
      <c r="A269" s="129"/>
      <c r="B269" s="129"/>
      <c r="C269" s="129"/>
      <c r="D269" s="130"/>
      <c r="E269" s="129"/>
      <c r="F269" s="129"/>
      <c r="G269" s="129"/>
      <c r="H269" s="129"/>
      <c r="AB269" s="129"/>
    </row>
    <row r="270" spans="1:28" x14ac:dyDescent="0.15">
      <c r="A270" s="129"/>
      <c r="B270" s="129"/>
      <c r="C270" s="129"/>
      <c r="D270" s="130"/>
      <c r="E270" s="129"/>
      <c r="F270" s="129"/>
      <c r="G270" s="129"/>
      <c r="H270" s="129"/>
      <c r="AB270" s="129"/>
    </row>
    <row r="271" spans="1:28" x14ac:dyDescent="0.15">
      <c r="A271" s="129"/>
      <c r="B271" s="129"/>
      <c r="C271" s="129"/>
      <c r="D271" s="130"/>
      <c r="E271" s="129"/>
      <c r="F271" s="129"/>
      <c r="G271" s="129"/>
      <c r="H271" s="129"/>
      <c r="AB271" s="129"/>
    </row>
    <row r="272" spans="1:28" x14ac:dyDescent="0.15">
      <c r="A272" s="129"/>
      <c r="B272" s="129"/>
      <c r="C272" s="129"/>
      <c r="D272" s="130"/>
      <c r="E272" s="129"/>
      <c r="F272" s="129"/>
      <c r="G272" s="129"/>
      <c r="H272" s="129"/>
      <c r="AB272" s="129"/>
    </row>
    <row r="273" spans="1:28" x14ac:dyDescent="0.15">
      <c r="A273" s="129"/>
      <c r="B273" s="129"/>
      <c r="C273" s="129"/>
      <c r="D273" s="130"/>
      <c r="E273" s="129"/>
      <c r="F273" s="129"/>
      <c r="G273" s="129"/>
      <c r="H273" s="129"/>
      <c r="AB273" s="129"/>
    </row>
    <row r="274" spans="1:28" x14ac:dyDescent="0.15">
      <c r="A274" s="129"/>
      <c r="B274" s="129"/>
      <c r="C274" s="129"/>
      <c r="D274" s="130"/>
      <c r="E274" s="129"/>
      <c r="F274" s="129"/>
      <c r="G274" s="129"/>
      <c r="H274" s="129"/>
      <c r="AB274" s="129"/>
    </row>
    <row r="275" spans="1:28" x14ac:dyDescent="0.15">
      <c r="A275" s="129"/>
      <c r="B275" s="129"/>
      <c r="C275" s="129"/>
      <c r="D275" s="130"/>
      <c r="E275" s="129"/>
      <c r="F275" s="129"/>
      <c r="G275" s="129"/>
      <c r="H275" s="129"/>
      <c r="AB275" s="129"/>
    </row>
    <row r="276" spans="1:28" x14ac:dyDescent="0.15">
      <c r="A276" s="129"/>
      <c r="B276" s="129"/>
      <c r="C276" s="129"/>
      <c r="D276" s="130"/>
      <c r="E276" s="129"/>
      <c r="F276" s="129"/>
      <c r="G276" s="129"/>
      <c r="H276" s="129"/>
      <c r="AB276" s="129"/>
    </row>
    <row r="277" spans="1:28" x14ac:dyDescent="0.15">
      <c r="A277" s="129"/>
      <c r="B277" s="129"/>
      <c r="C277" s="129"/>
      <c r="D277" s="130"/>
      <c r="E277" s="129"/>
      <c r="F277" s="129"/>
      <c r="G277" s="129"/>
      <c r="H277" s="129"/>
      <c r="AB277" s="129"/>
    </row>
    <row r="278" spans="1:28" x14ac:dyDescent="0.15">
      <c r="A278" s="129"/>
      <c r="B278" s="129"/>
      <c r="C278" s="129"/>
      <c r="D278" s="130"/>
      <c r="E278" s="129"/>
      <c r="F278" s="129"/>
      <c r="G278" s="129"/>
      <c r="H278" s="129"/>
      <c r="AB278" s="129"/>
    </row>
    <row r="279" spans="1:28" x14ac:dyDescent="0.15">
      <c r="A279" s="129"/>
      <c r="B279" s="129"/>
      <c r="C279" s="129"/>
      <c r="D279" s="130"/>
      <c r="E279" s="129"/>
      <c r="F279" s="129"/>
      <c r="G279" s="129"/>
      <c r="H279" s="129"/>
      <c r="AB279" s="129"/>
    </row>
    <row r="280" spans="1:28" x14ac:dyDescent="0.15">
      <c r="A280" s="129"/>
      <c r="B280" s="129"/>
      <c r="C280" s="129"/>
      <c r="D280" s="130"/>
      <c r="E280" s="129"/>
      <c r="F280" s="129"/>
      <c r="G280" s="129"/>
      <c r="H280" s="129"/>
      <c r="AB280" s="129"/>
    </row>
    <row r="281" spans="1:28" x14ac:dyDescent="0.15">
      <c r="A281" s="129"/>
      <c r="B281" s="129"/>
      <c r="C281" s="129"/>
      <c r="D281" s="130"/>
      <c r="E281" s="129"/>
      <c r="F281" s="129"/>
      <c r="G281" s="129"/>
      <c r="H281" s="129"/>
      <c r="AB281" s="129"/>
    </row>
    <row r="282" spans="1:28" x14ac:dyDescent="0.15">
      <c r="A282" s="129"/>
      <c r="B282" s="129"/>
      <c r="C282" s="129"/>
      <c r="D282" s="130"/>
      <c r="E282" s="129"/>
      <c r="F282" s="129"/>
      <c r="G282" s="129"/>
      <c r="H282" s="129"/>
      <c r="AB282" s="129"/>
    </row>
    <row r="283" spans="1:28" x14ac:dyDescent="0.15">
      <c r="A283" s="129"/>
      <c r="B283" s="129"/>
      <c r="C283" s="129"/>
      <c r="D283" s="130"/>
      <c r="E283" s="129"/>
      <c r="F283" s="129"/>
      <c r="G283" s="129"/>
      <c r="H283" s="129"/>
      <c r="AB283" s="129"/>
    </row>
    <row r="284" spans="1:28" x14ac:dyDescent="0.15">
      <c r="A284" s="129"/>
      <c r="B284" s="129"/>
      <c r="C284" s="129"/>
      <c r="D284" s="130"/>
      <c r="E284" s="129"/>
      <c r="F284" s="129"/>
      <c r="G284" s="129"/>
      <c r="H284" s="129"/>
      <c r="AB284" s="129"/>
    </row>
    <row r="285" spans="1:28" x14ac:dyDescent="0.15">
      <c r="A285" s="129"/>
      <c r="B285" s="129"/>
      <c r="C285" s="129"/>
      <c r="D285" s="130"/>
      <c r="E285" s="129"/>
      <c r="F285" s="129"/>
      <c r="G285" s="129"/>
      <c r="H285" s="129"/>
      <c r="AB285" s="129"/>
    </row>
    <row r="286" spans="1:28" x14ac:dyDescent="0.15">
      <c r="A286" s="129"/>
      <c r="B286" s="129"/>
      <c r="C286" s="129"/>
      <c r="D286" s="130"/>
      <c r="E286" s="129"/>
      <c r="F286" s="129"/>
      <c r="G286" s="129"/>
      <c r="H286" s="129"/>
      <c r="AB286" s="129"/>
    </row>
    <row r="287" spans="1:28" x14ac:dyDescent="0.15">
      <c r="A287" s="129"/>
      <c r="B287" s="129"/>
      <c r="C287" s="129"/>
      <c r="D287" s="130"/>
      <c r="E287" s="129"/>
      <c r="F287" s="129"/>
      <c r="G287" s="129"/>
      <c r="H287" s="129"/>
      <c r="AB287" s="129"/>
    </row>
    <row r="288" spans="1:28" x14ac:dyDescent="0.15">
      <c r="A288" s="129"/>
      <c r="B288" s="129"/>
      <c r="C288" s="129"/>
      <c r="D288" s="130"/>
      <c r="E288" s="129"/>
      <c r="F288" s="129"/>
      <c r="G288" s="129"/>
      <c r="H288" s="129"/>
      <c r="AB288" s="129"/>
    </row>
    <row r="289" spans="1:28" x14ac:dyDescent="0.15">
      <c r="A289" s="129"/>
      <c r="B289" s="129"/>
      <c r="C289" s="129"/>
      <c r="D289" s="130"/>
      <c r="E289" s="129"/>
      <c r="F289" s="129"/>
      <c r="G289" s="129"/>
      <c r="H289" s="129"/>
      <c r="AB289" s="129"/>
    </row>
    <row r="290" spans="1:28" x14ac:dyDescent="0.15">
      <c r="A290" s="129"/>
      <c r="B290" s="129"/>
      <c r="C290" s="129"/>
      <c r="D290" s="130"/>
      <c r="E290" s="129"/>
      <c r="F290" s="129"/>
      <c r="G290" s="129"/>
      <c r="H290" s="129"/>
      <c r="AB290" s="129"/>
    </row>
    <row r="291" spans="1:28" x14ac:dyDescent="0.15">
      <c r="A291" s="129"/>
      <c r="B291" s="129"/>
      <c r="C291" s="129"/>
      <c r="D291" s="130"/>
      <c r="E291" s="129"/>
      <c r="F291" s="129"/>
      <c r="G291" s="129"/>
      <c r="H291" s="129"/>
      <c r="AB291" s="129"/>
    </row>
    <row r="292" spans="1:28" x14ac:dyDescent="0.15">
      <c r="A292" s="129"/>
      <c r="B292" s="129"/>
      <c r="C292" s="129"/>
      <c r="D292" s="130"/>
      <c r="E292" s="129"/>
      <c r="F292" s="129"/>
      <c r="G292" s="129"/>
      <c r="H292" s="129"/>
      <c r="AB292" s="129"/>
    </row>
    <row r="293" spans="1:28" x14ac:dyDescent="0.15">
      <c r="A293" s="129"/>
      <c r="B293" s="129"/>
      <c r="C293" s="129"/>
      <c r="D293" s="130"/>
      <c r="E293" s="129"/>
      <c r="F293" s="129"/>
      <c r="G293" s="129"/>
      <c r="H293" s="129"/>
      <c r="AB293" s="129"/>
    </row>
    <row r="294" spans="1:28" x14ac:dyDescent="0.15">
      <c r="A294" s="129"/>
      <c r="B294" s="129"/>
      <c r="C294" s="129"/>
      <c r="D294" s="130"/>
      <c r="E294" s="129"/>
      <c r="F294" s="129"/>
      <c r="G294" s="129"/>
      <c r="H294" s="129"/>
      <c r="AB294" s="129"/>
    </row>
    <row r="295" spans="1:28" x14ac:dyDescent="0.15">
      <c r="A295" s="129"/>
      <c r="B295" s="129"/>
      <c r="C295" s="129"/>
      <c r="D295" s="130"/>
      <c r="E295" s="129"/>
      <c r="F295" s="129"/>
      <c r="G295" s="129"/>
      <c r="H295" s="129"/>
      <c r="AB295" s="129"/>
    </row>
    <row r="296" spans="1:28" x14ac:dyDescent="0.15">
      <c r="A296" s="129"/>
      <c r="B296" s="129"/>
      <c r="C296" s="129"/>
      <c r="D296" s="130"/>
      <c r="E296" s="129"/>
      <c r="F296" s="129"/>
      <c r="G296" s="129"/>
      <c r="H296" s="129"/>
      <c r="AB296" s="129"/>
    </row>
    <row r="297" spans="1:28" x14ac:dyDescent="0.15">
      <c r="A297" s="129"/>
      <c r="B297" s="129"/>
      <c r="C297" s="129"/>
      <c r="D297" s="130"/>
      <c r="E297" s="129"/>
      <c r="F297" s="129"/>
      <c r="G297" s="129"/>
      <c r="H297" s="129"/>
      <c r="AB297" s="129"/>
    </row>
    <row r="298" spans="1:28" x14ac:dyDescent="0.15">
      <c r="A298" s="129"/>
      <c r="B298" s="129"/>
      <c r="C298" s="129"/>
      <c r="D298" s="130"/>
      <c r="E298" s="129"/>
      <c r="F298" s="129"/>
      <c r="G298" s="129"/>
      <c r="H298" s="129"/>
      <c r="AB298" s="129"/>
    </row>
    <row r="299" spans="1:28" x14ac:dyDescent="0.15">
      <c r="A299" s="129"/>
      <c r="B299" s="129"/>
      <c r="C299" s="129"/>
      <c r="D299" s="130"/>
      <c r="E299" s="129"/>
      <c r="F299" s="129"/>
      <c r="G299" s="129"/>
      <c r="H299" s="129"/>
      <c r="AB299" s="129"/>
    </row>
    <row r="300" spans="1:28" x14ac:dyDescent="0.15">
      <c r="A300" s="129"/>
      <c r="B300" s="129"/>
      <c r="C300" s="129"/>
      <c r="D300" s="130"/>
      <c r="E300" s="129"/>
      <c r="F300" s="129"/>
      <c r="G300" s="129"/>
      <c r="H300" s="129"/>
      <c r="AB300" s="129"/>
    </row>
    <row r="301" spans="1:28" x14ac:dyDescent="0.15">
      <c r="A301" s="129"/>
      <c r="B301" s="129"/>
      <c r="C301" s="129"/>
      <c r="D301" s="130"/>
      <c r="E301" s="129"/>
      <c r="F301" s="129"/>
      <c r="G301" s="129"/>
      <c r="H301" s="129"/>
      <c r="AB301" s="129"/>
    </row>
    <row r="302" spans="1:28" x14ac:dyDescent="0.15">
      <c r="A302" s="129"/>
      <c r="B302" s="129"/>
      <c r="C302" s="129"/>
      <c r="D302" s="130"/>
      <c r="E302" s="129"/>
      <c r="F302" s="129"/>
      <c r="G302" s="129"/>
      <c r="H302" s="129"/>
      <c r="AB302" s="129"/>
    </row>
    <row r="303" spans="1:28" x14ac:dyDescent="0.15">
      <c r="A303" s="129"/>
      <c r="B303" s="129"/>
      <c r="C303" s="129"/>
      <c r="D303" s="130"/>
      <c r="E303" s="129"/>
      <c r="F303" s="129"/>
      <c r="G303" s="129"/>
      <c r="H303" s="129"/>
      <c r="AB303" s="129"/>
    </row>
    <row r="304" spans="1:28" x14ac:dyDescent="0.15">
      <c r="A304" s="129"/>
      <c r="B304" s="129"/>
      <c r="C304" s="129"/>
      <c r="D304" s="130"/>
      <c r="E304" s="129"/>
      <c r="F304" s="129"/>
      <c r="G304" s="129"/>
      <c r="H304" s="129"/>
      <c r="AB304" s="129"/>
    </row>
    <row r="305" spans="1:28" x14ac:dyDescent="0.15">
      <c r="A305" s="129"/>
      <c r="B305" s="129"/>
      <c r="C305" s="129"/>
      <c r="D305" s="130"/>
      <c r="E305" s="129"/>
      <c r="F305" s="129"/>
      <c r="G305" s="129"/>
      <c r="H305" s="129"/>
      <c r="AB305" s="129"/>
    </row>
    <row r="306" spans="1:28" x14ac:dyDescent="0.15">
      <c r="A306" s="129"/>
      <c r="B306" s="129"/>
      <c r="C306" s="129"/>
      <c r="D306" s="130"/>
      <c r="E306" s="129"/>
      <c r="F306" s="129"/>
      <c r="G306" s="129"/>
      <c r="H306" s="129"/>
      <c r="AB306" s="129"/>
    </row>
    <row r="307" spans="1:28" x14ac:dyDescent="0.15">
      <c r="A307" s="129"/>
      <c r="B307" s="129"/>
      <c r="C307" s="129"/>
      <c r="D307" s="130"/>
      <c r="E307" s="129"/>
      <c r="F307" s="129"/>
      <c r="G307" s="129"/>
      <c r="H307" s="129"/>
      <c r="AB307" s="129"/>
    </row>
    <row r="308" spans="1:28" x14ac:dyDescent="0.15">
      <c r="A308" s="129"/>
      <c r="B308" s="129"/>
      <c r="C308" s="129"/>
      <c r="D308" s="130"/>
      <c r="E308" s="129"/>
      <c r="F308" s="129"/>
      <c r="G308" s="129"/>
      <c r="H308" s="129"/>
      <c r="AB308" s="129"/>
    </row>
    <row r="309" spans="1:28" x14ac:dyDescent="0.15">
      <c r="A309" s="129"/>
      <c r="B309" s="129"/>
      <c r="C309" s="129"/>
      <c r="D309" s="130"/>
      <c r="E309" s="129"/>
      <c r="F309" s="129"/>
      <c r="G309" s="129"/>
      <c r="H309" s="129"/>
      <c r="AB309" s="129"/>
    </row>
    <row r="310" spans="1:28" x14ac:dyDescent="0.15">
      <c r="A310" s="129"/>
      <c r="B310" s="129"/>
      <c r="C310" s="129"/>
      <c r="D310" s="130"/>
      <c r="E310" s="129"/>
      <c r="F310" s="129"/>
      <c r="G310" s="129"/>
      <c r="H310" s="129"/>
      <c r="AB310" s="129"/>
    </row>
    <row r="311" spans="1:28" x14ac:dyDescent="0.15">
      <c r="A311" s="129"/>
      <c r="B311" s="129"/>
      <c r="C311" s="129"/>
      <c r="D311" s="130"/>
      <c r="E311" s="129"/>
      <c r="F311" s="129"/>
      <c r="G311" s="129"/>
      <c r="H311" s="129"/>
      <c r="AB311" s="129"/>
    </row>
    <row r="312" spans="1:28" x14ac:dyDescent="0.15">
      <c r="A312" s="129"/>
      <c r="B312" s="129"/>
      <c r="C312" s="129"/>
      <c r="D312" s="130"/>
      <c r="E312" s="129"/>
      <c r="F312" s="129"/>
      <c r="G312" s="129"/>
      <c r="H312" s="129"/>
      <c r="AB312" s="129"/>
    </row>
    <row r="313" spans="1:28" x14ac:dyDescent="0.15">
      <c r="A313" s="129"/>
      <c r="B313" s="129"/>
      <c r="C313" s="129"/>
      <c r="D313" s="130"/>
      <c r="E313" s="129"/>
      <c r="F313" s="129"/>
      <c r="G313" s="129"/>
      <c r="H313" s="129"/>
      <c r="AB313" s="129"/>
    </row>
    <row r="314" spans="1:28" x14ac:dyDescent="0.15">
      <c r="A314" s="129"/>
      <c r="B314" s="129"/>
      <c r="C314" s="129"/>
      <c r="D314" s="130"/>
      <c r="E314" s="129"/>
      <c r="F314" s="129"/>
      <c r="G314" s="129"/>
      <c r="H314" s="129"/>
      <c r="AB314" s="129"/>
    </row>
    <row r="315" spans="1:28" x14ac:dyDescent="0.15">
      <c r="A315" s="129"/>
      <c r="B315" s="129"/>
      <c r="C315" s="129"/>
      <c r="D315" s="130"/>
      <c r="E315" s="129"/>
      <c r="F315" s="129"/>
      <c r="G315" s="129"/>
      <c r="H315" s="129"/>
      <c r="AB315" s="129"/>
    </row>
    <row r="316" spans="1:28" x14ac:dyDescent="0.15">
      <c r="A316" s="129"/>
      <c r="B316" s="129"/>
      <c r="C316" s="129"/>
      <c r="D316" s="130"/>
      <c r="E316" s="129"/>
      <c r="F316" s="129"/>
      <c r="G316" s="129"/>
      <c r="H316" s="129"/>
      <c r="AB316" s="129"/>
    </row>
    <row r="317" spans="1:28" x14ac:dyDescent="0.15">
      <c r="A317" s="129"/>
      <c r="B317" s="129"/>
      <c r="C317" s="129"/>
      <c r="D317" s="130"/>
      <c r="E317" s="129"/>
      <c r="F317" s="129"/>
      <c r="G317" s="129"/>
      <c r="H317" s="129"/>
      <c r="AB317" s="129"/>
    </row>
    <row r="318" spans="1:28" x14ac:dyDescent="0.15">
      <c r="A318" s="129"/>
      <c r="B318" s="129"/>
      <c r="C318" s="129"/>
      <c r="D318" s="130"/>
      <c r="E318" s="129"/>
      <c r="F318" s="129"/>
      <c r="G318" s="129"/>
      <c r="H318" s="129"/>
      <c r="AB318" s="129"/>
    </row>
    <row r="319" spans="1:28" x14ac:dyDescent="0.15">
      <c r="A319" s="129"/>
      <c r="B319" s="129"/>
      <c r="C319" s="129"/>
      <c r="D319" s="130"/>
      <c r="E319" s="129"/>
      <c r="F319" s="129"/>
      <c r="G319" s="129"/>
      <c r="H319" s="129"/>
      <c r="AB319" s="129"/>
    </row>
    <row r="320" spans="1:28" x14ac:dyDescent="0.15">
      <c r="A320" s="129"/>
      <c r="B320" s="129"/>
      <c r="C320" s="129"/>
      <c r="D320" s="130"/>
      <c r="E320" s="129"/>
      <c r="F320" s="129"/>
      <c r="G320" s="129"/>
      <c r="H320" s="129"/>
      <c r="AB320" s="129"/>
    </row>
    <row r="321" spans="1:28" x14ac:dyDescent="0.15">
      <c r="A321" s="129"/>
      <c r="B321" s="129"/>
      <c r="C321" s="129"/>
      <c r="D321" s="130"/>
      <c r="E321" s="129"/>
      <c r="F321" s="129"/>
      <c r="G321" s="129"/>
      <c r="H321" s="129"/>
      <c r="AB321" s="129"/>
    </row>
    <row r="322" spans="1:28" x14ac:dyDescent="0.15">
      <c r="A322" s="129"/>
      <c r="B322" s="129"/>
      <c r="C322" s="129"/>
      <c r="D322" s="130"/>
      <c r="E322" s="129"/>
      <c r="F322" s="129"/>
      <c r="G322" s="129"/>
      <c r="H322" s="129"/>
      <c r="AB322" s="129"/>
    </row>
    <row r="323" spans="1:28" x14ac:dyDescent="0.15">
      <c r="A323" s="129"/>
      <c r="B323" s="129"/>
      <c r="C323" s="129"/>
      <c r="D323" s="130"/>
      <c r="E323" s="129"/>
      <c r="F323" s="129"/>
      <c r="G323" s="129"/>
      <c r="H323" s="129"/>
      <c r="AB323" s="129"/>
    </row>
    <row r="324" spans="1:28" x14ac:dyDescent="0.15">
      <c r="A324" s="129"/>
      <c r="B324" s="129"/>
      <c r="C324" s="129"/>
      <c r="D324" s="130"/>
      <c r="E324" s="129"/>
      <c r="F324" s="129"/>
      <c r="G324" s="129"/>
      <c r="H324" s="129"/>
      <c r="AB324" s="129"/>
    </row>
    <row r="325" spans="1:28" x14ac:dyDescent="0.15">
      <c r="A325" s="129"/>
      <c r="B325" s="129"/>
      <c r="C325" s="129"/>
      <c r="D325" s="130"/>
      <c r="E325" s="129"/>
      <c r="F325" s="129"/>
      <c r="G325" s="129"/>
      <c r="H325" s="129"/>
      <c r="AB325" s="129"/>
    </row>
    <row r="326" spans="1:28" x14ac:dyDescent="0.15">
      <c r="A326" s="129"/>
      <c r="B326" s="129"/>
      <c r="C326" s="129"/>
      <c r="D326" s="130"/>
      <c r="E326" s="129"/>
      <c r="F326" s="129"/>
      <c r="G326" s="129"/>
      <c r="H326" s="129"/>
      <c r="AB326" s="129"/>
    </row>
    <row r="327" spans="1:28" x14ac:dyDescent="0.15">
      <c r="A327" s="129"/>
      <c r="B327" s="129"/>
      <c r="C327" s="129"/>
      <c r="D327" s="130"/>
      <c r="E327" s="129"/>
      <c r="F327" s="129"/>
      <c r="G327" s="129"/>
      <c r="H327" s="129"/>
      <c r="AB327" s="129"/>
    </row>
    <row r="328" spans="1:28" x14ac:dyDescent="0.15">
      <c r="A328" s="129"/>
      <c r="B328" s="129"/>
      <c r="C328" s="129"/>
      <c r="D328" s="130"/>
      <c r="E328" s="129"/>
      <c r="F328" s="129"/>
      <c r="G328" s="129"/>
      <c r="H328" s="129"/>
      <c r="AB328" s="129"/>
    </row>
    <row r="329" spans="1:28" x14ac:dyDescent="0.15">
      <c r="A329" s="129"/>
      <c r="B329" s="129"/>
      <c r="C329" s="129"/>
      <c r="D329" s="130"/>
      <c r="E329" s="129"/>
      <c r="F329" s="129"/>
      <c r="G329" s="129"/>
      <c r="H329" s="129"/>
      <c r="AB329" s="129"/>
    </row>
    <row r="330" spans="1:28" x14ac:dyDescent="0.15">
      <c r="A330" s="129"/>
      <c r="B330" s="129"/>
      <c r="C330" s="129"/>
      <c r="D330" s="130"/>
      <c r="E330" s="129"/>
      <c r="F330" s="129"/>
      <c r="G330" s="129"/>
      <c r="H330" s="129"/>
      <c r="AB330" s="129"/>
    </row>
    <row r="331" spans="1:28" x14ac:dyDescent="0.15">
      <c r="A331" s="129"/>
      <c r="B331" s="129"/>
      <c r="C331" s="129"/>
      <c r="D331" s="130"/>
      <c r="E331" s="129"/>
      <c r="F331" s="129"/>
      <c r="G331" s="129"/>
      <c r="H331" s="129"/>
      <c r="AB331" s="129"/>
    </row>
    <row r="332" spans="1:28" x14ac:dyDescent="0.15">
      <c r="A332" s="129"/>
      <c r="B332" s="129"/>
      <c r="C332" s="129"/>
      <c r="D332" s="130"/>
      <c r="E332" s="129"/>
      <c r="F332" s="129"/>
      <c r="G332" s="129"/>
      <c r="H332" s="129"/>
      <c r="AB332" s="129"/>
    </row>
    <row r="333" spans="1:28" x14ac:dyDescent="0.15">
      <c r="A333" s="129"/>
      <c r="B333" s="129"/>
      <c r="C333" s="129"/>
      <c r="D333" s="130"/>
      <c r="E333" s="129"/>
      <c r="F333" s="129"/>
      <c r="G333" s="129"/>
      <c r="H333" s="129"/>
      <c r="AB333" s="129"/>
    </row>
    <row r="334" spans="1:28" x14ac:dyDescent="0.15">
      <c r="A334" s="129"/>
      <c r="B334" s="129"/>
      <c r="C334" s="129"/>
      <c r="D334" s="130"/>
      <c r="E334" s="129"/>
      <c r="F334" s="129"/>
      <c r="G334" s="129"/>
      <c r="H334" s="129"/>
      <c r="AB334" s="129"/>
    </row>
    <row r="335" spans="1:28" x14ac:dyDescent="0.15">
      <c r="A335" s="129"/>
      <c r="B335" s="129"/>
      <c r="C335" s="129"/>
      <c r="D335" s="130"/>
      <c r="E335" s="129"/>
      <c r="F335" s="129"/>
      <c r="G335" s="129"/>
      <c r="H335" s="129"/>
      <c r="AB335" s="129"/>
    </row>
    <row r="336" spans="1:28" x14ac:dyDescent="0.15">
      <c r="A336" s="129"/>
      <c r="B336" s="129"/>
      <c r="C336" s="129"/>
      <c r="D336" s="130"/>
      <c r="E336" s="129"/>
      <c r="F336" s="129"/>
      <c r="G336" s="129"/>
      <c r="H336" s="129"/>
      <c r="AB336" s="129"/>
    </row>
    <row r="337" spans="1:28" x14ac:dyDescent="0.15">
      <c r="A337" s="129"/>
      <c r="B337" s="129"/>
      <c r="C337" s="129"/>
      <c r="D337" s="130"/>
      <c r="E337" s="129"/>
      <c r="F337" s="129"/>
      <c r="G337" s="129"/>
      <c r="H337" s="129"/>
      <c r="AB337" s="129"/>
    </row>
    <row r="338" spans="1:28" x14ac:dyDescent="0.15">
      <c r="A338" s="129"/>
      <c r="B338" s="129"/>
      <c r="C338" s="129"/>
      <c r="D338" s="130"/>
      <c r="E338" s="129"/>
      <c r="F338" s="129"/>
      <c r="G338" s="129"/>
      <c r="H338" s="129"/>
      <c r="AB338" s="129"/>
    </row>
    <row r="339" spans="1:28" x14ac:dyDescent="0.15">
      <c r="A339" s="129"/>
      <c r="B339" s="129"/>
      <c r="C339" s="129"/>
      <c r="D339" s="130"/>
      <c r="E339" s="129"/>
      <c r="F339" s="129"/>
      <c r="G339" s="129"/>
      <c r="H339" s="129"/>
      <c r="AB339" s="129"/>
    </row>
    <row r="340" spans="1:28" x14ac:dyDescent="0.15">
      <c r="A340" s="129"/>
      <c r="B340" s="129"/>
      <c r="C340" s="129"/>
      <c r="D340" s="130"/>
      <c r="E340" s="129"/>
      <c r="F340" s="129"/>
      <c r="G340" s="129"/>
      <c r="H340" s="129"/>
      <c r="AB340" s="129"/>
    </row>
    <row r="341" spans="1:28" x14ac:dyDescent="0.15">
      <c r="A341" s="129"/>
      <c r="B341" s="129"/>
      <c r="C341" s="129"/>
      <c r="D341" s="130"/>
      <c r="E341" s="129"/>
      <c r="F341" s="129"/>
      <c r="G341" s="129"/>
      <c r="H341" s="129"/>
      <c r="AB341" s="129"/>
    </row>
    <row r="342" spans="1:28" x14ac:dyDescent="0.15">
      <c r="A342" s="129"/>
      <c r="B342" s="129"/>
      <c r="C342" s="129"/>
      <c r="D342" s="130"/>
      <c r="E342" s="129"/>
      <c r="F342" s="129"/>
      <c r="G342" s="129"/>
      <c r="H342" s="129"/>
      <c r="AB342" s="129"/>
    </row>
    <row r="343" spans="1:28" x14ac:dyDescent="0.15">
      <c r="A343" s="129"/>
      <c r="B343" s="129"/>
      <c r="C343" s="129"/>
      <c r="D343" s="130"/>
      <c r="E343" s="129"/>
      <c r="F343" s="129"/>
      <c r="G343" s="129"/>
      <c r="H343" s="129"/>
      <c r="AB343" s="129"/>
    </row>
    <row r="344" spans="1:28" x14ac:dyDescent="0.15">
      <c r="A344" s="129"/>
      <c r="B344" s="129"/>
      <c r="C344" s="129"/>
      <c r="D344" s="130"/>
      <c r="E344" s="129"/>
      <c r="F344" s="129"/>
      <c r="G344" s="129"/>
      <c r="H344" s="129"/>
      <c r="AB344" s="129"/>
    </row>
    <row r="345" spans="1:28" x14ac:dyDescent="0.15">
      <c r="A345" s="129"/>
      <c r="B345" s="129"/>
      <c r="C345" s="129"/>
      <c r="D345" s="130"/>
      <c r="E345" s="129"/>
      <c r="F345" s="129"/>
      <c r="G345" s="129"/>
      <c r="H345" s="129"/>
      <c r="AB345" s="129"/>
    </row>
    <row r="346" spans="1:28" x14ac:dyDescent="0.15">
      <c r="A346" s="129"/>
      <c r="B346" s="129"/>
      <c r="C346" s="129"/>
      <c r="D346" s="130"/>
      <c r="E346" s="129"/>
      <c r="F346" s="129"/>
      <c r="G346" s="129"/>
      <c r="H346" s="129"/>
      <c r="AB346" s="129"/>
    </row>
    <row r="347" spans="1:28" x14ac:dyDescent="0.15">
      <c r="A347" s="129"/>
      <c r="B347" s="129"/>
      <c r="C347" s="129"/>
      <c r="D347" s="130"/>
      <c r="E347" s="129"/>
      <c r="F347" s="129"/>
      <c r="G347" s="129"/>
      <c r="H347" s="129"/>
      <c r="AB347" s="129"/>
    </row>
    <row r="348" spans="1:28" x14ac:dyDescent="0.15">
      <c r="A348" s="129"/>
      <c r="B348" s="129"/>
      <c r="C348" s="129"/>
      <c r="D348" s="130"/>
      <c r="E348" s="129"/>
      <c r="F348" s="129"/>
      <c r="G348" s="129"/>
      <c r="H348" s="129"/>
      <c r="AB348" s="129"/>
    </row>
    <row r="349" spans="1:28" x14ac:dyDescent="0.15">
      <c r="A349" s="129"/>
      <c r="B349" s="129"/>
      <c r="C349" s="129"/>
      <c r="D349" s="130"/>
      <c r="E349" s="129"/>
      <c r="F349" s="129"/>
      <c r="G349" s="129"/>
      <c r="H349" s="129"/>
      <c r="AB349" s="129"/>
    </row>
    <row r="350" spans="1:28" x14ac:dyDescent="0.15">
      <c r="A350" s="129"/>
      <c r="B350" s="129"/>
      <c r="C350" s="129"/>
      <c r="D350" s="130"/>
      <c r="E350" s="129"/>
      <c r="F350" s="129"/>
      <c r="G350" s="129"/>
      <c r="H350" s="129"/>
      <c r="AB350" s="129"/>
    </row>
    <row r="351" spans="1:28" x14ac:dyDescent="0.15">
      <c r="A351" s="129"/>
      <c r="B351" s="129"/>
      <c r="C351" s="129"/>
      <c r="D351" s="130"/>
      <c r="E351" s="129"/>
      <c r="F351" s="129"/>
      <c r="G351" s="129"/>
      <c r="H351" s="129"/>
      <c r="AB351" s="129"/>
    </row>
    <row r="352" spans="1:28" x14ac:dyDescent="0.15">
      <c r="A352" s="129"/>
      <c r="B352" s="129"/>
      <c r="C352" s="129"/>
      <c r="D352" s="130"/>
      <c r="E352" s="129"/>
      <c r="F352" s="129"/>
      <c r="G352" s="129"/>
      <c r="H352" s="129"/>
      <c r="AB352" s="129"/>
    </row>
    <row r="353" spans="1:28" x14ac:dyDescent="0.15">
      <c r="A353" s="129"/>
      <c r="B353" s="129"/>
      <c r="C353" s="129"/>
      <c r="D353" s="130"/>
      <c r="E353" s="129"/>
      <c r="F353" s="129"/>
      <c r="G353" s="129"/>
      <c r="H353" s="129"/>
      <c r="AB353" s="129"/>
    </row>
    <row r="354" spans="1:28" x14ac:dyDescent="0.15">
      <c r="A354" s="129"/>
      <c r="B354" s="129"/>
      <c r="C354" s="129"/>
      <c r="D354" s="130"/>
      <c r="E354" s="129"/>
      <c r="F354" s="129"/>
      <c r="G354" s="129"/>
      <c r="H354" s="129"/>
      <c r="AB354" s="129"/>
    </row>
    <row r="355" spans="1:28" x14ac:dyDescent="0.15">
      <c r="A355" s="129"/>
      <c r="B355" s="129"/>
      <c r="C355" s="129"/>
      <c r="D355" s="130"/>
      <c r="E355" s="129"/>
      <c r="F355" s="129"/>
      <c r="G355" s="129"/>
      <c r="H355" s="129"/>
      <c r="AB355" s="129"/>
    </row>
    <row r="356" spans="1:28" x14ac:dyDescent="0.15">
      <c r="A356" s="129"/>
      <c r="B356" s="129"/>
      <c r="C356" s="129"/>
      <c r="D356" s="130"/>
      <c r="E356" s="129"/>
      <c r="F356" s="129"/>
      <c r="G356" s="129"/>
      <c r="H356" s="129"/>
      <c r="AB356" s="129"/>
    </row>
    <row r="357" spans="1:28" x14ac:dyDescent="0.15">
      <c r="A357" s="129"/>
      <c r="B357" s="129"/>
      <c r="C357" s="129"/>
      <c r="D357" s="130"/>
      <c r="E357" s="129"/>
      <c r="F357" s="129"/>
      <c r="G357" s="129"/>
      <c r="H357" s="129"/>
      <c r="AB357" s="129"/>
    </row>
    <row r="358" spans="1:28" x14ac:dyDescent="0.15">
      <c r="A358" s="129"/>
      <c r="B358" s="129"/>
      <c r="C358" s="129"/>
      <c r="D358" s="130"/>
      <c r="E358" s="129"/>
      <c r="F358" s="129"/>
      <c r="G358" s="129"/>
      <c r="H358" s="129"/>
      <c r="AB358" s="129"/>
    </row>
    <row r="359" spans="1:28" x14ac:dyDescent="0.15">
      <c r="A359" s="129"/>
      <c r="B359" s="129"/>
      <c r="C359" s="129"/>
      <c r="D359" s="130"/>
      <c r="E359" s="129"/>
      <c r="F359" s="129"/>
      <c r="G359" s="129"/>
      <c r="H359" s="129"/>
      <c r="AB359" s="129"/>
    </row>
    <row r="360" spans="1:28" x14ac:dyDescent="0.15">
      <c r="A360" s="129"/>
      <c r="B360" s="129"/>
      <c r="C360" s="129"/>
      <c r="D360" s="130"/>
      <c r="E360" s="129"/>
      <c r="F360" s="129"/>
      <c r="G360" s="129"/>
      <c r="H360" s="129"/>
      <c r="AB360" s="129"/>
    </row>
    <row r="361" spans="1:28" x14ac:dyDescent="0.15">
      <c r="A361" s="129"/>
      <c r="B361" s="129"/>
      <c r="C361" s="129"/>
      <c r="D361" s="130"/>
      <c r="E361" s="129"/>
      <c r="F361" s="129"/>
      <c r="G361" s="129"/>
      <c r="H361" s="129"/>
      <c r="AB361" s="129"/>
    </row>
    <row r="362" spans="1:28" x14ac:dyDescent="0.15">
      <c r="A362" s="129"/>
      <c r="B362" s="129"/>
      <c r="C362" s="129"/>
      <c r="D362" s="130"/>
      <c r="E362" s="129"/>
      <c r="F362" s="129"/>
      <c r="G362" s="129"/>
      <c r="H362" s="129"/>
      <c r="AB362" s="129"/>
    </row>
    <row r="363" spans="1:28" x14ac:dyDescent="0.15">
      <c r="A363" s="129"/>
      <c r="B363" s="129"/>
      <c r="C363" s="129"/>
      <c r="D363" s="130"/>
      <c r="E363" s="129"/>
      <c r="F363" s="129"/>
      <c r="G363" s="129"/>
      <c r="H363" s="129"/>
      <c r="AB363" s="129"/>
    </row>
    <row r="364" spans="1:28" x14ac:dyDescent="0.15">
      <c r="A364" s="129"/>
      <c r="B364" s="129"/>
      <c r="C364" s="129"/>
      <c r="D364" s="130"/>
      <c r="E364" s="129"/>
      <c r="F364" s="129"/>
      <c r="G364" s="129"/>
      <c r="H364" s="129"/>
      <c r="AB364" s="129"/>
    </row>
    <row r="365" spans="1:28" x14ac:dyDescent="0.15">
      <c r="A365" s="129"/>
      <c r="B365" s="129"/>
      <c r="C365" s="129"/>
      <c r="D365" s="130"/>
      <c r="E365" s="129"/>
      <c r="F365" s="129"/>
      <c r="G365" s="129"/>
      <c r="H365" s="129"/>
      <c r="AB365" s="129"/>
    </row>
    <row r="366" spans="1:28" x14ac:dyDescent="0.15">
      <c r="A366" s="129"/>
      <c r="B366" s="129"/>
      <c r="C366" s="129"/>
      <c r="D366" s="130"/>
      <c r="E366" s="129"/>
      <c r="F366" s="129"/>
      <c r="G366" s="129"/>
      <c r="H366" s="129"/>
      <c r="AB366" s="129"/>
    </row>
    <row r="367" spans="1:28" x14ac:dyDescent="0.15">
      <c r="A367" s="129"/>
      <c r="B367" s="129"/>
      <c r="C367" s="129"/>
      <c r="D367" s="130"/>
      <c r="E367" s="129"/>
      <c r="F367" s="129"/>
      <c r="G367" s="129"/>
      <c r="H367" s="129"/>
      <c r="AB367" s="129"/>
    </row>
    <row r="368" spans="1:28" x14ac:dyDescent="0.15">
      <c r="A368" s="129"/>
      <c r="B368" s="129"/>
      <c r="C368" s="129"/>
      <c r="D368" s="130"/>
      <c r="E368" s="129"/>
      <c r="F368" s="129"/>
      <c r="G368" s="129"/>
      <c r="H368" s="129"/>
      <c r="AB368" s="129"/>
    </row>
    <row r="369" spans="1:28" x14ac:dyDescent="0.15">
      <c r="A369" s="129"/>
      <c r="B369" s="129"/>
      <c r="C369" s="129"/>
      <c r="D369" s="130"/>
      <c r="E369" s="129"/>
      <c r="F369" s="129"/>
      <c r="G369" s="129"/>
      <c r="H369" s="129"/>
      <c r="AB369" s="129"/>
    </row>
    <row r="370" spans="1:28" x14ac:dyDescent="0.15">
      <c r="A370" s="129"/>
      <c r="B370" s="129"/>
      <c r="C370" s="129"/>
      <c r="D370" s="130"/>
      <c r="E370" s="129"/>
      <c r="F370" s="129"/>
      <c r="G370" s="129"/>
      <c r="H370" s="129"/>
      <c r="AB370" s="129"/>
    </row>
    <row r="371" spans="1:28" x14ac:dyDescent="0.15">
      <c r="A371" s="129"/>
      <c r="B371" s="129"/>
      <c r="C371" s="129"/>
      <c r="D371" s="130"/>
      <c r="E371" s="129"/>
      <c r="F371" s="129"/>
      <c r="G371" s="129"/>
      <c r="H371" s="129"/>
      <c r="AB371" s="129"/>
    </row>
    <row r="372" spans="1:28" x14ac:dyDescent="0.15">
      <c r="A372" s="129"/>
      <c r="B372" s="129"/>
      <c r="C372" s="129"/>
      <c r="D372" s="130"/>
      <c r="E372" s="129"/>
      <c r="F372" s="129"/>
      <c r="G372" s="129"/>
      <c r="H372" s="129"/>
      <c r="AB372" s="129"/>
    </row>
    <row r="373" spans="1:28" x14ac:dyDescent="0.15">
      <c r="A373" s="129"/>
      <c r="B373" s="129"/>
      <c r="C373" s="129"/>
      <c r="D373" s="130"/>
      <c r="E373" s="129"/>
      <c r="F373" s="129"/>
      <c r="G373" s="129"/>
      <c r="H373" s="129"/>
      <c r="AB373" s="129"/>
    </row>
    <row r="374" spans="1:28" x14ac:dyDescent="0.15">
      <c r="A374" s="129"/>
      <c r="B374" s="129"/>
      <c r="C374" s="129"/>
      <c r="D374" s="130"/>
      <c r="E374" s="129"/>
      <c r="F374" s="129"/>
      <c r="G374" s="129"/>
      <c r="H374" s="129"/>
      <c r="AB374" s="129"/>
    </row>
    <row r="375" spans="1:28" x14ac:dyDescent="0.15">
      <c r="A375" s="129"/>
      <c r="B375" s="129"/>
      <c r="C375" s="129"/>
      <c r="D375" s="130"/>
      <c r="E375" s="129"/>
      <c r="F375" s="129"/>
      <c r="G375" s="129"/>
      <c r="H375" s="129"/>
      <c r="AB375" s="129"/>
    </row>
    <row r="376" spans="1:28" x14ac:dyDescent="0.15">
      <c r="A376" s="129"/>
      <c r="B376" s="129"/>
      <c r="C376" s="129"/>
      <c r="D376" s="130"/>
      <c r="E376" s="129"/>
      <c r="F376" s="129"/>
      <c r="G376" s="129"/>
      <c r="H376" s="129"/>
      <c r="AB376" s="129"/>
    </row>
    <row r="377" spans="1:28" x14ac:dyDescent="0.15">
      <c r="A377" s="129"/>
      <c r="B377" s="129"/>
      <c r="C377" s="129"/>
      <c r="D377" s="130"/>
      <c r="E377" s="129"/>
      <c r="F377" s="129"/>
      <c r="G377" s="129"/>
      <c r="H377" s="129"/>
      <c r="AB377" s="129"/>
    </row>
    <row r="378" spans="1:28" x14ac:dyDescent="0.15">
      <c r="A378" s="129"/>
      <c r="B378" s="129"/>
      <c r="C378" s="129"/>
      <c r="D378" s="130"/>
      <c r="E378" s="129"/>
      <c r="F378" s="129"/>
      <c r="G378" s="129"/>
      <c r="H378" s="129"/>
      <c r="AB378" s="129"/>
    </row>
    <row r="379" spans="1:28" x14ac:dyDescent="0.15">
      <c r="A379" s="129"/>
      <c r="B379" s="129"/>
      <c r="C379" s="129"/>
      <c r="D379" s="130"/>
      <c r="E379" s="129"/>
      <c r="F379" s="129"/>
      <c r="G379" s="129"/>
      <c r="H379" s="129"/>
      <c r="AB379" s="129"/>
    </row>
    <row r="380" spans="1:28" x14ac:dyDescent="0.15">
      <c r="A380" s="129"/>
      <c r="B380" s="129"/>
      <c r="C380" s="129"/>
      <c r="D380" s="130"/>
      <c r="E380" s="129"/>
      <c r="F380" s="129"/>
      <c r="G380" s="129"/>
      <c r="H380" s="129"/>
      <c r="AB380" s="129"/>
    </row>
    <row r="381" spans="1:28" x14ac:dyDescent="0.15">
      <c r="A381" s="129"/>
      <c r="B381" s="129"/>
      <c r="C381" s="129"/>
      <c r="D381" s="130"/>
      <c r="E381" s="129"/>
      <c r="F381" s="129"/>
      <c r="G381" s="129"/>
      <c r="H381" s="129"/>
      <c r="AB381" s="129"/>
    </row>
    <row r="382" spans="1:28" x14ac:dyDescent="0.15">
      <c r="A382" s="129"/>
      <c r="B382" s="129"/>
      <c r="C382" s="129"/>
      <c r="D382" s="130"/>
      <c r="E382" s="129"/>
      <c r="F382" s="129"/>
      <c r="G382" s="129"/>
      <c r="H382" s="129"/>
      <c r="AB382" s="129"/>
    </row>
    <row r="383" spans="1:28" x14ac:dyDescent="0.15">
      <c r="A383" s="129"/>
      <c r="B383" s="129"/>
      <c r="C383" s="129"/>
      <c r="D383" s="130"/>
      <c r="E383" s="129"/>
      <c r="F383" s="129"/>
      <c r="G383" s="129"/>
      <c r="H383" s="129"/>
      <c r="AB383" s="129"/>
    </row>
    <row r="384" spans="1:28" x14ac:dyDescent="0.15">
      <c r="A384" s="129"/>
      <c r="B384" s="129"/>
      <c r="C384" s="129"/>
      <c r="D384" s="130"/>
      <c r="E384" s="129"/>
      <c r="F384" s="129"/>
      <c r="G384" s="129"/>
      <c r="H384" s="129"/>
      <c r="AB384" s="129"/>
    </row>
    <row r="385" spans="1:28" x14ac:dyDescent="0.15">
      <c r="A385" s="129"/>
      <c r="B385" s="129"/>
      <c r="C385" s="129"/>
      <c r="D385" s="130"/>
      <c r="E385" s="129"/>
      <c r="F385" s="129"/>
      <c r="G385" s="129"/>
      <c r="H385" s="129"/>
      <c r="AB385" s="129"/>
    </row>
    <row r="386" spans="1:28" x14ac:dyDescent="0.15">
      <c r="A386" s="129"/>
      <c r="B386" s="129"/>
      <c r="C386" s="129"/>
      <c r="D386" s="130"/>
      <c r="E386" s="129"/>
      <c r="F386" s="129"/>
      <c r="G386" s="129"/>
      <c r="H386" s="129"/>
      <c r="AB386" s="129"/>
    </row>
    <row r="387" spans="1:28" x14ac:dyDescent="0.15">
      <c r="A387" s="129"/>
      <c r="B387" s="129"/>
      <c r="C387" s="129"/>
      <c r="D387" s="130"/>
      <c r="E387" s="129"/>
      <c r="F387" s="129"/>
      <c r="G387" s="129"/>
      <c r="H387" s="129"/>
      <c r="AB387" s="129"/>
    </row>
    <row r="388" spans="1:28" x14ac:dyDescent="0.15">
      <c r="A388" s="129"/>
      <c r="B388" s="129"/>
      <c r="C388" s="129"/>
      <c r="D388" s="130"/>
      <c r="E388" s="129"/>
      <c r="F388" s="129"/>
      <c r="G388" s="129"/>
      <c r="H388" s="129"/>
      <c r="AB388" s="129"/>
    </row>
    <row r="389" spans="1:28" x14ac:dyDescent="0.15">
      <c r="A389" s="129"/>
      <c r="B389" s="129"/>
      <c r="C389" s="129"/>
      <c r="D389" s="130"/>
      <c r="E389" s="129"/>
      <c r="F389" s="129"/>
      <c r="G389" s="129"/>
      <c r="H389" s="129"/>
      <c r="AB389" s="129"/>
    </row>
    <row r="390" spans="1:28" x14ac:dyDescent="0.15">
      <c r="A390" s="129"/>
      <c r="B390" s="129"/>
      <c r="C390" s="129"/>
      <c r="D390" s="130"/>
      <c r="E390" s="129"/>
      <c r="F390" s="129"/>
      <c r="G390" s="129"/>
      <c r="H390" s="129"/>
      <c r="AB390" s="129"/>
    </row>
    <row r="391" spans="1:28" x14ac:dyDescent="0.15">
      <c r="A391" s="129"/>
      <c r="B391" s="129"/>
      <c r="C391" s="129"/>
      <c r="D391" s="130"/>
      <c r="E391" s="129"/>
      <c r="F391" s="129"/>
      <c r="G391" s="129"/>
      <c r="H391" s="129"/>
      <c r="AB391" s="129"/>
    </row>
    <row r="392" spans="1:28" x14ac:dyDescent="0.15">
      <c r="A392" s="129"/>
      <c r="B392" s="129"/>
      <c r="C392" s="129"/>
      <c r="D392" s="130"/>
      <c r="E392" s="129"/>
      <c r="F392" s="129"/>
      <c r="G392" s="129"/>
      <c r="H392" s="129"/>
      <c r="AB392" s="129"/>
    </row>
    <row r="393" spans="1:28" x14ac:dyDescent="0.15">
      <c r="A393" s="129"/>
      <c r="B393" s="129"/>
      <c r="C393" s="129"/>
      <c r="D393" s="130"/>
      <c r="E393" s="129"/>
      <c r="F393" s="129"/>
      <c r="G393" s="129"/>
      <c r="H393" s="129"/>
      <c r="AB393" s="129"/>
    </row>
    <row r="394" spans="1:28" x14ac:dyDescent="0.15">
      <c r="A394" s="129"/>
      <c r="B394" s="129"/>
      <c r="C394" s="129"/>
      <c r="D394" s="130"/>
      <c r="E394" s="129"/>
      <c r="F394" s="129"/>
      <c r="G394" s="129"/>
      <c r="H394" s="129"/>
      <c r="AB394" s="129"/>
    </row>
    <row r="395" spans="1:28" x14ac:dyDescent="0.15">
      <c r="A395" s="129"/>
      <c r="B395" s="129"/>
      <c r="C395" s="129"/>
      <c r="D395" s="130"/>
      <c r="E395" s="129"/>
      <c r="F395" s="129"/>
      <c r="G395" s="129"/>
      <c r="H395" s="129"/>
      <c r="AB395" s="129"/>
    </row>
    <row r="396" spans="1:28" x14ac:dyDescent="0.15">
      <c r="A396" s="129"/>
      <c r="B396" s="129"/>
      <c r="C396" s="129"/>
      <c r="D396" s="130"/>
      <c r="E396" s="129"/>
      <c r="F396" s="129"/>
      <c r="G396" s="129"/>
      <c r="H396" s="129"/>
      <c r="AB396" s="129"/>
    </row>
    <row r="397" spans="1:28" x14ac:dyDescent="0.15">
      <c r="A397" s="129"/>
      <c r="B397" s="129"/>
      <c r="C397" s="129"/>
      <c r="D397" s="130"/>
      <c r="E397" s="129"/>
      <c r="F397" s="129"/>
      <c r="G397" s="129"/>
      <c r="H397" s="129"/>
      <c r="AB397" s="129"/>
    </row>
    <row r="398" spans="1:28" x14ac:dyDescent="0.15">
      <c r="A398" s="129"/>
      <c r="B398" s="129"/>
      <c r="C398" s="129"/>
      <c r="D398" s="130"/>
      <c r="E398" s="129"/>
      <c r="F398" s="129"/>
      <c r="G398" s="129"/>
      <c r="H398" s="129"/>
      <c r="AB398" s="129"/>
    </row>
    <row r="399" spans="1:28" x14ac:dyDescent="0.15">
      <c r="A399" s="129"/>
      <c r="B399" s="129"/>
      <c r="C399" s="129"/>
      <c r="D399" s="130"/>
      <c r="E399" s="129"/>
      <c r="F399" s="129"/>
      <c r="G399" s="129"/>
      <c r="H399" s="129"/>
      <c r="AB399" s="129"/>
    </row>
    <row r="400" spans="1:28" x14ac:dyDescent="0.15">
      <c r="A400" s="129"/>
      <c r="B400" s="129"/>
      <c r="C400" s="129"/>
      <c r="D400" s="130"/>
      <c r="E400" s="129"/>
      <c r="F400" s="129"/>
      <c r="G400" s="129"/>
      <c r="H400" s="129"/>
      <c r="AB400" s="129"/>
    </row>
    <row r="401" spans="1:28" x14ac:dyDescent="0.15">
      <c r="A401" s="129"/>
      <c r="B401" s="129"/>
      <c r="C401" s="129"/>
      <c r="D401" s="130"/>
      <c r="E401" s="129"/>
      <c r="F401" s="129"/>
      <c r="G401" s="129"/>
      <c r="H401" s="129"/>
      <c r="AB401" s="129"/>
    </row>
    <row r="402" spans="1:28" x14ac:dyDescent="0.15">
      <c r="A402" s="129"/>
      <c r="B402" s="129"/>
      <c r="C402" s="129"/>
      <c r="D402" s="130"/>
      <c r="E402" s="129"/>
      <c r="F402" s="129"/>
      <c r="G402" s="129"/>
      <c r="H402" s="129"/>
      <c r="AB402" s="129"/>
    </row>
    <row r="403" spans="1:28" x14ac:dyDescent="0.15">
      <c r="A403" s="129"/>
      <c r="B403" s="129"/>
      <c r="C403" s="129"/>
      <c r="D403" s="130"/>
      <c r="E403" s="129"/>
      <c r="F403" s="129"/>
      <c r="G403" s="129"/>
      <c r="H403" s="129"/>
      <c r="AB403" s="129"/>
    </row>
    <row r="404" spans="1:28" x14ac:dyDescent="0.15">
      <c r="A404" s="129"/>
      <c r="B404" s="129"/>
      <c r="C404" s="129"/>
      <c r="D404" s="130"/>
      <c r="E404" s="129"/>
      <c r="F404" s="129"/>
      <c r="G404" s="129"/>
      <c r="H404" s="129"/>
      <c r="AB404" s="129"/>
    </row>
    <row r="405" spans="1:28" x14ac:dyDescent="0.15">
      <c r="A405" s="129"/>
      <c r="B405" s="129"/>
      <c r="C405" s="129"/>
      <c r="D405" s="130"/>
      <c r="E405" s="129"/>
      <c r="F405" s="129"/>
      <c r="G405" s="129"/>
      <c r="H405" s="129"/>
      <c r="AB405" s="129"/>
    </row>
    <row r="406" spans="1:28" x14ac:dyDescent="0.15">
      <c r="A406" s="129"/>
      <c r="B406" s="129"/>
      <c r="C406" s="129"/>
      <c r="D406" s="130"/>
      <c r="E406" s="129"/>
      <c r="F406" s="129"/>
      <c r="G406" s="129"/>
      <c r="H406" s="129"/>
      <c r="AB406" s="129"/>
    </row>
    <row r="407" spans="1:28" x14ac:dyDescent="0.15">
      <c r="A407" s="129"/>
      <c r="B407" s="129"/>
      <c r="C407" s="129"/>
      <c r="D407" s="130"/>
      <c r="E407" s="129"/>
      <c r="F407" s="129"/>
      <c r="G407" s="129"/>
      <c r="H407" s="129"/>
      <c r="AB407" s="129"/>
    </row>
    <row r="408" spans="1:28" x14ac:dyDescent="0.15">
      <c r="A408" s="129"/>
      <c r="B408" s="129"/>
      <c r="C408" s="129"/>
      <c r="D408" s="130"/>
      <c r="E408" s="129"/>
      <c r="F408" s="129"/>
      <c r="G408" s="129"/>
      <c r="H408" s="129"/>
      <c r="AB408" s="129"/>
    </row>
    <row r="409" spans="1:28" x14ac:dyDescent="0.15">
      <c r="A409" s="129"/>
      <c r="B409" s="129"/>
      <c r="C409" s="129"/>
      <c r="D409" s="130"/>
      <c r="E409" s="129"/>
      <c r="F409" s="129"/>
      <c r="G409" s="129"/>
      <c r="H409" s="129"/>
      <c r="AB409" s="129"/>
    </row>
    <row r="410" spans="1:28" x14ac:dyDescent="0.15">
      <c r="A410" s="129"/>
      <c r="B410" s="129"/>
      <c r="C410" s="129"/>
      <c r="D410" s="130"/>
      <c r="E410" s="129"/>
      <c r="F410" s="129"/>
      <c r="G410" s="129"/>
      <c r="H410" s="129"/>
      <c r="AB410" s="129"/>
    </row>
    <row r="411" spans="1:28" x14ac:dyDescent="0.15">
      <c r="A411" s="129"/>
      <c r="B411" s="129"/>
      <c r="C411" s="129"/>
      <c r="D411" s="130"/>
      <c r="E411" s="129"/>
      <c r="F411" s="129"/>
      <c r="G411" s="129"/>
      <c r="H411" s="129"/>
      <c r="AB411" s="129"/>
    </row>
    <row r="412" spans="1:28" x14ac:dyDescent="0.15">
      <c r="A412" s="129"/>
      <c r="B412" s="129"/>
      <c r="C412" s="129"/>
      <c r="D412" s="130"/>
      <c r="E412" s="129"/>
      <c r="F412" s="129"/>
      <c r="G412" s="129"/>
      <c r="H412" s="129"/>
      <c r="AB412" s="129"/>
    </row>
    <row r="413" spans="1:28" x14ac:dyDescent="0.15">
      <c r="A413" s="129"/>
      <c r="B413" s="129"/>
      <c r="C413" s="129"/>
      <c r="D413" s="130"/>
      <c r="E413" s="129"/>
      <c r="F413" s="129"/>
      <c r="G413" s="129"/>
      <c r="H413" s="129"/>
      <c r="AB413" s="129"/>
    </row>
    <row r="414" spans="1:28" x14ac:dyDescent="0.15">
      <c r="A414" s="129"/>
      <c r="B414" s="129"/>
      <c r="C414" s="129"/>
      <c r="D414" s="130"/>
      <c r="E414" s="129"/>
      <c r="F414" s="129"/>
      <c r="G414" s="129"/>
      <c r="H414" s="129"/>
      <c r="AB414" s="129"/>
    </row>
    <row r="415" spans="1:28" x14ac:dyDescent="0.15">
      <c r="A415" s="129"/>
      <c r="B415" s="129"/>
      <c r="C415" s="129"/>
      <c r="D415" s="130"/>
      <c r="E415" s="129"/>
      <c r="F415" s="129"/>
      <c r="G415" s="129"/>
      <c r="H415" s="129"/>
      <c r="AB415" s="129"/>
    </row>
    <row r="416" spans="1:28" x14ac:dyDescent="0.15">
      <c r="A416" s="129"/>
      <c r="B416" s="129"/>
      <c r="C416" s="129"/>
      <c r="D416" s="130"/>
      <c r="E416" s="129"/>
      <c r="F416" s="129"/>
      <c r="G416" s="129"/>
      <c r="H416" s="129"/>
      <c r="AB416" s="129"/>
    </row>
    <row r="417" spans="1:28" x14ac:dyDescent="0.15">
      <c r="A417" s="129"/>
      <c r="B417" s="129"/>
      <c r="C417" s="129"/>
      <c r="D417" s="130"/>
      <c r="E417" s="129"/>
      <c r="F417" s="129"/>
      <c r="G417" s="129"/>
      <c r="H417" s="129"/>
      <c r="AB417" s="129"/>
    </row>
    <row r="418" spans="1:28" x14ac:dyDescent="0.15">
      <c r="A418" s="129"/>
      <c r="B418" s="129"/>
      <c r="C418" s="129"/>
      <c r="D418" s="130"/>
      <c r="E418" s="129"/>
      <c r="F418" s="129"/>
      <c r="G418" s="129"/>
      <c r="H418" s="129"/>
      <c r="AB418" s="129"/>
    </row>
    <row r="419" spans="1:28" x14ac:dyDescent="0.15">
      <c r="A419" s="129"/>
      <c r="B419" s="129"/>
      <c r="C419" s="129"/>
      <c r="D419" s="130"/>
      <c r="E419" s="129"/>
      <c r="F419" s="129"/>
      <c r="G419" s="129"/>
      <c r="H419" s="129"/>
      <c r="AB419" s="129"/>
    </row>
    <row r="420" spans="1:28" x14ac:dyDescent="0.15">
      <c r="A420" s="129"/>
      <c r="B420" s="129"/>
      <c r="C420" s="129"/>
      <c r="D420" s="130"/>
      <c r="E420" s="129"/>
      <c r="F420" s="129"/>
      <c r="G420" s="129"/>
      <c r="H420" s="129"/>
      <c r="AB420" s="129"/>
    </row>
    <row r="421" spans="1:28" x14ac:dyDescent="0.15">
      <c r="A421" s="129"/>
      <c r="B421" s="129"/>
      <c r="C421" s="129"/>
      <c r="D421" s="130"/>
      <c r="E421" s="129"/>
      <c r="F421" s="129"/>
      <c r="G421" s="129"/>
      <c r="H421" s="129"/>
      <c r="AB421" s="129"/>
    </row>
    <row r="422" spans="1:28" x14ac:dyDescent="0.15">
      <c r="A422" s="129"/>
      <c r="B422" s="129"/>
      <c r="C422" s="129"/>
      <c r="D422" s="130"/>
      <c r="E422" s="129"/>
      <c r="F422" s="129"/>
      <c r="G422" s="129"/>
      <c r="H422" s="129"/>
      <c r="AB422" s="129"/>
    </row>
    <row r="423" spans="1:28" x14ac:dyDescent="0.15">
      <c r="A423" s="129"/>
      <c r="B423" s="129"/>
      <c r="C423" s="129"/>
      <c r="D423" s="130"/>
      <c r="E423" s="129"/>
      <c r="F423" s="129"/>
      <c r="G423" s="129"/>
      <c r="H423" s="129"/>
      <c r="AB423" s="129"/>
    </row>
    <row r="424" spans="1:28" x14ac:dyDescent="0.15">
      <c r="A424" s="129"/>
      <c r="B424" s="129"/>
      <c r="C424" s="129"/>
      <c r="D424" s="130"/>
      <c r="E424" s="129"/>
      <c r="F424" s="129"/>
      <c r="G424" s="129"/>
      <c r="H424" s="129"/>
      <c r="AB424" s="129"/>
    </row>
    <row r="425" spans="1:28" x14ac:dyDescent="0.15">
      <c r="A425" s="129"/>
      <c r="B425" s="129"/>
      <c r="C425" s="129"/>
      <c r="D425" s="130"/>
      <c r="E425" s="129"/>
      <c r="F425" s="129"/>
      <c r="G425" s="129"/>
      <c r="H425" s="129"/>
      <c r="AB425" s="129"/>
    </row>
    <row r="426" spans="1:28" x14ac:dyDescent="0.15">
      <c r="A426" s="129"/>
      <c r="B426" s="129"/>
      <c r="C426" s="129"/>
      <c r="D426" s="130"/>
      <c r="E426" s="129"/>
      <c r="F426" s="129"/>
      <c r="G426" s="129"/>
      <c r="H426" s="129"/>
      <c r="AB426" s="129"/>
    </row>
    <row r="427" spans="1:28" x14ac:dyDescent="0.15">
      <c r="A427" s="129"/>
      <c r="B427" s="129"/>
      <c r="C427" s="129"/>
      <c r="D427" s="130"/>
      <c r="E427" s="129"/>
      <c r="F427" s="129"/>
      <c r="G427" s="129"/>
      <c r="H427" s="129"/>
      <c r="AB427" s="129"/>
    </row>
    <row r="428" spans="1:28" x14ac:dyDescent="0.15">
      <c r="A428" s="129"/>
      <c r="B428" s="129"/>
      <c r="C428" s="129"/>
      <c r="D428" s="130"/>
      <c r="E428" s="129"/>
      <c r="F428" s="129"/>
      <c r="G428" s="129"/>
      <c r="H428" s="129"/>
      <c r="AB428" s="129"/>
    </row>
    <row r="429" spans="1:28" x14ac:dyDescent="0.15">
      <c r="A429" s="129"/>
      <c r="B429" s="129"/>
      <c r="C429" s="129"/>
      <c r="D429" s="130"/>
      <c r="E429" s="129"/>
      <c r="F429" s="129"/>
      <c r="G429" s="129"/>
      <c r="H429" s="129"/>
      <c r="AB429" s="129"/>
    </row>
    <row r="430" spans="1:28" x14ac:dyDescent="0.15">
      <c r="A430" s="129"/>
      <c r="B430" s="129"/>
      <c r="C430" s="129"/>
      <c r="D430" s="130"/>
      <c r="E430" s="129"/>
      <c r="F430" s="129"/>
      <c r="G430" s="129"/>
      <c r="H430" s="129"/>
      <c r="AB430" s="129"/>
    </row>
    <row r="431" spans="1:28" x14ac:dyDescent="0.15">
      <c r="A431" s="129"/>
      <c r="B431" s="129"/>
      <c r="C431" s="129"/>
      <c r="D431" s="130"/>
      <c r="E431" s="129"/>
      <c r="F431" s="129"/>
      <c r="G431" s="129"/>
      <c r="H431" s="129"/>
      <c r="AB431" s="129"/>
    </row>
    <row r="432" spans="1:28" x14ac:dyDescent="0.15">
      <c r="A432" s="129"/>
      <c r="B432" s="129"/>
      <c r="C432" s="129"/>
      <c r="D432" s="130"/>
      <c r="E432" s="129"/>
      <c r="F432" s="129"/>
      <c r="G432" s="129"/>
      <c r="H432" s="129"/>
      <c r="AB432" s="129"/>
    </row>
    <row r="433" spans="1:28" x14ac:dyDescent="0.15">
      <c r="A433" s="129"/>
      <c r="B433" s="129"/>
      <c r="C433" s="129"/>
      <c r="D433" s="130"/>
      <c r="E433" s="129"/>
      <c r="F433" s="129"/>
      <c r="G433" s="129"/>
      <c r="H433" s="129"/>
      <c r="AB433" s="129"/>
    </row>
    <row r="434" spans="1:28" x14ac:dyDescent="0.15">
      <c r="A434" s="129"/>
      <c r="B434" s="129"/>
      <c r="C434" s="129"/>
      <c r="D434" s="130"/>
      <c r="E434" s="129"/>
      <c r="F434" s="129"/>
      <c r="G434" s="129"/>
      <c r="H434" s="129"/>
      <c r="AB434" s="129"/>
    </row>
    <row r="435" spans="1:28" x14ac:dyDescent="0.15">
      <c r="A435" s="129"/>
      <c r="B435" s="129"/>
      <c r="C435" s="129"/>
      <c r="D435" s="130"/>
      <c r="E435" s="129"/>
      <c r="F435" s="129"/>
      <c r="G435" s="129"/>
      <c r="H435" s="129"/>
      <c r="AB435" s="129"/>
    </row>
    <row r="436" spans="1:28" x14ac:dyDescent="0.15">
      <c r="A436" s="129"/>
      <c r="B436" s="129"/>
      <c r="C436" s="129"/>
      <c r="D436" s="130"/>
      <c r="E436" s="129"/>
      <c r="F436" s="129"/>
      <c r="G436" s="129"/>
      <c r="H436" s="129"/>
      <c r="AB436" s="129"/>
    </row>
    <row r="437" spans="1:28" x14ac:dyDescent="0.15">
      <c r="A437" s="129"/>
      <c r="B437" s="129"/>
      <c r="C437" s="129"/>
      <c r="D437" s="130"/>
      <c r="E437" s="129"/>
      <c r="F437" s="129"/>
      <c r="G437" s="129"/>
      <c r="H437" s="129"/>
      <c r="AB437" s="129"/>
    </row>
    <row r="438" spans="1:28" x14ac:dyDescent="0.15">
      <c r="A438" s="129"/>
      <c r="B438" s="129"/>
      <c r="C438" s="129"/>
      <c r="D438" s="130"/>
      <c r="E438" s="129"/>
      <c r="F438" s="129"/>
      <c r="G438" s="129"/>
      <c r="H438" s="129"/>
      <c r="AB438" s="129"/>
    </row>
    <row r="439" spans="1:28" x14ac:dyDescent="0.15">
      <c r="A439" s="129"/>
      <c r="B439" s="129"/>
      <c r="C439" s="129"/>
      <c r="D439" s="130"/>
      <c r="E439" s="129"/>
      <c r="F439" s="129"/>
      <c r="G439" s="129"/>
      <c r="H439" s="129"/>
      <c r="AB439" s="129"/>
    </row>
    <row r="440" spans="1:28" x14ac:dyDescent="0.15">
      <c r="A440" s="129"/>
      <c r="B440" s="129"/>
      <c r="C440" s="129"/>
      <c r="D440" s="130"/>
      <c r="E440" s="129"/>
      <c r="F440" s="129"/>
      <c r="G440" s="129"/>
      <c r="H440" s="129"/>
      <c r="AB440" s="129"/>
    </row>
    <row r="441" spans="1:28" x14ac:dyDescent="0.15">
      <c r="A441" s="129"/>
      <c r="B441" s="129"/>
      <c r="C441" s="129"/>
      <c r="D441" s="130"/>
      <c r="E441" s="129"/>
      <c r="F441" s="129"/>
      <c r="G441" s="129"/>
      <c r="H441" s="129"/>
      <c r="AB441" s="129"/>
    </row>
    <row r="442" spans="1:28" x14ac:dyDescent="0.15">
      <c r="A442" s="129"/>
      <c r="B442" s="129"/>
      <c r="C442" s="129"/>
      <c r="D442" s="130"/>
      <c r="E442" s="129"/>
      <c r="F442" s="129"/>
      <c r="G442" s="129"/>
      <c r="H442" s="129"/>
      <c r="AB442" s="129"/>
    </row>
    <row r="443" spans="1:28" x14ac:dyDescent="0.15">
      <c r="A443" s="129"/>
      <c r="B443" s="129"/>
      <c r="C443" s="129"/>
      <c r="D443" s="130"/>
      <c r="E443" s="129"/>
      <c r="F443" s="129"/>
      <c r="G443" s="129"/>
      <c r="H443" s="129"/>
      <c r="AB443" s="129"/>
    </row>
    <row r="444" spans="1:28" x14ac:dyDescent="0.15">
      <c r="A444" s="129"/>
      <c r="B444" s="129"/>
      <c r="C444" s="129"/>
      <c r="D444" s="130"/>
      <c r="E444" s="129"/>
      <c r="F444" s="129"/>
      <c r="G444" s="129"/>
      <c r="H444" s="129"/>
      <c r="AB444" s="129"/>
    </row>
    <row r="445" spans="1:28" x14ac:dyDescent="0.15">
      <c r="A445" s="129"/>
      <c r="B445" s="129"/>
      <c r="C445" s="129"/>
      <c r="D445" s="130"/>
      <c r="E445" s="129"/>
      <c r="F445" s="129"/>
      <c r="G445" s="129"/>
      <c r="H445" s="129"/>
      <c r="AB445" s="129"/>
    </row>
    <row r="446" spans="1:28" x14ac:dyDescent="0.15">
      <c r="A446" s="129"/>
      <c r="B446" s="129"/>
      <c r="C446" s="129"/>
      <c r="D446" s="130"/>
      <c r="E446" s="129"/>
      <c r="F446" s="129"/>
      <c r="G446" s="129"/>
      <c r="H446" s="129"/>
      <c r="AB446" s="129"/>
    </row>
    <row r="447" spans="1:28" x14ac:dyDescent="0.15">
      <c r="A447" s="129"/>
      <c r="B447" s="129"/>
      <c r="C447" s="129"/>
      <c r="D447" s="130"/>
      <c r="E447" s="129"/>
      <c r="F447" s="129"/>
      <c r="G447" s="129"/>
      <c r="H447" s="129"/>
      <c r="AB447" s="129"/>
    </row>
    <row r="448" spans="1:28" x14ac:dyDescent="0.15">
      <c r="A448" s="129"/>
      <c r="B448" s="129"/>
      <c r="C448" s="129"/>
      <c r="D448" s="130"/>
      <c r="E448" s="129"/>
      <c r="F448" s="129"/>
      <c r="G448" s="129"/>
      <c r="H448" s="129"/>
      <c r="AB448" s="129"/>
    </row>
    <row r="449" spans="1:28" x14ac:dyDescent="0.15">
      <c r="A449" s="129"/>
      <c r="B449" s="129"/>
      <c r="C449" s="129"/>
      <c r="D449" s="130"/>
      <c r="E449" s="129"/>
      <c r="F449" s="129"/>
      <c r="G449" s="129"/>
      <c r="H449" s="129"/>
      <c r="AB449" s="129"/>
    </row>
    <row r="450" spans="1:28" x14ac:dyDescent="0.15">
      <c r="A450" s="129"/>
      <c r="B450" s="129"/>
      <c r="C450" s="129"/>
      <c r="D450" s="130"/>
      <c r="E450" s="129"/>
      <c r="F450" s="129"/>
      <c r="G450" s="129"/>
      <c r="H450" s="129"/>
      <c r="AB450" s="129"/>
    </row>
    <row r="451" spans="1:28" x14ac:dyDescent="0.15">
      <c r="A451" s="129"/>
      <c r="B451" s="129"/>
      <c r="C451" s="129"/>
      <c r="D451" s="130"/>
      <c r="E451" s="129"/>
      <c r="F451" s="129"/>
      <c r="G451" s="129"/>
      <c r="H451" s="129"/>
      <c r="AB451" s="129"/>
    </row>
    <row r="452" spans="1:28" x14ac:dyDescent="0.15">
      <c r="A452" s="129"/>
      <c r="B452" s="129"/>
      <c r="C452" s="129"/>
      <c r="D452" s="130"/>
      <c r="E452" s="129"/>
      <c r="F452" s="129"/>
      <c r="G452" s="129"/>
      <c r="H452" s="129"/>
      <c r="AB452" s="129"/>
    </row>
    <row r="453" spans="1:28" x14ac:dyDescent="0.15">
      <c r="A453" s="129"/>
      <c r="B453" s="129"/>
      <c r="C453" s="129"/>
      <c r="D453" s="130"/>
      <c r="E453" s="129"/>
      <c r="F453" s="129"/>
      <c r="G453" s="129"/>
      <c r="H453" s="129"/>
      <c r="AB453" s="129"/>
    </row>
    <row r="454" spans="1:28" x14ac:dyDescent="0.15">
      <c r="A454" s="129"/>
      <c r="B454" s="129"/>
      <c r="C454" s="129"/>
      <c r="D454" s="130"/>
      <c r="E454" s="129"/>
      <c r="F454" s="129"/>
      <c r="G454" s="129"/>
      <c r="H454" s="129"/>
      <c r="AB454" s="129"/>
    </row>
    <row r="455" spans="1:28" x14ac:dyDescent="0.15">
      <c r="A455" s="129"/>
      <c r="B455" s="129"/>
      <c r="C455" s="129"/>
      <c r="D455" s="130"/>
      <c r="E455" s="129"/>
      <c r="F455" s="129"/>
      <c r="G455" s="129"/>
      <c r="H455" s="129"/>
      <c r="AB455" s="129"/>
    </row>
    <row r="456" spans="1:28" x14ac:dyDescent="0.15">
      <c r="A456" s="129"/>
      <c r="B456" s="129"/>
      <c r="C456" s="129"/>
      <c r="D456" s="130"/>
      <c r="E456" s="129"/>
      <c r="F456" s="129"/>
      <c r="G456" s="129"/>
      <c r="H456" s="129"/>
      <c r="AB456" s="129"/>
    </row>
    <row r="457" spans="1:28" x14ac:dyDescent="0.15">
      <c r="A457" s="129"/>
      <c r="B457" s="129"/>
      <c r="C457" s="129"/>
      <c r="D457" s="130"/>
      <c r="E457" s="129"/>
      <c r="F457" s="129"/>
      <c r="G457" s="129"/>
      <c r="H457" s="129"/>
      <c r="AB457" s="129"/>
    </row>
    <row r="458" spans="1:28" x14ac:dyDescent="0.15">
      <c r="A458" s="129"/>
      <c r="B458" s="129"/>
      <c r="C458" s="129"/>
      <c r="D458" s="130"/>
      <c r="E458" s="129"/>
      <c r="F458" s="129"/>
      <c r="G458" s="129"/>
      <c r="H458" s="129"/>
      <c r="AB458" s="129"/>
    </row>
    <row r="459" spans="1:28" x14ac:dyDescent="0.15">
      <c r="A459" s="129"/>
      <c r="B459" s="129"/>
      <c r="C459" s="129"/>
      <c r="D459" s="130"/>
      <c r="E459" s="129"/>
      <c r="F459" s="129"/>
      <c r="G459" s="129"/>
      <c r="H459" s="129"/>
      <c r="AB459" s="129"/>
    </row>
    <row r="460" spans="1:28" x14ac:dyDescent="0.15">
      <c r="A460" s="129"/>
      <c r="B460" s="129"/>
      <c r="C460" s="129"/>
      <c r="D460" s="130"/>
      <c r="E460" s="129"/>
      <c r="F460" s="129"/>
      <c r="G460" s="129"/>
      <c r="H460" s="129"/>
      <c r="AB460" s="129"/>
    </row>
    <row r="461" spans="1:28" x14ac:dyDescent="0.15">
      <c r="A461" s="129"/>
      <c r="B461" s="129"/>
      <c r="C461" s="129"/>
      <c r="D461" s="130"/>
      <c r="E461" s="129"/>
      <c r="F461" s="129"/>
      <c r="G461" s="129"/>
      <c r="H461" s="129"/>
      <c r="AB461" s="129"/>
    </row>
    <row r="462" spans="1:28" x14ac:dyDescent="0.15">
      <c r="A462" s="129"/>
      <c r="B462" s="129"/>
      <c r="C462" s="129"/>
      <c r="D462" s="130"/>
      <c r="E462" s="129"/>
      <c r="F462" s="129"/>
      <c r="G462" s="129"/>
      <c r="H462" s="129"/>
      <c r="AB462" s="129"/>
    </row>
    <row r="463" spans="1:28" x14ac:dyDescent="0.15">
      <c r="A463" s="129"/>
      <c r="B463" s="129"/>
      <c r="C463" s="129"/>
      <c r="D463" s="130"/>
      <c r="E463" s="129"/>
      <c r="F463" s="129"/>
      <c r="G463" s="129"/>
      <c r="H463" s="129"/>
      <c r="AB463" s="129"/>
    </row>
    <row r="464" spans="1:28" x14ac:dyDescent="0.15">
      <c r="A464" s="129"/>
      <c r="B464" s="129"/>
      <c r="C464" s="129"/>
      <c r="D464" s="130"/>
      <c r="E464" s="129"/>
      <c r="F464" s="129"/>
      <c r="G464" s="129"/>
      <c r="H464" s="129"/>
      <c r="AB464" s="129"/>
    </row>
    <row r="465" spans="1:28" x14ac:dyDescent="0.15">
      <c r="A465" s="129"/>
      <c r="B465" s="129"/>
      <c r="C465" s="129"/>
      <c r="D465" s="130"/>
      <c r="E465" s="129"/>
      <c r="F465" s="129"/>
      <c r="G465" s="129"/>
      <c r="H465" s="129"/>
      <c r="AB465" s="129"/>
    </row>
    <row r="466" spans="1:28" x14ac:dyDescent="0.15">
      <c r="A466" s="129"/>
      <c r="B466" s="129"/>
      <c r="C466" s="129"/>
      <c r="D466" s="130"/>
      <c r="E466" s="129"/>
      <c r="F466" s="129"/>
      <c r="G466" s="129"/>
      <c r="H466" s="129"/>
      <c r="AB466" s="129"/>
    </row>
    <row r="467" spans="1:28" x14ac:dyDescent="0.15">
      <c r="A467" s="129"/>
      <c r="B467" s="129"/>
      <c r="C467" s="129"/>
      <c r="D467" s="130"/>
      <c r="E467" s="129"/>
      <c r="F467" s="129"/>
      <c r="G467" s="129"/>
      <c r="H467" s="129"/>
      <c r="AB467" s="129"/>
    </row>
    <row r="468" spans="1:28" x14ac:dyDescent="0.15">
      <c r="A468" s="129"/>
      <c r="B468" s="129"/>
      <c r="C468" s="129"/>
      <c r="D468" s="130"/>
      <c r="E468" s="129"/>
      <c r="F468" s="129"/>
      <c r="G468" s="129"/>
      <c r="H468" s="129"/>
      <c r="AB468" s="129"/>
    </row>
    <row r="469" spans="1:28" x14ac:dyDescent="0.15">
      <c r="A469" s="129"/>
      <c r="B469" s="129"/>
      <c r="C469" s="129"/>
      <c r="D469" s="130"/>
      <c r="E469" s="129"/>
      <c r="F469" s="129"/>
      <c r="G469" s="129"/>
      <c r="H469" s="129"/>
      <c r="AB469" s="129"/>
    </row>
    <row r="470" spans="1:28" x14ac:dyDescent="0.15">
      <c r="A470" s="129"/>
      <c r="B470" s="129"/>
      <c r="C470" s="129"/>
      <c r="D470" s="130"/>
      <c r="E470" s="129"/>
      <c r="F470" s="129"/>
      <c r="G470" s="129"/>
      <c r="H470" s="129"/>
      <c r="AB470" s="129"/>
    </row>
    <row r="471" spans="1:28" x14ac:dyDescent="0.15">
      <c r="A471" s="129"/>
      <c r="B471" s="129"/>
      <c r="C471" s="129"/>
      <c r="D471" s="130"/>
      <c r="E471" s="129"/>
      <c r="F471" s="129"/>
      <c r="G471" s="129"/>
      <c r="H471" s="129"/>
      <c r="AB471" s="129"/>
    </row>
    <row r="472" spans="1:28" x14ac:dyDescent="0.15">
      <c r="A472" s="129"/>
      <c r="B472" s="129"/>
      <c r="C472" s="129"/>
      <c r="D472" s="130"/>
      <c r="E472" s="129"/>
      <c r="F472" s="129"/>
      <c r="G472" s="129"/>
      <c r="H472" s="129"/>
      <c r="AB472" s="129"/>
    </row>
    <row r="473" spans="1:28" x14ac:dyDescent="0.15">
      <c r="A473" s="129"/>
      <c r="B473" s="129"/>
      <c r="C473" s="129"/>
      <c r="D473" s="130"/>
      <c r="E473" s="129"/>
      <c r="F473" s="129"/>
      <c r="G473" s="129"/>
      <c r="H473" s="129"/>
      <c r="AB473" s="129"/>
    </row>
    <row r="474" spans="1:28" x14ac:dyDescent="0.15">
      <c r="A474" s="129"/>
      <c r="B474" s="129"/>
      <c r="C474" s="129"/>
      <c r="D474" s="130"/>
      <c r="E474" s="129"/>
      <c r="F474" s="129"/>
      <c r="G474" s="129"/>
      <c r="H474" s="129"/>
      <c r="AB474" s="129"/>
    </row>
    <row r="475" spans="1:28" x14ac:dyDescent="0.15">
      <c r="A475" s="129"/>
      <c r="B475" s="129"/>
      <c r="C475" s="129"/>
      <c r="D475" s="130"/>
      <c r="E475" s="129"/>
      <c r="F475" s="129"/>
      <c r="G475" s="129"/>
      <c r="H475" s="129"/>
      <c r="AB475" s="129"/>
    </row>
    <row r="476" spans="1:28" x14ac:dyDescent="0.15">
      <c r="A476" s="129"/>
      <c r="B476" s="129"/>
      <c r="C476" s="129"/>
      <c r="D476" s="130"/>
      <c r="E476" s="129"/>
      <c r="F476" s="129"/>
      <c r="G476" s="129"/>
      <c r="H476" s="129"/>
      <c r="AB476" s="129"/>
    </row>
    <row r="477" spans="1:28" x14ac:dyDescent="0.15">
      <c r="A477" s="129"/>
      <c r="B477" s="129"/>
      <c r="C477" s="129"/>
      <c r="D477" s="130"/>
      <c r="E477" s="129"/>
      <c r="F477" s="129"/>
      <c r="G477" s="129"/>
      <c r="H477" s="129"/>
      <c r="AB477" s="129"/>
    </row>
    <row r="478" spans="1:28" x14ac:dyDescent="0.15">
      <c r="A478" s="129"/>
      <c r="B478" s="129"/>
      <c r="C478" s="129"/>
      <c r="D478" s="130"/>
      <c r="E478" s="129"/>
      <c r="F478" s="129"/>
      <c r="G478" s="129"/>
      <c r="H478" s="129"/>
      <c r="AB478" s="129"/>
    </row>
    <row r="479" spans="1:28" x14ac:dyDescent="0.15">
      <c r="A479" s="129"/>
      <c r="B479" s="129"/>
      <c r="C479" s="129"/>
      <c r="D479" s="130"/>
      <c r="E479" s="129"/>
      <c r="F479" s="129"/>
      <c r="G479" s="129"/>
      <c r="H479" s="129"/>
      <c r="AB479" s="129"/>
    </row>
    <row r="480" spans="1:28" x14ac:dyDescent="0.15">
      <c r="A480" s="129"/>
      <c r="B480" s="129"/>
      <c r="C480" s="129"/>
      <c r="D480" s="130"/>
      <c r="E480" s="129"/>
      <c r="F480" s="129"/>
      <c r="G480" s="129"/>
      <c r="H480" s="129"/>
      <c r="AB480" s="129"/>
    </row>
    <row r="481" spans="1:28" x14ac:dyDescent="0.15">
      <c r="A481" s="129"/>
      <c r="B481" s="129"/>
      <c r="C481" s="129"/>
      <c r="D481" s="130"/>
      <c r="E481" s="129"/>
      <c r="F481" s="129"/>
      <c r="G481" s="129"/>
      <c r="H481" s="129"/>
      <c r="AB481" s="129"/>
    </row>
    <row r="482" spans="1:28" x14ac:dyDescent="0.15">
      <c r="A482" s="129"/>
      <c r="B482" s="129"/>
      <c r="C482" s="129"/>
      <c r="D482" s="130"/>
      <c r="E482" s="129"/>
      <c r="F482" s="129"/>
      <c r="G482" s="129"/>
      <c r="H482" s="129"/>
      <c r="AB482" s="129"/>
    </row>
    <row r="483" spans="1:28" x14ac:dyDescent="0.15">
      <c r="A483" s="129"/>
      <c r="B483" s="129"/>
      <c r="C483" s="129"/>
      <c r="D483" s="130"/>
      <c r="E483" s="129"/>
      <c r="F483" s="129"/>
      <c r="G483" s="129"/>
      <c r="H483" s="129"/>
      <c r="AB483" s="129"/>
    </row>
    <row r="484" spans="1:28" x14ac:dyDescent="0.15">
      <c r="A484" s="129"/>
      <c r="B484" s="129"/>
      <c r="C484" s="129"/>
      <c r="D484" s="130"/>
      <c r="E484" s="129"/>
      <c r="F484" s="129"/>
      <c r="G484" s="129"/>
      <c r="H484" s="129"/>
      <c r="AB484" s="129"/>
    </row>
    <row r="485" spans="1:28" x14ac:dyDescent="0.15">
      <c r="A485" s="129"/>
      <c r="B485" s="129"/>
      <c r="C485" s="129"/>
      <c r="D485" s="130"/>
      <c r="E485" s="129"/>
      <c r="F485" s="129"/>
      <c r="G485" s="129"/>
      <c r="H485" s="129"/>
      <c r="AB485" s="129"/>
    </row>
    <row r="486" spans="1:28" x14ac:dyDescent="0.15">
      <c r="A486" s="129"/>
      <c r="B486" s="129"/>
      <c r="C486" s="129"/>
      <c r="D486" s="130"/>
      <c r="E486" s="129"/>
      <c r="F486" s="129"/>
      <c r="G486" s="129"/>
      <c r="H486" s="129"/>
      <c r="AB486" s="129"/>
    </row>
    <row r="487" spans="1:28" x14ac:dyDescent="0.15">
      <c r="A487" s="129"/>
      <c r="B487" s="129"/>
      <c r="C487" s="129"/>
      <c r="D487" s="130"/>
      <c r="E487" s="129"/>
      <c r="F487" s="129"/>
      <c r="G487" s="129"/>
      <c r="H487" s="129"/>
      <c r="AB487" s="129"/>
    </row>
    <row r="488" spans="1:28" x14ac:dyDescent="0.15">
      <c r="A488" s="129"/>
      <c r="B488" s="129"/>
      <c r="C488" s="129"/>
      <c r="D488" s="130"/>
      <c r="E488" s="129"/>
      <c r="F488" s="129"/>
      <c r="G488" s="129"/>
      <c r="H488" s="129"/>
      <c r="AB488" s="129"/>
    </row>
    <row r="489" spans="1:28" x14ac:dyDescent="0.15">
      <c r="A489" s="129"/>
      <c r="B489" s="129"/>
      <c r="C489" s="129"/>
      <c r="D489" s="130"/>
      <c r="E489" s="129"/>
      <c r="F489" s="129"/>
      <c r="G489" s="129"/>
      <c r="H489" s="129"/>
      <c r="AB489" s="129"/>
    </row>
    <row r="490" spans="1:28" x14ac:dyDescent="0.15">
      <c r="A490" s="129"/>
      <c r="B490" s="129"/>
      <c r="C490" s="129"/>
      <c r="D490" s="130"/>
      <c r="E490" s="129"/>
      <c r="F490" s="129"/>
      <c r="G490" s="129"/>
      <c r="H490" s="129"/>
      <c r="AB490" s="129"/>
    </row>
    <row r="491" spans="1:28" x14ac:dyDescent="0.15">
      <c r="A491" s="129"/>
      <c r="B491" s="129"/>
      <c r="C491" s="129"/>
      <c r="D491" s="130"/>
      <c r="E491" s="129"/>
      <c r="F491" s="129"/>
      <c r="G491" s="129"/>
      <c r="H491" s="129"/>
      <c r="AB491" s="129"/>
    </row>
    <row r="492" spans="1:28" x14ac:dyDescent="0.15">
      <c r="A492" s="129"/>
      <c r="B492" s="129"/>
      <c r="C492" s="129"/>
      <c r="D492" s="130"/>
      <c r="E492" s="129"/>
      <c r="F492" s="129"/>
      <c r="G492" s="129"/>
      <c r="H492" s="129"/>
      <c r="AB492" s="129"/>
    </row>
    <row r="493" spans="1:28" x14ac:dyDescent="0.15">
      <c r="A493" s="129"/>
      <c r="B493" s="129"/>
      <c r="C493" s="129"/>
      <c r="D493" s="130"/>
      <c r="E493" s="129"/>
      <c r="F493" s="129"/>
      <c r="G493" s="129"/>
      <c r="H493" s="129"/>
      <c r="AB493" s="129"/>
    </row>
    <row r="494" spans="1:28" x14ac:dyDescent="0.15">
      <c r="A494" s="129"/>
      <c r="B494" s="129"/>
      <c r="C494" s="129"/>
      <c r="D494" s="130"/>
      <c r="E494" s="129"/>
      <c r="F494" s="129"/>
      <c r="G494" s="129"/>
      <c r="H494" s="129"/>
      <c r="AB494" s="129"/>
    </row>
    <row r="495" spans="1:28" x14ac:dyDescent="0.15">
      <c r="A495" s="129"/>
      <c r="B495" s="129"/>
      <c r="C495" s="129"/>
      <c r="D495" s="130"/>
      <c r="E495" s="129"/>
      <c r="F495" s="129"/>
      <c r="G495" s="129"/>
      <c r="H495" s="129"/>
      <c r="AB495" s="129"/>
    </row>
    <row r="496" spans="1:28" x14ac:dyDescent="0.15">
      <c r="A496" s="129"/>
      <c r="B496" s="129"/>
      <c r="C496" s="129"/>
      <c r="D496" s="130"/>
      <c r="E496" s="129"/>
      <c r="F496" s="129"/>
      <c r="G496" s="129"/>
      <c r="H496" s="129"/>
      <c r="AB496" s="129"/>
    </row>
    <row r="497" spans="1:28" x14ac:dyDescent="0.15">
      <c r="A497" s="129"/>
      <c r="B497" s="129"/>
      <c r="C497" s="129"/>
      <c r="D497" s="130"/>
      <c r="E497" s="129"/>
      <c r="F497" s="129"/>
      <c r="G497" s="129"/>
      <c r="H497" s="129"/>
      <c r="AB497" s="129"/>
    </row>
    <row r="498" spans="1:28" x14ac:dyDescent="0.15">
      <c r="A498" s="129"/>
      <c r="B498" s="129"/>
      <c r="C498" s="129"/>
      <c r="D498" s="130"/>
      <c r="E498" s="129"/>
      <c r="F498" s="129"/>
      <c r="G498" s="129"/>
      <c r="H498" s="129"/>
      <c r="AB498" s="129"/>
    </row>
    <row r="499" spans="1:28" x14ac:dyDescent="0.15">
      <c r="A499" s="129"/>
      <c r="B499" s="129"/>
      <c r="C499" s="129"/>
      <c r="D499" s="130"/>
      <c r="E499" s="129"/>
      <c r="F499" s="129"/>
      <c r="G499" s="129"/>
      <c r="H499" s="129"/>
      <c r="AB499" s="129"/>
    </row>
    <row r="500" spans="1:28" x14ac:dyDescent="0.15">
      <c r="A500" s="129"/>
      <c r="B500" s="129"/>
      <c r="C500" s="129"/>
      <c r="D500" s="130"/>
      <c r="E500" s="129"/>
      <c r="F500" s="129"/>
      <c r="G500" s="129"/>
      <c r="H500" s="129"/>
      <c r="AB500" s="129"/>
    </row>
    <row r="501" spans="1:28" x14ac:dyDescent="0.15">
      <c r="A501" s="129"/>
      <c r="B501" s="129"/>
      <c r="C501" s="129"/>
      <c r="D501" s="130"/>
      <c r="E501" s="129"/>
      <c r="F501" s="129"/>
      <c r="G501" s="129"/>
      <c r="H501" s="129"/>
      <c r="AB501" s="129"/>
    </row>
    <row r="502" spans="1:28" x14ac:dyDescent="0.15">
      <c r="A502" s="129"/>
      <c r="B502" s="129"/>
      <c r="C502" s="129"/>
      <c r="D502" s="130"/>
      <c r="E502" s="129"/>
      <c r="F502" s="129"/>
      <c r="G502" s="129"/>
      <c r="H502" s="129"/>
      <c r="AB502" s="129"/>
    </row>
    <row r="503" spans="1:28" x14ac:dyDescent="0.15">
      <c r="A503" s="129"/>
      <c r="B503" s="129"/>
      <c r="C503" s="129"/>
      <c r="D503" s="130"/>
      <c r="E503" s="129"/>
      <c r="F503" s="129"/>
      <c r="G503" s="129"/>
      <c r="H503" s="129"/>
      <c r="AB503" s="129"/>
    </row>
    <row r="504" spans="1:28" x14ac:dyDescent="0.15">
      <c r="A504" s="129"/>
      <c r="B504" s="129"/>
      <c r="C504" s="129"/>
      <c r="D504" s="130"/>
      <c r="E504" s="129"/>
      <c r="F504" s="129"/>
      <c r="G504" s="129"/>
      <c r="H504" s="129"/>
      <c r="AB504" s="129"/>
    </row>
    <row r="505" spans="1:28" x14ac:dyDescent="0.15">
      <c r="A505" s="129"/>
      <c r="B505" s="129"/>
      <c r="C505" s="129"/>
      <c r="D505" s="130"/>
      <c r="E505" s="129"/>
      <c r="F505" s="129"/>
      <c r="G505" s="129"/>
      <c r="H505" s="129"/>
      <c r="AB505" s="129"/>
    </row>
    <row r="506" spans="1:28" x14ac:dyDescent="0.15">
      <c r="A506" s="129"/>
      <c r="B506" s="129"/>
      <c r="C506" s="129"/>
      <c r="D506" s="130"/>
      <c r="E506" s="129"/>
      <c r="F506" s="129"/>
      <c r="G506" s="129"/>
      <c r="H506" s="129"/>
      <c r="AB506" s="129"/>
    </row>
    <row r="507" spans="1:28" x14ac:dyDescent="0.15">
      <c r="A507" s="129"/>
      <c r="B507" s="129"/>
      <c r="C507" s="129"/>
      <c r="D507" s="130"/>
      <c r="E507" s="129"/>
      <c r="F507" s="129"/>
      <c r="G507" s="129"/>
      <c r="H507" s="129"/>
      <c r="AB507" s="129"/>
    </row>
    <row r="508" spans="1:28" x14ac:dyDescent="0.15">
      <c r="A508" s="129"/>
      <c r="B508" s="129"/>
      <c r="C508" s="129"/>
      <c r="D508" s="130"/>
      <c r="E508" s="129"/>
      <c r="F508" s="129"/>
      <c r="G508" s="129"/>
      <c r="H508" s="129"/>
      <c r="AB508" s="129"/>
    </row>
    <row r="509" spans="1:28" x14ac:dyDescent="0.15">
      <c r="A509" s="129"/>
      <c r="B509" s="129"/>
      <c r="C509" s="129"/>
      <c r="D509" s="130"/>
      <c r="E509" s="129"/>
      <c r="F509" s="129"/>
      <c r="G509" s="129"/>
      <c r="H509" s="129"/>
      <c r="AB509" s="129"/>
    </row>
    <row r="510" spans="1:28" x14ac:dyDescent="0.15">
      <c r="A510" s="129"/>
      <c r="B510" s="129"/>
      <c r="C510" s="129"/>
      <c r="D510" s="130"/>
      <c r="E510" s="129"/>
      <c r="F510" s="129"/>
      <c r="G510" s="129"/>
      <c r="H510" s="129"/>
      <c r="AB510" s="129"/>
    </row>
    <row r="511" spans="1:28" x14ac:dyDescent="0.15">
      <c r="A511" s="129"/>
      <c r="B511" s="129"/>
      <c r="C511" s="129"/>
      <c r="D511" s="130"/>
      <c r="E511" s="129"/>
      <c r="F511" s="129"/>
      <c r="G511" s="129"/>
      <c r="H511" s="129"/>
      <c r="AB511" s="129"/>
    </row>
    <row r="512" spans="1:28" x14ac:dyDescent="0.15">
      <c r="A512" s="129"/>
      <c r="B512" s="129"/>
      <c r="C512" s="129"/>
      <c r="D512" s="130"/>
      <c r="E512" s="129"/>
      <c r="F512" s="129"/>
      <c r="G512" s="129"/>
      <c r="H512" s="129"/>
      <c r="AB512" s="129"/>
    </row>
    <row r="513" spans="1:28" x14ac:dyDescent="0.15">
      <c r="A513" s="129"/>
      <c r="B513" s="129"/>
      <c r="C513" s="129"/>
      <c r="D513" s="130"/>
      <c r="E513" s="129"/>
      <c r="F513" s="129"/>
      <c r="G513" s="129"/>
      <c r="H513" s="129"/>
      <c r="AB513" s="129"/>
    </row>
    <row r="514" spans="1:28" x14ac:dyDescent="0.15">
      <c r="A514" s="129"/>
      <c r="B514" s="129"/>
      <c r="C514" s="129"/>
      <c r="D514" s="130"/>
      <c r="E514" s="129"/>
      <c r="F514" s="129"/>
      <c r="G514" s="129"/>
      <c r="H514" s="129"/>
      <c r="AB514" s="129"/>
    </row>
    <row r="515" spans="1:28" x14ac:dyDescent="0.15">
      <c r="A515" s="129"/>
      <c r="B515" s="129"/>
      <c r="C515" s="129"/>
      <c r="D515" s="130"/>
      <c r="E515" s="129"/>
      <c r="F515" s="129"/>
      <c r="G515" s="129"/>
      <c r="H515" s="129"/>
      <c r="AB515" s="129"/>
    </row>
    <row r="516" spans="1:28" x14ac:dyDescent="0.15">
      <c r="A516" s="129"/>
      <c r="B516" s="129"/>
      <c r="C516" s="129"/>
      <c r="D516" s="130"/>
      <c r="E516" s="129"/>
      <c r="F516" s="129"/>
      <c r="G516" s="129"/>
      <c r="H516" s="129"/>
      <c r="AB516" s="129"/>
    </row>
    <row r="517" spans="1:28" x14ac:dyDescent="0.15">
      <c r="A517" s="129"/>
      <c r="B517" s="129"/>
      <c r="C517" s="129"/>
      <c r="D517" s="130"/>
      <c r="E517" s="129"/>
      <c r="F517" s="129"/>
      <c r="G517" s="129"/>
      <c r="H517" s="129"/>
      <c r="AB517" s="129"/>
    </row>
    <row r="518" spans="1:28" x14ac:dyDescent="0.15">
      <c r="A518" s="129"/>
      <c r="B518" s="129"/>
      <c r="C518" s="129"/>
      <c r="D518" s="130"/>
      <c r="E518" s="129"/>
      <c r="F518" s="129"/>
      <c r="G518" s="129"/>
      <c r="H518" s="129"/>
      <c r="AB518" s="129"/>
    </row>
    <row r="519" spans="1:28" x14ac:dyDescent="0.15">
      <c r="A519" s="129"/>
      <c r="B519" s="129"/>
      <c r="C519" s="129"/>
      <c r="D519" s="130"/>
      <c r="E519" s="129"/>
      <c r="F519" s="129"/>
      <c r="G519" s="129"/>
      <c r="H519" s="129"/>
      <c r="AB519" s="129"/>
    </row>
    <row r="520" spans="1:28" x14ac:dyDescent="0.15">
      <c r="A520" s="129"/>
      <c r="B520" s="129"/>
      <c r="C520" s="129"/>
      <c r="D520" s="130"/>
      <c r="E520" s="129"/>
      <c r="F520" s="129"/>
      <c r="G520" s="129"/>
      <c r="H520" s="129"/>
      <c r="AB520" s="129"/>
    </row>
    <row r="521" spans="1:28" x14ac:dyDescent="0.15">
      <c r="A521" s="129"/>
      <c r="B521" s="129"/>
      <c r="C521" s="129"/>
      <c r="D521" s="130"/>
      <c r="E521" s="129"/>
      <c r="F521" s="129"/>
      <c r="G521" s="129"/>
      <c r="H521" s="129"/>
      <c r="AB521" s="129"/>
    </row>
    <row r="522" spans="1:28" x14ac:dyDescent="0.15">
      <c r="A522" s="129"/>
      <c r="B522" s="129"/>
      <c r="C522" s="129"/>
      <c r="D522" s="130"/>
      <c r="E522" s="129"/>
      <c r="F522" s="129"/>
      <c r="G522" s="129"/>
      <c r="H522" s="129"/>
      <c r="AB522" s="129"/>
    </row>
    <row r="523" spans="1:28" x14ac:dyDescent="0.15">
      <c r="A523" s="129"/>
      <c r="B523" s="129"/>
      <c r="C523" s="129"/>
      <c r="D523" s="130"/>
      <c r="E523" s="129"/>
      <c r="F523" s="129"/>
      <c r="G523" s="129"/>
      <c r="H523" s="129"/>
      <c r="AB523" s="129"/>
    </row>
    <row r="524" spans="1:28" x14ac:dyDescent="0.15">
      <c r="A524" s="129"/>
      <c r="B524" s="129"/>
      <c r="C524" s="129"/>
      <c r="D524" s="130"/>
      <c r="E524" s="129"/>
      <c r="F524" s="129"/>
      <c r="G524" s="129"/>
      <c r="H524" s="129"/>
      <c r="AB524" s="129"/>
    </row>
    <row r="525" spans="1:28" x14ac:dyDescent="0.15">
      <c r="A525" s="129"/>
      <c r="B525" s="129"/>
      <c r="C525" s="129"/>
      <c r="D525" s="130"/>
      <c r="E525" s="129"/>
      <c r="F525" s="129"/>
      <c r="G525" s="129"/>
      <c r="H525" s="129"/>
      <c r="AB525" s="129"/>
    </row>
    <row r="526" spans="1:28" x14ac:dyDescent="0.15">
      <c r="A526" s="129"/>
      <c r="B526" s="129"/>
      <c r="C526" s="129"/>
      <c r="D526" s="130"/>
      <c r="E526" s="129"/>
      <c r="F526" s="129"/>
      <c r="G526" s="129"/>
      <c r="H526" s="129"/>
      <c r="AB526" s="129"/>
    </row>
    <row r="527" spans="1:28" x14ac:dyDescent="0.15">
      <c r="A527" s="129"/>
      <c r="B527" s="129"/>
      <c r="C527" s="129"/>
      <c r="D527" s="130"/>
      <c r="E527" s="129"/>
      <c r="F527" s="129"/>
      <c r="G527" s="129"/>
      <c r="H527" s="129"/>
      <c r="AB527" s="129"/>
    </row>
    <row r="528" spans="1:28" x14ac:dyDescent="0.15">
      <c r="A528" s="129"/>
      <c r="B528" s="129"/>
      <c r="C528" s="129"/>
      <c r="D528" s="130"/>
      <c r="E528" s="129"/>
      <c r="F528" s="129"/>
      <c r="G528" s="129"/>
      <c r="H528" s="129"/>
      <c r="AB528" s="129"/>
    </row>
    <row r="529" spans="1:28" x14ac:dyDescent="0.15">
      <c r="A529" s="129"/>
      <c r="B529" s="129"/>
      <c r="C529" s="129"/>
      <c r="D529" s="130"/>
      <c r="E529" s="129"/>
      <c r="F529" s="129"/>
      <c r="G529" s="129"/>
      <c r="H529" s="129"/>
      <c r="AB529" s="129"/>
    </row>
    <row r="530" spans="1:28" x14ac:dyDescent="0.15">
      <c r="A530" s="129"/>
      <c r="B530" s="129"/>
      <c r="C530" s="129"/>
      <c r="D530" s="130"/>
      <c r="E530" s="129"/>
      <c r="F530" s="129"/>
      <c r="G530" s="129"/>
      <c r="H530" s="129"/>
      <c r="AB530" s="129"/>
    </row>
    <row r="531" spans="1:28" x14ac:dyDescent="0.15">
      <c r="A531" s="129"/>
      <c r="B531" s="129"/>
      <c r="C531" s="129"/>
      <c r="D531" s="130"/>
      <c r="E531" s="129"/>
      <c r="F531" s="129"/>
      <c r="G531" s="129"/>
      <c r="H531" s="129"/>
      <c r="AB531" s="129"/>
    </row>
    <row r="532" spans="1:28" x14ac:dyDescent="0.15">
      <c r="A532" s="129"/>
      <c r="B532" s="129"/>
      <c r="C532" s="129"/>
      <c r="D532" s="130"/>
      <c r="E532" s="129"/>
      <c r="F532" s="129"/>
      <c r="G532" s="129"/>
      <c r="H532" s="129"/>
      <c r="AB532" s="129"/>
    </row>
    <row r="533" spans="1:28" x14ac:dyDescent="0.15">
      <c r="A533" s="129"/>
      <c r="B533" s="129"/>
      <c r="C533" s="129"/>
      <c r="D533" s="130"/>
      <c r="E533" s="129"/>
      <c r="F533" s="129"/>
      <c r="G533" s="129"/>
      <c r="H533" s="129"/>
    </row>
    <row r="534" spans="1:28" x14ac:dyDescent="0.15">
      <c r="A534" s="129"/>
      <c r="B534" s="129"/>
      <c r="C534" s="129"/>
      <c r="D534" s="130"/>
      <c r="E534" s="129"/>
      <c r="F534" s="129"/>
      <c r="G534" s="129"/>
      <c r="H534" s="129"/>
    </row>
    <row r="535" spans="1:28" x14ac:dyDescent="0.15">
      <c r="A535" s="129"/>
      <c r="B535" s="129"/>
      <c r="C535" s="129"/>
      <c r="D535" s="130"/>
      <c r="E535" s="129"/>
      <c r="F535" s="129"/>
      <c r="G535" s="129"/>
      <c r="H535" s="129"/>
    </row>
    <row r="536" spans="1:28" x14ac:dyDescent="0.15">
      <c r="A536" s="129"/>
      <c r="B536" s="129"/>
      <c r="C536" s="129"/>
      <c r="D536" s="130"/>
      <c r="E536" s="129"/>
      <c r="F536" s="129"/>
      <c r="G536" s="129"/>
      <c r="H536" s="129"/>
    </row>
    <row r="537" spans="1:28" x14ac:dyDescent="0.15">
      <c r="A537" s="129"/>
      <c r="B537" s="129"/>
      <c r="C537" s="129"/>
      <c r="D537" s="130"/>
      <c r="E537" s="129"/>
      <c r="F537" s="129"/>
      <c r="G537" s="129"/>
      <c r="H537" s="129"/>
    </row>
    <row r="538" spans="1:28" x14ac:dyDescent="0.15">
      <c r="A538" s="129"/>
      <c r="B538" s="129"/>
      <c r="C538" s="129"/>
      <c r="D538" s="130"/>
      <c r="E538" s="129"/>
      <c r="F538" s="129"/>
      <c r="G538" s="129"/>
      <c r="H538" s="129"/>
    </row>
    <row r="539" spans="1:28" x14ac:dyDescent="0.15">
      <c r="A539" s="129"/>
      <c r="B539" s="129"/>
      <c r="C539" s="129"/>
      <c r="D539" s="130"/>
      <c r="E539" s="129"/>
      <c r="F539" s="129"/>
      <c r="G539" s="129"/>
      <c r="H539" s="129"/>
    </row>
    <row r="540" spans="1:28" x14ac:dyDescent="0.15">
      <c r="A540" s="129"/>
      <c r="B540" s="129"/>
      <c r="C540" s="129"/>
      <c r="D540" s="130"/>
      <c r="E540" s="129"/>
      <c r="F540" s="129"/>
      <c r="G540" s="129"/>
      <c r="H540" s="129"/>
    </row>
    <row r="541" spans="1:28" x14ac:dyDescent="0.15">
      <c r="A541" s="129"/>
      <c r="B541" s="129"/>
      <c r="C541" s="129"/>
      <c r="D541" s="130"/>
      <c r="E541" s="129"/>
      <c r="F541" s="129"/>
      <c r="G541" s="129"/>
      <c r="H541" s="129"/>
    </row>
    <row r="542" spans="1:28" x14ac:dyDescent="0.15">
      <c r="A542" s="129"/>
      <c r="B542" s="129"/>
      <c r="C542" s="129"/>
      <c r="D542" s="130"/>
      <c r="E542" s="129"/>
      <c r="F542" s="129"/>
      <c r="G542" s="129"/>
      <c r="H542" s="129"/>
    </row>
    <row r="543" spans="1:28" x14ac:dyDescent="0.15">
      <c r="A543" s="129"/>
      <c r="B543" s="129"/>
      <c r="C543" s="129"/>
      <c r="D543" s="130"/>
      <c r="E543" s="129"/>
      <c r="F543" s="129"/>
      <c r="G543" s="129"/>
      <c r="H543" s="129"/>
    </row>
    <row r="544" spans="1:28" x14ac:dyDescent="0.15">
      <c r="A544" s="129"/>
      <c r="B544" s="129"/>
      <c r="C544" s="129"/>
      <c r="D544" s="130"/>
      <c r="E544" s="129"/>
      <c r="F544" s="129"/>
      <c r="G544" s="129"/>
      <c r="H544" s="129"/>
    </row>
    <row r="545" spans="1:8" x14ac:dyDescent="0.15">
      <c r="A545" s="129"/>
      <c r="B545" s="129"/>
      <c r="C545" s="129"/>
      <c r="D545" s="130"/>
      <c r="E545" s="129"/>
      <c r="F545" s="129"/>
      <c r="G545" s="129"/>
      <c r="H545" s="129"/>
    </row>
    <row r="546" spans="1:8" x14ac:dyDescent="0.15">
      <c r="A546" s="129"/>
      <c r="B546" s="129"/>
      <c r="C546" s="129"/>
      <c r="D546" s="130"/>
      <c r="E546" s="129"/>
      <c r="F546" s="129"/>
      <c r="G546" s="129"/>
      <c r="H546" s="129"/>
    </row>
    <row r="547" spans="1:8" x14ac:dyDescent="0.15">
      <c r="A547" s="129"/>
      <c r="B547" s="129"/>
      <c r="C547" s="129"/>
      <c r="D547" s="130"/>
      <c r="E547" s="129"/>
      <c r="F547" s="129"/>
      <c r="G547" s="129"/>
      <c r="H547" s="129"/>
    </row>
    <row r="548" spans="1:8" x14ac:dyDescent="0.15">
      <c r="A548" s="129"/>
      <c r="B548" s="129"/>
      <c r="C548" s="129"/>
      <c r="D548" s="130"/>
      <c r="E548" s="129"/>
      <c r="F548" s="129"/>
      <c r="G548" s="129"/>
      <c r="H548" s="129"/>
    </row>
    <row r="549" spans="1:8" x14ac:dyDescent="0.15">
      <c r="A549" s="129"/>
      <c r="B549" s="129"/>
      <c r="C549" s="129"/>
      <c r="D549" s="130"/>
      <c r="E549" s="129"/>
      <c r="F549" s="129"/>
      <c r="G549" s="129"/>
      <c r="H549" s="129"/>
    </row>
    <row r="550" spans="1:8" x14ac:dyDescent="0.15">
      <c r="A550" s="129"/>
      <c r="B550" s="129"/>
      <c r="C550" s="129"/>
      <c r="D550" s="130"/>
      <c r="E550" s="129"/>
      <c r="F550" s="129"/>
      <c r="G550" s="129"/>
      <c r="H550" s="129"/>
    </row>
    <row r="551" spans="1:8" x14ac:dyDescent="0.15">
      <c r="A551" s="129"/>
      <c r="B551" s="129"/>
      <c r="C551" s="129"/>
      <c r="D551" s="130"/>
      <c r="E551" s="129"/>
      <c r="F551" s="129"/>
      <c r="G551" s="129"/>
      <c r="H551" s="129"/>
    </row>
    <row r="552" spans="1:8" x14ac:dyDescent="0.15">
      <c r="A552" s="129"/>
      <c r="B552" s="129"/>
      <c r="C552" s="129"/>
      <c r="D552" s="130"/>
      <c r="E552" s="129"/>
      <c r="F552" s="129"/>
      <c r="G552" s="129"/>
      <c r="H552" s="129"/>
    </row>
    <row r="553" spans="1:8" x14ac:dyDescent="0.15">
      <c r="A553" s="129"/>
      <c r="B553" s="129"/>
      <c r="C553" s="129"/>
      <c r="D553" s="130"/>
      <c r="E553" s="129"/>
      <c r="F553" s="129"/>
      <c r="G553" s="129"/>
      <c r="H553" s="129"/>
    </row>
    <row r="554" spans="1:8" x14ac:dyDescent="0.15">
      <c r="A554" s="129"/>
      <c r="B554" s="129"/>
      <c r="C554" s="129"/>
      <c r="D554" s="130"/>
      <c r="E554" s="129"/>
      <c r="F554" s="129"/>
      <c r="G554" s="129"/>
      <c r="H554" s="129"/>
    </row>
    <row r="555" spans="1:8" x14ac:dyDescent="0.15">
      <c r="A555" s="129"/>
      <c r="B555" s="129"/>
      <c r="C555" s="129"/>
      <c r="D555" s="130"/>
      <c r="E555" s="129"/>
      <c r="F555" s="129"/>
      <c r="G555" s="129"/>
      <c r="H555" s="129"/>
    </row>
    <row r="556" spans="1:8" x14ac:dyDescent="0.15">
      <c r="A556" s="129"/>
      <c r="B556" s="129"/>
      <c r="C556" s="129"/>
      <c r="D556" s="130"/>
      <c r="E556" s="129"/>
      <c r="F556" s="129"/>
      <c r="G556" s="129"/>
      <c r="H556" s="129"/>
    </row>
    <row r="557" spans="1:8" x14ac:dyDescent="0.15">
      <c r="A557" s="129"/>
      <c r="B557" s="129"/>
      <c r="C557" s="129"/>
      <c r="D557" s="130"/>
      <c r="E557" s="129"/>
      <c r="F557" s="129"/>
      <c r="G557" s="129"/>
      <c r="H557" s="129"/>
    </row>
    <row r="558" spans="1:8" x14ac:dyDescent="0.15">
      <c r="A558" s="129"/>
      <c r="B558" s="129"/>
      <c r="C558" s="129"/>
      <c r="D558" s="130"/>
      <c r="E558" s="129"/>
      <c r="F558" s="129"/>
      <c r="G558" s="129"/>
      <c r="H558" s="129"/>
    </row>
    <row r="559" spans="1:8" x14ac:dyDescent="0.15">
      <c r="A559" s="129"/>
      <c r="B559" s="129"/>
      <c r="C559" s="129"/>
      <c r="D559" s="130"/>
      <c r="E559" s="129"/>
      <c r="F559" s="129"/>
      <c r="G559" s="129"/>
      <c r="H559" s="129"/>
    </row>
    <row r="560" spans="1:8" x14ac:dyDescent="0.15">
      <c r="A560" s="129"/>
      <c r="B560" s="129"/>
      <c r="C560" s="129"/>
      <c r="D560" s="130"/>
      <c r="E560" s="129"/>
      <c r="F560" s="129"/>
      <c r="G560" s="129"/>
      <c r="H560" s="129"/>
    </row>
    <row r="561" spans="1:8" x14ac:dyDescent="0.15">
      <c r="A561" s="129"/>
      <c r="B561" s="129"/>
      <c r="C561" s="129"/>
      <c r="D561" s="130"/>
      <c r="E561" s="129"/>
      <c r="F561" s="129"/>
      <c r="G561" s="129"/>
      <c r="H561" s="129"/>
    </row>
    <row r="562" spans="1:8" x14ac:dyDescent="0.15">
      <c r="A562" s="129"/>
      <c r="B562" s="129"/>
      <c r="C562" s="129"/>
      <c r="D562" s="130"/>
      <c r="E562" s="129"/>
      <c r="F562" s="129"/>
      <c r="G562" s="129"/>
      <c r="H562" s="129"/>
    </row>
    <row r="563" spans="1:8" x14ac:dyDescent="0.15">
      <c r="A563" s="129"/>
      <c r="B563" s="129"/>
      <c r="C563" s="129"/>
      <c r="D563" s="130"/>
      <c r="E563" s="129"/>
      <c r="F563" s="129"/>
      <c r="G563" s="129"/>
      <c r="H563" s="129"/>
    </row>
    <row r="564" spans="1:8" x14ac:dyDescent="0.15">
      <c r="A564" s="129"/>
      <c r="B564" s="129"/>
      <c r="C564" s="129"/>
      <c r="D564" s="130"/>
      <c r="E564" s="129"/>
      <c r="F564" s="129"/>
      <c r="G564" s="129"/>
      <c r="H564" s="129"/>
    </row>
    <row r="565" spans="1:8" x14ac:dyDescent="0.15">
      <c r="A565" s="129"/>
      <c r="B565" s="129"/>
      <c r="C565" s="129"/>
      <c r="D565" s="130"/>
      <c r="E565" s="129"/>
      <c r="F565" s="129"/>
      <c r="G565" s="129"/>
      <c r="H565" s="129"/>
    </row>
    <row r="566" spans="1:8" x14ac:dyDescent="0.15">
      <c r="A566" s="129"/>
      <c r="B566" s="129"/>
      <c r="C566" s="129"/>
      <c r="D566" s="130"/>
      <c r="E566" s="129"/>
      <c r="F566" s="129"/>
      <c r="G566" s="129"/>
      <c r="H566" s="129"/>
    </row>
    <row r="567" spans="1:8" x14ac:dyDescent="0.15">
      <c r="A567" s="129"/>
      <c r="B567" s="129"/>
      <c r="C567" s="129"/>
      <c r="D567" s="130"/>
      <c r="E567" s="129"/>
      <c r="F567" s="129"/>
      <c r="G567" s="129"/>
      <c r="H567" s="129"/>
    </row>
    <row r="568" spans="1:8" x14ac:dyDescent="0.15">
      <c r="A568" s="129"/>
      <c r="B568" s="129"/>
      <c r="C568" s="129"/>
      <c r="D568" s="130"/>
      <c r="E568" s="129"/>
      <c r="F568" s="129"/>
      <c r="G568" s="129"/>
      <c r="H568" s="129"/>
    </row>
    <row r="569" spans="1:8" x14ac:dyDescent="0.15">
      <c r="A569" s="129"/>
      <c r="B569" s="129"/>
      <c r="C569" s="129"/>
      <c r="D569" s="130"/>
      <c r="E569" s="129"/>
      <c r="F569" s="129"/>
      <c r="G569" s="129"/>
      <c r="H569" s="129"/>
    </row>
    <row r="570" spans="1:8" x14ac:dyDescent="0.15">
      <c r="A570" s="129"/>
      <c r="B570" s="129"/>
      <c r="C570" s="129"/>
      <c r="D570" s="130"/>
      <c r="E570" s="129"/>
      <c r="F570" s="129"/>
      <c r="G570" s="129"/>
      <c r="H570" s="129"/>
    </row>
    <row r="571" spans="1:8" x14ac:dyDescent="0.15">
      <c r="A571" s="129"/>
      <c r="B571" s="129"/>
      <c r="C571" s="129"/>
      <c r="D571" s="130"/>
      <c r="E571" s="129"/>
      <c r="F571" s="129"/>
      <c r="G571" s="129"/>
      <c r="H571" s="129"/>
    </row>
    <row r="572" spans="1:8" x14ac:dyDescent="0.15">
      <c r="A572" s="129"/>
      <c r="B572" s="129"/>
      <c r="C572" s="129"/>
      <c r="D572" s="130"/>
      <c r="E572" s="129"/>
      <c r="F572" s="129"/>
      <c r="G572" s="129"/>
      <c r="H572" s="129"/>
    </row>
    <row r="573" spans="1:8" x14ac:dyDescent="0.15">
      <c r="A573" s="129"/>
      <c r="B573" s="129"/>
      <c r="C573" s="129"/>
      <c r="D573" s="130"/>
      <c r="E573" s="129"/>
      <c r="F573" s="129"/>
      <c r="G573" s="129"/>
      <c r="H573" s="129"/>
    </row>
    <row r="574" spans="1:8" x14ac:dyDescent="0.15">
      <c r="A574" s="129"/>
      <c r="B574" s="129"/>
      <c r="C574" s="129"/>
      <c r="D574" s="130"/>
      <c r="E574" s="129"/>
      <c r="F574" s="129"/>
      <c r="G574" s="129"/>
      <c r="H574" s="129"/>
    </row>
    <row r="575" spans="1:8" x14ac:dyDescent="0.15">
      <c r="A575" s="129"/>
      <c r="B575" s="129"/>
      <c r="C575" s="129"/>
      <c r="D575" s="130"/>
      <c r="E575" s="129"/>
      <c r="F575" s="129"/>
      <c r="G575" s="129"/>
      <c r="H575" s="129"/>
    </row>
    <row r="576" spans="1:8" x14ac:dyDescent="0.15">
      <c r="A576" s="129"/>
      <c r="B576" s="129"/>
      <c r="C576" s="129"/>
      <c r="D576" s="130"/>
      <c r="E576" s="129"/>
      <c r="F576" s="129"/>
      <c r="G576" s="129"/>
      <c r="H576" s="129"/>
    </row>
    <row r="577" spans="1:8" x14ac:dyDescent="0.15">
      <c r="A577" s="129"/>
      <c r="B577" s="129"/>
      <c r="C577" s="129"/>
      <c r="D577" s="130"/>
      <c r="E577" s="129"/>
      <c r="F577" s="129"/>
      <c r="G577" s="129"/>
      <c r="H577" s="129"/>
    </row>
    <row r="578" spans="1:8" x14ac:dyDescent="0.15">
      <c r="A578" s="129"/>
      <c r="B578" s="129"/>
      <c r="C578" s="129"/>
      <c r="D578" s="130"/>
      <c r="E578" s="129"/>
      <c r="F578" s="129"/>
      <c r="G578" s="129"/>
      <c r="H578" s="129"/>
    </row>
    <row r="579" spans="1:8" x14ac:dyDescent="0.15">
      <c r="A579" s="129"/>
      <c r="B579" s="129"/>
      <c r="C579" s="129"/>
      <c r="D579" s="130"/>
      <c r="E579" s="129"/>
      <c r="F579" s="129"/>
      <c r="G579" s="129"/>
      <c r="H579" s="129"/>
    </row>
    <row r="580" spans="1:8" x14ac:dyDescent="0.15">
      <c r="A580" s="129"/>
      <c r="B580" s="129"/>
      <c r="C580" s="129"/>
      <c r="D580" s="130"/>
      <c r="E580" s="129"/>
      <c r="F580" s="129"/>
      <c r="G580" s="129"/>
      <c r="H580" s="129"/>
    </row>
    <row r="581" spans="1:8" x14ac:dyDescent="0.15">
      <c r="A581" s="129"/>
      <c r="B581" s="129"/>
      <c r="C581" s="129"/>
      <c r="D581" s="130"/>
      <c r="E581" s="129"/>
      <c r="F581" s="129"/>
      <c r="G581" s="129"/>
      <c r="H581" s="129"/>
    </row>
    <row r="582" spans="1:8" x14ac:dyDescent="0.15">
      <c r="A582" s="129"/>
      <c r="B582" s="129"/>
      <c r="C582" s="129"/>
      <c r="D582" s="130"/>
      <c r="E582" s="129"/>
      <c r="F582" s="129"/>
      <c r="G582" s="129"/>
      <c r="H582" s="129"/>
    </row>
    <row r="583" spans="1:8" x14ac:dyDescent="0.15">
      <c r="A583" s="129"/>
      <c r="B583" s="129"/>
      <c r="C583" s="129"/>
      <c r="D583" s="130"/>
      <c r="E583" s="129"/>
      <c r="F583" s="129"/>
      <c r="G583" s="129"/>
      <c r="H583" s="129"/>
    </row>
    <row r="584" spans="1:8" x14ac:dyDescent="0.15">
      <c r="A584" s="129"/>
      <c r="B584" s="129"/>
      <c r="C584" s="129"/>
      <c r="D584" s="130"/>
      <c r="E584" s="129"/>
      <c r="F584" s="129"/>
      <c r="G584" s="129"/>
      <c r="H584" s="129"/>
    </row>
    <row r="585" spans="1:8" x14ac:dyDescent="0.15">
      <c r="A585" s="129"/>
      <c r="B585" s="129"/>
      <c r="C585" s="129"/>
      <c r="D585" s="130"/>
      <c r="E585" s="129"/>
      <c r="F585" s="129"/>
      <c r="G585" s="129"/>
      <c r="H585" s="129"/>
    </row>
    <row r="586" spans="1:8" x14ac:dyDescent="0.15">
      <c r="A586" s="129"/>
      <c r="B586" s="129"/>
      <c r="C586" s="129"/>
      <c r="D586" s="130"/>
      <c r="E586" s="129"/>
      <c r="F586" s="129"/>
      <c r="G586" s="129"/>
      <c r="H586" s="129"/>
    </row>
    <row r="587" spans="1:8" x14ac:dyDescent="0.15">
      <c r="A587" s="129"/>
      <c r="B587" s="129"/>
      <c r="C587" s="129"/>
      <c r="D587" s="130"/>
      <c r="E587" s="129"/>
      <c r="F587" s="129"/>
      <c r="G587" s="129"/>
      <c r="H587" s="129"/>
    </row>
    <row r="588" spans="1:8" x14ac:dyDescent="0.15">
      <c r="A588" s="129"/>
      <c r="B588" s="129"/>
      <c r="C588" s="129"/>
      <c r="D588" s="130"/>
      <c r="E588" s="129"/>
      <c r="F588" s="129"/>
      <c r="G588" s="129"/>
      <c r="H588" s="129"/>
    </row>
    <row r="589" spans="1:8" x14ac:dyDescent="0.15">
      <c r="A589" s="129"/>
      <c r="B589" s="129"/>
      <c r="C589" s="129"/>
      <c r="D589" s="130"/>
      <c r="E589" s="129"/>
      <c r="F589" s="129"/>
      <c r="G589" s="129"/>
      <c r="H589" s="129"/>
    </row>
    <row r="590" spans="1:8" x14ac:dyDescent="0.15">
      <c r="A590" s="129"/>
      <c r="B590" s="129"/>
      <c r="C590" s="129"/>
      <c r="D590" s="130"/>
      <c r="E590" s="129"/>
      <c r="F590" s="129"/>
      <c r="G590" s="129"/>
      <c r="H590" s="129"/>
    </row>
    <row r="591" spans="1:8" x14ac:dyDescent="0.15">
      <c r="A591" s="129"/>
      <c r="B591" s="129"/>
      <c r="C591" s="129"/>
      <c r="D591" s="130"/>
      <c r="E591" s="129"/>
      <c r="F591" s="129"/>
      <c r="G591" s="129"/>
      <c r="H591" s="129"/>
    </row>
    <row r="592" spans="1:8" x14ac:dyDescent="0.15">
      <c r="A592" s="129"/>
      <c r="B592" s="129"/>
      <c r="C592" s="129"/>
      <c r="D592" s="130"/>
      <c r="E592" s="129"/>
      <c r="F592" s="129"/>
      <c r="G592" s="129"/>
      <c r="H592" s="129"/>
    </row>
    <row r="593" spans="1:8" x14ac:dyDescent="0.15">
      <c r="A593" s="129"/>
      <c r="B593" s="129"/>
      <c r="C593" s="129"/>
      <c r="D593" s="130"/>
      <c r="E593" s="129"/>
      <c r="F593" s="129"/>
      <c r="G593" s="129"/>
      <c r="H593" s="129"/>
    </row>
    <row r="594" spans="1:8" x14ac:dyDescent="0.15">
      <c r="A594" s="129"/>
      <c r="B594" s="129"/>
      <c r="C594" s="129"/>
      <c r="D594" s="130"/>
      <c r="E594" s="129"/>
      <c r="F594" s="129"/>
      <c r="G594" s="129"/>
      <c r="H594" s="129"/>
    </row>
    <row r="595" spans="1:8" x14ac:dyDescent="0.15">
      <c r="A595" s="129"/>
      <c r="B595" s="129"/>
      <c r="C595" s="129"/>
      <c r="D595" s="130"/>
      <c r="E595" s="129"/>
      <c r="F595" s="129"/>
      <c r="G595" s="129"/>
      <c r="H595" s="129"/>
    </row>
    <row r="596" spans="1:8" x14ac:dyDescent="0.15">
      <c r="A596" s="129"/>
      <c r="B596" s="129"/>
      <c r="C596" s="129"/>
      <c r="D596" s="130"/>
      <c r="E596" s="129"/>
      <c r="F596" s="129"/>
      <c r="G596" s="129"/>
      <c r="H596" s="129"/>
    </row>
    <row r="597" spans="1:8" x14ac:dyDescent="0.15">
      <c r="A597" s="129"/>
      <c r="B597" s="129"/>
      <c r="C597" s="129"/>
      <c r="D597" s="130"/>
      <c r="E597" s="129"/>
      <c r="F597" s="129"/>
      <c r="G597" s="129"/>
      <c r="H597" s="129"/>
    </row>
    <row r="598" spans="1:8" x14ac:dyDescent="0.15">
      <c r="A598" s="129"/>
      <c r="B598" s="129"/>
      <c r="C598" s="129"/>
      <c r="D598" s="130"/>
      <c r="E598" s="129"/>
      <c r="F598" s="129"/>
      <c r="G598" s="129"/>
      <c r="H598" s="129"/>
    </row>
    <row r="599" spans="1:8" x14ac:dyDescent="0.15">
      <c r="A599" s="129"/>
      <c r="B599" s="129"/>
      <c r="C599" s="129"/>
      <c r="D599" s="130"/>
      <c r="E599" s="129"/>
      <c r="F599" s="129"/>
      <c r="G599" s="129"/>
      <c r="H599" s="129"/>
    </row>
    <row r="600" spans="1:8" x14ac:dyDescent="0.15">
      <c r="A600" s="129"/>
      <c r="B600" s="129"/>
      <c r="C600" s="129"/>
      <c r="D600" s="130"/>
      <c r="E600" s="129"/>
      <c r="F600" s="129"/>
      <c r="G600" s="129"/>
      <c r="H600" s="129"/>
    </row>
    <row r="601" spans="1:8" x14ac:dyDescent="0.15">
      <c r="A601" s="129"/>
      <c r="B601" s="129"/>
      <c r="C601" s="129"/>
      <c r="D601" s="130"/>
      <c r="E601" s="129"/>
      <c r="F601" s="129"/>
      <c r="G601" s="129"/>
      <c r="H601" s="129"/>
    </row>
    <row r="602" spans="1:8" x14ac:dyDescent="0.15">
      <c r="A602" s="129"/>
      <c r="B602" s="129"/>
      <c r="C602" s="129"/>
      <c r="D602" s="130"/>
      <c r="E602" s="129"/>
      <c r="F602" s="129"/>
      <c r="G602" s="129"/>
      <c r="H602" s="129"/>
    </row>
    <row r="603" spans="1:8" x14ac:dyDescent="0.15">
      <c r="A603" s="129"/>
      <c r="B603" s="129"/>
      <c r="C603" s="129"/>
      <c r="D603" s="130"/>
      <c r="E603" s="129"/>
      <c r="F603" s="129"/>
      <c r="G603" s="129"/>
      <c r="H603" s="129"/>
    </row>
    <row r="604" spans="1:8" x14ac:dyDescent="0.15">
      <c r="A604" s="129"/>
      <c r="B604" s="129"/>
      <c r="C604" s="129"/>
      <c r="D604" s="130"/>
      <c r="E604" s="129"/>
      <c r="F604" s="129"/>
      <c r="G604" s="129"/>
      <c r="H604" s="129"/>
    </row>
    <row r="605" spans="1:8" x14ac:dyDescent="0.15">
      <c r="A605" s="129"/>
      <c r="B605" s="129"/>
      <c r="C605" s="129"/>
      <c r="D605" s="130"/>
      <c r="E605" s="129"/>
      <c r="F605" s="129"/>
      <c r="G605" s="129"/>
      <c r="H605" s="129"/>
    </row>
    <row r="606" spans="1:8" x14ac:dyDescent="0.15">
      <c r="A606" s="129"/>
      <c r="B606" s="129"/>
      <c r="C606" s="129"/>
      <c r="D606" s="130"/>
      <c r="E606" s="129"/>
      <c r="F606" s="129"/>
      <c r="G606" s="129"/>
      <c r="H606" s="129"/>
    </row>
    <row r="607" spans="1:8" x14ac:dyDescent="0.15">
      <c r="A607" s="129"/>
      <c r="B607" s="129"/>
      <c r="C607" s="129"/>
      <c r="D607" s="130"/>
      <c r="E607" s="129"/>
      <c r="F607" s="129"/>
      <c r="G607" s="129"/>
      <c r="H607" s="129"/>
    </row>
    <row r="608" spans="1:8" x14ac:dyDescent="0.15">
      <c r="A608" s="129"/>
      <c r="B608" s="129"/>
      <c r="C608" s="129"/>
      <c r="D608" s="130"/>
      <c r="E608" s="129"/>
      <c r="F608" s="129"/>
      <c r="G608" s="129"/>
      <c r="H608" s="129"/>
    </row>
    <row r="609" spans="1:8" x14ac:dyDescent="0.15">
      <c r="A609" s="129"/>
      <c r="B609" s="129"/>
      <c r="C609" s="129"/>
      <c r="D609" s="130"/>
      <c r="E609" s="129"/>
      <c r="F609" s="129"/>
      <c r="G609" s="129"/>
      <c r="H609" s="129"/>
    </row>
    <row r="610" spans="1:8" x14ac:dyDescent="0.15">
      <c r="A610" s="129"/>
      <c r="B610" s="129"/>
      <c r="C610" s="129"/>
      <c r="D610" s="130"/>
      <c r="E610" s="129"/>
      <c r="F610" s="129"/>
      <c r="G610" s="129"/>
      <c r="H610" s="129"/>
    </row>
    <row r="611" spans="1:8" x14ac:dyDescent="0.15">
      <c r="A611" s="129"/>
      <c r="B611" s="129"/>
      <c r="C611" s="129"/>
      <c r="D611" s="130"/>
      <c r="E611" s="129"/>
      <c r="F611" s="129"/>
      <c r="G611" s="129"/>
      <c r="H611" s="129"/>
    </row>
    <row r="612" spans="1:8" x14ac:dyDescent="0.15">
      <c r="A612" s="129"/>
      <c r="B612" s="129"/>
      <c r="C612" s="129"/>
      <c r="D612" s="130"/>
      <c r="E612" s="129"/>
      <c r="F612" s="129"/>
      <c r="G612" s="129"/>
      <c r="H612" s="129"/>
    </row>
    <row r="613" spans="1:8" x14ac:dyDescent="0.15">
      <c r="A613" s="129"/>
      <c r="B613" s="129"/>
      <c r="C613" s="129"/>
      <c r="D613" s="130"/>
      <c r="E613" s="129"/>
      <c r="F613" s="129"/>
      <c r="G613" s="129"/>
      <c r="H613" s="129"/>
    </row>
    <row r="614" spans="1:8" x14ac:dyDescent="0.15">
      <c r="A614" s="129"/>
      <c r="B614" s="129"/>
      <c r="C614" s="129"/>
      <c r="D614" s="130"/>
      <c r="E614" s="129"/>
      <c r="F614" s="129"/>
      <c r="G614" s="129"/>
      <c r="H614" s="129"/>
    </row>
    <row r="615" spans="1:8" x14ac:dyDescent="0.15">
      <c r="A615" s="129"/>
      <c r="B615" s="129"/>
      <c r="C615" s="129"/>
      <c r="D615" s="130"/>
      <c r="E615" s="129"/>
      <c r="F615" s="129"/>
      <c r="G615" s="129"/>
      <c r="H615" s="129"/>
    </row>
    <row r="616" spans="1:8" x14ac:dyDescent="0.15">
      <c r="A616" s="129"/>
      <c r="B616" s="129"/>
      <c r="C616" s="129"/>
      <c r="D616" s="130"/>
      <c r="E616" s="129"/>
      <c r="F616" s="129"/>
      <c r="G616" s="129"/>
      <c r="H616" s="129"/>
    </row>
    <row r="617" spans="1:8" x14ac:dyDescent="0.15">
      <c r="A617" s="129"/>
      <c r="B617" s="129"/>
      <c r="C617" s="129"/>
      <c r="D617" s="130"/>
      <c r="E617" s="129"/>
      <c r="F617" s="129"/>
      <c r="G617" s="129"/>
      <c r="H617" s="129"/>
    </row>
    <row r="618" spans="1:8" x14ac:dyDescent="0.15">
      <c r="A618" s="129"/>
      <c r="B618" s="129"/>
      <c r="C618" s="129"/>
      <c r="D618" s="130"/>
      <c r="E618" s="129"/>
      <c r="F618" s="129"/>
      <c r="G618" s="129"/>
      <c r="H618" s="129"/>
    </row>
    <row r="619" spans="1:8" x14ac:dyDescent="0.15">
      <c r="A619" s="129"/>
      <c r="B619" s="129"/>
      <c r="C619" s="129"/>
      <c r="D619" s="130"/>
      <c r="E619" s="129"/>
      <c r="F619" s="129"/>
      <c r="G619" s="129"/>
      <c r="H619" s="129"/>
    </row>
    <row r="620" spans="1:8" x14ac:dyDescent="0.15">
      <c r="A620" s="129"/>
      <c r="B620" s="129"/>
      <c r="C620" s="129"/>
      <c r="D620" s="130"/>
      <c r="E620" s="129"/>
      <c r="F620" s="129"/>
      <c r="G620" s="129"/>
      <c r="H620" s="129"/>
    </row>
    <row r="621" spans="1:8" x14ac:dyDescent="0.15">
      <c r="A621" s="129"/>
      <c r="B621" s="129"/>
      <c r="C621" s="129"/>
      <c r="D621" s="130"/>
      <c r="E621" s="129"/>
      <c r="F621" s="129"/>
      <c r="G621" s="129"/>
      <c r="H621" s="129"/>
    </row>
    <row r="622" spans="1:8" x14ac:dyDescent="0.15">
      <c r="A622" s="129"/>
      <c r="B622" s="129"/>
      <c r="C622" s="129"/>
      <c r="D622" s="130"/>
      <c r="E622" s="129"/>
      <c r="F622" s="129"/>
      <c r="G622" s="129"/>
      <c r="H622" s="129"/>
    </row>
    <row r="623" spans="1:8" x14ac:dyDescent="0.15">
      <c r="A623" s="129"/>
      <c r="B623" s="129"/>
      <c r="C623" s="129"/>
      <c r="D623" s="130"/>
      <c r="E623" s="129"/>
      <c r="F623" s="129"/>
      <c r="G623" s="129"/>
      <c r="H623" s="129"/>
    </row>
    <row r="624" spans="1:8" x14ac:dyDescent="0.15">
      <c r="A624" s="129"/>
      <c r="B624" s="129"/>
      <c r="C624" s="129"/>
      <c r="D624" s="130"/>
      <c r="E624" s="129"/>
      <c r="F624" s="129"/>
      <c r="G624" s="129"/>
      <c r="H624" s="129"/>
    </row>
    <row r="625" spans="1:8" x14ac:dyDescent="0.15">
      <c r="A625" s="129"/>
      <c r="B625" s="129"/>
      <c r="C625" s="129"/>
      <c r="D625" s="130"/>
      <c r="E625" s="129"/>
      <c r="F625" s="129"/>
      <c r="G625" s="129"/>
      <c r="H625" s="129"/>
    </row>
    <row r="626" spans="1:8" x14ac:dyDescent="0.15">
      <c r="A626" s="129"/>
      <c r="B626" s="129"/>
      <c r="C626" s="129"/>
      <c r="D626" s="130"/>
      <c r="E626" s="129"/>
      <c r="F626" s="129"/>
      <c r="G626" s="129"/>
      <c r="H626" s="129"/>
    </row>
    <row r="627" spans="1:8" x14ac:dyDescent="0.15">
      <c r="A627" s="129"/>
      <c r="B627" s="129"/>
      <c r="C627" s="129"/>
      <c r="D627" s="130"/>
      <c r="E627" s="129"/>
      <c r="F627" s="129"/>
      <c r="G627" s="129"/>
      <c r="H627" s="129"/>
    </row>
    <row r="628" spans="1:8" x14ac:dyDescent="0.15">
      <c r="A628" s="129"/>
      <c r="B628" s="129"/>
      <c r="C628" s="129"/>
      <c r="D628" s="130"/>
      <c r="E628" s="129"/>
      <c r="F628" s="129"/>
      <c r="G628" s="129"/>
      <c r="H628" s="129"/>
    </row>
    <row r="629" spans="1:8" x14ac:dyDescent="0.15">
      <c r="A629" s="129"/>
      <c r="B629" s="129"/>
      <c r="C629" s="129"/>
      <c r="D629" s="130"/>
      <c r="E629" s="129"/>
      <c r="F629" s="129"/>
      <c r="G629" s="129"/>
      <c r="H629" s="129"/>
    </row>
    <row r="630" spans="1:8" x14ac:dyDescent="0.15">
      <c r="A630" s="129"/>
      <c r="B630" s="129"/>
      <c r="C630" s="129"/>
      <c r="D630" s="130"/>
      <c r="E630" s="129"/>
      <c r="F630" s="129"/>
      <c r="G630" s="129"/>
      <c r="H630" s="129"/>
    </row>
    <row r="631" spans="1:8" x14ac:dyDescent="0.15">
      <c r="A631" s="129"/>
      <c r="B631" s="129"/>
      <c r="C631" s="129"/>
      <c r="D631" s="130"/>
      <c r="E631" s="129"/>
      <c r="F631" s="129"/>
      <c r="G631" s="129"/>
      <c r="H631" s="129"/>
    </row>
    <row r="632" spans="1:8" x14ac:dyDescent="0.15">
      <c r="A632" s="129"/>
      <c r="B632" s="129"/>
      <c r="C632" s="129"/>
      <c r="D632" s="130"/>
      <c r="E632" s="129"/>
      <c r="F632" s="129"/>
      <c r="G632" s="129"/>
      <c r="H632" s="129"/>
    </row>
    <row r="633" spans="1:8" x14ac:dyDescent="0.15">
      <c r="A633" s="129"/>
      <c r="B633" s="129"/>
      <c r="C633" s="129"/>
      <c r="D633" s="130"/>
      <c r="E633" s="129"/>
      <c r="F633" s="129"/>
      <c r="G633" s="129"/>
      <c r="H633" s="129"/>
    </row>
    <row r="634" spans="1:8" x14ac:dyDescent="0.15">
      <c r="A634" s="129"/>
      <c r="B634" s="129"/>
      <c r="C634" s="129"/>
      <c r="D634" s="130"/>
      <c r="E634" s="129"/>
      <c r="F634" s="129"/>
      <c r="G634" s="129"/>
      <c r="H634" s="129"/>
    </row>
    <row r="635" spans="1:8" x14ac:dyDescent="0.15">
      <c r="A635" s="129"/>
      <c r="B635" s="129"/>
      <c r="C635" s="129"/>
      <c r="D635" s="130"/>
      <c r="E635" s="129"/>
      <c r="F635" s="129"/>
      <c r="G635" s="129"/>
      <c r="H635" s="129"/>
    </row>
    <row r="636" spans="1:8" x14ac:dyDescent="0.15">
      <c r="A636" s="129"/>
      <c r="B636" s="129"/>
      <c r="C636" s="129"/>
      <c r="D636" s="130"/>
      <c r="E636" s="129"/>
      <c r="F636" s="129"/>
      <c r="G636" s="129"/>
      <c r="H636" s="129"/>
    </row>
    <row r="637" spans="1:8" x14ac:dyDescent="0.15">
      <c r="A637" s="129"/>
      <c r="B637" s="129"/>
      <c r="C637" s="129"/>
      <c r="D637" s="130"/>
      <c r="E637" s="129"/>
      <c r="F637" s="129"/>
      <c r="G637" s="129"/>
      <c r="H637" s="129"/>
    </row>
    <row r="638" spans="1:8" x14ac:dyDescent="0.15">
      <c r="A638" s="129"/>
      <c r="B638" s="129"/>
      <c r="C638" s="129"/>
      <c r="D638" s="130"/>
      <c r="E638" s="129"/>
      <c r="F638" s="129"/>
      <c r="G638" s="129"/>
      <c r="H638" s="129"/>
    </row>
    <row r="639" spans="1:8" x14ac:dyDescent="0.15">
      <c r="A639" s="129"/>
      <c r="B639" s="129"/>
      <c r="C639" s="129"/>
      <c r="D639" s="130"/>
      <c r="E639" s="129"/>
      <c r="F639" s="129"/>
      <c r="G639" s="129"/>
      <c r="H639" s="129"/>
    </row>
    <row r="640" spans="1:8" x14ac:dyDescent="0.15">
      <c r="A640" s="129"/>
      <c r="B640" s="129"/>
      <c r="C640" s="129"/>
      <c r="D640" s="130"/>
      <c r="E640" s="129"/>
      <c r="F640" s="129"/>
      <c r="G640" s="129"/>
      <c r="H640" s="129"/>
    </row>
    <row r="641" spans="1:8" x14ac:dyDescent="0.15">
      <c r="A641" s="129"/>
      <c r="B641" s="129"/>
      <c r="C641" s="129"/>
      <c r="D641" s="130"/>
      <c r="E641" s="129"/>
      <c r="F641" s="129"/>
      <c r="G641" s="129"/>
      <c r="H641" s="129"/>
    </row>
    <row r="642" spans="1:8" x14ac:dyDescent="0.15">
      <c r="A642" s="129"/>
      <c r="B642" s="129"/>
      <c r="C642" s="129"/>
      <c r="D642" s="130"/>
      <c r="E642" s="129"/>
      <c r="F642" s="129"/>
      <c r="G642" s="129"/>
      <c r="H642" s="129"/>
    </row>
    <row r="643" spans="1:8" x14ac:dyDescent="0.15">
      <c r="A643" s="129"/>
      <c r="B643" s="129"/>
      <c r="C643" s="129"/>
      <c r="D643" s="130"/>
      <c r="E643" s="129"/>
      <c r="F643" s="129"/>
      <c r="G643" s="129"/>
      <c r="H643" s="129"/>
    </row>
    <row r="644" spans="1:8" x14ac:dyDescent="0.15">
      <c r="A644" s="129"/>
      <c r="B644" s="129"/>
      <c r="C644" s="129"/>
      <c r="D644" s="130"/>
      <c r="E644" s="129"/>
      <c r="F644" s="129"/>
      <c r="G644" s="129"/>
      <c r="H644" s="129"/>
    </row>
    <row r="645" spans="1:8" x14ac:dyDescent="0.15">
      <c r="A645" s="129"/>
      <c r="B645" s="129"/>
      <c r="C645" s="129"/>
      <c r="D645" s="130"/>
      <c r="E645" s="129"/>
      <c r="F645" s="129"/>
      <c r="G645" s="129"/>
      <c r="H645" s="129"/>
    </row>
    <row r="646" spans="1:8" x14ac:dyDescent="0.15">
      <c r="A646" s="129"/>
      <c r="B646" s="129"/>
      <c r="C646" s="129"/>
      <c r="D646" s="130"/>
      <c r="E646" s="129"/>
      <c r="F646" s="129"/>
      <c r="G646" s="129"/>
      <c r="H646" s="129"/>
    </row>
    <row r="647" spans="1:8" x14ac:dyDescent="0.15">
      <c r="A647" s="129"/>
      <c r="B647" s="129"/>
      <c r="C647" s="129"/>
      <c r="D647" s="130"/>
      <c r="E647" s="129"/>
      <c r="F647" s="129"/>
      <c r="G647" s="129"/>
      <c r="H647" s="129"/>
    </row>
    <row r="648" spans="1:8" x14ac:dyDescent="0.15">
      <c r="A648" s="129"/>
      <c r="B648" s="129"/>
      <c r="C648" s="129"/>
      <c r="D648" s="130"/>
      <c r="E648" s="129"/>
      <c r="F648" s="129"/>
      <c r="G648" s="129"/>
      <c r="H648" s="129"/>
    </row>
    <row r="649" spans="1:8" x14ac:dyDescent="0.15">
      <c r="A649" s="129"/>
      <c r="B649" s="129"/>
      <c r="C649" s="129"/>
      <c r="D649" s="130"/>
      <c r="E649" s="129"/>
      <c r="F649" s="129"/>
      <c r="G649" s="129"/>
      <c r="H649" s="129"/>
    </row>
    <row r="650" spans="1:8" x14ac:dyDescent="0.15">
      <c r="A650" s="129"/>
      <c r="B650" s="129"/>
      <c r="C650" s="129"/>
      <c r="D650" s="130"/>
      <c r="E650" s="129"/>
      <c r="F650" s="129"/>
      <c r="G650" s="129"/>
      <c r="H650" s="129"/>
    </row>
    <row r="651" spans="1:8" x14ac:dyDescent="0.15">
      <c r="A651" s="129"/>
      <c r="B651" s="129"/>
      <c r="C651" s="129"/>
      <c r="D651" s="130"/>
      <c r="E651" s="129"/>
      <c r="F651" s="129"/>
      <c r="G651" s="129"/>
      <c r="H651" s="129"/>
    </row>
    <row r="652" spans="1:8" x14ac:dyDescent="0.15">
      <c r="A652" s="129"/>
      <c r="B652" s="129"/>
      <c r="C652" s="129"/>
      <c r="D652" s="130"/>
      <c r="E652" s="129"/>
      <c r="F652" s="129"/>
      <c r="G652" s="129"/>
      <c r="H652" s="129"/>
    </row>
    <row r="653" spans="1:8" x14ac:dyDescent="0.15">
      <c r="A653" s="129"/>
      <c r="B653" s="129"/>
      <c r="C653" s="129"/>
      <c r="D653" s="130"/>
      <c r="E653" s="129"/>
      <c r="F653" s="129"/>
      <c r="G653" s="129"/>
      <c r="H653" s="129"/>
    </row>
    <row r="654" spans="1:8" x14ac:dyDescent="0.15">
      <c r="A654" s="129"/>
      <c r="B654" s="129"/>
      <c r="C654" s="129"/>
      <c r="D654" s="130"/>
      <c r="E654" s="129"/>
      <c r="F654" s="129"/>
      <c r="G654" s="129"/>
      <c r="H654" s="129"/>
    </row>
    <row r="655" spans="1:8" x14ac:dyDescent="0.15">
      <c r="A655" s="129"/>
      <c r="B655" s="129"/>
      <c r="C655" s="129"/>
      <c r="D655" s="130"/>
      <c r="E655" s="129"/>
      <c r="F655" s="129"/>
      <c r="G655" s="129"/>
      <c r="H655" s="129"/>
    </row>
    <row r="656" spans="1:8" x14ac:dyDescent="0.15">
      <c r="A656" s="129"/>
      <c r="B656" s="129"/>
      <c r="C656" s="129"/>
      <c r="D656" s="130"/>
      <c r="E656" s="129"/>
      <c r="F656" s="129"/>
      <c r="G656" s="129"/>
      <c r="H656" s="129"/>
    </row>
    <row r="657" spans="1:8" x14ac:dyDescent="0.15">
      <c r="A657" s="129"/>
      <c r="B657" s="129"/>
      <c r="C657" s="129"/>
      <c r="D657" s="130"/>
      <c r="E657" s="129"/>
      <c r="F657" s="129"/>
      <c r="G657" s="129"/>
      <c r="H657" s="129"/>
    </row>
    <row r="658" spans="1:8" x14ac:dyDescent="0.15">
      <c r="A658" s="129"/>
      <c r="B658" s="129"/>
      <c r="C658" s="129"/>
      <c r="D658" s="130"/>
      <c r="E658" s="129"/>
      <c r="F658" s="129"/>
      <c r="G658" s="129"/>
      <c r="H658" s="129"/>
    </row>
    <row r="659" spans="1:8" x14ac:dyDescent="0.15">
      <c r="A659" s="129"/>
      <c r="B659" s="129"/>
      <c r="C659" s="129"/>
      <c r="D659" s="130"/>
      <c r="E659" s="129"/>
      <c r="F659" s="129"/>
      <c r="G659" s="129"/>
      <c r="H659" s="129"/>
    </row>
    <row r="660" spans="1:8" x14ac:dyDescent="0.15">
      <c r="A660" s="129"/>
      <c r="B660" s="129"/>
      <c r="C660" s="129"/>
      <c r="D660" s="130"/>
      <c r="E660" s="129"/>
      <c r="F660" s="129"/>
      <c r="G660" s="129"/>
      <c r="H660" s="129"/>
    </row>
    <row r="661" spans="1:8" x14ac:dyDescent="0.15">
      <c r="A661" s="129"/>
      <c r="B661" s="129"/>
      <c r="C661" s="129"/>
      <c r="D661" s="130"/>
      <c r="E661" s="129"/>
      <c r="F661" s="129"/>
      <c r="G661" s="129"/>
      <c r="H661" s="129"/>
    </row>
    <row r="662" spans="1:8" x14ac:dyDescent="0.15">
      <c r="A662" s="129"/>
      <c r="B662" s="129"/>
      <c r="C662" s="129"/>
      <c r="D662" s="130"/>
      <c r="E662" s="129"/>
      <c r="F662" s="129"/>
      <c r="G662" s="129"/>
      <c r="H662" s="129"/>
    </row>
    <row r="663" spans="1:8" x14ac:dyDescent="0.15">
      <c r="A663" s="129"/>
      <c r="B663" s="129"/>
      <c r="C663" s="129"/>
      <c r="D663" s="130"/>
      <c r="E663" s="129"/>
      <c r="F663" s="129"/>
      <c r="G663" s="129"/>
      <c r="H663" s="129"/>
    </row>
    <row r="664" spans="1:8" x14ac:dyDescent="0.15">
      <c r="A664" s="129"/>
      <c r="B664" s="129"/>
      <c r="C664" s="129"/>
      <c r="D664" s="130"/>
      <c r="E664" s="129"/>
      <c r="F664" s="129"/>
      <c r="G664" s="129"/>
      <c r="H664" s="129"/>
    </row>
    <row r="665" spans="1:8" x14ac:dyDescent="0.15">
      <c r="A665" s="129"/>
      <c r="B665" s="129"/>
      <c r="C665" s="129"/>
      <c r="D665" s="130"/>
      <c r="E665" s="129"/>
      <c r="F665" s="129"/>
      <c r="G665" s="129"/>
      <c r="H665" s="129"/>
    </row>
    <row r="666" spans="1:8" x14ac:dyDescent="0.15">
      <c r="A666" s="129"/>
      <c r="B666" s="129"/>
      <c r="C666" s="129"/>
      <c r="D666" s="130"/>
      <c r="E666" s="129"/>
      <c r="F666" s="129"/>
      <c r="G666" s="129"/>
      <c r="H666" s="129"/>
    </row>
    <row r="667" spans="1:8" x14ac:dyDescent="0.15">
      <c r="A667" s="129"/>
      <c r="B667" s="129"/>
      <c r="C667" s="129"/>
      <c r="D667" s="130"/>
      <c r="E667" s="129"/>
      <c r="F667" s="129"/>
      <c r="G667" s="129"/>
      <c r="H667" s="129"/>
    </row>
    <row r="668" spans="1:8" x14ac:dyDescent="0.15">
      <c r="A668" s="129"/>
      <c r="B668" s="129"/>
      <c r="C668" s="129"/>
      <c r="D668" s="130"/>
      <c r="E668" s="129"/>
      <c r="F668" s="129"/>
      <c r="G668" s="129"/>
      <c r="H668" s="129"/>
    </row>
    <row r="669" spans="1:8" x14ac:dyDescent="0.15">
      <c r="A669" s="129"/>
      <c r="B669" s="129"/>
      <c r="C669" s="129"/>
      <c r="D669" s="130"/>
      <c r="E669" s="129"/>
      <c r="F669" s="129"/>
      <c r="G669" s="129"/>
      <c r="H669" s="129"/>
    </row>
    <row r="670" spans="1:8" x14ac:dyDescent="0.15">
      <c r="A670" s="129"/>
      <c r="B670" s="129"/>
      <c r="C670" s="129"/>
      <c r="D670" s="130"/>
      <c r="E670" s="129"/>
      <c r="F670" s="129"/>
      <c r="G670" s="129"/>
      <c r="H670" s="129"/>
    </row>
    <row r="671" spans="1:8" x14ac:dyDescent="0.15">
      <c r="A671" s="129"/>
      <c r="B671" s="129"/>
      <c r="C671" s="129"/>
      <c r="D671" s="130"/>
      <c r="E671" s="129"/>
      <c r="F671" s="129"/>
      <c r="G671" s="129"/>
      <c r="H671" s="129"/>
    </row>
    <row r="672" spans="1:8" x14ac:dyDescent="0.15">
      <c r="A672" s="129"/>
      <c r="B672" s="129"/>
      <c r="C672" s="129"/>
      <c r="D672" s="130"/>
      <c r="E672" s="129"/>
      <c r="F672" s="129"/>
      <c r="G672" s="129"/>
      <c r="H672" s="129"/>
    </row>
    <row r="673" spans="1:8" x14ac:dyDescent="0.15">
      <c r="A673" s="129"/>
      <c r="B673" s="129"/>
      <c r="C673" s="129"/>
      <c r="D673" s="130"/>
      <c r="E673" s="129"/>
      <c r="F673" s="129"/>
      <c r="G673" s="129"/>
      <c r="H673" s="129"/>
    </row>
    <row r="674" spans="1:8" x14ac:dyDescent="0.15">
      <c r="A674" s="129"/>
      <c r="B674" s="129"/>
      <c r="C674" s="129"/>
      <c r="D674" s="130"/>
      <c r="E674" s="129"/>
      <c r="F674" s="129"/>
      <c r="G674" s="129"/>
      <c r="H674" s="129"/>
    </row>
    <row r="675" spans="1:8" x14ac:dyDescent="0.15">
      <c r="A675" s="129"/>
      <c r="B675" s="129"/>
      <c r="C675" s="129"/>
      <c r="D675" s="130"/>
      <c r="E675" s="129"/>
      <c r="F675" s="129"/>
      <c r="G675" s="129"/>
      <c r="H675" s="129"/>
    </row>
    <row r="676" spans="1:8" x14ac:dyDescent="0.15">
      <c r="A676" s="129"/>
      <c r="B676" s="129"/>
      <c r="C676" s="129"/>
      <c r="D676" s="130"/>
      <c r="E676" s="129"/>
      <c r="F676" s="129"/>
      <c r="G676" s="129"/>
      <c r="H676" s="129"/>
    </row>
    <row r="677" spans="1:8" x14ac:dyDescent="0.15">
      <c r="A677" s="129"/>
      <c r="B677" s="129"/>
      <c r="C677" s="129"/>
      <c r="D677" s="130"/>
      <c r="E677" s="129"/>
      <c r="F677" s="129"/>
      <c r="G677" s="129"/>
      <c r="H677" s="129"/>
    </row>
    <row r="678" spans="1:8" x14ac:dyDescent="0.15">
      <c r="A678" s="129"/>
      <c r="B678" s="129"/>
      <c r="C678" s="129"/>
      <c r="D678" s="130"/>
      <c r="E678" s="129"/>
      <c r="F678" s="129"/>
      <c r="G678" s="129"/>
      <c r="H678" s="129"/>
    </row>
    <row r="679" spans="1:8" x14ac:dyDescent="0.15">
      <c r="A679" s="129"/>
      <c r="B679" s="129"/>
      <c r="C679" s="129"/>
      <c r="D679" s="130"/>
      <c r="E679" s="129"/>
      <c r="F679" s="129"/>
      <c r="G679" s="129"/>
      <c r="H679" s="129"/>
    </row>
    <row r="680" spans="1:8" x14ac:dyDescent="0.15">
      <c r="A680" s="129"/>
      <c r="B680" s="129"/>
      <c r="C680" s="129"/>
      <c r="D680" s="130"/>
      <c r="E680" s="129"/>
      <c r="F680" s="129"/>
      <c r="G680" s="129"/>
      <c r="H680" s="129"/>
    </row>
    <row r="681" spans="1:8" x14ac:dyDescent="0.15">
      <c r="A681" s="129"/>
      <c r="B681" s="129"/>
      <c r="C681" s="129"/>
      <c r="D681" s="130"/>
      <c r="E681" s="129"/>
      <c r="F681" s="129"/>
      <c r="G681" s="129"/>
      <c r="H681" s="129"/>
    </row>
    <row r="682" spans="1:8" x14ac:dyDescent="0.15">
      <c r="A682" s="129"/>
      <c r="B682" s="129"/>
      <c r="C682" s="129"/>
      <c r="D682" s="130"/>
      <c r="E682" s="129"/>
      <c r="F682" s="129"/>
      <c r="G682" s="129"/>
      <c r="H682" s="129"/>
    </row>
    <row r="683" spans="1:8" x14ac:dyDescent="0.15">
      <c r="A683" s="129"/>
      <c r="B683" s="129"/>
      <c r="C683" s="129"/>
      <c r="D683" s="130"/>
      <c r="E683" s="129"/>
      <c r="F683" s="129"/>
      <c r="G683" s="129"/>
      <c r="H683" s="129"/>
    </row>
  </sheetData>
  <autoFilter ref="A1:BA130" xr:uid="{00000000-0009-0000-0000-000004000000}"/>
  <phoneticPr fontId="3"/>
  <dataValidations count="21">
    <dataValidation type="list" allowBlank="1" showInputMessage="1" showErrorMessage="1" sqref="J2:J1000" xr:uid="{B59E1ED9-D4B6-4D44-BC06-C492A50A0422}">
      <formula1>$AP$2:$AP$29</formula1>
    </dataValidation>
    <dataValidation type="list" allowBlank="1" showInputMessage="1" showErrorMessage="1" sqref="K2:K1000" xr:uid="{6814BC99-D5B9-41BF-981A-8E5F4DBDA170}">
      <formula1>$AR$2:$AR$29</formula1>
    </dataValidation>
    <dataValidation type="list" allowBlank="1" showInputMessage="1" showErrorMessage="1" sqref="H2:H1429" xr:uid="{CFDE6124-0D21-486C-9BD2-91D916761603}">
      <formula1>$AL$2:$AL$9</formula1>
    </dataValidation>
    <dataValidation type="list" allowBlank="1" showInputMessage="1" showErrorMessage="1" sqref="F2:F683" xr:uid="{759CB21A-C6BC-4509-B636-7AD8D9F3DA3C}">
      <formula1>$AH$2:$AH$11</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B0E310CB-E8DC-47AE-8D8E-2740E7DA7505}">
      <formula1>$AR$2:$AR$30</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59B83B7C-BEE7-433A-A386-51856BA45DA7}">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RNW2:RNW7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RXS2:RXS73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SHO2:SHO73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SRK2:SRK73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TBG2:TBG73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TLC2:TLC7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TUY2:TUY73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UEU2:UEU73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UOQ2:UOQ73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UYM2:UYM73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VII2:VII7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VSE2:VSE73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WCA2:WCA73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WLW2:WLW73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WVS2:WVS73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xr:uid="{D0281AC0-34DD-4F22-BF14-A936450B746F}">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RNV2:RNV7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RXR2:RXR73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SHN2:SHN73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SRJ2:SRJ73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TBF2:TBF73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TLB2:TLB7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TUX2:TUX73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UET2:UET73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UOP2:UOP73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UYL2:UYL73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VIH2:VIH7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VSD2:VSD73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WBZ2:WBZ73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WLV2:WLV73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WVR2:WVR73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J65535:J65613 J131071:J131149 J196607:J196685 J262143:J262221 J327679:J327757 J393215:J393293 J458751:J458829 J524287:J524365 J589823:J589901 J655359:J655437 J720895:J720973 J786431:J786509 J851967:J852045 J917503:J917581 J983039:J983117" xr:uid="{ED4E3E96-EE4E-42F5-9814-96035DDC4ED4}">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AD048A53-805E-47CB-8653-D67A85FA69F4}">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342E98D8-4F14-40C8-AF52-3E4658F5882A}">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2:X500" xr:uid="{AFCB21D1-F16A-4E90-AF88-B356554FDCA6}">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xr:uid="{E4633910-975A-4F2C-BAFD-58EA5E5B203D}"/>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xr:uid="{1D5730B3-B3D1-48FB-875C-4A0A3F588407}">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2:G683" xr:uid="{81EA7A0C-3252-4FF1-ADD8-7BB12D01F72E}">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7776F5E4-1269-49CD-BB56-85850CA594A2}">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2:I500" xr:uid="{EF78E523-D909-4F26-8A3C-E04EF641DFE9}">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xr:uid="{7792525D-40C0-4552-BE74-9FFD39DBCFA7}">
      <formula1>$AV$2:$AV$22</formula1>
    </dataValidation>
    <dataValidation type="list" allowBlank="1" showInputMessage="1" showErrorMessage="1" sqref="E2:E683" xr:uid="{E22320C0-7E6B-441B-A0E9-0C8B96AC77B0}">
      <formula1>$AG$2:$AG$11</formula1>
    </dataValidation>
    <dataValidation type="list" allowBlank="1" showInputMessage="1" showErrorMessage="1" sqref="A2:A683" xr:uid="{62687896-1067-42CF-BA2E-0C7DA04BA505}">
      <formula1>$AE$2:$AE$19</formula1>
    </dataValidation>
    <dataValidation type="list" allowBlank="1" showInputMessage="1" showErrorMessage="1" sqref="Y2:AA500" xr:uid="{0A6AC678-DF71-45C3-8A5D-6F4612D2B133}">
      <formula1>$AV$2:$AV$21</formula1>
    </dataValidation>
    <dataValidation type="decimal" allowBlank="1" showInputMessage="1" showErrorMessage="1" error="硬度を正しく入力して下さい。" sqref="O96:P500 O5:P10 P11:P16 O17:P34 O41:P94 P35:P40" xr:uid="{7035B84D-CCBB-4AEC-9CA3-3C2321F4A48C}">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F162F-97CF-42AB-9F96-A7CE59DD3F36}">
  <dimension ref="A1:BA152"/>
  <sheetViews>
    <sheetView zoomScale="85" zoomScaleNormal="85" workbookViewId="0">
      <pane ySplit="1" topLeftCell="A2" activePane="bottomLeft" state="frozen"/>
      <selection pane="bottomLeft" activeCell="A2" sqref="A2"/>
    </sheetView>
  </sheetViews>
  <sheetFormatPr defaultColWidth="8.875" defaultRowHeight="13.5" x14ac:dyDescent="0.15"/>
  <cols>
    <col min="1" max="3" width="8.875" style="77"/>
    <col min="4" max="4" width="13.5" style="77" bestFit="1" customWidth="1"/>
    <col min="5" max="5" width="9.625" style="77" bestFit="1" customWidth="1"/>
    <col min="6" max="16" width="8.875" style="77"/>
    <col min="17" max="17" width="8.875" style="16"/>
    <col min="18" max="19" width="8.875" style="77"/>
    <col min="20" max="20" width="8.875" style="16"/>
    <col min="21" max="21" width="8.875" style="77"/>
    <col min="22" max="22" width="8.875" style="16"/>
    <col min="23" max="32" width="8.875" style="77"/>
    <col min="33" max="33" width="19.625" style="77" bestFit="1" customWidth="1"/>
    <col min="34" max="259" width="8.875" style="77"/>
    <col min="260" max="260" width="10.5" style="77" bestFit="1" customWidth="1"/>
    <col min="261" max="261" width="9.625" style="77" bestFit="1" customWidth="1"/>
    <col min="262" max="515" width="8.875" style="77"/>
    <col min="516" max="516" width="10.5" style="77" bestFit="1" customWidth="1"/>
    <col min="517" max="517" width="9.625" style="77" bestFit="1" customWidth="1"/>
    <col min="518" max="771" width="8.875" style="77"/>
    <col min="772" max="772" width="10.5" style="77" bestFit="1" customWidth="1"/>
    <col min="773" max="773" width="9.625" style="77" bestFit="1" customWidth="1"/>
    <col min="774" max="1027" width="8.875" style="77"/>
    <col min="1028" max="1028" width="10.5" style="77" bestFit="1" customWidth="1"/>
    <col min="1029" max="1029" width="9.625" style="77" bestFit="1" customWidth="1"/>
    <col min="1030" max="1283" width="8.875" style="77"/>
    <col min="1284" max="1284" width="10.5" style="77" bestFit="1" customWidth="1"/>
    <col min="1285" max="1285" width="9.625" style="77" bestFit="1" customWidth="1"/>
    <col min="1286" max="1539" width="8.875" style="77"/>
    <col min="1540" max="1540" width="10.5" style="77" bestFit="1" customWidth="1"/>
    <col min="1541" max="1541" width="9.625" style="77" bestFit="1" customWidth="1"/>
    <col min="1542" max="1795" width="8.875" style="77"/>
    <col min="1796" max="1796" width="10.5" style="77" bestFit="1" customWidth="1"/>
    <col min="1797" max="1797" width="9.625" style="77" bestFit="1" customWidth="1"/>
    <col min="1798" max="2051" width="8.875" style="77"/>
    <col min="2052" max="2052" width="10.5" style="77" bestFit="1" customWidth="1"/>
    <col min="2053" max="2053" width="9.625" style="77" bestFit="1" customWidth="1"/>
    <col min="2054" max="2307" width="8.875" style="77"/>
    <col min="2308" max="2308" width="10.5" style="77" bestFit="1" customWidth="1"/>
    <col min="2309" max="2309" width="9.625" style="77" bestFit="1" customWidth="1"/>
    <col min="2310" max="2563" width="8.875" style="77"/>
    <col min="2564" max="2564" width="10.5" style="77" bestFit="1" customWidth="1"/>
    <col min="2565" max="2565" width="9.625" style="77" bestFit="1" customWidth="1"/>
    <col min="2566" max="2819" width="8.875" style="77"/>
    <col min="2820" max="2820" width="10.5" style="77" bestFit="1" customWidth="1"/>
    <col min="2821" max="2821" width="9.625" style="77" bestFit="1" customWidth="1"/>
    <col min="2822" max="3075" width="8.875" style="77"/>
    <col min="3076" max="3076" width="10.5" style="77" bestFit="1" customWidth="1"/>
    <col min="3077" max="3077" width="9.625" style="77" bestFit="1" customWidth="1"/>
    <col min="3078" max="3331" width="8.875" style="77"/>
    <col min="3332" max="3332" width="10.5" style="77" bestFit="1" customWidth="1"/>
    <col min="3333" max="3333" width="9.625" style="77" bestFit="1" customWidth="1"/>
    <col min="3334" max="3587" width="8.875" style="77"/>
    <col min="3588" max="3588" width="10.5" style="77" bestFit="1" customWidth="1"/>
    <col min="3589" max="3589" width="9.625" style="77" bestFit="1" customWidth="1"/>
    <col min="3590" max="3843" width="8.875" style="77"/>
    <col min="3844" max="3844" width="10.5" style="77" bestFit="1" customWidth="1"/>
    <col min="3845" max="3845" width="9.625" style="77" bestFit="1" customWidth="1"/>
    <col min="3846" max="4099" width="8.875" style="77"/>
    <col min="4100" max="4100" width="10.5" style="77" bestFit="1" customWidth="1"/>
    <col min="4101" max="4101" width="9.625" style="77" bestFit="1" customWidth="1"/>
    <col min="4102" max="4355" width="8.875" style="77"/>
    <col min="4356" max="4356" width="10.5" style="77" bestFit="1" customWidth="1"/>
    <col min="4357" max="4357" width="9.625" style="77" bestFit="1" customWidth="1"/>
    <col min="4358" max="4611" width="8.875" style="77"/>
    <col min="4612" max="4612" width="10.5" style="77" bestFit="1" customWidth="1"/>
    <col min="4613" max="4613" width="9.625" style="77" bestFit="1" customWidth="1"/>
    <col min="4614" max="4867" width="8.875" style="77"/>
    <col min="4868" max="4868" width="10.5" style="77" bestFit="1" customWidth="1"/>
    <col min="4869" max="4869" width="9.625" style="77" bestFit="1" customWidth="1"/>
    <col min="4870" max="5123" width="8.875" style="77"/>
    <col min="5124" max="5124" width="10.5" style="77" bestFit="1" customWidth="1"/>
    <col min="5125" max="5125" width="9.625" style="77" bestFit="1" customWidth="1"/>
    <col min="5126" max="5379" width="8.875" style="77"/>
    <col min="5380" max="5380" width="10.5" style="77" bestFit="1" customWidth="1"/>
    <col min="5381" max="5381" width="9.625" style="77" bestFit="1" customWidth="1"/>
    <col min="5382" max="5635" width="8.875" style="77"/>
    <col min="5636" max="5636" width="10.5" style="77" bestFit="1" customWidth="1"/>
    <col min="5637" max="5637" width="9.625" style="77" bestFit="1" customWidth="1"/>
    <col min="5638" max="5891" width="8.875" style="77"/>
    <col min="5892" max="5892" width="10.5" style="77" bestFit="1" customWidth="1"/>
    <col min="5893" max="5893" width="9.625" style="77" bestFit="1" customWidth="1"/>
    <col min="5894" max="6147" width="8.875" style="77"/>
    <col min="6148" max="6148" width="10.5" style="77" bestFit="1" customWidth="1"/>
    <col min="6149" max="6149" width="9.625" style="77" bestFit="1" customWidth="1"/>
    <col min="6150" max="6403" width="8.875" style="77"/>
    <col min="6404" max="6404" width="10.5" style="77" bestFit="1" customWidth="1"/>
    <col min="6405" max="6405" width="9.625" style="77" bestFit="1" customWidth="1"/>
    <col min="6406" max="6659" width="8.875" style="77"/>
    <col min="6660" max="6660" width="10.5" style="77" bestFit="1" customWidth="1"/>
    <col min="6661" max="6661" width="9.625" style="77" bestFit="1" customWidth="1"/>
    <col min="6662" max="6915" width="8.875" style="77"/>
    <col min="6916" max="6916" width="10.5" style="77" bestFit="1" customWidth="1"/>
    <col min="6917" max="6917" width="9.625" style="77" bestFit="1" customWidth="1"/>
    <col min="6918" max="7171" width="8.875" style="77"/>
    <col min="7172" max="7172" width="10.5" style="77" bestFit="1" customWidth="1"/>
    <col min="7173" max="7173" width="9.625" style="77" bestFit="1" customWidth="1"/>
    <col min="7174" max="7427" width="8.875" style="77"/>
    <col min="7428" max="7428" width="10.5" style="77" bestFit="1" customWidth="1"/>
    <col min="7429" max="7429" width="9.625" style="77" bestFit="1" customWidth="1"/>
    <col min="7430" max="7683" width="8.875" style="77"/>
    <col min="7684" max="7684" width="10.5" style="77" bestFit="1" customWidth="1"/>
    <col min="7685" max="7685" width="9.625" style="77" bestFit="1" customWidth="1"/>
    <col min="7686" max="7939" width="8.875" style="77"/>
    <col min="7940" max="7940" width="10.5" style="77" bestFit="1" customWidth="1"/>
    <col min="7941" max="7941" width="9.625" style="77" bestFit="1" customWidth="1"/>
    <col min="7942" max="8195" width="8.875" style="77"/>
    <col min="8196" max="8196" width="10.5" style="77" bestFit="1" customWidth="1"/>
    <col min="8197" max="8197" width="9.625" style="77" bestFit="1" customWidth="1"/>
    <col min="8198" max="8451" width="8.875" style="77"/>
    <col min="8452" max="8452" width="10.5" style="77" bestFit="1" customWidth="1"/>
    <col min="8453" max="8453" width="9.625" style="77" bestFit="1" customWidth="1"/>
    <col min="8454" max="8707" width="8.875" style="77"/>
    <col min="8708" max="8708" width="10.5" style="77" bestFit="1" customWidth="1"/>
    <col min="8709" max="8709" width="9.625" style="77" bestFit="1" customWidth="1"/>
    <col min="8710" max="8963" width="8.875" style="77"/>
    <col min="8964" max="8964" width="10.5" style="77" bestFit="1" customWidth="1"/>
    <col min="8965" max="8965" width="9.625" style="77" bestFit="1" customWidth="1"/>
    <col min="8966" max="9219" width="8.875" style="77"/>
    <col min="9220" max="9220" width="10.5" style="77" bestFit="1" customWidth="1"/>
    <col min="9221" max="9221" width="9.625" style="77" bestFit="1" customWidth="1"/>
    <col min="9222" max="9475" width="8.875" style="77"/>
    <col min="9476" max="9476" width="10.5" style="77" bestFit="1" customWidth="1"/>
    <col min="9477" max="9477" width="9.625" style="77" bestFit="1" customWidth="1"/>
    <col min="9478" max="9731" width="8.875" style="77"/>
    <col min="9732" max="9732" width="10.5" style="77" bestFit="1" customWidth="1"/>
    <col min="9733" max="9733" width="9.625" style="77" bestFit="1" customWidth="1"/>
    <col min="9734" max="9987" width="8.875" style="77"/>
    <col min="9988" max="9988" width="10.5" style="77" bestFit="1" customWidth="1"/>
    <col min="9989" max="9989" width="9.625" style="77" bestFit="1" customWidth="1"/>
    <col min="9990" max="10243" width="8.875" style="77"/>
    <col min="10244" max="10244" width="10.5" style="77" bestFit="1" customWidth="1"/>
    <col min="10245" max="10245" width="9.625" style="77" bestFit="1" customWidth="1"/>
    <col min="10246" max="10499" width="8.875" style="77"/>
    <col min="10500" max="10500" width="10.5" style="77" bestFit="1" customWidth="1"/>
    <col min="10501" max="10501" width="9.625" style="77" bestFit="1" customWidth="1"/>
    <col min="10502" max="10755" width="8.875" style="77"/>
    <col min="10756" max="10756" width="10.5" style="77" bestFit="1" customWidth="1"/>
    <col min="10757" max="10757" width="9.625" style="77" bestFit="1" customWidth="1"/>
    <col min="10758" max="11011" width="8.875" style="77"/>
    <col min="11012" max="11012" width="10.5" style="77" bestFit="1" customWidth="1"/>
    <col min="11013" max="11013" width="9.625" style="77" bestFit="1" customWidth="1"/>
    <col min="11014" max="11267" width="8.875" style="77"/>
    <col min="11268" max="11268" width="10.5" style="77" bestFit="1" customWidth="1"/>
    <col min="11269" max="11269" width="9.625" style="77" bestFit="1" customWidth="1"/>
    <col min="11270" max="11523" width="8.875" style="77"/>
    <col min="11524" max="11524" width="10.5" style="77" bestFit="1" customWidth="1"/>
    <col min="11525" max="11525" width="9.625" style="77" bestFit="1" customWidth="1"/>
    <col min="11526" max="11779" width="8.875" style="77"/>
    <col min="11780" max="11780" width="10.5" style="77" bestFit="1" customWidth="1"/>
    <col min="11781" max="11781" width="9.625" style="77" bestFit="1" customWidth="1"/>
    <col min="11782" max="12035" width="8.875" style="77"/>
    <col min="12036" max="12036" width="10.5" style="77" bestFit="1" customWidth="1"/>
    <col min="12037" max="12037" width="9.625" style="77" bestFit="1" customWidth="1"/>
    <col min="12038" max="12291" width="8.875" style="77"/>
    <col min="12292" max="12292" width="10.5" style="77" bestFit="1" customWidth="1"/>
    <col min="12293" max="12293" width="9.625" style="77" bestFit="1" customWidth="1"/>
    <col min="12294" max="12547" width="8.875" style="77"/>
    <col min="12548" max="12548" width="10.5" style="77" bestFit="1" customWidth="1"/>
    <col min="12549" max="12549" width="9.625" style="77" bestFit="1" customWidth="1"/>
    <col min="12550" max="12803" width="8.875" style="77"/>
    <col min="12804" max="12804" width="10.5" style="77" bestFit="1" customWidth="1"/>
    <col min="12805" max="12805" width="9.625" style="77" bestFit="1" customWidth="1"/>
    <col min="12806" max="13059" width="8.875" style="77"/>
    <col min="13060" max="13060" width="10.5" style="77" bestFit="1" customWidth="1"/>
    <col min="13061" max="13061" width="9.625" style="77" bestFit="1" customWidth="1"/>
    <col min="13062" max="13315" width="8.875" style="77"/>
    <col min="13316" max="13316" width="10.5" style="77" bestFit="1" customWidth="1"/>
    <col min="13317" max="13317" width="9.625" style="77" bestFit="1" customWidth="1"/>
    <col min="13318" max="13571" width="8.875" style="77"/>
    <col min="13572" max="13572" width="10.5" style="77" bestFit="1" customWidth="1"/>
    <col min="13573" max="13573" width="9.625" style="77" bestFit="1" customWidth="1"/>
    <col min="13574" max="13827" width="8.875" style="77"/>
    <col min="13828" max="13828" width="10.5" style="77" bestFit="1" customWidth="1"/>
    <col min="13829" max="13829" width="9.625" style="77" bestFit="1" customWidth="1"/>
    <col min="13830" max="14083" width="8.875" style="77"/>
    <col min="14084" max="14084" width="10.5" style="77" bestFit="1" customWidth="1"/>
    <col min="14085" max="14085" width="9.625" style="77" bestFit="1" customWidth="1"/>
    <col min="14086" max="14339" width="8.875" style="77"/>
    <col min="14340" max="14340" width="10.5" style="77" bestFit="1" customWidth="1"/>
    <col min="14341" max="14341" width="9.625" style="77" bestFit="1" customWidth="1"/>
    <col min="14342" max="14595" width="8.875" style="77"/>
    <col min="14596" max="14596" width="10.5" style="77" bestFit="1" customWidth="1"/>
    <col min="14597" max="14597" width="9.625" style="77" bestFit="1" customWidth="1"/>
    <col min="14598" max="14851" width="8.875" style="77"/>
    <col min="14852" max="14852" width="10.5" style="77" bestFit="1" customWidth="1"/>
    <col min="14853" max="14853" width="9.625" style="77" bestFit="1" customWidth="1"/>
    <col min="14854" max="15107" width="8.875" style="77"/>
    <col min="15108" max="15108" width="10.5" style="77" bestFit="1" customWidth="1"/>
    <col min="15109" max="15109" width="9.625" style="77" bestFit="1" customWidth="1"/>
    <col min="15110" max="15363" width="8.875" style="77"/>
    <col min="15364" max="15364" width="10.5" style="77" bestFit="1" customWidth="1"/>
    <col min="15365" max="15365" width="9.625" style="77" bestFit="1" customWidth="1"/>
    <col min="15366" max="15619" width="8.875" style="77"/>
    <col min="15620" max="15620" width="10.5" style="77" bestFit="1" customWidth="1"/>
    <col min="15621" max="15621" width="9.625" style="77" bestFit="1" customWidth="1"/>
    <col min="15622" max="15875" width="8.875" style="77"/>
    <col min="15876" max="15876" width="10.5" style="77" bestFit="1" customWidth="1"/>
    <col min="15877" max="15877" width="9.625" style="77" bestFit="1" customWidth="1"/>
    <col min="15878" max="16131" width="8.875" style="77"/>
    <col min="16132" max="16132" width="10.5" style="77" bestFit="1" customWidth="1"/>
    <col min="16133" max="16133" width="9.625" style="77" bestFit="1" customWidth="1"/>
    <col min="16134" max="16384" width="8.875" style="77"/>
  </cols>
  <sheetData>
    <row r="1" spans="1:53" ht="45" x14ac:dyDescent="0.15">
      <c r="A1" s="40" t="s">
        <v>0</v>
      </c>
      <c r="B1" s="92" t="s">
        <v>1</v>
      </c>
      <c r="C1" s="92" t="s">
        <v>118</v>
      </c>
      <c r="D1" s="93" t="s">
        <v>2</v>
      </c>
      <c r="E1" s="83" t="s">
        <v>3</v>
      </c>
      <c r="F1" s="83" t="s">
        <v>4</v>
      </c>
      <c r="G1" s="83" t="s">
        <v>5</v>
      </c>
      <c r="H1" s="83" t="s">
        <v>6</v>
      </c>
      <c r="I1" s="83" t="s">
        <v>7</v>
      </c>
      <c r="J1" s="83" t="s">
        <v>8</v>
      </c>
      <c r="K1" s="83" t="s">
        <v>9</v>
      </c>
      <c r="L1" s="93" t="s">
        <v>119</v>
      </c>
      <c r="M1" s="93" t="s">
        <v>10</v>
      </c>
      <c r="N1" s="93" t="s">
        <v>279</v>
      </c>
      <c r="O1" s="93" t="s">
        <v>120</v>
      </c>
      <c r="P1" s="93" t="s">
        <v>121</v>
      </c>
      <c r="Q1" s="3" t="s">
        <v>12</v>
      </c>
      <c r="R1" s="93" t="s">
        <v>122</v>
      </c>
      <c r="S1" s="93" t="s">
        <v>123</v>
      </c>
      <c r="T1" s="3" t="s">
        <v>13</v>
      </c>
      <c r="U1" s="114" t="s">
        <v>246</v>
      </c>
      <c r="V1" s="5" t="s">
        <v>14</v>
      </c>
      <c r="W1" s="93" t="s">
        <v>15</v>
      </c>
      <c r="X1" s="83" t="s">
        <v>16</v>
      </c>
      <c r="Y1" s="83" t="s">
        <v>17</v>
      </c>
      <c r="Z1" s="83" t="s">
        <v>18</v>
      </c>
      <c r="AA1" s="42" t="s">
        <v>19</v>
      </c>
      <c r="AB1" s="115" t="s">
        <v>124</v>
      </c>
      <c r="AE1" s="96" t="s">
        <v>0</v>
      </c>
      <c r="AF1" s="116"/>
      <c r="AG1" s="96" t="s">
        <v>3</v>
      </c>
      <c r="AH1" s="96" t="s">
        <v>4</v>
      </c>
      <c r="AI1" s="116"/>
      <c r="AJ1" s="96" t="s">
        <v>5</v>
      </c>
      <c r="AK1" s="116"/>
      <c r="AL1" s="10" t="s">
        <v>6</v>
      </c>
      <c r="AM1" s="116"/>
      <c r="AN1" s="10" t="s">
        <v>7</v>
      </c>
      <c r="AO1" s="116"/>
      <c r="AP1" s="10" t="s">
        <v>20</v>
      </c>
      <c r="AQ1" s="116"/>
      <c r="AR1" s="10" t="s">
        <v>9</v>
      </c>
      <c r="AS1" s="116"/>
      <c r="AT1" s="11" t="s">
        <v>21</v>
      </c>
      <c r="AU1" s="116"/>
      <c r="AV1" s="10" t="s">
        <v>22</v>
      </c>
      <c r="AX1" s="12" t="s">
        <v>125</v>
      </c>
      <c r="AY1" s="13" t="s">
        <v>126</v>
      </c>
      <c r="AZ1" s="13" t="s">
        <v>127</v>
      </c>
      <c r="BA1" s="14" t="s">
        <v>128</v>
      </c>
    </row>
    <row r="2" spans="1:53" x14ac:dyDescent="0.15">
      <c r="A2" s="77" t="s">
        <v>46</v>
      </c>
      <c r="B2" s="77" t="s">
        <v>160</v>
      </c>
      <c r="C2" s="122">
        <v>2020</v>
      </c>
      <c r="D2" s="123" t="s">
        <v>280</v>
      </c>
      <c r="E2" s="77" t="s">
        <v>281</v>
      </c>
      <c r="F2" s="77" t="s">
        <v>282</v>
      </c>
      <c r="G2" s="77" t="s">
        <v>25</v>
      </c>
      <c r="H2" s="77" t="s">
        <v>166</v>
      </c>
      <c r="I2" s="77" t="s">
        <v>111</v>
      </c>
      <c r="J2" s="77" t="s">
        <v>27</v>
      </c>
      <c r="K2" s="77" t="s">
        <v>112</v>
      </c>
      <c r="L2" s="77">
        <v>1</v>
      </c>
      <c r="N2" s="77">
        <v>4</v>
      </c>
      <c r="O2" s="77">
        <v>0.55000000000000004</v>
      </c>
      <c r="P2" s="77">
        <v>0.56000000000000005</v>
      </c>
      <c r="Q2" s="44">
        <f>IF(OR(O2="",P2=""),"",AVERAGE(O2,P2))</f>
        <v>0.55500000000000005</v>
      </c>
      <c r="R2" s="77">
        <v>17</v>
      </c>
      <c r="S2" s="77">
        <v>100</v>
      </c>
      <c r="T2" s="16">
        <f t="shared" ref="T2:T57" si="0">IF(H2="","",IF(OR(H2="GREEN",H2="GK"),IF(S2&gt;=$AX$2,VLOOKUP(S2,$AX$2:$AY$12,2,1),""),IF(S2&gt;=$AZ$2,VLOOKUP(S2,$AZ$2:$BA$12,2,1),"")))</f>
        <v>33</v>
      </c>
      <c r="U2" s="77">
        <v>498</v>
      </c>
      <c r="V2" s="16">
        <f t="shared" ref="V2:V65" si="1">IF(J2="","",IF(OR(J2="GREEN",J2="GK"),IF(U2&gt;=$AX$2,VLOOKUP(U2,$AX$2:$AY$12,2,1),""),IF(U2&gt;=$AZ$2,VLOOKUP(U2,$AZ$2:$BA$12,2,1),"")))</f>
        <v>16</v>
      </c>
      <c r="W2" s="77">
        <v>6</v>
      </c>
      <c r="X2" s="77" t="s">
        <v>35</v>
      </c>
      <c r="Y2" s="77" t="s">
        <v>43</v>
      </c>
      <c r="Z2" s="77" t="s">
        <v>55</v>
      </c>
      <c r="AA2" s="77" t="s">
        <v>76</v>
      </c>
      <c r="AB2" s="77" t="s">
        <v>161</v>
      </c>
      <c r="AE2" s="103" t="s">
        <v>24</v>
      </c>
      <c r="AG2" s="124" t="s">
        <v>283</v>
      </c>
      <c r="AH2" s="125" t="s">
        <v>284</v>
      </c>
      <c r="AJ2" s="50" t="s">
        <v>25</v>
      </c>
      <c r="AL2" s="106" t="s">
        <v>107</v>
      </c>
      <c r="AN2" s="50" t="s">
        <v>285</v>
      </c>
      <c r="AP2" s="50" t="s">
        <v>27</v>
      </c>
      <c r="AR2" s="50" t="s">
        <v>129</v>
      </c>
      <c r="AT2" s="50" t="s">
        <v>28</v>
      </c>
      <c r="AV2" s="80" t="s">
        <v>43</v>
      </c>
      <c r="AX2" s="107">
        <v>1</v>
      </c>
      <c r="AY2" s="108">
        <v>50</v>
      </c>
      <c r="AZ2" s="108">
        <v>1</v>
      </c>
      <c r="BA2" s="109">
        <v>50</v>
      </c>
    </row>
    <row r="3" spans="1:53" x14ac:dyDescent="0.15">
      <c r="A3" s="77" t="s">
        <v>46</v>
      </c>
      <c r="B3" s="77" t="s">
        <v>160</v>
      </c>
      <c r="C3" s="122">
        <v>2020</v>
      </c>
      <c r="D3" s="123" t="s">
        <v>280</v>
      </c>
      <c r="E3" s="77" t="s">
        <v>281</v>
      </c>
      <c r="F3" s="77" t="s">
        <v>282</v>
      </c>
      <c r="G3" s="77" t="s">
        <v>25</v>
      </c>
      <c r="H3" s="77" t="s">
        <v>166</v>
      </c>
      <c r="I3" s="77" t="s">
        <v>111</v>
      </c>
      <c r="J3" s="77" t="s">
        <v>27</v>
      </c>
      <c r="K3" s="77" t="s">
        <v>112</v>
      </c>
      <c r="L3" s="77">
        <v>2</v>
      </c>
      <c r="N3" s="77">
        <v>4</v>
      </c>
      <c r="O3" s="77">
        <v>0.41</v>
      </c>
      <c r="P3" s="77">
        <v>0.41</v>
      </c>
      <c r="Q3" s="44">
        <f t="shared" ref="Q3:Q66" si="2">IF(OR(O3="",P3=""),"",AVERAGE(O3,P3))</f>
        <v>0.41</v>
      </c>
      <c r="R3" s="77">
        <v>15.1</v>
      </c>
      <c r="S3" s="77">
        <v>97</v>
      </c>
      <c r="T3" s="16">
        <f t="shared" si="0"/>
        <v>36</v>
      </c>
      <c r="U3" s="77">
        <v>498</v>
      </c>
      <c r="V3" s="16">
        <f t="shared" si="1"/>
        <v>16</v>
      </c>
      <c r="W3" s="77">
        <v>6</v>
      </c>
      <c r="X3" s="77" t="s">
        <v>35</v>
      </c>
      <c r="Y3" s="77" t="s">
        <v>43</v>
      </c>
      <c r="Z3" s="77" t="s">
        <v>55</v>
      </c>
      <c r="AA3" s="77" t="s">
        <v>76</v>
      </c>
      <c r="AB3" s="77" t="s">
        <v>161</v>
      </c>
      <c r="AE3" s="22" t="s">
        <v>30</v>
      </c>
      <c r="AG3" s="124" t="s">
        <v>286</v>
      </c>
      <c r="AH3" s="125" t="s">
        <v>287</v>
      </c>
      <c r="AJ3" s="80" t="s">
        <v>31</v>
      </c>
      <c r="AL3" s="80" t="s">
        <v>108</v>
      </c>
      <c r="AN3" s="80" t="s">
        <v>32</v>
      </c>
      <c r="AP3" s="80" t="s">
        <v>33</v>
      </c>
      <c r="AR3" s="80" t="s">
        <v>34</v>
      </c>
      <c r="AT3" s="80" t="s">
        <v>35</v>
      </c>
      <c r="AV3" s="80" t="s">
        <v>288</v>
      </c>
      <c r="AX3" s="24">
        <v>72</v>
      </c>
      <c r="AY3" s="25">
        <v>46</v>
      </c>
      <c r="AZ3" s="25">
        <v>71</v>
      </c>
      <c r="BA3" s="26">
        <v>42</v>
      </c>
    </row>
    <row r="4" spans="1:53" x14ac:dyDescent="0.15">
      <c r="A4" s="77" t="s">
        <v>46</v>
      </c>
      <c r="B4" s="77" t="s">
        <v>160</v>
      </c>
      <c r="C4" s="122">
        <v>2020</v>
      </c>
      <c r="D4" s="123" t="s">
        <v>280</v>
      </c>
      <c r="E4" s="77" t="s">
        <v>281</v>
      </c>
      <c r="F4" s="77" t="s">
        <v>282</v>
      </c>
      <c r="G4" s="77" t="s">
        <v>25</v>
      </c>
      <c r="H4" s="77" t="s">
        <v>166</v>
      </c>
      <c r="I4" s="77" t="s">
        <v>111</v>
      </c>
      <c r="J4" s="77" t="s">
        <v>27</v>
      </c>
      <c r="K4" s="77" t="s">
        <v>112</v>
      </c>
      <c r="L4" s="77">
        <v>3</v>
      </c>
      <c r="N4" s="77">
        <v>4</v>
      </c>
      <c r="O4" s="77">
        <v>0.43</v>
      </c>
      <c r="P4" s="77">
        <v>0.4</v>
      </c>
      <c r="Q4" s="44">
        <f t="shared" si="2"/>
        <v>0.41500000000000004</v>
      </c>
      <c r="R4" s="77">
        <v>15.3</v>
      </c>
      <c r="S4" s="77">
        <v>100</v>
      </c>
      <c r="T4" s="16">
        <f t="shared" si="0"/>
        <v>33</v>
      </c>
      <c r="U4" s="77">
        <v>498</v>
      </c>
      <c r="V4" s="16">
        <f t="shared" si="1"/>
        <v>16</v>
      </c>
      <c r="W4" s="77">
        <v>6</v>
      </c>
      <c r="X4" s="77" t="s">
        <v>35</v>
      </c>
      <c r="Y4" s="77" t="s">
        <v>43</v>
      </c>
      <c r="Z4" s="77" t="s">
        <v>55</v>
      </c>
      <c r="AA4" s="77" t="s">
        <v>76</v>
      </c>
      <c r="AB4" s="77" t="s">
        <v>161</v>
      </c>
      <c r="AE4" s="22" t="s">
        <v>23</v>
      </c>
      <c r="AG4" s="124" t="s">
        <v>289</v>
      </c>
      <c r="AH4" s="125" t="s">
        <v>290</v>
      </c>
      <c r="AJ4" s="27" t="s">
        <v>37</v>
      </c>
      <c r="AL4" s="80" t="s">
        <v>109</v>
      </c>
      <c r="AN4" s="28" t="s">
        <v>38</v>
      </c>
      <c r="AP4" s="80" t="s">
        <v>130</v>
      </c>
      <c r="AR4" s="80" t="s">
        <v>291</v>
      </c>
      <c r="AT4" s="28"/>
      <c r="AV4" s="80" t="s">
        <v>292</v>
      </c>
      <c r="AX4" s="24">
        <v>75</v>
      </c>
      <c r="AY4" s="25">
        <v>42</v>
      </c>
      <c r="AZ4" s="25">
        <v>76</v>
      </c>
      <c r="BA4" s="26">
        <v>39</v>
      </c>
    </row>
    <row r="5" spans="1:53" x14ac:dyDescent="0.15">
      <c r="A5" s="77" t="s">
        <v>46</v>
      </c>
      <c r="B5" s="77" t="s">
        <v>160</v>
      </c>
      <c r="C5" s="122">
        <v>2020</v>
      </c>
      <c r="D5" s="123" t="s">
        <v>280</v>
      </c>
      <c r="E5" s="77" t="s">
        <v>281</v>
      </c>
      <c r="F5" s="77" t="s">
        <v>282</v>
      </c>
      <c r="G5" s="77" t="s">
        <v>25</v>
      </c>
      <c r="H5" s="77" t="s">
        <v>166</v>
      </c>
      <c r="I5" s="77" t="s">
        <v>111</v>
      </c>
      <c r="J5" s="77" t="s">
        <v>27</v>
      </c>
      <c r="K5" s="77" t="s">
        <v>112</v>
      </c>
      <c r="L5" s="77">
        <v>1</v>
      </c>
      <c r="N5" s="77">
        <v>1</v>
      </c>
      <c r="O5" s="77">
        <v>0.33</v>
      </c>
      <c r="P5" s="77">
        <v>0.34</v>
      </c>
      <c r="Q5" s="44">
        <f t="shared" si="2"/>
        <v>0.33500000000000002</v>
      </c>
      <c r="R5" s="77">
        <v>16.7</v>
      </c>
      <c r="S5" s="77">
        <v>131</v>
      </c>
      <c r="T5" s="16">
        <f t="shared" si="0"/>
        <v>25</v>
      </c>
      <c r="U5" s="77">
        <v>158</v>
      </c>
      <c r="V5" s="16">
        <f t="shared" si="1"/>
        <v>18</v>
      </c>
      <c r="W5" s="77">
        <v>1</v>
      </c>
      <c r="X5" s="77" t="s">
        <v>35</v>
      </c>
      <c r="Y5" s="77" t="s">
        <v>43</v>
      </c>
      <c r="Z5" s="77" t="s">
        <v>55</v>
      </c>
      <c r="AA5" s="77" t="s">
        <v>76</v>
      </c>
      <c r="AB5" s="77" t="s">
        <v>161</v>
      </c>
      <c r="AE5" s="22" t="s">
        <v>40</v>
      </c>
      <c r="AG5" s="124" t="s">
        <v>293</v>
      </c>
      <c r="AH5" s="125" t="s">
        <v>294</v>
      </c>
      <c r="AJ5" s="28"/>
      <c r="AL5" s="80" t="s">
        <v>132</v>
      </c>
      <c r="AN5" s="111" t="s">
        <v>133</v>
      </c>
      <c r="AP5" s="80" t="s">
        <v>295</v>
      </c>
      <c r="AR5" s="80" t="s">
        <v>42</v>
      </c>
      <c r="AV5" s="80" t="s">
        <v>296</v>
      </c>
      <c r="AX5" s="24">
        <v>84</v>
      </c>
      <c r="AY5" s="25">
        <v>39</v>
      </c>
      <c r="AZ5" s="25">
        <v>84</v>
      </c>
      <c r="BA5" s="26">
        <v>36</v>
      </c>
    </row>
    <row r="6" spans="1:53" x14ac:dyDescent="0.15">
      <c r="A6" s="77" t="s">
        <v>46</v>
      </c>
      <c r="B6" s="77" t="s">
        <v>160</v>
      </c>
      <c r="C6" s="122">
        <v>2020</v>
      </c>
      <c r="D6" s="123" t="s">
        <v>280</v>
      </c>
      <c r="E6" s="77" t="s">
        <v>281</v>
      </c>
      <c r="F6" s="77" t="s">
        <v>282</v>
      </c>
      <c r="G6" s="77" t="s">
        <v>25</v>
      </c>
      <c r="H6" s="77" t="s">
        <v>166</v>
      </c>
      <c r="I6" s="77" t="s">
        <v>111</v>
      </c>
      <c r="J6" s="77" t="s">
        <v>27</v>
      </c>
      <c r="K6" s="77" t="s">
        <v>112</v>
      </c>
      <c r="L6" s="77">
        <v>2</v>
      </c>
      <c r="N6" s="77">
        <v>1</v>
      </c>
      <c r="O6" s="77">
        <v>0.28999999999999998</v>
      </c>
      <c r="P6" s="77">
        <v>0.26</v>
      </c>
      <c r="Q6" s="44">
        <f t="shared" si="2"/>
        <v>0.27500000000000002</v>
      </c>
      <c r="R6" s="77">
        <v>15.4</v>
      </c>
      <c r="S6" s="77">
        <v>127</v>
      </c>
      <c r="T6" s="16">
        <f t="shared" si="0"/>
        <v>27</v>
      </c>
      <c r="U6" s="77">
        <v>158</v>
      </c>
      <c r="V6" s="16">
        <f t="shared" si="1"/>
        <v>18</v>
      </c>
      <c r="W6" s="77">
        <v>1</v>
      </c>
      <c r="X6" s="77" t="s">
        <v>35</v>
      </c>
      <c r="Y6" s="77" t="s">
        <v>43</v>
      </c>
      <c r="Z6" s="77" t="s">
        <v>55</v>
      </c>
      <c r="AA6" s="77" t="s">
        <v>76</v>
      </c>
      <c r="AB6" s="77" t="s">
        <v>161</v>
      </c>
      <c r="AE6" s="22" t="s">
        <v>44</v>
      </c>
      <c r="AG6" s="124" t="s">
        <v>297</v>
      </c>
      <c r="AH6" s="125" t="s">
        <v>298</v>
      </c>
      <c r="AL6" s="80" t="s">
        <v>135</v>
      </c>
      <c r="AN6" s="111" t="s">
        <v>136</v>
      </c>
      <c r="AP6" s="80" t="s">
        <v>41</v>
      </c>
      <c r="AR6" s="80" t="s">
        <v>299</v>
      </c>
      <c r="AV6" s="80" t="s">
        <v>47</v>
      </c>
      <c r="AX6" s="24">
        <v>97</v>
      </c>
      <c r="AY6" s="25">
        <v>36</v>
      </c>
      <c r="AZ6" s="25">
        <v>99</v>
      </c>
      <c r="BA6" s="26">
        <v>33</v>
      </c>
    </row>
    <row r="7" spans="1:53" x14ac:dyDescent="0.15">
      <c r="A7" s="77" t="s">
        <v>46</v>
      </c>
      <c r="B7" s="77" t="s">
        <v>160</v>
      </c>
      <c r="C7" s="122">
        <v>2020</v>
      </c>
      <c r="D7" s="123" t="s">
        <v>280</v>
      </c>
      <c r="E7" s="77" t="s">
        <v>281</v>
      </c>
      <c r="F7" s="77" t="s">
        <v>282</v>
      </c>
      <c r="G7" s="77" t="s">
        <v>25</v>
      </c>
      <c r="H7" s="77" t="s">
        <v>166</v>
      </c>
      <c r="I7" s="77" t="s">
        <v>111</v>
      </c>
      <c r="J7" s="77" t="s">
        <v>27</v>
      </c>
      <c r="K7" s="77" t="s">
        <v>112</v>
      </c>
      <c r="L7" s="77">
        <v>3</v>
      </c>
      <c r="N7" s="77">
        <v>1</v>
      </c>
      <c r="O7" s="77">
        <v>0.35</v>
      </c>
      <c r="P7" s="77">
        <v>0.35</v>
      </c>
      <c r="Q7" s="44">
        <f t="shared" si="2"/>
        <v>0.35</v>
      </c>
      <c r="R7" s="77">
        <v>15.9</v>
      </c>
      <c r="S7" s="77">
        <v>133</v>
      </c>
      <c r="T7" s="16">
        <f t="shared" si="0"/>
        <v>25</v>
      </c>
      <c r="U7" s="77">
        <v>158</v>
      </c>
      <c r="V7" s="16">
        <f t="shared" si="1"/>
        <v>18</v>
      </c>
      <c r="W7" s="77">
        <v>1</v>
      </c>
      <c r="X7" s="77" t="s">
        <v>35</v>
      </c>
      <c r="Y7" s="77" t="s">
        <v>43</v>
      </c>
      <c r="Z7" s="77" t="s">
        <v>55</v>
      </c>
      <c r="AA7" s="77" t="s">
        <v>76</v>
      </c>
      <c r="AB7" s="77" t="s">
        <v>161</v>
      </c>
      <c r="AE7" s="22" t="s">
        <v>48</v>
      </c>
      <c r="AG7" s="124" t="s">
        <v>300</v>
      </c>
      <c r="AH7" s="125" t="s">
        <v>301</v>
      </c>
      <c r="AL7" s="86" t="s">
        <v>137</v>
      </c>
      <c r="AP7" s="80" t="s">
        <v>45</v>
      </c>
      <c r="AR7" s="80" t="s">
        <v>302</v>
      </c>
      <c r="AV7" s="80" t="s">
        <v>51</v>
      </c>
      <c r="AX7" s="24">
        <v>109</v>
      </c>
      <c r="AY7" s="25">
        <v>33</v>
      </c>
      <c r="AZ7" s="25">
        <v>113</v>
      </c>
      <c r="BA7" s="26">
        <v>30</v>
      </c>
    </row>
    <row r="8" spans="1:53" x14ac:dyDescent="0.15">
      <c r="A8" s="77" t="s">
        <v>46</v>
      </c>
      <c r="B8" s="77" t="s">
        <v>160</v>
      </c>
      <c r="C8" s="122">
        <v>2020</v>
      </c>
      <c r="D8" s="123" t="s">
        <v>280</v>
      </c>
      <c r="E8" s="77" t="s">
        <v>281</v>
      </c>
      <c r="F8" s="77" t="s">
        <v>282</v>
      </c>
      <c r="G8" s="77" t="s">
        <v>25</v>
      </c>
      <c r="H8" s="77" t="s">
        <v>113</v>
      </c>
      <c r="I8" s="77" t="s">
        <v>111</v>
      </c>
      <c r="J8" s="77" t="s">
        <v>27</v>
      </c>
      <c r="K8" s="77" t="s">
        <v>112</v>
      </c>
      <c r="L8" s="77">
        <v>1</v>
      </c>
      <c r="N8" s="77">
        <v>4</v>
      </c>
      <c r="O8" s="77">
        <v>0.41</v>
      </c>
      <c r="P8" s="77">
        <v>0.33</v>
      </c>
      <c r="Q8" s="44">
        <f t="shared" si="2"/>
        <v>0.37</v>
      </c>
      <c r="R8" s="77">
        <v>15.3</v>
      </c>
      <c r="S8" s="77">
        <v>106</v>
      </c>
      <c r="T8" s="16">
        <f t="shared" si="0"/>
        <v>33</v>
      </c>
      <c r="U8" s="77">
        <v>398</v>
      </c>
      <c r="V8" s="16">
        <f t="shared" si="1"/>
        <v>16</v>
      </c>
      <c r="W8" s="77">
        <v>4</v>
      </c>
      <c r="X8" s="77" t="s">
        <v>35</v>
      </c>
      <c r="Y8" s="77" t="s">
        <v>43</v>
      </c>
      <c r="Z8" s="77" t="s">
        <v>55</v>
      </c>
      <c r="AA8" s="77" t="s">
        <v>76</v>
      </c>
      <c r="AB8" s="77" t="s">
        <v>161</v>
      </c>
      <c r="AE8" s="22" t="s">
        <v>46</v>
      </c>
      <c r="AG8" s="126" t="s">
        <v>303</v>
      </c>
      <c r="AH8" s="125" t="s">
        <v>304</v>
      </c>
      <c r="AL8" s="86" t="s">
        <v>110</v>
      </c>
      <c r="AP8" s="80" t="s">
        <v>49</v>
      </c>
      <c r="AR8" s="80" t="s">
        <v>67</v>
      </c>
      <c r="AV8" s="80" t="s">
        <v>82</v>
      </c>
      <c r="AX8" s="24">
        <v>119</v>
      </c>
      <c r="AY8" s="25">
        <v>30</v>
      </c>
      <c r="AZ8" s="25">
        <v>121</v>
      </c>
      <c r="BA8" s="26">
        <v>27</v>
      </c>
    </row>
    <row r="9" spans="1:53" x14ac:dyDescent="0.15">
      <c r="A9" s="77" t="s">
        <v>46</v>
      </c>
      <c r="B9" s="77" t="s">
        <v>160</v>
      </c>
      <c r="C9" s="122">
        <v>2020</v>
      </c>
      <c r="D9" s="123" t="s">
        <v>280</v>
      </c>
      <c r="E9" s="77" t="s">
        <v>281</v>
      </c>
      <c r="F9" s="77" t="s">
        <v>282</v>
      </c>
      <c r="G9" s="77" t="s">
        <v>25</v>
      </c>
      <c r="H9" s="77" t="s">
        <v>113</v>
      </c>
      <c r="I9" s="77" t="s">
        <v>111</v>
      </c>
      <c r="J9" s="77" t="s">
        <v>27</v>
      </c>
      <c r="K9" s="77" t="s">
        <v>112</v>
      </c>
      <c r="L9" s="77">
        <v>2</v>
      </c>
      <c r="N9" s="77">
        <v>4</v>
      </c>
      <c r="O9" s="77">
        <v>0.59</v>
      </c>
      <c r="P9" s="77">
        <v>0.56999999999999995</v>
      </c>
      <c r="Q9" s="44">
        <f t="shared" si="2"/>
        <v>0.57999999999999996</v>
      </c>
      <c r="R9" s="77">
        <v>14.7</v>
      </c>
      <c r="S9" s="77">
        <v>100</v>
      </c>
      <c r="T9" s="16">
        <f t="shared" si="0"/>
        <v>33</v>
      </c>
      <c r="U9" s="77">
        <v>398</v>
      </c>
      <c r="V9" s="16">
        <f t="shared" si="1"/>
        <v>16</v>
      </c>
      <c r="W9" s="77">
        <v>4</v>
      </c>
      <c r="X9" s="77" t="s">
        <v>35</v>
      </c>
      <c r="Y9" s="77" t="s">
        <v>43</v>
      </c>
      <c r="Z9" s="77" t="s">
        <v>55</v>
      </c>
      <c r="AA9" s="77" t="s">
        <v>76</v>
      </c>
      <c r="AB9" s="77" t="s">
        <v>161</v>
      </c>
      <c r="AE9" s="22" t="s">
        <v>83</v>
      </c>
      <c r="AG9" s="126" t="s">
        <v>305</v>
      </c>
      <c r="AH9" s="125" t="s">
        <v>282</v>
      </c>
      <c r="AL9" s="80" t="s">
        <v>139</v>
      </c>
      <c r="AP9" s="80" t="s">
        <v>306</v>
      </c>
      <c r="AR9" s="80" t="s">
        <v>75</v>
      </c>
      <c r="AV9" s="80" t="s">
        <v>86</v>
      </c>
      <c r="AX9" s="24">
        <v>128</v>
      </c>
      <c r="AY9" s="25">
        <v>27</v>
      </c>
      <c r="AZ9" s="25">
        <v>129</v>
      </c>
      <c r="BA9" s="26">
        <v>25</v>
      </c>
    </row>
    <row r="10" spans="1:53" x14ac:dyDescent="0.15">
      <c r="A10" s="77" t="s">
        <v>46</v>
      </c>
      <c r="B10" s="77" t="s">
        <v>160</v>
      </c>
      <c r="C10" s="122">
        <v>2020</v>
      </c>
      <c r="D10" s="123" t="s">
        <v>280</v>
      </c>
      <c r="E10" s="77" t="s">
        <v>281</v>
      </c>
      <c r="F10" s="77" t="s">
        <v>282</v>
      </c>
      <c r="G10" s="77" t="s">
        <v>25</v>
      </c>
      <c r="H10" s="77" t="s">
        <v>113</v>
      </c>
      <c r="I10" s="77" t="s">
        <v>111</v>
      </c>
      <c r="J10" s="77" t="s">
        <v>27</v>
      </c>
      <c r="K10" s="77" t="s">
        <v>112</v>
      </c>
      <c r="L10" s="77">
        <v>3</v>
      </c>
      <c r="N10" s="77">
        <v>4</v>
      </c>
      <c r="O10" s="77">
        <v>0.42</v>
      </c>
      <c r="P10" s="77">
        <v>0.37</v>
      </c>
      <c r="Q10" s="44">
        <f t="shared" si="2"/>
        <v>0.39500000000000002</v>
      </c>
      <c r="R10" s="77">
        <v>15.1</v>
      </c>
      <c r="S10" s="77">
        <v>95</v>
      </c>
      <c r="T10" s="16">
        <f t="shared" si="0"/>
        <v>36</v>
      </c>
      <c r="U10" s="77">
        <v>398</v>
      </c>
      <c r="V10" s="16">
        <f t="shared" si="1"/>
        <v>16</v>
      </c>
      <c r="W10" s="77">
        <v>4</v>
      </c>
      <c r="X10" s="77" t="s">
        <v>35</v>
      </c>
      <c r="Y10" s="77" t="s">
        <v>43</v>
      </c>
      <c r="Z10" s="77" t="s">
        <v>55</v>
      </c>
      <c r="AA10" s="77" t="s">
        <v>76</v>
      </c>
      <c r="AB10" s="77" t="s">
        <v>161</v>
      </c>
      <c r="AE10" s="22" t="s">
        <v>87</v>
      </c>
      <c r="AG10" s="124" t="s">
        <v>307</v>
      </c>
      <c r="AH10" s="125" t="s">
        <v>294</v>
      </c>
      <c r="AL10" s="127"/>
      <c r="AP10" s="80" t="s">
        <v>84</v>
      </c>
      <c r="AR10" s="80" t="s">
        <v>103</v>
      </c>
      <c r="AV10" s="80" t="s">
        <v>90</v>
      </c>
      <c r="AX10" s="24">
        <v>138</v>
      </c>
      <c r="AY10" s="25">
        <v>25</v>
      </c>
      <c r="AZ10" s="25">
        <v>138</v>
      </c>
      <c r="BA10" s="26">
        <v>22</v>
      </c>
    </row>
    <row r="11" spans="1:53" x14ac:dyDescent="0.15">
      <c r="A11" s="77" t="s">
        <v>46</v>
      </c>
      <c r="B11" s="77" t="s">
        <v>160</v>
      </c>
      <c r="C11" s="122">
        <v>2020</v>
      </c>
      <c r="D11" s="123" t="s">
        <v>280</v>
      </c>
      <c r="E11" s="77" t="s">
        <v>281</v>
      </c>
      <c r="F11" s="77" t="s">
        <v>282</v>
      </c>
      <c r="G11" s="77" t="s">
        <v>25</v>
      </c>
      <c r="H11" s="77" t="s">
        <v>113</v>
      </c>
      <c r="I11" s="77" t="s">
        <v>111</v>
      </c>
      <c r="J11" s="77" t="s">
        <v>27</v>
      </c>
      <c r="K11" s="77" t="s">
        <v>112</v>
      </c>
      <c r="L11" s="77">
        <v>1</v>
      </c>
      <c r="N11" s="77">
        <v>1</v>
      </c>
      <c r="O11" s="77">
        <v>0.81</v>
      </c>
      <c r="P11" s="77">
        <v>0.87</v>
      </c>
      <c r="Q11" s="44">
        <f t="shared" si="2"/>
        <v>0.84000000000000008</v>
      </c>
      <c r="R11" s="77">
        <v>13.1</v>
      </c>
      <c r="S11" s="77">
        <v>94</v>
      </c>
      <c r="T11" s="16">
        <f t="shared" si="0"/>
        <v>36</v>
      </c>
      <c r="U11" s="77">
        <v>158</v>
      </c>
      <c r="V11" s="16">
        <f t="shared" si="1"/>
        <v>18</v>
      </c>
      <c r="W11" s="77">
        <v>1</v>
      </c>
      <c r="X11" s="77" t="s">
        <v>35</v>
      </c>
      <c r="Y11" s="77" t="s">
        <v>43</v>
      </c>
      <c r="Z11" s="77" t="s">
        <v>55</v>
      </c>
      <c r="AA11" s="77" t="s">
        <v>76</v>
      </c>
      <c r="AB11" s="77" t="s">
        <v>161</v>
      </c>
      <c r="AE11" s="22" t="s">
        <v>52</v>
      </c>
      <c r="AG11" s="126" t="s">
        <v>308</v>
      </c>
      <c r="AH11" s="125" t="s">
        <v>309</v>
      </c>
      <c r="AL11" s="127"/>
      <c r="AP11" s="80" t="s">
        <v>310</v>
      </c>
      <c r="AR11" s="80" t="s">
        <v>311</v>
      </c>
      <c r="AV11" s="80" t="s">
        <v>312</v>
      </c>
      <c r="AX11" s="24">
        <v>151</v>
      </c>
      <c r="AY11" s="25">
        <v>22</v>
      </c>
      <c r="AZ11" s="25">
        <v>152</v>
      </c>
      <c r="BA11" s="26">
        <v>18</v>
      </c>
    </row>
    <row r="12" spans="1:53" x14ac:dyDescent="0.15">
      <c r="A12" s="77" t="s">
        <v>46</v>
      </c>
      <c r="B12" s="77" t="s">
        <v>160</v>
      </c>
      <c r="C12" s="122">
        <v>2020</v>
      </c>
      <c r="D12" s="123" t="s">
        <v>280</v>
      </c>
      <c r="E12" s="77" t="s">
        <v>281</v>
      </c>
      <c r="F12" s="77" t="s">
        <v>282</v>
      </c>
      <c r="G12" s="77" t="s">
        <v>25</v>
      </c>
      <c r="H12" s="77" t="s">
        <v>113</v>
      </c>
      <c r="I12" s="77" t="s">
        <v>111</v>
      </c>
      <c r="J12" s="77" t="s">
        <v>27</v>
      </c>
      <c r="K12" s="77" t="s">
        <v>112</v>
      </c>
      <c r="L12" s="77">
        <v>2</v>
      </c>
      <c r="N12" s="77">
        <v>1</v>
      </c>
      <c r="O12" s="77">
        <v>0.76</v>
      </c>
      <c r="P12" s="77">
        <v>0.7</v>
      </c>
      <c r="Q12" s="44">
        <f t="shared" si="2"/>
        <v>0.73</v>
      </c>
      <c r="R12" s="77">
        <v>12.3</v>
      </c>
      <c r="S12" s="77">
        <v>95</v>
      </c>
      <c r="T12" s="16">
        <f t="shared" si="0"/>
        <v>36</v>
      </c>
      <c r="U12" s="77">
        <v>158</v>
      </c>
      <c r="V12" s="16">
        <f t="shared" si="1"/>
        <v>18</v>
      </c>
      <c r="W12" s="77">
        <v>1</v>
      </c>
      <c r="X12" s="77" t="s">
        <v>35</v>
      </c>
      <c r="Y12" s="77" t="s">
        <v>43</v>
      </c>
      <c r="Z12" s="77" t="s">
        <v>55</v>
      </c>
      <c r="AA12" s="77" t="s">
        <v>76</v>
      </c>
      <c r="AB12" s="77" t="s">
        <v>161</v>
      </c>
      <c r="AE12" s="22" t="s">
        <v>56</v>
      </c>
      <c r="AG12" s="80"/>
      <c r="AH12" s="128"/>
      <c r="AL12" s="127"/>
      <c r="AP12" s="80" t="s">
        <v>53</v>
      </c>
      <c r="AR12" s="80" t="s">
        <v>104</v>
      </c>
      <c r="AV12" s="80" t="s">
        <v>58</v>
      </c>
      <c r="AX12" s="31">
        <v>180</v>
      </c>
      <c r="AY12" s="32">
        <v>18</v>
      </c>
      <c r="AZ12" s="32">
        <v>181</v>
      </c>
      <c r="BA12" s="33">
        <v>16</v>
      </c>
    </row>
    <row r="13" spans="1:53" x14ac:dyDescent="0.15">
      <c r="A13" s="77" t="s">
        <v>46</v>
      </c>
      <c r="B13" s="77" t="s">
        <v>160</v>
      </c>
      <c r="C13" s="122">
        <v>2020</v>
      </c>
      <c r="D13" s="123" t="s">
        <v>280</v>
      </c>
      <c r="E13" s="77" t="s">
        <v>281</v>
      </c>
      <c r="F13" s="77" t="s">
        <v>282</v>
      </c>
      <c r="G13" s="77" t="s">
        <v>25</v>
      </c>
      <c r="H13" s="77" t="s">
        <v>113</v>
      </c>
      <c r="I13" s="77" t="s">
        <v>111</v>
      </c>
      <c r="J13" s="77" t="s">
        <v>27</v>
      </c>
      <c r="K13" s="77" t="s">
        <v>112</v>
      </c>
      <c r="L13" s="77">
        <v>3</v>
      </c>
      <c r="N13" s="77">
        <v>1</v>
      </c>
      <c r="O13" s="77">
        <v>0.9</v>
      </c>
      <c r="P13" s="77">
        <v>0.93</v>
      </c>
      <c r="Q13" s="44">
        <f t="shared" si="2"/>
        <v>0.91500000000000004</v>
      </c>
      <c r="R13" s="77">
        <v>12.1</v>
      </c>
      <c r="S13" s="77">
        <v>88</v>
      </c>
      <c r="T13" s="16">
        <f t="shared" si="0"/>
        <v>36</v>
      </c>
      <c r="U13" s="77">
        <v>158</v>
      </c>
      <c r="V13" s="16">
        <f t="shared" si="1"/>
        <v>18</v>
      </c>
      <c r="W13" s="77">
        <v>1</v>
      </c>
      <c r="X13" s="77" t="s">
        <v>35</v>
      </c>
      <c r="Y13" s="77" t="s">
        <v>43</v>
      </c>
      <c r="Z13" s="77" t="s">
        <v>55</v>
      </c>
      <c r="AA13" s="77" t="s">
        <v>76</v>
      </c>
      <c r="AB13" s="77" t="s">
        <v>161</v>
      </c>
      <c r="AE13" s="22" t="s">
        <v>59</v>
      </c>
      <c r="AG13" s="80"/>
      <c r="AH13" s="80"/>
      <c r="AP13" s="80" t="s">
        <v>57</v>
      </c>
      <c r="AR13" s="80" t="s">
        <v>87</v>
      </c>
      <c r="AV13" s="80" t="s">
        <v>61</v>
      </c>
    </row>
    <row r="14" spans="1:53" x14ac:dyDescent="0.15">
      <c r="A14" s="77" t="s">
        <v>46</v>
      </c>
      <c r="B14" s="77" t="s">
        <v>160</v>
      </c>
      <c r="C14" s="122">
        <v>2020</v>
      </c>
      <c r="D14" s="123" t="s">
        <v>280</v>
      </c>
      <c r="E14" s="77" t="s">
        <v>286</v>
      </c>
      <c r="F14" s="77" t="s">
        <v>287</v>
      </c>
      <c r="G14" s="77" t="s">
        <v>25</v>
      </c>
      <c r="H14" s="77" t="s">
        <v>166</v>
      </c>
      <c r="I14" s="77" t="s">
        <v>111</v>
      </c>
      <c r="J14" s="77" t="s">
        <v>27</v>
      </c>
      <c r="K14" s="77" t="s">
        <v>112</v>
      </c>
      <c r="L14" s="77">
        <v>1</v>
      </c>
      <c r="N14" s="77">
        <v>4</v>
      </c>
      <c r="O14" s="77">
        <v>0.41</v>
      </c>
      <c r="P14" s="77">
        <v>0.45</v>
      </c>
      <c r="Q14" s="44">
        <f t="shared" si="2"/>
        <v>0.43</v>
      </c>
      <c r="R14" s="77">
        <v>15.8</v>
      </c>
      <c r="S14" s="77">
        <v>90</v>
      </c>
      <c r="T14" s="16">
        <f t="shared" si="0"/>
        <v>36</v>
      </c>
      <c r="U14" s="77">
        <v>398</v>
      </c>
      <c r="V14" s="16">
        <f t="shared" si="1"/>
        <v>16</v>
      </c>
      <c r="W14" s="77">
        <v>1</v>
      </c>
      <c r="X14" s="77" t="s">
        <v>35</v>
      </c>
      <c r="Y14" s="77" t="s">
        <v>72</v>
      </c>
      <c r="Z14" s="77" t="s">
        <v>76</v>
      </c>
      <c r="AA14" s="77" t="s">
        <v>43</v>
      </c>
      <c r="AB14" s="77" t="s">
        <v>161</v>
      </c>
      <c r="AE14" s="22" t="s">
        <v>62</v>
      </c>
      <c r="AG14" s="80"/>
      <c r="AH14" s="80"/>
      <c r="AP14" s="80" t="s">
        <v>313</v>
      </c>
      <c r="AR14" s="80" t="s">
        <v>105</v>
      </c>
      <c r="AV14" s="80" t="s">
        <v>64</v>
      </c>
    </row>
    <row r="15" spans="1:53" x14ac:dyDescent="0.15">
      <c r="A15" s="77" t="s">
        <v>46</v>
      </c>
      <c r="B15" s="77" t="s">
        <v>160</v>
      </c>
      <c r="C15" s="122">
        <v>2020</v>
      </c>
      <c r="D15" s="123" t="s">
        <v>280</v>
      </c>
      <c r="E15" s="77" t="s">
        <v>286</v>
      </c>
      <c r="F15" s="77" t="s">
        <v>287</v>
      </c>
      <c r="G15" s="77" t="s">
        <v>25</v>
      </c>
      <c r="H15" s="77" t="s">
        <v>166</v>
      </c>
      <c r="I15" s="77" t="s">
        <v>111</v>
      </c>
      <c r="J15" s="77" t="s">
        <v>27</v>
      </c>
      <c r="K15" s="77" t="s">
        <v>112</v>
      </c>
      <c r="L15" s="77">
        <v>2</v>
      </c>
      <c r="N15" s="77">
        <v>4</v>
      </c>
      <c r="O15" s="77">
        <v>0.46</v>
      </c>
      <c r="P15" s="77">
        <v>0.5</v>
      </c>
      <c r="Q15" s="44">
        <f t="shared" si="2"/>
        <v>0.48</v>
      </c>
      <c r="R15" s="77">
        <v>16.7</v>
      </c>
      <c r="S15" s="77">
        <v>100</v>
      </c>
      <c r="T15" s="16">
        <f t="shared" si="0"/>
        <v>33</v>
      </c>
      <c r="U15" s="77">
        <v>398</v>
      </c>
      <c r="V15" s="16">
        <f t="shared" si="1"/>
        <v>16</v>
      </c>
      <c r="W15" s="77">
        <v>1</v>
      </c>
      <c r="X15" s="77" t="s">
        <v>35</v>
      </c>
      <c r="Y15" s="77" t="s">
        <v>72</v>
      </c>
      <c r="Z15" s="77" t="s">
        <v>76</v>
      </c>
      <c r="AA15" s="77" t="s">
        <v>43</v>
      </c>
      <c r="AB15" s="77" t="s">
        <v>161</v>
      </c>
      <c r="AE15" s="22" t="s">
        <v>65</v>
      </c>
      <c r="AG15" s="80"/>
      <c r="AH15" s="80"/>
      <c r="AP15" s="80" t="s">
        <v>314</v>
      </c>
      <c r="AR15" s="80" t="s">
        <v>79</v>
      </c>
      <c r="AV15" s="80" t="s">
        <v>91</v>
      </c>
    </row>
    <row r="16" spans="1:53" x14ac:dyDescent="0.15">
      <c r="A16" s="77" t="s">
        <v>46</v>
      </c>
      <c r="B16" s="77" t="s">
        <v>160</v>
      </c>
      <c r="C16" s="122">
        <v>2020</v>
      </c>
      <c r="D16" s="123" t="s">
        <v>280</v>
      </c>
      <c r="E16" s="77" t="s">
        <v>286</v>
      </c>
      <c r="F16" s="77" t="s">
        <v>287</v>
      </c>
      <c r="G16" s="77" t="s">
        <v>25</v>
      </c>
      <c r="H16" s="77" t="s">
        <v>166</v>
      </c>
      <c r="I16" s="77" t="s">
        <v>111</v>
      </c>
      <c r="J16" s="77" t="s">
        <v>27</v>
      </c>
      <c r="K16" s="77" t="s">
        <v>112</v>
      </c>
      <c r="L16" s="77">
        <v>3</v>
      </c>
      <c r="N16" s="77">
        <v>4</v>
      </c>
      <c r="O16" s="77">
        <v>0.43</v>
      </c>
      <c r="P16" s="77">
        <v>0.42</v>
      </c>
      <c r="Q16" s="44">
        <f t="shared" si="2"/>
        <v>0.42499999999999999</v>
      </c>
      <c r="R16" s="77">
        <v>15.5</v>
      </c>
      <c r="S16" s="77">
        <v>104</v>
      </c>
      <c r="T16" s="16">
        <f t="shared" si="0"/>
        <v>33</v>
      </c>
      <c r="U16" s="77">
        <v>398</v>
      </c>
      <c r="V16" s="16">
        <f t="shared" si="1"/>
        <v>16</v>
      </c>
      <c r="W16" s="77">
        <v>1</v>
      </c>
      <c r="X16" s="77" t="s">
        <v>35</v>
      </c>
      <c r="Y16" s="77" t="s">
        <v>72</v>
      </c>
      <c r="Z16" s="77" t="s">
        <v>76</v>
      </c>
      <c r="AA16" s="77" t="s">
        <v>43</v>
      </c>
      <c r="AB16" s="77" t="s">
        <v>161</v>
      </c>
      <c r="AE16" s="22" t="s">
        <v>68</v>
      </c>
      <c r="AG16" s="28"/>
      <c r="AH16" s="28"/>
      <c r="AP16" s="80" t="s">
        <v>66</v>
      </c>
      <c r="AR16" s="80" t="s">
        <v>50</v>
      </c>
      <c r="AV16" s="80" t="s">
        <v>70</v>
      </c>
    </row>
    <row r="17" spans="1:48" x14ac:dyDescent="0.15">
      <c r="A17" s="77" t="s">
        <v>46</v>
      </c>
      <c r="B17" s="77" t="s">
        <v>160</v>
      </c>
      <c r="C17" s="122">
        <v>2020</v>
      </c>
      <c r="D17" s="123" t="s">
        <v>280</v>
      </c>
      <c r="E17" s="77" t="s">
        <v>286</v>
      </c>
      <c r="F17" s="77" t="s">
        <v>287</v>
      </c>
      <c r="G17" s="77" t="s">
        <v>25</v>
      </c>
      <c r="H17" s="77" t="s">
        <v>166</v>
      </c>
      <c r="I17" s="77" t="s">
        <v>111</v>
      </c>
      <c r="J17" s="77" t="s">
        <v>27</v>
      </c>
      <c r="K17" s="77" t="s">
        <v>112</v>
      </c>
      <c r="L17" s="77">
        <v>1</v>
      </c>
      <c r="N17" s="77">
        <v>1</v>
      </c>
      <c r="O17" s="77">
        <v>0.48</v>
      </c>
      <c r="P17" s="77">
        <v>0.48</v>
      </c>
      <c r="Q17" s="44">
        <f t="shared" si="2"/>
        <v>0.48</v>
      </c>
      <c r="R17" s="77">
        <v>15.4</v>
      </c>
      <c r="S17" s="77">
        <v>148</v>
      </c>
      <c r="T17" s="16">
        <f t="shared" si="0"/>
        <v>22</v>
      </c>
      <c r="U17" s="77">
        <v>148</v>
      </c>
      <c r="V17" s="16">
        <f t="shared" si="1"/>
        <v>22</v>
      </c>
      <c r="W17" s="77">
        <v>1</v>
      </c>
      <c r="X17" s="77" t="s">
        <v>35</v>
      </c>
      <c r="Y17" s="77" t="s">
        <v>72</v>
      </c>
      <c r="Z17" s="77" t="s">
        <v>76</v>
      </c>
      <c r="AA17" s="77" t="s">
        <v>43</v>
      </c>
      <c r="AB17" s="77" t="s">
        <v>161</v>
      </c>
      <c r="AE17" s="22" t="s">
        <v>71</v>
      </c>
      <c r="AP17" s="27" t="s">
        <v>93</v>
      </c>
      <c r="AR17" s="80" t="s">
        <v>81</v>
      </c>
      <c r="AV17" s="80" t="s">
        <v>72</v>
      </c>
    </row>
    <row r="18" spans="1:48" x14ac:dyDescent="0.15">
      <c r="A18" s="77" t="s">
        <v>46</v>
      </c>
      <c r="B18" s="77" t="s">
        <v>160</v>
      </c>
      <c r="C18" s="122">
        <v>2020</v>
      </c>
      <c r="D18" s="123" t="s">
        <v>280</v>
      </c>
      <c r="E18" s="77" t="s">
        <v>286</v>
      </c>
      <c r="F18" s="77" t="s">
        <v>287</v>
      </c>
      <c r="G18" s="77" t="s">
        <v>25</v>
      </c>
      <c r="H18" s="77" t="s">
        <v>166</v>
      </c>
      <c r="I18" s="77" t="s">
        <v>111</v>
      </c>
      <c r="J18" s="77" t="s">
        <v>27</v>
      </c>
      <c r="K18" s="77" t="s">
        <v>112</v>
      </c>
      <c r="L18" s="77">
        <v>2</v>
      </c>
      <c r="N18" s="77">
        <v>1</v>
      </c>
      <c r="O18" s="77">
        <v>0.4</v>
      </c>
      <c r="P18" s="77">
        <v>0.47</v>
      </c>
      <c r="Q18" s="44">
        <f t="shared" si="2"/>
        <v>0.435</v>
      </c>
      <c r="R18" s="77">
        <v>15.7</v>
      </c>
      <c r="S18" s="77">
        <v>143</v>
      </c>
      <c r="T18" s="16">
        <f t="shared" si="0"/>
        <v>22</v>
      </c>
      <c r="U18" s="77">
        <v>148</v>
      </c>
      <c r="V18" s="16">
        <f t="shared" si="1"/>
        <v>22</v>
      </c>
      <c r="W18" s="77">
        <v>1</v>
      </c>
      <c r="X18" s="77" t="s">
        <v>35</v>
      </c>
      <c r="Y18" s="77" t="s">
        <v>72</v>
      </c>
      <c r="Z18" s="77" t="s">
        <v>76</v>
      </c>
      <c r="AA18" s="77" t="s">
        <v>43</v>
      </c>
      <c r="AB18" s="77" t="s">
        <v>161</v>
      </c>
      <c r="AE18" s="22" t="s">
        <v>73</v>
      </c>
      <c r="AP18" s="27" t="s">
        <v>315</v>
      </c>
      <c r="AR18" s="80" t="s">
        <v>85</v>
      </c>
      <c r="AV18" s="80" t="s">
        <v>74</v>
      </c>
    </row>
    <row r="19" spans="1:48" x14ac:dyDescent="0.15">
      <c r="A19" s="77" t="s">
        <v>46</v>
      </c>
      <c r="B19" s="77" t="s">
        <v>160</v>
      </c>
      <c r="C19" s="122">
        <v>2020</v>
      </c>
      <c r="D19" s="123" t="s">
        <v>280</v>
      </c>
      <c r="E19" s="77" t="s">
        <v>286</v>
      </c>
      <c r="F19" s="77" t="s">
        <v>287</v>
      </c>
      <c r="G19" s="77" t="s">
        <v>25</v>
      </c>
      <c r="H19" s="77" t="s">
        <v>166</v>
      </c>
      <c r="I19" s="77" t="s">
        <v>111</v>
      </c>
      <c r="J19" s="77" t="s">
        <v>27</v>
      </c>
      <c r="K19" s="77" t="s">
        <v>112</v>
      </c>
      <c r="L19" s="77">
        <v>3</v>
      </c>
      <c r="N19" s="77">
        <v>1</v>
      </c>
      <c r="O19" s="77">
        <v>0.46</v>
      </c>
      <c r="P19" s="77">
        <v>0.44</v>
      </c>
      <c r="Q19" s="44">
        <f t="shared" si="2"/>
        <v>0.45</v>
      </c>
      <c r="R19" s="77">
        <v>15.1</v>
      </c>
      <c r="S19" s="77">
        <v>140</v>
      </c>
      <c r="T19" s="16">
        <f t="shared" si="0"/>
        <v>22</v>
      </c>
      <c r="U19" s="77">
        <v>148</v>
      </c>
      <c r="V19" s="16">
        <f t="shared" si="1"/>
        <v>22</v>
      </c>
      <c r="W19" s="77">
        <v>1</v>
      </c>
      <c r="X19" s="77" t="s">
        <v>35</v>
      </c>
      <c r="Y19" s="77" t="s">
        <v>72</v>
      </c>
      <c r="Z19" s="77" t="s">
        <v>76</v>
      </c>
      <c r="AA19" s="77" t="s">
        <v>43</v>
      </c>
      <c r="AB19" s="77" t="s">
        <v>161</v>
      </c>
      <c r="AE19" s="35" t="s">
        <v>75</v>
      </c>
      <c r="AP19" s="27" t="s">
        <v>95</v>
      </c>
      <c r="AR19" s="80" t="s">
        <v>106</v>
      </c>
      <c r="AV19" s="80" t="s">
        <v>316</v>
      </c>
    </row>
    <row r="20" spans="1:48" x14ac:dyDescent="0.15">
      <c r="A20" s="77" t="s">
        <v>46</v>
      </c>
      <c r="B20" s="77" t="s">
        <v>160</v>
      </c>
      <c r="C20" s="122">
        <v>2020</v>
      </c>
      <c r="D20" s="123" t="s">
        <v>280</v>
      </c>
      <c r="E20" s="77" t="s">
        <v>286</v>
      </c>
      <c r="F20" s="77" t="s">
        <v>287</v>
      </c>
      <c r="G20" s="77" t="s">
        <v>25</v>
      </c>
      <c r="H20" s="77" t="s">
        <v>113</v>
      </c>
      <c r="I20" s="77" t="s">
        <v>111</v>
      </c>
      <c r="J20" s="77" t="s">
        <v>27</v>
      </c>
      <c r="K20" s="77" t="s">
        <v>112</v>
      </c>
      <c r="L20" s="77">
        <v>1</v>
      </c>
      <c r="N20" s="77">
        <v>4</v>
      </c>
      <c r="O20" s="77">
        <v>0.68</v>
      </c>
      <c r="P20" s="77">
        <v>0.76</v>
      </c>
      <c r="Q20" s="44">
        <f t="shared" si="2"/>
        <v>0.72</v>
      </c>
      <c r="R20" s="77">
        <v>12.3</v>
      </c>
      <c r="S20" s="77">
        <v>106</v>
      </c>
      <c r="T20" s="16">
        <f t="shared" si="0"/>
        <v>33</v>
      </c>
      <c r="U20" s="77">
        <v>298</v>
      </c>
      <c r="V20" s="16">
        <f t="shared" si="1"/>
        <v>16</v>
      </c>
      <c r="W20" s="77">
        <v>2</v>
      </c>
      <c r="X20" s="77" t="s">
        <v>35</v>
      </c>
      <c r="Y20" s="77" t="s">
        <v>72</v>
      </c>
      <c r="Z20" s="77" t="s">
        <v>76</v>
      </c>
      <c r="AA20" s="77" t="s">
        <v>43</v>
      </c>
      <c r="AB20" s="77" t="s">
        <v>161</v>
      </c>
      <c r="AE20" s="35"/>
      <c r="AP20" s="27" t="s">
        <v>96</v>
      </c>
      <c r="AR20" s="80" t="s">
        <v>89</v>
      </c>
      <c r="AV20" s="27" t="s">
        <v>114</v>
      </c>
    </row>
    <row r="21" spans="1:48" x14ac:dyDescent="0.15">
      <c r="A21" s="77" t="s">
        <v>46</v>
      </c>
      <c r="B21" s="77" t="s">
        <v>160</v>
      </c>
      <c r="C21" s="122">
        <v>2020</v>
      </c>
      <c r="D21" s="123" t="s">
        <v>280</v>
      </c>
      <c r="E21" s="77" t="s">
        <v>286</v>
      </c>
      <c r="F21" s="77" t="s">
        <v>287</v>
      </c>
      <c r="G21" s="77" t="s">
        <v>25</v>
      </c>
      <c r="H21" s="77" t="s">
        <v>113</v>
      </c>
      <c r="I21" s="77" t="s">
        <v>111</v>
      </c>
      <c r="J21" s="77" t="s">
        <v>27</v>
      </c>
      <c r="K21" s="77" t="s">
        <v>112</v>
      </c>
      <c r="L21" s="77">
        <v>2</v>
      </c>
      <c r="N21" s="77">
        <v>4</v>
      </c>
      <c r="O21" s="77">
        <v>0.69</v>
      </c>
      <c r="P21" s="77">
        <v>0.75</v>
      </c>
      <c r="Q21" s="44">
        <f t="shared" si="2"/>
        <v>0.72</v>
      </c>
      <c r="R21" s="77">
        <v>12.4</v>
      </c>
      <c r="S21" s="77">
        <v>89</v>
      </c>
      <c r="T21" s="16">
        <f t="shared" si="0"/>
        <v>36</v>
      </c>
      <c r="U21" s="77">
        <v>298</v>
      </c>
      <c r="V21" s="16">
        <f t="shared" si="1"/>
        <v>16</v>
      </c>
      <c r="W21" s="77">
        <v>2</v>
      </c>
      <c r="X21" s="77" t="s">
        <v>35</v>
      </c>
      <c r="Y21" s="77" t="s">
        <v>72</v>
      </c>
      <c r="Z21" s="77" t="s">
        <v>76</v>
      </c>
      <c r="AA21" s="77" t="s">
        <v>43</v>
      </c>
      <c r="AB21" s="77" t="s">
        <v>161</v>
      </c>
      <c r="AE21" s="28"/>
      <c r="AP21" s="27" t="s">
        <v>317</v>
      </c>
      <c r="AR21" s="80" t="s">
        <v>54</v>
      </c>
      <c r="AV21" s="27" t="s">
        <v>115</v>
      </c>
    </row>
    <row r="22" spans="1:48" x14ac:dyDescent="0.15">
      <c r="A22" s="77" t="s">
        <v>46</v>
      </c>
      <c r="B22" s="77" t="s">
        <v>160</v>
      </c>
      <c r="C22" s="122">
        <v>2020</v>
      </c>
      <c r="D22" s="123" t="s">
        <v>280</v>
      </c>
      <c r="E22" s="77" t="s">
        <v>286</v>
      </c>
      <c r="F22" s="77" t="s">
        <v>287</v>
      </c>
      <c r="G22" s="77" t="s">
        <v>25</v>
      </c>
      <c r="H22" s="77" t="s">
        <v>113</v>
      </c>
      <c r="I22" s="77" t="s">
        <v>111</v>
      </c>
      <c r="J22" s="77" t="s">
        <v>27</v>
      </c>
      <c r="K22" s="77" t="s">
        <v>112</v>
      </c>
      <c r="L22" s="77">
        <v>3</v>
      </c>
      <c r="N22" s="77">
        <v>4</v>
      </c>
      <c r="O22" s="77">
        <v>0.98</v>
      </c>
      <c r="P22" s="77">
        <v>0.97</v>
      </c>
      <c r="Q22" s="44">
        <f t="shared" si="2"/>
        <v>0.97499999999999998</v>
      </c>
      <c r="R22" s="77">
        <v>12.1</v>
      </c>
      <c r="S22" s="77">
        <v>86</v>
      </c>
      <c r="T22" s="16">
        <f t="shared" si="0"/>
        <v>36</v>
      </c>
      <c r="U22" s="77">
        <v>298</v>
      </c>
      <c r="V22" s="16">
        <f t="shared" si="1"/>
        <v>16</v>
      </c>
      <c r="W22" s="77">
        <v>2</v>
      </c>
      <c r="X22" s="77" t="s">
        <v>35</v>
      </c>
      <c r="Y22" s="77" t="s">
        <v>72</v>
      </c>
      <c r="Z22" s="77" t="s">
        <v>76</v>
      </c>
      <c r="AA22" s="77" t="s">
        <v>43</v>
      </c>
      <c r="AB22" s="77" t="s">
        <v>161</v>
      </c>
      <c r="AP22" s="27" t="s">
        <v>318</v>
      </c>
      <c r="AR22" s="80" t="s">
        <v>69</v>
      </c>
      <c r="AV22" s="27" t="s">
        <v>319</v>
      </c>
    </row>
    <row r="23" spans="1:48" x14ac:dyDescent="0.15">
      <c r="A23" s="77" t="s">
        <v>46</v>
      </c>
      <c r="B23" s="77" t="s">
        <v>160</v>
      </c>
      <c r="C23" s="122">
        <v>2020</v>
      </c>
      <c r="D23" s="123" t="s">
        <v>280</v>
      </c>
      <c r="E23" s="77" t="s">
        <v>286</v>
      </c>
      <c r="F23" s="77" t="s">
        <v>287</v>
      </c>
      <c r="G23" s="77" t="s">
        <v>25</v>
      </c>
      <c r="H23" s="77" t="s">
        <v>113</v>
      </c>
      <c r="I23" s="77" t="s">
        <v>111</v>
      </c>
      <c r="J23" s="77" t="s">
        <v>27</v>
      </c>
      <c r="K23" s="77" t="s">
        <v>112</v>
      </c>
      <c r="L23" s="77">
        <v>1</v>
      </c>
      <c r="N23" s="77">
        <v>1</v>
      </c>
      <c r="O23" s="77">
        <v>0.56000000000000005</v>
      </c>
      <c r="P23" s="77">
        <v>0.55000000000000004</v>
      </c>
      <c r="Q23" s="44">
        <f t="shared" si="2"/>
        <v>0.55500000000000005</v>
      </c>
      <c r="R23" s="77">
        <v>13.4</v>
      </c>
      <c r="S23" s="77">
        <v>144</v>
      </c>
      <c r="T23" s="16">
        <f t="shared" si="0"/>
        <v>22</v>
      </c>
      <c r="U23" s="77">
        <v>148</v>
      </c>
      <c r="V23" s="16">
        <f t="shared" si="1"/>
        <v>22</v>
      </c>
      <c r="W23" s="77">
        <v>1</v>
      </c>
      <c r="X23" s="77" t="s">
        <v>28</v>
      </c>
      <c r="Y23" s="77" t="s">
        <v>72</v>
      </c>
      <c r="Z23" s="77" t="s">
        <v>76</v>
      </c>
      <c r="AA23" s="77" t="s">
        <v>43</v>
      </c>
      <c r="AB23" s="77" t="s">
        <v>161</v>
      </c>
      <c r="AP23" s="27" t="s">
        <v>116</v>
      </c>
      <c r="AR23" s="80" t="s">
        <v>48</v>
      </c>
      <c r="AV23" s="27" t="s">
        <v>320</v>
      </c>
    </row>
    <row r="24" spans="1:48" x14ac:dyDescent="0.15">
      <c r="A24" s="77" t="s">
        <v>46</v>
      </c>
      <c r="B24" s="77" t="s">
        <v>160</v>
      </c>
      <c r="C24" s="122">
        <v>2020</v>
      </c>
      <c r="D24" s="123" t="s">
        <v>280</v>
      </c>
      <c r="E24" s="77" t="s">
        <v>286</v>
      </c>
      <c r="F24" s="77" t="s">
        <v>287</v>
      </c>
      <c r="G24" s="77" t="s">
        <v>25</v>
      </c>
      <c r="H24" s="77" t="s">
        <v>113</v>
      </c>
      <c r="I24" s="77" t="s">
        <v>111</v>
      </c>
      <c r="J24" s="77" t="s">
        <v>27</v>
      </c>
      <c r="K24" s="77" t="s">
        <v>112</v>
      </c>
      <c r="L24" s="77">
        <v>2</v>
      </c>
      <c r="N24" s="77">
        <v>1</v>
      </c>
      <c r="O24" s="77">
        <v>0.69</v>
      </c>
      <c r="P24" s="77">
        <v>0.57999999999999996</v>
      </c>
      <c r="Q24" s="44">
        <f t="shared" si="2"/>
        <v>0.63500000000000001</v>
      </c>
      <c r="R24" s="77">
        <v>14</v>
      </c>
      <c r="S24" s="77">
        <v>146</v>
      </c>
      <c r="T24" s="16">
        <f t="shared" si="0"/>
        <v>22</v>
      </c>
      <c r="U24" s="77">
        <v>148</v>
      </c>
      <c r="V24" s="16">
        <f t="shared" si="1"/>
        <v>22</v>
      </c>
      <c r="W24" s="77">
        <v>1</v>
      </c>
      <c r="X24" s="77" t="s">
        <v>28</v>
      </c>
      <c r="Y24" s="77" t="s">
        <v>72</v>
      </c>
      <c r="Z24" s="77" t="s">
        <v>76</v>
      </c>
      <c r="AA24" s="77" t="s">
        <v>43</v>
      </c>
      <c r="AB24" s="77" t="s">
        <v>161</v>
      </c>
      <c r="AP24" s="27" t="s">
        <v>117</v>
      </c>
      <c r="AR24" s="80" t="s">
        <v>77</v>
      </c>
      <c r="AV24" s="27" t="s">
        <v>321</v>
      </c>
    </row>
    <row r="25" spans="1:48" x14ac:dyDescent="0.15">
      <c r="A25" s="77" t="s">
        <v>46</v>
      </c>
      <c r="B25" s="77" t="s">
        <v>160</v>
      </c>
      <c r="C25" s="122">
        <v>2020</v>
      </c>
      <c r="D25" s="123" t="s">
        <v>280</v>
      </c>
      <c r="E25" s="77" t="s">
        <v>286</v>
      </c>
      <c r="F25" s="77" t="s">
        <v>287</v>
      </c>
      <c r="G25" s="77" t="s">
        <v>25</v>
      </c>
      <c r="H25" s="77" t="s">
        <v>113</v>
      </c>
      <c r="I25" s="77" t="s">
        <v>111</v>
      </c>
      <c r="J25" s="77" t="s">
        <v>27</v>
      </c>
      <c r="K25" s="77" t="s">
        <v>112</v>
      </c>
      <c r="L25" s="77">
        <v>3</v>
      </c>
      <c r="N25" s="77">
        <v>1</v>
      </c>
      <c r="O25" s="77">
        <v>0.48</v>
      </c>
      <c r="P25" s="77">
        <v>0.44</v>
      </c>
      <c r="Q25" s="44">
        <f t="shared" si="2"/>
        <v>0.45999999999999996</v>
      </c>
      <c r="R25" s="77">
        <v>13.7</v>
      </c>
      <c r="S25" s="77">
        <v>138</v>
      </c>
      <c r="T25" s="16">
        <f t="shared" si="0"/>
        <v>22</v>
      </c>
      <c r="U25" s="77">
        <v>148</v>
      </c>
      <c r="V25" s="16">
        <f t="shared" si="1"/>
        <v>22</v>
      </c>
      <c r="W25" s="77">
        <v>1</v>
      </c>
      <c r="X25" s="77" t="s">
        <v>28</v>
      </c>
      <c r="Y25" s="77" t="s">
        <v>72</v>
      </c>
      <c r="Z25" s="77" t="s">
        <v>76</v>
      </c>
      <c r="AA25" s="77" t="s">
        <v>43</v>
      </c>
      <c r="AB25" s="77" t="s">
        <v>161</v>
      </c>
      <c r="AP25" s="27" t="s">
        <v>99</v>
      </c>
      <c r="AR25" s="27" t="s">
        <v>78</v>
      </c>
      <c r="AV25" s="27" t="s">
        <v>322</v>
      </c>
    </row>
    <row r="26" spans="1:48" x14ac:dyDescent="0.15">
      <c r="A26" s="77" t="s">
        <v>46</v>
      </c>
      <c r="B26" s="77" t="s">
        <v>160</v>
      </c>
      <c r="C26" s="122">
        <v>2020</v>
      </c>
      <c r="D26" s="123" t="s">
        <v>280</v>
      </c>
      <c r="E26" s="77" t="s">
        <v>283</v>
      </c>
      <c r="F26" s="77" t="s">
        <v>284</v>
      </c>
      <c r="G26" s="77" t="s">
        <v>25</v>
      </c>
      <c r="H26" s="77" t="s">
        <v>166</v>
      </c>
      <c r="I26" s="77" t="s">
        <v>111</v>
      </c>
      <c r="J26" s="77" t="s">
        <v>27</v>
      </c>
      <c r="K26" s="77" t="s">
        <v>112</v>
      </c>
      <c r="L26" s="77">
        <v>1</v>
      </c>
      <c r="N26" s="77">
        <v>4</v>
      </c>
      <c r="O26" s="77">
        <v>0.4</v>
      </c>
      <c r="P26" s="77">
        <v>0.42</v>
      </c>
      <c r="Q26" s="44">
        <f t="shared" si="2"/>
        <v>0.41000000000000003</v>
      </c>
      <c r="R26" s="77">
        <v>15.9</v>
      </c>
      <c r="S26" s="77">
        <v>89</v>
      </c>
      <c r="T26" s="16">
        <f t="shared" si="0"/>
        <v>36</v>
      </c>
      <c r="U26" s="77">
        <v>377</v>
      </c>
      <c r="V26" s="16">
        <f t="shared" si="1"/>
        <v>16</v>
      </c>
      <c r="W26" s="77">
        <v>6</v>
      </c>
      <c r="X26" s="77" t="s">
        <v>35</v>
      </c>
      <c r="Y26" s="77" t="s">
        <v>55</v>
      </c>
      <c r="Z26" s="77" t="s">
        <v>82</v>
      </c>
      <c r="AA26" s="77" t="s">
        <v>74</v>
      </c>
      <c r="AB26" s="77" t="s">
        <v>161</v>
      </c>
      <c r="AP26" s="27" t="s">
        <v>100</v>
      </c>
      <c r="AR26" s="27" t="s">
        <v>323</v>
      </c>
      <c r="AV26" s="27"/>
    </row>
    <row r="27" spans="1:48" x14ac:dyDescent="0.15">
      <c r="A27" s="77" t="s">
        <v>46</v>
      </c>
      <c r="B27" s="77" t="s">
        <v>160</v>
      </c>
      <c r="C27" s="122">
        <v>2020</v>
      </c>
      <c r="D27" s="123" t="s">
        <v>280</v>
      </c>
      <c r="E27" s="77" t="s">
        <v>283</v>
      </c>
      <c r="F27" s="77" t="s">
        <v>284</v>
      </c>
      <c r="G27" s="77" t="s">
        <v>25</v>
      </c>
      <c r="H27" s="77" t="s">
        <v>166</v>
      </c>
      <c r="I27" s="77" t="s">
        <v>111</v>
      </c>
      <c r="J27" s="77" t="s">
        <v>27</v>
      </c>
      <c r="K27" s="77" t="s">
        <v>112</v>
      </c>
      <c r="L27" s="77">
        <v>2</v>
      </c>
      <c r="N27" s="77">
        <v>4</v>
      </c>
      <c r="O27" s="77">
        <v>0.5</v>
      </c>
      <c r="P27" s="77">
        <v>0.48</v>
      </c>
      <c r="Q27" s="44">
        <f t="shared" si="2"/>
        <v>0.49</v>
      </c>
      <c r="R27" s="77">
        <v>15.2</v>
      </c>
      <c r="S27" s="77">
        <v>94</v>
      </c>
      <c r="T27" s="16">
        <f t="shared" si="0"/>
        <v>36</v>
      </c>
      <c r="U27" s="77">
        <v>377</v>
      </c>
      <c r="V27" s="16">
        <f t="shared" si="1"/>
        <v>16</v>
      </c>
      <c r="W27" s="77">
        <v>6</v>
      </c>
      <c r="X27" s="77" t="s">
        <v>35</v>
      </c>
      <c r="Y27" s="77" t="s">
        <v>55</v>
      </c>
      <c r="Z27" s="77" t="s">
        <v>82</v>
      </c>
      <c r="AA27" s="77" t="s">
        <v>74</v>
      </c>
      <c r="AB27" s="77" t="s">
        <v>161</v>
      </c>
      <c r="AP27" s="27" t="s">
        <v>101</v>
      </c>
      <c r="AR27" s="80" t="s">
        <v>138</v>
      </c>
      <c r="AV27" s="27"/>
    </row>
    <row r="28" spans="1:48" x14ac:dyDescent="0.15">
      <c r="A28" s="77" t="s">
        <v>46</v>
      </c>
      <c r="B28" s="77" t="s">
        <v>160</v>
      </c>
      <c r="C28" s="122">
        <v>2020</v>
      </c>
      <c r="D28" s="123" t="s">
        <v>280</v>
      </c>
      <c r="E28" s="77" t="s">
        <v>283</v>
      </c>
      <c r="F28" s="77" t="s">
        <v>284</v>
      </c>
      <c r="G28" s="77" t="s">
        <v>25</v>
      </c>
      <c r="H28" s="77" t="s">
        <v>166</v>
      </c>
      <c r="I28" s="77" t="s">
        <v>111</v>
      </c>
      <c r="J28" s="77" t="s">
        <v>27</v>
      </c>
      <c r="K28" s="77" t="s">
        <v>112</v>
      </c>
      <c r="L28" s="77">
        <v>3</v>
      </c>
      <c r="N28" s="77">
        <v>4</v>
      </c>
      <c r="O28" s="77">
        <v>0.41</v>
      </c>
      <c r="P28" s="77">
        <v>0.44</v>
      </c>
      <c r="Q28" s="44">
        <f t="shared" si="2"/>
        <v>0.42499999999999999</v>
      </c>
      <c r="R28" s="77">
        <v>15</v>
      </c>
      <c r="S28" s="77">
        <v>86</v>
      </c>
      <c r="T28" s="16">
        <f t="shared" si="0"/>
        <v>36</v>
      </c>
      <c r="U28" s="77">
        <v>377</v>
      </c>
      <c r="V28" s="16">
        <f t="shared" si="1"/>
        <v>16</v>
      </c>
      <c r="W28" s="77">
        <v>6</v>
      </c>
      <c r="X28" s="77" t="s">
        <v>35</v>
      </c>
      <c r="Y28" s="77" t="s">
        <v>55</v>
      </c>
      <c r="Z28" s="77" t="s">
        <v>82</v>
      </c>
      <c r="AA28" s="77" t="s">
        <v>74</v>
      </c>
      <c r="AB28" s="77" t="s">
        <v>161</v>
      </c>
      <c r="AP28" s="27" t="s">
        <v>156</v>
      </c>
      <c r="AR28" s="80" t="s">
        <v>159</v>
      </c>
      <c r="AV28" s="27"/>
    </row>
    <row r="29" spans="1:48" x14ac:dyDescent="0.15">
      <c r="A29" s="77" t="s">
        <v>46</v>
      </c>
      <c r="B29" s="77" t="s">
        <v>160</v>
      </c>
      <c r="C29" s="122">
        <v>2020</v>
      </c>
      <c r="D29" s="123" t="s">
        <v>280</v>
      </c>
      <c r="E29" s="77" t="s">
        <v>283</v>
      </c>
      <c r="F29" s="77" t="s">
        <v>284</v>
      </c>
      <c r="G29" s="77" t="s">
        <v>25</v>
      </c>
      <c r="H29" s="77" t="s">
        <v>166</v>
      </c>
      <c r="I29" s="77" t="s">
        <v>111</v>
      </c>
      <c r="J29" s="77" t="s">
        <v>27</v>
      </c>
      <c r="K29" s="77" t="s">
        <v>112</v>
      </c>
      <c r="L29" s="77">
        <v>1</v>
      </c>
      <c r="N29" s="77">
        <v>1</v>
      </c>
      <c r="O29" s="77">
        <v>0.64</v>
      </c>
      <c r="P29" s="77">
        <v>0.73</v>
      </c>
      <c r="Q29" s="44">
        <f t="shared" si="2"/>
        <v>0.68500000000000005</v>
      </c>
      <c r="R29" s="77">
        <v>14.8</v>
      </c>
      <c r="S29" s="77">
        <v>130</v>
      </c>
      <c r="T29" s="16">
        <f t="shared" si="0"/>
        <v>25</v>
      </c>
      <c r="U29" s="77">
        <v>99</v>
      </c>
      <c r="V29" s="16">
        <f t="shared" si="1"/>
        <v>33</v>
      </c>
      <c r="W29" s="77">
        <v>6</v>
      </c>
      <c r="X29" s="77" t="s">
        <v>35</v>
      </c>
      <c r="Y29" s="77" t="s">
        <v>55</v>
      </c>
      <c r="Z29" s="77" t="s">
        <v>82</v>
      </c>
      <c r="AA29" s="77" t="s">
        <v>74</v>
      </c>
      <c r="AB29" s="77" t="s">
        <v>161</v>
      </c>
      <c r="AP29" s="27" t="s">
        <v>157</v>
      </c>
      <c r="AR29" s="80" t="s">
        <v>158</v>
      </c>
      <c r="AV29" s="27"/>
    </row>
    <row r="30" spans="1:48" x14ac:dyDescent="0.15">
      <c r="A30" s="77" t="s">
        <v>46</v>
      </c>
      <c r="B30" s="77" t="s">
        <v>160</v>
      </c>
      <c r="C30" s="122">
        <v>2020</v>
      </c>
      <c r="D30" s="123" t="s">
        <v>280</v>
      </c>
      <c r="E30" s="77" t="s">
        <v>283</v>
      </c>
      <c r="F30" s="77" t="s">
        <v>284</v>
      </c>
      <c r="G30" s="77" t="s">
        <v>25</v>
      </c>
      <c r="H30" s="77" t="s">
        <v>166</v>
      </c>
      <c r="I30" s="77" t="s">
        <v>111</v>
      </c>
      <c r="J30" s="77" t="s">
        <v>27</v>
      </c>
      <c r="K30" s="77" t="s">
        <v>112</v>
      </c>
      <c r="L30" s="77">
        <v>2</v>
      </c>
      <c r="N30" s="77">
        <v>1</v>
      </c>
      <c r="O30" s="77">
        <v>0.63</v>
      </c>
      <c r="P30" s="77">
        <v>0.63</v>
      </c>
      <c r="Q30" s="44">
        <f t="shared" si="2"/>
        <v>0.63</v>
      </c>
      <c r="R30" s="77">
        <v>15.2</v>
      </c>
      <c r="S30" s="77">
        <v>138</v>
      </c>
      <c r="T30" s="16">
        <f t="shared" si="0"/>
        <v>22</v>
      </c>
      <c r="U30" s="77">
        <v>99</v>
      </c>
      <c r="V30" s="16">
        <f t="shared" si="1"/>
        <v>33</v>
      </c>
      <c r="W30" s="77">
        <v>6</v>
      </c>
      <c r="X30" s="77" t="s">
        <v>35</v>
      </c>
      <c r="Y30" s="77" t="s">
        <v>55</v>
      </c>
      <c r="Z30" s="77" t="s">
        <v>82</v>
      </c>
      <c r="AA30" s="77" t="s">
        <v>74</v>
      </c>
      <c r="AB30" s="77" t="s">
        <v>161</v>
      </c>
      <c r="AR30" s="28"/>
      <c r="AV30" s="27"/>
    </row>
    <row r="31" spans="1:48" x14ac:dyDescent="0.15">
      <c r="A31" s="77" t="s">
        <v>46</v>
      </c>
      <c r="B31" s="77" t="s">
        <v>160</v>
      </c>
      <c r="C31" s="122">
        <v>2020</v>
      </c>
      <c r="D31" s="123" t="s">
        <v>280</v>
      </c>
      <c r="E31" s="77" t="s">
        <v>283</v>
      </c>
      <c r="F31" s="77" t="s">
        <v>284</v>
      </c>
      <c r="G31" s="77" t="s">
        <v>25</v>
      </c>
      <c r="H31" s="77" t="s">
        <v>166</v>
      </c>
      <c r="I31" s="77" t="s">
        <v>111</v>
      </c>
      <c r="J31" s="77" t="s">
        <v>27</v>
      </c>
      <c r="K31" s="77" t="s">
        <v>112</v>
      </c>
      <c r="L31" s="77">
        <v>3</v>
      </c>
      <c r="N31" s="77">
        <v>1</v>
      </c>
      <c r="O31" s="77">
        <v>0.62</v>
      </c>
      <c r="P31" s="77">
        <v>0.68</v>
      </c>
      <c r="Q31" s="44">
        <f t="shared" si="2"/>
        <v>0.65</v>
      </c>
      <c r="R31" s="77">
        <v>15.3</v>
      </c>
      <c r="S31" s="77">
        <v>135</v>
      </c>
      <c r="T31" s="16">
        <f t="shared" si="0"/>
        <v>25</v>
      </c>
      <c r="U31" s="77">
        <v>99</v>
      </c>
      <c r="V31" s="16">
        <f t="shared" si="1"/>
        <v>33</v>
      </c>
      <c r="W31" s="77">
        <v>6</v>
      </c>
      <c r="X31" s="77" t="s">
        <v>35</v>
      </c>
      <c r="Y31" s="77" t="s">
        <v>55</v>
      </c>
      <c r="Z31" s="77" t="s">
        <v>82</v>
      </c>
      <c r="AA31" s="77" t="s">
        <v>74</v>
      </c>
      <c r="AB31" s="77" t="s">
        <v>161</v>
      </c>
      <c r="AV31" s="27"/>
    </row>
    <row r="32" spans="1:48" x14ac:dyDescent="0.15">
      <c r="A32" s="77" t="s">
        <v>46</v>
      </c>
      <c r="B32" s="77" t="s">
        <v>160</v>
      </c>
      <c r="C32" s="122">
        <v>2020</v>
      </c>
      <c r="D32" s="123" t="s">
        <v>280</v>
      </c>
      <c r="E32" s="77" t="s">
        <v>283</v>
      </c>
      <c r="F32" s="77" t="s">
        <v>284</v>
      </c>
      <c r="G32" s="77" t="s">
        <v>25</v>
      </c>
      <c r="H32" s="77" t="s">
        <v>113</v>
      </c>
      <c r="I32" s="77" t="s">
        <v>111</v>
      </c>
      <c r="J32" s="77" t="s">
        <v>27</v>
      </c>
      <c r="K32" s="77" t="s">
        <v>112</v>
      </c>
      <c r="L32" s="77">
        <v>1</v>
      </c>
      <c r="N32" s="77">
        <v>5</v>
      </c>
      <c r="O32" s="77">
        <v>0.31</v>
      </c>
      <c r="P32" s="77">
        <v>0.34</v>
      </c>
      <c r="Q32" s="44">
        <f t="shared" si="2"/>
        <v>0.32500000000000001</v>
      </c>
      <c r="R32" s="77">
        <v>13.1</v>
      </c>
      <c r="S32" s="77">
        <v>86</v>
      </c>
      <c r="T32" s="16">
        <f t="shared" si="0"/>
        <v>36</v>
      </c>
      <c r="U32" s="77">
        <v>357</v>
      </c>
      <c r="V32" s="16">
        <f t="shared" si="1"/>
        <v>16</v>
      </c>
      <c r="W32" s="77">
        <v>3</v>
      </c>
      <c r="X32" s="77" t="s">
        <v>35</v>
      </c>
      <c r="Y32" s="77" t="s">
        <v>55</v>
      </c>
      <c r="Z32" s="77" t="s">
        <v>82</v>
      </c>
      <c r="AA32" s="77" t="s">
        <v>74</v>
      </c>
      <c r="AB32" s="77" t="s">
        <v>161</v>
      </c>
      <c r="AV32" s="27"/>
    </row>
    <row r="33" spans="1:48" x14ac:dyDescent="0.15">
      <c r="A33" s="77" t="s">
        <v>46</v>
      </c>
      <c r="B33" s="77" t="s">
        <v>160</v>
      </c>
      <c r="C33" s="122">
        <v>2020</v>
      </c>
      <c r="D33" s="123" t="s">
        <v>280</v>
      </c>
      <c r="E33" s="77" t="s">
        <v>283</v>
      </c>
      <c r="F33" s="77" t="s">
        <v>284</v>
      </c>
      <c r="G33" s="77" t="s">
        <v>25</v>
      </c>
      <c r="H33" s="77" t="s">
        <v>113</v>
      </c>
      <c r="I33" s="77" t="s">
        <v>111</v>
      </c>
      <c r="J33" s="77" t="s">
        <v>27</v>
      </c>
      <c r="K33" s="77" t="s">
        <v>112</v>
      </c>
      <c r="L33" s="77">
        <v>2</v>
      </c>
      <c r="N33" s="77">
        <v>5</v>
      </c>
      <c r="O33" s="77">
        <v>0.4</v>
      </c>
      <c r="P33" s="77">
        <v>0.43</v>
      </c>
      <c r="Q33" s="44">
        <f t="shared" si="2"/>
        <v>0.41500000000000004</v>
      </c>
      <c r="R33" s="77">
        <v>13.3</v>
      </c>
      <c r="S33" s="77">
        <v>90</v>
      </c>
      <c r="T33" s="16">
        <f t="shared" si="0"/>
        <v>36</v>
      </c>
      <c r="U33" s="77">
        <v>357</v>
      </c>
      <c r="V33" s="16">
        <f t="shared" si="1"/>
        <v>16</v>
      </c>
      <c r="W33" s="77">
        <v>3</v>
      </c>
      <c r="X33" s="77" t="s">
        <v>35</v>
      </c>
      <c r="Y33" s="77" t="s">
        <v>55</v>
      </c>
      <c r="Z33" s="77" t="s">
        <v>82</v>
      </c>
      <c r="AA33" s="77" t="s">
        <v>74</v>
      </c>
      <c r="AB33" s="77" t="s">
        <v>161</v>
      </c>
      <c r="AV33" s="27"/>
    </row>
    <row r="34" spans="1:48" x14ac:dyDescent="0.15">
      <c r="A34" s="77" t="s">
        <v>46</v>
      </c>
      <c r="B34" s="77" t="s">
        <v>160</v>
      </c>
      <c r="C34" s="122">
        <v>2020</v>
      </c>
      <c r="D34" s="123" t="s">
        <v>280</v>
      </c>
      <c r="E34" s="77" t="s">
        <v>283</v>
      </c>
      <c r="F34" s="77" t="s">
        <v>284</v>
      </c>
      <c r="G34" s="77" t="s">
        <v>25</v>
      </c>
      <c r="H34" s="77" t="s">
        <v>113</v>
      </c>
      <c r="I34" s="77" t="s">
        <v>111</v>
      </c>
      <c r="J34" s="77" t="s">
        <v>27</v>
      </c>
      <c r="K34" s="77" t="s">
        <v>112</v>
      </c>
      <c r="L34" s="77">
        <v>3</v>
      </c>
      <c r="N34" s="77">
        <v>5</v>
      </c>
      <c r="O34" s="77">
        <v>0.28000000000000003</v>
      </c>
      <c r="P34" s="77">
        <v>0.26</v>
      </c>
      <c r="Q34" s="44">
        <f t="shared" si="2"/>
        <v>0.27</v>
      </c>
      <c r="R34" s="77">
        <v>12.9</v>
      </c>
      <c r="S34" s="77">
        <v>90</v>
      </c>
      <c r="T34" s="16">
        <f t="shared" si="0"/>
        <v>36</v>
      </c>
      <c r="U34" s="77">
        <v>357</v>
      </c>
      <c r="V34" s="16">
        <f t="shared" si="1"/>
        <v>16</v>
      </c>
      <c r="W34" s="77">
        <v>3</v>
      </c>
      <c r="X34" s="77" t="s">
        <v>35</v>
      </c>
      <c r="Y34" s="77" t="s">
        <v>55</v>
      </c>
      <c r="Z34" s="77" t="s">
        <v>82</v>
      </c>
      <c r="AA34" s="77" t="s">
        <v>74</v>
      </c>
      <c r="AB34" s="77" t="s">
        <v>161</v>
      </c>
      <c r="AV34" s="27"/>
    </row>
    <row r="35" spans="1:48" x14ac:dyDescent="0.15">
      <c r="A35" s="77" t="s">
        <v>46</v>
      </c>
      <c r="B35" s="77" t="s">
        <v>160</v>
      </c>
      <c r="C35" s="122">
        <v>2020</v>
      </c>
      <c r="D35" s="123" t="s">
        <v>280</v>
      </c>
      <c r="E35" s="77" t="s">
        <v>283</v>
      </c>
      <c r="F35" s="77" t="s">
        <v>284</v>
      </c>
      <c r="G35" s="77" t="s">
        <v>25</v>
      </c>
      <c r="H35" s="77" t="s">
        <v>113</v>
      </c>
      <c r="I35" s="77" t="s">
        <v>111</v>
      </c>
      <c r="J35" s="77" t="s">
        <v>27</v>
      </c>
      <c r="K35" s="77" t="s">
        <v>112</v>
      </c>
      <c r="L35" s="77">
        <v>1</v>
      </c>
      <c r="N35" s="77">
        <v>1</v>
      </c>
      <c r="O35" s="77">
        <v>0.48</v>
      </c>
      <c r="P35" s="77">
        <v>0.51</v>
      </c>
      <c r="Q35" s="44">
        <f t="shared" si="2"/>
        <v>0.495</v>
      </c>
      <c r="R35" s="77">
        <v>12.6</v>
      </c>
      <c r="S35" s="77">
        <v>124</v>
      </c>
      <c r="T35" s="16">
        <f t="shared" si="0"/>
        <v>27</v>
      </c>
      <c r="U35" s="77">
        <v>77</v>
      </c>
      <c r="V35" s="16">
        <f t="shared" si="1"/>
        <v>39</v>
      </c>
      <c r="W35" s="77">
        <v>2</v>
      </c>
      <c r="X35" s="77" t="s">
        <v>28</v>
      </c>
      <c r="Y35" s="77" t="s">
        <v>55</v>
      </c>
      <c r="Z35" s="77" t="s">
        <v>82</v>
      </c>
      <c r="AA35" s="77" t="s">
        <v>74</v>
      </c>
      <c r="AB35" s="77" t="s">
        <v>161</v>
      </c>
      <c r="AV35" s="27"/>
    </row>
    <row r="36" spans="1:48" x14ac:dyDescent="0.15">
      <c r="A36" s="77" t="s">
        <v>46</v>
      </c>
      <c r="B36" s="77" t="s">
        <v>160</v>
      </c>
      <c r="C36" s="122">
        <v>2020</v>
      </c>
      <c r="D36" s="123" t="s">
        <v>280</v>
      </c>
      <c r="E36" s="77" t="s">
        <v>283</v>
      </c>
      <c r="F36" s="77" t="s">
        <v>284</v>
      </c>
      <c r="G36" s="77" t="s">
        <v>25</v>
      </c>
      <c r="H36" s="77" t="s">
        <v>113</v>
      </c>
      <c r="I36" s="77" t="s">
        <v>111</v>
      </c>
      <c r="J36" s="77" t="s">
        <v>27</v>
      </c>
      <c r="K36" s="77" t="s">
        <v>112</v>
      </c>
      <c r="L36" s="77">
        <v>2</v>
      </c>
      <c r="N36" s="77">
        <v>1</v>
      </c>
      <c r="O36" s="77">
        <v>0.71</v>
      </c>
      <c r="P36" s="77">
        <v>0.77</v>
      </c>
      <c r="Q36" s="44">
        <f t="shared" si="2"/>
        <v>0.74</v>
      </c>
      <c r="R36" s="77">
        <v>12.6</v>
      </c>
      <c r="S36" s="77">
        <v>119</v>
      </c>
      <c r="T36" s="16">
        <f t="shared" si="0"/>
        <v>30</v>
      </c>
      <c r="U36" s="77">
        <v>77</v>
      </c>
      <c r="V36" s="16">
        <f t="shared" si="1"/>
        <v>39</v>
      </c>
      <c r="W36" s="77">
        <v>2</v>
      </c>
      <c r="X36" s="77" t="s">
        <v>28</v>
      </c>
      <c r="Y36" s="77" t="s">
        <v>55</v>
      </c>
      <c r="Z36" s="77" t="s">
        <v>82</v>
      </c>
      <c r="AA36" s="77" t="s">
        <v>74</v>
      </c>
      <c r="AB36" s="77" t="s">
        <v>161</v>
      </c>
      <c r="AV36" s="27"/>
    </row>
    <row r="37" spans="1:48" x14ac:dyDescent="0.15">
      <c r="A37" s="77" t="s">
        <v>46</v>
      </c>
      <c r="B37" s="77" t="s">
        <v>160</v>
      </c>
      <c r="C37" s="122">
        <v>2020</v>
      </c>
      <c r="D37" s="123" t="s">
        <v>280</v>
      </c>
      <c r="E37" s="77" t="s">
        <v>283</v>
      </c>
      <c r="F37" s="77" t="s">
        <v>284</v>
      </c>
      <c r="G37" s="77" t="s">
        <v>25</v>
      </c>
      <c r="H37" s="77" t="s">
        <v>113</v>
      </c>
      <c r="I37" s="77" t="s">
        <v>111</v>
      </c>
      <c r="J37" s="77" t="s">
        <v>27</v>
      </c>
      <c r="K37" s="77" t="s">
        <v>112</v>
      </c>
      <c r="L37" s="77">
        <v>3</v>
      </c>
      <c r="N37" s="77">
        <v>1</v>
      </c>
      <c r="O37" s="77">
        <v>0.5</v>
      </c>
      <c r="P37" s="77">
        <v>0.57999999999999996</v>
      </c>
      <c r="Q37" s="44">
        <f t="shared" si="2"/>
        <v>0.54</v>
      </c>
      <c r="R37" s="77">
        <v>13.2</v>
      </c>
      <c r="S37" s="77">
        <v>128</v>
      </c>
      <c r="T37" s="16">
        <f t="shared" si="0"/>
        <v>27</v>
      </c>
      <c r="U37" s="77">
        <v>77</v>
      </c>
      <c r="V37" s="16">
        <f t="shared" si="1"/>
        <v>39</v>
      </c>
      <c r="W37" s="77">
        <v>2</v>
      </c>
      <c r="X37" s="77" t="s">
        <v>28</v>
      </c>
      <c r="Y37" s="77" t="s">
        <v>55</v>
      </c>
      <c r="Z37" s="77" t="s">
        <v>82</v>
      </c>
      <c r="AA37" s="77" t="s">
        <v>74</v>
      </c>
      <c r="AB37" s="77" t="s">
        <v>161</v>
      </c>
      <c r="AV37" s="27"/>
    </row>
    <row r="38" spans="1:48" x14ac:dyDescent="0.15">
      <c r="A38" s="77" t="s">
        <v>46</v>
      </c>
      <c r="B38" s="77" t="s">
        <v>160</v>
      </c>
      <c r="C38" s="122">
        <v>2020</v>
      </c>
      <c r="D38" s="123" t="s">
        <v>280</v>
      </c>
      <c r="E38" s="77" t="s">
        <v>293</v>
      </c>
      <c r="F38" s="77" t="s">
        <v>294</v>
      </c>
      <c r="G38" s="77" t="s">
        <v>25</v>
      </c>
      <c r="H38" s="77" t="s">
        <v>166</v>
      </c>
      <c r="I38" s="77" t="s">
        <v>111</v>
      </c>
      <c r="J38" s="77" t="s">
        <v>27</v>
      </c>
      <c r="K38" s="77" t="s">
        <v>112</v>
      </c>
      <c r="L38" s="77">
        <v>1</v>
      </c>
      <c r="N38" s="77">
        <v>4</v>
      </c>
      <c r="O38" s="77">
        <v>0.4</v>
      </c>
      <c r="P38" s="77">
        <v>0.34</v>
      </c>
      <c r="Q38" s="44">
        <f t="shared" si="2"/>
        <v>0.37</v>
      </c>
      <c r="R38" s="77">
        <v>16.899999999999999</v>
      </c>
      <c r="S38" s="77">
        <v>116</v>
      </c>
      <c r="T38" s="16">
        <f t="shared" si="0"/>
        <v>30</v>
      </c>
      <c r="U38" s="77">
        <v>480</v>
      </c>
      <c r="V38" s="16">
        <f t="shared" si="1"/>
        <v>16</v>
      </c>
      <c r="W38" s="77">
        <v>1</v>
      </c>
      <c r="X38" s="77" t="s">
        <v>35</v>
      </c>
      <c r="Y38" s="77" t="s">
        <v>43</v>
      </c>
      <c r="Z38" s="77" t="s">
        <v>82</v>
      </c>
      <c r="AA38" s="77" t="s">
        <v>64</v>
      </c>
      <c r="AB38" s="77" t="s">
        <v>161</v>
      </c>
      <c r="AV38" s="28"/>
    </row>
    <row r="39" spans="1:48" x14ac:dyDescent="0.15">
      <c r="A39" s="77" t="s">
        <v>46</v>
      </c>
      <c r="B39" s="77" t="s">
        <v>160</v>
      </c>
      <c r="C39" s="122">
        <v>2020</v>
      </c>
      <c r="D39" s="123" t="s">
        <v>280</v>
      </c>
      <c r="E39" s="77" t="s">
        <v>293</v>
      </c>
      <c r="F39" s="77" t="s">
        <v>294</v>
      </c>
      <c r="G39" s="77" t="s">
        <v>25</v>
      </c>
      <c r="H39" s="77" t="s">
        <v>166</v>
      </c>
      <c r="I39" s="77" t="s">
        <v>111</v>
      </c>
      <c r="J39" s="77" t="s">
        <v>27</v>
      </c>
      <c r="K39" s="77" t="s">
        <v>112</v>
      </c>
      <c r="L39" s="77">
        <v>2</v>
      </c>
      <c r="N39" s="77">
        <v>4</v>
      </c>
      <c r="O39" s="77">
        <v>0.27</v>
      </c>
      <c r="P39" s="77">
        <v>0.28000000000000003</v>
      </c>
      <c r="Q39" s="44">
        <f t="shared" si="2"/>
        <v>0.27500000000000002</v>
      </c>
      <c r="R39" s="77">
        <v>17.8</v>
      </c>
      <c r="S39" s="77">
        <v>114</v>
      </c>
      <c r="T39" s="16">
        <f t="shared" si="0"/>
        <v>30</v>
      </c>
      <c r="U39" s="77">
        <v>480</v>
      </c>
      <c r="V39" s="16">
        <f t="shared" si="1"/>
        <v>16</v>
      </c>
      <c r="W39" s="77">
        <v>1</v>
      </c>
      <c r="X39" s="77" t="s">
        <v>35</v>
      </c>
      <c r="Y39" s="77" t="s">
        <v>43</v>
      </c>
      <c r="Z39" s="77" t="s">
        <v>82</v>
      </c>
      <c r="AA39" s="77" t="s">
        <v>64</v>
      </c>
      <c r="AB39" s="77" t="s">
        <v>161</v>
      </c>
    </row>
    <row r="40" spans="1:48" x14ac:dyDescent="0.15">
      <c r="A40" s="77" t="s">
        <v>46</v>
      </c>
      <c r="B40" s="77" t="s">
        <v>160</v>
      </c>
      <c r="C40" s="122">
        <v>2020</v>
      </c>
      <c r="D40" s="123" t="s">
        <v>280</v>
      </c>
      <c r="E40" s="77" t="s">
        <v>293</v>
      </c>
      <c r="F40" s="77" t="s">
        <v>294</v>
      </c>
      <c r="G40" s="77" t="s">
        <v>25</v>
      </c>
      <c r="H40" s="77" t="s">
        <v>166</v>
      </c>
      <c r="I40" s="77" t="s">
        <v>111</v>
      </c>
      <c r="J40" s="77" t="s">
        <v>27</v>
      </c>
      <c r="K40" s="77" t="s">
        <v>112</v>
      </c>
      <c r="L40" s="77">
        <v>3</v>
      </c>
      <c r="N40" s="77">
        <v>4</v>
      </c>
      <c r="O40" s="77">
        <v>0.37</v>
      </c>
      <c r="P40" s="77">
        <v>0.39</v>
      </c>
      <c r="Q40" s="44">
        <f t="shared" si="2"/>
        <v>0.38</v>
      </c>
      <c r="R40" s="77">
        <v>16.5</v>
      </c>
      <c r="S40" s="77">
        <v>115</v>
      </c>
      <c r="T40" s="16">
        <f t="shared" si="0"/>
        <v>30</v>
      </c>
      <c r="U40" s="77">
        <v>480</v>
      </c>
      <c r="V40" s="16">
        <f t="shared" si="1"/>
        <v>16</v>
      </c>
      <c r="W40" s="77">
        <v>1</v>
      </c>
      <c r="X40" s="77" t="s">
        <v>35</v>
      </c>
      <c r="Y40" s="77" t="s">
        <v>43</v>
      </c>
      <c r="Z40" s="77" t="s">
        <v>82</v>
      </c>
      <c r="AA40" s="77" t="s">
        <v>64</v>
      </c>
      <c r="AB40" s="77" t="s">
        <v>161</v>
      </c>
    </row>
    <row r="41" spans="1:48" x14ac:dyDescent="0.15">
      <c r="A41" s="77" t="s">
        <v>46</v>
      </c>
      <c r="B41" s="77" t="s">
        <v>160</v>
      </c>
      <c r="C41" s="122">
        <v>2020</v>
      </c>
      <c r="D41" s="123" t="s">
        <v>280</v>
      </c>
      <c r="E41" s="77" t="s">
        <v>293</v>
      </c>
      <c r="F41" s="77" t="s">
        <v>294</v>
      </c>
      <c r="G41" s="77" t="s">
        <v>25</v>
      </c>
      <c r="H41" s="77" t="s">
        <v>166</v>
      </c>
      <c r="I41" s="77" t="s">
        <v>111</v>
      </c>
      <c r="J41" s="77" t="s">
        <v>27</v>
      </c>
      <c r="K41" s="77" t="s">
        <v>112</v>
      </c>
      <c r="L41" s="77">
        <v>1</v>
      </c>
      <c r="N41" s="77">
        <v>3</v>
      </c>
      <c r="O41" s="77">
        <v>0.28999999999999998</v>
      </c>
      <c r="P41" s="77">
        <v>0.28999999999999998</v>
      </c>
      <c r="Q41" s="44">
        <f t="shared" si="2"/>
        <v>0.28999999999999998</v>
      </c>
      <c r="R41" s="77">
        <v>15.6</v>
      </c>
      <c r="S41" s="77">
        <v>122</v>
      </c>
      <c r="T41" s="16">
        <f t="shared" si="0"/>
        <v>27</v>
      </c>
      <c r="U41" s="77">
        <v>380</v>
      </c>
      <c r="V41" s="16">
        <f t="shared" si="1"/>
        <v>16</v>
      </c>
      <c r="W41" s="77">
        <v>2</v>
      </c>
      <c r="X41" s="77" t="s">
        <v>35</v>
      </c>
      <c r="Y41" s="77" t="s">
        <v>43</v>
      </c>
      <c r="Z41" s="77" t="s">
        <v>82</v>
      </c>
      <c r="AA41" s="77" t="s">
        <v>64</v>
      </c>
      <c r="AB41" s="77" t="s">
        <v>161</v>
      </c>
    </row>
    <row r="42" spans="1:48" x14ac:dyDescent="0.15">
      <c r="A42" s="77" t="s">
        <v>46</v>
      </c>
      <c r="B42" s="77" t="s">
        <v>160</v>
      </c>
      <c r="C42" s="122">
        <v>2020</v>
      </c>
      <c r="D42" s="123" t="s">
        <v>280</v>
      </c>
      <c r="E42" s="77" t="s">
        <v>293</v>
      </c>
      <c r="F42" s="77" t="s">
        <v>294</v>
      </c>
      <c r="G42" s="77" t="s">
        <v>25</v>
      </c>
      <c r="H42" s="77" t="s">
        <v>166</v>
      </c>
      <c r="I42" s="77" t="s">
        <v>111</v>
      </c>
      <c r="J42" s="77" t="s">
        <v>27</v>
      </c>
      <c r="K42" s="77" t="s">
        <v>112</v>
      </c>
      <c r="L42" s="77">
        <v>2</v>
      </c>
      <c r="N42" s="77">
        <v>3</v>
      </c>
      <c r="O42" s="77">
        <v>0.42</v>
      </c>
      <c r="P42" s="77">
        <v>0.33</v>
      </c>
      <c r="Q42" s="44">
        <f t="shared" si="2"/>
        <v>0.375</v>
      </c>
      <c r="R42" s="77">
        <v>15.9</v>
      </c>
      <c r="S42" s="77">
        <v>121</v>
      </c>
      <c r="T42" s="16">
        <f t="shared" si="0"/>
        <v>27</v>
      </c>
      <c r="U42" s="77">
        <v>380</v>
      </c>
      <c r="V42" s="16">
        <f t="shared" si="1"/>
        <v>16</v>
      </c>
      <c r="W42" s="77">
        <v>2</v>
      </c>
      <c r="X42" s="77" t="s">
        <v>35</v>
      </c>
      <c r="Y42" s="77" t="s">
        <v>43</v>
      </c>
      <c r="Z42" s="77" t="s">
        <v>82</v>
      </c>
      <c r="AA42" s="77" t="s">
        <v>64</v>
      </c>
      <c r="AB42" s="77" t="s">
        <v>161</v>
      </c>
    </row>
    <row r="43" spans="1:48" x14ac:dyDescent="0.15">
      <c r="A43" s="77" t="s">
        <v>46</v>
      </c>
      <c r="B43" s="77" t="s">
        <v>160</v>
      </c>
      <c r="C43" s="122">
        <v>2020</v>
      </c>
      <c r="D43" s="123" t="s">
        <v>280</v>
      </c>
      <c r="E43" s="77" t="s">
        <v>293</v>
      </c>
      <c r="F43" s="77" t="s">
        <v>294</v>
      </c>
      <c r="G43" s="77" t="s">
        <v>25</v>
      </c>
      <c r="H43" s="77" t="s">
        <v>166</v>
      </c>
      <c r="I43" s="77" t="s">
        <v>111</v>
      </c>
      <c r="J43" s="77" t="s">
        <v>27</v>
      </c>
      <c r="K43" s="77" t="s">
        <v>112</v>
      </c>
      <c r="L43" s="77">
        <v>3</v>
      </c>
      <c r="N43" s="77">
        <v>3</v>
      </c>
      <c r="O43" s="77">
        <v>0.44</v>
      </c>
      <c r="P43" s="77">
        <v>0.39</v>
      </c>
      <c r="Q43" s="44">
        <f t="shared" si="2"/>
        <v>0.41500000000000004</v>
      </c>
      <c r="R43" s="77">
        <v>16.100000000000001</v>
      </c>
      <c r="S43" s="77">
        <v>125</v>
      </c>
      <c r="T43" s="16">
        <f t="shared" si="0"/>
        <v>27</v>
      </c>
      <c r="U43" s="77">
        <v>380</v>
      </c>
      <c r="V43" s="16">
        <f t="shared" si="1"/>
        <v>16</v>
      </c>
      <c r="W43" s="77">
        <v>2</v>
      </c>
      <c r="X43" s="77" t="s">
        <v>35</v>
      </c>
      <c r="Y43" s="77" t="s">
        <v>43</v>
      </c>
      <c r="Z43" s="77" t="s">
        <v>82</v>
      </c>
      <c r="AA43" s="77" t="s">
        <v>64</v>
      </c>
      <c r="AB43" s="77" t="s">
        <v>161</v>
      </c>
    </row>
    <row r="44" spans="1:48" x14ac:dyDescent="0.15">
      <c r="A44" s="77" t="s">
        <v>46</v>
      </c>
      <c r="B44" s="77" t="s">
        <v>160</v>
      </c>
      <c r="C44" s="122">
        <v>2020</v>
      </c>
      <c r="D44" s="123" t="s">
        <v>280</v>
      </c>
      <c r="E44" s="77" t="s">
        <v>293</v>
      </c>
      <c r="F44" s="77" t="s">
        <v>294</v>
      </c>
      <c r="G44" s="77" t="s">
        <v>25</v>
      </c>
      <c r="H44" s="77" t="s">
        <v>166</v>
      </c>
      <c r="I44" s="77" t="s">
        <v>111</v>
      </c>
      <c r="J44" s="77" t="s">
        <v>27</v>
      </c>
      <c r="K44" s="77" t="s">
        <v>112</v>
      </c>
      <c r="L44" s="77">
        <v>1</v>
      </c>
      <c r="N44" s="77">
        <v>1</v>
      </c>
      <c r="O44" s="77">
        <v>0.24</v>
      </c>
      <c r="P44" s="77">
        <v>0.26</v>
      </c>
      <c r="Q44" s="44">
        <f t="shared" si="2"/>
        <v>0.25</v>
      </c>
      <c r="R44" s="77">
        <v>16.2</v>
      </c>
      <c r="S44" s="77">
        <v>133</v>
      </c>
      <c r="T44" s="16">
        <f t="shared" si="0"/>
        <v>25</v>
      </c>
      <c r="U44" s="77">
        <v>129</v>
      </c>
      <c r="V44" s="16">
        <f t="shared" si="1"/>
        <v>25</v>
      </c>
      <c r="W44" s="77">
        <v>4</v>
      </c>
      <c r="X44" s="77" t="s">
        <v>35</v>
      </c>
      <c r="Y44" s="77" t="s">
        <v>43</v>
      </c>
      <c r="Z44" s="77" t="s">
        <v>82</v>
      </c>
      <c r="AA44" s="77" t="s">
        <v>64</v>
      </c>
      <c r="AB44" s="77" t="s">
        <v>161</v>
      </c>
    </row>
    <row r="45" spans="1:48" x14ac:dyDescent="0.15">
      <c r="A45" s="77" t="s">
        <v>46</v>
      </c>
      <c r="B45" s="77" t="s">
        <v>160</v>
      </c>
      <c r="C45" s="122">
        <v>2020</v>
      </c>
      <c r="D45" s="123" t="s">
        <v>280</v>
      </c>
      <c r="E45" s="77" t="s">
        <v>293</v>
      </c>
      <c r="F45" s="77" t="s">
        <v>294</v>
      </c>
      <c r="G45" s="77" t="s">
        <v>25</v>
      </c>
      <c r="H45" s="77" t="s">
        <v>166</v>
      </c>
      <c r="I45" s="77" t="s">
        <v>111</v>
      </c>
      <c r="J45" s="77" t="s">
        <v>27</v>
      </c>
      <c r="K45" s="77" t="s">
        <v>112</v>
      </c>
      <c r="L45" s="77">
        <v>2</v>
      </c>
      <c r="N45" s="77">
        <v>1</v>
      </c>
      <c r="O45" s="77">
        <v>0.33</v>
      </c>
      <c r="P45" s="77">
        <v>0.25</v>
      </c>
      <c r="Q45" s="44">
        <f t="shared" si="2"/>
        <v>0.29000000000000004</v>
      </c>
      <c r="R45" s="77">
        <v>17.7</v>
      </c>
      <c r="S45" s="77">
        <v>132</v>
      </c>
      <c r="T45" s="16">
        <f t="shared" si="0"/>
        <v>25</v>
      </c>
      <c r="U45" s="77">
        <v>129</v>
      </c>
      <c r="V45" s="16">
        <f t="shared" si="1"/>
        <v>25</v>
      </c>
      <c r="W45" s="77">
        <v>4</v>
      </c>
      <c r="X45" s="77" t="s">
        <v>35</v>
      </c>
      <c r="Y45" s="77" t="s">
        <v>43</v>
      </c>
      <c r="Z45" s="77" t="s">
        <v>82</v>
      </c>
      <c r="AA45" s="77" t="s">
        <v>64</v>
      </c>
      <c r="AB45" s="77" t="s">
        <v>161</v>
      </c>
    </row>
    <row r="46" spans="1:48" x14ac:dyDescent="0.15">
      <c r="A46" s="77" t="s">
        <v>46</v>
      </c>
      <c r="B46" s="77" t="s">
        <v>160</v>
      </c>
      <c r="C46" s="122">
        <v>2020</v>
      </c>
      <c r="D46" s="123" t="s">
        <v>280</v>
      </c>
      <c r="E46" s="77" t="s">
        <v>293</v>
      </c>
      <c r="F46" s="77" t="s">
        <v>294</v>
      </c>
      <c r="G46" s="77" t="s">
        <v>25</v>
      </c>
      <c r="H46" s="77" t="s">
        <v>166</v>
      </c>
      <c r="I46" s="77" t="s">
        <v>111</v>
      </c>
      <c r="J46" s="77" t="s">
        <v>27</v>
      </c>
      <c r="K46" s="77" t="s">
        <v>112</v>
      </c>
      <c r="L46" s="77">
        <v>3</v>
      </c>
      <c r="N46" s="77">
        <v>1</v>
      </c>
      <c r="O46" s="77">
        <v>0.32</v>
      </c>
      <c r="P46" s="77">
        <v>0.3</v>
      </c>
      <c r="Q46" s="44">
        <f t="shared" si="2"/>
        <v>0.31</v>
      </c>
      <c r="R46" s="77">
        <v>17.2</v>
      </c>
      <c r="S46" s="77">
        <v>135</v>
      </c>
      <c r="T46" s="16">
        <f t="shared" si="0"/>
        <v>25</v>
      </c>
      <c r="U46" s="77">
        <v>129</v>
      </c>
      <c r="V46" s="16">
        <f t="shared" si="1"/>
        <v>25</v>
      </c>
      <c r="W46" s="77">
        <v>4</v>
      </c>
      <c r="X46" s="77" t="s">
        <v>35</v>
      </c>
      <c r="Y46" s="77" t="s">
        <v>43</v>
      </c>
      <c r="Z46" s="77" t="s">
        <v>82</v>
      </c>
      <c r="AA46" s="77" t="s">
        <v>64</v>
      </c>
      <c r="AB46" s="77" t="s">
        <v>161</v>
      </c>
    </row>
    <row r="47" spans="1:48" x14ac:dyDescent="0.15">
      <c r="A47" s="77" t="s">
        <v>46</v>
      </c>
      <c r="B47" s="77" t="s">
        <v>160</v>
      </c>
      <c r="C47" s="122">
        <v>2020</v>
      </c>
      <c r="D47" s="123" t="s">
        <v>280</v>
      </c>
      <c r="E47" s="77" t="s">
        <v>293</v>
      </c>
      <c r="F47" s="77" t="s">
        <v>294</v>
      </c>
      <c r="G47" s="77" t="s">
        <v>25</v>
      </c>
      <c r="H47" s="77" t="s">
        <v>113</v>
      </c>
      <c r="I47" s="77" t="s">
        <v>111</v>
      </c>
      <c r="J47" s="77" t="s">
        <v>27</v>
      </c>
      <c r="K47" s="77" t="s">
        <v>112</v>
      </c>
      <c r="L47" s="77">
        <v>1</v>
      </c>
      <c r="N47" s="77">
        <v>5</v>
      </c>
      <c r="O47" s="77">
        <v>0.26</v>
      </c>
      <c r="P47" s="77">
        <v>0.24</v>
      </c>
      <c r="Q47" s="44">
        <f t="shared" si="2"/>
        <v>0.25</v>
      </c>
      <c r="R47" s="77">
        <v>14.9</v>
      </c>
      <c r="S47" s="77">
        <v>90</v>
      </c>
      <c r="T47" s="16">
        <f t="shared" si="0"/>
        <v>36</v>
      </c>
      <c r="U47" s="77">
        <v>380</v>
      </c>
      <c r="V47" s="16">
        <f t="shared" si="1"/>
        <v>16</v>
      </c>
      <c r="W47" s="77">
        <v>2</v>
      </c>
      <c r="X47" s="77" t="s">
        <v>35</v>
      </c>
      <c r="Y47" s="77" t="s">
        <v>43</v>
      </c>
      <c r="Z47" s="77" t="s">
        <v>82</v>
      </c>
      <c r="AA47" s="77" t="s">
        <v>64</v>
      </c>
      <c r="AB47" s="77" t="s">
        <v>161</v>
      </c>
    </row>
    <row r="48" spans="1:48" x14ac:dyDescent="0.15">
      <c r="A48" s="77" t="s">
        <v>46</v>
      </c>
      <c r="B48" s="77" t="s">
        <v>160</v>
      </c>
      <c r="C48" s="122">
        <v>2020</v>
      </c>
      <c r="D48" s="123" t="s">
        <v>280</v>
      </c>
      <c r="E48" s="77" t="s">
        <v>293</v>
      </c>
      <c r="F48" s="77" t="s">
        <v>294</v>
      </c>
      <c r="G48" s="77" t="s">
        <v>25</v>
      </c>
      <c r="H48" s="77" t="s">
        <v>113</v>
      </c>
      <c r="I48" s="77" t="s">
        <v>111</v>
      </c>
      <c r="J48" s="77" t="s">
        <v>27</v>
      </c>
      <c r="K48" s="77" t="s">
        <v>112</v>
      </c>
      <c r="L48" s="77">
        <v>2</v>
      </c>
      <c r="N48" s="77">
        <v>5</v>
      </c>
      <c r="O48" s="77">
        <v>0.28000000000000003</v>
      </c>
      <c r="P48" s="77">
        <v>0.28999999999999998</v>
      </c>
      <c r="Q48" s="44">
        <f t="shared" si="2"/>
        <v>0.28500000000000003</v>
      </c>
      <c r="R48" s="77">
        <v>13.8</v>
      </c>
      <c r="S48" s="77">
        <v>96</v>
      </c>
      <c r="T48" s="16">
        <f t="shared" si="0"/>
        <v>36</v>
      </c>
      <c r="U48" s="77">
        <v>380</v>
      </c>
      <c r="V48" s="16">
        <f t="shared" si="1"/>
        <v>16</v>
      </c>
      <c r="W48" s="77">
        <v>2</v>
      </c>
      <c r="X48" s="77" t="s">
        <v>35</v>
      </c>
      <c r="Y48" s="77" t="s">
        <v>43</v>
      </c>
      <c r="Z48" s="77" t="s">
        <v>82</v>
      </c>
      <c r="AA48" s="77" t="s">
        <v>64</v>
      </c>
      <c r="AB48" s="77" t="s">
        <v>161</v>
      </c>
    </row>
    <row r="49" spans="1:28" x14ac:dyDescent="0.15">
      <c r="A49" s="77" t="s">
        <v>46</v>
      </c>
      <c r="B49" s="77" t="s">
        <v>160</v>
      </c>
      <c r="C49" s="122">
        <v>2020</v>
      </c>
      <c r="D49" s="123" t="s">
        <v>280</v>
      </c>
      <c r="E49" s="77" t="s">
        <v>293</v>
      </c>
      <c r="F49" s="77" t="s">
        <v>294</v>
      </c>
      <c r="G49" s="77" t="s">
        <v>25</v>
      </c>
      <c r="H49" s="77" t="s">
        <v>113</v>
      </c>
      <c r="I49" s="77" t="s">
        <v>111</v>
      </c>
      <c r="J49" s="77" t="s">
        <v>27</v>
      </c>
      <c r="K49" s="77" t="s">
        <v>112</v>
      </c>
      <c r="L49" s="77">
        <v>3</v>
      </c>
      <c r="N49" s="77">
        <v>5</v>
      </c>
      <c r="O49" s="77">
        <v>0.4</v>
      </c>
      <c r="P49" s="77">
        <v>0.43</v>
      </c>
      <c r="Q49" s="44">
        <f t="shared" si="2"/>
        <v>0.41500000000000004</v>
      </c>
      <c r="R49" s="77">
        <v>14.8</v>
      </c>
      <c r="S49" s="77">
        <v>97</v>
      </c>
      <c r="T49" s="16">
        <f t="shared" si="0"/>
        <v>36</v>
      </c>
      <c r="U49" s="77">
        <v>380</v>
      </c>
      <c r="V49" s="16">
        <f t="shared" si="1"/>
        <v>16</v>
      </c>
      <c r="W49" s="77">
        <v>2</v>
      </c>
      <c r="X49" s="77" t="s">
        <v>35</v>
      </c>
      <c r="Y49" s="77" t="s">
        <v>43</v>
      </c>
      <c r="Z49" s="77" t="s">
        <v>82</v>
      </c>
      <c r="AA49" s="77" t="s">
        <v>64</v>
      </c>
      <c r="AB49" s="77" t="s">
        <v>161</v>
      </c>
    </row>
    <row r="50" spans="1:28" x14ac:dyDescent="0.15">
      <c r="A50" s="77" t="s">
        <v>46</v>
      </c>
      <c r="B50" s="77" t="s">
        <v>160</v>
      </c>
      <c r="C50" s="122">
        <v>2020</v>
      </c>
      <c r="D50" s="123" t="s">
        <v>280</v>
      </c>
      <c r="E50" s="77" t="s">
        <v>293</v>
      </c>
      <c r="F50" s="77" t="s">
        <v>294</v>
      </c>
      <c r="G50" s="77" t="s">
        <v>25</v>
      </c>
      <c r="H50" s="77" t="s">
        <v>113</v>
      </c>
      <c r="I50" s="77" t="s">
        <v>111</v>
      </c>
      <c r="J50" s="77" t="s">
        <v>27</v>
      </c>
      <c r="K50" s="77" t="s">
        <v>112</v>
      </c>
      <c r="L50" s="77">
        <v>1</v>
      </c>
      <c r="N50" s="77">
        <v>4</v>
      </c>
      <c r="O50" s="77">
        <v>0.35</v>
      </c>
      <c r="P50" s="77">
        <v>0.36</v>
      </c>
      <c r="Q50" s="44">
        <f t="shared" si="2"/>
        <v>0.35499999999999998</v>
      </c>
      <c r="R50" s="77">
        <v>15.7</v>
      </c>
      <c r="S50" s="77">
        <v>95</v>
      </c>
      <c r="T50" s="16">
        <f t="shared" si="0"/>
        <v>36</v>
      </c>
      <c r="U50" s="77">
        <v>380</v>
      </c>
      <c r="V50" s="16">
        <f t="shared" si="1"/>
        <v>16</v>
      </c>
      <c r="W50" s="77">
        <v>2</v>
      </c>
      <c r="X50" s="77" t="s">
        <v>35</v>
      </c>
      <c r="Y50" s="77" t="s">
        <v>43</v>
      </c>
      <c r="Z50" s="77" t="s">
        <v>82</v>
      </c>
      <c r="AA50" s="77" t="s">
        <v>64</v>
      </c>
      <c r="AB50" s="77" t="s">
        <v>161</v>
      </c>
    </row>
    <row r="51" spans="1:28" x14ac:dyDescent="0.15">
      <c r="A51" s="77" t="s">
        <v>46</v>
      </c>
      <c r="B51" s="77" t="s">
        <v>160</v>
      </c>
      <c r="C51" s="122">
        <v>2020</v>
      </c>
      <c r="D51" s="123" t="s">
        <v>280</v>
      </c>
      <c r="E51" s="77" t="s">
        <v>293</v>
      </c>
      <c r="F51" s="77" t="s">
        <v>294</v>
      </c>
      <c r="G51" s="77" t="s">
        <v>25</v>
      </c>
      <c r="H51" s="77" t="s">
        <v>113</v>
      </c>
      <c r="I51" s="77" t="s">
        <v>111</v>
      </c>
      <c r="J51" s="77" t="s">
        <v>27</v>
      </c>
      <c r="K51" s="77" t="s">
        <v>112</v>
      </c>
      <c r="L51" s="77">
        <v>2</v>
      </c>
      <c r="N51" s="77">
        <v>4</v>
      </c>
      <c r="O51" s="77">
        <v>0.35</v>
      </c>
      <c r="P51" s="77">
        <v>0.41</v>
      </c>
      <c r="Q51" s="44">
        <f t="shared" si="2"/>
        <v>0.38</v>
      </c>
      <c r="R51" s="77">
        <v>15.2</v>
      </c>
      <c r="S51" s="77">
        <v>98</v>
      </c>
      <c r="T51" s="16">
        <f t="shared" si="0"/>
        <v>36</v>
      </c>
      <c r="U51" s="77">
        <v>380</v>
      </c>
      <c r="V51" s="16">
        <f t="shared" si="1"/>
        <v>16</v>
      </c>
      <c r="W51" s="77">
        <v>2</v>
      </c>
      <c r="X51" s="77" t="s">
        <v>35</v>
      </c>
      <c r="Y51" s="77" t="s">
        <v>43</v>
      </c>
      <c r="Z51" s="77" t="s">
        <v>82</v>
      </c>
      <c r="AA51" s="77" t="s">
        <v>64</v>
      </c>
      <c r="AB51" s="77" t="s">
        <v>161</v>
      </c>
    </row>
    <row r="52" spans="1:28" x14ac:dyDescent="0.15">
      <c r="A52" s="77" t="s">
        <v>46</v>
      </c>
      <c r="B52" s="77" t="s">
        <v>160</v>
      </c>
      <c r="C52" s="122">
        <v>2020</v>
      </c>
      <c r="D52" s="123" t="s">
        <v>280</v>
      </c>
      <c r="E52" s="77" t="s">
        <v>293</v>
      </c>
      <c r="F52" s="77" t="s">
        <v>294</v>
      </c>
      <c r="G52" s="77" t="s">
        <v>25</v>
      </c>
      <c r="H52" s="77" t="s">
        <v>113</v>
      </c>
      <c r="I52" s="77" t="s">
        <v>111</v>
      </c>
      <c r="J52" s="77" t="s">
        <v>27</v>
      </c>
      <c r="K52" s="77" t="s">
        <v>112</v>
      </c>
      <c r="L52" s="77">
        <v>3</v>
      </c>
      <c r="N52" s="77">
        <v>4</v>
      </c>
      <c r="O52" s="77">
        <v>0.44</v>
      </c>
      <c r="P52" s="77">
        <v>0.47</v>
      </c>
      <c r="Q52" s="44">
        <f t="shared" si="2"/>
        <v>0.45499999999999996</v>
      </c>
      <c r="R52" s="77">
        <v>15.6</v>
      </c>
      <c r="S52" s="77">
        <v>101</v>
      </c>
      <c r="T52" s="16">
        <f t="shared" si="0"/>
        <v>33</v>
      </c>
      <c r="U52" s="77">
        <v>380</v>
      </c>
      <c r="V52" s="16">
        <f t="shared" si="1"/>
        <v>16</v>
      </c>
      <c r="W52" s="77">
        <v>2</v>
      </c>
      <c r="X52" s="77" t="s">
        <v>35</v>
      </c>
      <c r="Y52" s="77" t="s">
        <v>43</v>
      </c>
      <c r="Z52" s="77" t="s">
        <v>82</v>
      </c>
      <c r="AA52" s="77" t="s">
        <v>64</v>
      </c>
      <c r="AB52" s="77" t="s">
        <v>161</v>
      </c>
    </row>
    <row r="53" spans="1:28" x14ac:dyDescent="0.15">
      <c r="A53" s="77" t="s">
        <v>46</v>
      </c>
      <c r="B53" s="77" t="s">
        <v>160</v>
      </c>
      <c r="C53" s="122">
        <v>2020</v>
      </c>
      <c r="D53" s="123" t="s">
        <v>280</v>
      </c>
      <c r="E53" s="77" t="s">
        <v>293</v>
      </c>
      <c r="F53" s="77" t="s">
        <v>294</v>
      </c>
      <c r="G53" s="77" t="s">
        <v>25</v>
      </c>
      <c r="H53" s="77" t="s">
        <v>113</v>
      </c>
      <c r="I53" s="77" t="s">
        <v>111</v>
      </c>
      <c r="J53" s="77" t="s">
        <v>27</v>
      </c>
      <c r="K53" s="77" t="s">
        <v>112</v>
      </c>
      <c r="L53" s="77">
        <v>1</v>
      </c>
      <c r="N53" s="77">
        <v>1</v>
      </c>
      <c r="O53" s="77">
        <v>0.4</v>
      </c>
      <c r="P53" s="77">
        <v>0.48</v>
      </c>
      <c r="Q53" s="44">
        <f t="shared" si="2"/>
        <v>0.44</v>
      </c>
      <c r="R53" s="77">
        <v>13.4</v>
      </c>
      <c r="S53" s="77">
        <v>135</v>
      </c>
      <c r="T53" s="16">
        <f t="shared" si="0"/>
        <v>25</v>
      </c>
      <c r="U53" s="77">
        <v>129</v>
      </c>
      <c r="V53" s="16">
        <f t="shared" si="1"/>
        <v>25</v>
      </c>
      <c r="W53" s="77">
        <v>2</v>
      </c>
      <c r="X53" s="77" t="s">
        <v>35</v>
      </c>
      <c r="Y53" s="77" t="s">
        <v>43</v>
      </c>
      <c r="Z53" s="77" t="s">
        <v>82</v>
      </c>
      <c r="AA53" s="77" t="s">
        <v>64</v>
      </c>
      <c r="AB53" s="77" t="s">
        <v>161</v>
      </c>
    </row>
    <row r="54" spans="1:28" x14ac:dyDescent="0.15">
      <c r="A54" s="77" t="s">
        <v>46</v>
      </c>
      <c r="B54" s="77" t="s">
        <v>160</v>
      </c>
      <c r="C54" s="122">
        <v>2020</v>
      </c>
      <c r="D54" s="123" t="s">
        <v>280</v>
      </c>
      <c r="E54" s="77" t="s">
        <v>293</v>
      </c>
      <c r="F54" s="77" t="s">
        <v>294</v>
      </c>
      <c r="G54" s="77" t="s">
        <v>25</v>
      </c>
      <c r="H54" s="77" t="s">
        <v>113</v>
      </c>
      <c r="I54" s="77" t="s">
        <v>111</v>
      </c>
      <c r="J54" s="77" t="s">
        <v>27</v>
      </c>
      <c r="K54" s="77" t="s">
        <v>112</v>
      </c>
      <c r="L54" s="77">
        <v>2</v>
      </c>
      <c r="N54" s="77">
        <v>1</v>
      </c>
      <c r="O54" s="77">
        <v>0.43</v>
      </c>
      <c r="P54" s="77">
        <v>0.47</v>
      </c>
      <c r="Q54" s="44">
        <f t="shared" si="2"/>
        <v>0.44999999999999996</v>
      </c>
      <c r="R54" s="77">
        <v>12.8</v>
      </c>
      <c r="S54" s="77">
        <v>134</v>
      </c>
      <c r="T54" s="16">
        <f t="shared" si="0"/>
        <v>25</v>
      </c>
      <c r="U54" s="77">
        <v>129</v>
      </c>
      <c r="V54" s="16">
        <f t="shared" si="1"/>
        <v>25</v>
      </c>
      <c r="W54" s="77">
        <v>2</v>
      </c>
      <c r="X54" s="77" t="s">
        <v>35</v>
      </c>
      <c r="Y54" s="77" t="s">
        <v>43</v>
      </c>
      <c r="Z54" s="77" t="s">
        <v>82</v>
      </c>
      <c r="AA54" s="77" t="s">
        <v>64</v>
      </c>
      <c r="AB54" s="77" t="s">
        <v>161</v>
      </c>
    </row>
    <row r="55" spans="1:28" x14ac:dyDescent="0.15">
      <c r="A55" s="77" t="s">
        <v>46</v>
      </c>
      <c r="B55" s="77" t="s">
        <v>160</v>
      </c>
      <c r="C55" s="122">
        <v>2020</v>
      </c>
      <c r="D55" s="123" t="s">
        <v>280</v>
      </c>
      <c r="E55" s="77" t="s">
        <v>293</v>
      </c>
      <c r="F55" s="77" t="s">
        <v>294</v>
      </c>
      <c r="G55" s="77" t="s">
        <v>25</v>
      </c>
      <c r="H55" s="77" t="s">
        <v>113</v>
      </c>
      <c r="I55" s="77" t="s">
        <v>111</v>
      </c>
      <c r="J55" s="77" t="s">
        <v>27</v>
      </c>
      <c r="K55" s="77" t="s">
        <v>112</v>
      </c>
      <c r="L55" s="77">
        <v>3</v>
      </c>
      <c r="N55" s="77">
        <v>1</v>
      </c>
      <c r="O55" s="77">
        <v>0.5</v>
      </c>
      <c r="P55" s="77">
        <v>0.51</v>
      </c>
      <c r="Q55" s="44">
        <f t="shared" si="2"/>
        <v>0.505</v>
      </c>
      <c r="R55" s="77">
        <v>12.3</v>
      </c>
      <c r="S55" s="77">
        <v>135</v>
      </c>
      <c r="T55" s="16">
        <f t="shared" si="0"/>
        <v>25</v>
      </c>
      <c r="U55" s="77">
        <v>129</v>
      </c>
      <c r="V55" s="16">
        <f t="shared" si="1"/>
        <v>25</v>
      </c>
      <c r="W55" s="77">
        <v>2</v>
      </c>
      <c r="X55" s="77" t="s">
        <v>35</v>
      </c>
      <c r="Y55" s="77" t="s">
        <v>43</v>
      </c>
      <c r="Z55" s="77" t="s">
        <v>82</v>
      </c>
      <c r="AA55" s="77" t="s">
        <v>64</v>
      </c>
      <c r="AB55" s="77" t="s">
        <v>161</v>
      </c>
    </row>
    <row r="56" spans="1:28" x14ac:dyDescent="0.15">
      <c r="A56" s="77" t="s">
        <v>46</v>
      </c>
      <c r="B56" s="77" t="s">
        <v>160</v>
      </c>
      <c r="C56" s="122">
        <v>2020</v>
      </c>
      <c r="D56" s="123" t="s">
        <v>280</v>
      </c>
      <c r="E56" s="77" t="s">
        <v>307</v>
      </c>
      <c r="F56" s="77" t="s">
        <v>294</v>
      </c>
      <c r="G56" s="77" t="s">
        <v>25</v>
      </c>
      <c r="H56" s="77" t="s">
        <v>166</v>
      </c>
      <c r="I56" s="77" t="s">
        <v>111</v>
      </c>
      <c r="J56" s="77" t="s">
        <v>27</v>
      </c>
      <c r="K56" s="77" t="s">
        <v>112</v>
      </c>
      <c r="L56" s="77">
        <v>1</v>
      </c>
      <c r="N56" s="77">
        <v>4</v>
      </c>
      <c r="O56" s="77">
        <v>0.46</v>
      </c>
      <c r="P56" s="77">
        <v>0.51</v>
      </c>
      <c r="Q56" s="44">
        <f t="shared" si="2"/>
        <v>0.48499999999999999</v>
      </c>
      <c r="R56" s="77">
        <v>16.399999999999999</v>
      </c>
      <c r="S56" s="77">
        <v>107</v>
      </c>
      <c r="T56" s="16">
        <f t="shared" si="0"/>
        <v>33</v>
      </c>
      <c r="U56" s="77">
        <v>598</v>
      </c>
      <c r="V56" s="16">
        <f t="shared" si="1"/>
        <v>16</v>
      </c>
      <c r="W56" s="77">
        <v>2</v>
      </c>
      <c r="X56" s="77" t="s">
        <v>35</v>
      </c>
      <c r="Y56" s="77" t="s">
        <v>64</v>
      </c>
      <c r="Z56" s="77" t="s">
        <v>74</v>
      </c>
      <c r="AA56" s="77" t="s">
        <v>70</v>
      </c>
      <c r="AB56" s="77" t="s">
        <v>161</v>
      </c>
    </row>
    <row r="57" spans="1:28" x14ac:dyDescent="0.15">
      <c r="A57" s="77" t="s">
        <v>46</v>
      </c>
      <c r="B57" s="77" t="s">
        <v>160</v>
      </c>
      <c r="C57" s="122">
        <v>2020</v>
      </c>
      <c r="D57" s="123" t="s">
        <v>280</v>
      </c>
      <c r="E57" s="77" t="s">
        <v>307</v>
      </c>
      <c r="F57" s="77" t="s">
        <v>294</v>
      </c>
      <c r="G57" s="77" t="s">
        <v>25</v>
      </c>
      <c r="H57" s="77" t="s">
        <v>166</v>
      </c>
      <c r="I57" s="77" t="s">
        <v>111</v>
      </c>
      <c r="J57" s="77" t="s">
        <v>27</v>
      </c>
      <c r="K57" s="77" t="s">
        <v>112</v>
      </c>
      <c r="L57" s="77">
        <v>2</v>
      </c>
      <c r="N57" s="77">
        <v>4</v>
      </c>
      <c r="O57" s="77">
        <v>0.47</v>
      </c>
      <c r="P57" s="77">
        <v>0.48</v>
      </c>
      <c r="Q57" s="44">
        <f t="shared" si="2"/>
        <v>0.47499999999999998</v>
      </c>
      <c r="R57" s="77">
        <v>16.3</v>
      </c>
      <c r="S57" s="77">
        <v>109</v>
      </c>
      <c r="T57" s="16">
        <f t="shared" si="0"/>
        <v>33</v>
      </c>
      <c r="U57" s="77">
        <v>598</v>
      </c>
      <c r="V57" s="16">
        <f t="shared" si="1"/>
        <v>16</v>
      </c>
      <c r="W57" s="77">
        <v>2</v>
      </c>
      <c r="X57" s="77" t="s">
        <v>35</v>
      </c>
      <c r="Y57" s="77" t="s">
        <v>64</v>
      </c>
      <c r="Z57" s="77" t="s">
        <v>74</v>
      </c>
      <c r="AA57" s="77" t="s">
        <v>70</v>
      </c>
      <c r="AB57" s="77" t="s">
        <v>161</v>
      </c>
    </row>
    <row r="58" spans="1:28" x14ac:dyDescent="0.15">
      <c r="A58" s="77" t="s">
        <v>46</v>
      </c>
      <c r="B58" s="77" t="s">
        <v>160</v>
      </c>
      <c r="C58" s="122">
        <v>2020</v>
      </c>
      <c r="D58" s="123" t="s">
        <v>280</v>
      </c>
      <c r="E58" s="77" t="s">
        <v>307</v>
      </c>
      <c r="F58" s="77" t="s">
        <v>294</v>
      </c>
      <c r="G58" s="77" t="s">
        <v>25</v>
      </c>
      <c r="H58" s="77" t="s">
        <v>166</v>
      </c>
      <c r="I58" s="77" t="s">
        <v>111</v>
      </c>
      <c r="J58" s="77" t="s">
        <v>27</v>
      </c>
      <c r="K58" s="77" t="s">
        <v>112</v>
      </c>
      <c r="L58" s="77">
        <v>3</v>
      </c>
      <c r="N58" s="77">
        <v>4</v>
      </c>
      <c r="O58" s="77">
        <v>0.45</v>
      </c>
      <c r="P58" s="77">
        <v>0.49</v>
      </c>
      <c r="Q58" s="44">
        <f t="shared" si="2"/>
        <v>0.47</v>
      </c>
      <c r="R58" s="77">
        <v>16.600000000000001</v>
      </c>
      <c r="S58" s="77">
        <v>99</v>
      </c>
      <c r="T58" s="16">
        <f>IF(H58="","",IF(OR(H58="GREEN",H58="GK"),IF(S58&gt;=$AX$2,VLOOKUP(S58,$AX$2:$AY$12,2,1),""),IF(S58&gt;=$AZ$2,VLOOKUP(S58,$AZ$2:$BA$12,2,1),"")))</f>
        <v>33</v>
      </c>
      <c r="U58" s="77">
        <v>598</v>
      </c>
      <c r="V58" s="16">
        <f t="shared" si="1"/>
        <v>16</v>
      </c>
      <c r="W58" s="77">
        <v>2</v>
      </c>
      <c r="X58" s="77" t="s">
        <v>35</v>
      </c>
      <c r="Y58" s="77" t="s">
        <v>64</v>
      </c>
      <c r="Z58" s="77" t="s">
        <v>74</v>
      </c>
      <c r="AA58" s="77" t="s">
        <v>70</v>
      </c>
      <c r="AB58" s="77" t="s">
        <v>161</v>
      </c>
    </row>
    <row r="59" spans="1:28" x14ac:dyDescent="0.15">
      <c r="A59" s="77" t="s">
        <v>46</v>
      </c>
      <c r="B59" s="77" t="s">
        <v>160</v>
      </c>
      <c r="C59" s="122">
        <v>2020</v>
      </c>
      <c r="D59" s="123" t="s">
        <v>280</v>
      </c>
      <c r="E59" s="77" t="s">
        <v>307</v>
      </c>
      <c r="F59" s="77" t="s">
        <v>294</v>
      </c>
      <c r="G59" s="77" t="s">
        <v>25</v>
      </c>
      <c r="H59" s="77" t="s">
        <v>166</v>
      </c>
      <c r="I59" s="77" t="s">
        <v>111</v>
      </c>
      <c r="J59" s="77" t="s">
        <v>27</v>
      </c>
      <c r="K59" s="77" t="s">
        <v>112</v>
      </c>
      <c r="L59" s="77">
        <v>1</v>
      </c>
      <c r="N59" s="77">
        <v>1</v>
      </c>
      <c r="O59" s="77">
        <v>0.44</v>
      </c>
      <c r="P59" s="77">
        <v>0.42</v>
      </c>
      <c r="Q59" s="44">
        <f t="shared" si="2"/>
        <v>0.43</v>
      </c>
      <c r="R59" s="77">
        <v>17.7</v>
      </c>
      <c r="S59" s="77">
        <v>136</v>
      </c>
      <c r="T59" s="16">
        <f>IF(H59="","",IF(OR(H59="GREEN",H59="GK"),IF(S59&gt;=$AX$2,VLOOKUP(S59,$AX$2:$AY$12,2,1),""),IF(S59&gt;=$AZ$2,VLOOKUP(S59,$AZ$2:$BA$12,2,1),"")))</f>
        <v>25</v>
      </c>
      <c r="U59" s="77">
        <v>150</v>
      </c>
      <c r="V59" s="16">
        <f t="shared" si="1"/>
        <v>22</v>
      </c>
      <c r="W59" s="77">
        <v>1</v>
      </c>
      <c r="X59" s="77" t="s">
        <v>35</v>
      </c>
      <c r="Y59" s="77" t="s">
        <v>64</v>
      </c>
      <c r="Z59" s="77" t="s">
        <v>74</v>
      </c>
      <c r="AA59" s="77" t="s">
        <v>70</v>
      </c>
      <c r="AB59" s="77" t="s">
        <v>161</v>
      </c>
    </row>
    <row r="60" spans="1:28" x14ac:dyDescent="0.15">
      <c r="A60" s="77" t="s">
        <v>46</v>
      </c>
      <c r="B60" s="77" t="s">
        <v>160</v>
      </c>
      <c r="C60" s="122">
        <v>2020</v>
      </c>
      <c r="D60" s="123" t="s">
        <v>280</v>
      </c>
      <c r="E60" s="77" t="s">
        <v>307</v>
      </c>
      <c r="F60" s="77" t="s">
        <v>294</v>
      </c>
      <c r="G60" s="77" t="s">
        <v>25</v>
      </c>
      <c r="H60" s="77" t="s">
        <v>166</v>
      </c>
      <c r="I60" s="77" t="s">
        <v>111</v>
      </c>
      <c r="J60" s="77" t="s">
        <v>27</v>
      </c>
      <c r="K60" s="77" t="s">
        <v>112</v>
      </c>
      <c r="L60" s="77">
        <v>2</v>
      </c>
      <c r="N60" s="77">
        <v>1</v>
      </c>
      <c r="O60" s="77">
        <v>0.31</v>
      </c>
      <c r="P60" s="77">
        <v>0.28000000000000003</v>
      </c>
      <c r="Q60" s="44">
        <f t="shared" si="2"/>
        <v>0.29500000000000004</v>
      </c>
      <c r="R60" s="77">
        <v>16.3</v>
      </c>
      <c r="S60" s="77">
        <v>134</v>
      </c>
      <c r="T60" s="16">
        <f>IF(H60="","",IF(OR(H60="GREEN",H60="GK"),IF(S60&gt;=$AX$2,VLOOKUP(S60,$AX$2:$AY$12,2,1),""),IF(S60&gt;=$AZ$2,VLOOKUP(S60,$AZ$2:$BA$12,2,1),"")))</f>
        <v>25</v>
      </c>
      <c r="U60" s="77">
        <v>150</v>
      </c>
      <c r="V60" s="16">
        <f t="shared" si="1"/>
        <v>22</v>
      </c>
      <c r="W60" s="77">
        <v>1</v>
      </c>
      <c r="X60" s="77" t="s">
        <v>35</v>
      </c>
      <c r="Y60" s="77" t="s">
        <v>64</v>
      </c>
      <c r="Z60" s="77" t="s">
        <v>74</v>
      </c>
      <c r="AA60" s="77" t="s">
        <v>70</v>
      </c>
      <c r="AB60" s="77" t="s">
        <v>161</v>
      </c>
    </row>
    <row r="61" spans="1:28" x14ac:dyDescent="0.15">
      <c r="A61" s="77" t="s">
        <v>46</v>
      </c>
      <c r="B61" s="77" t="s">
        <v>160</v>
      </c>
      <c r="C61" s="122">
        <v>2020</v>
      </c>
      <c r="D61" s="123" t="s">
        <v>280</v>
      </c>
      <c r="E61" s="77" t="s">
        <v>307</v>
      </c>
      <c r="F61" s="77" t="s">
        <v>294</v>
      </c>
      <c r="G61" s="77" t="s">
        <v>25</v>
      </c>
      <c r="H61" s="77" t="s">
        <v>166</v>
      </c>
      <c r="I61" s="77" t="s">
        <v>111</v>
      </c>
      <c r="J61" s="77" t="s">
        <v>27</v>
      </c>
      <c r="K61" s="77" t="s">
        <v>112</v>
      </c>
      <c r="L61" s="77">
        <v>3</v>
      </c>
      <c r="N61" s="77">
        <v>1</v>
      </c>
      <c r="O61" s="77">
        <v>0.42</v>
      </c>
      <c r="P61" s="77">
        <v>0.45</v>
      </c>
      <c r="Q61" s="44">
        <f t="shared" si="2"/>
        <v>0.435</v>
      </c>
      <c r="R61" s="77">
        <v>17.3</v>
      </c>
      <c r="S61" s="77">
        <v>134</v>
      </c>
      <c r="T61" s="16">
        <f>IF(H61="","",IF(OR(H61="GREEN",H61="GK"),IF(S61&gt;=$AX$2,VLOOKUP(S61,$AX$2:$AY$12,2,1),""),IF(S61&gt;=$AZ$2,VLOOKUP(S61,$AZ$2:$BA$12,2,1),"")))</f>
        <v>25</v>
      </c>
      <c r="U61" s="77">
        <v>150</v>
      </c>
      <c r="V61" s="16">
        <f t="shared" si="1"/>
        <v>22</v>
      </c>
      <c r="W61" s="77">
        <v>1</v>
      </c>
      <c r="X61" s="77" t="s">
        <v>35</v>
      </c>
      <c r="Y61" s="77" t="s">
        <v>64</v>
      </c>
      <c r="Z61" s="77" t="s">
        <v>74</v>
      </c>
      <c r="AA61" s="77" t="s">
        <v>70</v>
      </c>
      <c r="AB61" s="77" t="s">
        <v>161</v>
      </c>
    </row>
    <row r="62" spans="1:28" x14ac:dyDescent="0.15">
      <c r="A62" s="77" t="s">
        <v>46</v>
      </c>
      <c r="B62" s="77" t="s">
        <v>160</v>
      </c>
      <c r="C62" s="122">
        <v>2020</v>
      </c>
      <c r="D62" s="123" t="s">
        <v>280</v>
      </c>
      <c r="E62" s="77" t="s">
        <v>307</v>
      </c>
      <c r="F62" s="77" t="s">
        <v>294</v>
      </c>
      <c r="G62" s="77" t="s">
        <v>25</v>
      </c>
      <c r="H62" s="77" t="s">
        <v>113</v>
      </c>
      <c r="I62" s="77" t="s">
        <v>111</v>
      </c>
      <c r="J62" s="77" t="s">
        <v>27</v>
      </c>
      <c r="K62" s="77" t="s">
        <v>112</v>
      </c>
      <c r="L62" s="77">
        <v>1</v>
      </c>
      <c r="N62" s="77">
        <v>4</v>
      </c>
      <c r="O62" s="77">
        <v>0.22</v>
      </c>
      <c r="P62" s="77">
        <v>0.22</v>
      </c>
      <c r="Q62" s="44">
        <f t="shared" si="2"/>
        <v>0.22</v>
      </c>
      <c r="R62" s="77">
        <v>15.4</v>
      </c>
      <c r="S62" s="77">
        <v>105</v>
      </c>
      <c r="T62" s="16">
        <f>IF(H62="","",IF(OR(H62="GREEN",H62="GK"),IF(S62&gt;=$AX$2,VLOOKUP(S62,$AX$2:$AY$12,2,1),""),IF(S62&gt;=$AZ$2,VLOOKUP(S62,$AZ$2:$BA$12,2,1),"")))</f>
        <v>33</v>
      </c>
      <c r="U62" s="77">
        <v>498</v>
      </c>
      <c r="V62" s="16">
        <f t="shared" si="1"/>
        <v>16</v>
      </c>
      <c r="W62" s="77">
        <v>2</v>
      </c>
      <c r="X62" s="77" t="s">
        <v>35</v>
      </c>
      <c r="Y62" s="77" t="s">
        <v>64</v>
      </c>
      <c r="Z62" s="77" t="s">
        <v>74</v>
      </c>
      <c r="AA62" s="77" t="s">
        <v>70</v>
      </c>
      <c r="AB62" s="77" t="s">
        <v>161</v>
      </c>
    </row>
    <row r="63" spans="1:28" x14ac:dyDescent="0.15">
      <c r="A63" s="77" t="s">
        <v>46</v>
      </c>
      <c r="B63" s="77" t="s">
        <v>160</v>
      </c>
      <c r="C63" s="122">
        <v>2020</v>
      </c>
      <c r="D63" s="123" t="s">
        <v>280</v>
      </c>
      <c r="E63" s="77" t="s">
        <v>307</v>
      </c>
      <c r="F63" s="77" t="s">
        <v>294</v>
      </c>
      <c r="G63" s="77" t="s">
        <v>25</v>
      </c>
      <c r="H63" s="77" t="s">
        <v>113</v>
      </c>
      <c r="I63" s="77" t="s">
        <v>111</v>
      </c>
      <c r="J63" s="77" t="s">
        <v>27</v>
      </c>
      <c r="K63" s="77" t="s">
        <v>112</v>
      </c>
      <c r="L63" s="77">
        <v>2</v>
      </c>
      <c r="N63" s="77">
        <v>4</v>
      </c>
      <c r="O63" s="77">
        <v>0.22</v>
      </c>
      <c r="P63" s="77">
        <v>0.22</v>
      </c>
      <c r="Q63" s="44">
        <f t="shared" si="2"/>
        <v>0.22</v>
      </c>
      <c r="R63" s="77">
        <v>15.2</v>
      </c>
      <c r="S63" s="77">
        <v>100</v>
      </c>
      <c r="T63" s="16">
        <f t="shared" ref="T63:T137" si="3">IF(H63="","",IF(OR(H63="GREEN",H63="GK"),IF(S63&gt;=$AX$2,VLOOKUP(S63,$AX$2:$AY$12,2,1),""),IF(S63&gt;=$AZ$2,VLOOKUP(S63,$AZ$2:$BA$12,2,1),"")))</f>
        <v>33</v>
      </c>
      <c r="U63" s="77">
        <v>498</v>
      </c>
      <c r="V63" s="16">
        <f t="shared" si="1"/>
        <v>16</v>
      </c>
      <c r="W63" s="77">
        <v>2</v>
      </c>
      <c r="X63" s="77" t="s">
        <v>35</v>
      </c>
      <c r="Y63" s="77" t="s">
        <v>64</v>
      </c>
      <c r="Z63" s="77" t="s">
        <v>74</v>
      </c>
      <c r="AA63" s="77" t="s">
        <v>70</v>
      </c>
      <c r="AB63" s="77" t="s">
        <v>161</v>
      </c>
    </row>
    <row r="64" spans="1:28" x14ac:dyDescent="0.15">
      <c r="A64" s="77" t="s">
        <v>46</v>
      </c>
      <c r="B64" s="77" t="s">
        <v>160</v>
      </c>
      <c r="C64" s="122">
        <v>2020</v>
      </c>
      <c r="D64" s="123" t="s">
        <v>280</v>
      </c>
      <c r="E64" s="77" t="s">
        <v>307</v>
      </c>
      <c r="F64" s="77" t="s">
        <v>294</v>
      </c>
      <c r="G64" s="77" t="s">
        <v>25</v>
      </c>
      <c r="H64" s="77" t="s">
        <v>113</v>
      </c>
      <c r="I64" s="77" t="s">
        <v>111</v>
      </c>
      <c r="J64" s="77" t="s">
        <v>27</v>
      </c>
      <c r="K64" s="77" t="s">
        <v>112</v>
      </c>
      <c r="L64" s="77">
        <v>3</v>
      </c>
      <c r="N64" s="77">
        <v>4</v>
      </c>
      <c r="O64" s="77">
        <v>0.28000000000000003</v>
      </c>
      <c r="P64" s="77">
        <v>0.28999999999999998</v>
      </c>
      <c r="Q64" s="44">
        <f t="shared" si="2"/>
        <v>0.28500000000000003</v>
      </c>
      <c r="R64" s="77">
        <v>15</v>
      </c>
      <c r="S64" s="77">
        <v>103</v>
      </c>
      <c r="T64" s="16">
        <f t="shared" si="3"/>
        <v>33</v>
      </c>
      <c r="U64" s="77">
        <v>498</v>
      </c>
      <c r="V64" s="16">
        <f t="shared" si="1"/>
        <v>16</v>
      </c>
      <c r="W64" s="77">
        <v>2</v>
      </c>
      <c r="X64" s="77" t="s">
        <v>35</v>
      </c>
      <c r="Y64" s="77" t="s">
        <v>64</v>
      </c>
      <c r="Z64" s="77" t="s">
        <v>74</v>
      </c>
      <c r="AA64" s="77" t="s">
        <v>70</v>
      </c>
      <c r="AB64" s="77" t="s">
        <v>161</v>
      </c>
    </row>
    <row r="65" spans="1:28" x14ac:dyDescent="0.15">
      <c r="A65" s="77" t="s">
        <v>46</v>
      </c>
      <c r="B65" s="77" t="s">
        <v>160</v>
      </c>
      <c r="C65" s="122">
        <v>2020</v>
      </c>
      <c r="D65" s="123" t="s">
        <v>280</v>
      </c>
      <c r="E65" s="77" t="s">
        <v>307</v>
      </c>
      <c r="F65" s="77" t="s">
        <v>294</v>
      </c>
      <c r="G65" s="77" t="s">
        <v>25</v>
      </c>
      <c r="H65" s="77" t="s">
        <v>113</v>
      </c>
      <c r="I65" s="77" t="s">
        <v>111</v>
      </c>
      <c r="J65" s="77" t="s">
        <v>27</v>
      </c>
      <c r="K65" s="77" t="s">
        <v>112</v>
      </c>
      <c r="L65" s="77">
        <v>1</v>
      </c>
      <c r="N65" s="77">
        <v>1</v>
      </c>
      <c r="O65" s="77">
        <v>0.5</v>
      </c>
      <c r="P65" s="77">
        <v>0.53</v>
      </c>
      <c r="Q65" s="44">
        <f t="shared" si="2"/>
        <v>0.51500000000000001</v>
      </c>
      <c r="R65" s="77">
        <v>15.4</v>
      </c>
      <c r="S65" s="77">
        <v>138</v>
      </c>
      <c r="T65" s="16">
        <f t="shared" si="3"/>
        <v>22</v>
      </c>
      <c r="U65" s="77">
        <v>150</v>
      </c>
      <c r="V65" s="16">
        <f t="shared" si="1"/>
        <v>22</v>
      </c>
      <c r="W65" s="77">
        <v>1</v>
      </c>
      <c r="X65" s="77" t="s">
        <v>35</v>
      </c>
      <c r="Y65" s="77" t="s">
        <v>64</v>
      </c>
      <c r="Z65" s="77" t="s">
        <v>74</v>
      </c>
      <c r="AA65" s="77" t="s">
        <v>70</v>
      </c>
      <c r="AB65" s="77" t="s">
        <v>161</v>
      </c>
    </row>
    <row r="66" spans="1:28" x14ac:dyDescent="0.15">
      <c r="A66" s="77" t="s">
        <v>46</v>
      </c>
      <c r="B66" s="77" t="s">
        <v>160</v>
      </c>
      <c r="C66" s="122">
        <v>2020</v>
      </c>
      <c r="D66" s="123" t="s">
        <v>280</v>
      </c>
      <c r="E66" s="77" t="s">
        <v>307</v>
      </c>
      <c r="F66" s="77" t="s">
        <v>294</v>
      </c>
      <c r="G66" s="77" t="s">
        <v>25</v>
      </c>
      <c r="H66" s="77" t="s">
        <v>113</v>
      </c>
      <c r="I66" s="77" t="s">
        <v>111</v>
      </c>
      <c r="J66" s="77" t="s">
        <v>27</v>
      </c>
      <c r="K66" s="77" t="s">
        <v>112</v>
      </c>
      <c r="L66" s="77">
        <v>2</v>
      </c>
      <c r="N66" s="77">
        <v>1</v>
      </c>
      <c r="O66" s="77">
        <v>0.47</v>
      </c>
      <c r="P66" s="77">
        <v>0.55000000000000004</v>
      </c>
      <c r="Q66" s="44">
        <f t="shared" si="2"/>
        <v>0.51</v>
      </c>
      <c r="R66" s="77">
        <v>15.6</v>
      </c>
      <c r="S66" s="77">
        <v>149</v>
      </c>
      <c r="T66" s="16">
        <f t="shared" si="3"/>
        <v>22</v>
      </c>
      <c r="U66" s="77">
        <v>150</v>
      </c>
      <c r="V66" s="16">
        <f t="shared" ref="V66:V152" si="4">IF(J66="","",IF(OR(J66="GREEN",J66="GK"),IF(U66&gt;=$AX$2,VLOOKUP(U66,$AX$2:$AY$12,2,1),""),IF(U66&gt;=$AZ$2,VLOOKUP(U66,$AZ$2:$BA$12,2,1),"")))</f>
        <v>22</v>
      </c>
      <c r="W66" s="77">
        <v>1</v>
      </c>
      <c r="X66" s="77" t="s">
        <v>35</v>
      </c>
      <c r="Y66" s="77" t="s">
        <v>64</v>
      </c>
      <c r="Z66" s="77" t="s">
        <v>74</v>
      </c>
      <c r="AA66" s="77" t="s">
        <v>70</v>
      </c>
      <c r="AB66" s="77" t="s">
        <v>161</v>
      </c>
    </row>
    <row r="67" spans="1:28" x14ac:dyDescent="0.15">
      <c r="A67" s="77" t="s">
        <v>46</v>
      </c>
      <c r="B67" s="77" t="s">
        <v>160</v>
      </c>
      <c r="C67" s="122">
        <v>2020</v>
      </c>
      <c r="D67" s="123" t="s">
        <v>280</v>
      </c>
      <c r="E67" s="77" t="s">
        <v>307</v>
      </c>
      <c r="F67" s="77" t="s">
        <v>294</v>
      </c>
      <c r="G67" s="77" t="s">
        <v>25</v>
      </c>
      <c r="H67" s="77" t="s">
        <v>113</v>
      </c>
      <c r="I67" s="77" t="s">
        <v>111</v>
      </c>
      <c r="J67" s="77" t="s">
        <v>27</v>
      </c>
      <c r="K67" s="77" t="s">
        <v>112</v>
      </c>
      <c r="L67" s="77">
        <v>3</v>
      </c>
      <c r="N67" s="77">
        <v>1</v>
      </c>
      <c r="O67" s="77">
        <v>0.62</v>
      </c>
      <c r="P67" s="77">
        <v>0.75</v>
      </c>
      <c r="Q67" s="44">
        <f t="shared" ref="Q67:Q150" si="5">IF(OR(O67="",P67=""),"",AVERAGE(O67,P67))</f>
        <v>0.68500000000000005</v>
      </c>
      <c r="R67" s="77">
        <v>13.8</v>
      </c>
      <c r="S67" s="77">
        <v>145</v>
      </c>
      <c r="T67" s="16">
        <f t="shared" si="3"/>
        <v>22</v>
      </c>
      <c r="U67" s="77">
        <v>150</v>
      </c>
      <c r="V67" s="16">
        <f t="shared" si="4"/>
        <v>22</v>
      </c>
      <c r="W67" s="77">
        <v>1</v>
      </c>
      <c r="X67" s="77" t="s">
        <v>35</v>
      </c>
      <c r="Y67" s="77" t="s">
        <v>64</v>
      </c>
      <c r="Z67" s="77" t="s">
        <v>74</v>
      </c>
      <c r="AA67" s="77" t="s">
        <v>70</v>
      </c>
      <c r="AB67" s="77" t="s">
        <v>161</v>
      </c>
    </row>
    <row r="68" spans="1:28" x14ac:dyDescent="0.15">
      <c r="A68" s="77" t="s">
        <v>46</v>
      </c>
      <c r="B68" s="77" t="s">
        <v>160</v>
      </c>
      <c r="C68" s="122">
        <v>2020</v>
      </c>
      <c r="D68" s="123" t="s">
        <v>280</v>
      </c>
      <c r="E68" s="77" t="s">
        <v>303</v>
      </c>
      <c r="F68" s="77" t="s">
        <v>304</v>
      </c>
      <c r="G68" s="77" t="s">
        <v>25</v>
      </c>
      <c r="H68" s="77" t="s">
        <v>166</v>
      </c>
      <c r="I68" s="77" t="s">
        <v>111</v>
      </c>
      <c r="J68" s="77" t="s">
        <v>27</v>
      </c>
      <c r="K68" s="77" t="s">
        <v>112</v>
      </c>
      <c r="L68" s="77">
        <v>1</v>
      </c>
      <c r="N68" s="77">
        <v>3</v>
      </c>
      <c r="O68" s="77">
        <v>0.3</v>
      </c>
      <c r="P68" s="77">
        <v>0.27</v>
      </c>
      <c r="Q68" s="44">
        <f t="shared" si="5"/>
        <v>0.28500000000000003</v>
      </c>
      <c r="R68" s="77">
        <v>17.7</v>
      </c>
      <c r="S68" s="77">
        <v>170</v>
      </c>
      <c r="T68" s="16">
        <f t="shared" si="3"/>
        <v>18</v>
      </c>
      <c r="U68" s="77">
        <v>398</v>
      </c>
      <c r="V68" s="16">
        <f t="shared" si="4"/>
        <v>16</v>
      </c>
      <c r="W68" s="77">
        <v>2</v>
      </c>
      <c r="X68" s="77" t="s">
        <v>35</v>
      </c>
      <c r="Y68" s="77" t="s">
        <v>55</v>
      </c>
      <c r="Z68" s="77" t="s">
        <v>64</v>
      </c>
      <c r="AA68" s="77" t="s">
        <v>29</v>
      </c>
      <c r="AB68" s="77" t="s">
        <v>161</v>
      </c>
    </row>
    <row r="69" spans="1:28" x14ac:dyDescent="0.15">
      <c r="A69" s="77" t="s">
        <v>46</v>
      </c>
      <c r="B69" s="77" t="s">
        <v>160</v>
      </c>
      <c r="C69" s="122">
        <v>2020</v>
      </c>
      <c r="D69" s="123" t="s">
        <v>280</v>
      </c>
      <c r="E69" s="77" t="s">
        <v>303</v>
      </c>
      <c r="F69" s="77" t="s">
        <v>304</v>
      </c>
      <c r="G69" s="77" t="s">
        <v>25</v>
      </c>
      <c r="H69" s="77" t="s">
        <v>166</v>
      </c>
      <c r="I69" s="77" t="s">
        <v>111</v>
      </c>
      <c r="J69" s="77" t="s">
        <v>27</v>
      </c>
      <c r="K69" s="77" t="s">
        <v>112</v>
      </c>
      <c r="L69" s="77">
        <v>2</v>
      </c>
      <c r="N69" s="77">
        <v>3</v>
      </c>
      <c r="O69" s="77">
        <v>0.43</v>
      </c>
      <c r="P69" s="77">
        <v>0.45</v>
      </c>
      <c r="Q69" s="44">
        <f t="shared" si="5"/>
        <v>0.44</v>
      </c>
      <c r="R69" s="77">
        <v>16.399999999999999</v>
      </c>
      <c r="S69" s="77">
        <v>152</v>
      </c>
      <c r="T69" s="16">
        <f t="shared" si="3"/>
        <v>18</v>
      </c>
      <c r="U69" s="77">
        <v>398</v>
      </c>
      <c r="V69" s="16">
        <f t="shared" si="4"/>
        <v>16</v>
      </c>
      <c r="W69" s="77">
        <v>2</v>
      </c>
      <c r="X69" s="77" t="s">
        <v>35</v>
      </c>
      <c r="Y69" s="77" t="s">
        <v>55</v>
      </c>
      <c r="Z69" s="77" t="s">
        <v>64</v>
      </c>
      <c r="AA69" s="77" t="s">
        <v>29</v>
      </c>
      <c r="AB69" s="77" t="s">
        <v>161</v>
      </c>
    </row>
    <row r="70" spans="1:28" x14ac:dyDescent="0.15">
      <c r="A70" s="77" t="s">
        <v>46</v>
      </c>
      <c r="B70" s="77" t="s">
        <v>160</v>
      </c>
      <c r="C70" s="122">
        <v>2020</v>
      </c>
      <c r="D70" s="123" t="s">
        <v>280</v>
      </c>
      <c r="E70" s="77" t="s">
        <v>303</v>
      </c>
      <c r="F70" s="77" t="s">
        <v>304</v>
      </c>
      <c r="G70" s="77" t="s">
        <v>25</v>
      </c>
      <c r="H70" s="77" t="s">
        <v>166</v>
      </c>
      <c r="I70" s="77" t="s">
        <v>111</v>
      </c>
      <c r="J70" s="77" t="s">
        <v>27</v>
      </c>
      <c r="K70" s="77" t="s">
        <v>112</v>
      </c>
      <c r="L70" s="77">
        <v>3</v>
      </c>
      <c r="N70" s="77">
        <v>3</v>
      </c>
      <c r="O70" s="77">
        <v>0.44</v>
      </c>
      <c r="P70" s="77">
        <v>0.41</v>
      </c>
      <c r="Q70" s="44">
        <f t="shared" si="5"/>
        <v>0.42499999999999999</v>
      </c>
      <c r="R70" s="77">
        <v>16.3</v>
      </c>
      <c r="S70" s="77">
        <v>148</v>
      </c>
      <c r="T70" s="16">
        <f t="shared" si="3"/>
        <v>22</v>
      </c>
      <c r="U70" s="77">
        <v>398</v>
      </c>
      <c r="V70" s="16">
        <f t="shared" si="4"/>
        <v>16</v>
      </c>
      <c r="W70" s="77">
        <v>2</v>
      </c>
      <c r="X70" s="77" t="s">
        <v>35</v>
      </c>
      <c r="Y70" s="77" t="s">
        <v>55</v>
      </c>
      <c r="Z70" s="77" t="s">
        <v>64</v>
      </c>
      <c r="AA70" s="77" t="s">
        <v>29</v>
      </c>
      <c r="AB70" s="77" t="s">
        <v>161</v>
      </c>
    </row>
    <row r="71" spans="1:28" x14ac:dyDescent="0.15">
      <c r="A71" s="77" t="s">
        <v>46</v>
      </c>
      <c r="B71" s="77" t="s">
        <v>160</v>
      </c>
      <c r="C71" s="122">
        <v>2020</v>
      </c>
      <c r="D71" s="123" t="s">
        <v>280</v>
      </c>
      <c r="E71" s="77" t="s">
        <v>303</v>
      </c>
      <c r="F71" s="77" t="s">
        <v>304</v>
      </c>
      <c r="G71" s="77" t="s">
        <v>25</v>
      </c>
      <c r="H71" s="77" t="s">
        <v>166</v>
      </c>
      <c r="I71" s="77" t="s">
        <v>111</v>
      </c>
      <c r="J71" s="77" t="s">
        <v>27</v>
      </c>
      <c r="K71" s="77" t="s">
        <v>112</v>
      </c>
      <c r="L71" s="77">
        <v>1</v>
      </c>
      <c r="N71" s="77">
        <v>1</v>
      </c>
      <c r="O71" s="77">
        <v>0.35</v>
      </c>
      <c r="P71" s="77">
        <v>0.34</v>
      </c>
      <c r="Q71" s="44">
        <f t="shared" si="5"/>
        <v>0.34499999999999997</v>
      </c>
      <c r="R71" s="77">
        <v>16.100000000000001</v>
      </c>
      <c r="S71" s="77">
        <v>122</v>
      </c>
      <c r="T71" s="16">
        <f t="shared" si="3"/>
        <v>27</v>
      </c>
      <c r="U71" s="77">
        <v>95</v>
      </c>
      <c r="V71" s="16">
        <f t="shared" si="4"/>
        <v>36</v>
      </c>
      <c r="W71" s="77">
        <v>6</v>
      </c>
      <c r="X71" s="77" t="s">
        <v>35</v>
      </c>
      <c r="Y71" s="77" t="s">
        <v>55</v>
      </c>
      <c r="Z71" s="77" t="s">
        <v>64</v>
      </c>
      <c r="AA71" s="77" t="s">
        <v>29</v>
      </c>
      <c r="AB71" s="77" t="s">
        <v>161</v>
      </c>
    </row>
    <row r="72" spans="1:28" x14ac:dyDescent="0.15">
      <c r="A72" s="77" t="s">
        <v>46</v>
      </c>
      <c r="B72" s="77" t="s">
        <v>160</v>
      </c>
      <c r="C72" s="122">
        <v>2020</v>
      </c>
      <c r="D72" s="123" t="s">
        <v>280</v>
      </c>
      <c r="E72" s="77" t="s">
        <v>303</v>
      </c>
      <c r="F72" s="77" t="s">
        <v>304</v>
      </c>
      <c r="G72" s="77" t="s">
        <v>25</v>
      </c>
      <c r="H72" s="77" t="s">
        <v>166</v>
      </c>
      <c r="I72" s="77" t="s">
        <v>111</v>
      </c>
      <c r="J72" s="77" t="s">
        <v>27</v>
      </c>
      <c r="K72" s="77" t="s">
        <v>112</v>
      </c>
      <c r="L72" s="77">
        <v>2</v>
      </c>
      <c r="N72" s="77">
        <v>1</v>
      </c>
      <c r="O72" s="77">
        <v>0.42</v>
      </c>
      <c r="P72" s="77">
        <v>0.47</v>
      </c>
      <c r="Q72" s="44">
        <f t="shared" si="5"/>
        <v>0.44499999999999995</v>
      </c>
      <c r="R72" s="77">
        <v>14</v>
      </c>
      <c r="S72" s="77">
        <v>120</v>
      </c>
      <c r="T72" s="16">
        <f t="shared" si="3"/>
        <v>30</v>
      </c>
      <c r="U72" s="77">
        <v>95</v>
      </c>
      <c r="V72" s="16">
        <f t="shared" si="4"/>
        <v>36</v>
      </c>
      <c r="W72" s="77">
        <v>6</v>
      </c>
      <c r="X72" s="77" t="s">
        <v>35</v>
      </c>
      <c r="Y72" s="77" t="s">
        <v>55</v>
      </c>
      <c r="Z72" s="77" t="s">
        <v>64</v>
      </c>
      <c r="AA72" s="77" t="s">
        <v>29</v>
      </c>
      <c r="AB72" s="77" t="s">
        <v>161</v>
      </c>
    </row>
    <row r="73" spans="1:28" x14ac:dyDescent="0.15">
      <c r="A73" s="77" t="s">
        <v>46</v>
      </c>
      <c r="B73" s="77" t="s">
        <v>160</v>
      </c>
      <c r="C73" s="122">
        <v>2020</v>
      </c>
      <c r="D73" s="123" t="s">
        <v>280</v>
      </c>
      <c r="E73" s="77" t="s">
        <v>303</v>
      </c>
      <c r="F73" s="77" t="s">
        <v>304</v>
      </c>
      <c r="G73" s="77" t="s">
        <v>25</v>
      </c>
      <c r="H73" s="77" t="s">
        <v>166</v>
      </c>
      <c r="I73" s="77" t="s">
        <v>111</v>
      </c>
      <c r="J73" s="77" t="s">
        <v>27</v>
      </c>
      <c r="K73" s="77" t="s">
        <v>112</v>
      </c>
      <c r="L73" s="77">
        <v>3</v>
      </c>
      <c r="N73" s="77">
        <v>1</v>
      </c>
      <c r="O73" s="77">
        <v>0.33</v>
      </c>
      <c r="P73" s="77">
        <v>0.31</v>
      </c>
      <c r="Q73" s="44">
        <f t="shared" si="5"/>
        <v>0.32</v>
      </c>
      <c r="R73" s="77">
        <v>16.399999999999999</v>
      </c>
      <c r="S73" s="77">
        <v>125</v>
      </c>
      <c r="T73" s="16">
        <f t="shared" si="3"/>
        <v>27</v>
      </c>
      <c r="U73" s="77">
        <v>95</v>
      </c>
      <c r="V73" s="16">
        <f t="shared" si="4"/>
        <v>36</v>
      </c>
      <c r="W73" s="77">
        <v>6</v>
      </c>
      <c r="X73" s="77" t="s">
        <v>35</v>
      </c>
      <c r="Y73" s="77" t="s">
        <v>55</v>
      </c>
      <c r="Z73" s="77" t="s">
        <v>64</v>
      </c>
      <c r="AA73" s="77" t="s">
        <v>29</v>
      </c>
      <c r="AB73" s="77" t="s">
        <v>161</v>
      </c>
    </row>
    <row r="74" spans="1:28" x14ac:dyDescent="0.15">
      <c r="A74" s="77" t="s">
        <v>46</v>
      </c>
      <c r="B74" s="77" t="s">
        <v>160</v>
      </c>
      <c r="C74" s="122">
        <v>2020</v>
      </c>
      <c r="D74" s="123" t="s">
        <v>280</v>
      </c>
      <c r="E74" s="77" t="s">
        <v>303</v>
      </c>
      <c r="F74" s="77" t="s">
        <v>304</v>
      </c>
      <c r="G74" s="77" t="s">
        <v>25</v>
      </c>
      <c r="H74" s="77" t="s">
        <v>113</v>
      </c>
      <c r="I74" s="77" t="s">
        <v>111</v>
      </c>
      <c r="J74" s="77" t="s">
        <v>27</v>
      </c>
      <c r="K74" s="77" t="s">
        <v>112</v>
      </c>
      <c r="L74" s="77">
        <v>1</v>
      </c>
      <c r="N74" s="77">
        <v>1</v>
      </c>
      <c r="O74" s="77">
        <v>0.57999999999999996</v>
      </c>
      <c r="P74" s="77">
        <v>0.53</v>
      </c>
      <c r="Q74" s="44">
        <f t="shared" si="5"/>
        <v>0.55499999999999994</v>
      </c>
      <c r="R74" s="77">
        <v>15.6</v>
      </c>
      <c r="S74" s="77">
        <v>118</v>
      </c>
      <c r="T74" s="16">
        <f t="shared" si="3"/>
        <v>30</v>
      </c>
      <c r="U74" s="77">
        <v>95</v>
      </c>
      <c r="V74" s="16">
        <f t="shared" si="4"/>
        <v>36</v>
      </c>
      <c r="W74" s="77">
        <v>4</v>
      </c>
      <c r="X74" s="77" t="s">
        <v>35</v>
      </c>
      <c r="Y74" s="77" t="s">
        <v>55</v>
      </c>
      <c r="Z74" s="77" t="s">
        <v>64</v>
      </c>
      <c r="AA74" s="77" t="s">
        <v>29</v>
      </c>
      <c r="AB74" s="77" t="s">
        <v>161</v>
      </c>
    </row>
    <row r="75" spans="1:28" x14ac:dyDescent="0.15">
      <c r="A75" s="77" t="s">
        <v>46</v>
      </c>
      <c r="B75" s="77" t="s">
        <v>160</v>
      </c>
      <c r="C75" s="122">
        <v>2020</v>
      </c>
      <c r="D75" s="123" t="s">
        <v>280</v>
      </c>
      <c r="E75" s="77" t="s">
        <v>303</v>
      </c>
      <c r="F75" s="77" t="s">
        <v>304</v>
      </c>
      <c r="G75" s="77" t="s">
        <v>25</v>
      </c>
      <c r="H75" s="77" t="s">
        <v>113</v>
      </c>
      <c r="I75" s="77" t="s">
        <v>111</v>
      </c>
      <c r="J75" s="77" t="s">
        <v>27</v>
      </c>
      <c r="K75" s="77" t="s">
        <v>112</v>
      </c>
      <c r="L75" s="77">
        <v>2</v>
      </c>
      <c r="N75" s="77">
        <v>1</v>
      </c>
      <c r="O75" s="77">
        <v>0.54</v>
      </c>
      <c r="P75" s="77">
        <v>0.54</v>
      </c>
      <c r="Q75" s="44">
        <f t="shared" si="5"/>
        <v>0.54</v>
      </c>
      <c r="R75" s="77">
        <v>15.2</v>
      </c>
      <c r="S75" s="77">
        <v>121</v>
      </c>
      <c r="T75" s="16">
        <f t="shared" si="3"/>
        <v>27</v>
      </c>
      <c r="U75" s="77">
        <v>95</v>
      </c>
      <c r="V75" s="16">
        <f t="shared" si="4"/>
        <v>36</v>
      </c>
      <c r="W75" s="77">
        <v>4</v>
      </c>
      <c r="X75" s="77" t="s">
        <v>35</v>
      </c>
      <c r="Y75" s="77" t="s">
        <v>55</v>
      </c>
      <c r="Z75" s="77" t="s">
        <v>64</v>
      </c>
      <c r="AA75" s="77" t="s">
        <v>29</v>
      </c>
      <c r="AB75" s="77" t="s">
        <v>161</v>
      </c>
    </row>
    <row r="76" spans="1:28" x14ac:dyDescent="0.15">
      <c r="A76" s="77" t="s">
        <v>46</v>
      </c>
      <c r="B76" s="77" t="s">
        <v>160</v>
      </c>
      <c r="C76" s="122">
        <v>2020</v>
      </c>
      <c r="D76" s="123" t="s">
        <v>280</v>
      </c>
      <c r="E76" s="77" t="s">
        <v>303</v>
      </c>
      <c r="F76" s="77" t="s">
        <v>304</v>
      </c>
      <c r="G76" s="77" t="s">
        <v>25</v>
      </c>
      <c r="H76" s="77" t="s">
        <v>113</v>
      </c>
      <c r="I76" s="77" t="s">
        <v>111</v>
      </c>
      <c r="J76" s="77" t="s">
        <v>27</v>
      </c>
      <c r="K76" s="77" t="s">
        <v>112</v>
      </c>
      <c r="L76" s="77">
        <v>3</v>
      </c>
      <c r="N76" s="77">
        <v>1</v>
      </c>
      <c r="O76" s="77">
        <v>0.49</v>
      </c>
      <c r="P76" s="77">
        <v>0.51</v>
      </c>
      <c r="Q76" s="44">
        <f t="shared" si="5"/>
        <v>0.5</v>
      </c>
      <c r="R76" s="77">
        <v>15</v>
      </c>
      <c r="S76" s="77">
        <v>121</v>
      </c>
      <c r="T76" s="16">
        <f t="shared" si="3"/>
        <v>27</v>
      </c>
      <c r="U76" s="77">
        <v>95</v>
      </c>
      <c r="V76" s="16">
        <f t="shared" si="4"/>
        <v>36</v>
      </c>
      <c r="W76" s="77">
        <v>4</v>
      </c>
      <c r="X76" s="77" t="s">
        <v>35</v>
      </c>
      <c r="Y76" s="77" t="s">
        <v>55</v>
      </c>
      <c r="Z76" s="77" t="s">
        <v>64</v>
      </c>
      <c r="AA76" s="77" t="s">
        <v>29</v>
      </c>
      <c r="AB76" s="77" t="s">
        <v>161</v>
      </c>
    </row>
    <row r="77" spans="1:28" x14ac:dyDescent="0.15">
      <c r="A77" s="77" t="s">
        <v>46</v>
      </c>
      <c r="B77" s="77" t="s">
        <v>160</v>
      </c>
      <c r="C77" s="122">
        <v>2020</v>
      </c>
      <c r="D77" s="123" t="s">
        <v>280</v>
      </c>
      <c r="E77" s="77" t="s">
        <v>300</v>
      </c>
      <c r="F77" s="77" t="s">
        <v>301</v>
      </c>
      <c r="G77" s="77" t="s">
        <v>25</v>
      </c>
      <c r="H77" s="77" t="s">
        <v>166</v>
      </c>
      <c r="I77" s="77" t="s">
        <v>111</v>
      </c>
      <c r="J77" s="77" t="s">
        <v>27</v>
      </c>
      <c r="K77" s="77" t="s">
        <v>112</v>
      </c>
      <c r="L77" s="77">
        <v>1</v>
      </c>
      <c r="N77" s="77">
        <v>4</v>
      </c>
      <c r="O77" s="77">
        <v>0.52</v>
      </c>
      <c r="P77" s="77">
        <v>0.44</v>
      </c>
      <c r="Q77" s="44">
        <f t="shared" si="5"/>
        <v>0.48</v>
      </c>
      <c r="R77" s="77">
        <v>16.3</v>
      </c>
      <c r="S77" s="77">
        <v>112</v>
      </c>
      <c r="T77" s="16">
        <f t="shared" si="3"/>
        <v>33</v>
      </c>
      <c r="U77" s="77">
        <v>380</v>
      </c>
      <c r="V77" s="16">
        <f t="shared" si="4"/>
        <v>16</v>
      </c>
      <c r="W77" s="77">
        <v>2</v>
      </c>
      <c r="X77" s="77" t="s">
        <v>35</v>
      </c>
      <c r="Y77" s="77" t="s">
        <v>55</v>
      </c>
      <c r="Z77" s="77" t="s">
        <v>82</v>
      </c>
      <c r="AA77" s="77" t="s">
        <v>43</v>
      </c>
      <c r="AB77" s="77" t="s">
        <v>161</v>
      </c>
    </row>
    <row r="78" spans="1:28" x14ac:dyDescent="0.15">
      <c r="A78" s="77" t="s">
        <v>46</v>
      </c>
      <c r="B78" s="77" t="s">
        <v>160</v>
      </c>
      <c r="C78" s="122">
        <v>2020</v>
      </c>
      <c r="D78" s="123" t="s">
        <v>280</v>
      </c>
      <c r="E78" s="77" t="s">
        <v>300</v>
      </c>
      <c r="F78" s="77" t="s">
        <v>301</v>
      </c>
      <c r="G78" s="77" t="s">
        <v>25</v>
      </c>
      <c r="H78" s="77" t="s">
        <v>166</v>
      </c>
      <c r="I78" s="77" t="s">
        <v>111</v>
      </c>
      <c r="J78" s="77" t="s">
        <v>27</v>
      </c>
      <c r="K78" s="77" t="s">
        <v>112</v>
      </c>
      <c r="L78" s="77">
        <v>2</v>
      </c>
      <c r="N78" s="77">
        <v>4</v>
      </c>
      <c r="O78" s="77">
        <v>0.33</v>
      </c>
      <c r="P78" s="77">
        <v>0.35</v>
      </c>
      <c r="Q78" s="44">
        <f t="shared" si="5"/>
        <v>0.33999999999999997</v>
      </c>
      <c r="R78" s="77">
        <v>15.9</v>
      </c>
      <c r="S78" s="77">
        <v>116</v>
      </c>
      <c r="T78" s="16">
        <f t="shared" si="3"/>
        <v>30</v>
      </c>
      <c r="U78" s="77">
        <v>380</v>
      </c>
      <c r="V78" s="16">
        <f t="shared" si="4"/>
        <v>16</v>
      </c>
      <c r="W78" s="77">
        <v>2</v>
      </c>
      <c r="X78" s="77" t="s">
        <v>35</v>
      </c>
      <c r="Y78" s="77" t="s">
        <v>55</v>
      </c>
      <c r="Z78" s="77" t="s">
        <v>82</v>
      </c>
      <c r="AA78" s="77" t="s">
        <v>43</v>
      </c>
      <c r="AB78" s="77" t="s">
        <v>161</v>
      </c>
    </row>
    <row r="79" spans="1:28" x14ac:dyDescent="0.15">
      <c r="A79" s="77" t="s">
        <v>46</v>
      </c>
      <c r="B79" s="77" t="s">
        <v>160</v>
      </c>
      <c r="C79" s="122">
        <v>2020</v>
      </c>
      <c r="D79" s="123" t="s">
        <v>280</v>
      </c>
      <c r="E79" s="77" t="s">
        <v>300</v>
      </c>
      <c r="F79" s="77" t="s">
        <v>301</v>
      </c>
      <c r="G79" s="77" t="s">
        <v>25</v>
      </c>
      <c r="H79" s="77" t="s">
        <v>166</v>
      </c>
      <c r="I79" s="77" t="s">
        <v>111</v>
      </c>
      <c r="J79" s="77" t="s">
        <v>27</v>
      </c>
      <c r="K79" s="77" t="s">
        <v>112</v>
      </c>
      <c r="L79" s="77">
        <v>3</v>
      </c>
      <c r="N79" s="77">
        <v>4</v>
      </c>
      <c r="O79" s="77">
        <v>0.57999999999999996</v>
      </c>
      <c r="P79" s="77">
        <v>0.54</v>
      </c>
      <c r="Q79" s="44">
        <f t="shared" si="5"/>
        <v>0.56000000000000005</v>
      </c>
      <c r="R79" s="77">
        <v>15.8</v>
      </c>
      <c r="S79" s="77">
        <v>109</v>
      </c>
      <c r="T79" s="16">
        <f t="shared" si="3"/>
        <v>33</v>
      </c>
      <c r="U79" s="77">
        <v>380</v>
      </c>
      <c r="V79" s="16">
        <f t="shared" si="4"/>
        <v>16</v>
      </c>
      <c r="W79" s="77">
        <v>2</v>
      </c>
      <c r="X79" s="77" t="s">
        <v>35</v>
      </c>
      <c r="Y79" s="77" t="s">
        <v>55</v>
      </c>
      <c r="Z79" s="77" t="s">
        <v>82</v>
      </c>
      <c r="AA79" s="77" t="s">
        <v>43</v>
      </c>
      <c r="AB79" s="77" t="s">
        <v>161</v>
      </c>
    </row>
    <row r="80" spans="1:28" x14ac:dyDescent="0.15">
      <c r="A80" s="77" t="s">
        <v>46</v>
      </c>
      <c r="B80" s="77" t="s">
        <v>160</v>
      </c>
      <c r="C80" s="122">
        <v>2020</v>
      </c>
      <c r="D80" s="123" t="s">
        <v>280</v>
      </c>
      <c r="E80" s="77" t="s">
        <v>300</v>
      </c>
      <c r="F80" s="77" t="s">
        <v>301</v>
      </c>
      <c r="G80" s="77" t="s">
        <v>25</v>
      </c>
      <c r="H80" s="77" t="s">
        <v>166</v>
      </c>
      <c r="I80" s="77" t="s">
        <v>111</v>
      </c>
      <c r="J80" s="77" t="s">
        <v>27</v>
      </c>
      <c r="K80" s="77" t="s">
        <v>112</v>
      </c>
      <c r="L80" s="77">
        <v>1</v>
      </c>
      <c r="N80" s="77">
        <v>3</v>
      </c>
      <c r="O80" s="77">
        <v>0.3</v>
      </c>
      <c r="P80" s="77">
        <v>0.25</v>
      </c>
      <c r="Q80" s="44">
        <f t="shared" si="5"/>
        <v>0.27500000000000002</v>
      </c>
      <c r="R80" s="77">
        <v>18</v>
      </c>
      <c r="S80" s="77">
        <v>134</v>
      </c>
      <c r="T80" s="16">
        <f t="shared" si="3"/>
        <v>25</v>
      </c>
      <c r="U80" s="77">
        <v>399</v>
      </c>
      <c r="V80" s="16">
        <f t="shared" si="4"/>
        <v>16</v>
      </c>
      <c r="W80" s="77">
        <v>5</v>
      </c>
      <c r="X80" s="77" t="s">
        <v>35</v>
      </c>
      <c r="Y80" s="77" t="s">
        <v>55</v>
      </c>
      <c r="Z80" s="77" t="s">
        <v>82</v>
      </c>
      <c r="AA80" s="77" t="s">
        <v>43</v>
      </c>
      <c r="AB80" s="77" t="s">
        <v>161</v>
      </c>
    </row>
    <row r="81" spans="1:28" x14ac:dyDescent="0.15">
      <c r="A81" s="77" t="s">
        <v>46</v>
      </c>
      <c r="B81" s="77" t="s">
        <v>160</v>
      </c>
      <c r="C81" s="122">
        <v>2020</v>
      </c>
      <c r="D81" s="123" t="s">
        <v>280</v>
      </c>
      <c r="E81" s="77" t="s">
        <v>300</v>
      </c>
      <c r="F81" s="77" t="s">
        <v>301</v>
      </c>
      <c r="G81" s="77" t="s">
        <v>25</v>
      </c>
      <c r="H81" s="77" t="s">
        <v>166</v>
      </c>
      <c r="I81" s="77" t="s">
        <v>111</v>
      </c>
      <c r="J81" s="77" t="s">
        <v>27</v>
      </c>
      <c r="K81" s="77" t="s">
        <v>112</v>
      </c>
      <c r="L81" s="77">
        <v>2</v>
      </c>
      <c r="N81" s="77">
        <v>3</v>
      </c>
      <c r="O81" s="77">
        <v>0.43</v>
      </c>
      <c r="P81" s="77">
        <v>0.44</v>
      </c>
      <c r="Q81" s="44">
        <f t="shared" si="5"/>
        <v>0.435</v>
      </c>
      <c r="R81" s="77">
        <v>13</v>
      </c>
      <c r="S81" s="77">
        <v>129</v>
      </c>
      <c r="T81" s="16">
        <f t="shared" si="3"/>
        <v>25</v>
      </c>
      <c r="U81" s="77">
        <v>399</v>
      </c>
      <c r="V81" s="16">
        <f t="shared" si="4"/>
        <v>16</v>
      </c>
      <c r="W81" s="77">
        <v>5</v>
      </c>
      <c r="X81" s="77" t="s">
        <v>35</v>
      </c>
      <c r="Y81" s="77" t="s">
        <v>55</v>
      </c>
      <c r="Z81" s="77" t="s">
        <v>82</v>
      </c>
      <c r="AA81" s="77" t="s">
        <v>43</v>
      </c>
      <c r="AB81" s="77" t="s">
        <v>161</v>
      </c>
    </row>
    <row r="82" spans="1:28" x14ac:dyDescent="0.15">
      <c r="A82" s="77" t="s">
        <v>46</v>
      </c>
      <c r="B82" s="77" t="s">
        <v>160</v>
      </c>
      <c r="C82" s="122">
        <v>2020</v>
      </c>
      <c r="D82" s="123" t="s">
        <v>280</v>
      </c>
      <c r="E82" s="77" t="s">
        <v>300</v>
      </c>
      <c r="F82" s="77" t="s">
        <v>301</v>
      </c>
      <c r="G82" s="77" t="s">
        <v>25</v>
      </c>
      <c r="H82" s="77" t="s">
        <v>166</v>
      </c>
      <c r="I82" s="77" t="s">
        <v>111</v>
      </c>
      <c r="J82" s="77" t="s">
        <v>27</v>
      </c>
      <c r="K82" s="77" t="s">
        <v>112</v>
      </c>
      <c r="L82" s="77">
        <v>3</v>
      </c>
      <c r="N82" s="77">
        <v>3</v>
      </c>
      <c r="O82" s="77">
        <v>0.42</v>
      </c>
      <c r="P82" s="77">
        <v>0.39</v>
      </c>
      <c r="Q82" s="44">
        <f t="shared" si="5"/>
        <v>0.40500000000000003</v>
      </c>
      <c r="R82" s="77">
        <v>14.4</v>
      </c>
      <c r="S82" s="77">
        <v>131</v>
      </c>
      <c r="T82" s="16">
        <f t="shared" si="3"/>
        <v>25</v>
      </c>
      <c r="U82" s="77">
        <v>399</v>
      </c>
      <c r="V82" s="16">
        <f t="shared" si="4"/>
        <v>16</v>
      </c>
      <c r="W82" s="77">
        <v>5</v>
      </c>
      <c r="X82" s="77" t="s">
        <v>35</v>
      </c>
      <c r="Y82" s="77" t="s">
        <v>55</v>
      </c>
      <c r="Z82" s="77" t="s">
        <v>82</v>
      </c>
      <c r="AA82" s="77" t="s">
        <v>43</v>
      </c>
      <c r="AB82" s="77" t="s">
        <v>161</v>
      </c>
    </row>
    <row r="83" spans="1:28" x14ac:dyDescent="0.15">
      <c r="A83" s="77" t="s">
        <v>46</v>
      </c>
      <c r="B83" s="77" t="s">
        <v>160</v>
      </c>
      <c r="C83" s="122">
        <v>2020</v>
      </c>
      <c r="D83" s="123" t="s">
        <v>280</v>
      </c>
      <c r="E83" s="77" t="s">
        <v>300</v>
      </c>
      <c r="F83" s="77" t="s">
        <v>301</v>
      </c>
      <c r="G83" s="77" t="s">
        <v>25</v>
      </c>
      <c r="H83" s="77" t="s">
        <v>166</v>
      </c>
      <c r="I83" s="77" t="s">
        <v>111</v>
      </c>
      <c r="J83" s="77" t="s">
        <v>27</v>
      </c>
      <c r="K83" s="77" t="s">
        <v>112</v>
      </c>
      <c r="L83" s="77">
        <v>1</v>
      </c>
      <c r="N83" s="77">
        <v>1</v>
      </c>
      <c r="O83" s="77">
        <v>0.32</v>
      </c>
      <c r="P83" s="77">
        <v>0.38</v>
      </c>
      <c r="Q83" s="44">
        <f t="shared" si="5"/>
        <v>0.35</v>
      </c>
      <c r="R83" s="77">
        <v>16</v>
      </c>
      <c r="S83" s="77">
        <v>134</v>
      </c>
      <c r="T83" s="16">
        <f t="shared" ref="T83:T96" si="6">IF(H83="","",IF(OR(H83="GREEN",H83="GK"),IF(S89&gt;=$AX$2,VLOOKUP(S89,$AX$2:$AY$12,2,1),""),IF(S89&gt;=$AZ$2,VLOOKUP(S89,$AZ$2:$BA$12,2,1),"")))</f>
        <v>27</v>
      </c>
      <c r="U83" s="77">
        <v>129</v>
      </c>
      <c r="V83" s="16">
        <f t="shared" si="4"/>
        <v>25</v>
      </c>
      <c r="W83" s="77">
        <v>2</v>
      </c>
      <c r="X83" s="77" t="s">
        <v>35</v>
      </c>
      <c r="Y83" s="77" t="s">
        <v>55</v>
      </c>
      <c r="Z83" s="77" t="s">
        <v>82</v>
      </c>
      <c r="AA83" s="77" t="s">
        <v>43</v>
      </c>
      <c r="AB83" s="77" t="s">
        <v>161</v>
      </c>
    </row>
    <row r="84" spans="1:28" x14ac:dyDescent="0.15">
      <c r="A84" s="77" t="s">
        <v>46</v>
      </c>
      <c r="B84" s="77" t="s">
        <v>160</v>
      </c>
      <c r="C84" s="122">
        <v>2020</v>
      </c>
      <c r="D84" s="123" t="s">
        <v>280</v>
      </c>
      <c r="E84" s="77" t="s">
        <v>300</v>
      </c>
      <c r="F84" s="77" t="s">
        <v>301</v>
      </c>
      <c r="G84" s="77" t="s">
        <v>25</v>
      </c>
      <c r="H84" s="77" t="s">
        <v>166</v>
      </c>
      <c r="I84" s="77" t="s">
        <v>111</v>
      </c>
      <c r="J84" s="77" t="s">
        <v>27</v>
      </c>
      <c r="K84" s="77" t="s">
        <v>112</v>
      </c>
      <c r="L84" s="77">
        <v>2</v>
      </c>
      <c r="N84" s="77">
        <v>1</v>
      </c>
      <c r="O84" s="77">
        <v>0.3</v>
      </c>
      <c r="P84" s="77">
        <v>0.32</v>
      </c>
      <c r="Q84" s="44">
        <f t="shared" si="5"/>
        <v>0.31</v>
      </c>
      <c r="R84" s="77">
        <v>15.8</v>
      </c>
      <c r="S84" s="77">
        <v>136</v>
      </c>
      <c r="T84" s="16">
        <f t="shared" si="6"/>
        <v>25</v>
      </c>
      <c r="U84" s="77">
        <v>129</v>
      </c>
      <c r="V84" s="16">
        <f t="shared" si="4"/>
        <v>25</v>
      </c>
      <c r="W84" s="77">
        <v>2</v>
      </c>
      <c r="X84" s="77" t="s">
        <v>35</v>
      </c>
      <c r="Y84" s="77" t="s">
        <v>55</v>
      </c>
      <c r="Z84" s="77" t="s">
        <v>82</v>
      </c>
      <c r="AA84" s="77" t="s">
        <v>43</v>
      </c>
      <c r="AB84" s="77" t="s">
        <v>161</v>
      </c>
    </row>
    <row r="85" spans="1:28" x14ac:dyDescent="0.15">
      <c r="A85" s="77" t="s">
        <v>46</v>
      </c>
      <c r="B85" s="77" t="s">
        <v>160</v>
      </c>
      <c r="C85" s="122">
        <v>2020</v>
      </c>
      <c r="D85" s="123" t="s">
        <v>280</v>
      </c>
      <c r="E85" s="77" t="s">
        <v>300</v>
      </c>
      <c r="F85" s="77" t="s">
        <v>301</v>
      </c>
      <c r="G85" s="77" t="s">
        <v>25</v>
      </c>
      <c r="H85" s="77" t="s">
        <v>166</v>
      </c>
      <c r="I85" s="77" t="s">
        <v>111</v>
      </c>
      <c r="J85" s="77" t="s">
        <v>27</v>
      </c>
      <c r="K85" s="77" t="s">
        <v>112</v>
      </c>
      <c r="L85" s="77">
        <v>3</v>
      </c>
      <c r="N85" s="77">
        <v>1</v>
      </c>
      <c r="O85" s="77">
        <v>0.33</v>
      </c>
      <c r="P85" s="77">
        <v>0.37</v>
      </c>
      <c r="Q85" s="44">
        <f t="shared" si="5"/>
        <v>0.35</v>
      </c>
      <c r="R85" s="77">
        <v>16.399999999999999</v>
      </c>
      <c r="S85" s="77">
        <v>135</v>
      </c>
      <c r="T85" s="16">
        <f t="shared" si="6"/>
        <v>27</v>
      </c>
      <c r="U85" s="77">
        <v>129</v>
      </c>
      <c r="V85" s="16">
        <f t="shared" si="4"/>
        <v>25</v>
      </c>
      <c r="W85" s="77">
        <v>2</v>
      </c>
      <c r="X85" s="77" t="s">
        <v>35</v>
      </c>
      <c r="Y85" s="77" t="s">
        <v>55</v>
      </c>
      <c r="Z85" s="77" t="s">
        <v>82</v>
      </c>
      <c r="AA85" s="77" t="s">
        <v>43</v>
      </c>
      <c r="AB85" s="77" t="s">
        <v>161</v>
      </c>
    </row>
    <row r="86" spans="1:28" x14ac:dyDescent="0.15">
      <c r="A86" s="77" t="s">
        <v>46</v>
      </c>
      <c r="B86" s="77" t="s">
        <v>160</v>
      </c>
      <c r="C86" s="122">
        <v>2020</v>
      </c>
      <c r="D86" s="123" t="s">
        <v>280</v>
      </c>
      <c r="E86" s="77" t="s">
        <v>300</v>
      </c>
      <c r="F86" s="77" t="s">
        <v>301</v>
      </c>
      <c r="G86" s="77" t="s">
        <v>25</v>
      </c>
      <c r="H86" s="77" t="s">
        <v>113</v>
      </c>
      <c r="I86" s="77" t="s">
        <v>111</v>
      </c>
      <c r="J86" s="77" t="s">
        <v>27</v>
      </c>
      <c r="K86" s="77" t="s">
        <v>112</v>
      </c>
      <c r="L86" s="77">
        <v>1</v>
      </c>
      <c r="N86" s="77">
        <v>6</v>
      </c>
      <c r="O86" s="77">
        <v>0.32</v>
      </c>
      <c r="P86" s="77">
        <v>0.37</v>
      </c>
      <c r="Q86" s="44">
        <f t="shared" si="5"/>
        <v>0.34499999999999997</v>
      </c>
      <c r="R86" s="77">
        <v>15</v>
      </c>
      <c r="S86" s="77">
        <v>86</v>
      </c>
      <c r="T86" s="16">
        <f t="shared" si="6"/>
        <v>30</v>
      </c>
      <c r="U86" s="77">
        <v>399</v>
      </c>
      <c r="V86" s="16">
        <f t="shared" si="4"/>
        <v>16</v>
      </c>
      <c r="W86" s="77">
        <v>4</v>
      </c>
      <c r="X86" s="77" t="s">
        <v>35</v>
      </c>
      <c r="Y86" s="77" t="s">
        <v>55</v>
      </c>
      <c r="Z86" s="77" t="s">
        <v>82</v>
      </c>
      <c r="AA86" s="77" t="s">
        <v>43</v>
      </c>
      <c r="AB86" s="77" t="s">
        <v>161</v>
      </c>
    </row>
    <row r="87" spans="1:28" x14ac:dyDescent="0.15">
      <c r="A87" s="77" t="s">
        <v>46</v>
      </c>
      <c r="B87" s="77" t="s">
        <v>160</v>
      </c>
      <c r="C87" s="122">
        <v>2020</v>
      </c>
      <c r="D87" s="123" t="s">
        <v>280</v>
      </c>
      <c r="E87" s="77" t="s">
        <v>300</v>
      </c>
      <c r="F87" s="77" t="s">
        <v>301</v>
      </c>
      <c r="G87" s="77" t="s">
        <v>25</v>
      </c>
      <c r="H87" s="77" t="s">
        <v>113</v>
      </c>
      <c r="I87" s="77" t="s">
        <v>111</v>
      </c>
      <c r="J87" s="77" t="s">
        <v>27</v>
      </c>
      <c r="K87" s="77" t="s">
        <v>112</v>
      </c>
      <c r="L87" s="77">
        <v>2</v>
      </c>
      <c r="N87" s="77">
        <v>6</v>
      </c>
      <c r="O87" s="77">
        <v>0.3</v>
      </c>
      <c r="P87" s="77">
        <v>0.27</v>
      </c>
      <c r="Q87" s="44">
        <f t="shared" si="5"/>
        <v>0.28500000000000003</v>
      </c>
      <c r="R87" s="77">
        <v>15.4</v>
      </c>
      <c r="S87" s="77">
        <v>90</v>
      </c>
      <c r="T87" s="16">
        <f t="shared" si="6"/>
        <v>30</v>
      </c>
      <c r="U87" s="77">
        <v>399</v>
      </c>
      <c r="V87" s="16">
        <f t="shared" si="4"/>
        <v>16</v>
      </c>
      <c r="W87" s="77">
        <v>4</v>
      </c>
      <c r="X87" s="77" t="s">
        <v>35</v>
      </c>
      <c r="Y87" s="77" t="s">
        <v>55</v>
      </c>
      <c r="Z87" s="77" t="s">
        <v>82</v>
      </c>
      <c r="AA87" s="77" t="s">
        <v>43</v>
      </c>
      <c r="AB87" s="77" t="s">
        <v>161</v>
      </c>
    </row>
    <row r="88" spans="1:28" x14ac:dyDescent="0.15">
      <c r="A88" s="77" t="s">
        <v>46</v>
      </c>
      <c r="B88" s="77" t="s">
        <v>160</v>
      </c>
      <c r="C88" s="122">
        <v>2020</v>
      </c>
      <c r="D88" s="123" t="s">
        <v>280</v>
      </c>
      <c r="E88" s="77" t="s">
        <v>300</v>
      </c>
      <c r="F88" s="77" t="s">
        <v>301</v>
      </c>
      <c r="G88" s="77" t="s">
        <v>25</v>
      </c>
      <c r="H88" s="77" t="s">
        <v>113</v>
      </c>
      <c r="I88" s="77" t="s">
        <v>111</v>
      </c>
      <c r="J88" s="77" t="s">
        <v>27</v>
      </c>
      <c r="K88" s="77" t="s">
        <v>112</v>
      </c>
      <c r="L88" s="77">
        <v>3</v>
      </c>
      <c r="N88" s="77">
        <v>6</v>
      </c>
      <c r="O88" s="77">
        <v>0.3</v>
      </c>
      <c r="P88" s="77">
        <v>0.31</v>
      </c>
      <c r="Q88" s="44">
        <f t="shared" si="5"/>
        <v>0.30499999999999999</v>
      </c>
      <c r="R88" s="77">
        <v>16</v>
      </c>
      <c r="S88" s="77">
        <v>90</v>
      </c>
      <c r="T88" s="16">
        <f t="shared" si="6"/>
        <v>22</v>
      </c>
      <c r="U88" s="77">
        <v>399</v>
      </c>
      <c r="V88" s="16">
        <f t="shared" si="4"/>
        <v>16</v>
      </c>
      <c r="W88" s="77">
        <v>4</v>
      </c>
      <c r="X88" s="77" t="s">
        <v>35</v>
      </c>
      <c r="Y88" s="77" t="s">
        <v>55</v>
      </c>
      <c r="Z88" s="77" t="s">
        <v>82</v>
      </c>
      <c r="AA88" s="77" t="s">
        <v>43</v>
      </c>
      <c r="AB88" s="77" t="s">
        <v>161</v>
      </c>
    </row>
    <row r="89" spans="1:28" x14ac:dyDescent="0.15">
      <c r="A89" s="77" t="s">
        <v>46</v>
      </c>
      <c r="B89" s="77" t="s">
        <v>160</v>
      </c>
      <c r="C89" s="122">
        <v>2020</v>
      </c>
      <c r="D89" s="123" t="s">
        <v>280</v>
      </c>
      <c r="E89" s="77" t="s">
        <v>300</v>
      </c>
      <c r="F89" s="77" t="s">
        <v>301</v>
      </c>
      <c r="G89" s="77" t="s">
        <v>25</v>
      </c>
      <c r="H89" s="77" t="s">
        <v>113</v>
      </c>
      <c r="I89" s="77" t="s">
        <v>111</v>
      </c>
      <c r="J89" s="77" t="s">
        <v>27</v>
      </c>
      <c r="K89" s="77" t="s">
        <v>112</v>
      </c>
      <c r="L89" s="77">
        <v>1</v>
      </c>
      <c r="N89" s="77">
        <v>3</v>
      </c>
      <c r="O89" s="77">
        <v>0.42</v>
      </c>
      <c r="P89" s="77">
        <v>0.4</v>
      </c>
      <c r="Q89" s="44">
        <f t="shared" si="5"/>
        <v>0.41000000000000003</v>
      </c>
      <c r="R89" s="77">
        <v>11.9</v>
      </c>
      <c r="S89" s="77">
        <v>125</v>
      </c>
      <c r="T89" s="16">
        <f t="shared" si="6"/>
        <v>27</v>
      </c>
      <c r="U89" s="77">
        <v>299</v>
      </c>
      <c r="V89" s="16">
        <f t="shared" si="4"/>
        <v>16</v>
      </c>
      <c r="W89" s="77">
        <v>3</v>
      </c>
      <c r="X89" s="77" t="s">
        <v>35</v>
      </c>
      <c r="Y89" s="77" t="s">
        <v>55</v>
      </c>
      <c r="Z89" s="77" t="s">
        <v>82</v>
      </c>
      <c r="AA89" s="77" t="s">
        <v>43</v>
      </c>
      <c r="AB89" s="77" t="s">
        <v>161</v>
      </c>
    </row>
    <row r="90" spans="1:28" x14ac:dyDescent="0.15">
      <c r="A90" s="77" t="s">
        <v>46</v>
      </c>
      <c r="B90" s="77" t="s">
        <v>160</v>
      </c>
      <c r="C90" s="122">
        <v>2020</v>
      </c>
      <c r="D90" s="123" t="s">
        <v>280</v>
      </c>
      <c r="E90" s="77" t="s">
        <v>300</v>
      </c>
      <c r="F90" s="77" t="s">
        <v>301</v>
      </c>
      <c r="G90" s="77" t="s">
        <v>25</v>
      </c>
      <c r="H90" s="77" t="s">
        <v>113</v>
      </c>
      <c r="I90" s="77" t="s">
        <v>111</v>
      </c>
      <c r="J90" s="77" t="s">
        <v>27</v>
      </c>
      <c r="K90" s="77" t="s">
        <v>112</v>
      </c>
      <c r="L90" s="77">
        <v>2</v>
      </c>
      <c r="N90" s="77">
        <v>3</v>
      </c>
      <c r="O90" s="77">
        <v>0.28999999999999998</v>
      </c>
      <c r="P90" s="77">
        <v>0.34</v>
      </c>
      <c r="Q90" s="44">
        <f t="shared" si="5"/>
        <v>0.315</v>
      </c>
      <c r="R90" s="77">
        <v>15</v>
      </c>
      <c r="S90" s="77">
        <v>135</v>
      </c>
      <c r="T90" s="16">
        <f t="shared" si="6"/>
        <v>27</v>
      </c>
      <c r="U90" s="77">
        <v>299</v>
      </c>
      <c r="V90" s="16">
        <f t="shared" si="4"/>
        <v>16</v>
      </c>
      <c r="W90" s="77">
        <v>3</v>
      </c>
      <c r="X90" s="77" t="s">
        <v>35</v>
      </c>
      <c r="Y90" s="77" t="s">
        <v>55</v>
      </c>
      <c r="Z90" s="77" t="s">
        <v>82</v>
      </c>
      <c r="AA90" s="77" t="s">
        <v>43</v>
      </c>
      <c r="AB90" s="77" t="s">
        <v>161</v>
      </c>
    </row>
    <row r="91" spans="1:28" x14ac:dyDescent="0.15">
      <c r="A91" s="77" t="s">
        <v>46</v>
      </c>
      <c r="B91" s="77" t="s">
        <v>160</v>
      </c>
      <c r="C91" s="122">
        <v>2020</v>
      </c>
      <c r="D91" s="123" t="s">
        <v>280</v>
      </c>
      <c r="E91" s="77" t="s">
        <v>300</v>
      </c>
      <c r="F91" s="77" t="s">
        <v>301</v>
      </c>
      <c r="G91" s="77" t="s">
        <v>25</v>
      </c>
      <c r="H91" s="77" t="s">
        <v>113</v>
      </c>
      <c r="I91" s="77" t="s">
        <v>111</v>
      </c>
      <c r="J91" s="77" t="s">
        <v>27</v>
      </c>
      <c r="K91" s="77" t="s">
        <v>112</v>
      </c>
      <c r="L91" s="77">
        <v>3</v>
      </c>
      <c r="N91" s="77">
        <v>3</v>
      </c>
      <c r="O91" s="77">
        <v>0.22</v>
      </c>
      <c r="P91" s="77">
        <v>0.24</v>
      </c>
      <c r="Q91" s="44">
        <f t="shared" si="5"/>
        <v>0.22999999999999998</v>
      </c>
      <c r="R91" s="77">
        <v>14.8</v>
      </c>
      <c r="S91" s="77">
        <v>126</v>
      </c>
      <c r="T91" s="16">
        <f t="shared" si="6"/>
        <v>30</v>
      </c>
      <c r="U91" s="77">
        <v>299</v>
      </c>
      <c r="V91" s="16">
        <f t="shared" si="4"/>
        <v>16</v>
      </c>
      <c r="W91" s="77">
        <v>3</v>
      </c>
      <c r="X91" s="77" t="s">
        <v>35</v>
      </c>
      <c r="Y91" s="77" t="s">
        <v>55</v>
      </c>
      <c r="Z91" s="77" t="s">
        <v>82</v>
      </c>
      <c r="AA91" s="77" t="s">
        <v>43</v>
      </c>
      <c r="AB91" s="77" t="s">
        <v>161</v>
      </c>
    </row>
    <row r="92" spans="1:28" x14ac:dyDescent="0.15">
      <c r="A92" s="77" t="s">
        <v>46</v>
      </c>
      <c r="B92" s="77" t="s">
        <v>160</v>
      </c>
      <c r="C92" s="122">
        <v>2020</v>
      </c>
      <c r="D92" s="123" t="s">
        <v>280</v>
      </c>
      <c r="E92" s="77" t="s">
        <v>300</v>
      </c>
      <c r="F92" s="77" t="s">
        <v>301</v>
      </c>
      <c r="G92" s="77" t="s">
        <v>25</v>
      </c>
      <c r="H92" s="77" t="s">
        <v>113</v>
      </c>
      <c r="I92" s="77" t="s">
        <v>111</v>
      </c>
      <c r="J92" s="77" t="s">
        <v>27</v>
      </c>
      <c r="K92" s="77" t="s">
        <v>112</v>
      </c>
      <c r="L92" s="77">
        <v>1</v>
      </c>
      <c r="N92" s="77">
        <v>1</v>
      </c>
      <c r="O92" s="77">
        <v>0.28999999999999998</v>
      </c>
      <c r="P92" s="77">
        <v>0.26</v>
      </c>
      <c r="Q92" s="44">
        <f t="shared" si="5"/>
        <v>0.27500000000000002</v>
      </c>
      <c r="R92" s="77">
        <v>15.7</v>
      </c>
      <c r="S92" s="77">
        <v>113</v>
      </c>
      <c r="T92" s="16">
        <f t="shared" si="6"/>
        <v>27</v>
      </c>
      <c r="U92" s="77">
        <v>129</v>
      </c>
      <c r="V92" s="16">
        <f t="shared" si="4"/>
        <v>25</v>
      </c>
      <c r="W92" s="77">
        <v>4</v>
      </c>
      <c r="X92" s="77" t="s">
        <v>35</v>
      </c>
      <c r="Y92" s="77" t="s">
        <v>55</v>
      </c>
      <c r="Z92" s="77" t="s">
        <v>82</v>
      </c>
      <c r="AA92" s="77" t="s">
        <v>43</v>
      </c>
      <c r="AB92" s="77" t="s">
        <v>161</v>
      </c>
    </row>
    <row r="93" spans="1:28" x14ac:dyDescent="0.15">
      <c r="A93" s="77" t="s">
        <v>46</v>
      </c>
      <c r="B93" s="77" t="s">
        <v>160</v>
      </c>
      <c r="C93" s="122">
        <v>2020</v>
      </c>
      <c r="D93" s="123" t="s">
        <v>280</v>
      </c>
      <c r="E93" s="77" t="s">
        <v>300</v>
      </c>
      <c r="F93" s="77" t="s">
        <v>301</v>
      </c>
      <c r="G93" s="77" t="s">
        <v>25</v>
      </c>
      <c r="H93" s="77" t="s">
        <v>113</v>
      </c>
      <c r="I93" s="77" t="s">
        <v>111</v>
      </c>
      <c r="J93" s="77" t="s">
        <v>27</v>
      </c>
      <c r="K93" s="77" t="s">
        <v>112</v>
      </c>
      <c r="L93" s="77">
        <v>2</v>
      </c>
      <c r="N93" s="77">
        <v>1</v>
      </c>
      <c r="O93" s="77">
        <v>0.22</v>
      </c>
      <c r="P93" s="77">
        <v>0.23</v>
      </c>
      <c r="Q93" s="44">
        <f t="shared" si="5"/>
        <v>0.22500000000000001</v>
      </c>
      <c r="R93" s="77">
        <v>15.3</v>
      </c>
      <c r="S93" s="77">
        <v>115</v>
      </c>
      <c r="T93" s="16">
        <f t="shared" si="6"/>
        <v>27</v>
      </c>
      <c r="U93" s="77">
        <v>129</v>
      </c>
      <c r="V93" s="16">
        <f t="shared" si="4"/>
        <v>25</v>
      </c>
      <c r="W93" s="77">
        <v>4</v>
      </c>
      <c r="X93" s="77" t="s">
        <v>35</v>
      </c>
      <c r="Y93" s="77" t="s">
        <v>55</v>
      </c>
      <c r="Z93" s="77" t="s">
        <v>82</v>
      </c>
      <c r="AA93" s="77" t="s">
        <v>43</v>
      </c>
      <c r="AB93" s="77" t="s">
        <v>161</v>
      </c>
    </row>
    <row r="94" spans="1:28" x14ac:dyDescent="0.15">
      <c r="A94" s="77" t="s">
        <v>46</v>
      </c>
      <c r="B94" s="77" t="s">
        <v>160</v>
      </c>
      <c r="C94" s="122">
        <v>2020</v>
      </c>
      <c r="D94" s="123" t="s">
        <v>280</v>
      </c>
      <c r="E94" s="77" t="s">
        <v>300</v>
      </c>
      <c r="F94" s="77" t="s">
        <v>301</v>
      </c>
      <c r="G94" s="77" t="s">
        <v>25</v>
      </c>
      <c r="H94" s="77" t="s">
        <v>113</v>
      </c>
      <c r="I94" s="77" t="s">
        <v>111</v>
      </c>
      <c r="J94" s="77" t="s">
        <v>27</v>
      </c>
      <c r="K94" s="77" t="s">
        <v>112</v>
      </c>
      <c r="L94" s="77">
        <v>3</v>
      </c>
      <c r="N94" s="77">
        <v>1</v>
      </c>
      <c r="O94" s="77">
        <v>0.25</v>
      </c>
      <c r="P94" s="77">
        <v>0.22</v>
      </c>
      <c r="Q94" s="44">
        <f t="shared" si="5"/>
        <v>0.23499999999999999</v>
      </c>
      <c r="R94" s="77">
        <v>13.4</v>
      </c>
      <c r="S94" s="77">
        <v>140</v>
      </c>
      <c r="T94" s="16">
        <f t="shared" si="6"/>
        <v>27</v>
      </c>
      <c r="U94" s="77">
        <v>129</v>
      </c>
      <c r="V94" s="16">
        <f t="shared" si="4"/>
        <v>25</v>
      </c>
      <c r="W94" s="77">
        <v>4</v>
      </c>
      <c r="X94" s="77" t="s">
        <v>35</v>
      </c>
      <c r="Y94" s="77" t="s">
        <v>55</v>
      </c>
      <c r="Z94" s="77" t="s">
        <v>82</v>
      </c>
      <c r="AA94" s="77" t="s">
        <v>43</v>
      </c>
      <c r="AB94" s="77" t="s">
        <v>161</v>
      </c>
    </row>
    <row r="95" spans="1:28" x14ac:dyDescent="0.15">
      <c r="A95" s="77" t="s">
        <v>46</v>
      </c>
      <c r="B95" s="77" t="s">
        <v>160</v>
      </c>
      <c r="C95" s="122">
        <v>2020</v>
      </c>
      <c r="D95" s="123" t="s">
        <v>280</v>
      </c>
      <c r="E95" s="77" t="s">
        <v>289</v>
      </c>
      <c r="F95" s="77" t="s">
        <v>290</v>
      </c>
      <c r="G95" s="77" t="s">
        <v>31</v>
      </c>
      <c r="H95" s="77" t="s">
        <v>166</v>
      </c>
      <c r="I95" s="77" t="s">
        <v>111</v>
      </c>
      <c r="J95" s="77" t="s">
        <v>27</v>
      </c>
      <c r="K95" s="77" t="s">
        <v>112</v>
      </c>
      <c r="L95" s="77">
        <v>1</v>
      </c>
      <c r="N95" s="77">
        <v>1</v>
      </c>
      <c r="O95" s="77">
        <v>0.48</v>
      </c>
      <c r="P95" s="77">
        <v>0.46</v>
      </c>
      <c r="Q95" s="44">
        <f t="shared" si="5"/>
        <v>0.47</v>
      </c>
      <c r="R95" s="77">
        <v>15.5</v>
      </c>
      <c r="S95" s="77">
        <v>122</v>
      </c>
      <c r="T95" s="16">
        <f t="shared" si="6"/>
        <v>27</v>
      </c>
      <c r="U95" s="77">
        <v>98</v>
      </c>
      <c r="V95" s="16">
        <f t="shared" si="4"/>
        <v>36</v>
      </c>
      <c r="W95" s="77">
        <v>1</v>
      </c>
      <c r="X95" s="77" t="s">
        <v>28</v>
      </c>
      <c r="Y95" s="77" t="s">
        <v>55</v>
      </c>
      <c r="Z95" s="77" t="s">
        <v>82</v>
      </c>
      <c r="AA95" s="77" t="s">
        <v>76</v>
      </c>
      <c r="AB95" s="77" t="s">
        <v>161</v>
      </c>
    </row>
    <row r="96" spans="1:28" x14ac:dyDescent="0.15">
      <c r="A96" s="77" t="s">
        <v>46</v>
      </c>
      <c r="B96" s="77" t="s">
        <v>160</v>
      </c>
      <c r="C96" s="122">
        <v>2020</v>
      </c>
      <c r="D96" s="123" t="s">
        <v>280</v>
      </c>
      <c r="E96" s="77" t="s">
        <v>289</v>
      </c>
      <c r="F96" s="77" t="s">
        <v>290</v>
      </c>
      <c r="G96" s="77" t="s">
        <v>31</v>
      </c>
      <c r="H96" s="77" t="s">
        <v>166</v>
      </c>
      <c r="I96" s="77" t="s">
        <v>111</v>
      </c>
      <c r="J96" s="77" t="s">
        <v>27</v>
      </c>
      <c r="K96" s="77" t="s">
        <v>112</v>
      </c>
      <c r="L96" s="77">
        <v>2</v>
      </c>
      <c r="N96" s="77">
        <v>1</v>
      </c>
      <c r="O96" s="77">
        <v>0.31</v>
      </c>
      <c r="P96" s="77">
        <v>0.36</v>
      </c>
      <c r="Q96" s="44">
        <f t="shared" si="5"/>
        <v>0.33499999999999996</v>
      </c>
      <c r="R96" s="77">
        <v>15.2</v>
      </c>
      <c r="S96" s="77">
        <v>122</v>
      </c>
      <c r="T96" s="16">
        <f t="shared" si="6"/>
        <v>30</v>
      </c>
      <c r="U96" s="77">
        <v>98</v>
      </c>
      <c r="V96" s="16">
        <f t="shared" si="4"/>
        <v>36</v>
      </c>
      <c r="W96" s="77">
        <v>1</v>
      </c>
      <c r="X96" s="77" t="s">
        <v>28</v>
      </c>
      <c r="Y96" s="77" t="s">
        <v>55</v>
      </c>
      <c r="Z96" s="77" t="s">
        <v>82</v>
      </c>
      <c r="AA96" s="77" t="s">
        <v>76</v>
      </c>
      <c r="AB96" s="77" t="s">
        <v>161</v>
      </c>
    </row>
    <row r="97" spans="1:28" x14ac:dyDescent="0.15">
      <c r="A97" s="77" t="s">
        <v>46</v>
      </c>
      <c r="B97" s="77" t="s">
        <v>160</v>
      </c>
      <c r="C97" s="122">
        <v>2020</v>
      </c>
      <c r="D97" s="123" t="s">
        <v>280</v>
      </c>
      <c r="E97" s="77" t="s">
        <v>289</v>
      </c>
      <c r="F97" s="77" t="s">
        <v>290</v>
      </c>
      <c r="G97" s="77" t="s">
        <v>31</v>
      </c>
      <c r="H97" s="77" t="s">
        <v>166</v>
      </c>
      <c r="I97" s="77" t="s">
        <v>111</v>
      </c>
      <c r="J97" s="77" t="s">
        <v>27</v>
      </c>
      <c r="K97" s="77" t="s">
        <v>112</v>
      </c>
      <c r="L97" s="77">
        <v>3</v>
      </c>
      <c r="N97" s="77">
        <v>1</v>
      </c>
      <c r="O97" s="77">
        <v>0.47</v>
      </c>
      <c r="P97" s="77">
        <v>0.42</v>
      </c>
      <c r="Q97" s="44">
        <f t="shared" si="5"/>
        <v>0.44499999999999995</v>
      </c>
      <c r="R97" s="77">
        <v>15.4</v>
      </c>
      <c r="S97" s="77">
        <v>120</v>
      </c>
      <c r="T97" s="16">
        <f t="shared" si="3"/>
        <v>30</v>
      </c>
      <c r="U97" s="77">
        <v>98</v>
      </c>
      <c r="V97" s="16">
        <f t="shared" si="4"/>
        <v>36</v>
      </c>
      <c r="W97" s="77">
        <v>1</v>
      </c>
      <c r="X97" s="77" t="s">
        <v>28</v>
      </c>
      <c r="Y97" s="77" t="s">
        <v>55</v>
      </c>
      <c r="Z97" s="77" t="s">
        <v>82</v>
      </c>
      <c r="AA97" s="77" t="s">
        <v>76</v>
      </c>
      <c r="AB97" s="77" t="s">
        <v>161</v>
      </c>
    </row>
    <row r="98" spans="1:28" x14ac:dyDescent="0.15">
      <c r="A98" s="77" t="s">
        <v>46</v>
      </c>
      <c r="B98" s="77" t="s">
        <v>160</v>
      </c>
      <c r="C98" s="122">
        <v>2020</v>
      </c>
      <c r="D98" s="123" t="s">
        <v>280</v>
      </c>
      <c r="E98" s="77" t="s">
        <v>289</v>
      </c>
      <c r="F98" s="77" t="s">
        <v>290</v>
      </c>
      <c r="G98" s="77" t="s">
        <v>31</v>
      </c>
      <c r="H98" s="77" t="s">
        <v>113</v>
      </c>
      <c r="I98" s="77" t="s">
        <v>111</v>
      </c>
      <c r="J98" s="77" t="s">
        <v>27</v>
      </c>
      <c r="K98" s="77" t="s">
        <v>112</v>
      </c>
      <c r="L98" s="77">
        <v>1</v>
      </c>
      <c r="N98" s="77">
        <v>1</v>
      </c>
      <c r="O98" s="77">
        <v>0.47</v>
      </c>
      <c r="P98" s="77">
        <v>0.38</v>
      </c>
      <c r="Q98" s="44">
        <f t="shared" si="5"/>
        <v>0.42499999999999999</v>
      </c>
      <c r="R98" s="77">
        <v>13</v>
      </c>
      <c r="S98" s="77">
        <v>123</v>
      </c>
      <c r="T98" s="16">
        <f t="shared" si="3"/>
        <v>27</v>
      </c>
      <c r="U98" s="77">
        <v>98</v>
      </c>
      <c r="V98" s="16">
        <f t="shared" si="4"/>
        <v>36</v>
      </c>
      <c r="W98" s="77">
        <v>1</v>
      </c>
      <c r="X98" s="77" t="s">
        <v>28</v>
      </c>
      <c r="Y98" s="77" t="s">
        <v>55</v>
      </c>
      <c r="Z98" s="77" t="s">
        <v>82</v>
      </c>
      <c r="AA98" s="77" t="s">
        <v>76</v>
      </c>
      <c r="AB98" s="77" t="s">
        <v>161</v>
      </c>
    </row>
    <row r="99" spans="1:28" x14ac:dyDescent="0.15">
      <c r="A99" s="77" t="s">
        <v>46</v>
      </c>
      <c r="B99" s="77" t="s">
        <v>160</v>
      </c>
      <c r="C99" s="122">
        <v>2020</v>
      </c>
      <c r="D99" s="123" t="s">
        <v>280</v>
      </c>
      <c r="E99" s="77" t="s">
        <v>289</v>
      </c>
      <c r="F99" s="77" t="s">
        <v>290</v>
      </c>
      <c r="G99" s="77" t="s">
        <v>31</v>
      </c>
      <c r="H99" s="77" t="s">
        <v>113</v>
      </c>
      <c r="I99" s="77" t="s">
        <v>111</v>
      </c>
      <c r="J99" s="77" t="s">
        <v>27</v>
      </c>
      <c r="K99" s="77" t="s">
        <v>112</v>
      </c>
      <c r="L99" s="77">
        <v>2</v>
      </c>
      <c r="N99" s="77">
        <v>1</v>
      </c>
      <c r="O99" s="77">
        <v>0.39</v>
      </c>
      <c r="P99" s="77">
        <v>0.44</v>
      </c>
      <c r="Q99" s="16">
        <f t="shared" si="5"/>
        <v>0.41500000000000004</v>
      </c>
      <c r="R99" s="77">
        <v>13.2</v>
      </c>
      <c r="S99" s="77">
        <v>125</v>
      </c>
      <c r="T99" s="16">
        <f t="shared" si="3"/>
        <v>27</v>
      </c>
      <c r="U99" s="77">
        <v>98</v>
      </c>
      <c r="V99" s="16">
        <f t="shared" si="4"/>
        <v>36</v>
      </c>
      <c r="W99" s="77">
        <v>1</v>
      </c>
      <c r="X99" s="77" t="s">
        <v>28</v>
      </c>
      <c r="Y99" s="77" t="s">
        <v>55</v>
      </c>
      <c r="Z99" s="77" t="s">
        <v>82</v>
      </c>
      <c r="AA99" s="77" t="s">
        <v>76</v>
      </c>
      <c r="AB99" s="77" t="s">
        <v>161</v>
      </c>
    </row>
    <row r="100" spans="1:28" x14ac:dyDescent="0.15">
      <c r="A100" s="77" t="s">
        <v>46</v>
      </c>
      <c r="B100" s="77" t="s">
        <v>160</v>
      </c>
      <c r="C100" s="122">
        <v>2020</v>
      </c>
      <c r="D100" s="123" t="s">
        <v>280</v>
      </c>
      <c r="E100" s="77" t="s">
        <v>289</v>
      </c>
      <c r="F100" s="77" t="s">
        <v>290</v>
      </c>
      <c r="G100" s="77" t="s">
        <v>31</v>
      </c>
      <c r="H100" s="77" t="s">
        <v>113</v>
      </c>
      <c r="I100" s="77" t="s">
        <v>111</v>
      </c>
      <c r="J100" s="77" t="s">
        <v>27</v>
      </c>
      <c r="K100" s="77" t="s">
        <v>112</v>
      </c>
      <c r="L100" s="77">
        <v>3</v>
      </c>
      <c r="N100" s="77">
        <v>1</v>
      </c>
      <c r="O100" s="77">
        <v>0.24</v>
      </c>
      <c r="P100" s="77">
        <v>0.23</v>
      </c>
      <c r="Q100" s="16">
        <f t="shared" si="5"/>
        <v>0.23499999999999999</v>
      </c>
      <c r="R100" s="77">
        <v>13.7</v>
      </c>
      <c r="S100" s="77">
        <v>127</v>
      </c>
      <c r="T100" s="16">
        <f t="shared" si="3"/>
        <v>27</v>
      </c>
      <c r="U100" s="77">
        <v>98</v>
      </c>
      <c r="V100" s="16">
        <f t="shared" si="4"/>
        <v>36</v>
      </c>
      <c r="W100" s="77">
        <v>1</v>
      </c>
      <c r="X100" s="77" t="s">
        <v>28</v>
      </c>
      <c r="Y100" s="77" t="s">
        <v>55</v>
      </c>
      <c r="Z100" s="77" t="s">
        <v>82</v>
      </c>
      <c r="AA100" s="77" t="s">
        <v>76</v>
      </c>
      <c r="AB100" s="77" t="s">
        <v>161</v>
      </c>
    </row>
    <row r="101" spans="1:28" x14ac:dyDescent="0.15">
      <c r="A101" s="77" t="s">
        <v>46</v>
      </c>
      <c r="B101" s="77" t="s">
        <v>160</v>
      </c>
      <c r="C101" s="122">
        <v>2020</v>
      </c>
      <c r="D101" s="123" t="s">
        <v>280</v>
      </c>
      <c r="E101" s="77" t="s">
        <v>308</v>
      </c>
      <c r="F101" s="77" t="s">
        <v>309</v>
      </c>
      <c r="G101" s="77" t="s">
        <v>31</v>
      </c>
      <c r="H101" s="77" t="s">
        <v>166</v>
      </c>
      <c r="I101" s="77" t="s">
        <v>111</v>
      </c>
      <c r="J101" s="77" t="s">
        <v>27</v>
      </c>
      <c r="K101" s="77" t="s">
        <v>112</v>
      </c>
      <c r="L101" s="77">
        <v>1</v>
      </c>
      <c r="N101" s="77">
        <v>4</v>
      </c>
      <c r="O101" s="77">
        <v>0.24</v>
      </c>
      <c r="P101" s="77">
        <v>0.26</v>
      </c>
      <c r="Q101" s="16">
        <f t="shared" si="5"/>
        <v>0.25</v>
      </c>
      <c r="R101" s="77">
        <v>16.600000000000001</v>
      </c>
      <c r="S101" s="77">
        <v>124</v>
      </c>
      <c r="T101" s="16">
        <f t="shared" si="3"/>
        <v>27</v>
      </c>
      <c r="U101" s="77">
        <v>398</v>
      </c>
      <c r="V101" s="16">
        <f t="shared" si="4"/>
        <v>16</v>
      </c>
      <c r="W101" s="77">
        <v>1</v>
      </c>
      <c r="X101" s="77" t="s">
        <v>35</v>
      </c>
      <c r="Y101" s="77" t="s">
        <v>82</v>
      </c>
      <c r="Z101" s="77" t="s">
        <v>43</v>
      </c>
      <c r="AA101" s="77" t="s">
        <v>55</v>
      </c>
      <c r="AB101" s="77" t="s">
        <v>161</v>
      </c>
    </row>
    <row r="102" spans="1:28" x14ac:dyDescent="0.15">
      <c r="A102" s="77" t="s">
        <v>46</v>
      </c>
      <c r="B102" s="77" t="s">
        <v>160</v>
      </c>
      <c r="C102" s="122">
        <v>2020</v>
      </c>
      <c r="D102" s="123" t="s">
        <v>280</v>
      </c>
      <c r="E102" s="77" t="s">
        <v>308</v>
      </c>
      <c r="F102" s="77" t="s">
        <v>309</v>
      </c>
      <c r="G102" s="77" t="s">
        <v>31</v>
      </c>
      <c r="H102" s="77" t="s">
        <v>166</v>
      </c>
      <c r="I102" s="77" t="s">
        <v>111</v>
      </c>
      <c r="J102" s="77" t="s">
        <v>27</v>
      </c>
      <c r="K102" s="77" t="s">
        <v>112</v>
      </c>
      <c r="L102" s="77">
        <v>2</v>
      </c>
      <c r="N102" s="77">
        <v>4</v>
      </c>
      <c r="O102" s="77">
        <v>0.27</v>
      </c>
      <c r="P102" s="77">
        <v>0.28999999999999998</v>
      </c>
      <c r="Q102" s="16">
        <f t="shared" si="5"/>
        <v>0.28000000000000003</v>
      </c>
      <c r="R102" s="77">
        <v>15.6</v>
      </c>
      <c r="S102" s="77">
        <v>115</v>
      </c>
      <c r="T102" s="16">
        <f t="shared" si="3"/>
        <v>30</v>
      </c>
      <c r="U102" s="77">
        <v>398</v>
      </c>
      <c r="V102" s="16">
        <f t="shared" si="4"/>
        <v>16</v>
      </c>
      <c r="W102" s="77">
        <v>1</v>
      </c>
      <c r="X102" s="77" t="s">
        <v>35</v>
      </c>
      <c r="Y102" s="77" t="s">
        <v>82</v>
      </c>
      <c r="Z102" s="77" t="s">
        <v>43</v>
      </c>
      <c r="AA102" s="77" t="s">
        <v>55</v>
      </c>
      <c r="AB102" s="77" t="s">
        <v>161</v>
      </c>
    </row>
    <row r="103" spans="1:28" x14ac:dyDescent="0.15">
      <c r="A103" s="77" t="s">
        <v>46</v>
      </c>
      <c r="B103" s="77" t="s">
        <v>160</v>
      </c>
      <c r="C103" s="122">
        <v>2020</v>
      </c>
      <c r="D103" s="123" t="s">
        <v>280</v>
      </c>
      <c r="E103" s="77" t="s">
        <v>308</v>
      </c>
      <c r="F103" s="77" t="s">
        <v>309</v>
      </c>
      <c r="G103" s="77" t="s">
        <v>31</v>
      </c>
      <c r="H103" s="77" t="s">
        <v>166</v>
      </c>
      <c r="I103" s="77" t="s">
        <v>111</v>
      </c>
      <c r="J103" s="77" t="s">
        <v>27</v>
      </c>
      <c r="K103" s="77" t="s">
        <v>112</v>
      </c>
      <c r="L103" s="77">
        <v>3</v>
      </c>
      <c r="N103" s="77">
        <v>4</v>
      </c>
      <c r="O103" s="77">
        <v>0.28999999999999998</v>
      </c>
      <c r="P103" s="77">
        <v>0.33</v>
      </c>
      <c r="Q103" s="16">
        <f t="shared" si="5"/>
        <v>0.31</v>
      </c>
      <c r="R103" s="77">
        <v>15.3</v>
      </c>
      <c r="S103" s="77">
        <v>125</v>
      </c>
      <c r="T103" s="16">
        <f t="shared" si="3"/>
        <v>27</v>
      </c>
      <c r="U103" s="77">
        <v>398</v>
      </c>
      <c r="V103" s="16">
        <f t="shared" si="4"/>
        <v>16</v>
      </c>
      <c r="W103" s="77">
        <v>1</v>
      </c>
      <c r="X103" s="77" t="s">
        <v>35</v>
      </c>
      <c r="Y103" s="77" t="s">
        <v>82</v>
      </c>
      <c r="Z103" s="77" t="s">
        <v>43</v>
      </c>
      <c r="AA103" s="77" t="s">
        <v>55</v>
      </c>
      <c r="AB103" s="77" t="s">
        <v>161</v>
      </c>
    </row>
    <row r="104" spans="1:28" x14ac:dyDescent="0.15">
      <c r="A104" s="77" t="s">
        <v>46</v>
      </c>
      <c r="B104" s="77" t="s">
        <v>160</v>
      </c>
      <c r="C104" s="122">
        <v>2020</v>
      </c>
      <c r="D104" s="123" t="s">
        <v>280</v>
      </c>
      <c r="E104" s="77" t="s">
        <v>308</v>
      </c>
      <c r="F104" s="77" t="s">
        <v>309</v>
      </c>
      <c r="G104" s="77" t="s">
        <v>31</v>
      </c>
      <c r="H104" s="77" t="s">
        <v>166</v>
      </c>
      <c r="I104" s="77" t="s">
        <v>111</v>
      </c>
      <c r="J104" s="77" t="s">
        <v>27</v>
      </c>
      <c r="K104" s="77" t="s">
        <v>112</v>
      </c>
      <c r="L104" s="77">
        <v>1</v>
      </c>
      <c r="N104" s="77">
        <v>1</v>
      </c>
      <c r="O104" s="77">
        <v>0.21</v>
      </c>
      <c r="P104" s="77">
        <v>0.22</v>
      </c>
      <c r="Q104" s="16">
        <f t="shared" si="5"/>
        <v>0.215</v>
      </c>
      <c r="R104" s="77">
        <v>16.899999999999999</v>
      </c>
      <c r="S104" s="77">
        <v>136</v>
      </c>
      <c r="T104" s="16">
        <f t="shared" si="3"/>
        <v>25</v>
      </c>
      <c r="U104" s="77">
        <v>128</v>
      </c>
      <c r="V104" s="16">
        <f t="shared" si="4"/>
        <v>27</v>
      </c>
      <c r="W104" s="77">
        <v>2</v>
      </c>
      <c r="X104" s="77" t="s">
        <v>35</v>
      </c>
      <c r="Y104" s="77" t="s">
        <v>82</v>
      </c>
      <c r="Z104" s="77" t="s">
        <v>43</v>
      </c>
      <c r="AA104" s="77" t="s">
        <v>55</v>
      </c>
      <c r="AB104" s="77" t="s">
        <v>161</v>
      </c>
    </row>
    <row r="105" spans="1:28" x14ac:dyDescent="0.15">
      <c r="A105" s="77" t="s">
        <v>46</v>
      </c>
      <c r="B105" s="77" t="s">
        <v>160</v>
      </c>
      <c r="C105" s="122">
        <v>2020</v>
      </c>
      <c r="D105" s="123" t="s">
        <v>280</v>
      </c>
      <c r="E105" s="77" t="s">
        <v>308</v>
      </c>
      <c r="F105" s="77" t="s">
        <v>309</v>
      </c>
      <c r="G105" s="77" t="s">
        <v>31</v>
      </c>
      <c r="H105" s="77" t="s">
        <v>166</v>
      </c>
      <c r="I105" s="77" t="s">
        <v>111</v>
      </c>
      <c r="J105" s="77" t="s">
        <v>27</v>
      </c>
      <c r="K105" s="77" t="s">
        <v>112</v>
      </c>
      <c r="L105" s="77">
        <v>2</v>
      </c>
      <c r="N105" s="77">
        <v>1</v>
      </c>
      <c r="O105" s="77">
        <v>0.27</v>
      </c>
      <c r="P105" s="77">
        <v>0.28999999999999998</v>
      </c>
      <c r="Q105" s="16">
        <f t="shared" si="5"/>
        <v>0.28000000000000003</v>
      </c>
      <c r="R105" s="77">
        <v>17.2</v>
      </c>
      <c r="S105" s="77">
        <v>136</v>
      </c>
      <c r="T105" s="16">
        <f t="shared" si="3"/>
        <v>25</v>
      </c>
      <c r="U105" s="77">
        <v>128</v>
      </c>
      <c r="V105" s="16">
        <f t="shared" si="4"/>
        <v>27</v>
      </c>
      <c r="W105" s="77">
        <v>2</v>
      </c>
      <c r="X105" s="77" t="s">
        <v>35</v>
      </c>
      <c r="Y105" s="77" t="s">
        <v>82</v>
      </c>
      <c r="Z105" s="77" t="s">
        <v>43</v>
      </c>
      <c r="AA105" s="77" t="s">
        <v>55</v>
      </c>
      <c r="AB105" s="77" t="s">
        <v>161</v>
      </c>
    </row>
    <row r="106" spans="1:28" x14ac:dyDescent="0.15">
      <c r="A106" s="77" t="s">
        <v>46</v>
      </c>
      <c r="B106" s="77" t="s">
        <v>160</v>
      </c>
      <c r="C106" s="122">
        <v>2020</v>
      </c>
      <c r="D106" s="123" t="s">
        <v>280</v>
      </c>
      <c r="E106" s="77" t="s">
        <v>308</v>
      </c>
      <c r="F106" s="77" t="s">
        <v>309</v>
      </c>
      <c r="G106" s="77" t="s">
        <v>31</v>
      </c>
      <c r="H106" s="77" t="s">
        <v>166</v>
      </c>
      <c r="I106" s="77" t="s">
        <v>111</v>
      </c>
      <c r="J106" s="77" t="s">
        <v>27</v>
      </c>
      <c r="K106" s="77" t="s">
        <v>112</v>
      </c>
      <c r="L106" s="77">
        <v>3</v>
      </c>
      <c r="N106" s="77">
        <v>1</v>
      </c>
      <c r="O106" s="77">
        <v>0.24</v>
      </c>
      <c r="P106" s="77">
        <v>0.22</v>
      </c>
      <c r="Q106" s="16">
        <f t="shared" si="5"/>
        <v>0.22999999999999998</v>
      </c>
      <c r="R106" s="77">
        <v>17.5</v>
      </c>
      <c r="S106" s="77">
        <v>138</v>
      </c>
      <c r="T106" s="16">
        <f t="shared" si="3"/>
        <v>22</v>
      </c>
      <c r="U106" s="77">
        <v>128</v>
      </c>
      <c r="V106" s="16">
        <f t="shared" si="4"/>
        <v>27</v>
      </c>
      <c r="W106" s="77">
        <v>2</v>
      </c>
      <c r="X106" s="77" t="s">
        <v>35</v>
      </c>
      <c r="Y106" s="77" t="s">
        <v>82</v>
      </c>
      <c r="Z106" s="77" t="s">
        <v>43</v>
      </c>
      <c r="AA106" s="77" t="s">
        <v>55</v>
      </c>
      <c r="AB106" s="77" t="s">
        <v>161</v>
      </c>
    </row>
    <row r="107" spans="1:28" x14ac:dyDescent="0.15">
      <c r="A107" s="77" t="s">
        <v>46</v>
      </c>
      <c r="B107" s="77" t="s">
        <v>160</v>
      </c>
      <c r="C107" s="122">
        <v>2020</v>
      </c>
      <c r="D107" s="123" t="s">
        <v>280</v>
      </c>
      <c r="E107" s="77" t="s">
        <v>308</v>
      </c>
      <c r="F107" s="77" t="s">
        <v>309</v>
      </c>
      <c r="G107" s="77" t="s">
        <v>31</v>
      </c>
      <c r="H107" s="77" t="s">
        <v>113</v>
      </c>
      <c r="I107" s="77" t="s">
        <v>111</v>
      </c>
      <c r="J107" s="77" t="s">
        <v>27</v>
      </c>
      <c r="K107" s="77" t="s">
        <v>112</v>
      </c>
      <c r="L107" s="77">
        <v>1</v>
      </c>
      <c r="N107" s="77">
        <v>4</v>
      </c>
      <c r="O107" s="77">
        <v>0.47</v>
      </c>
      <c r="P107" s="77">
        <v>0.46</v>
      </c>
      <c r="Q107" s="16">
        <f t="shared" si="5"/>
        <v>0.46499999999999997</v>
      </c>
      <c r="R107" s="77">
        <v>15.1</v>
      </c>
      <c r="S107" s="77">
        <v>138</v>
      </c>
      <c r="T107" s="16">
        <f t="shared" si="3"/>
        <v>22</v>
      </c>
      <c r="U107" s="77">
        <v>358</v>
      </c>
      <c r="V107" s="16">
        <f t="shared" si="4"/>
        <v>16</v>
      </c>
      <c r="W107" s="77">
        <v>1</v>
      </c>
      <c r="X107" s="77" t="s">
        <v>35</v>
      </c>
      <c r="Y107" s="77" t="s">
        <v>82</v>
      </c>
      <c r="Z107" s="77" t="s">
        <v>43</v>
      </c>
      <c r="AA107" s="77" t="s">
        <v>55</v>
      </c>
      <c r="AB107" s="77" t="s">
        <v>161</v>
      </c>
    </row>
    <row r="108" spans="1:28" x14ac:dyDescent="0.15">
      <c r="A108" s="77" t="s">
        <v>46</v>
      </c>
      <c r="B108" s="77" t="s">
        <v>160</v>
      </c>
      <c r="C108" s="122">
        <v>2020</v>
      </c>
      <c r="D108" s="123" t="s">
        <v>280</v>
      </c>
      <c r="E108" s="77" t="s">
        <v>308</v>
      </c>
      <c r="F108" s="77" t="s">
        <v>309</v>
      </c>
      <c r="G108" s="77" t="s">
        <v>31</v>
      </c>
      <c r="H108" s="77" t="s">
        <v>113</v>
      </c>
      <c r="I108" s="77" t="s">
        <v>111</v>
      </c>
      <c r="J108" s="77" t="s">
        <v>27</v>
      </c>
      <c r="K108" s="77" t="s">
        <v>112</v>
      </c>
      <c r="L108" s="77">
        <v>2</v>
      </c>
      <c r="N108" s="77">
        <v>4</v>
      </c>
      <c r="O108" s="77">
        <v>0.43</v>
      </c>
      <c r="P108" s="77">
        <v>0.51</v>
      </c>
      <c r="Q108" s="16">
        <f t="shared" si="5"/>
        <v>0.47</v>
      </c>
      <c r="R108" s="77">
        <v>14.6</v>
      </c>
      <c r="S108" s="77">
        <v>137</v>
      </c>
      <c r="T108" s="16">
        <f t="shared" si="3"/>
        <v>25</v>
      </c>
      <c r="U108" s="77">
        <v>358</v>
      </c>
      <c r="V108" s="16">
        <f t="shared" si="4"/>
        <v>16</v>
      </c>
      <c r="W108" s="77">
        <v>1</v>
      </c>
      <c r="X108" s="77" t="s">
        <v>35</v>
      </c>
      <c r="Y108" s="77" t="s">
        <v>82</v>
      </c>
      <c r="Z108" s="77" t="s">
        <v>43</v>
      </c>
      <c r="AA108" s="77" t="s">
        <v>55</v>
      </c>
      <c r="AB108" s="77" t="s">
        <v>161</v>
      </c>
    </row>
    <row r="109" spans="1:28" x14ac:dyDescent="0.15">
      <c r="A109" s="77" t="s">
        <v>46</v>
      </c>
      <c r="B109" s="77" t="s">
        <v>160</v>
      </c>
      <c r="C109" s="122">
        <v>2020</v>
      </c>
      <c r="D109" s="123" t="s">
        <v>280</v>
      </c>
      <c r="E109" s="77" t="s">
        <v>308</v>
      </c>
      <c r="F109" s="77" t="s">
        <v>309</v>
      </c>
      <c r="G109" s="77" t="s">
        <v>31</v>
      </c>
      <c r="H109" s="77" t="s">
        <v>113</v>
      </c>
      <c r="I109" s="77" t="s">
        <v>111</v>
      </c>
      <c r="J109" s="77" t="s">
        <v>27</v>
      </c>
      <c r="K109" s="77" t="s">
        <v>112</v>
      </c>
      <c r="L109" s="77">
        <v>3</v>
      </c>
      <c r="N109" s="77">
        <v>4</v>
      </c>
      <c r="O109" s="77">
        <v>0.47</v>
      </c>
      <c r="P109" s="77">
        <v>0.48</v>
      </c>
      <c r="Q109" s="16">
        <f t="shared" si="5"/>
        <v>0.47499999999999998</v>
      </c>
      <c r="R109" s="77">
        <v>13.7</v>
      </c>
      <c r="S109" s="77">
        <v>134</v>
      </c>
      <c r="T109" s="16">
        <f t="shared" si="3"/>
        <v>25</v>
      </c>
      <c r="U109" s="77">
        <v>358</v>
      </c>
      <c r="V109" s="16">
        <f t="shared" si="4"/>
        <v>16</v>
      </c>
      <c r="W109" s="77">
        <v>1</v>
      </c>
      <c r="X109" s="77" t="s">
        <v>35</v>
      </c>
      <c r="Y109" s="77" t="s">
        <v>82</v>
      </c>
      <c r="Z109" s="77" t="s">
        <v>43</v>
      </c>
      <c r="AA109" s="77" t="s">
        <v>55</v>
      </c>
      <c r="AB109" s="77" t="s">
        <v>161</v>
      </c>
    </row>
    <row r="110" spans="1:28" x14ac:dyDescent="0.15">
      <c r="A110" s="77" t="s">
        <v>46</v>
      </c>
      <c r="B110" s="77" t="s">
        <v>160</v>
      </c>
      <c r="C110" s="122">
        <v>2020</v>
      </c>
      <c r="D110" s="123" t="s">
        <v>280</v>
      </c>
      <c r="E110" s="77" t="s">
        <v>308</v>
      </c>
      <c r="F110" s="77" t="s">
        <v>309</v>
      </c>
      <c r="G110" s="77" t="s">
        <v>31</v>
      </c>
      <c r="H110" s="77" t="s">
        <v>113</v>
      </c>
      <c r="I110" s="77" t="s">
        <v>111</v>
      </c>
      <c r="J110" s="77" t="s">
        <v>27</v>
      </c>
      <c r="K110" s="77" t="s">
        <v>112</v>
      </c>
      <c r="L110" s="77">
        <v>1</v>
      </c>
      <c r="N110" s="77">
        <v>1</v>
      </c>
      <c r="O110" s="77">
        <v>0.22</v>
      </c>
      <c r="P110" s="77">
        <v>0.24</v>
      </c>
      <c r="Q110" s="16">
        <f t="shared" si="5"/>
        <v>0.22999999999999998</v>
      </c>
      <c r="R110" s="77">
        <v>15.4</v>
      </c>
      <c r="S110" s="77">
        <v>159</v>
      </c>
      <c r="T110" s="16">
        <f t="shared" si="3"/>
        <v>18</v>
      </c>
      <c r="U110" s="77">
        <v>128</v>
      </c>
      <c r="V110" s="16">
        <f t="shared" si="4"/>
        <v>27</v>
      </c>
      <c r="W110" s="77">
        <v>1</v>
      </c>
      <c r="X110" s="77" t="s">
        <v>35</v>
      </c>
      <c r="Y110" s="77" t="s">
        <v>82</v>
      </c>
      <c r="Z110" s="77" t="s">
        <v>43</v>
      </c>
      <c r="AA110" s="77" t="s">
        <v>55</v>
      </c>
      <c r="AB110" s="77" t="s">
        <v>161</v>
      </c>
    </row>
    <row r="111" spans="1:28" x14ac:dyDescent="0.15">
      <c r="A111" s="77" t="s">
        <v>46</v>
      </c>
      <c r="B111" s="77" t="s">
        <v>160</v>
      </c>
      <c r="C111" s="122">
        <v>2020</v>
      </c>
      <c r="D111" s="123" t="s">
        <v>280</v>
      </c>
      <c r="E111" s="77" t="s">
        <v>308</v>
      </c>
      <c r="F111" s="77" t="s">
        <v>309</v>
      </c>
      <c r="G111" s="77" t="s">
        <v>31</v>
      </c>
      <c r="H111" s="77" t="s">
        <v>113</v>
      </c>
      <c r="I111" s="77" t="s">
        <v>111</v>
      </c>
      <c r="J111" s="77" t="s">
        <v>27</v>
      </c>
      <c r="K111" s="77" t="s">
        <v>112</v>
      </c>
      <c r="L111" s="77">
        <v>2</v>
      </c>
      <c r="N111" s="77">
        <v>1</v>
      </c>
      <c r="O111" s="77">
        <v>0.31</v>
      </c>
      <c r="P111" s="77">
        <v>0.33</v>
      </c>
      <c r="Q111" s="16">
        <f t="shared" si="5"/>
        <v>0.32</v>
      </c>
      <c r="R111" s="77">
        <v>13.6</v>
      </c>
      <c r="S111" s="77">
        <v>161</v>
      </c>
      <c r="T111" s="16">
        <f t="shared" si="3"/>
        <v>18</v>
      </c>
      <c r="U111" s="77">
        <v>128</v>
      </c>
      <c r="V111" s="16">
        <f t="shared" si="4"/>
        <v>27</v>
      </c>
      <c r="W111" s="77">
        <v>1</v>
      </c>
      <c r="X111" s="77" t="s">
        <v>35</v>
      </c>
      <c r="Y111" s="77" t="s">
        <v>82</v>
      </c>
      <c r="Z111" s="77" t="s">
        <v>43</v>
      </c>
      <c r="AA111" s="77" t="s">
        <v>55</v>
      </c>
      <c r="AB111" s="77" t="s">
        <v>161</v>
      </c>
    </row>
    <row r="112" spans="1:28" x14ac:dyDescent="0.15">
      <c r="A112" s="77" t="s">
        <v>46</v>
      </c>
      <c r="B112" s="77" t="s">
        <v>160</v>
      </c>
      <c r="C112" s="122">
        <v>2020</v>
      </c>
      <c r="D112" s="123" t="s">
        <v>280</v>
      </c>
      <c r="E112" s="77" t="s">
        <v>308</v>
      </c>
      <c r="F112" s="77" t="s">
        <v>309</v>
      </c>
      <c r="G112" s="77" t="s">
        <v>31</v>
      </c>
      <c r="H112" s="77" t="s">
        <v>113</v>
      </c>
      <c r="I112" s="77" t="s">
        <v>111</v>
      </c>
      <c r="J112" s="77" t="s">
        <v>27</v>
      </c>
      <c r="K112" s="77" t="s">
        <v>112</v>
      </c>
      <c r="L112" s="77">
        <v>3</v>
      </c>
      <c r="N112" s="77">
        <v>1</v>
      </c>
      <c r="O112" s="77">
        <v>0.38</v>
      </c>
      <c r="P112" s="77">
        <v>0.36</v>
      </c>
      <c r="Q112" s="16">
        <f t="shared" si="5"/>
        <v>0.37</v>
      </c>
      <c r="R112" s="77">
        <v>14.2</v>
      </c>
      <c r="S112" s="77">
        <v>155</v>
      </c>
      <c r="T112" s="16">
        <f t="shared" si="3"/>
        <v>18</v>
      </c>
      <c r="U112" s="77">
        <v>128</v>
      </c>
      <c r="V112" s="16">
        <f t="shared" si="4"/>
        <v>27</v>
      </c>
      <c r="W112" s="77">
        <v>1</v>
      </c>
      <c r="X112" s="77" t="s">
        <v>35</v>
      </c>
      <c r="Y112" s="77" t="s">
        <v>82</v>
      </c>
      <c r="Z112" s="77" t="s">
        <v>43</v>
      </c>
      <c r="AA112" s="77" t="s">
        <v>55</v>
      </c>
      <c r="AB112" s="77" t="s">
        <v>161</v>
      </c>
    </row>
    <row r="113" spans="1:28" x14ac:dyDescent="0.15">
      <c r="A113" s="77" t="s">
        <v>46</v>
      </c>
      <c r="B113" s="77" t="s">
        <v>160</v>
      </c>
      <c r="C113" s="122">
        <v>2020</v>
      </c>
      <c r="D113" s="123" t="s">
        <v>280</v>
      </c>
      <c r="E113" s="77" t="s">
        <v>303</v>
      </c>
      <c r="F113" s="77" t="s">
        <v>298</v>
      </c>
      <c r="G113" s="77" t="s">
        <v>25</v>
      </c>
      <c r="H113" s="77" t="s">
        <v>166</v>
      </c>
      <c r="I113" s="77" t="s">
        <v>111</v>
      </c>
      <c r="J113" s="77" t="s">
        <v>27</v>
      </c>
      <c r="K113" s="77" t="s">
        <v>112</v>
      </c>
      <c r="L113" s="77">
        <v>1</v>
      </c>
      <c r="N113" s="77">
        <v>1</v>
      </c>
      <c r="O113" s="77">
        <v>0.28999999999999998</v>
      </c>
      <c r="P113" s="77">
        <v>0.28000000000000003</v>
      </c>
      <c r="Q113" s="16">
        <f t="shared" si="5"/>
        <v>0.28500000000000003</v>
      </c>
      <c r="R113" s="77">
        <v>17.100000000000001</v>
      </c>
      <c r="S113" s="77">
        <v>118</v>
      </c>
      <c r="T113" s="16">
        <f t="shared" si="3"/>
        <v>30</v>
      </c>
      <c r="U113" s="77">
        <v>138</v>
      </c>
      <c r="V113" s="16">
        <f t="shared" si="4"/>
        <v>22</v>
      </c>
      <c r="W113" s="77">
        <v>2</v>
      </c>
      <c r="X113" s="77" t="s">
        <v>35</v>
      </c>
      <c r="Y113" s="77" t="s">
        <v>82</v>
      </c>
      <c r="Z113" s="77" t="s">
        <v>74</v>
      </c>
      <c r="AA113" s="77" t="s">
        <v>55</v>
      </c>
      <c r="AB113" s="77" t="s">
        <v>161</v>
      </c>
    </row>
    <row r="114" spans="1:28" x14ac:dyDescent="0.15">
      <c r="A114" s="77" t="s">
        <v>46</v>
      </c>
      <c r="B114" s="77" t="s">
        <v>160</v>
      </c>
      <c r="C114" s="122">
        <v>2020</v>
      </c>
      <c r="D114" s="123" t="s">
        <v>280</v>
      </c>
      <c r="E114" s="77" t="s">
        <v>303</v>
      </c>
      <c r="F114" s="77" t="s">
        <v>298</v>
      </c>
      <c r="G114" s="77" t="s">
        <v>25</v>
      </c>
      <c r="H114" s="77" t="s">
        <v>166</v>
      </c>
      <c r="I114" s="77" t="s">
        <v>111</v>
      </c>
      <c r="J114" s="77" t="s">
        <v>27</v>
      </c>
      <c r="K114" s="77" t="s">
        <v>112</v>
      </c>
      <c r="L114" s="77">
        <v>2</v>
      </c>
      <c r="N114" s="77">
        <v>1</v>
      </c>
      <c r="O114" s="77">
        <v>0.24</v>
      </c>
      <c r="P114" s="77">
        <v>0.26</v>
      </c>
      <c r="Q114" s="16">
        <f t="shared" si="5"/>
        <v>0.25</v>
      </c>
      <c r="R114" s="77">
        <v>17.3</v>
      </c>
      <c r="S114" s="77">
        <v>121</v>
      </c>
      <c r="T114" s="16">
        <f t="shared" si="3"/>
        <v>27</v>
      </c>
      <c r="U114" s="77">
        <v>138</v>
      </c>
      <c r="V114" s="16">
        <f t="shared" si="4"/>
        <v>22</v>
      </c>
      <c r="W114" s="77">
        <v>2</v>
      </c>
      <c r="X114" s="77" t="s">
        <v>35</v>
      </c>
      <c r="Y114" s="77" t="s">
        <v>82</v>
      </c>
      <c r="Z114" s="77" t="s">
        <v>74</v>
      </c>
      <c r="AA114" s="77" t="s">
        <v>55</v>
      </c>
      <c r="AB114" s="77" t="s">
        <v>161</v>
      </c>
    </row>
    <row r="115" spans="1:28" x14ac:dyDescent="0.15">
      <c r="A115" s="77" t="s">
        <v>46</v>
      </c>
      <c r="B115" s="77" t="s">
        <v>160</v>
      </c>
      <c r="C115" s="122">
        <v>2020</v>
      </c>
      <c r="D115" s="123" t="s">
        <v>280</v>
      </c>
      <c r="E115" s="77" t="s">
        <v>303</v>
      </c>
      <c r="F115" s="77" t="s">
        <v>298</v>
      </c>
      <c r="G115" s="77" t="s">
        <v>25</v>
      </c>
      <c r="H115" s="77" t="s">
        <v>166</v>
      </c>
      <c r="I115" s="77" t="s">
        <v>111</v>
      </c>
      <c r="J115" s="77" t="s">
        <v>27</v>
      </c>
      <c r="K115" s="77" t="s">
        <v>112</v>
      </c>
      <c r="L115" s="77">
        <v>3</v>
      </c>
      <c r="N115" s="77">
        <v>1</v>
      </c>
      <c r="O115" s="77">
        <v>0.25</v>
      </c>
      <c r="P115" s="77">
        <v>0.27</v>
      </c>
      <c r="Q115" s="16">
        <f t="shared" si="5"/>
        <v>0.26</v>
      </c>
      <c r="R115" s="77">
        <v>17.600000000000001</v>
      </c>
      <c r="S115" s="77">
        <v>122</v>
      </c>
      <c r="T115" s="16">
        <f t="shared" si="3"/>
        <v>27</v>
      </c>
      <c r="U115" s="77">
        <v>138</v>
      </c>
      <c r="V115" s="16">
        <f t="shared" si="4"/>
        <v>22</v>
      </c>
      <c r="W115" s="77">
        <v>2</v>
      </c>
      <c r="X115" s="77" t="s">
        <v>35</v>
      </c>
      <c r="Y115" s="77" t="s">
        <v>82</v>
      </c>
      <c r="Z115" s="77" t="s">
        <v>74</v>
      </c>
      <c r="AA115" s="77" t="s">
        <v>55</v>
      </c>
      <c r="AB115" s="77" t="s">
        <v>161</v>
      </c>
    </row>
    <row r="116" spans="1:28" x14ac:dyDescent="0.15">
      <c r="A116" s="77" t="s">
        <v>46</v>
      </c>
      <c r="B116" s="77" t="s">
        <v>160</v>
      </c>
      <c r="C116" s="122">
        <v>2020</v>
      </c>
      <c r="D116" s="123" t="s">
        <v>280</v>
      </c>
      <c r="E116" s="77" t="s">
        <v>303</v>
      </c>
      <c r="F116" s="77" t="s">
        <v>298</v>
      </c>
      <c r="G116" s="77" t="s">
        <v>25</v>
      </c>
      <c r="H116" s="77" t="s">
        <v>113</v>
      </c>
      <c r="I116" s="77" t="s">
        <v>111</v>
      </c>
      <c r="J116" s="77" t="s">
        <v>27</v>
      </c>
      <c r="K116" s="77" t="s">
        <v>112</v>
      </c>
      <c r="L116" s="77">
        <v>1</v>
      </c>
      <c r="N116" s="77">
        <v>1</v>
      </c>
      <c r="O116" s="77">
        <v>0.97</v>
      </c>
      <c r="P116" s="77">
        <v>0.9</v>
      </c>
      <c r="Q116" s="16">
        <f t="shared" si="5"/>
        <v>0.93500000000000005</v>
      </c>
      <c r="R116" s="77">
        <v>11.7</v>
      </c>
      <c r="S116" s="77">
        <v>117</v>
      </c>
      <c r="T116" s="16">
        <f t="shared" si="3"/>
        <v>30</v>
      </c>
      <c r="U116" s="77">
        <v>98</v>
      </c>
      <c r="V116" s="16">
        <f t="shared" si="4"/>
        <v>36</v>
      </c>
      <c r="W116" s="77">
        <v>2</v>
      </c>
      <c r="X116" s="77" t="s">
        <v>35</v>
      </c>
      <c r="Y116" s="77" t="s">
        <v>82</v>
      </c>
      <c r="Z116" s="77" t="s">
        <v>74</v>
      </c>
      <c r="AA116" s="77" t="s">
        <v>55</v>
      </c>
      <c r="AB116" s="77" t="s">
        <v>161</v>
      </c>
    </row>
    <row r="117" spans="1:28" x14ac:dyDescent="0.15">
      <c r="A117" s="77" t="s">
        <v>46</v>
      </c>
      <c r="B117" s="77" t="s">
        <v>160</v>
      </c>
      <c r="C117" s="122">
        <v>2020</v>
      </c>
      <c r="D117" s="123" t="s">
        <v>280</v>
      </c>
      <c r="E117" s="77" t="s">
        <v>303</v>
      </c>
      <c r="F117" s="77" t="s">
        <v>298</v>
      </c>
      <c r="G117" s="77" t="s">
        <v>25</v>
      </c>
      <c r="H117" s="77" t="s">
        <v>113</v>
      </c>
      <c r="I117" s="77" t="s">
        <v>111</v>
      </c>
      <c r="J117" s="77" t="s">
        <v>27</v>
      </c>
      <c r="K117" s="77" t="s">
        <v>112</v>
      </c>
      <c r="L117" s="77">
        <v>2</v>
      </c>
      <c r="N117" s="77">
        <v>1</v>
      </c>
      <c r="O117" s="77">
        <v>0.3</v>
      </c>
      <c r="P117" s="77">
        <v>0.33</v>
      </c>
      <c r="Q117" s="16">
        <f t="shared" si="5"/>
        <v>0.315</v>
      </c>
      <c r="R117" s="77">
        <v>13</v>
      </c>
      <c r="S117" s="77">
        <v>122</v>
      </c>
      <c r="T117" s="16">
        <f t="shared" si="3"/>
        <v>27</v>
      </c>
      <c r="U117" s="77">
        <v>98</v>
      </c>
      <c r="V117" s="16">
        <f t="shared" si="4"/>
        <v>36</v>
      </c>
      <c r="W117" s="77">
        <v>2</v>
      </c>
      <c r="X117" s="77" t="s">
        <v>35</v>
      </c>
      <c r="Y117" s="77" t="s">
        <v>82</v>
      </c>
      <c r="Z117" s="77" t="s">
        <v>74</v>
      </c>
      <c r="AA117" s="77" t="s">
        <v>55</v>
      </c>
      <c r="AB117" s="77" t="s">
        <v>161</v>
      </c>
    </row>
    <row r="118" spans="1:28" x14ac:dyDescent="0.15">
      <c r="A118" s="77" t="s">
        <v>46</v>
      </c>
      <c r="B118" s="77" t="s">
        <v>160</v>
      </c>
      <c r="C118" s="122">
        <v>2020</v>
      </c>
      <c r="D118" s="123" t="s">
        <v>280</v>
      </c>
      <c r="E118" s="77" t="s">
        <v>303</v>
      </c>
      <c r="F118" s="77" t="s">
        <v>298</v>
      </c>
      <c r="G118" s="77" t="s">
        <v>25</v>
      </c>
      <c r="H118" s="77" t="s">
        <v>113</v>
      </c>
      <c r="I118" s="77" t="s">
        <v>111</v>
      </c>
      <c r="J118" s="77" t="s">
        <v>27</v>
      </c>
      <c r="K118" s="77" t="s">
        <v>112</v>
      </c>
      <c r="L118" s="77">
        <v>3</v>
      </c>
      <c r="N118" s="77">
        <v>1</v>
      </c>
      <c r="O118" s="77">
        <v>0.43</v>
      </c>
      <c r="P118" s="77">
        <v>0.43</v>
      </c>
      <c r="Q118" s="16">
        <f t="shared" si="5"/>
        <v>0.43</v>
      </c>
      <c r="R118" s="77">
        <v>15.8</v>
      </c>
      <c r="S118" s="77">
        <v>120</v>
      </c>
      <c r="T118" s="16">
        <f t="shared" si="3"/>
        <v>30</v>
      </c>
      <c r="U118" s="77">
        <v>98</v>
      </c>
      <c r="V118" s="16">
        <f t="shared" si="4"/>
        <v>36</v>
      </c>
      <c r="W118" s="77">
        <v>2</v>
      </c>
      <c r="X118" s="77" t="s">
        <v>35</v>
      </c>
      <c r="Y118" s="77" t="s">
        <v>82</v>
      </c>
      <c r="Z118" s="77" t="s">
        <v>74</v>
      </c>
      <c r="AA118" s="77" t="s">
        <v>55</v>
      </c>
      <c r="AB118" s="77" t="s">
        <v>161</v>
      </c>
    </row>
    <row r="119" spans="1:28" x14ac:dyDescent="0.15">
      <c r="C119" s="122"/>
      <c r="D119" s="123"/>
      <c r="Q119" s="16" t="str">
        <f t="shared" si="5"/>
        <v/>
      </c>
      <c r="T119" s="16" t="str">
        <f t="shared" si="3"/>
        <v/>
      </c>
      <c r="V119" s="16" t="str">
        <f t="shared" si="4"/>
        <v/>
      </c>
    </row>
    <row r="120" spans="1:28" x14ac:dyDescent="0.15">
      <c r="C120" s="122"/>
      <c r="D120" s="123"/>
      <c r="Q120" s="16" t="str">
        <f t="shared" si="5"/>
        <v/>
      </c>
      <c r="T120" s="16" t="str">
        <f t="shared" si="3"/>
        <v/>
      </c>
      <c r="V120" s="16" t="str">
        <f t="shared" si="4"/>
        <v/>
      </c>
    </row>
    <row r="121" spans="1:28" x14ac:dyDescent="0.15">
      <c r="C121" s="122"/>
      <c r="D121" s="123"/>
      <c r="Q121" s="16" t="str">
        <f t="shared" si="5"/>
        <v/>
      </c>
      <c r="T121" s="16" t="str">
        <f t="shared" si="3"/>
        <v/>
      </c>
      <c r="V121" s="16" t="str">
        <f t="shared" si="4"/>
        <v/>
      </c>
    </row>
    <row r="122" spans="1:28" x14ac:dyDescent="0.15">
      <c r="C122" s="122"/>
      <c r="D122" s="123"/>
      <c r="Q122" s="16" t="str">
        <f t="shared" si="5"/>
        <v/>
      </c>
      <c r="T122" s="16" t="str">
        <f t="shared" si="3"/>
        <v/>
      </c>
      <c r="V122" s="16" t="str">
        <f t="shared" si="4"/>
        <v/>
      </c>
    </row>
    <row r="123" spans="1:28" x14ac:dyDescent="0.15">
      <c r="C123" s="122"/>
      <c r="D123" s="123"/>
      <c r="Q123" s="16" t="str">
        <f t="shared" si="5"/>
        <v/>
      </c>
      <c r="T123" s="16" t="str">
        <f t="shared" si="3"/>
        <v/>
      </c>
      <c r="V123" s="16" t="str">
        <f t="shared" si="4"/>
        <v/>
      </c>
    </row>
    <row r="124" spans="1:28" x14ac:dyDescent="0.15">
      <c r="C124" s="122"/>
      <c r="D124" s="123"/>
      <c r="Q124" s="16" t="str">
        <f t="shared" si="5"/>
        <v/>
      </c>
      <c r="T124" s="16" t="str">
        <f t="shared" si="3"/>
        <v/>
      </c>
      <c r="V124" s="16" t="str">
        <f t="shared" si="4"/>
        <v/>
      </c>
    </row>
    <row r="125" spans="1:28" x14ac:dyDescent="0.15">
      <c r="C125" s="122"/>
      <c r="D125" s="123"/>
      <c r="Q125" s="16" t="str">
        <f t="shared" si="5"/>
        <v/>
      </c>
      <c r="T125" s="16" t="str">
        <f t="shared" si="3"/>
        <v/>
      </c>
      <c r="V125" s="16" t="str">
        <f t="shared" si="4"/>
        <v/>
      </c>
    </row>
    <row r="126" spans="1:28" x14ac:dyDescent="0.15">
      <c r="C126" s="122"/>
      <c r="D126" s="123"/>
      <c r="Q126" s="16" t="str">
        <f t="shared" si="5"/>
        <v/>
      </c>
      <c r="T126" s="16" t="str">
        <f t="shared" si="3"/>
        <v/>
      </c>
      <c r="V126" s="16" t="str">
        <f t="shared" si="4"/>
        <v/>
      </c>
    </row>
    <row r="127" spans="1:28" x14ac:dyDescent="0.15">
      <c r="C127" s="122"/>
      <c r="D127" s="123"/>
      <c r="Q127" s="16" t="str">
        <f t="shared" si="5"/>
        <v/>
      </c>
      <c r="T127" s="16" t="str">
        <f t="shared" si="3"/>
        <v/>
      </c>
      <c r="V127" s="16" t="str">
        <f t="shared" si="4"/>
        <v/>
      </c>
    </row>
    <row r="128" spans="1:28" x14ac:dyDescent="0.15">
      <c r="C128" s="122"/>
      <c r="D128" s="123"/>
      <c r="Q128" s="16" t="str">
        <f t="shared" si="5"/>
        <v/>
      </c>
      <c r="T128" s="16" t="str">
        <f t="shared" si="3"/>
        <v/>
      </c>
      <c r="V128" s="16" t="str">
        <f t="shared" si="4"/>
        <v/>
      </c>
    </row>
    <row r="129" spans="3:22" x14ac:dyDescent="0.15">
      <c r="C129" s="122"/>
      <c r="D129" s="123"/>
      <c r="Q129" s="16" t="str">
        <f t="shared" si="5"/>
        <v/>
      </c>
      <c r="T129" s="16" t="str">
        <f t="shared" si="3"/>
        <v/>
      </c>
      <c r="V129" s="16" t="str">
        <f t="shared" si="4"/>
        <v/>
      </c>
    </row>
    <row r="130" spans="3:22" x14ac:dyDescent="0.15">
      <c r="C130" s="122"/>
      <c r="D130" s="123"/>
      <c r="Q130" s="16" t="str">
        <f t="shared" si="5"/>
        <v/>
      </c>
      <c r="T130" s="16" t="str">
        <f t="shared" si="3"/>
        <v/>
      </c>
      <c r="V130" s="16" t="str">
        <f t="shared" si="4"/>
        <v/>
      </c>
    </row>
    <row r="131" spans="3:22" x14ac:dyDescent="0.15">
      <c r="C131" s="122"/>
      <c r="D131" s="123"/>
      <c r="Q131" s="16" t="str">
        <f t="shared" si="5"/>
        <v/>
      </c>
      <c r="T131" s="16" t="str">
        <f t="shared" si="3"/>
        <v/>
      </c>
      <c r="V131" s="16" t="str">
        <f t="shared" si="4"/>
        <v/>
      </c>
    </row>
    <row r="132" spans="3:22" x14ac:dyDescent="0.15">
      <c r="C132" s="122"/>
      <c r="D132" s="123"/>
      <c r="Q132" s="16" t="str">
        <f t="shared" si="5"/>
        <v/>
      </c>
      <c r="T132" s="16" t="str">
        <f t="shared" si="3"/>
        <v/>
      </c>
      <c r="V132" s="16" t="str">
        <f t="shared" si="4"/>
        <v/>
      </c>
    </row>
    <row r="133" spans="3:22" x14ac:dyDescent="0.15">
      <c r="C133" s="122"/>
      <c r="D133" s="123"/>
      <c r="Q133" s="16" t="str">
        <f t="shared" si="5"/>
        <v/>
      </c>
      <c r="T133" s="16" t="str">
        <f t="shared" si="3"/>
        <v/>
      </c>
      <c r="V133" s="16" t="str">
        <f t="shared" si="4"/>
        <v/>
      </c>
    </row>
    <row r="134" spans="3:22" x14ac:dyDescent="0.15">
      <c r="C134" s="122"/>
      <c r="D134" s="123"/>
      <c r="Q134" s="16" t="str">
        <f t="shared" si="5"/>
        <v/>
      </c>
      <c r="T134" s="16" t="str">
        <f t="shared" si="3"/>
        <v/>
      </c>
      <c r="V134" s="16" t="str">
        <f t="shared" si="4"/>
        <v/>
      </c>
    </row>
    <row r="135" spans="3:22" x14ac:dyDescent="0.15">
      <c r="C135" s="122"/>
      <c r="D135" s="123"/>
      <c r="Q135" s="16" t="str">
        <f t="shared" si="5"/>
        <v/>
      </c>
      <c r="T135" s="16" t="str">
        <f t="shared" si="3"/>
        <v/>
      </c>
      <c r="V135" s="16" t="str">
        <f t="shared" si="4"/>
        <v/>
      </c>
    </row>
    <row r="136" spans="3:22" x14ac:dyDescent="0.15">
      <c r="C136" s="122"/>
      <c r="D136" s="123"/>
      <c r="Q136" s="16" t="str">
        <f t="shared" si="5"/>
        <v/>
      </c>
      <c r="T136" s="16" t="str">
        <f t="shared" si="3"/>
        <v/>
      </c>
      <c r="V136" s="16" t="str">
        <f t="shared" si="4"/>
        <v/>
      </c>
    </row>
    <row r="137" spans="3:22" x14ac:dyDescent="0.15">
      <c r="C137" s="122"/>
      <c r="D137" s="123"/>
      <c r="Q137" s="16" t="str">
        <f t="shared" si="5"/>
        <v/>
      </c>
      <c r="T137" s="16" t="str">
        <f t="shared" si="3"/>
        <v/>
      </c>
      <c r="V137" s="16" t="str">
        <f t="shared" si="4"/>
        <v/>
      </c>
    </row>
    <row r="138" spans="3:22" x14ac:dyDescent="0.15">
      <c r="C138" s="122"/>
      <c r="D138" s="123"/>
      <c r="Q138" s="16" t="str">
        <f t="shared" si="5"/>
        <v/>
      </c>
      <c r="T138" s="16" t="str">
        <f t="shared" ref="T138:T152" si="7">IF(H138="","",IF(OR(H138="GREEN",H138="GK"),IF(S138&gt;=$AX$2,VLOOKUP(S138,$AX$2:$AY$12,2,1),""),IF(S138&gt;=$AZ$2,VLOOKUP(S138,$AZ$2:$BA$12,2,1),"")))</f>
        <v/>
      </c>
      <c r="V138" s="16" t="str">
        <f t="shared" si="4"/>
        <v/>
      </c>
    </row>
    <row r="139" spans="3:22" x14ac:dyDescent="0.15">
      <c r="C139" s="122"/>
      <c r="D139" s="123"/>
      <c r="Q139" s="16" t="str">
        <f t="shared" si="5"/>
        <v/>
      </c>
      <c r="T139" s="16" t="str">
        <f t="shared" si="7"/>
        <v/>
      </c>
      <c r="V139" s="16" t="str">
        <f t="shared" si="4"/>
        <v/>
      </c>
    </row>
    <row r="140" spans="3:22" x14ac:dyDescent="0.15">
      <c r="C140" s="122"/>
      <c r="D140" s="123"/>
      <c r="Q140" s="16" t="str">
        <f t="shared" si="5"/>
        <v/>
      </c>
      <c r="T140" s="16" t="str">
        <f t="shared" si="7"/>
        <v/>
      </c>
      <c r="V140" s="16" t="str">
        <f t="shared" si="4"/>
        <v/>
      </c>
    </row>
    <row r="141" spans="3:22" x14ac:dyDescent="0.15">
      <c r="C141" s="122"/>
      <c r="D141" s="123"/>
      <c r="Q141" s="16" t="str">
        <f t="shared" si="5"/>
        <v/>
      </c>
      <c r="T141" s="16" t="str">
        <f t="shared" si="7"/>
        <v/>
      </c>
      <c r="V141" s="16" t="str">
        <f t="shared" si="4"/>
        <v/>
      </c>
    </row>
    <row r="142" spans="3:22" x14ac:dyDescent="0.15">
      <c r="C142" s="122"/>
      <c r="D142" s="123"/>
      <c r="Q142" s="16" t="str">
        <f t="shared" si="5"/>
        <v/>
      </c>
      <c r="T142" s="16" t="str">
        <f t="shared" si="7"/>
        <v/>
      </c>
      <c r="V142" s="16" t="str">
        <f t="shared" si="4"/>
        <v/>
      </c>
    </row>
    <row r="143" spans="3:22" x14ac:dyDescent="0.15">
      <c r="C143" s="122"/>
      <c r="D143" s="123"/>
      <c r="Q143" s="16" t="str">
        <f t="shared" si="5"/>
        <v/>
      </c>
      <c r="T143" s="16" t="str">
        <f t="shared" si="7"/>
        <v/>
      </c>
      <c r="V143" s="16" t="str">
        <f t="shared" si="4"/>
        <v/>
      </c>
    </row>
    <row r="144" spans="3:22" x14ac:dyDescent="0.15">
      <c r="C144" s="122"/>
      <c r="D144" s="123"/>
      <c r="Q144" s="16" t="str">
        <f t="shared" si="5"/>
        <v/>
      </c>
      <c r="T144" s="16" t="str">
        <f t="shared" si="7"/>
        <v/>
      </c>
      <c r="V144" s="16" t="str">
        <f t="shared" si="4"/>
        <v/>
      </c>
    </row>
    <row r="145" spans="3:22" x14ac:dyDescent="0.15">
      <c r="C145" s="122"/>
      <c r="D145" s="123"/>
      <c r="Q145" s="16" t="str">
        <f t="shared" si="5"/>
        <v/>
      </c>
      <c r="T145" s="16" t="str">
        <f t="shared" si="7"/>
        <v/>
      </c>
      <c r="V145" s="16" t="str">
        <f t="shared" si="4"/>
        <v/>
      </c>
    </row>
    <row r="146" spans="3:22" x14ac:dyDescent="0.15">
      <c r="Q146" s="16" t="str">
        <f t="shared" si="5"/>
        <v/>
      </c>
      <c r="T146" s="16" t="str">
        <f t="shared" si="7"/>
        <v/>
      </c>
      <c r="V146" s="16" t="str">
        <f t="shared" si="4"/>
        <v/>
      </c>
    </row>
    <row r="147" spans="3:22" x14ac:dyDescent="0.15">
      <c r="Q147" s="16" t="str">
        <f t="shared" si="5"/>
        <v/>
      </c>
      <c r="T147" s="16" t="str">
        <f t="shared" si="7"/>
        <v/>
      </c>
      <c r="V147" s="16" t="str">
        <f t="shared" si="4"/>
        <v/>
      </c>
    </row>
    <row r="148" spans="3:22" x14ac:dyDescent="0.15">
      <c r="Q148" s="16" t="str">
        <f t="shared" si="5"/>
        <v/>
      </c>
      <c r="T148" s="16" t="str">
        <f t="shared" si="7"/>
        <v/>
      </c>
      <c r="V148" s="16" t="str">
        <f t="shared" si="4"/>
        <v/>
      </c>
    </row>
    <row r="149" spans="3:22" x14ac:dyDescent="0.15">
      <c r="Q149" s="16" t="str">
        <f t="shared" si="5"/>
        <v/>
      </c>
      <c r="T149" s="16" t="str">
        <f t="shared" si="7"/>
        <v/>
      </c>
      <c r="V149" s="16" t="str">
        <f t="shared" si="4"/>
        <v/>
      </c>
    </row>
    <row r="150" spans="3:22" x14ac:dyDescent="0.15">
      <c r="Q150" s="16" t="str">
        <f t="shared" si="5"/>
        <v/>
      </c>
      <c r="T150" s="16" t="str">
        <f t="shared" si="7"/>
        <v/>
      </c>
      <c r="V150" s="16" t="str">
        <f t="shared" si="4"/>
        <v/>
      </c>
    </row>
    <row r="151" spans="3:22" x14ac:dyDescent="0.15">
      <c r="Q151" s="16" t="str">
        <f t="shared" ref="Q151:Q152" si="8">IF(OR(O151="",P151=""),"",AVERAGE(O151,P151))</f>
        <v/>
      </c>
      <c r="T151" s="16" t="str">
        <f t="shared" si="7"/>
        <v/>
      </c>
      <c r="V151" s="16" t="str">
        <f t="shared" si="4"/>
        <v/>
      </c>
    </row>
    <row r="152" spans="3:22" x14ac:dyDescent="0.15">
      <c r="Q152" s="16" t="str">
        <f t="shared" si="8"/>
        <v/>
      </c>
      <c r="T152" s="16" t="str">
        <f t="shared" si="7"/>
        <v/>
      </c>
      <c r="V152" s="16" t="str">
        <f t="shared" si="4"/>
        <v/>
      </c>
    </row>
  </sheetData>
  <autoFilter ref="A1:BA152" xr:uid="{00000000-0009-0000-0000-000005000000}"/>
  <phoneticPr fontId="3"/>
  <dataValidations count="20">
    <dataValidation type="list" allowBlank="1" showInputMessage="1" showErrorMessage="1" sqref="K2:K1000" xr:uid="{6C366438-FF64-41E9-946D-4DD06F5CA9DD}">
      <formula1>$AR$2:$AR$29</formula1>
    </dataValidation>
    <dataValidation type="list" allowBlank="1" showInputMessage="1" showErrorMessage="1" sqref="J2:J1000" xr:uid="{937CD138-8B02-4DC0-ACD2-F8ECDACF5007}">
      <formula1>$AP$2:$AP$29</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0046162D-0E7C-4F96-A218-4996AEA24124}">
      <formula1>$AR$2:$AR$30</formula1>
    </dataValidation>
    <dataValidation type="list" allowBlank="1" showInputMessage="1" showErrorMessage="1" sqref="H2:H1307" xr:uid="{E31AF3A5-E7BE-47C0-AB58-5ABBD3DE1618}">
      <formula1>$AL$2:$AL$9</formula1>
    </dataValidation>
    <dataValidation type="list" allowBlank="1" showInputMessage="1" showErrorMessage="1" sqref="WVS983034:WVS983099 FAY2:FAY59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ERC2:ERC59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EHG2:EHG59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DXK2:DXK59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DNO2:DNO5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DDS2:DDS59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CTW2:CTW59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CKA2:CKA59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CAE2:CAE59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BQI2:BQI5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BGM2:BGM59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AWQ2:AWQ59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AMU2:AMU59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ACY2:ACY59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TC2:TC5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xr:uid="{10D3F88B-D2F9-43FE-B97F-CE426C0953DF}">
      <formula1>$AR$2:$AR$25</formula1>
    </dataValidation>
    <dataValidation type="list" allowBlank="1" showInputMessage="1" showErrorMessage="1" sqref="WVR983034:WVR983099 ERB2:ERB59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EHF2:EHF59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DXJ2:DXJ59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DNN2:DNN59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DDR2:DDR5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CTV2:CTV59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CJZ2:CJZ59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CAD2:CAD59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BQH2:BQH59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BGL2:BGL5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AWP2:AWP59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AMT2:AMT59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ACX2:ACX59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TB2:TB59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F2:JF5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xr:uid="{1E3B57E3-12A8-4B5F-B662-C854E522E33C}">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xr:uid="{3B0B99B6-257B-4712-BB23-22437B7C23EF}">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xr:uid="{78BAD7E0-51AC-4C0F-902E-09A02546E1F2}">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xr:uid="{A623F287-1EB1-4D44-976E-AD37F8B75D1D}">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xr:uid="{99D55BB3-B9A1-44C5-8561-FA4B60BCC713}">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xr:uid="{43E90A1A-F93C-46CE-AF35-BE4D575369C9}">
      <formula1>$AN$5:$AN$6</formula1>
    </dataValidation>
    <dataValidation type="list" allowBlank="1" showInputMessage="1" showErrorMessage="1" sqref="RDZ1047395:RDZ104746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RNV1047395:RNV1047460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RXR1047395:RXR1047460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SHN1047395:SHN1047460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SRJ1047395:SRJ1047460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TBF1047395:TBF104746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TLB1047395:TLB1047460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TUX1047395:TUX1047460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UET1047395:UET1047460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UOP1047395:UOP1047460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UYL1047395:UYL104746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VIH1047395:VIH1047460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VSD1047395:VSD1047460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WBZ1047395:WBZ1047460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WLV1047395:WLV1047460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WVR1047395:WVR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J65535:J65613 J131071:J131149 J196607:J196685 J262143:J262221 J327679:J327757 J393215:J393293 J458751:J458829 J524287:J524365 J589823:J589901 J655359:J655437 J720895:J720973 J786431:J786509 J851967:J852045 J917503:J917581 J983039:J983117" xr:uid="{8F7906B6-8359-4321-A4AE-5B4ACDE28FF6}">
      <formula1>$AP$2:$AP$15</formula1>
    </dataValidation>
    <dataValidation type="list" allowBlank="1" showInputMessage="1" showErrorMessage="1" sqref="REA1047395:REA104746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RNW1047395:RNW1047460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RXS1047395:RXS1047460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SHO1047395:SHO1047460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SRK1047395:SRK1047460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TBG1047395:TBG104746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TLC1047395:TLC1047460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TUY1047395:TUY1047460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UEU1047395:UEU1047460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UOQ1047395:UOQ1047460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UYM1047395:UYM104746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VII1047395:VII1047460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VSE1047395:VSE1047460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WCA1047395:WCA1047460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WLW1047395:WLW1047460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WVS1047395:WVS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xr:uid="{DAC715FA-41EC-4882-B111-729CC96F046A}">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xr:uid="{1C44B52F-1237-4A5E-A277-B37996A65DA3}">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xr:uid="{3D298E13-7552-4657-A40E-B0D318ACE35C}">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xr:uid="{0C5FEA9D-E6AC-4B8A-8650-2EE8941955A4}">
      <formula1>#REF!</formula1>
    </dataValidation>
    <dataValidation type="list" allowBlank="1" showInputMessage="1" showErrorMessage="1" sqref="E2:E492" xr:uid="{4052ED9C-E4FD-4D07-8CB6-B797AE4FBC0A}">
      <formula1>$AG$2:$AG$11</formula1>
    </dataValidation>
    <dataValidation type="decimal" allowBlank="1" showInputMessage="1" showErrorMessage="1" error="硬度を正しく入力して下さい。" sqref="O2:P492" xr:uid="{88CE7786-7DA0-4DAA-B8F7-50AB5030AA7F}">
      <formula1>0</formula1>
      <formula2>7</formula2>
    </dataValidation>
    <dataValidation type="list" allowBlank="1" showInputMessage="1" showErrorMessage="1" sqref="F2:F1446" xr:uid="{F9A9C3E4-8863-4E5B-9680-69B29BB29A83}">
      <formula1>$AH$2:$AH$11</formula1>
    </dataValidation>
    <dataValidation type="list" allowBlank="1" showInputMessage="1" showErrorMessage="1" sqref="AC38 Y2:AA583" xr:uid="{634AB472-F3B4-46B6-862C-0BC77A4A4B0B}">
      <formula1>$AV$2:$AV$38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A1425"/>
  <sheetViews>
    <sheetView zoomScale="85" zoomScaleNormal="85" zoomScaleSheetLayoutView="100" workbookViewId="0">
      <pane ySplit="1" topLeftCell="A2" activePane="bottomLeft" state="frozen"/>
      <selection activeCell="H14" sqref="H14"/>
      <selection pane="bottomLeft" activeCell="A2" sqref="A2"/>
    </sheetView>
  </sheetViews>
  <sheetFormatPr defaultColWidth="9" defaultRowHeight="13.5" x14ac:dyDescent="0.15"/>
  <cols>
    <col min="1" max="3" width="9" style="7"/>
    <col min="4" max="4" width="10.5" style="7" bestFit="1" customWidth="1"/>
    <col min="5" max="9" width="9" style="7"/>
    <col min="10" max="11" width="9" style="77"/>
    <col min="12" max="16" width="9" style="7"/>
    <col min="17" max="17" width="9" style="16"/>
    <col min="18" max="19" width="9" style="7"/>
    <col min="20" max="20" width="9" style="16"/>
    <col min="21" max="21" width="9" style="7"/>
    <col min="22" max="22" width="9" style="16"/>
    <col min="23" max="32" width="9" style="7"/>
    <col min="33" max="33" width="16.875" style="7" bestFit="1" customWidth="1"/>
    <col min="34" max="34" width="15.625" style="7" customWidth="1"/>
    <col min="35" max="39" width="9" style="48"/>
    <col min="40" max="16384" width="9" style="7"/>
  </cols>
  <sheetData>
    <row r="1" spans="1:53" ht="45" x14ac:dyDescent="0.15">
      <c r="A1" s="40" t="s">
        <v>0</v>
      </c>
      <c r="B1" s="1" t="s">
        <v>1</v>
      </c>
      <c r="C1" s="1" t="s">
        <v>118</v>
      </c>
      <c r="D1" s="2" t="s">
        <v>2</v>
      </c>
      <c r="E1" s="41" t="s">
        <v>3</v>
      </c>
      <c r="F1" s="41" t="s">
        <v>4</v>
      </c>
      <c r="G1" s="41" t="s">
        <v>5</v>
      </c>
      <c r="H1" s="41" t="s">
        <v>6</v>
      </c>
      <c r="I1" s="41" t="s">
        <v>7</v>
      </c>
      <c r="J1" s="83" t="s">
        <v>8</v>
      </c>
      <c r="K1" s="83" t="s">
        <v>9</v>
      </c>
      <c r="L1" s="2" t="s">
        <v>119</v>
      </c>
      <c r="M1" s="2" t="s">
        <v>10</v>
      </c>
      <c r="N1" s="2" t="s">
        <v>11</v>
      </c>
      <c r="O1" s="2" t="s">
        <v>120</v>
      </c>
      <c r="P1" s="2" t="s">
        <v>121</v>
      </c>
      <c r="Q1" s="3" t="s">
        <v>12</v>
      </c>
      <c r="R1" s="2" t="s">
        <v>122</v>
      </c>
      <c r="S1" s="2" t="s">
        <v>123</v>
      </c>
      <c r="T1" s="3" t="s">
        <v>13</v>
      </c>
      <c r="U1" s="4" t="s">
        <v>92</v>
      </c>
      <c r="V1" s="5" t="s">
        <v>14</v>
      </c>
      <c r="W1" s="2" t="s">
        <v>15</v>
      </c>
      <c r="X1" s="41" t="s">
        <v>16</v>
      </c>
      <c r="Y1" s="41" t="s">
        <v>17</v>
      </c>
      <c r="Z1" s="41" t="s">
        <v>18</v>
      </c>
      <c r="AA1" s="42" t="s">
        <v>19</v>
      </c>
      <c r="AB1" s="6" t="s">
        <v>124</v>
      </c>
      <c r="AE1" s="8" t="s">
        <v>0</v>
      </c>
      <c r="AF1" s="9"/>
      <c r="AG1" s="8" t="s">
        <v>3</v>
      </c>
      <c r="AH1" s="8" t="s">
        <v>4</v>
      </c>
      <c r="AI1" s="51"/>
      <c r="AJ1" s="52" t="s">
        <v>5</v>
      </c>
      <c r="AK1" s="51"/>
      <c r="AL1" s="53" t="s">
        <v>6</v>
      </c>
      <c r="AM1" s="51"/>
      <c r="AN1" s="10" t="s">
        <v>7</v>
      </c>
      <c r="AO1" s="9"/>
      <c r="AP1" s="10" t="s">
        <v>20</v>
      </c>
      <c r="AQ1" s="9"/>
      <c r="AR1" s="10" t="s">
        <v>9</v>
      </c>
      <c r="AS1" s="9"/>
      <c r="AT1" s="11" t="s">
        <v>21</v>
      </c>
      <c r="AU1" s="9"/>
      <c r="AV1" s="10" t="s">
        <v>22</v>
      </c>
      <c r="AX1" s="12" t="s">
        <v>125</v>
      </c>
      <c r="AY1" s="13" t="s">
        <v>126</v>
      </c>
      <c r="AZ1" s="13" t="s">
        <v>127</v>
      </c>
      <c r="BA1" s="14" t="s">
        <v>128</v>
      </c>
    </row>
    <row r="2" spans="1:53" x14ac:dyDescent="0.15">
      <c r="A2" s="84" t="s">
        <v>23</v>
      </c>
      <c r="B2" s="84" t="s">
        <v>160</v>
      </c>
      <c r="C2" s="84">
        <v>2020</v>
      </c>
      <c r="D2" s="45" t="s">
        <v>163</v>
      </c>
      <c r="E2" s="84" t="s">
        <v>164</v>
      </c>
      <c r="F2" s="84" t="s">
        <v>147</v>
      </c>
      <c r="G2" s="84" t="s">
        <v>25</v>
      </c>
      <c r="H2" s="84" t="s">
        <v>113</v>
      </c>
      <c r="I2" s="84" t="s">
        <v>111</v>
      </c>
      <c r="J2" s="78" t="s">
        <v>27</v>
      </c>
      <c r="K2" s="77" t="s">
        <v>112</v>
      </c>
      <c r="L2" s="84">
        <v>1</v>
      </c>
      <c r="M2" s="55"/>
      <c r="N2" s="77">
        <v>1</v>
      </c>
      <c r="O2" s="55">
        <v>0.55000000000000004</v>
      </c>
      <c r="P2" s="55">
        <v>0.55000000000000004</v>
      </c>
      <c r="Q2" s="56">
        <f t="shared" ref="Q2:Q173" si="0">IF(OR(O2="",P2=""),"",AVERAGE(O2,P2))</f>
        <v>0.55000000000000004</v>
      </c>
      <c r="R2" s="57">
        <v>14.9</v>
      </c>
      <c r="S2" s="54">
        <v>113</v>
      </c>
      <c r="T2" s="58">
        <f t="shared" ref="T2:T163" si="1">IF(H2="","",IF(OR(H2="GREEN",H2="GK"),IF(S2&gt;=$AX$2,VLOOKUP(S2,$AX$2:$AY$7,2,1),""),IF(S2&gt;=$AZ$2,VLOOKUP(S2,$AZ$2:$BA$7,2,1),"")))</f>
        <v>30</v>
      </c>
      <c r="U2" s="46">
        <v>98</v>
      </c>
      <c r="V2" s="58">
        <f t="shared" ref="V2:V171" si="2">IF(OR(N2="",U2="",T2=""),"",U2/N2*T2)</f>
        <v>2940</v>
      </c>
      <c r="W2" s="59">
        <v>22</v>
      </c>
      <c r="X2" s="60" t="s">
        <v>35</v>
      </c>
      <c r="Y2" s="60" t="s">
        <v>74</v>
      </c>
      <c r="Z2" s="60" t="s">
        <v>82</v>
      </c>
      <c r="AA2" s="61" t="s">
        <v>43</v>
      </c>
      <c r="AB2" s="43" t="s">
        <v>161</v>
      </c>
      <c r="AE2" s="17" t="s">
        <v>24</v>
      </c>
      <c r="AG2" s="87" t="s">
        <v>140</v>
      </c>
      <c r="AH2" s="87" t="s">
        <v>141</v>
      </c>
      <c r="AJ2" s="49" t="s">
        <v>25</v>
      </c>
      <c r="AL2" s="85" t="s">
        <v>107</v>
      </c>
      <c r="AN2" s="18" t="s">
        <v>26</v>
      </c>
      <c r="AO2" s="15"/>
      <c r="AP2" s="18" t="s">
        <v>27</v>
      </c>
      <c r="AQ2" s="15"/>
      <c r="AR2" s="18" t="s">
        <v>129</v>
      </c>
      <c r="AS2" s="15"/>
      <c r="AT2" s="18" t="s">
        <v>28</v>
      </c>
      <c r="AU2" s="15"/>
      <c r="AV2" s="50" t="s">
        <v>29</v>
      </c>
      <c r="AW2" s="15"/>
      <c r="AX2" s="19">
        <v>1</v>
      </c>
      <c r="AY2" s="20">
        <v>50</v>
      </c>
      <c r="AZ2" s="20">
        <v>1</v>
      </c>
      <c r="BA2" s="21">
        <v>50</v>
      </c>
    </row>
    <row r="3" spans="1:53" x14ac:dyDescent="0.15">
      <c r="A3" s="84" t="s">
        <v>23</v>
      </c>
      <c r="B3" s="84" t="s">
        <v>160</v>
      </c>
      <c r="C3" s="84">
        <v>2020</v>
      </c>
      <c r="D3" s="45" t="s">
        <v>163</v>
      </c>
      <c r="E3" s="84" t="s">
        <v>164</v>
      </c>
      <c r="F3" s="84" t="s">
        <v>147</v>
      </c>
      <c r="G3" s="84" t="s">
        <v>25</v>
      </c>
      <c r="H3" s="84" t="s">
        <v>113</v>
      </c>
      <c r="I3" s="84" t="s">
        <v>111</v>
      </c>
      <c r="J3" s="78" t="s">
        <v>27</v>
      </c>
      <c r="K3" s="77" t="s">
        <v>112</v>
      </c>
      <c r="L3" s="84">
        <v>2</v>
      </c>
      <c r="N3" s="77">
        <v>1</v>
      </c>
      <c r="O3" s="7">
        <v>0.6</v>
      </c>
      <c r="P3" s="34">
        <v>0.7</v>
      </c>
      <c r="Q3" s="62">
        <f t="shared" si="0"/>
        <v>0.64999999999999991</v>
      </c>
      <c r="R3" s="63">
        <v>14.3</v>
      </c>
      <c r="S3" s="63">
        <v>115</v>
      </c>
      <c r="T3" s="16">
        <f t="shared" si="1"/>
        <v>30</v>
      </c>
      <c r="U3" s="46">
        <v>98</v>
      </c>
      <c r="V3" s="64">
        <f t="shared" si="2"/>
        <v>2940</v>
      </c>
      <c r="W3" s="59">
        <v>22</v>
      </c>
      <c r="X3" s="60" t="s">
        <v>35</v>
      </c>
      <c r="Y3" s="60" t="s">
        <v>74</v>
      </c>
      <c r="Z3" s="60" t="s">
        <v>82</v>
      </c>
      <c r="AA3" s="61" t="s">
        <v>43</v>
      </c>
      <c r="AB3" s="43" t="s">
        <v>161</v>
      </c>
      <c r="AE3" s="22" t="s">
        <v>30</v>
      </c>
      <c r="AG3" s="88" t="s">
        <v>142</v>
      </c>
      <c r="AH3" s="88" t="s">
        <v>143</v>
      </c>
      <c r="AJ3" s="66" t="s">
        <v>31</v>
      </c>
      <c r="AL3" s="80" t="s">
        <v>108</v>
      </c>
      <c r="AN3" s="23" t="s">
        <v>32</v>
      </c>
      <c r="AP3" s="23" t="s">
        <v>33</v>
      </c>
      <c r="AR3" s="37" t="s">
        <v>34</v>
      </c>
      <c r="AT3" s="23" t="s">
        <v>35</v>
      </c>
      <c r="AV3" s="23" t="s">
        <v>36</v>
      </c>
      <c r="AX3" s="24">
        <v>72</v>
      </c>
      <c r="AY3" s="25">
        <v>46</v>
      </c>
      <c r="AZ3" s="25">
        <v>71</v>
      </c>
      <c r="BA3" s="26">
        <v>42</v>
      </c>
    </row>
    <row r="4" spans="1:53" x14ac:dyDescent="0.15">
      <c r="A4" s="84" t="s">
        <v>23</v>
      </c>
      <c r="B4" s="84" t="s">
        <v>160</v>
      </c>
      <c r="C4" s="84">
        <v>2020</v>
      </c>
      <c r="D4" s="45" t="s">
        <v>163</v>
      </c>
      <c r="E4" s="84" t="s">
        <v>164</v>
      </c>
      <c r="F4" s="84" t="s">
        <v>147</v>
      </c>
      <c r="G4" s="84" t="s">
        <v>25</v>
      </c>
      <c r="H4" s="84" t="s">
        <v>113</v>
      </c>
      <c r="I4" s="84" t="s">
        <v>111</v>
      </c>
      <c r="J4" s="78" t="s">
        <v>27</v>
      </c>
      <c r="K4" s="77" t="s">
        <v>112</v>
      </c>
      <c r="L4" s="84">
        <v>3</v>
      </c>
      <c r="N4" s="77">
        <v>1</v>
      </c>
      <c r="O4" s="7">
        <v>0.75</v>
      </c>
      <c r="P4" s="34">
        <v>0.9</v>
      </c>
      <c r="Q4" s="44">
        <f t="shared" si="0"/>
        <v>0.82499999999999996</v>
      </c>
      <c r="R4" s="67">
        <v>15.3</v>
      </c>
      <c r="S4" s="67">
        <v>113</v>
      </c>
      <c r="T4" s="16">
        <f t="shared" si="1"/>
        <v>30</v>
      </c>
      <c r="U4" s="46">
        <v>98</v>
      </c>
      <c r="V4" s="64">
        <f t="shared" si="2"/>
        <v>2940</v>
      </c>
      <c r="W4" s="59">
        <v>22</v>
      </c>
      <c r="X4" s="60" t="s">
        <v>35</v>
      </c>
      <c r="Y4" s="60" t="s">
        <v>74</v>
      </c>
      <c r="Z4" s="60" t="s">
        <v>82</v>
      </c>
      <c r="AA4" s="61" t="s">
        <v>43</v>
      </c>
      <c r="AB4" s="43" t="s">
        <v>161</v>
      </c>
      <c r="AE4" s="22" t="s">
        <v>23</v>
      </c>
      <c r="AG4" s="88" t="s">
        <v>144</v>
      </c>
      <c r="AH4" s="88" t="s">
        <v>145</v>
      </c>
      <c r="AJ4" s="70" t="s">
        <v>37</v>
      </c>
      <c r="AL4" s="80" t="s">
        <v>109</v>
      </c>
      <c r="AN4" s="28" t="s">
        <v>38</v>
      </c>
      <c r="AP4" s="23" t="s">
        <v>130</v>
      </c>
      <c r="AR4" s="37" t="s">
        <v>131</v>
      </c>
      <c r="AT4" s="28"/>
      <c r="AV4" s="23" t="s">
        <v>39</v>
      </c>
      <c r="AX4" s="24">
        <v>75</v>
      </c>
      <c r="AY4" s="25">
        <v>42</v>
      </c>
      <c r="AZ4" s="25">
        <v>76</v>
      </c>
      <c r="BA4" s="26">
        <v>39</v>
      </c>
    </row>
    <row r="5" spans="1:53" x14ac:dyDescent="0.15">
      <c r="A5" s="84" t="s">
        <v>23</v>
      </c>
      <c r="B5" s="84" t="s">
        <v>160</v>
      </c>
      <c r="C5" s="84">
        <v>2020</v>
      </c>
      <c r="D5" s="45" t="s">
        <v>163</v>
      </c>
      <c r="E5" s="84" t="s">
        <v>164</v>
      </c>
      <c r="F5" s="84" t="s">
        <v>147</v>
      </c>
      <c r="G5" s="84" t="s">
        <v>25</v>
      </c>
      <c r="H5" s="84" t="s">
        <v>113</v>
      </c>
      <c r="I5" s="84" t="s">
        <v>111</v>
      </c>
      <c r="J5" s="78" t="s">
        <v>27</v>
      </c>
      <c r="K5" s="77" t="s">
        <v>112</v>
      </c>
      <c r="L5" s="84">
        <v>1</v>
      </c>
      <c r="N5" s="77">
        <v>7</v>
      </c>
      <c r="O5" s="7">
        <v>0.7</v>
      </c>
      <c r="P5" s="36">
        <v>0.7</v>
      </c>
      <c r="Q5" s="44">
        <f t="shared" si="0"/>
        <v>0.7</v>
      </c>
      <c r="R5" s="67">
        <v>19.7</v>
      </c>
      <c r="S5" s="67">
        <v>98</v>
      </c>
      <c r="T5" s="16">
        <f t="shared" si="1"/>
        <v>36</v>
      </c>
      <c r="U5" s="68">
        <v>598</v>
      </c>
      <c r="V5" s="64">
        <f t="shared" si="2"/>
        <v>3075.4285714285716</v>
      </c>
      <c r="W5" s="59">
        <v>22</v>
      </c>
      <c r="X5" s="60" t="s">
        <v>35</v>
      </c>
      <c r="Y5" s="60" t="s">
        <v>74</v>
      </c>
      <c r="Z5" s="60" t="s">
        <v>82</v>
      </c>
      <c r="AA5" s="61" t="s">
        <v>43</v>
      </c>
      <c r="AB5" s="43" t="s">
        <v>161</v>
      </c>
      <c r="AE5" s="22" t="s">
        <v>40</v>
      </c>
      <c r="AG5" s="88" t="s">
        <v>146</v>
      </c>
      <c r="AH5" s="88" t="s">
        <v>147</v>
      </c>
      <c r="AJ5" s="71"/>
      <c r="AL5" s="81" t="s">
        <v>132</v>
      </c>
      <c r="AN5" s="29" t="s">
        <v>133</v>
      </c>
      <c r="AP5" s="23" t="s">
        <v>134</v>
      </c>
      <c r="AR5" s="37" t="s">
        <v>42</v>
      </c>
      <c r="AT5" s="47"/>
      <c r="AV5" s="23" t="s">
        <v>43</v>
      </c>
      <c r="AX5" s="24">
        <v>84</v>
      </c>
      <c r="AY5" s="25">
        <v>39</v>
      </c>
      <c r="AZ5" s="25">
        <v>84</v>
      </c>
      <c r="BA5" s="26">
        <v>36</v>
      </c>
    </row>
    <row r="6" spans="1:53" x14ac:dyDescent="0.15">
      <c r="A6" s="84" t="s">
        <v>23</v>
      </c>
      <c r="B6" s="84" t="s">
        <v>160</v>
      </c>
      <c r="C6" s="84">
        <v>2020</v>
      </c>
      <c r="D6" s="45" t="s">
        <v>163</v>
      </c>
      <c r="E6" s="84" t="s">
        <v>164</v>
      </c>
      <c r="F6" s="84" t="s">
        <v>147</v>
      </c>
      <c r="G6" s="84" t="s">
        <v>25</v>
      </c>
      <c r="H6" s="84" t="s">
        <v>386</v>
      </c>
      <c r="I6" s="84" t="s">
        <v>111</v>
      </c>
      <c r="J6" s="78" t="s">
        <v>27</v>
      </c>
      <c r="K6" s="77" t="s">
        <v>112</v>
      </c>
      <c r="L6" s="84">
        <v>2</v>
      </c>
      <c r="N6" s="77">
        <v>7</v>
      </c>
      <c r="O6" s="7">
        <v>1</v>
      </c>
      <c r="P6" s="36">
        <v>1.05</v>
      </c>
      <c r="Q6" s="44">
        <f t="shared" si="0"/>
        <v>1.0249999999999999</v>
      </c>
      <c r="R6" s="67">
        <v>19.2</v>
      </c>
      <c r="S6" s="67">
        <v>102</v>
      </c>
      <c r="T6" s="16">
        <f t="shared" si="1"/>
        <v>33</v>
      </c>
      <c r="U6" s="68">
        <v>598</v>
      </c>
      <c r="V6" s="64">
        <f t="shared" si="2"/>
        <v>2819.1428571428573</v>
      </c>
      <c r="W6" s="59">
        <v>22</v>
      </c>
      <c r="X6" s="60" t="s">
        <v>35</v>
      </c>
      <c r="Y6" s="60" t="s">
        <v>74</v>
      </c>
      <c r="Z6" s="60" t="s">
        <v>82</v>
      </c>
      <c r="AA6" s="61" t="s">
        <v>43</v>
      </c>
      <c r="AB6" s="43" t="s">
        <v>161</v>
      </c>
      <c r="AE6" s="22" t="s">
        <v>44</v>
      </c>
      <c r="AG6" s="88" t="s">
        <v>148</v>
      </c>
      <c r="AH6" s="88" t="s">
        <v>149</v>
      </c>
      <c r="AL6" s="81" t="s">
        <v>135</v>
      </c>
      <c r="AN6" s="29" t="s">
        <v>136</v>
      </c>
      <c r="AP6" s="23" t="s">
        <v>41</v>
      </c>
      <c r="AR6" s="37" t="s">
        <v>46</v>
      </c>
      <c r="AV6" s="23" t="s">
        <v>47</v>
      </c>
      <c r="AX6" s="24">
        <v>97</v>
      </c>
      <c r="AY6" s="25">
        <v>36</v>
      </c>
      <c r="AZ6" s="25">
        <v>99</v>
      </c>
      <c r="BA6" s="26">
        <v>33</v>
      </c>
    </row>
    <row r="7" spans="1:53" x14ac:dyDescent="0.15">
      <c r="A7" s="84" t="s">
        <v>23</v>
      </c>
      <c r="B7" s="84" t="s">
        <v>160</v>
      </c>
      <c r="C7" s="84">
        <v>2020</v>
      </c>
      <c r="D7" s="45" t="s">
        <v>163</v>
      </c>
      <c r="E7" s="84" t="s">
        <v>164</v>
      </c>
      <c r="F7" s="84" t="s">
        <v>147</v>
      </c>
      <c r="G7" s="84" t="s">
        <v>25</v>
      </c>
      <c r="H7" s="84" t="s">
        <v>113</v>
      </c>
      <c r="I7" s="84" t="s">
        <v>111</v>
      </c>
      <c r="J7" s="78" t="s">
        <v>27</v>
      </c>
      <c r="K7" s="77" t="s">
        <v>112</v>
      </c>
      <c r="L7" s="84">
        <v>3</v>
      </c>
      <c r="N7" s="77">
        <v>7</v>
      </c>
      <c r="O7" s="7">
        <v>1</v>
      </c>
      <c r="P7" s="36">
        <v>1</v>
      </c>
      <c r="Q7" s="44">
        <f t="shared" si="0"/>
        <v>1</v>
      </c>
      <c r="R7" s="67">
        <v>15.3</v>
      </c>
      <c r="S7" s="67">
        <v>100</v>
      </c>
      <c r="T7" s="16">
        <f t="shared" si="1"/>
        <v>33</v>
      </c>
      <c r="U7" s="68">
        <v>598</v>
      </c>
      <c r="V7" s="64">
        <f t="shared" si="2"/>
        <v>2819.1428571428573</v>
      </c>
      <c r="W7" s="59">
        <v>22</v>
      </c>
      <c r="X7" s="60" t="s">
        <v>35</v>
      </c>
      <c r="Y7" s="60" t="s">
        <v>74</v>
      </c>
      <c r="Z7" s="60" t="s">
        <v>82</v>
      </c>
      <c r="AA7" s="61" t="s">
        <v>43</v>
      </c>
      <c r="AB7" s="43" t="s">
        <v>161</v>
      </c>
      <c r="AE7" s="22" t="s">
        <v>48</v>
      </c>
      <c r="AG7" s="88" t="s">
        <v>150</v>
      </c>
      <c r="AH7" s="88" t="s">
        <v>147</v>
      </c>
      <c r="AL7" s="86" t="s">
        <v>137</v>
      </c>
      <c r="AP7" s="23" t="s">
        <v>45</v>
      </c>
      <c r="AR7" s="30" t="s">
        <v>102</v>
      </c>
      <c r="AV7" s="23" t="s">
        <v>51</v>
      </c>
      <c r="AX7" s="24">
        <v>109</v>
      </c>
      <c r="AY7" s="25">
        <v>33</v>
      </c>
      <c r="AZ7" s="25">
        <v>113</v>
      </c>
      <c r="BA7" s="26">
        <v>30</v>
      </c>
    </row>
    <row r="8" spans="1:53" x14ac:dyDescent="0.15">
      <c r="A8" s="84" t="s">
        <v>23</v>
      </c>
      <c r="B8" s="84" t="s">
        <v>160</v>
      </c>
      <c r="C8" s="84">
        <v>2020</v>
      </c>
      <c r="D8" s="45" t="s">
        <v>163</v>
      </c>
      <c r="E8" s="84" t="s">
        <v>164</v>
      </c>
      <c r="F8" s="84" t="s">
        <v>147</v>
      </c>
      <c r="G8" s="84" t="s">
        <v>25</v>
      </c>
      <c r="H8" s="84" t="s">
        <v>113</v>
      </c>
      <c r="I8" s="84" t="s">
        <v>385</v>
      </c>
      <c r="J8" s="78" t="s">
        <v>27</v>
      </c>
      <c r="K8" s="77" t="s">
        <v>112</v>
      </c>
      <c r="L8" s="84">
        <v>1</v>
      </c>
      <c r="N8" s="77">
        <v>8</v>
      </c>
      <c r="O8" s="7">
        <v>0.65</v>
      </c>
      <c r="P8" s="7">
        <v>0.7</v>
      </c>
      <c r="Q8" s="44">
        <f t="shared" si="0"/>
        <v>0.67500000000000004</v>
      </c>
      <c r="R8" s="67">
        <v>13.9</v>
      </c>
      <c r="S8" s="67">
        <v>87</v>
      </c>
      <c r="T8" s="16">
        <f t="shared" si="1"/>
        <v>36</v>
      </c>
      <c r="U8" s="72">
        <v>598</v>
      </c>
      <c r="V8" s="64">
        <f t="shared" si="2"/>
        <v>2691</v>
      </c>
      <c r="W8" s="59">
        <v>22</v>
      </c>
      <c r="X8" s="60" t="s">
        <v>35</v>
      </c>
      <c r="Y8" s="60" t="s">
        <v>74</v>
      </c>
      <c r="Z8" s="60" t="s">
        <v>82</v>
      </c>
      <c r="AA8" s="61" t="s">
        <v>43</v>
      </c>
      <c r="AB8" s="43" t="s">
        <v>161</v>
      </c>
      <c r="AE8" s="22" t="s">
        <v>46</v>
      </c>
      <c r="AG8" s="88" t="s">
        <v>151</v>
      </c>
      <c r="AH8" s="88" t="s">
        <v>147</v>
      </c>
      <c r="AL8" s="86" t="s">
        <v>110</v>
      </c>
      <c r="AP8" s="23" t="s">
        <v>49</v>
      </c>
      <c r="AR8" s="37" t="s">
        <v>67</v>
      </c>
      <c r="AV8" s="23" t="s">
        <v>82</v>
      </c>
      <c r="AX8" s="24">
        <v>151</v>
      </c>
      <c r="AY8" s="25">
        <v>22</v>
      </c>
      <c r="AZ8" s="25">
        <v>152</v>
      </c>
      <c r="BA8" s="26">
        <v>18</v>
      </c>
    </row>
    <row r="9" spans="1:53" x14ac:dyDescent="0.15">
      <c r="A9" s="84" t="s">
        <v>23</v>
      </c>
      <c r="B9" s="84" t="s">
        <v>160</v>
      </c>
      <c r="C9" s="84">
        <v>2020</v>
      </c>
      <c r="D9" s="45" t="s">
        <v>163</v>
      </c>
      <c r="E9" s="84" t="s">
        <v>164</v>
      </c>
      <c r="F9" s="84" t="s">
        <v>147</v>
      </c>
      <c r="G9" s="84" t="s">
        <v>25</v>
      </c>
      <c r="H9" s="84" t="s">
        <v>113</v>
      </c>
      <c r="I9" s="84" t="s">
        <v>111</v>
      </c>
      <c r="J9" s="78" t="s">
        <v>27</v>
      </c>
      <c r="K9" s="77" t="s">
        <v>112</v>
      </c>
      <c r="L9" s="84">
        <v>2</v>
      </c>
      <c r="N9" s="77">
        <v>8</v>
      </c>
      <c r="O9" s="7">
        <v>0.2</v>
      </c>
      <c r="P9" s="7">
        <v>0.2</v>
      </c>
      <c r="Q9" s="44">
        <f t="shared" si="0"/>
        <v>0.2</v>
      </c>
      <c r="R9" s="67">
        <v>14.3</v>
      </c>
      <c r="S9" s="67">
        <v>85</v>
      </c>
      <c r="T9" s="16">
        <f t="shared" si="1"/>
        <v>36</v>
      </c>
      <c r="U9" s="72">
        <v>598</v>
      </c>
      <c r="V9" s="64">
        <f t="shared" si="2"/>
        <v>2691</v>
      </c>
      <c r="W9" s="59">
        <v>22</v>
      </c>
      <c r="X9" s="60" t="s">
        <v>35</v>
      </c>
      <c r="Y9" s="60" t="s">
        <v>74</v>
      </c>
      <c r="Z9" s="60" t="s">
        <v>82</v>
      </c>
      <c r="AA9" s="61" t="s">
        <v>43</v>
      </c>
      <c r="AB9" s="43" t="s">
        <v>161</v>
      </c>
      <c r="AE9" s="22" t="s">
        <v>83</v>
      </c>
      <c r="AG9" s="88" t="s">
        <v>152</v>
      </c>
      <c r="AH9" s="88" t="s">
        <v>147</v>
      </c>
      <c r="AL9" s="81" t="s">
        <v>139</v>
      </c>
      <c r="AP9" s="23" t="s">
        <v>80</v>
      </c>
      <c r="AR9" s="30" t="s">
        <v>75</v>
      </c>
      <c r="AV9" s="23" t="s">
        <v>86</v>
      </c>
      <c r="AX9" s="31">
        <v>180</v>
      </c>
      <c r="AY9" s="32">
        <v>18</v>
      </c>
      <c r="AZ9" s="32">
        <v>181</v>
      </c>
      <c r="BA9" s="33">
        <v>16</v>
      </c>
    </row>
    <row r="10" spans="1:53" x14ac:dyDescent="0.15">
      <c r="A10" s="84" t="s">
        <v>23</v>
      </c>
      <c r="B10" s="84" t="s">
        <v>160</v>
      </c>
      <c r="C10" s="84">
        <v>2020</v>
      </c>
      <c r="D10" s="45" t="s">
        <v>163</v>
      </c>
      <c r="E10" s="84" t="s">
        <v>164</v>
      </c>
      <c r="F10" s="84" t="s">
        <v>147</v>
      </c>
      <c r="G10" s="84" t="s">
        <v>25</v>
      </c>
      <c r="H10" s="84" t="s">
        <v>171</v>
      </c>
      <c r="I10" s="84" t="s">
        <v>111</v>
      </c>
      <c r="J10" s="78" t="s">
        <v>27</v>
      </c>
      <c r="K10" s="77" t="s">
        <v>112</v>
      </c>
      <c r="L10" s="84">
        <v>3</v>
      </c>
      <c r="N10" s="77">
        <v>8</v>
      </c>
      <c r="O10" s="7">
        <v>0.2</v>
      </c>
      <c r="P10" s="7">
        <v>0.3</v>
      </c>
      <c r="Q10" s="44">
        <f t="shared" si="0"/>
        <v>0.25</v>
      </c>
      <c r="R10" s="67">
        <v>14.6</v>
      </c>
      <c r="S10" s="67">
        <v>89</v>
      </c>
      <c r="T10" s="16">
        <f t="shared" si="1"/>
        <v>36</v>
      </c>
      <c r="U10" s="72">
        <v>598</v>
      </c>
      <c r="V10" s="64">
        <f t="shared" si="2"/>
        <v>2691</v>
      </c>
      <c r="W10" s="59">
        <v>22</v>
      </c>
      <c r="X10" s="60" t="s">
        <v>35</v>
      </c>
      <c r="Y10" s="60" t="s">
        <v>74</v>
      </c>
      <c r="Z10" s="60" t="s">
        <v>82</v>
      </c>
      <c r="AA10" s="61" t="s">
        <v>43</v>
      </c>
      <c r="AB10" s="43" t="s">
        <v>161</v>
      </c>
      <c r="AE10" s="22" t="s">
        <v>87</v>
      </c>
      <c r="AG10" s="88" t="s">
        <v>153</v>
      </c>
      <c r="AH10" s="88" t="s">
        <v>154</v>
      </c>
      <c r="AL10" s="34"/>
      <c r="AP10" s="23" t="s">
        <v>84</v>
      </c>
      <c r="AR10" s="30" t="s">
        <v>103</v>
      </c>
      <c r="AV10" s="23" t="s">
        <v>90</v>
      </c>
    </row>
    <row r="11" spans="1:53" x14ac:dyDescent="0.15">
      <c r="A11" s="84" t="s">
        <v>23</v>
      </c>
      <c r="B11" s="84" t="s">
        <v>160</v>
      </c>
      <c r="C11" s="84">
        <v>2020</v>
      </c>
      <c r="D11" s="45" t="s">
        <v>163</v>
      </c>
      <c r="E11" s="84" t="s">
        <v>164</v>
      </c>
      <c r="F11" s="84" t="s">
        <v>147</v>
      </c>
      <c r="G11" s="84" t="s">
        <v>25</v>
      </c>
      <c r="H11" s="84" t="s">
        <v>113</v>
      </c>
      <c r="I11" s="84" t="s">
        <v>165</v>
      </c>
      <c r="J11" s="78" t="s">
        <v>27</v>
      </c>
      <c r="K11" s="77" t="s">
        <v>112</v>
      </c>
      <c r="L11" s="84">
        <v>1</v>
      </c>
      <c r="N11" s="77">
        <v>4</v>
      </c>
      <c r="O11" s="7">
        <v>0.5</v>
      </c>
      <c r="P11" s="7">
        <v>0.8</v>
      </c>
      <c r="Q11" s="44">
        <f t="shared" si="0"/>
        <v>0.65</v>
      </c>
      <c r="R11" s="67">
        <v>15</v>
      </c>
      <c r="S11" s="67">
        <v>92</v>
      </c>
      <c r="T11" s="16">
        <f t="shared" si="1"/>
        <v>36</v>
      </c>
      <c r="U11" s="72">
        <v>398</v>
      </c>
      <c r="V11" s="64">
        <f t="shared" si="2"/>
        <v>3582</v>
      </c>
      <c r="W11" s="59">
        <v>22</v>
      </c>
      <c r="X11" s="60" t="s">
        <v>35</v>
      </c>
      <c r="Y11" s="60" t="s">
        <v>74</v>
      </c>
      <c r="Z11" s="60" t="s">
        <v>82</v>
      </c>
      <c r="AA11" s="61" t="s">
        <v>43</v>
      </c>
      <c r="AB11" s="43" t="s">
        <v>161</v>
      </c>
      <c r="AE11" s="22" t="s">
        <v>52</v>
      </c>
      <c r="AG11" s="88" t="s">
        <v>148</v>
      </c>
      <c r="AH11" s="88" t="s">
        <v>155</v>
      </c>
      <c r="AL11" s="34"/>
      <c r="AP11" s="23" t="s">
        <v>88</v>
      </c>
      <c r="AR11" s="30" t="s">
        <v>73</v>
      </c>
      <c r="AV11" s="23" t="s">
        <v>55</v>
      </c>
    </row>
    <row r="12" spans="1:53" x14ac:dyDescent="0.15">
      <c r="A12" s="84" t="s">
        <v>23</v>
      </c>
      <c r="B12" s="84" t="s">
        <v>160</v>
      </c>
      <c r="C12" s="84">
        <v>2020</v>
      </c>
      <c r="D12" s="45" t="s">
        <v>163</v>
      </c>
      <c r="E12" s="84" t="s">
        <v>164</v>
      </c>
      <c r="F12" s="84" t="s">
        <v>147</v>
      </c>
      <c r="G12" s="84" t="s">
        <v>25</v>
      </c>
      <c r="H12" s="84" t="s">
        <v>113</v>
      </c>
      <c r="I12" s="84" t="s">
        <v>165</v>
      </c>
      <c r="J12" s="78" t="s">
        <v>27</v>
      </c>
      <c r="K12" s="77" t="s">
        <v>112</v>
      </c>
      <c r="L12" s="84">
        <v>2</v>
      </c>
      <c r="N12" s="77">
        <v>4</v>
      </c>
      <c r="O12" s="7">
        <v>0.8</v>
      </c>
      <c r="P12" s="7">
        <v>0.7</v>
      </c>
      <c r="Q12" s="44">
        <f t="shared" si="0"/>
        <v>0.75</v>
      </c>
      <c r="R12" s="67">
        <v>14.3</v>
      </c>
      <c r="S12" s="67">
        <v>89</v>
      </c>
      <c r="T12" s="16">
        <f t="shared" si="1"/>
        <v>36</v>
      </c>
      <c r="U12" s="72">
        <v>398</v>
      </c>
      <c r="V12" s="64">
        <f t="shared" si="2"/>
        <v>3582</v>
      </c>
      <c r="W12" s="59">
        <v>22</v>
      </c>
      <c r="X12" s="60" t="s">
        <v>35</v>
      </c>
      <c r="Y12" s="60" t="s">
        <v>74</v>
      </c>
      <c r="Z12" s="60" t="s">
        <v>82</v>
      </c>
      <c r="AA12" s="61" t="s">
        <v>43</v>
      </c>
      <c r="AB12" s="43" t="s">
        <v>161</v>
      </c>
      <c r="AE12" s="22" t="s">
        <v>56</v>
      </c>
      <c r="AG12" s="79"/>
      <c r="AH12" s="79"/>
      <c r="AL12" s="34"/>
      <c r="AP12" s="23" t="s">
        <v>53</v>
      </c>
      <c r="AR12" s="30" t="s">
        <v>104</v>
      </c>
      <c r="AV12" s="23" t="s">
        <v>58</v>
      </c>
    </row>
    <row r="13" spans="1:53" x14ac:dyDescent="0.15">
      <c r="A13" s="84" t="s">
        <v>23</v>
      </c>
      <c r="B13" s="84" t="s">
        <v>160</v>
      </c>
      <c r="C13" s="84">
        <v>2020</v>
      </c>
      <c r="D13" s="45" t="s">
        <v>163</v>
      </c>
      <c r="E13" s="84" t="s">
        <v>164</v>
      </c>
      <c r="F13" s="84" t="s">
        <v>147</v>
      </c>
      <c r="G13" s="84" t="s">
        <v>25</v>
      </c>
      <c r="H13" s="84" t="s">
        <v>113</v>
      </c>
      <c r="I13" s="84" t="s">
        <v>165</v>
      </c>
      <c r="J13" s="78" t="s">
        <v>27</v>
      </c>
      <c r="K13" s="77" t="s">
        <v>112</v>
      </c>
      <c r="L13" s="84">
        <v>3</v>
      </c>
      <c r="N13" s="77">
        <v>4</v>
      </c>
      <c r="O13" s="7">
        <v>0.65</v>
      </c>
      <c r="P13" s="7">
        <v>0.7</v>
      </c>
      <c r="Q13" s="44">
        <f t="shared" si="0"/>
        <v>0.67500000000000004</v>
      </c>
      <c r="R13" s="67">
        <v>14.1</v>
      </c>
      <c r="S13" s="67">
        <v>90</v>
      </c>
      <c r="T13" s="16">
        <f t="shared" si="1"/>
        <v>36</v>
      </c>
      <c r="U13" s="72">
        <v>398</v>
      </c>
      <c r="V13" s="64">
        <f t="shared" si="2"/>
        <v>3582</v>
      </c>
      <c r="W13" s="59">
        <v>22</v>
      </c>
      <c r="X13" s="60" t="s">
        <v>35</v>
      </c>
      <c r="Y13" s="60" t="s">
        <v>74</v>
      </c>
      <c r="Z13" s="60" t="s">
        <v>82</v>
      </c>
      <c r="AA13" s="61" t="s">
        <v>43</v>
      </c>
      <c r="AB13" s="43" t="s">
        <v>161</v>
      </c>
      <c r="AE13" s="22" t="s">
        <v>59</v>
      </c>
      <c r="AG13" s="75"/>
      <c r="AH13" s="75"/>
      <c r="AP13" s="23" t="s">
        <v>57</v>
      </c>
      <c r="AR13" s="30" t="s">
        <v>87</v>
      </c>
      <c r="AV13" s="23" t="s">
        <v>61</v>
      </c>
    </row>
    <row r="14" spans="1:53" x14ac:dyDescent="0.15">
      <c r="A14" s="84" t="s">
        <v>23</v>
      </c>
      <c r="B14" s="84" t="s">
        <v>160</v>
      </c>
      <c r="C14" s="84">
        <v>2020</v>
      </c>
      <c r="D14" s="45" t="s">
        <v>163</v>
      </c>
      <c r="E14" s="84" t="s">
        <v>164</v>
      </c>
      <c r="F14" s="84" t="s">
        <v>147</v>
      </c>
      <c r="G14" s="84" t="s">
        <v>25</v>
      </c>
      <c r="H14" s="84" t="s">
        <v>166</v>
      </c>
      <c r="I14" s="84" t="s">
        <v>111</v>
      </c>
      <c r="J14" s="78" t="s">
        <v>27</v>
      </c>
      <c r="K14" s="77" t="s">
        <v>112</v>
      </c>
      <c r="L14" s="84">
        <v>1</v>
      </c>
      <c r="N14" s="77">
        <v>1</v>
      </c>
      <c r="O14" s="7">
        <v>0.5</v>
      </c>
      <c r="P14" s="7">
        <v>0.6</v>
      </c>
      <c r="Q14" s="44">
        <f t="shared" si="0"/>
        <v>0.55000000000000004</v>
      </c>
      <c r="R14" s="67">
        <v>15.2</v>
      </c>
      <c r="S14" s="67">
        <v>115</v>
      </c>
      <c r="T14" s="16">
        <f t="shared" si="1"/>
        <v>30</v>
      </c>
      <c r="U14" s="72">
        <v>98</v>
      </c>
      <c r="V14" s="64">
        <f t="shared" si="2"/>
        <v>2940</v>
      </c>
      <c r="W14" s="59">
        <v>22</v>
      </c>
      <c r="X14" s="60" t="s">
        <v>35</v>
      </c>
      <c r="Y14" s="60" t="s">
        <v>74</v>
      </c>
      <c r="Z14" s="60" t="s">
        <v>82</v>
      </c>
      <c r="AA14" s="61" t="s">
        <v>43</v>
      </c>
      <c r="AB14" s="43" t="s">
        <v>161</v>
      </c>
      <c r="AC14" s="34"/>
      <c r="AE14" s="22" t="s">
        <v>62</v>
      </c>
      <c r="AG14" s="47"/>
      <c r="AH14" s="47"/>
      <c r="AP14" s="23" t="s">
        <v>60</v>
      </c>
      <c r="AR14" s="30" t="s">
        <v>105</v>
      </c>
      <c r="AV14" s="23" t="s">
        <v>64</v>
      </c>
    </row>
    <row r="15" spans="1:53" x14ac:dyDescent="0.15">
      <c r="A15" s="84" t="s">
        <v>23</v>
      </c>
      <c r="B15" s="84" t="s">
        <v>160</v>
      </c>
      <c r="C15" s="84">
        <v>2020</v>
      </c>
      <c r="D15" s="45" t="s">
        <v>163</v>
      </c>
      <c r="E15" s="84" t="s">
        <v>164</v>
      </c>
      <c r="F15" s="84" t="s">
        <v>147</v>
      </c>
      <c r="G15" s="84" t="s">
        <v>25</v>
      </c>
      <c r="H15" s="84" t="s">
        <v>166</v>
      </c>
      <c r="I15" s="84" t="s">
        <v>111</v>
      </c>
      <c r="J15" s="78" t="s">
        <v>27</v>
      </c>
      <c r="K15" s="77" t="s">
        <v>112</v>
      </c>
      <c r="L15" s="84">
        <v>2</v>
      </c>
      <c r="N15" s="77">
        <v>1</v>
      </c>
      <c r="O15" s="7">
        <v>0.8</v>
      </c>
      <c r="P15" s="7">
        <v>0.9</v>
      </c>
      <c r="Q15" s="44">
        <f t="shared" si="0"/>
        <v>0.85000000000000009</v>
      </c>
      <c r="R15" s="67">
        <v>15.9</v>
      </c>
      <c r="S15" s="67">
        <v>107</v>
      </c>
      <c r="T15" s="16">
        <f t="shared" si="1"/>
        <v>33</v>
      </c>
      <c r="U15" s="72">
        <v>98</v>
      </c>
      <c r="V15" s="64">
        <f t="shared" si="2"/>
        <v>3234</v>
      </c>
      <c r="W15" s="59">
        <v>22</v>
      </c>
      <c r="X15" s="60" t="s">
        <v>35</v>
      </c>
      <c r="Y15" s="60" t="s">
        <v>74</v>
      </c>
      <c r="Z15" s="60" t="s">
        <v>82</v>
      </c>
      <c r="AA15" s="61" t="s">
        <v>43</v>
      </c>
      <c r="AB15" s="43" t="s">
        <v>161</v>
      </c>
      <c r="AC15" s="34"/>
      <c r="AE15" s="22" t="s">
        <v>65</v>
      </c>
      <c r="AP15" s="23" t="s">
        <v>63</v>
      </c>
      <c r="AR15" s="30" t="s">
        <v>79</v>
      </c>
      <c r="AV15" s="23" t="s">
        <v>91</v>
      </c>
    </row>
    <row r="16" spans="1:53" x14ac:dyDescent="0.15">
      <c r="A16" s="84" t="s">
        <v>23</v>
      </c>
      <c r="B16" s="84" t="s">
        <v>160</v>
      </c>
      <c r="C16" s="84">
        <v>2020</v>
      </c>
      <c r="D16" s="45" t="s">
        <v>163</v>
      </c>
      <c r="E16" s="84" t="s">
        <v>164</v>
      </c>
      <c r="F16" s="84" t="s">
        <v>147</v>
      </c>
      <c r="G16" s="84" t="s">
        <v>25</v>
      </c>
      <c r="H16" s="84" t="s">
        <v>166</v>
      </c>
      <c r="I16" s="84" t="s">
        <v>111</v>
      </c>
      <c r="J16" s="78" t="s">
        <v>27</v>
      </c>
      <c r="K16" s="77" t="s">
        <v>112</v>
      </c>
      <c r="L16" s="84">
        <v>3</v>
      </c>
      <c r="N16" s="77">
        <v>1</v>
      </c>
      <c r="O16" s="7">
        <v>0.9</v>
      </c>
      <c r="P16" s="7">
        <v>0.85</v>
      </c>
      <c r="Q16" s="44">
        <f t="shared" si="0"/>
        <v>0.875</v>
      </c>
      <c r="R16" s="67">
        <v>12.2</v>
      </c>
      <c r="S16" s="67">
        <v>108</v>
      </c>
      <c r="T16" s="16">
        <f t="shared" si="1"/>
        <v>33</v>
      </c>
      <c r="U16" s="72">
        <v>98</v>
      </c>
      <c r="V16" s="64">
        <f t="shared" si="2"/>
        <v>3234</v>
      </c>
      <c r="W16" s="59">
        <v>22</v>
      </c>
      <c r="X16" s="60" t="s">
        <v>35</v>
      </c>
      <c r="Y16" s="60" t="s">
        <v>74</v>
      </c>
      <c r="Z16" s="60" t="s">
        <v>82</v>
      </c>
      <c r="AA16" s="61" t="s">
        <v>43</v>
      </c>
      <c r="AB16" s="43" t="s">
        <v>161</v>
      </c>
      <c r="AC16" s="34"/>
      <c r="AE16" s="22" t="s">
        <v>68</v>
      </c>
      <c r="AP16" s="23" t="s">
        <v>66</v>
      </c>
      <c r="AR16" s="37" t="s">
        <v>50</v>
      </c>
      <c r="AV16" s="23" t="s">
        <v>70</v>
      </c>
    </row>
    <row r="17" spans="1:48" x14ac:dyDescent="0.15">
      <c r="A17" s="84" t="s">
        <v>23</v>
      </c>
      <c r="B17" s="84" t="s">
        <v>160</v>
      </c>
      <c r="C17" s="84">
        <v>2020</v>
      </c>
      <c r="D17" s="45" t="s">
        <v>163</v>
      </c>
      <c r="E17" s="84" t="s">
        <v>164</v>
      </c>
      <c r="F17" s="84" t="s">
        <v>147</v>
      </c>
      <c r="G17" s="84" t="s">
        <v>25</v>
      </c>
      <c r="H17" s="84" t="s">
        <v>166</v>
      </c>
      <c r="I17" s="84" t="s">
        <v>111</v>
      </c>
      <c r="J17" s="78" t="s">
        <v>27</v>
      </c>
      <c r="K17" s="77" t="s">
        <v>174</v>
      </c>
      <c r="L17" s="84">
        <v>1</v>
      </c>
      <c r="N17" s="77">
        <v>5</v>
      </c>
      <c r="O17" s="7">
        <v>0.7</v>
      </c>
      <c r="P17" s="7">
        <v>0.8</v>
      </c>
      <c r="Q17" s="44">
        <f t="shared" si="0"/>
        <v>0.75</v>
      </c>
      <c r="R17" s="67">
        <v>13.2</v>
      </c>
      <c r="S17" s="67">
        <v>90</v>
      </c>
      <c r="T17" s="16">
        <f t="shared" si="1"/>
        <v>36</v>
      </c>
      <c r="U17" s="72">
        <v>498</v>
      </c>
      <c r="V17" s="64">
        <f t="shared" si="2"/>
        <v>3585.6</v>
      </c>
      <c r="W17" s="59">
        <v>22</v>
      </c>
      <c r="X17" s="60" t="s">
        <v>35</v>
      </c>
      <c r="Y17" s="60" t="s">
        <v>74</v>
      </c>
      <c r="Z17" s="60" t="s">
        <v>82</v>
      </c>
      <c r="AA17" s="61" t="s">
        <v>43</v>
      </c>
      <c r="AB17" s="43" t="s">
        <v>161</v>
      </c>
      <c r="AC17" s="34"/>
      <c r="AE17" s="22" t="s">
        <v>71</v>
      </c>
      <c r="AP17" s="39" t="s">
        <v>93</v>
      </c>
      <c r="AR17" s="37" t="s">
        <v>81</v>
      </c>
      <c r="AV17" s="23" t="s">
        <v>72</v>
      </c>
    </row>
    <row r="18" spans="1:48" x14ac:dyDescent="0.15">
      <c r="A18" s="84" t="s">
        <v>23</v>
      </c>
      <c r="B18" s="84" t="s">
        <v>160</v>
      </c>
      <c r="C18" s="84">
        <v>2020</v>
      </c>
      <c r="D18" s="45" t="s">
        <v>163</v>
      </c>
      <c r="E18" s="84" t="s">
        <v>164</v>
      </c>
      <c r="F18" s="84" t="s">
        <v>147</v>
      </c>
      <c r="G18" s="84" t="s">
        <v>25</v>
      </c>
      <c r="H18" s="84" t="s">
        <v>166</v>
      </c>
      <c r="I18" s="84" t="s">
        <v>111</v>
      </c>
      <c r="J18" s="78" t="s">
        <v>27</v>
      </c>
      <c r="K18" s="77" t="s">
        <v>112</v>
      </c>
      <c r="L18" s="84">
        <v>2</v>
      </c>
      <c r="N18" s="77">
        <v>5</v>
      </c>
      <c r="O18" s="7">
        <v>0.75</v>
      </c>
      <c r="P18" s="7">
        <v>0.8</v>
      </c>
      <c r="Q18" s="44">
        <f t="shared" si="0"/>
        <v>0.77500000000000002</v>
      </c>
      <c r="R18" s="67">
        <v>13.5</v>
      </c>
      <c r="S18" s="67">
        <v>91</v>
      </c>
      <c r="T18" s="16">
        <f t="shared" si="1"/>
        <v>36</v>
      </c>
      <c r="U18" s="72">
        <v>498</v>
      </c>
      <c r="V18" s="64">
        <f t="shared" si="2"/>
        <v>3585.6</v>
      </c>
      <c r="W18" s="59">
        <v>22</v>
      </c>
      <c r="X18" s="60" t="s">
        <v>35</v>
      </c>
      <c r="Y18" s="60" t="s">
        <v>74</v>
      </c>
      <c r="Z18" s="60" t="s">
        <v>82</v>
      </c>
      <c r="AA18" s="61" t="s">
        <v>43</v>
      </c>
      <c r="AB18" s="43" t="s">
        <v>161</v>
      </c>
      <c r="AC18" s="34"/>
      <c r="AE18" s="22" t="s">
        <v>73</v>
      </c>
      <c r="AP18" s="39" t="s">
        <v>94</v>
      </c>
      <c r="AR18" s="37" t="s">
        <v>85</v>
      </c>
      <c r="AV18" s="23" t="s">
        <v>74</v>
      </c>
    </row>
    <row r="19" spans="1:48" x14ac:dyDescent="0.15">
      <c r="A19" s="84" t="s">
        <v>23</v>
      </c>
      <c r="B19" s="84" t="s">
        <v>160</v>
      </c>
      <c r="C19" s="84">
        <v>2020</v>
      </c>
      <c r="D19" s="45" t="s">
        <v>163</v>
      </c>
      <c r="E19" s="84" t="s">
        <v>164</v>
      </c>
      <c r="F19" s="84" t="s">
        <v>147</v>
      </c>
      <c r="G19" s="84" t="s">
        <v>25</v>
      </c>
      <c r="H19" s="84" t="s">
        <v>166</v>
      </c>
      <c r="I19" s="84" t="s">
        <v>111</v>
      </c>
      <c r="J19" s="78" t="s">
        <v>27</v>
      </c>
      <c r="K19" s="77" t="s">
        <v>112</v>
      </c>
      <c r="L19" s="84">
        <v>3</v>
      </c>
      <c r="N19" s="77">
        <v>5</v>
      </c>
      <c r="O19" s="7">
        <v>0.95</v>
      </c>
      <c r="P19" s="7">
        <v>0.8</v>
      </c>
      <c r="Q19" s="44">
        <f t="shared" si="0"/>
        <v>0.875</v>
      </c>
      <c r="R19" s="67">
        <v>13.2</v>
      </c>
      <c r="S19" s="67">
        <v>100</v>
      </c>
      <c r="T19" s="16">
        <f t="shared" si="1"/>
        <v>33</v>
      </c>
      <c r="U19" s="72">
        <v>498</v>
      </c>
      <c r="V19" s="64">
        <f t="shared" si="2"/>
        <v>3286.7999999999997</v>
      </c>
      <c r="W19" s="59">
        <v>22</v>
      </c>
      <c r="X19" s="60" t="s">
        <v>35</v>
      </c>
      <c r="Y19" s="60" t="s">
        <v>74</v>
      </c>
      <c r="Z19" s="60" t="s">
        <v>82</v>
      </c>
      <c r="AA19" s="61" t="s">
        <v>43</v>
      </c>
      <c r="AB19" s="43" t="s">
        <v>161</v>
      </c>
      <c r="AC19" s="34"/>
      <c r="AE19" s="35" t="s">
        <v>75</v>
      </c>
      <c r="AP19" s="39" t="s">
        <v>95</v>
      </c>
      <c r="AR19" s="30" t="s">
        <v>106</v>
      </c>
      <c r="AV19" s="23" t="s">
        <v>76</v>
      </c>
    </row>
    <row r="20" spans="1:48" x14ac:dyDescent="0.15">
      <c r="A20" s="84" t="s">
        <v>23</v>
      </c>
      <c r="B20" s="84" t="s">
        <v>160</v>
      </c>
      <c r="C20" s="84">
        <v>2020</v>
      </c>
      <c r="D20" s="45" t="s">
        <v>163</v>
      </c>
      <c r="E20" s="84" t="s">
        <v>164</v>
      </c>
      <c r="F20" s="84" t="s">
        <v>147</v>
      </c>
      <c r="G20" s="84" t="s">
        <v>25</v>
      </c>
      <c r="H20" s="84" t="s">
        <v>166</v>
      </c>
      <c r="I20" s="84" t="s">
        <v>111</v>
      </c>
      <c r="J20" s="78" t="s">
        <v>27</v>
      </c>
      <c r="K20" s="77" t="s">
        <v>112</v>
      </c>
      <c r="L20" s="84">
        <v>1</v>
      </c>
      <c r="N20" s="77">
        <v>8</v>
      </c>
      <c r="O20" s="7">
        <v>0.8</v>
      </c>
      <c r="P20" s="7">
        <v>0.8</v>
      </c>
      <c r="Q20" s="44">
        <f t="shared" si="0"/>
        <v>0.8</v>
      </c>
      <c r="R20" s="67">
        <v>14.7</v>
      </c>
      <c r="S20" s="76">
        <v>104</v>
      </c>
      <c r="T20" s="16">
        <f t="shared" si="1"/>
        <v>33</v>
      </c>
      <c r="U20" s="72">
        <v>798</v>
      </c>
      <c r="V20" s="64">
        <f t="shared" si="2"/>
        <v>3291.75</v>
      </c>
      <c r="W20" s="59">
        <v>22</v>
      </c>
      <c r="X20" s="60" t="s">
        <v>35</v>
      </c>
      <c r="Y20" s="60" t="s">
        <v>74</v>
      </c>
      <c r="Z20" s="60" t="s">
        <v>82</v>
      </c>
      <c r="AA20" s="61" t="s">
        <v>43</v>
      </c>
      <c r="AB20" s="43" t="s">
        <v>161</v>
      </c>
      <c r="AE20" s="35"/>
      <c r="AP20" s="39" t="s">
        <v>96</v>
      </c>
      <c r="AR20" s="37" t="s">
        <v>89</v>
      </c>
      <c r="AV20" s="27" t="s">
        <v>114</v>
      </c>
    </row>
    <row r="21" spans="1:48" x14ac:dyDescent="0.15">
      <c r="A21" s="84" t="s">
        <v>23</v>
      </c>
      <c r="B21" s="84" t="s">
        <v>160</v>
      </c>
      <c r="C21" s="84">
        <v>2020</v>
      </c>
      <c r="D21" s="45" t="s">
        <v>163</v>
      </c>
      <c r="E21" s="84" t="s">
        <v>164</v>
      </c>
      <c r="F21" s="84" t="s">
        <v>147</v>
      </c>
      <c r="G21" s="84" t="s">
        <v>25</v>
      </c>
      <c r="H21" s="84" t="s">
        <v>173</v>
      </c>
      <c r="I21" s="84" t="s">
        <v>111</v>
      </c>
      <c r="J21" s="78" t="s">
        <v>27</v>
      </c>
      <c r="K21" s="77" t="s">
        <v>112</v>
      </c>
      <c r="L21" s="84">
        <v>2</v>
      </c>
      <c r="N21" s="77">
        <v>8</v>
      </c>
      <c r="O21" s="7">
        <v>0.4</v>
      </c>
      <c r="P21" s="7">
        <v>0.7</v>
      </c>
      <c r="Q21" s="44">
        <f t="shared" si="0"/>
        <v>0.55000000000000004</v>
      </c>
      <c r="R21" s="76">
        <v>13.7</v>
      </c>
      <c r="S21" s="67">
        <v>107</v>
      </c>
      <c r="T21" s="16">
        <f t="shared" si="1"/>
        <v>33</v>
      </c>
      <c r="U21" s="72">
        <v>798</v>
      </c>
      <c r="V21" s="64">
        <f t="shared" si="2"/>
        <v>3291.75</v>
      </c>
      <c r="W21" s="59">
        <v>22</v>
      </c>
      <c r="X21" s="60" t="s">
        <v>35</v>
      </c>
      <c r="Y21" s="60" t="s">
        <v>74</v>
      </c>
      <c r="Z21" s="60" t="s">
        <v>82</v>
      </c>
      <c r="AA21" s="61" t="s">
        <v>43</v>
      </c>
      <c r="AB21" s="43" t="s">
        <v>161</v>
      </c>
      <c r="AE21" s="28"/>
      <c r="AP21" s="39" t="s">
        <v>97</v>
      </c>
      <c r="AR21" s="37" t="s">
        <v>54</v>
      </c>
      <c r="AV21" s="27" t="s">
        <v>115</v>
      </c>
    </row>
    <row r="22" spans="1:48" x14ac:dyDescent="0.15">
      <c r="A22" s="84" t="s">
        <v>23</v>
      </c>
      <c r="B22" s="84" t="s">
        <v>160</v>
      </c>
      <c r="C22" s="84">
        <v>2020</v>
      </c>
      <c r="D22" s="45" t="s">
        <v>163</v>
      </c>
      <c r="E22" s="84" t="s">
        <v>164</v>
      </c>
      <c r="F22" s="84" t="s">
        <v>147</v>
      </c>
      <c r="G22" s="84" t="s">
        <v>25</v>
      </c>
      <c r="H22" s="84" t="s">
        <v>166</v>
      </c>
      <c r="I22" s="84" t="s">
        <v>111</v>
      </c>
      <c r="J22" s="78" t="s">
        <v>27</v>
      </c>
      <c r="K22" s="77" t="s">
        <v>112</v>
      </c>
      <c r="L22" s="84">
        <v>3</v>
      </c>
      <c r="N22" s="77">
        <v>8</v>
      </c>
      <c r="O22" s="7">
        <v>0.65</v>
      </c>
      <c r="P22" s="34">
        <v>0.7</v>
      </c>
      <c r="Q22" s="44">
        <f t="shared" si="0"/>
        <v>0.67500000000000004</v>
      </c>
      <c r="R22" s="67">
        <v>16.2</v>
      </c>
      <c r="S22" s="67">
        <v>113</v>
      </c>
      <c r="T22" s="16">
        <f t="shared" si="1"/>
        <v>30</v>
      </c>
      <c r="U22" s="72">
        <v>798</v>
      </c>
      <c r="V22" s="64">
        <f t="shared" si="2"/>
        <v>2992.5</v>
      </c>
      <c r="W22" s="59">
        <v>22</v>
      </c>
      <c r="X22" s="60" t="s">
        <v>35</v>
      </c>
      <c r="Y22" s="60" t="s">
        <v>74</v>
      </c>
      <c r="Z22" s="60" t="s">
        <v>82</v>
      </c>
      <c r="AA22" s="61" t="s">
        <v>43</v>
      </c>
      <c r="AB22" s="43" t="s">
        <v>161</v>
      </c>
      <c r="AP22" s="39" t="s">
        <v>98</v>
      </c>
      <c r="AR22" s="37" t="s">
        <v>69</v>
      </c>
      <c r="AV22" s="23"/>
    </row>
    <row r="23" spans="1:48" x14ac:dyDescent="0.15">
      <c r="A23" s="84" t="s">
        <v>23</v>
      </c>
      <c r="B23" s="84" t="s">
        <v>160</v>
      </c>
      <c r="C23" s="84">
        <v>2020</v>
      </c>
      <c r="D23" s="45" t="s">
        <v>163</v>
      </c>
      <c r="E23" s="84" t="s">
        <v>146</v>
      </c>
      <c r="F23" s="84" t="s">
        <v>147</v>
      </c>
      <c r="G23" s="84" t="s">
        <v>25</v>
      </c>
      <c r="H23" s="84" t="s">
        <v>113</v>
      </c>
      <c r="I23" s="84" t="s">
        <v>111</v>
      </c>
      <c r="J23" s="78" t="s">
        <v>27</v>
      </c>
      <c r="K23" s="77" t="s">
        <v>112</v>
      </c>
      <c r="L23" s="84">
        <v>1</v>
      </c>
      <c r="N23" s="77">
        <v>1</v>
      </c>
      <c r="O23" s="7">
        <v>1</v>
      </c>
      <c r="P23" s="34">
        <v>1.05</v>
      </c>
      <c r="Q23" s="44">
        <f t="shared" si="0"/>
        <v>1.0249999999999999</v>
      </c>
      <c r="R23" s="67">
        <v>15.9</v>
      </c>
      <c r="S23" s="67">
        <v>118</v>
      </c>
      <c r="T23" s="16">
        <f t="shared" si="1"/>
        <v>30</v>
      </c>
      <c r="U23" s="72">
        <v>98</v>
      </c>
      <c r="V23" s="64">
        <f t="shared" si="2"/>
        <v>2940</v>
      </c>
      <c r="W23" s="69">
        <v>16</v>
      </c>
      <c r="X23" s="60" t="s">
        <v>35</v>
      </c>
      <c r="Y23" s="61" t="s">
        <v>43</v>
      </c>
      <c r="Z23" s="73" t="s">
        <v>47</v>
      </c>
      <c r="AA23" s="74" t="s">
        <v>55</v>
      </c>
      <c r="AB23" s="43" t="s">
        <v>161</v>
      </c>
      <c r="AP23" s="39" t="s">
        <v>116</v>
      </c>
      <c r="AR23" s="37" t="s">
        <v>48</v>
      </c>
      <c r="AV23" s="23"/>
    </row>
    <row r="24" spans="1:48" x14ac:dyDescent="0.15">
      <c r="A24" s="84" t="s">
        <v>23</v>
      </c>
      <c r="B24" s="84" t="s">
        <v>160</v>
      </c>
      <c r="C24" s="84">
        <v>2020</v>
      </c>
      <c r="D24" s="45" t="s">
        <v>163</v>
      </c>
      <c r="E24" s="84" t="s">
        <v>146</v>
      </c>
      <c r="F24" s="84" t="s">
        <v>147</v>
      </c>
      <c r="G24" s="84" t="s">
        <v>25</v>
      </c>
      <c r="H24" s="84" t="s">
        <v>113</v>
      </c>
      <c r="I24" s="84" t="s">
        <v>111</v>
      </c>
      <c r="J24" s="78" t="s">
        <v>27</v>
      </c>
      <c r="K24" s="77" t="s">
        <v>112</v>
      </c>
      <c r="L24" s="84">
        <v>2</v>
      </c>
      <c r="N24" s="7">
        <v>1</v>
      </c>
      <c r="O24" s="7">
        <v>1.2</v>
      </c>
      <c r="P24" s="34">
        <v>1.3</v>
      </c>
      <c r="Q24" s="44">
        <f t="shared" si="0"/>
        <v>1.25</v>
      </c>
      <c r="R24" s="67">
        <v>15.5</v>
      </c>
      <c r="S24" s="67">
        <v>118</v>
      </c>
      <c r="T24" s="16">
        <f t="shared" si="1"/>
        <v>30</v>
      </c>
      <c r="U24" s="72">
        <v>98</v>
      </c>
      <c r="V24" s="64">
        <f t="shared" si="2"/>
        <v>2940</v>
      </c>
      <c r="W24" s="69">
        <v>16</v>
      </c>
      <c r="X24" s="60" t="s">
        <v>35</v>
      </c>
      <c r="Y24" s="61" t="s">
        <v>43</v>
      </c>
      <c r="Z24" s="73" t="s">
        <v>47</v>
      </c>
      <c r="AA24" s="74" t="s">
        <v>55</v>
      </c>
      <c r="AB24" s="43" t="s">
        <v>161</v>
      </c>
      <c r="AP24" s="39" t="s">
        <v>117</v>
      </c>
      <c r="AR24" s="37" t="s">
        <v>77</v>
      </c>
      <c r="AV24" s="23"/>
    </row>
    <row r="25" spans="1:48" x14ac:dyDescent="0.15">
      <c r="A25" s="84" t="s">
        <v>23</v>
      </c>
      <c r="B25" s="84" t="s">
        <v>160</v>
      </c>
      <c r="C25" s="84">
        <v>2020</v>
      </c>
      <c r="D25" s="45" t="s">
        <v>163</v>
      </c>
      <c r="E25" s="84" t="s">
        <v>146</v>
      </c>
      <c r="F25" s="84" t="s">
        <v>147</v>
      </c>
      <c r="G25" s="84" t="s">
        <v>25</v>
      </c>
      <c r="H25" s="84" t="s">
        <v>113</v>
      </c>
      <c r="I25" s="84" t="s">
        <v>111</v>
      </c>
      <c r="J25" s="78" t="s">
        <v>27</v>
      </c>
      <c r="K25" s="77" t="s">
        <v>112</v>
      </c>
      <c r="L25" s="84">
        <v>3</v>
      </c>
      <c r="N25" s="7">
        <v>1</v>
      </c>
      <c r="O25" s="7">
        <v>1.05</v>
      </c>
      <c r="P25" s="34">
        <v>1.35</v>
      </c>
      <c r="Q25" s="44">
        <f t="shared" si="0"/>
        <v>1.2000000000000002</v>
      </c>
      <c r="R25" s="67">
        <v>14.5</v>
      </c>
      <c r="S25" s="67">
        <v>114</v>
      </c>
      <c r="T25" s="16">
        <f t="shared" si="1"/>
        <v>30</v>
      </c>
      <c r="U25" s="72">
        <v>98</v>
      </c>
      <c r="V25" s="64">
        <f t="shared" si="2"/>
        <v>2940</v>
      </c>
      <c r="W25" s="69">
        <v>16</v>
      </c>
      <c r="X25" s="60" t="s">
        <v>35</v>
      </c>
      <c r="Y25" s="61" t="s">
        <v>43</v>
      </c>
      <c r="Z25" s="73" t="s">
        <v>47</v>
      </c>
      <c r="AA25" s="74" t="s">
        <v>55</v>
      </c>
      <c r="AB25" s="43" t="s">
        <v>161</v>
      </c>
      <c r="AP25" s="39" t="s">
        <v>99</v>
      </c>
      <c r="AR25" s="38" t="s">
        <v>78</v>
      </c>
      <c r="AV25" s="23"/>
    </row>
    <row r="26" spans="1:48" x14ac:dyDescent="0.15">
      <c r="A26" s="84" t="s">
        <v>23</v>
      </c>
      <c r="B26" s="84" t="s">
        <v>160</v>
      </c>
      <c r="C26" s="84">
        <v>2020</v>
      </c>
      <c r="D26" s="45" t="s">
        <v>163</v>
      </c>
      <c r="E26" s="84" t="s">
        <v>146</v>
      </c>
      <c r="F26" s="84" t="s">
        <v>147</v>
      </c>
      <c r="G26" s="84" t="s">
        <v>25</v>
      </c>
      <c r="H26" s="84" t="s">
        <v>113</v>
      </c>
      <c r="I26" s="84" t="s">
        <v>111</v>
      </c>
      <c r="J26" s="78" t="s">
        <v>27</v>
      </c>
      <c r="K26" s="77" t="s">
        <v>162</v>
      </c>
      <c r="L26" s="84">
        <v>1</v>
      </c>
      <c r="N26" s="7">
        <v>8</v>
      </c>
      <c r="O26" s="7">
        <v>0.75</v>
      </c>
      <c r="P26" s="36">
        <v>0.8</v>
      </c>
      <c r="Q26" s="44">
        <f t="shared" si="0"/>
        <v>0.77500000000000002</v>
      </c>
      <c r="R26" s="67">
        <v>14.9</v>
      </c>
      <c r="S26" s="67">
        <v>97</v>
      </c>
      <c r="T26" s="16">
        <f t="shared" si="1"/>
        <v>36</v>
      </c>
      <c r="U26" s="72">
        <v>480</v>
      </c>
      <c r="V26" s="64">
        <f t="shared" si="2"/>
        <v>2160</v>
      </c>
      <c r="W26" s="69">
        <v>16</v>
      </c>
      <c r="X26" s="60" t="s">
        <v>35</v>
      </c>
      <c r="Y26" s="61" t="s">
        <v>43</v>
      </c>
      <c r="Z26" s="73" t="s">
        <v>47</v>
      </c>
      <c r="AA26" s="74" t="s">
        <v>55</v>
      </c>
      <c r="AB26" s="43" t="s">
        <v>161</v>
      </c>
      <c r="AP26" s="39" t="s">
        <v>100</v>
      </c>
      <c r="AR26" s="23" t="s">
        <v>138</v>
      </c>
      <c r="AV26" s="27"/>
    </row>
    <row r="27" spans="1:48" x14ac:dyDescent="0.15">
      <c r="A27" s="84" t="s">
        <v>23</v>
      </c>
      <c r="B27" s="84" t="s">
        <v>160</v>
      </c>
      <c r="C27" s="84">
        <v>2020</v>
      </c>
      <c r="D27" s="45" t="s">
        <v>163</v>
      </c>
      <c r="E27" s="84" t="s">
        <v>146</v>
      </c>
      <c r="F27" s="84" t="s">
        <v>147</v>
      </c>
      <c r="G27" s="84" t="s">
        <v>25</v>
      </c>
      <c r="H27" s="84" t="s">
        <v>113</v>
      </c>
      <c r="I27" s="84" t="s">
        <v>111</v>
      </c>
      <c r="J27" s="78" t="s">
        <v>27</v>
      </c>
      <c r="K27" s="77" t="s">
        <v>162</v>
      </c>
      <c r="L27" s="84">
        <v>2</v>
      </c>
      <c r="N27" s="7">
        <v>8</v>
      </c>
      <c r="O27" s="34">
        <v>1.1000000000000001</v>
      </c>
      <c r="P27" s="36">
        <v>1.3</v>
      </c>
      <c r="Q27" s="44">
        <f t="shared" si="0"/>
        <v>1.2000000000000002</v>
      </c>
      <c r="R27" s="67">
        <v>13.9</v>
      </c>
      <c r="S27" s="67">
        <v>89</v>
      </c>
      <c r="T27" s="16">
        <f t="shared" si="1"/>
        <v>36</v>
      </c>
      <c r="U27" s="72">
        <v>480</v>
      </c>
      <c r="V27" s="64">
        <f t="shared" si="2"/>
        <v>2160</v>
      </c>
      <c r="W27" s="69">
        <v>16</v>
      </c>
      <c r="X27" s="60" t="s">
        <v>35</v>
      </c>
      <c r="Y27" s="61" t="s">
        <v>43</v>
      </c>
      <c r="Z27" s="73" t="s">
        <v>47</v>
      </c>
      <c r="AA27" s="74" t="s">
        <v>55</v>
      </c>
      <c r="AB27" s="43" t="s">
        <v>161</v>
      </c>
      <c r="AP27" s="39" t="s">
        <v>101</v>
      </c>
      <c r="AR27" s="23" t="s">
        <v>159</v>
      </c>
    </row>
    <row r="28" spans="1:48" x14ac:dyDescent="0.15">
      <c r="A28" s="84" t="s">
        <v>23</v>
      </c>
      <c r="B28" s="84" t="s">
        <v>160</v>
      </c>
      <c r="C28" s="84">
        <v>2020</v>
      </c>
      <c r="D28" s="45" t="s">
        <v>163</v>
      </c>
      <c r="E28" s="84" t="s">
        <v>146</v>
      </c>
      <c r="F28" s="84" t="s">
        <v>147</v>
      </c>
      <c r="G28" s="84" t="s">
        <v>25</v>
      </c>
      <c r="H28" s="84" t="s">
        <v>113</v>
      </c>
      <c r="I28" s="84" t="s">
        <v>111</v>
      </c>
      <c r="J28" s="78" t="s">
        <v>27</v>
      </c>
      <c r="K28" s="77" t="s">
        <v>112</v>
      </c>
      <c r="L28" s="84">
        <v>3</v>
      </c>
      <c r="N28" s="7">
        <v>8</v>
      </c>
      <c r="O28" s="34">
        <v>1.2</v>
      </c>
      <c r="P28" s="7">
        <v>1.1499999999999999</v>
      </c>
      <c r="Q28" s="44">
        <f t="shared" si="0"/>
        <v>1.1749999999999998</v>
      </c>
      <c r="R28" s="67">
        <v>15.2</v>
      </c>
      <c r="S28" s="67">
        <v>102</v>
      </c>
      <c r="T28" s="16">
        <f t="shared" si="1"/>
        <v>33</v>
      </c>
      <c r="U28" s="72">
        <v>480</v>
      </c>
      <c r="V28" s="64">
        <f t="shared" si="2"/>
        <v>1980</v>
      </c>
      <c r="W28" s="69">
        <v>16</v>
      </c>
      <c r="X28" s="60" t="s">
        <v>35</v>
      </c>
      <c r="Y28" s="61" t="s">
        <v>43</v>
      </c>
      <c r="Z28" s="73" t="s">
        <v>47</v>
      </c>
      <c r="AA28" s="74" t="s">
        <v>55</v>
      </c>
      <c r="AB28" s="43" t="s">
        <v>161</v>
      </c>
      <c r="AP28" s="82" t="s">
        <v>156</v>
      </c>
      <c r="AR28" s="23" t="s">
        <v>158</v>
      </c>
    </row>
    <row r="29" spans="1:48" x14ac:dyDescent="0.15">
      <c r="A29" s="84" t="s">
        <v>23</v>
      </c>
      <c r="B29" s="84" t="s">
        <v>160</v>
      </c>
      <c r="C29" s="84">
        <v>2020</v>
      </c>
      <c r="D29" s="45" t="s">
        <v>163</v>
      </c>
      <c r="E29" s="84" t="s">
        <v>146</v>
      </c>
      <c r="F29" s="84" t="s">
        <v>147</v>
      </c>
      <c r="G29" s="84" t="s">
        <v>25</v>
      </c>
      <c r="H29" s="84" t="s">
        <v>166</v>
      </c>
      <c r="I29" s="84" t="s">
        <v>111</v>
      </c>
      <c r="J29" s="78" t="s">
        <v>27</v>
      </c>
      <c r="K29" s="77" t="s">
        <v>112</v>
      </c>
      <c r="L29" s="84">
        <v>1</v>
      </c>
      <c r="N29" s="7">
        <v>1</v>
      </c>
      <c r="O29" s="7">
        <v>0.2</v>
      </c>
      <c r="P29" s="7">
        <v>0.3</v>
      </c>
      <c r="Q29" s="44">
        <f t="shared" si="0"/>
        <v>0.25</v>
      </c>
      <c r="R29" s="67">
        <v>18.899999999999999</v>
      </c>
      <c r="S29" s="67">
        <v>137</v>
      </c>
      <c r="T29" s="16">
        <f t="shared" si="1"/>
        <v>30</v>
      </c>
      <c r="U29" s="72">
        <v>98</v>
      </c>
      <c r="V29" s="64">
        <f t="shared" si="2"/>
        <v>2940</v>
      </c>
      <c r="W29" s="69">
        <v>16</v>
      </c>
      <c r="X29" s="60" t="s">
        <v>35</v>
      </c>
      <c r="Y29" s="61" t="s">
        <v>43</v>
      </c>
      <c r="Z29" s="73" t="s">
        <v>47</v>
      </c>
      <c r="AA29" s="74" t="s">
        <v>55</v>
      </c>
      <c r="AB29" s="43" t="s">
        <v>161</v>
      </c>
      <c r="AP29" s="82" t="s">
        <v>157</v>
      </c>
      <c r="AR29" s="28"/>
    </row>
    <row r="30" spans="1:48" x14ac:dyDescent="0.15">
      <c r="A30" s="84" t="s">
        <v>23</v>
      </c>
      <c r="B30" s="84" t="s">
        <v>160</v>
      </c>
      <c r="C30" s="84">
        <v>2020</v>
      </c>
      <c r="D30" s="45" t="s">
        <v>163</v>
      </c>
      <c r="E30" s="84" t="s">
        <v>146</v>
      </c>
      <c r="F30" s="84" t="s">
        <v>147</v>
      </c>
      <c r="G30" s="84" t="s">
        <v>25</v>
      </c>
      <c r="H30" s="84" t="s">
        <v>166</v>
      </c>
      <c r="I30" s="84" t="s">
        <v>111</v>
      </c>
      <c r="J30" s="78" t="s">
        <v>27</v>
      </c>
      <c r="K30" s="77" t="s">
        <v>112</v>
      </c>
      <c r="L30" s="84">
        <v>2</v>
      </c>
      <c r="N30" s="7">
        <v>1</v>
      </c>
      <c r="O30" s="7">
        <v>0.45</v>
      </c>
      <c r="P30" s="7">
        <v>0.55000000000000004</v>
      </c>
      <c r="Q30" s="44">
        <f t="shared" si="0"/>
        <v>0.5</v>
      </c>
      <c r="R30" s="67">
        <v>17.5</v>
      </c>
      <c r="S30" s="67">
        <v>141</v>
      </c>
      <c r="T30" s="16">
        <f t="shared" si="1"/>
        <v>30</v>
      </c>
      <c r="U30" s="72">
        <v>98</v>
      </c>
      <c r="V30" s="64">
        <f t="shared" si="2"/>
        <v>2940</v>
      </c>
      <c r="W30" s="69">
        <v>16</v>
      </c>
      <c r="X30" s="60" t="s">
        <v>35</v>
      </c>
      <c r="Y30" s="61" t="s">
        <v>43</v>
      </c>
      <c r="Z30" s="73" t="s">
        <v>47</v>
      </c>
      <c r="AA30" s="74" t="s">
        <v>55</v>
      </c>
      <c r="AB30" s="43" t="s">
        <v>161</v>
      </c>
    </row>
    <row r="31" spans="1:48" x14ac:dyDescent="0.15">
      <c r="A31" s="84" t="s">
        <v>23</v>
      </c>
      <c r="B31" s="84" t="s">
        <v>160</v>
      </c>
      <c r="C31" s="84">
        <v>2020</v>
      </c>
      <c r="D31" s="45" t="s">
        <v>163</v>
      </c>
      <c r="E31" s="84" t="s">
        <v>146</v>
      </c>
      <c r="F31" s="84" t="s">
        <v>147</v>
      </c>
      <c r="G31" s="84" t="s">
        <v>25</v>
      </c>
      <c r="H31" s="84" t="s">
        <v>166</v>
      </c>
      <c r="I31" s="84" t="s">
        <v>111</v>
      </c>
      <c r="J31" s="78" t="s">
        <v>27</v>
      </c>
      <c r="K31" s="77" t="s">
        <v>112</v>
      </c>
      <c r="L31" s="84">
        <v>3</v>
      </c>
      <c r="N31" s="7">
        <v>1</v>
      </c>
      <c r="O31" s="7">
        <v>0.45</v>
      </c>
      <c r="P31" s="7">
        <v>0.55000000000000004</v>
      </c>
      <c r="Q31" s="44">
        <f t="shared" si="0"/>
        <v>0.5</v>
      </c>
      <c r="R31" s="67">
        <v>17.8</v>
      </c>
      <c r="S31" s="67">
        <v>138</v>
      </c>
      <c r="T31" s="16">
        <f t="shared" si="1"/>
        <v>30</v>
      </c>
      <c r="U31" s="72">
        <v>98</v>
      </c>
      <c r="V31" s="64">
        <f t="shared" si="2"/>
        <v>2940</v>
      </c>
      <c r="W31" s="69">
        <v>16</v>
      </c>
      <c r="X31" s="60" t="s">
        <v>35</v>
      </c>
      <c r="Y31" s="61" t="s">
        <v>43</v>
      </c>
      <c r="Z31" s="73" t="s">
        <v>47</v>
      </c>
      <c r="AA31" s="74" t="s">
        <v>55</v>
      </c>
      <c r="AB31" s="43" t="s">
        <v>161</v>
      </c>
    </row>
    <row r="32" spans="1:48" ht="14.25" customHeight="1" x14ac:dyDescent="0.15">
      <c r="A32" s="84" t="s">
        <v>23</v>
      </c>
      <c r="B32" s="84" t="s">
        <v>160</v>
      </c>
      <c r="C32" s="84">
        <v>2020</v>
      </c>
      <c r="D32" s="45" t="s">
        <v>163</v>
      </c>
      <c r="E32" s="84" t="s">
        <v>146</v>
      </c>
      <c r="F32" s="84" t="s">
        <v>147</v>
      </c>
      <c r="G32" s="84" t="s">
        <v>25</v>
      </c>
      <c r="H32" s="84" t="s">
        <v>166</v>
      </c>
      <c r="I32" s="84" t="s">
        <v>111</v>
      </c>
      <c r="J32" s="78" t="s">
        <v>27</v>
      </c>
      <c r="K32" s="77" t="s">
        <v>112</v>
      </c>
      <c r="L32" s="84">
        <v>1</v>
      </c>
      <c r="N32" s="7">
        <v>4</v>
      </c>
      <c r="O32" s="7">
        <v>0.65</v>
      </c>
      <c r="P32" s="7">
        <v>0.7</v>
      </c>
      <c r="Q32" s="44">
        <f t="shared" si="0"/>
        <v>0.67500000000000004</v>
      </c>
      <c r="R32" s="67">
        <v>15.9</v>
      </c>
      <c r="S32" s="67">
        <v>96</v>
      </c>
      <c r="T32" s="16">
        <f t="shared" si="1"/>
        <v>36</v>
      </c>
      <c r="U32" s="72">
        <v>298</v>
      </c>
      <c r="V32" s="64">
        <f t="shared" si="2"/>
        <v>2682</v>
      </c>
      <c r="W32" s="69">
        <v>16</v>
      </c>
      <c r="X32" s="60" t="s">
        <v>35</v>
      </c>
      <c r="Y32" s="61" t="s">
        <v>43</v>
      </c>
      <c r="Z32" s="73" t="s">
        <v>47</v>
      </c>
      <c r="AA32" s="74" t="s">
        <v>55</v>
      </c>
      <c r="AB32" s="43" t="s">
        <v>161</v>
      </c>
    </row>
    <row r="33" spans="1:44" x14ac:dyDescent="0.15">
      <c r="A33" s="84" t="s">
        <v>23</v>
      </c>
      <c r="B33" s="84" t="s">
        <v>160</v>
      </c>
      <c r="C33" s="84">
        <v>2020</v>
      </c>
      <c r="D33" s="45" t="s">
        <v>163</v>
      </c>
      <c r="E33" s="84" t="s">
        <v>146</v>
      </c>
      <c r="F33" s="84" t="s">
        <v>147</v>
      </c>
      <c r="G33" s="84" t="s">
        <v>25</v>
      </c>
      <c r="H33" s="84" t="s">
        <v>166</v>
      </c>
      <c r="I33" s="84" t="s">
        <v>111</v>
      </c>
      <c r="J33" s="78" t="s">
        <v>27</v>
      </c>
      <c r="K33" s="77" t="s">
        <v>112</v>
      </c>
      <c r="L33" s="84">
        <v>2</v>
      </c>
      <c r="N33" s="7">
        <v>4</v>
      </c>
      <c r="O33" s="7">
        <v>0.6</v>
      </c>
      <c r="P33" s="7">
        <v>0.8</v>
      </c>
      <c r="Q33" s="44">
        <f t="shared" si="0"/>
        <v>0.7</v>
      </c>
      <c r="R33" s="67">
        <v>16.7</v>
      </c>
      <c r="S33" s="67">
        <v>95</v>
      </c>
      <c r="T33" s="16">
        <f t="shared" si="1"/>
        <v>36</v>
      </c>
      <c r="U33" s="72">
        <v>298</v>
      </c>
      <c r="V33" s="64">
        <f t="shared" si="2"/>
        <v>2682</v>
      </c>
      <c r="W33" s="69">
        <v>16</v>
      </c>
      <c r="X33" s="60" t="s">
        <v>35</v>
      </c>
      <c r="Y33" s="61" t="s">
        <v>43</v>
      </c>
      <c r="Z33" s="73" t="s">
        <v>47</v>
      </c>
      <c r="AA33" s="74" t="s">
        <v>55</v>
      </c>
      <c r="AB33" s="43" t="s">
        <v>161</v>
      </c>
      <c r="AR33" s="77"/>
    </row>
    <row r="34" spans="1:44" x14ac:dyDescent="0.15">
      <c r="A34" s="84" t="s">
        <v>23</v>
      </c>
      <c r="B34" s="84" t="s">
        <v>160</v>
      </c>
      <c r="C34" s="84">
        <v>2020</v>
      </c>
      <c r="D34" s="45" t="s">
        <v>163</v>
      </c>
      <c r="E34" s="84" t="s">
        <v>146</v>
      </c>
      <c r="F34" s="84" t="s">
        <v>147</v>
      </c>
      <c r="G34" s="84" t="s">
        <v>25</v>
      </c>
      <c r="H34" s="84" t="s">
        <v>166</v>
      </c>
      <c r="I34" s="84" t="s">
        <v>111</v>
      </c>
      <c r="J34" s="78" t="s">
        <v>27</v>
      </c>
      <c r="K34" s="77" t="s">
        <v>112</v>
      </c>
      <c r="L34" s="84">
        <v>3</v>
      </c>
      <c r="N34" s="7">
        <v>4</v>
      </c>
      <c r="O34" s="7">
        <v>0.65</v>
      </c>
      <c r="P34" s="34">
        <v>0.7</v>
      </c>
      <c r="Q34" s="44">
        <f t="shared" si="0"/>
        <v>0.67500000000000004</v>
      </c>
      <c r="R34" s="67">
        <v>13.3</v>
      </c>
      <c r="S34" s="67">
        <v>101</v>
      </c>
      <c r="T34" s="16">
        <f t="shared" si="1"/>
        <v>33</v>
      </c>
      <c r="U34" s="72">
        <v>298</v>
      </c>
      <c r="V34" s="64">
        <f t="shared" si="2"/>
        <v>2458.5</v>
      </c>
      <c r="W34" s="69">
        <v>16</v>
      </c>
      <c r="X34" s="60" t="s">
        <v>35</v>
      </c>
      <c r="Y34" s="61" t="s">
        <v>43</v>
      </c>
      <c r="Z34" s="73" t="s">
        <v>47</v>
      </c>
      <c r="AA34" s="74" t="s">
        <v>55</v>
      </c>
      <c r="AB34" s="43" t="s">
        <v>161</v>
      </c>
      <c r="AR34" s="77"/>
    </row>
    <row r="35" spans="1:44" x14ac:dyDescent="0.15">
      <c r="A35" s="84" t="s">
        <v>23</v>
      </c>
      <c r="B35" s="84" t="s">
        <v>160</v>
      </c>
      <c r="C35" s="84">
        <v>2020</v>
      </c>
      <c r="D35" s="45" t="s">
        <v>163</v>
      </c>
      <c r="E35" s="84" t="s">
        <v>146</v>
      </c>
      <c r="F35" s="84" t="s">
        <v>147</v>
      </c>
      <c r="G35" s="84" t="s">
        <v>25</v>
      </c>
      <c r="H35" s="84" t="s">
        <v>166</v>
      </c>
      <c r="I35" s="84" t="s">
        <v>111</v>
      </c>
      <c r="J35" s="78" t="s">
        <v>27</v>
      </c>
      <c r="K35" s="77" t="s">
        <v>112</v>
      </c>
      <c r="L35" s="84">
        <v>1</v>
      </c>
      <c r="N35" s="7">
        <v>8</v>
      </c>
      <c r="O35" s="7">
        <v>0.8</v>
      </c>
      <c r="P35" s="7">
        <v>0.85</v>
      </c>
      <c r="Q35" s="44">
        <f t="shared" si="0"/>
        <v>0.82499999999999996</v>
      </c>
      <c r="R35" s="67">
        <v>15.1</v>
      </c>
      <c r="S35" s="67">
        <v>99</v>
      </c>
      <c r="T35" s="16">
        <f t="shared" si="1"/>
        <v>33</v>
      </c>
      <c r="U35" s="72">
        <v>580</v>
      </c>
      <c r="V35" s="64">
        <f t="shared" si="2"/>
        <v>2392.5</v>
      </c>
      <c r="W35" s="69">
        <v>16</v>
      </c>
      <c r="X35" s="60" t="s">
        <v>35</v>
      </c>
      <c r="Y35" s="61" t="s">
        <v>43</v>
      </c>
      <c r="Z35" s="73" t="s">
        <v>47</v>
      </c>
      <c r="AA35" s="74" t="s">
        <v>55</v>
      </c>
      <c r="AB35" s="43" t="s">
        <v>161</v>
      </c>
      <c r="AR35" s="77"/>
    </row>
    <row r="36" spans="1:44" x14ac:dyDescent="0.15">
      <c r="A36" s="84" t="s">
        <v>23</v>
      </c>
      <c r="B36" s="84" t="s">
        <v>160</v>
      </c>
      <c r="C36" s="84">
        <v>2020</v>
      </c>
      <c r="D36" s="45" t="s">
        <v>163</v>
      </c>
      <c r="E36" s="84" t="s">
        <v>146</v>
      </c>
      <c r="F36" s="84" t="s">
        <v>147</v>
      </c>
      <c r="G36" s="84" t="s">
        <v>25</v>
      </c>
      <c r="H36" s="84" t="s">
        <v>166</v>
      </c>
      <c r="I36" s="84" t="s">
        <v>111</v>
      </c>
      <c r="J36" s="78" t="s">
        <v>27</v>
      </c>
      <c r="K36" s="77" t="s">
        <v>112</v>
      </c>
      <c r="L36" s="84">
        <v>2</v>
      </c>
      <c r="N36" s="7">
        <v>8</v>
      </c>
      <c r="O36" s="7">
        <v>0.9</v>
      </c>
      <c r="P36" s="7">
        <v>0.95</v>
      </c>
      <c r="Q36" s="44">
        <f t="shared" si="0"/>
        <v>0.92500000000000004</v>
      </c>
      <c r="R36" s="67">
        <v>15.6</v>
      </c>
      <c r="S36" s="67">
        <v>102</v>
      </c>
      <c r="T36" s="16">
        <f t="shared" si="1"/>
        <v>33</v>
      </c>
      <c r="U36" s="72">
        <v>580</v>
      </c>
      <c r="V36" s="64">
        <f t="shared" si="2"/>
        <v>2392.5</v>
      </c>
      <c r="W36" s="69">
        <v>16</v>
      </c>
      <c r="X36" s="60" t="s">
        <v>35</v>
      </c>
      <c r="Y36" s="61" t="s">
        <v>43</v>
      </c>
      <c r="Z36" s="73" t="s">
        <v>47</v>
      </c>
      <c r="AA36" s="74" t="s">
        <v>55</v>
      </c>
      <c r="AB36" s="43" t="s">
        <v>161</v>
      </c>
      <c r="AR36" s="77"/>
    </row>
    <row r="37" spans="1:44" x14ac:dyDescent="0.15">
      <c r="A37" s="84" t="s">
        <v>23</v>
      </c>
      <c r="B37" s="84" t="s">
        <v>160</v>
      </c>
      <c r="C37" s="84">
        <v>2020</v>
      </c>
      <c r="D37" s="45" t="s">
        <v>163</v>
      </c>
      <c r="E37" s="84" t="s">
        <v>146</v>
      </c>
      <c r="F37" s="84" t="s">
        <v>147</v>
      </c>
      <c r="G37" s="84" t="s">
        <v>25</v>
      </c>
      <c r="H37" s="84" t="s">
        <v>166</v>
      </c>
      <c r="I37" s="84" t="s">
        <v>111</v>
      </c>
      <c r="J37" s="78" t="s">
        <v>27</v>
      </c>
      <c r="K37" s="77" t="s">
        <v>112</v>
      </c>
      <c r="L37" s="84">
        <v>3</v>
      </c>
      <c r="N37" s="7">
        <v>8</v>
      </c>
      <c r="O37" s="7">
        <v>0.85</v>
      </c>
      <c r="P37" s="7">
        <v>0.8</v>
      </c>
      <c r="Q37" s="44">
        <f t="shared" si="0"/>
        <v>0.82499999999999996</v>
      </c>
      <c r="R37" s="67">
        <v>14.9</v>
      </c>
      <c r="S37" s="67">
        <v>97</v>
      </c>
      <c r="T37" s="16">
        <f t="shared" si="1"/>
        <v>36</v>
      </c>
      <c r="U37" s="72">
        <v>580</v>
      </c>
      <c r="V37" s="64">
        <f t="shared" si="2"/>
        <v>2610</v>
      </c>
      <c r="W37" s="69">
        <v>16</v>
      </c>
      <c r="X37" s="60" t="s">
        <v>35</v>
      </c>
      <c r="Y37" s="61" t="s">
        <v>43</v>
      </c>
      <c r="Z37" s="73" t="s">
        <v>47</v>
      </c>
      <c r="AA37" s="74" t="s">
        <v>55</v>
      </c>
      <c r="AB37" s="43" t="s">
        <v>161</v>
      </c>
      <c r="AR37" s="77"/>
    </row>
    <row r="38" spans="1:44" x14ac:dyDescent="0.15">
      <c r="A38" s="84" t="s">
        <v>23</v>
      </c>
      <c r="B38" s="84" t="s">
        <v>160</v>
      </c>
      <c r="C38" s="84">
        <v>2020</v>
      </c>
      <c r="D38" s="45" t="s">
        <v>163</v>
      </c>
      <c r="E38" s="84" t="s">
        <v>167</v>
      </c>
      <c r="F38" s="84" t="s">
        <v>149</v>
      </c>
      <c r="G38" s="84" t="s">
        <v>25</v>
      </c>
      <c r="H38" s="84" t="s">
        <v>113</v>
      </c>
      <c r="I38" s="84" t="s">
        <v>111</v>
      </c>
      <c r="J38" s="78" t="s">
        <v>27</v>
      </c>
      <c r="K38" s="77" t="s">
        <v>112</v>
      </c>
      <c r="L38" s="84">
        <v>1</v>
      </c>
      <c r="N38" s="7">
        <v>1</v>
      </c>
      <c r="O38" s="7">
        <v>0.8</v>
      </c>
      <c r="P38" s="7">
        <v>0.9</v>
      </c>
      <c r="Q38" s="44">
        <f t="shared" si="0"/>
        <v>0.85000000000000009</v>
      </c>
      <c r="R38" s="67">
        <v>15.8</v>
      </c>
      <c r="S38" s="67">
        <v>129</v>
      </c>
      <c r="T38" s="16">
        <f t="shared" si="1"/>
        <v>30</v>
      </c>
      <c r="U38" s="72">
        <v>108</v>
      </c>
      <c r="V38" s="64">
        <f t="shared" si="2"/>
        <v>3240</v>
      </c>
      <c r="W38" s="69">
        <v>16</v>
      </c>
      <c r="X38" s="60" t="s">
        <v>35</v>
      </c>
      <c r="Y38" s="73" t="s">
        <v>72</v>
      </c>
      <c r="Z38" s="73" t="s">
        <v>82</v>
      </c>
      <c r="AA38" s="61" t="s">
        <v>43</v>
      </c>
      <c r="AB38" s="43" t="s">
        <v>161</v>
      </c>
      <c r="AR38" s="77"/>
    </row>
    <row r="39" spans="1:44" x14ac:dyDescent="0.15">
      <c r="A39" s="84" t="s">
        <v>23</v>
      </c>
      <c r="B39" s="84" t="s">
        <v>160</v>
      </c>
      <c r="C39" s="84">
        <v>2020</v>
      </c>
      <c r="D39" s="45" t="s">
        <v>163</v>
      </c>
      <c r="E39" s="84" t="s">
        <v>167</v>
      </c>
      <c r="F39" s="84" t="s">
        <v>149</v>
      </c>
      <c r="G39" s="84" t="s">
        <v>25</v>
      </c>
      <c r="H39" s="84" t="s">
        <v>113</v>
      </c>
      <c r="I39" s="84" t="s">
        <v>111</v>
      </c>
      <c r="J39" s="78" t="s">
        <v>27</v>
      </c>
      <c r="K39" s="77" t="s">
        <v>112</v>
      </c>
      <c r="L39" s="84">
        <v>2</v>
      </c>
      <c r="N39" s="7">
        <v>1</v>
      </c>
      <c r="O39" s="7">
        <v>0.6</v>
      </c>
      <c r="P39" s="7">
        <v>0.7</v>
      </c>
      <c r="Q39" s="44">
        <f t="shared" si="0"/>
        <v>0.64999999999999991</v>
      </c>
      <c r="R39" s="67">
        <v>13.1</v>
      </c>
      <c r="S39" s="67">
        <v>123</v>
      </c>
      <c r="T39" s="16">
        <f t="shared" si="1"/>
        <v>30</v>
      </c>
      <c r="U39" s="72">
        <v>108</v>
      </c>
      <c r="V39" s="64">
        <f t="shared" si="2"/>
        <v>3240</v>
      </c>
      <c r="W39" s="69">
        <v>16</v>
      </c>
      <c r="X39" s="60" t="s">
        <v>35</v>
      </c>
      <c r="Y39" s="73" t="s">
        <v>72</v>
      </c>
      <c r="Z39" s="73" t="s">
        <v>82</v>
      </c>
      <c r="AA39" s="61" t="s">
        <v>43</v>
      </c>
      <c r="AB39" s="43" t="s">
        <v>161</v>
      </c>
      <c r="AR39" s="77"/>
    </row>
    <row r="40" spans="1:44" ht="12.75" customHeight="1" x14ac:dyDescent="0.15">
      <c r="A40" s="84" t="s">
        <v>23</v>
      </c>
      <c r="B40" s="84" t="s">
        <v>160</v>
      </c>
      <c r="C40" s="84">
        <v>2020</v>
      </c>
      <c r="D40" s="45" t="s">
        <v>163</v>
      </c>
      <c r="E40" s="84" t="s">
        <v>167</v>
      </c>
      <c r="F40" s="84" t="s">
        <v>149</v>
      </c>
      <c r="G40" s="84" t="s">
        <v>25</v>
      </c>
      <c r="H40" s="84" t="s">
        <v>113</v>
      </c>
      <c r="I40" s="84" t="s">
        <v>111</v>
      </c>
      <c r="J40" s="78" t="s">
        <v>27</v>
      </c>
      <c r="K40" s="77" t="s">
        <v>112</v>
      </c>
      <c r="L40" s="84">
        <v>3</v>
      </c>
      <c r="N40" s="7">
        <v>1</v>
      </c>
      <c r="O40" s="7">
        <v>0.95</v>
      </c>
      <c r="P40" s="7">
        <v>1.1000000000000001</v>
      </c>
      <c r="Q40" s="44">
        <f t="shared" si="0"/>
        <v>1.0249999999999999</v>
      </c>
      <c r="R40" s="67">
        <v>16</v>
      </c>
      <c r="S40" s="67">
        <v>118</v>
      </c>
      <c r="T40" s="16">
        <f t="shared" si="1"/>
        <v>30</v>
      </c>
      <c r="U40" s="72">
        <v>108</v>
      </c>
      <c r="V40" s="64">
        <f t="shared" si="2"/>
        <v>3240</v>
      </c>
      <c r="W40" s="69">
        <v>16</v>
      </c>
      <c r="X40" s="60" t="s">
        <v>35</v>
      </c>
      <c r="Y40" s="73" t="s">
        <v>72</v>
      </c>
      <c r="Z40" s="73" t="s">
        <v>82</v>
      </c>
      <c r="AA40" s="61" t="s">
        <v>43</v>
      </c>
      <c r="AB40" s="43" t="s">
        <v>161</v>
      </c>
      <c r="AR40" s="77"/>
    </row>
    <row r="41" spans="1:44" ht="12.75" customHeight="1" x14ac:dyDescent="0.15">
      <c r="A41" s="84" t="s">
        <v>23</v>
      </c>
      <c r="B41" s="84" t="s">
        <v>160</v>
      </c>
      <c r="C41" s="84">
        <v>2020</v>
      </c>
      <c r="D41" s="45" t="s">
        <v>163</v>
      </c>
      <c r="E41" s="84" t="s">
        <v>167</v>
      </c>
      <c r="F41" s="84" t="s">
        <v>149</v>
      </c>
      <c r="G41" s="84" t="s">
        <v>25</v>
      </c>
      <c r="H41" s="84" t="s">
        <v>113</v>
      </c>
      <c r="I41" s="84" t="s">
        <v>111</v>
      </c>
      <c r="J41" s="78" t="s">
        <v>27</v>
      </c>
      <c r="K41" s="77" t="s">
        <v>112</v>
      </c>
      <c r="L41" s="84">
        <v>1</v>
      </c>
      <c r="N41" s="7">
        <v>8</v>
      </c>
      <c r="O41" s="7">
        <v>0.75</v>
      </c>
      <c r="P41" s="7">
        <v>0.85</v>
      </c>
      <c r="Q41" s="44">
        <f t="shared" si="0"/>
        <v>0.8</v>
      </c>
      <c r="R41" s="67">
        <v>14.3</v>
      </c>
      <c r="S41" s="67">
        <v>102</v>
      </c>
      <c r="T41" s="16">
        <f t="shared" si="1"/>
        <v>33</v>
      </c>
      <c r="U41" s="72">
        <v>598</v>
      </c>
      <c r="V41" s="64">
        <f t="shared" si="2"/>
        <v>2466.75</v>
      </c>
      <c r="W41" s="69">
        <v>16</v>
      </c>
      <c r="X41" s="60" t="s">
        <v>35</v>
      </c>
      <c r="Y41" s="73" t="s">
        <v>72</v>
      </c>
      <c r="Z41" s="73" t="s">
        <v>82</v>
      </c>
      <c r="AA41" s="61" t="s">
        <v>43</v>
      </c>
      <c r="AB41" s="43" t="s">
        <v>161</v>
      </c>
      <c r="AR41" s="77"/>
    </row>
    <row r="42" spans="1:44" ht="12.75" customHeight="1" x14ac:dyDescent="0.15">
      <c r="A42" s="84" t="s">
        <v>23</v>
      </c>
      <c r="B42" s="84" t="s">
        <v>160</v>
      </c>
      <c r="C42" s="84">
        <v>2020</v>
      </c>
      <c r="D42" s="45" t="s">
        <v>163</v>
      </c>
      <c r="E42" s="84" t="s">
        <v>167</v>
      </c>
      <c r="F42" s="84" t="s">
        <v>149</v>
      </c>
      <c r="G42" s="84" t="s">
        <v>25</v>
      </c>
      <c r="H42" s="84" t="s">
        <v>113</v>
      </c>
      <c r="I42" s="84" t="s">
        <v>111</v>
      </c>
      <c r="J42" s="78" t="s">
        <v>27</v>
      </c>
      <c r="K42" s="77" t="s">
        <v>112</v>
      </c>
      <c r="L42" s="84">
        <v>2</v>
      </c>
      <c r="N42" s="7">
        <v>8</v>
      </c>
      <c r="O42" s="7">
        <v>0.8</v>
      </c>
      <c r="P42" s="7">
        <v>0.95</v>
      </c>
      <c r="Q42" s="44">
        <f t="shared" si="0"/>
        <v>0.875</v>
      </c>
      <c r="R42" s="67">
        <v>15.3</v>
      </c>
      <c r="S42" s="67">
        <v>96</v>
      </c>
      <c r="T42" s="16">
        <f t="shared" si="1"/>
        <v>36</v>
      </c>
      <c r="U42" s="72">
        <v>598</v>
      </c>
      <c r="V42" s="64">
        <f t="shared" si="2"/>
        <v>2691</v>
      </c>
      <c r="W42" s="69">
        <v>16</v>
      </c>
      <c r="X42" s="60" t="s">
        <v>35</v>
      </c>
      <c r="Y42" s="73" t="s">
        <v>72</v>
      </c>
      <c r="Z42" s="73" t="s">
        <v>82</v>
      </c>
      <c r="AA42" s="61" t="s">
        <v>43</v>
      </c>
      <c r="AB42" s="43" t="s">
        <v>161</v>
      </c>
      <c r="AR42" s="77"/>
    </row>
    <row r="43" spans="1:44" ht="12.75" customHeight="1" x14ac:dyDescent="0.15">
      <c r="A43" s="84" t="s">
        <v>23</v>
      </c>
      <c r="B43" s="84" t="s">
        <v>160</v>
      </c>
      <c r="C43" s="84">
        <v>2020</v>
      </c>
      <c r="D43" s="45" t="s">
        <v>163</v>
      </c>
      <c r="E43" s="84" t="s">
        <v>167</v>
      </c>
      <c r="F43" s="84" t="s">
        <v>149</v>
      </c>
      <c r="G43" s="84" t="s">
        <v>25</v>
      </c>
      <c r="H43" s="84" t="s">
        <v>113</v>
      </c>
      <c r="I43" s="84" t="s">
        <v>111</v>
      </c>
      <c r="J43" s="78" t="s">
        <v>27</v>
      </c>
      <c r="K43" s="77" t="s">
        <v>112</v>
      </c>
      <c r="L43" s="84">
        <v>3</v>
      </c>
      <c r="N43" s="7">
        <v>8</v>
      </c>
      <c r="O43" s="7">
        <v>1</v>
      </c>
      <c r="P43" s="7">
        <v>1.5</v>
      </c>
      <c r="Q43" s="44">
        <f t="shared" si="0"/>
        <v>1.25</v>
      </c>
      <c r="R43" s="67">
        <v>16.3</v>
      </c>
      <c r="S43" s="67">
        <v>104</v>
      </c>
      <c r="T43" s="16">
        <f t="shared" si="1"/>
        <v>33</v>
      </c>
      <c r="U43" s="72">
        <v>598</v>
      </c>
      <c r="V43" s="64">
        <f t="shared" si="2"/>
        <v>2466.75</v>
      </c>
      <c r="W43" s="69">
        <v>16</v>
      </c>
      <c r="X43" s="60" t="s">
        <v>35</v>
      </c>
      <c r="Y43" s="73" t="s">
        <v>72</v>
      </c>
      <c r="Z43" s="73" t="s">
        <v>82</v>
      </c>
      <c r="AA43" s="61" t="s">
        <v>43</v>
      </c>
      <c r="AB43" s="43" t="s">
        <v>161</v>
      </c>
      <c r="AR43" s="77"/>
    </row>
    <row r="44" spans="1:44" x14ac:dyDescent="0.15">
      <c r="A44" s="84" t="s">
        <v>23</v>
      </c>
      <c r="B44" s="84" t="s">
        <v>160</v>
      </c>
      <c r="C44" s="84">
        <v>2020</v>
      </c>
      <c r="D44" s="45" t="s">
        <v>163</v>
      </c>
      <c r="E44" s="84" t="s">
        <v>167</v>
      </c>
      <c r="F44" s="84" t="s">
        <v>149</v>
      </c>
      <c r="G44" s="84" t="s">
        <v>25</v>
      </c>
      <c r="H44" s="84" t="s">
        <v>166</v>
      </c>
      <c r="I44" s="84" t="s">
        <v>111</v>
      </c>
      <c r="J44" s="78" t="s">
        <v>27</v>
      </c>
      <c r="K44" s="77" t="s">
        <v>112</v>
      </c>
      <c r="L44" s="84">
        <v>1</v>
      </c>
      <c r="N44" s="7">
        <v>1</v>
      </c>
      <c r="O44" s="7">
        <v>0.65</v>
      </c>
      <c r="P44" s="7">
        <v>0.7</v>
      </c>
      <c r="Q44" s="44">
        <f t="shared" si="0"/>
        <v>0.67500000000000004</v>
      </c>
      <c r="R44" s="67">
        <v>16.399999999999999</v>
      </c>
      <c r="S44" s="67">
        <v>152</v>
      </c>
      <c r="T44" s="16">
        <f t="shared" si="1"/>
        <v>30</v>
      </c>
      <c r="U44" s="72">
        <v>108</v>
      </c>
      <c r="V44" s="64">
        <f t="shared" si="2"/>
        <v>3240</v>
      </c>
      <c r="W44" s="69">
        <v>16</v>
      </c>
      <c r="X44" s="60" t="s">
        <v>35</v>
      </c>
      <c r="Y44" s="73" t="s">
        <v>72</v>
      </c>
      <c r="Z44" s="73" t="s">
        <v>82</v>
      </c>
      <c r="AA44" s="61" t="s">
        <v>43</v>
      </c>
      <c r="AB44" s="43" t="s">
        <v>161</v>
      </c>
      <c r="AR44" s="77"/>
    </row>
    <row r="45" spans="1:44" x14ac:dyDescent="0.15">
      <c r="A45" s="84" t="s">
        <v>23</v>
      </c>
      <c r="B45" s="84" t="s">
        <v>160</v>
      </c>
      <c r="C45" s="84">
        <v>2020</v>
      </c>
      <c r="D45" s="45" t="s">
        <v>163</v>
      </c>
      <c r="E45" s="84" t="s">
        <v>167</v>
      </c>
      <c r="F45" s="84" t="s">
        <v>149</v>
      </c>
      <c r="G45" s="84" t="s">
        <v>25</v>
      </c>
      <c r="H45" s="84" t="s">
        <v>166</v>
      </c>
      <c r="I45" s="84" t="s">
        <v>111</v>
      </c>
      <c r="J45" s="78" t="s">
        <v>27</v>
      </c>
      <c r="K45" s="77" t="s">
        <v>112</v>
      </c>
      <c r="L45" s="84">
        <v>2</v>
      </c>
      <c r="N45" s="7">
        <v>1</v>
      </c>
      <c r="O45" s="7">
        <v>0.65</v>
      </c>
      <c r="P45" s="7">
        <v>0.6</v>
      </c>
      <c r="Q45" s="44">
        <f t="shared" si="0"/>
        <v>0.625</v>
      </c>
      <c r="R45" s="67">
        <v>16.399999999999999</v>
      </c>
      <c r="S45" s="67">
        <v>156</v>
      </c>
      <c r="T45" s="16">
        <f t="shared" si="1"/>
        <v>30</v>
      </c>
      <c r="U45" s="72">
        <v>108</v>
      </c>
      <c r="V45" s="64">
        <f t="shared" si="2"/>
        <v>3240</v>
      </c>
      <c r="W45" s="69">
        <v>16</v>
      </c>
      <c r="X45" s="60" t="s">
        <v>35</v>
      </c>
      <c r="Y45" s="73" t="s">
        <v>72</v>
      </c>
      <c r="Z45" s="73" t="s">
        <v>82</v>
      </c>
      <c r="AA45" s="61" t="s">
        <v>43</v>
      </c>
      <c r="AB45" s="43" t="s">
        <v>161</v>
      </c>
      <c r="AR45" s="77"/>
    </row>
    <row r="46" spans="1:44" x14ac:dyDescent="0.15">
      <c r="A46" s="84" t="s">
        <v>23</v>
      </c>
      <c r="B46" s="84" t="s">
        <v>160</v>
      </c>
      <c r="C46" s="84">
        <v>2020</v>
      </c>
      <c r="D46" s="45" t="s">
        <v>163</v>
      </c>
      <c r="E46" s="84" t="s">
        <v>167</v>
      </c>
      <c r="F46" s="84" t="s">
        <v>149</v>
      </c>
      <c r="G46" s="84" t="s">
        <v>25</v>
      </c>
      <c r="H46" s="84" t="s">
        <v>166</v>
      </c>
      <c r="I46" s="84" t="s">
        <v>111</v>
      </c>
      <c r="J46" s="78" t="s">
        <v>27</v>
      </c>
      <c r="K46" s="77" t="s">
        <v>112</v>
      </c>
      <c r="L46" s="84">
        <v>3</v>
      </c>
      <c r="N46" s="7">
        <v>1</v>
      </c>
      <c r="O46" s="7">
        <v>0.5</v>
      </c>
      <c r="P46" s="7">
        <v>0.6</v>
      </c>
      <c r="Q46" s="44">
        <f t="shared" si="0"/>
        <v>0.55000000000000004</v>
      </c>
      <c r="R46" s="67">
        <v>16.399999999999999</v>
      </c>
      <c r="S46" s="67">
        <v>150</v>
      </c>
      <c r="T46" s="16">
        <f t="shared" si="1"/>
        <v>30</v>
      </c>
      <c r="U46" s="72">
        <v>108</v>
      </c>
      <c r="V46" s="64">
        <f t="shared" si="2"/>
        <v>3240</v>
      </c>
      <c r="W46" s="69">
        <v>16</v>
      </c>
      <c r="X46" s="60" t="s">
        <v>35</v>
      </c>
      <c r="Y46" s="73" t="s">
        <v>72</v>
      </c>
      <c r="Z46" s="73" t="s">
        <v>82</v>
      </c>
      <c r="AA46" s="61" t="s">
        <v>43</v>
      </c>
      <c r="AB46" s="43" t="s">
        <v>161</v>
      </c>
      <c r="AR46" s="77"/>
    </row>
    <row r="47" spans="1:44" x14ac:dyDescent="0.15">
      <c r="A47" s="84" t="s">
        <v>23</v>
      </c>
      <c r="B47" s="84" t="s">
        <v>160</v>
      </c>
      <c r="C47" s="84">
        <v>2020</v>
      </c>
      <c r="D47" s="45" t="s">
        <v>163</v>
      </c>
      <c r="E47" s="84" t="s">
        <v>167</v>
      </c>
      <c r="F47" s="84" t="s">
        <v>149</v>
      </c>
      <c r="G47" s="84" t="s">
        <v>25</v>
      </c>
      <c r="H47" s="84" t="s">
        <v>166</v>
      </c>
      <c r="I47" s="84" t="s">
        <v>111</v>
      </c>
      <c r="J47" s="78" t="s">
        <v>27</v>
      </c>
      <c r="K47" s="77" t="s">
        <v>112</v>
      </c>
      <c r="L47" s="84">
        <v>1</v>
      </c>
      <c r="N47" s="7">
        <v>8</v>
      </c>
      <c r="O47" s="7">
        <v>0.9</v>
      </c>
      <c r="P47" s="7">
        <v>0.9</v>
      </c>
      <c r="Q47" s="44">
        <f t="shared" si="0"/>
        <v>0.9</v>
      </c>
      <c r="R47" s="67">
        <v>15.9</v>
      </c>
      <c r="S47" s="67">
        <v>99</v>
      </c>
      <c r="T47" s="16">
        <f t="shared" si="1"/>
        <v>33</v>
      </c>
      <c r="U47" s="7">
        <v>798</v>
      </c>
      <c r="V47" s="64">
        <f t="shared" si="2"/>
        <v>3291.75</v>
      </c>
      <c r="W47" s="69">
        <v>16</v>
      </c>
      <c r="X47" s="60" t="s">
        <v>35</v>
      </c>
      <c r="Y47" s="73" t="s">
        <v>72</v>
      </c>
      <c r="Z47" s="73" t="s">
        <v>82</v>
      </c>
      <c r="AA47" s="61" t="s">
        <v>43</v>
      </c>
      <c r="AB47" s="43" t="s">
        <v>161</v>
      </c>
      <c r="AR47" s="77"/>
    </row>
    <row r="48" spans="1:44" x14ac:dyDescent="0.15">
      <c r="A48" s="84" t="s">
        <v>23</v>
      </c>
      <c r="B48" s="84" t="s">
        <v>160</v>
      </c>
      <c r="C48" s="84">
        <v>2020</v>
      </c>
      <c r="D48" s="45" t="s">
        <v>163</v>
      </c>
      <c r="E48" s="84" t="s">
        <v>167</v>
      </c>
      <c r="F48" s="84" t="s">
        <v>149</v>
      </c>
      <c r="G48" s="84" t="s">
        <v>25</v>
      </c>
      <c r="H48" s="84" t="s">
        <v>166</v>
      </c>
      <c r="I48" s="84" t="s">
        <v>111</v>
      </c>
      <c r="J48" s="78" t="s">
        <v>27</v>
      </c>
      <c r="K48" s="77" t="s">
        <v>112</v>
      </c>
      <c r="L48" s="84">
        <v>2</v>
      </c>
      <c r="N48" s="7">
        <v>8</v>
      </c>
      <c r="O48" s="7">
        <v>0.7</v>
      </c>
      <c r="P48" s="7">
        <v>0.8</v>
      </c>
      <c r="Q48" s="44">
        <f t="shared" si="0"/>
        <v>0.75</v>
      </c>
      <c r="R48" s="67">
        <v>15.6</v>
      </c>
      <c r="S48" s="67">
        <v>102</v>
      </c>
      <c r="T48" s="16">
        <f t="shared" si="1"/>
        <v>33</v>
      </c>
      <c r="U48" s="77">
        <v>798</v>
      </c>
      <c r="V48" s="64">
        <f t="shared" si="2"/>
        <v>3291.75</v>
      </c>
      <c r="W48" s="69">
        <v>16</v>
      </c>
      <c r="X48" s="60" t="s">
        <v>35</v>
      </c>
      <c r="Y48" s="73" t="s">
        <v>72</v>
      </c>
      <c r="Z48" s="73" t="s">
        <v>82</v>
      </c>
      <c r="AA48" s="61" t="s">
        <v>43</v>
      </c>
      <c r="AB48" s="43" t="s">
        <v>161</v>
      </c>
      <c r="AR48" s="77"/>
    </row>
    <row r="49" spans="1:44" x14ac:dyDescent="0.15">
      <c r="A49" s="84" t="s">
        <v>23</v>
      </c>
      <c r="B49" s="84" t="s">
        <v>160</v>
      </c>
      <c r="C49" s="84">
        <v>2020</v>
      </c>
      <c r="D49" s="45" t="s">
        <v>163</v>
      </c>
      <c r="E49" s="84" t="s">
        <v>167</v>
      </c>
      <c r="F49" s="84" t="s">
        <v>149</v>
      </c>
      <c r="G49" s="84" t="s">
        <v>25</v>
      </c>
      <c r="H49" s="84" t="s">
        <v>166</v>
      </c>
      <c r="I49" s="84" t="s">
        <v>111</v>
      </c>
      <c r="J49" s="78" t="s">
        <v>27</v>
      </c>
      <c r="K49" s="77" t="s">
        <v>112</v>
      </c>
      <c r="L49" s="84">
        <v>3</v>
      </c>
      <c r="N49" s="7">
        <v>8</v>
      </c>
      <c r="O49" s="7">
        <v>0.85</v>
      </c>
      <c r="P49" s="7">
        <v>0.75</v>
      </c>
      <c r="Q49" s="44">
        <f t="shared" si="0"/>
        <v>0.8</v>
      </c>
      <c r="R49" s="67">
        <v>15.7</v>
      </c>
      <c r="S49" s="67">
        <v>93</v>
      </c>
      <c r="T49" s="16">
        <f t="shared" si="1"/>
        <v>36</v>
      </c>
      <c r="U49" s="77">
        <v>798</v>
      </c>
      <c r="V49" s="64">
        <f t="shared" si="2"/>
        <v>3591</v>
      </c>
      <c r="W49" s="69">
        <v>16</v>
      </c>
      <c r="X49" s="60" t="s">
        <v>35</v>
      </c>
      <c r="Y49" s="73" t="s">
        <v>72</v>
      </c>
      <c r="Z49" s="73" t="s">
        <v>82</v>
      </c>
      <c r="AA49" s="61" t="s">
        <v>43</v>
      </c>
      <c r="AB49" s="43" t="s">
        <v>161</v>
      </c>
      <c r="AR49" s="77"/>
    </row>
    <row r="50" spans="1:44" x14ac:dyDescent="0.15">
      <c r="A50" s="84" t="s">
        <v>23</v>
      </c>
      <c r="B50" s="84" t="s">
        <v>160</v>
      </c>
      <c r="C50" s="84">
        <v>2020</v>
      </c>
      <c r="D50" s="45" t="s">
        <v>163</v>
      </c>
      <c r="E50" s="84" t="s">
        <v>168</v>
      </c>
      <c r="F50" s="84" t="s">
        <v>143</v>
      </c>
      <c r="G50" s="84" t="s">
        <v>25</v>
      </c>
      <c r="H50" s="84" t="s">
        <v>113</v>
      </c>
      <c r="I50" s="84" t="s">
        <v>111</v>
      </c>
      <c r="J50" s="78" t="s">
        <v>27</v>
      </c>
      <c r="K50" s="77" t="s">
        <v>112</v>
      </c>
      <c r="L50" s="84">
        <v>1</v>
      </c>
      <c r="N50" s="7">
        <v>1</v>
      </c>
      <c r="O50" s="7">
        <v>1.1000000000000001</v>
      </c>
      <c r="P50" s="7">
        <v>1.05</v>
      </c>
      <c r="Q50" s="44">
        <f t="shared" si="0"/>
        <v>1.0750000000000002</v>
      </c>
      <c r="R50" s="7">
        <v>15.1</v>
      </c>
      <c r="S50" s="7">
        <v>123</v>
      </c>
      <c r="T50" s="16">
        <f t="shared" si="1"/>
        <v>30</v>
      </c>
      <c r="U50" s="7">
        <v>98</v>
      </c>
      <c r="V50" s="64">
        <f t="shared" si="2"/>
        <v>2940</v>
      </c>
      <c r="W50" s="7">
        <v>16</v>
      </c>
      <c r="X50" s="60" t="s">
        <v>35</v>
      </c>
      <c r="Y50" s="7" t="s">
        <v>74</v>
      </c>
      <c r="Z50" s="7" t="s">
        <v>43</v>
      </c>
      <c r="AA50" s="7" t="s">
        <v>55</v>
      </c>
      <c r="AB50" s="43" t="s">
        <v>161</v>
      </c>
      <c r="AR50" s="77"/>
    </row>
    <row r="51" spans="1:44" x14ac:dyDescent="0.15">
      <c r="A51" s="84" t="s">
        <v>23</v>
      </c>
      <c r="B51" s="84" t="s">
        <v>160</v>
      </c>
      <c r="C51" s="84">
        <v>2020</v>
      </c>
      <c r="D51" s="45" t="s">
        <v>163</v>
      </c>
      <c r="E51" s="84" t="s">
        <v>168</v>
      </c>
      <c r="F51" s="84" t="s">
        <v>143</v>
      </c>
      <c r="G51" s="84" t="s">
        <v>25</v>
      </c>
      <c r="H51" s="84" t="s">
        <v>113</v>
      </c>
      <c r="I51" s="84" t="s">
        <v>111</v>
      </c>
      <c r="J51" s="78" t="s">
        <v>27</v>
      </c>
      <c r="K51" s="77" t="s">
        <v>112</v>
      </c>
      <c r="L51" s="84">
        <v>2</v>
      </c>
      <c r="N51" s="7">
        <v>1</v>
      </c>
      <c r="O51" s="7">
        <v>0.85</v>
      </c>
      <c r="P51" s="7">
        <v>0.75</v>
      </c>
      <c r="Q51" s="44">
        <f t="shared" si="0"/>
        <v>0.8</v>
      </c>
      <c r="R51" s="7">
        <v>13.2</v>
      </c>
      <c r="S51" s="7">
        <v>122</v>
      </c>
      <c r="T51" s="16">
        <f t="shared" si="1"/>
        <v>30</v>
      </c>
      <c r="U51" s="7">
        <v>98</v>
      </c>
      <c r="V51" s="64">
        <f t="shared" si="2"/>
        <v>2940</v>
      </c>
      <c r="W51" s="77">
        <v>16</v>
      </c>
      <c r="X51" s="60" t="s">
        <v>35</v>
      </c>
      <c r="Y51" s="77" t="s">
        <v>74</v>
      </c>
      <c r="Z51" s="77" t="s">
        <v>43</v>
      </c>
      <c r="AA51" s="77" t="s">
        <v>55</v>
      </c>
      <c r="AB51" s="43" t="s">
        <v>161</v>
      </c>
      <c r="AR51" s="77"/>
    </row>
    <row r="52" spans="1:44" x14ac:dyDescent="0.15">
      <c r="A52" s="84" t="s">
        <v>23</v>
      </c>
      <c r="B52" s="84" t="s">
        <v>160</v>
      </c>
      <c r="C52" s="84">
        <v>2020</v>
      </c>
      <c r="D52" s="45" t="s">
        <v>163</v>
      </c>
      <c r="E52" s="84" t="s">
        <v>168</v>
      </c>
      <c r="F52" s="84" t="s">
        <v>143</v>
      </c>
      <c r="G52" s="84" t="s">
        <v>25</v>
      </c>
      <c r="H52" s="84" t="s">
        <v>113</v>
      </c>
      <c r="I52" s="84" t="s">
        <v>111</v>
      </c>
      <c r="J52" s="78" t="s">
        <v>27</v>
      </c>
      <c r="K52" s="77" t="s">
        <v>112</v>
      </c>
      <c r="L52" s="84">
        <v>3</v>
      </c>
      <c r="N52" s="7">
        <v>1</v>
      </c>
      <c r="O52" s="7">
        <v>1.25</v>
      </c>
      <c r="P52" s="7">
        <v>1.3</v>
      </c>
      <c r="Q52" s="44">
        <f t="shared" si="0"/>
        <v>1.2749999999999999</v>
      </c>
      <c r="R52" s="7">
        <v>15.5</v>
      </c>
      <c r="S52" s="7">
        <v>122</v>
      </c>
      <c r="T52" s="16">
        <f t="shared" si="1"/>
        <v>30</v>
      </c>
      <c r="U52" s="77">
        <v>98</v>
      </c>
      <c r="V52" s="64">
        <f t="shared" si="2"/>
        <v>2940</v>
      </c>
      <c r="W52" s="77">
        <v>16</v>
      </c>
      <c r="X52" s="60" t="s">
        <v>35</v>
      </c>
      <c r="Y52" s="77" t="s">
        <v>74</v>
      </c>
      <c r="Z52" s="77" t="s">
        <v>43</v>
      </c>
      <c r="AA52" s="77" t="s">
        <v>55</v>
      </c>
      <c r="AB52" s="43" t="s">
        <v>161</v>
      </c>
      <c r="AR52" s="77"/>
    </row>
    <row r="53" spans="1:44" x14ac:dyDescent="0.15">
      <c r="A53" s="84" t="s">
        <v>23</v>
      </c>
      <c r="B53" s="84" t="s">
        <v>160</v>
      </c>
      <c r="C53" s="84">
        <v>2020</v>
      </c>
      <c r="D53" s="45" t="s">
        <v>163</v>
      </c>
      <c r="E53" s="84" t="s">
        <v>168</v>
      </c>
      <c r="F53" s="84" t="s">
        <v>143</v>
      </c>
      <c r="G53" s="84" t="s">
        <v>25</v>
      </c>
      <c r="H53" s="84" t="s">
        <v>113</v>
      </c>
      <c r="I53" s="84" t="s">
        <v>111</v>
      </c>
      <c r="J53" s="78" t="s">
        <v>27</v>
      </c>
      <c r="K53" s="77" t="s">
        <v>112</v>
      </c>
      <c r="L53" s="84">
        <v>1</v>
      </c>
      <c r="N53" s="7">
        <v>8</v>
      </c>
      <c r="O53" s="7">
        <v>0.5</v>
      </c>
      <c r="P53" s="7">
        <v>0.7</v>
      </c>
      <c r="Q53" s="44">
        <f t="shared" si="0"/>
        <v>0.6</v>
      </c>
      <c r="R53" s="7">
        <v>18.100000000000001</v>
      </c>
      <c r="S53" s="7">
        <v>102</v>
      </c>
      <c r="T53" s="16">
        <f t="shared" si="1"/>
        <v>33</v>
      </c>
      <c r="U53" s="77">
        <v>698</v>
      </c>
      <c r="V53" s="64">
        <f t="shared" si="2"/>
        <v>2879.25</v>
      </c>
      <c r="W53" s="77">
        <v>16</v>
      </c>
      <c r="X53" s="60" t="s">
        <v>35</v>
      </c>
      <c r="Y53" s="77" t="s">
        <v>74</v>
      </c>
      <c r="Z53" s="77" t="s">
        <v>43</v>
      </c>
      <c r="AA53" s="77" t="s">
        <v>55</v>
      </c>
      <c r="AB53" s="43" t="s">
        <v>161</v>
      </c>
      <c r="AR53" s="77"/>
    </row>
    <row r="54" spans="1:44" x14ac:dyDescent="0.15">
      <c r="A54" s="84" t="s">
        <v>23</v>
      </c>
      <c r="B54" s="84" t="s">
        <v>160</v>
      </c>
      <c r="C54" s="84">
        <v>2020</v>
      </c>
      <c r="D54" s="45" t="s">
        <v>163</v>
      </c>
      <c r="E54" s="84" t="s">
        <v>168</v>
      </c>
      <c r="F54" s="84" t="s">
        <v>143</v>
      </c>
      <c r="G54" s="84" t="s">
        <v>25</v>
      </c>
      <c r="H54" s="84" t="s">
        <v>113</v>
      </c>
      <c r="I54" s="84" t="s">
        <v>111</v>
      </c>
      <c r="J54" s="78" t="s">
        <v>27</v>
      </c>
      <c r="K54" s="77" t="s">
        <v>112</v>
      </c>
      <c r="L54" s="84">
        <v>2</v>
      </c>
      <c r="N54" s="7">
        <v>8</v>
      </c>
      <c r="O54" s="7">
        <v>0.5</v>
      </c>
      <c r="P54" s="7">
        <v>0.6</v>
      </c>
      <c r="Q54" s="44">
        <f t="shared" si="0"/>
        <v>0.55000000000000004</v>
      </c>
      <c r="R54" s="7">
        <v>19.600000000000001</v>
      </c>
      <c r="S54" s="7">
        <v>89</v>
      </c>
      <c r="T54" s="16">
        <f t="shared" si="1"/>
        <v>36</v>
      </c>
      <c r="U54" s="77">
        <v>698</v>
      </c>
      <c r="V54" s="64">
        <f t="shared" si="2"/>
        <v>3141</v>
      </c>
      <c r="W54" s="77">
        <v>16</v>
      </c>
      <c r="X54" s="60" t="s">
        <v>35</v>
      </c>
      <c r="Y54" s="77" t="s">
        <v>74</v>
      </c>
      <c r="Z54" s="77" t="s">
        <v>43</v>
      </c>
      <c r="AA54" s="77" t="s">
        <v>55</v>
      </c>
      <c r="AB54" s="43" t="s">
        <v>161</v>
      </c>
      <c r="AR54" s="77"/>
    </row>
    <row r="55" spans="1:44" x14ac:dyDescent="0.15">
      <c r="A55" s="84" t="s">
        <v>23</v>
      </c>
      <c r="B55" s="84" t="s">
        <v>160</v>
      </c>
      <c r="C55" s="84">
        <v>2020</v>
      </c>
      <c r="D55" s="45" t="s">
        <v>163</v>
      </c>
      <c r="E55" s="84" t="s">
        <v>168</v>
      </c>
      <c r="F55" s="84" t="s">
        <v>143</v>
      </c>
      <c r="G55" s="84" t="s">
        <v>25</v>
      </c>
      <c r="H55" s="84" t="s">
        <v>113</v>
      </c>
      <c r="I55" s="84" t="s">
        <v>111</v>
      </c>
      <c r="J55" s="78" t="s">
        <v>27</v>
      </c>
      <c r="K55" s="77" t="s">
        <v>112</v>
      </c>
      <c r="L55" s="84">
        <v>3</v>
      </c>
      <c r="N55" s="7">
        <v>8</v>
      </c>
      <c r="O55" s="7">
        <v>0.7</v>
      </c>
      <c r="P55" s="7">
        <v>0.45</v>
      </c>
      <c r="Q55" s="44">
        <f t="shared" si="0"/>
        <v>0.57499999999999996</v>
      </c>
      <c r="R55" s="7">
        <v>18.5</v>
      </c>
      <c r="S55" s="7">
        <v>97</v>
      </c>
      <c r="T55" s="16">
        <f t="shared" si="1"/>
        <v>36</v>
      </c>
      <c r="U55" s="77">
        <v>698</v>
      </c>
      <c r="V55" s="64">
        <f t="shared" si="2"/>
        <v>3141</v>
      </c>
      <c r="W55" s="77">
        <v>16</v>
      </c>
      <c r="X55" s="60" t="s">
        <v>35</v>
      </c>
      <c r="Y55" s="77" t="s">
        <v>74</v>
      </c>
      <c r="Z55" s="77" t="s">
        <v>43</v>
      </c>
      <c r="AA55" s="77" t="s">
        <v>55</v>
      </c>
      <c r="AB55" s="43" t="s">
        <v>161</v>
      </c>
      <c r="AR55" s="77"/>
    </row>
    <row r="56" spans="1:44" x14ac:dyDescent="0.15">
      <c r="A56" s="84" t="s">
        <v>23</v>
      </c>
      <c r="B56" s="84" t="s">
        <v>160</v>
      </c>
      <c r="C56" s="84">
        <v>2020</v>
      </c>
      <c r="D56" s="45" t="s">
        <v>163</v>
      </c>
      <c r="E56" s="84" t="s">
        <v>168</v>
      </c>
      <c r="F56" s="84" t="s">
        <v>143</v>
      </c>
      <c r="G56" s="84" t="s">
        <v>25</v>
      </c>
      <c r="H56" s="84" t="s">
        <v>166</v>
      </c>
      <c r="I56" s="84" t="s">
        <v>111</v>
      </c>
      <c r="J56" s="78" t="s">
        <v>27</v>
      </c>
      <c r="K56" s="77" t="s">
        <v>112</v>
      </c>
      <c r="L56" s="84">
        <v>1</v>
      </c>
      <c r="N56" s="7">
        <v>1</v>
      </c>
      <c r="O56" s="7">
        <v>0.6</v>
      </c>
      <c r="P56" s="7">
        <v>0.7</v>
      </c>
      <c r="Q56" s="44">
        <f t="shared" si="0"/>
        <v>0.64999999999999991</v>
      </c>
      <c r="R56" s="7">
        <v>17.7</v>
      </c>
      <c r="S56" s="7">
        <v>117</v>
      </c>
      <c r="T56" s="16">
        <f t="shared" si="1"/>
        <v>30</v>
      </c>
      <c r="U56" s="7">
        <v>138</v>
      </c>
      <c r="V56" s="64">
        <f t="shared" si="2"/>
        <v>4140</v>
      </c>
      <c r="W56" s="77">
        <v>16</v>
      </c>
      <c r="X56" s="60" t="s">
        <v>35</v>
      </c>
      <c r="Y56" s="77" t="s">
        <v>74</v>
      </c>
      <c r="Z56" s="77" t="s">
        <v>43</v>
      </c>
      <c r="AA56" s="77" t="s">
        <v>55</v>
      </c>
      <c r="AB56" s="43" t="s">
        <v>161</v>
      </c>
      <c r="AR56" s="77"/>
    </row>
    <row r="57" spans="1:44" x14ac:dyDescent="0.15">
      <c r="A57" s="84" t="s">
        <v>23</v>
      </c>
      <c r="B57" s="84" t="s">
        <v>160</v>
      </c>
      <c r="C57" s="84">
        <v>2020</v>
      </c>
      <c r="D57" s="45" t="s">
        <v>163</v>
      </c>
      <c r="E57" s="84" t="s">
        <v>168</v>
      </c>
      <c r="F57" s="84" t="s">
        <v>143</v>
      </c>
      <c r="G57" s="84" t="s">
        <v>25</v>
      </c>
      <c r="H57" s="84" t="s">
        <v>166</v>
      </c>
      <c r="I57" s="84" t="s">
        <v>111</v>
      </c>
      <c r="J57" s="78" t="s">
        <v>27</v>
      </c>
      <c r="K57" s="77" t="s">
        <v>112</v>
      </c>
      <c r="L57" s="84">
        <v>2</v>
      </c>
      <c r="N57" s="7">
        <v>1</v>
      </c>
      <c r="O57" s="7">
        <v>0.7</v>
      </c>
      <c r="P57" s="7">
        <v>0.8</v>
      </c>
      <c r="Q57" s="44">
        <f t="shared" si="0"/>
        <v>0.75</v>
      </c>
      <c r="R57" s="7">
        <v>16</v>
      </c>
      <c r="S57" s="7">
        <v>115</v>
      </c>
      <c r="T57" s="16">
        <f t="shared" si="1"/>
        <v>30</v>
      </c>
      <c r="U57" s="77">
        <v>138</v>
      </c>
      <c r="V57" s="64">
        <f t="shared" si="2"/>
        <v>4140</v>
      </c>
      <c r="W57" s="77">
        <v>16</v>
      </c>
      <c r="X57" s="60" t="s">
        <v>35</v>
      </c>
      <c r="Y57" s="77" t="s">
        <v>74</v>
      </c>
      <c r="Z57" s="77" t="s">
        <v>43</v>
      </c>
      <c r="AA57" s="77" t="s">
        <v>55</v>
      </c>
      <c r="AB57" s="43" t="s">
        <v>161</v>
      </c>
      <c r="AR57" s="77"/>
    </row>
    <row r="58" spans="1:44" x14ac:dyDescent="0.15">
      <c r="A58" s="84" t="s">
        <v>23</v>
      </c>
      <c r="B58" s="84" t="s">
        <v>160</v>
      </c>
      <c r="C58" s="84">
        <v>2020</v>
      </c>
      <c r="D58" s="45" t="s">
        <v>163</v>
      </c>
      <c r="E58" s="84" t="s">
        <v>168</v>
      </c>
      <c r="F58" s="84" t="s">
        <v>143</v>
      </c>
      <c r="G58" s="84" t="s">
        <v>25</v>
      </c>
      <c r="H58" s="84" t="s">
        <v>166</v>
      </c>
      <c r="I58" s="84" t="s">
        <v>111</v>
      </c>
      <c r="J58" s="78" t="s">
        <v>27</v>
      </c>
      <c r="K58" s="77" t="s">
        <v>112</v>
      </c>
      <c r="L58" s="84">
        <v>3</v>
      </c>
      <c r="N58" s="7">
        <v>1</v>
      </c>
      <c r="O58" s="7">
        <v>0.4</v>
      </c>
      <c r="P58" s="7">
        <v>0.65</v>
      </c>
      <c r="Q58" s="44">
        <f t="shared" si="0"/>
        <v>0.52500000000000002</v>
      </c>
      <c r="R58" s="7">
        <v>17.399999999999999</v>
      </c>
      <c r="S58" s="7">
        <v>121</v>
      </c>
      <c r="T58" s="16">
        <f t="shared" si="1"/>
        <v>30</v>
      </c>
      <c r="U58" s="77">
        <v>138</v>
      </c>
      <c r="V58" s="64">
        <f t="shared" si="2"/>
        <v>4140</v>
      </c>
      <c r="W58" s="77">
        <v>16</v>
      </c>
      <c r="X58" s="60" t="s">
        <v>35</v>
      </c>
      <c r="Y58" s="77" t="s">
        <v>74</v>
      </c>
      <c r="Z58" s="77" t="s">
        <v>43</v>
      </c>
      <c r="AA58" s="77" t="s">
        <v>55</v>
      </c>
      <c r="AB58" s="43" t="s">
        <v>161</v>
      </c>
      <c r="AR58" s="77"/>
    </row>
    <row r="59" spans="1:44" s="77" customFormat="1" x14ac:dyDescent="0.15">
      <c r="A59" s="84" t="s">
        <v>23</v>
      </c>
      <c r="B59" s="84" t="s">
        <v>160</v>
      </c>
      <c r="C59" s="84">
        <v>2020</v>
      </c>
      <c r="D59" s="45" t="s">
        <v>163</v>
      </c>
      <c r="E59" s="84" t="s">
        <v>168</v>
      </c>
      <c r="F59" s="84" t="s">
        <v>143</v>
      </c>
      <c r="G59" s="84" t="s">
        <v>25</v>
      </c>
      <c r="H59" s="84" t="s">
        <v>166</v>
      </c>
      <c r="I59" s="84" t="s">
        <v>111</v>
      </c>
      <c r="J59" s="78" t="s">
        <v>27</v>
      </c>
      <c r="K59" s="77" t="s">
        <v>112</v>
      </c>
      <c r="L59" s="84">
        <v>1</v>
      </c>
      <c r="N59" s="77">
        <v>8</v>
      </c>
      <c r="O59" s="77">
        <v>0.4</v>
      </c>
      <c r="P59" s="77">
        <v>0.5</v>
      </c>
      <c r="Q59" s="44">
        <f t="shared" si="0"/>
        <v>0.45</v>
      </c>
      <c r="R59" s="77">
        <v>16.2</v>
      </c>
      <c r="S59" s="77">
        <v>89</v>
      </c>
      <c r="T59" s="16">
        <f t="shared" si="1"/>
        <v>36</v>
      </c>
      <c r="U59" s="77">
        <v>980</v>
      </c>
      <c r="V59" s="64">
        <f t="shared" si="2"/>
        <v>4410</v>
      </c>
      <c r="W59" s="77">
        <v>16</v>
      </c>
      <c r="X59" s="60" t="s">
        <v>35</v>
      </c>
      <c r="Y59" s="77" t="s">
        <v>74</v>
      </c>
      <c r="Z59" s="77" t="s">
        <v>43</v>
      </c>
      <c r="AA59" s="77" t="s">
        <v>55</v>
      </c>
      <c r="AB59" s="43" t="s">
        <v>161</v>
      </c>
      <c r="AI59" s="48"/>
      <c r="AJ59" s="48"/>
      <c r="AK59" s="48"/>
      <c r="AL59" s="48"/>
      <c r="AM59" s="48"/>
    </row>
    <row r="60" spans="1:44" s="77" customFormat="1" x14ac:dyDescent="0.15">
      <c r="A60" s="84" t="s">
        <v>23</v>
      </c>
      <c r="B60" s="84" t="s">
        <v>160</v>
      </c>
      <c r="C60" s="84">
        <v>2020</v>
      </c>
      <c r="D60" s="45" t="s">
        <v>163</v>
      </c>
      <c r="E60" s="84" t="s">
        <v>168</v>
      </c>
      <c r="F60" s="84" t="s">
        <v>143</v>
      </c>
      <c r="G60" s="84" t="s">
        <v>25</v>
      </c>
      <c r="H60" s="84" t="s">
        <v>166</v>
      </c>
      <c r="I60" s="84" t="s">
        <v>111</v>
      </c>
      <c r="J60" s="78" t="s">
        <v>27</v>
      </c>
      <c r="K60" s="77" t="s">
        <v>112</v>
      </c>
      <c r="L60" s="84">
        <v>2</v>
      </c>
      <c r="N60" s="77">
        <v>8</v>
      </c>
      <c r="O60" s="77">
        <v>0.35</v>
      </c>
      <c r="P60" s="77">
        <v>0.55000000000000004</v>
      </c>
      <c r="Q60" s="44">
        <f t="shared" si="0"/>
        <v>0.45</v>
      </c>
      <c r="R60" s="77">
        <v>16.899999999999999</v>
      </c>
      <c r="S60" s="77">
        <v>94</v>
      </c>
      <c r="T60" s="16">
        <f t="shared" si="1"/>
        <v>36</v>
      </c>
      <c r="U60" s="77">
        <v>980</v>
      </c>
      <c r="V60" s="64">
        <f t="shared" si="2"/>
        <v>4410</v>
      </c>
      <c r="W60" s="77">
        <v>16</v>
      </c>
      <c r="X60" s="60" t="s">
        <v>35</v>
      </c>
      <c r="Y60" s="77" t="s">
        <v>74</v>
      </c>
      <c r="Z60" s="77" t="s">
        <v>43</v>
      </c>
      <c r="AA60" s="77" t="s">
        <v>55</v>
      </c>
      <c r="AB60" s="43" t="s">
        <v>161</v>
      </c>
      <c r="AI60" s="48"/>
      <c r="AJ60" s="48"/>
      <c r="AK60" s="48"/>
      <c r="AL60" s="48"/>
      <c r="AM60" s="48"/>
    </row>
    <row r="61" spans="1:44" s="77" customFormat="1" x14ac:dyDescent="0.15">
      <c r="A61" s="84" t="s">
        <v>23</v>
      </c>
      <c r="B61" s="84" t="s">
        <v>160</v>
      </c>
      <c r="C61" s="84">
        <v>2020</v>
      </c>
      <c r="D61" s="45" t="s">
        <v>163</v>
      </c>
      <c r="E61" s="84" t="s">
        <v>168</v>
      </c>
      <c r="F61" s="84" t="s">
        <v>143</v>
      </c>
      <c r="G61" s="84" t="s">
        <v>25</v>
      </c>
      <c r="H61" s="84" t="s">
        <v>166</v>
      </c>
      <c r="I61" s="84" t="s">
        <v>111</v>
      </c>
      <c r="J61" s="78" t="s">
        <v>27</v>
      </c>
      <c r="K61" s="77" t="s">
        <v>112</v>
      </c>
      <c r="L61" s="84">
        <v>3</v>
      </c>
      <c r="N61" s="77">
        <v>8</v>
      </c>
      <c r="O61" s="77">
        <v>0.4</v>
      </c>
      <c r="P61" s="77">
        <v>0.45</v>
      </c>
      <c r="Q61" s="44">
        <f t="shared" si="0"/>
        <v>0.42500000000000004</v>
      </c>
      <c r="R61" s="77">
        <v>16.2</v>
      </c>
      <c r="S61" s="77">
        <v>102</v>
      </c>
      <c r="T61" s="16">
        <f t="shared" si="1"/>
        <v>33</v>
      </c>
      <c r="U61" s="77">
        <v>980</v>
      </c>
      <c r="V61" s="64">
        <f t="shared" si="2"/>
        <v>4042.5</v>
      </c>
      <c r="W61" s="77">
        <v>16</v>
      </c>
      <c r="X61" s="60" t="s">
        <v>35</v>
      </c>
      <c r="Y61" s="77" t="s">
        <v>74</v>
      </c>
      <c r="Z61" s="77" t="s">
        <v>43</v>
      </c>
      <c r="AA61" s="77" t="s">
        <v>55</v>
      </c>
      <c r="AB61" s="43" t="s">
        <v>161</v>
      </c>
      <c r="AI61" s="48"/>
      <c r="AJ61" s="48"/>
      <c r="AK61" s="48"/>
      <c r="AL61" s="48"/>
      <c r="AM61" s="48"/>
    </row>
    <row r="62" spans="1:44" s="77" customFormat="1" x14ac:dyDescent="0.15">
      <c r="A62" s="84" t="s">
        <v>23</v>
      </c>
      <c r="B62" s="84" t="s">
        <v>160</v>
      </c>
      <c r="C62" s="84">
        <v>2020</v>
      </c>
      <c r="D62" s="45" t="s">
        <v>163</v>
      </c>
      <c r="E62" s="84" t="s">
        <v>169</v>
      </c>
      <c r="F62" s="84" t="s">
        <v>141</v>
      </c>
      <c r="G62" s="84" t="s">
        <v>25</v>
      </c>
      <c r="H62" s="84" t="s">
        <v>113</v>
      </c>
      <c r="I62" s="84" t="s">
        <v>111</v>
      </c>
      <c r="J62" s="78" t="s">
        <v>27</v>
      </c>
      <c r="K62" s="77" t="s">
        <v>112</v>
      </c>
      <c r="L62" s="84">
        <v>1</v>
      </c>
      <c r="N62" s="77">
        <v>1</v>
      </c>
      <c r="O62" s="77">
        <v>0.7</v>
      </c>
      <c r="P62" s="77">
        <v>0.8</v>
      </c>
      <c r="Q62" s="44">
        <f t="shared" si="0"/>
        <v>0.75</v>
      </c>
      <c r="R62" s="77">
        <v>15.6</v>
      </c>
      <c r="S62" s="77">
        <v>111</v>
      </c>
      <c r="T62" s="16">
        <f t="shared" si="1"/>
        <v>33</v>
      </c>
      <c r="U62" s="77">
        <v>98</v>
      </c>
      <c r="V62" s="64">
        <f t="shared" si="2"/>
        <v>3234</v>
      </c>
      <c r="W62" s="77">
        <v>6</v>
      </c>
      <c r="X62" s="60" t="s">
        <v>35</v>
      </c>
      <c r="Y62" s="77" t="s">
        <v>43</v>
      </c>
      <c r="Z62" s="77" t="s">
        <v>47</v>
      </c>
      <c r="AA62" s="77" t="s">
        <v>82</v>
      </c>
      <c r="AB62" s="43" t="s">
        <v>161</v>
      </c>
      <c r="AI62" s="48"/>
      <c r="AJ62" s="48"/>
      <c r="AK62" s="48"/>
      <c r="AL62" s="48"/>
      <c r="AM62" s="48"/>
    </row>
    <row r="63" spans="1:44" s="77" customFormat="1" x14ac:dyDescent="0.15">
      <c r="A63" s="84" t="s">
        <v>23</v>
      </c>
      <c r="B63" s="84" t="s">
        <v>160</v>
      </c>
      <c r="C63" s="84">
        <v>2020</v>
      </c>
      <c r="D63" s="45" t="s">
        <v>163</v>
      </c>
      <c r="E63" s="84" t="s">
        <v>169</v>
      </c>
      <c r="F63" s="84" t="s">
        <v>141</v>
      </c>
      <c r="G63" s="84" t="s">
        <v>25</v>
      </c>
      <c r="H63" s="84" t="s">
        <v>113</v>
      </c>
      <c r="I63" s="84" t="s">
        <v>111</v>
      </c>
      <c r="J63" s="78" t="s">
        <v>27</v>
      </c>
      <c r="K63" s="77" t="s">
        <v>112</v>
      </c>
      <c r="L63" s="84">
        <v>2</v>
      </c>
      <c r="N63" s="77">
        <v>1</v>
      </c>
      <c r="O63" s="77">
        <v>1.1000000000000001</v>
      </c>
      <c r="P63" s="77">
        <v>1.1499999999999999</v>
      </c>
      <c r="Q63" s="44">
        <f t="shared" si="0"/>
        <v>1.125</v>
      </c>
      <c r="R63" s="77">
        <v>16.5</v>
      </c>
      <c r="S63" s="77">
        <v>122</v>
      </c>
      <c r="T63" s="16">
        <f t="shared" si="1"/>
        <v>30</v>
      </c>
      <c r="U63" s="77">
        <v>98</v>
      </c>
      <c r="V63" s="64">
        <f t="shared" si="2"/>
        <v>2940</v>
      </c>
      <c r="W63" s="77">
        <v>6</v>
      </c>
      <c r="X63" s="60" t="s">
        <v>35</v>
      </c>
      <c r="Y63" s="77" t="s">
        <v>43</v>
      </c>
      <c r="Z63" s="77" t="s">
        <v>47</v>
      </c>
      <c r="AA63" s="77" t="s">
        <v>82</v>
      </c>
      <c r="AB63" s="43" t="s">
        <v>161</v>
      </c>
      <c r="AI63" s="48"/>
      <c r="AJ63" s="48"/>
      <c r="AK63" s="48"/>
      <c r="AL63" s="48"/>
      <c r="AM63" s="48"/>
    </row>
    <row r="64" spans="1:44" s="77" customFormat="1" x14ac:dyDescent="0.15">
      <c r="A64" s="84" t="s">
        <v>23</v>
      </c>
      <c r="B64" s="84" t="s">
        <v>160</v>
      </c>
      <c r="C64" s="84">
        <v>2020</v>
      </c>
      <c r="D64" s="45" t="s">
        <v>163</v>
      </c>
      <c r="E64" s="84" t="s">
        <v>169</v>
      </c>
      <c r="F64" s="84" t="s">
        <v>141</v>
      </c>
      <c r="G64" s="84" t="s">
        <v>25</v>
      </c>
      <c r="H64" s="84" t="s">
        <v>113</v>
      </c>
      <c r="I64" s="84" t="s">
        <v>111</v>
      </c>
      <c r="J64" s="78" t="s">
        <v>27</v>
      </c>
      <c r="K64" s="77" t="s">
        <v>112</v>
      </c>
      <c r="L64" s="84">
        <v>3</v>
      </c>
      <c r="N64" s="77">
        <v>1</v>
      </c>
      <c r="O64" s="77">
        <v>1</v>
      </c>
      <c r="P64" s="77">
        <v>1.05</v>
      </c>
      <c r="Q64" s="44">
        <f t="shared" si="0"/>
        <v>1.0249999999999999</v>
      </c>
      <c r="R64" s="77">
        <v>16.3</v>
      </c>
      <c r="S64" s="77">
        <v>119</v>
      </c>
      <c r="T64" s="16">
        <f t="shared" si="1"/>
        <v>30</v>
      </c>
      <c r="U64" s="77">
        <v>98</v>
      </c>
      <c r="V64" s="64">
        <f t="shared" si="2"/>
        <v>2940</v>
      </c>
      <c r="W64" s="77">
        <v>6</v>
      </c>
      <c r="X64" s="60" t="s">
        <v>35</v>
      </c>
      <c r="Y64" s="77" t="s">
        <v>43</v>
      </c>
      <c r="Z64" s="77" t="s">
        <v>47</v>
      </c>
      <c r="AA64" s="77" t="s">
        <v>82</v>
      </c>
      <c r="AB64" s="43" t="s">
        <v>161</v>
      </c>
      <c r="AI64" s="48"/>
      <c r="AJ64" s="48"/>
      <c r="AK64" s="48"/>
      <c r="AL64" s="48"/>
      <c r="AM64" s="48"/>
    </row>
    <row r="65" spans="1:39" s="77" customFormat="1" x14ac:dyDescent="0.15">
      <c r="A65" s="84" t="s">
        <v>23</v>
      </c>
      <c r="B65" s="84" t="s">
        <v>160</v>
      </c>
      <c r="C65" s="84">
        <v>2020</v>
      </c>
      <c r="D65" s="45" t="s">
        <v>163</v>
      </c>
      <c r="E65" s="84" t="s">
        <v>169</v>
      </c>
      <c r="F65" s="84" t="s">
        <v>141</v>
      </c>
      <c r="G65" s="84" t="s">
        <v>25</v>
      </c>
      <c r="H65" s="84" t="s">
        <v>166</v>
      </c>
      <c r="I65" s="84" t="s">
        <v>111</v>
      </c>
      <c r="J65" s="78" t="s">
        <v>27</v>
      </c>
      <c r="K65" s="77" t="s">
        <v>112</v>
      </c>
      <c r="L65" s="84">
        <v>1</v>
      </c>
      <c r="N65" s="77">
        <v>1</v>
      </c>
      <c r="O65" s="77">
        <v>0.85</v>
      </c>
      <c r="P65" s="77">
        <v>1.05</v>
      </c>
      <c r="Q65" s="44">
        <f t="shared" si="0"/>
        <v>0.95</v>
      </c>
      <c r="R65" s="77">
        <v>16.2</v>
      </c>
      <c r="S65" s="77">
        <v>109</v>
      </c>
      <c r="T65" s="16">
        <f t="shared" si="1"/>
        <v>33</v>
      </c>
      <c r="U65" s="77">
        <v>98</v>
      </c>
      <c r="V65" s="64">
        <f t="shared" si="2"/>
        <v>3234</v>
      </c>
      <c r="W65" s="77">
        <v>6</v>
      </c>
      <c r="X65" s="60" t="s">
        <v>35</v>
      </c>
      <c r="Y65" s="77" t="s">
        <v>43</v>
      </c>
      <c r="Z65" s="77" t="s">
        <v>47</v>
      </c>
      <c r="AA65" s="77" t="s">
        <v>82</v>
      </c>
      <c r="AB65" s="43" t="s">
        <v>161</v>
      </c>
      <c r="AI65" s="48"/>
      <c r="AJ65" s="48"/>
      <c r="AK65" s="48"/>
      <c r="AL65" s="48"/>
      <c r="AM65" s="48"/>
    </row>
    <row r="66" spans="1:39" s="77" customFormat="1" x14ac:dyDescent="0.15">
      <c r="A66" s="84" t="s">
        <v>23</v>
      </c>
      <c r="B66" s="84" t="s">
        <v>160</v>
      </c>
      <c r="C66" s="84">
        <v>2020</v>
      </c>
      <c r="D66" s="45" t="s">
        <v>163</v>
      </c>
      <c r="E66" s="84" t="s">
        <v>169</v>
      </c>
      <c r="F66" s="84" t="s">
        <v>141</v>
      </c>
      <c r="G66" s="84" t="s">
        <v>25</v>
      </c>
      <c r="H66" s="84" t="s">
        <v>166</v>
      </c>
      <c r="I66" s="84" t="s">
        <v>111</v>
      </c>
      <c r="J66" s="78" t="s">
        <v>27</v>
      </c>
      <c r="K66" s="77" t="s">
        <v>112</v>
      </c>
      <c r="L66" s="84">
        <v>2</v>
      </c>
      <c r="N66" s="77">
        <v>1</v>
      </c>
      <c r="O66" s="77">
        <v>0.65</v>
      </c>
      <c r="P66" s="77">
        <v>0.75</v>
      </c>
      <c r="Q66" s="44">
        <f t="shared" si="0"/>
        <v>0.7</v>
      </c>
      <c r="R66" s="77">
        <v>15.5</v>
      </c>
      <c r="S66" s="77">
        <v>115</v>
      </c>
      <c r="T66" s="16">
        <f t="shared" si="1"/>
        <v>30</v>
      </c>
      <c r="U66" s="77">
        <v>98</v>
      </c>
      <c r="V66" s="64">
        <f t="shared" si="2"/>
        <v>2940</v>
      </c>
      <c r="W66" s="77">
        <v>6</v>
      </c>
      <c r="X66" s="60" t="s">
        <v>35</v>
      </c>
      <c r="Y66" s="77" t="s">
        <v>43</v>
      </c>
      <c r="Z66" s="77" t="s">
        <v>47</v>
      </c>
      <c r="AA66" s="77" t="s">
        <v>82</v>
      </c>
      <c r="AB66" s="43" t="s">
        <v>161</v>
      </c>
      <c r="AI66" s="48"/>
      <c r="AJ66" s="48"/>
      <c r="AK66" s="48"/>
      <c r="AL66" s="48"/>
      <c r="AM66" s="48"/>
    </row>
    <row r="67" spans="1:39" s="77" customFormat="1" x14ac:dyDescent="0.15">
      <c r="A67" s="84" t="s">
        <v>23</v>
      </c>
      <c r="B67" s="84" t="s">
        <v>160</v>
      </c>
      <c r="C67" s="84">
        <v>2020</v>
      </c>
      <c r="D67" s="45" t="s">
        <v>163</v>
      </c>
      <c r="E67" s="84" t="s">
        <v>169</v>
      </c>
      <c r="F67" s="84" t="s">
        <v>141</v>
      </c>
      <c r="G67" s="84" t="s">
        <v>25</v>
      </c>
      <c r="H67" s="84" t="s">
        <v>166</v>
      </c>
      <c r="I67" s="84" t="s">
        <v>111</v>
      </c>
      <c r="J67" s="78" t="s">
        <v>27</v>
      </c>
      <c r="K67" s="77" t="s">
        <v>112</v>
      </c>
      <c r="L67" s="84">
        <v>3</v>
      </c>
      <c r="N67" s="77">
        <v>1</v>
      </c>
      <c r="O67" s="77">
        <v>0.9</v>
      </c>
      <c r="P67" s="77">
        <v>1</v>
      </c>
      <c r="Q67" s="44">
        <f t="shared" si="0"/>
        <v>0.95</v>
      </c>
      <c r="R67" s="77">
        <v>16.3</v>
      </c>
      <c r="S67" s="77">
        <v>110</v>
      </c>
      <c r="T67" s="16">
        <f t="shared" si="1"/>
        <v>33</v>
      </c>
      <c r="U67" s="77">
        <v>98</v>
      </c>
      <c r="V67" s="64">
        <f t="shared" si="2"/>
        <v>3234</v>
      </c>
      <c r="W67" s="77">
        <v>6</v>
      </c>
      <c r="X67" s="60" t="s">
        <v>35</v>
      </c>
      <c r="Y67" s="77" t="s">
        <v>43</v>
      </c>
      <c r="Z67" s="77" t="s">
        <v>47</v>
      </c>
      <c r="AA67" s="77" t="s">
        <v>82</v>
      </c>
      <c r="AB67" s="43" t="s">
        <v>161</v>
      </c>
      <c r="AI67" s="48"/>
      <c r="AJ67" s="48"/>
      <c r="AK67" s="48"/>
      <c r="AL67" s="48"/>
      <c r="AM67" s="48"/>
    </row>
    <row r="68" spans="1:39" s="77" customFormat="1" x14ac:dyDescent="0.15">
      <c r="A68" s="84" t="s">
        <v>23</v>
      </c>
      <c r="B68" s="84" t="s">
        <v>160</v>
      </c>
      <c r="C68" s="84">
        <v>2020</v>
      </c>
      <c r="D68" s="45" t="s">
        <v>163</v>
      </c>
      <c r="E68" s="84" t="s">
        <v>170</v>
      </c>
      <c r="F68" s="84" t="s">
        <v>145</v>
      </c>
      <c r="G68" s="84" t="s">
        <v>25</v>
      </c>
      <c r="H68" s="84" t="s">
        <v>113</v>
      </c>
      <c r="I68" s="84" t="s">
        <v>111</v>
      </c>
      <c r="J68" s="78" t="s">
        <v>27</v>
      </c>
      <c r="K68" s="77" t="s">
        <v>112</v>
      </c>
      <c r="L68" s="84">
        <v>1</v>
      </c>
      <c r="N68" s="77">
        <v>1</v>
      </c>
      <c r="O68" s="77">
        <v>0.8</v>
      </c>
      <c r="P68" s="77">
        <v>0.9</v>
      </c>
      <c r="Q68" s="44">
        <f t="shared" si="0"/>
        <v>0.85000000000000009</v>
      </c>
      <c r="R68" s="77">
        <v>15.5</v>
      </c>
      <c r="S68" s="77">
        <v>114</v>
      </c>
      <c r="T68" s="16">
        <f t="shared" si="1"/>
        <v>30</v>
      </c>
      <c r="U68" s="77">
        <v>128</v>
      </c>
      <c r="V68" s="64">
        <f t="shared" si="2"/>
        <v>3840</v>
      </c>
      <c r="W68" s="77">
        <v>15</v>
      </c>
      <c r="X68" s="60" t="s">
        <v>35</v>
      </c>
      <c r="Y68" s="60" t="s">
        <v>74</v>
      </c>
      <c r="Z68" s="73" t="s">
        <v>72</v>
      </c>
      <c r="AA68" s="77" t="s">
        <v>43</v>
      </c>
      <c r="AB68" s="43" t="s">
        <v>161</v>
      </c>
      <c r="AI68" s="48"/>
      <c r="AJ68" s="48"/>
      <c r="AK68" s="48"/>
      <c r="AL68" s="48"/>
      <c r="AM68" s="48"/>
    </row>
    <row r="69" spans="1:39" s="77" customFormat="1" x14ac:dyDescent="0.15">
      <c r="A69" s="84" t="s">
        <v>23</v>
      </c>
      <c r="B69" s="84" t="s">
        <v>160</v>
      </c>
      <c r="C69" s="84">
        <v>2020</v>
      </c>
      <c r="D69" s="45" t="s">
        <v>163</v>
      </c>
      <c r="E69" s="84" t="s">
        <v>170</v>
      </c>
      <c r="F69" s="84" t="s">
        <v>145</v>
      </c>
      <c r="G69" s="84" t="s">
        <v>25</v>
      </c>
      <c r="H69" s="84" t="s">
        <v>113</v>
      </c>
      <c r="I69" s="84" t="s">
        <v>111</v>
      </c>
      <c r="J69" s="78" t="s">
        <v>27</v>
      </c>
      <c r="K69" s="77" t="s">
        <v>112</v>
      </c>
      <c r="L69" s="84">
        <v>2</v>
      </c>
      <c r="N69" s="77">
        <v>1</v>
      </c>
      <c r="O69" s="77">
        <v>0.9</v>
      </c>
      <c r="P69" s="77">
        <v>1</v>
      </c>
      <c r="Q69" s="44">
        <f t="shared" si="0"/>
        <v>0.95</v>
      </c>
      <c r="R69" s="77">
        <v>14.5</v>
      </c>
      <c r="S69" s="77">
        <v>116</v>
      </c>
      <c r="T69" s="16">
        <f t="shared" si="1"/>
        <v>30</v>
      </c>
      <c r="U69" s="77">
        <v>128</v>
      </c>
      <c r="V69" s="64">
        <f t="shared" si="2"/>
        <v>3840</v>
      </c>
      <c r="W69" s="77">
        <v>15</v>
      </c>
      <c r="X69" s="60" t="s">
        <v>35</v>
      </c>
      <c r="Y69" s="60" t="s">
        <v>74</v>
      </c>
      <c r="Z69" s="73" t="s">
        <v>72</v>
      </c>
      <c r="AA69" s="77" t="s">
        <v>43</v>
      </c>
      <c r="AB69" s="43" t="s">
        <v>161</v>
      </c>
      <c r="AI69" s="48"/>
      <c r="AJ69" s="48"/>
      <c r="AK69" s="48"/>
      <c r="AL69" s="48"/>
      <c r="AM69" s="48"/>
    </row>
    <row r="70" spans="1:39" s="77" customFormat="1" x14ac:dyDescent="0.15">
      <c r="A70" s="84" t="s">
        <v>23</v>
      </c>
      <c r="B70" s="84" t="s">
        <v>160</v>
      </c>
      <c r="C70" s="84">
        <v>2020</v>
      </c>
      <c r="D70" s="45" t="s">
        <v>163</v>
      </c>
      <c r="E70" s="84" t="s">
        <v>170</v>
      </c>
      <c r="F70" s="84" t="s">
        <v>145</v>
      </c>
      <c r="G70" s="84" t="s">
        <v>25</v>
      </c>
      <c r="H70" s="84" t="s">
        <v>113</v>
      </c>
      <c r="I70" s="84" t="s">
        <v>111</v>
      </c>
      <c r="J70" s="78" t="s">
        <v>27</v>
      </c>
      <c r="K70" s="77" t="s">
        <v>112</v>
      </c>
      <c r="L70" s="84">
        <v>3</v>
      </c>
      <c r="N70" s="77">
        <v>1</v>
      </c>
      <c r="O70" s="77">
        <v>0.9</v>
      </c>
      <c r="P70" s="77">
        <v>1.05</v>
      </c>
      <c r="Q70" s="44">
        <f t="shared" si="0"/>
        <v>0.97500000000000009</v>
      </c>
      <c r="R70" s="77">
        <v>13.5</v>
      </c>
      <c r="S70" s="77">
        <v>119</v>
      </c>
      <c r="T70" s="16">
        <f t="shared" si="1"/>
        <v>30</v>
      </c>
      <c r="U70" s="77">
        <v>128</v>
      </c>
      <c r="V70" s="64">
        <f t="shared" si="2"/>
        <v>3840</v>
      </c>
      <c r="W70" s="77">
        <v>15</v>
      </c>
      <c r="X70" s="60" t="s">
        <v>35</v>
      </c>
      <c r="Y70" s="60" t="s">
        <v>74</v>
      </c>
      <c r="Z70" s="73" t="s">
        <v>72</v>
      </c>
      <c r="AA70" s="77" t="s">
        <v>43</v>
      </c>
      <c r="AB70" s="43" t="s">
        <v>161</v>
      </c>
      <c r="AI70" s="48"/>
      <c r="AJ70" s="48"/>
      <c r="AK70" s="48"/>
      <c r="AL70" s="48"/>
      <c r="AM70" s="48"/>
    </row>
    <row r="71" spans="1:39" s="77" customFormat="1" x14ac:dyDescent="0.15">
      <c r="A71" s="84" t="s">
        <v>23</v>
      </c>
      <c r="B71" s="84" t="s">
        <v>160</v>
      </c>
      <c r="C71" s="84">
        <v>2020</v>
      </c>
      <c r="D71" s="45" t="s">
        <v>163</v>
      </c>
      <c r="E71" s="84" t="s">
        <v>170</v>
      </c>
      <c r="F71" s="84" t="s">
        <v>145</v>
      </c>
      <c r="G71" s="84" t="s">
        <v>25</v>
      </c>
      <c r="H71" s="84" t="s">
        <v>113</v>
      </c>
      <c r="I71" s="84" t="s">
        <v>111</v>
      </c>
      <c r="J71" s="78" t="s">
        <v>27</v>
      </c>
      <c r="K71" s="77" t="s">
        <v>112</v>
      </c>
      <c r="L71" s="84">
        <v>1</v>
      </c>
      <c r="N71" s="77">
        <v>6</v>
      </c>
      <c r="O71" s="77">
        <v>0.2</v>
      </c>
      <c r="P71" s="77">
        <v>0.2</v>
      </c>
      <c r="Q71" s="44">
        <f t="shared" si="0"/>
        <v>0.2</v>
      </c>
      <c r="R71" s="77">
        <v>17</v>
      </c>
      <c r="S71" s="77">
        <v>86</v>
      </c>
      <c r="T71" s="16">
        <f t="shared" si="1"/>
        <v>36</v>
      </c>
      <c r="U71" s="77">
        <v>298</v>
      </c>
      <c r="V71" s="64">
        <f t="shared" si="2"/>
        <v>1788</v>
      </c>
      <c r="W71" s="77">
        <v>15</v>
      </c>
      <c r="X71" s="60" t="s">
        <v>35</v>
      </c>
      <c r="Y71" s="60" t="s">
        <v>74</v>
      </c>
      <c r="Z71" s="73" t="s">
        <v>72</v>
      </c>
      <c r="AA71" s="77" t="s">
        <v>43</v>
      </c>
      <c r="AB71" s="43" t="s">
        <v>161</v>
      </c>
      <c r="AI71" s="48"/>
      <c r="AJ71" s="48"/>
      <c r="AK71" s="48"/>
      <c r="AL71" s="48"/>
      <c r="AM71" s="48"/>
    </row>
    <row r="72" spans="1:39" s="77" customFormat="1" x14ac:dyDescent="0.15">
      <c r="A72" s="84" t="s">
        <v>23</v>
      </c>
      <c r="B72" s="84" t="s">
        <v>160</v>
      </c>
      <c r="C72" s="84">
        <v>2020</v>
      </c>
      <c r="D72" s="45" t="s">
        <v>163</v>
      </c>
      <c r="E72" s="84" t="s">
        <v>170</v>
      </c>
      <c r="F72" s="84" t="s">
        <v>145</v>
      </c>
      <c r="G72" s="84" t="s">
        <v>25</v>
      </c>
      <c r="H72" s="84" t="s">
        <v>113</v>
      </c>
      <c r="I72" s="84" t="s">
        <v>111</v>
      </c>
      <c r="J72" s="78" t="s">
        <v>27</v>
      </c>
      <c r="K72" s="77" t="s">
        <v>112</v>
      </c>
      <c r="L72" s="84">
        <v>2</v>
      </c>
      <c r="N72" s="77">
        <v>6</v>
      </c>
      <c r="O72" s="77">
        <v>0.6</v>
      </c>
      <c r="P72" s="77">
        <v>0.6</v>
      </c>
      <c r="Q72" s="44">
        <f t="shared" si="0"/>
        <v>0.6</v>
      </c>
      <c r="R72" s="77">
        <v>17</v>
      </c>
      <c r="S72" s="77">
        <v>84</v>
      </c>
      <c r="T72" s="16">
        <f t="shared" si="1"/>
        <v>36</v>
      </c>
      <c r="U72" s="77">
        <v>298</v>
      </c>
      <c r="V72" s="64">
        <f t="shared" si="2"/>
        <v>1788</v>
      </c>
      <c r="W72" s="77">
        <v>15</v>
      </c>
      <c r="X72" s="60" t="s">
        <v>35</v>
      </c>
      <c r="Y72" s="60" t="s">
        <v>74</v>
      </c>
      <c r="Z72" s="73" t="s">
        <v>72</v>
      </c>
      <c r="AA72" s="77" t="s">
        <v>43</v>
      </c>
      <c r="AB72" s="43" t="s">
        <v>161</v>
      </c>
      <c r="AI72" s="48"/>
      <c r="AJ72" s="48"/>
      <c r="AK72" s="48"/>
      <c r="AL72" s="48"/>
      <c r="AM72" s="48"/>
    </row>
    <row r="73" spans="1:39" s="77" customFormat="1" x14ac:dyDescent="0.15">
      <c r="A73" s="84" t="s">
        <v>23</v>
      </c>
      <c r="B73" s="84" t="s">
        <v>160</v>
      </c>
      <c r="C73" s="84">
        <v>2020</v>
      </c>
      <c r="D73" s="45" t="s">
        <v>163</v>
      </c>
      <c r="E73" s="84" t="s">
        <v>170</v>
      </c>
      <c r="F73" s="84" t="s">
        <v>145</v>
      </c>
      <c r="G73" s="84" t="s">
        <v>25</v>
      </c>
      <c r="H73" s="84" t="s">
        <v>113</v>
      </c>
      <c r="I73" s="84" t="s">
        <v>111</v>
      </c>
      <c r="J73" s="78" t="s">
        <v>27</v>
      </c>
      <c r="K73" s="77" t="s">
        <v>112</v>
      </c>
      <c r="L73" s="84">
        <v>3</v>
      </c>
      <c r="N73" s="77">
        <v>6</v>
      </c>
      <c r="O73" s="77">
        <v>0.6</v>
      </c>
      <c r="P73" s="77">
        <v>0.6</v>
      </c>
      <c r="Q73" s="44">
        <f t="shared" si="0"/>
        <v>0.6</v>
      </c>
      <c r="R73" s="77">
        <v>17.2</v>
      </c>
      <c r="S73" s="77">
        <v>84</v>
      </c>
      <c r="T73" s="16">
        <f t="shared" si="1"/>
        <v>36</v>
      </c>
      <c r="U73" s="77">
        <v>298</v>
      </c>
      <c r="V73" s="64">
        <f t="shared" si="2"/>
        <v>1788</v>
      </c>
      <c r="W73" s="77">
        <v>15</v>
      </c>
      <c r="X73" s="60" t="s">
        <v>35</v>
      </c>
      <c r="Y73" s="60" t="s">
        <v>74</v>
      </c>
      <c r="Z73" s="73" t="s">
        <v>72</v>
      </c>
      <c r="AA73" s="77" t="s">
        <v>43</v>
      </c>
      <c r="AB73" s="43" t="s">
        <v>161</v>
      </c>
      <c r="AI73" s="48"/>
      <c r="AJ73" s="48"/>
      <c r="AK73" s="48"/>
      <c r="AL73" s="48"/>
      <c r="AM73" s="48"/>
    </row>
    <row r="74" spans="1:39" s="77" customFormat="1" x14ac:dyDescent="0.15">
      <c r="A74" s="84" t="s">
        <v>23</v>
      </c>
      <c r="B74" s="84" t="s">
        <v>160</v>
      </c>
      <c r="C74" s="84">
        <v>2020</v>
      </c>
      <c r="D74" s="45" t="s">
        <v>163</v>
      </c>
      <c r="E74" s="84" t="s">
        <v>170</v>
      </c>
      <c r="F74" s="84" t="s">
        <v>145</v>
      </c>
      <c r="G74" s="84" t="s">
        <v>25</v>
      </c>
      <c r="H74" s="84" t="s">
        <v>166</v>
      </c>
      <c r="I74" s="84" t="s">
        <v>111</v>
      </c>
      <c r="J74" s="78" t="s">
        <v>27</v>
      </c>
      <c r="K74" s="77" t="s">
        <v>112</v>
      </c>
      <c r="L74" s="84">
        <v>1</v>
      </c>
      <c r="N74" s="77">
        <v>1</v>
      </c>
      <c r="O74" s="77">
        <v>0.5</v>
      </c>
      <c r="P74" s="77">
        <v>0.45</v>
      </c>
      <c r="Q74" s="44">
        <f t="shared" si="0"/>
        <v>0.47499999999999998</v>
      </c>
      <c r="R74" s="77">
        <v>15.2</v>
      </c>
      <c r="S74" s="77">
        <v>131</v>
      </c>
      <c r="T74" s="16">
        <f t="shared" si="1"/>
        <v>30</v>
      </c>
      <c r="U74" s="77">
        <v>108</v>
      </c>
      <c r="V74" s="64">
        <f t="shared" si="2"/>
        <v>3240</v>
      </c>
      <c r="W74" s="77">
        <v>15</v>
      </c>
      <c r="X74" s="60" t="s">
        <v>35</v>
      </c>
      <c r="Y74" s="60" t="s">
        <v>74</v>
      </c>
      <c r="Z74" s="73" t="s">
        <v>72</v>
      </c>
      <c r="AA74" s="77" t="s">
        <v>43</v>
      </c>
      <c r="AB74" s="43" t="s">
        <v>161</v>
      </c>
      <c r="AI74" s="48"/>
      <c r="AJ74" s="48"/>
      <c r="AK74" s="48"/>
      <c r="AL74" s="48"/>
      <c r="AM74" s="48"/>
    </row>
    <row r="75" spans="1:39" s="77" customFormat="1" x14ac:dyDescent="0.15">
      <c r="A75" s="84" t="s">
        <v>23</v>
      </c>
      <c r="B75" s="84" t="s">
        <v>160</v>
      </c>
      <c r="C75" s="84">
        <v>2020</v>
      </c>
      <c r="D75" s="45" t="s">
        <v>163</v>
      </c>
      <c r="E75" s="84" t="s">
        <v>170</v>
      </c>
      <c r="F75" s="84" t="s">
        <v>145</v>
      </c>
      <c r="G75" s="84" t="s">
        <v>25</v>
      </c>
      <c r="H75" s="84" t="s">
        <v>166</v>
      </c>
      <c r="I75" s="84" t="s">
        <v>111</v>
      </c>
      <c r="J75" s="78" t="s">
        <v>27</v>
      </c>
      <c r="K75" s="77" t="s">
        <v>112</v>
      </c>
      <c r="L75" s="84">
        <v>2</v>
      </c>
      <c r="N75" s="77">
        <v>1</v>
      </c>
      <c r="O75" s="77">
        <v>0.4</v>
      </c>
      <c r="P75" s="77">
        <v>0.5</v>
      </c>
      <c r="Q75" s="44">
        <f t="shared" si="0"/>
        <v>0.45</v>
      </c>
      <c r="R75" s="77">
        <v>18.100000000000001</v>
      </c>
      <c r="S75" s="77">
        <v>129</v>
      </c>
      <c r="T75" s="16">
        <f t="shared" si="1"/>
        <v>30</v>
      </c>
      <c r="U75" s="77">
        <v>108</v>
      </c>
      <c r="V75" s="64">
        <f t="shared" si="2"/>
        <v>3240</v>
      </c>
      <c r="W75" s="77">
        <v>15</v>
      </c>
      <c r="X75" s="60" t="s">
        <v>35</v>
      </c>
      <c r="Y75" s="60" t="s">
        <v>74</v>
      </c>
      <c r="Z75" s="73" t="s">
        <v>72</v>
      </c>
      <c r="AA75" s="77" t="s">
        <v>43</v>
      </c>
      <c r="AB75" s="43" t="s">
        <v>161</v>
      </c>
      <c r="AI75" s="48"/>
      <c r="AJ75" s="48"/>
      <c r="AK75" s="48"/>
      <c r="AL75" s="48"/>
      <c r="AM75" s="48"/>
    </row>
    <row r="76" spans="1:39" s="77" customFormat="1" x14ac:dyDescent="0.15">
      <c r="A76" s="84" t="s">
        <v>23</v>
      </c>
      <c r="B76" s="84" t="s">
        <v>160</v>
      </c>
      <c r="C76" s="84">
        <v>2020</v>
      </c>
      <c r="D76" s="45" t="s">
        <v>163</v>
      </c>
      <c r="E76" s="84" t="s">
        <v>170</v>
      </c>
      <c r="F76" s="84" t="s">
        <v>145</v>
      </c>
      <c r="G76" s="84" t="s">
        <v>25</v>
      </c>
      <c r="H76" s="84" t="s">
        <v>166</v>
      </c>
      <c r="I76" s="84" t="s">
        <v>111</v>
      </c>
      <c r="J76" s="78" t="s">
        <v>27</v>
      </c>
      <c r="K76" s="77" t="s">
        <v>112</v>
      </c>
      <c r="L76" s="84">
        <v>3</v>
      </c>
      <c r="N76" s="77">
        <v>1</v>
      </c>
      <c r="O76" s="77">
        <v>0.65</v>
      </c>
      <c r="P76" s="77">
        <v>0.75</v>
      </c>
      <c r="Q76" s="44">
        <f t="shared" si="0"/>
        <v>0.7</v>
      </c>
      <c r="R76" s="77">
        <v>16</v>
      </c>
      <c r="S76" s="77">
        <v>133</v>
      </c>
      <c r="T76" s="16">
        <f t="shared" si="1"/>
        <v>30</v>
      </c>
      <c r="U76" s="77">
        <v>108</v>
      </c>
      <c r="V76" s="64">
        <f t="shared" si="2"/>
        <v>3240</v>
      </c>
      <c r="W76" s="77">
        <v>15</v>
      </c>
      <c r="X76" s="60" t="s">
        <v>35</v>
      </c>
      <c r="Y76" s="60" t="s">
        <v>74</v>
      </c>
      <c r="Z76" s="73" t="s">
        <v>72</v>
      </c>
      <c r="AA76" s="77" t="s">
        <v>43</v>
      </c>
      <c r="AB76" s="43" t="s">
        <v>161</v>
      </c>
      <c r="AI76" s="48"/>
      <c r="AJ76" s="48"/>
      <c r="AK76" s="48"/>
      <c r="AL76" s="48"/>
      <c r="AM76" s="48"/>
    </row>
    <row r="77" spans="1:39" s="77" customFormat="1" x14ac:dyDescent="0.15">
      <c r="A77" s="84" t="s">
        <v>23</v>
      </c>
      <c r="B77" s="84" t="s">
        <v>160</v>
      </c>
      <c r="C77" s="84">
        <v>2020</v>
      </c>
      <c r="D77" s="45" t="s">
        <v>163</v>
      </c>
      <c r="E77" s="84" t="s">
        <v>170</v>
      </c>
      <c r="F77" s="84" t="s">
        <v>145</v>
      </c>
      <c r="G77" s="84" t="s">
        <v>25</v>
      </c>
      <c r="H77" s="84" t="s">
        <v>166</v>
      </c>
      <c r="I77" s="84" t="s">
        <v>111</v>
      </c>
      <c r="J77" s="78" t="s">
        <v>27</v>
      </c>
      <c r="K77" s="77" t="s">
        <v>112</v>
      </c>
      <c r="L77" s="84">
        <v>1</v>
      </c>
      <c r="N77" s="77">
        <v>4</v>
      </c>
      <c r="O77" s="77">
        <v>0.7</v>
      </c>
      <c r="P77" s="77">
        <v>0.85</v>
      </c>
      <c r="Q77" s="44">
        <f t="shared" si="0"/>
        <v>0.77499999999999991</v>
      </c>
      <c r="R77" s="77">
        <v>17</v>
      </c>
      <c r="S77" s="77">
        <v>109</v>
      </c>
      <c r="T77" s="16">
        <f t="shared" si="1"/>
        <v>33</v>
      </c>
      <c r="U77" s="77">
        <v>398</v>
      </c>
      <c r="V77" s="64">
        <f t="shared" si="2"/>
        <v>3283.5</v>
      </c>
      <c r="W77" s="77">
        <v>15</v>
      </c>
      <c r="X77" s="60" t="s">
        <v>35</v>
      </c>
      <c r="Y77" s="60" t="s">
        <v>74</v>
      </c>
      <c r="Z77" s="73" t="s">
        <v>72</v>
      </c>
      <c r="AA77" s="77" t="s">
        <v>43</v>
      </c>
      <c r="AB77" s="43" t="s">
        <v>161</v>
      </c>
      <c r="AI77" s="48"/>
      <c r="AJ77" s="48"/>
      <c r="AK77" s="48"/>
      <c r="AL77" s="48"/>
      <c r="AM77" s="48"/>
    </row>
    <row r="78" spans="1:39" s="77" customFormat="1" x14ac:dyDescent="0.15">
      <c r="A78" s="84" t="s">
        <v>23</v>
      </c>
      <c r="B78" s="84" t="s">
        <v>160</v>
      </c>
      <c r="C78" s="84">
        <v>2020</v>
      </c>
      <c r="D78" s="45" t="s">
        <v>163</v>
      </c>
      <c r="E78" s="84" t="s">
        <v>170</v>
      </c>
      <c r="F78" s="84" t="s">
        <v>145</v>
      </c>
      <c r="G78" s="84" t="s">
        <v>25</v>
      </c>
      <c r="H78" s="84" t="s">
        <v>166</v>
      </c>
      <c r="I78" s="84" t="s">
        <v>111</v>
      </c>
      <c r="J78" s="78" t="s">
        <v>27</v>
      </c>
      <c r="K78" s="77" t="s">
        <v>112</v>
      </c>
      <c r="L78" s="84">
        <v>2</v>
      </c>
      <c r="N78" s="77">
        <v>4</v>
      </c>
      <c r="O78" s="77">
        <v>0.35</v>
      </c>
      <c r="P78" s="77">
        <v>0.2</v>
      </c>
      <c r="Q78" s="44">
        <f t="shared" si="0"/>
        <v>0.27500000000000002</v>
      </c>
      <c r="R78" s="77">
        <v>17.2</v>
      </c>
      <c r="S78" s="77">
        <v>113</v>
      </c>
      <c r="T78" s="16">
        <f t="shared" si="1"/>
        <v>30</v>
      </c>
      <c r="U78" s="77">
        <v>398</v>
      </c>
      <c r="V78" s="64">
        <f t="shared" si="2"/>
        <v>2985</v>
      </c>
      <c r="W78" s="77">
        <v>15</v>
      </c>
      <c r="X78" s="60" t="s">
        <v>35</v>
      </c>
      <c r="Y78" s="60" t="s">
        <v>74</v>
      </c>
      <c r="Z78" s="73" t="s">
        <v>72</v>
      </c>
      <c r="AA78" s="77" t="s">
        <v>43</v>
      </c>
      <c r="AB78" s="43" t="s">
        <v>161</v>
      </c>
      <c r="AI78" s="48"/>
      <c r="AJ78" s="48"/>
      <c r="AK78" s="48"/>
      <c r="AL78" s="48"/>
      <c r="AM78" s="48"/>
    </row>
    <row r="79" spans="1:39" s="77" customFormat="1" x14ac:dyDescent="0.15">
      <c r="A79" s="84" t="s">
        <v>23</v>
      </c>
      <c r="B79" s="84" t="s">
        <v>160</v>
      </c>
      <c r="C79" s="84">
        <v>2020</v>
      </c>
      <c r="D79" s="45" t="s">
        <v>163</v>
      </c>
      <c r="E79" s="84" t="s">
        <v>170</v>
      </c>
      <c r="F79" s="84" t="s">
        <v>145</v>
      </c>
      <c r="G79" s="84" t="s">
        <v>25</v>
      </c>
      <c r="H79" s="84" t="s">
        <v>166</v>
      </c>
      <c r="I79" s="84" t="s">
        <v>111</v>
      </c>
      <c r="J79" s="78" t="s">
        <v>27</v>
      </c>
      <c r="K79" s="77" t="s">
        <v>112</v>
      </c>
      <c r="L79" s="84">
        <v>3</v>
      </c>
      <c r="N79" s="77">
        <v>4</v>
      </c>
      <c r="O79" s="77">
        <v>0.7</v>
      </c>
      <c r="P79" s="77">
        <v>0.8</v>
      </c>
      <c r="Q79" s="44">
        <f t="shared" si="0"/>
        <v>0.75</v>
      </c>
      <c r="R79" s="77">
        <v>15</v>
      </c>
      <c r="S79" s="77">
        <v>110</v>
      </c>
      <c r="T79" s="16">
        <f t="shared" si="1"/>
        <v>33</v>
      </c>
      <c r="U79" s="77">
        <v>398</v>
      </c>
      <c r="V79" s="64">
        <f t="shared" si="2"/>
        <v>3283.5</v>
      </c>
      <c r="W79" s="77">
        <v>15</v>
      </c>
      <c r="X79" s="60" t="s">
        <v>35</v>
      </c>
      <c r="Y79" s="60" t="s">
        <v>74</v>
      </c>
      <c r="Z79" s="73" t="s">
        <v>72</v>
      </c>
      <c r="AA79" s="77" t="s">
        <v>43</v>
      </c>
      <c r="AB79" s="43" t="s">
        <v>161</v>
      </c>
      <c r="AI79" s="48"/>
      <c r="AJ79" s="48"/>
      <c r="AK79" s="48"/>
      <c r="AL79" s="48"/>
      <c r="AM79" s="48"/>
    </row>
    <row r="80" spans="1:39" s="77" customFormat="1" x14ac:dyDescent="0.15">
      <c r="A80" s="84" t="s">
        <v>23</v>
      </c>
      <c r="B80" s="84" t="s">
        <v>160</v>
      </c>
      <c r="C80" s="84">
        <v>2020</v>
      </c>
      <c r="D80" s="45" t="s">
        <v>163</v>
      </c>
      <c r="E80" s="84" t="s">
        <v>152</v>
      </c>
      <c r="F80" s="84" t="s">
        <v>147</v>
      </c>
      <c r="G80" s="84" t="s">
        <v>25</v>
      </c>
      <c r="H80" s="84" t="s">
        <v>113</v>
      </c>
      <c r="I80" s="84" t="s">
        <v>111</v>
      </c>
      <c r="J80" s="78" t="s">
        <v>27</v>
      </c>
      <c r="K80" s="77" t="s">
        <v>112</v>
      </c>
      <c r="L80" s="84">
        <v>1</v>
      </c>
      <c r="N80" s="77">
        <v>1</v>
      </c>
      <c r="O80" s="77">
        <v>0.95</v>
      </c>
      <c r="P80" s="77">
        <v>1.2</v>
      </c>
      <c r="Q80" s="44">
        <f t="shared" si="0"/>
        <v>1.075</v>
      </c>
      <c r="R80" s="77">
        <v>14.3</v>
      </c>
      <c r="S80" s="77">
        <v>118</v>
      </c>
      <c r="T80" s="16">
        <f t="shared" si="1"/>
        <v>30</v>
      </c>
      <c r="U80" s="77">
        <v>98</v>
      </c>
      <c r="V80" s="64">
        <f t="shared" si="2"/>
        <v>2940</v>
      </c>
      <c r="W80" s="77">
        <v>24</v>
      </c>
      <c r="X80" s="60" t="s">
        <v>35</v>
      </c>
      <c r="Y80" s="77" t="s">
        <v>55</v>
      </c>
      <c r="Z80" s="77" t="s">
        <v>43</v>
      </c>
      <c r="AA80" s="60" t="s">
        <v>74</v>
      </c>
      <c r="AB80" s="43" t="s">
        <v>161</v>
      </c>
      <c r="AI80" s="48"/>
      <c r="AJ80" s="48"/>
      <c r="AK80" s="48"/>
      <c r="AL80" s="48"/>
      <c r="AM80" s="48"/>
    </row>
    <row r="81" spans="1:39" s="77" customFormat="1" x14ac:dyDescent="0.15">
      <c r="A81" s="84" t="s">
        <v>23</v>
      </c>
      <c r="B81" s="84" t="s">
        <v>160</v>
      </c>
      <c r="C81" s="84">
        <v>2020</v>
      </c>
      <c r="D81" s="45" t="s">
        <v>163</v>
      </c>
      <c r="E81" s="84" t="s">
        <v>152</v>
      </c>
      <c r="F81" s="84" t="s">
        <v>147</v>
      </c>
      <c r="G81" s="84" t="s">
        <v>25</v>
      </c>
      <c r="H81" s="84" t="s">
        <v>113</v>
      </c>
      <c r="I81" s="84" t="s">
        <v>111</v>
      </c>
      <c r="J81" s="78" t="s">
        <v>27</v>
      </c>
      <c r="K81" s="77" t="s">
        <v>112</v>
      </c>
      <c r="L81" s="84">
        <v>2</v>
      </c>
      <c r="N81" s="77">
        <v>1</v>
      </c>
      <c r="O81" s="77">
        <v>0.8</v>
      </c>
      <c r="P81" s="77">
        <v>0.75</v>
      </c>
      <c r="Q81" s="44">
        <f t="shared" si="0"/>
        <v>0.77500000000000002</v>
      </c>
      <c r="R81" s="77">
        <v>19.5</v>
      </c>
      <c r="S81" s="77">
        <v>120</v>
      </c>
      <c r="T81" s="16">
        <f t="shared" si="1"/>
        <v>30</v>
      </c>
      <c r="U81" s="77">
        <v>98</v>
      </c>
      <c r="V81" s="64">
        <f t="shared" si="2"/>
        <v>2940</v>
      </c>
      <c r="W81" s="77">
        <v>24</v>
      </c>
      <c r="X81" s="60" t="s">
        <v>35</v>
      </c>
      <c r="Y81" s="77" t="s">
        <v>55</v>
      </c>
      <c r="Z81" s="77" t="s">
        <v>43</v>
      </c>
      <c r="AA81" s="60" t="s">
        <v>74</v>
      </c>
      <c r="AB81" s="43" t="s">
        <v>161</v>
      </c>
      <c r="AI81" s="48"/>
      <c r="AJ81" s="48"/>
      <c r="AK81" s="48"/>
      <c r="AL81" s="48"/>
      <c r="AM81" s="48"/>
    </row>
    <row r="82" spans="1:39" s="77" customFormat="1" x14ac:dyDescent="0.15">
      <c r="A82" s="84" t="s">
        <v>23</v>
      </c>
      <c r="B82" s="84" t="s">
        <v>160</v>
      </c>
      <c r="C82" s="84">
        <v>2020</v>
      </c>
      <c r="D82" s="45" t="s">
        <v>163</v>
      </c>
      <c r="E82" s="84" t="s">
        <v>152</v>
      </c>
      <c r="F82" s="84" t="s">
        <v>147</v>
      </c>
      <c r="G82" s="84" t="s">
        <v>25</v>
      </c>
      <c r="H82" s="84" t="s">
        <v>113</v>
      </c>
      <c r="I82" s="84" t="s">
        <v>111</v>
      </c>
      <c r="J82" s="78" t="s">
        <v>27</v>
      </c>
      <c r="K82" s="77" t="s">
        <v>112</v>
      </c>
      <c r="L82" s="84">
        <v>3</v>
      </c>
      <c r="N82" s="77">
        <v>1</v>
      </c>
      <c r="O82" s="77">
        <v>1</v>
      </c>
      <c r="P82" s="77">
        <v>0.9</v>
      </c>
      <c r="Q82" s="44">
        <f t="shared" si="0"/>
        <v>0.95</v>
      </c>
      <c r="R82" s="77">
        <v>20.100000000000001</v>
      </c>
      <c r="S82" s="77">
        <v>114</v>
      </c>
      <c r="T82" s="16">
        <f t="shared" si="1"/>
        <v>30</v>
      </c>
      <c r="U82" s="77">
        <v>98</v>
      </c>
      <c r="V82" s="64">
        <f t="shared" si="2"/>
        <v>2940</v>
      </c>
      <c r="W82" s="77">
        <v>24</v>
      </c>
      <c r="X82" s="60" t="s">
        <v>35</v>
      </c>
      <c r="Y82" s="77" t="s">
        <v>55</v>
      </c>
      <c r="Z82" s="77" t="s">
        <v>43</v>
      </c>
      <c r="AA82" s="60" t="s">
        <v>74</v>
      </c>
      <c r="AB82" s="43" t="s">
        <v>161</v>
      </c>
      <c r="AI82" s="48"/>
      <c r="AJ82" s="48"/>
      <c r="AK82" s="48"/>
      <c r="AL82" s="48"/>
      <c r="AM82" s="48"/>
    </row>
    <row r="83" spans="1:39" s="77" customFormat="1" x14ac:dyDescent="0.15">
      <c r="A83" s="84" t="s">
        <v>23</v>
      </c>
      <c r="B83" s="84" t="s">
        <v>160</v>
      </c>
      <c r="C83" s="84">
        <v>2020</v>
      </c>
      <c r="D83" s="45" t="s">
        <v>163</v>
      </c>
      <c r="E83" s="84" t="s">
        <v>152</v>
      </c>
      <c r="F83" s="84" t="s">
        <v>147</v>
      </c>
      <c r="G83" s="84" t="s">
        <v>25</v>
      </c>
      <c r="H83" s="84" t="s">
        <v>113</v>
      </c>
      <c r="I83" s="84" t="s">
        <v>111</v>
      </c>
      <c r="J83" s="78" t="s">
        <v>27</v>
      </c>
      <c r="K83" s="77" t="s">
        <v>112</v>
      </c>
      <c r="L83" s="84">
        <v>1</v>
      </c>
      <c r="N83" s="77">
        <v>4</v>
      </c>
      <c r="O83" s="77">
        <v>0.2</v>
      </c>
      <c r="P83" s="77">
        <v>0.2</v>
      </c>
      <c r="Q83" s="44">
        <f t="shared" si="0"/>
        <v>0.2</v>
      </c>
      <c r="R83" s="77">
        <v>16.8</v>
      </c>
      <c r="S83" s="77">
        <v>98</v>
      </c>
      <c r="T83" s="16">
        <f t="shared" si="1"/>
        <v>36</v>
      </c>
      <c r="U83" s="77">
        <v>358</v>
      </c>
      <c r="V83" s="64">
        <f t="shared" si="2"/>
        <v>3222</v>
      </c>
      <c r="W83" s="77">
        <v>24</v>
      </c>
      <c r="X83" s="60" t="s">
        <v>35</v>
      </c>
      <c r="Y83" s="77" t="s">
        <v>55</v>
      </c>
      <c r="Z83" s="77" t="s">
        <v>43</v>
      </c>
      <c r="AA83" s="60" t="s">
        <v>74</v>
      </c>
      <c r="AB83" s="43" t="s">
        <v>161</v>
      </c>
      <c r="AI83" s="48"/>
      <c r="AJ83" s="48"/>
      <c r="AK83" s="48"/>
      <c r="AL83" s="48"/>
      <c r="AM83" s="48"/>
    </row>
    <row r="84" spans="1:39" s="77" customFormat="1" x14ac:dyDescent="0.15">
      <c r="A84" s="84" t="s">
        <v>23</v>
      </c>
      <c r="B84" s="84" t="s">
        <v>160</v>
      </c>
      <c r="C84" s="84">
        <v>2020</v>
      </c>
      <c r="D84" s="45" t="s">
        <v>163</v>
      </c>
      <c r="E84" s="84" t="s">
        <v>152</v>
      </c>
      <c r="F84" s="84" t="s">
        <v>147</v>
      </c>
      <c r="G84" s="84" t="s">
        <v>25</v>
      </c>
      <c r="H84" s="84" t="s">
        <v>113</v>
      </c>
      <c r="I84" s="84" t="s">
        <v>111</v>
      </c>
      <c r="J84" s="78" t="s">
        <v>27</v>
      </c>
      <c r="K84" s="77" t="s">
        <v>112</v>
      </c>
      <c r="L84" s="84">
        <v>2</v>
      </c>
      <c r="N84" s="77">
        <v>4</v>
      </c>
      <c r="O84" s="77">
        <v>0.85</v>
      </c>
      <c r="P84" s="77">
        <v>0.65</v>
      </c>
      <c r="Q84" s="44">
        <f t="shared" si="0"/>
        <v>0.75</v>
      </c>
      <c r="R84" s="77">
        <v>14</v>
      </c>
      <c r="S84" s="77">
        <v>94</v>
      </c>
      <c r="T84" s="16">
        <f t="shared" si="1"/>
        <v>36</v>
      </c>
      <c r="U84" s="77">
        <v>358</v>
      </c>
      <c r="V84" s="64">
        <f t="shared" si="2"/>
        <v>3222</v>
      </c>
      <c r="W84" s="77">
        <v>24</v>
      </c>
      <c r="X84" s="60" t="s">
        <v>35</v>
      </c>
      <c r="Y84" s="77" t="s">
        <v>55</v>
      </c>
      <c r="Z84" s="77" t="s">
        <v>43</v>
      </c>
      <c r="AA84" s="60" t="s">
        <v>74</v>
      </c>
      <c r="AB84" s="43" t="s">
        <v>161</v>
      </c>
      <c r="AI84" s="48"/>
      <c r="AJ84" s="48"/>
      <c r="AK84" s="48"/>
      <c r="AL84" s="48"/>
      <c r="AM84" s="48"/>
    </row>
    <row r="85" spans="1:39" s="77" customFormat="1" x14ac:dyDescent="0.15">
      <c r="A85" s="84" t="s">
        <v>23</v>
      </c>
      <c r="B85" s="84" t="s">
        <v>160</v>
      </c>
      <c r="C85" s="84">
        <v>2020</v>
      </c>
      <c r="D85" s="45" t="s">
        <v>163</v>
      </c>
      <c r="E85" s="84" t="s">
        <v>152</v>
      </c>
      <c r="F85" s="84" t="s">
        <v>147</v>
      </c>
      <c r="G85" s="84" t="s">
        <v>25</v>
      </c>
      <c r="H85" s="84" t="s">
        <v>113</v>
      </c>
      <c r="I85" s="84" t="s">
        <v>111</v>
      </c>
      <c r="J85" s="78" t="s">
        <v>27</v>
      </c>
      <c r="K85" s="77" t="s">
        <v>112</v>
      </c>
      <c r="L85" s="84">
        <v>3</v>
      </c>
      <c r="N85" s="77">
        <v>4</v>
      </c>
      <c r="O85" s="77">
        <v>0.35</v>
      </c>
      <c r="P85" s="77">
        <v>0.3</v>
      </c>
      <c r="Q85" s="44">
        <f t="shared" si="0"/>
        <v>0.32499999999999996</v>
      </c>
      <c r="R85" s="77">
        <v>14.1</v>
      </c>
      <c r="S85" s="77">
        <v>96</v>
      </c>
      <c r="T85" s="16">
        <f t="shared" si="1"/>
        <v>36</v>
      </c>
      <c r="U85" s="77">
        <v>358</v>
      </c>
      <c r="V85" s="64">
        <f t="shared" si="2"/>
        <v>3222</v>
      </c>
      <c r="W85" s="77">
        <v>24</v>
      </c>
      <c r="X85" s="60" t="s">
        <v>35</v>
      </c>
      <c r="Y85" s="77" t="s">
        <v>55</v>
      </c>
      <c r="Z85" s="77" t="s">
        <v>43</v>
      </c>
      <c r="AA85" s="60" t="s">
        <v>74</v>
      </c>
      <c r="AB85" s="43" t="s">
        <v>161</v>
      </c>
      <c r="AI85" s="48"/>
      <c r="AJ85" s="48"/>
      <c r="AK85" s="48"/>
      <c r="AL85" s="48"/>
      <c r="AM85" s="48"/>
    </row>
    <row r="86" spans="1:39" s="77" customFormat="1" x14ac:dyDescent="0.15">
      <c r="A86" s="84" t="s">
        <v>23</v>
      </c>
      <c r="B86" s="84" t="s">
        <v>160</v>
      </c>
      <c r="C86" s="84">
        <v>2020</v>
      </c>
      <c r="D86" s="45" t="s">
        <v>163</v>
      </c>
      <c r="E86" s="84" t="s">
        <v>152</v>
      </c>
      <c r="F86" s="84" t="s">
        <v>147</v>
      </c>
      <c r="G86" s="84" t="s">
        <v>25</v>
      </c>
      <c r="H86" s="84" t="s">
        <v>113</v>
      </c>
      <c r="I86" s="84" t="s">
        <v>111</v>
      </c>
      <c r="J86" s="78" t="s">
        <v>27</v>
      </c>
      <c r="K86" s="77" t="s">
        <v>112</v>
      </c>
      <c r="L86" s="84">
        <v>1</v>
      </c>
      <c r="N86" s="77">
        <v>8</v>
      </c>
      <c r="O86" s="77">
        <v>0.75</v>
      </c>
      <c r="P86" s="77">
        <v>0.45</v>
      </c>
      <c r="Q86" s="44">
        <f t="shared" si="0"/>
        <v>0.6</v>
      </c>
      <c r="R86" s="77">
        <v>14.8</v>
      </c>
      <c r="S86" s="77">
        <v>81</v>
      </c>
      <c r="T86" s="16">
        <f t="shared" si="1"/>
        <v>39</v>
      </c>
      <c r="U86" s="77">
        <v>498</v>
      </c>
      <c r="V86" s="64">
        <f t="shared" si="2"/>
        <v>2427.75</v>
      </c>
      <c r="W86" s="77">
        <v>24</v>
      </c>
      <c r="X86" s="60" t="s">
        <v>35</v>
      </c>
      <c r="Y86" s="77" t="s">
        <v>55</v>
      </c>
      <c r="Z86" s="77" t="s">
        <v>43</v>
      </c>
      <c r="AA86" s="60" t="s">
        <v>74</v>
      </c>
      <c r="AB86" s="43" t="s">
        <v>161</v>
      </c>
      <c r="AI86" s="48"/>
      <c r="AJ86" s="48"/>
      <c r="AK86" s="48"/>
      <c r="AL86" s="48"/>
      <c r="AM86" s="48"/>
    </row>
    <row r="87" spans="1:39" s="77" customFormat="1" x14ac:dyDescent="0.15">
      <c r="A87" s="84" t="s">
        <v>23</v>
      </c>
      <c r="B87" s="84" t="s">
        <v>160</v>
      </c>
      <c r="C87" s="84">
        <v>2020</v>
      </c>
      <c r="D87" s="45" t="s">
        <v>163</v>
      </c>
      <c r="E87" s="84" t="s">
        <v>152</v>
      </c>
      <c r="F87" s="84" t="s">
        <v>147</v>
      </c>
      <c r="G87" s="84" t="s">
        <v>25</v>
      </c>
      <c r="H87" s="84" t="s">
        <v>113</v>
      </c>
      <c r="I87" s="84" t="s">
        <v>111</v>
      </c>
      <c r="J87" s="78" t="s">
        <v>27</v>
      </c>
      <c r="K87" s="77" t="s">
        <v>112</v>
      </c>
      <c r="L87" s="84">
        <v>2</v>
      </c>
      <c r="N87" s="77">
        <v>8</v>
      </c>
      <c r="O87" s="77">
        <v>0.55000000000000004</v>
      </c>
      <c r="P87" s="77">
        <v>0.45</v>
      </c>
      <c r="Q87" s="44">
        <f t="shared" si="0"/>
        <v>0.5</v>
      </c>
      <c r="R87" s="77">
        <v>15.8</v>
      </c>
      <c r="S87" s="77">
        <v>80</v>
      </c>
      <c r="T87" s="16">
        <f t="shared" si="1"/>
        <v>39</v>
      </c>
      <c r="U87" s="77">
        <v>498</v>
      </c>
      <c r="V87" s="64">
        <f t="shared" si="2"/>
        <v>2427.75</v>
      </c>
      <c r="W87" s="77">
        <v>24</v>
      </c>
      <c r="X87" s="60" t="s">
        <v>35</v>
      </c>
      <c r="Y87" s="77" t="s">
        <v>55</v>
      </c>
      <c r="Z87" s="77" t="s">
        <v>43</v>
      </c>
      <c r="AA87" s="60" t="s">
        <v>74</v>
      </c>
      <c r="AB87" s="43" t="s">
        <v>161</v>
      </c>
      <c r="AI87" s="48"/>
      <c r="AJ87" s="48"/>
      <c r="AK87" s="48"/>
      <c r="AL87" s="48"/>
      <c r="AM87" s="48"/>
    </row>
    <row r="88" spans="1:39" s="77" customFormat="1" x14ac:dyDescent="0.15">
      <c r="A88" s="84" t="s">
        <v>23</v>
      </c>
      <c r="B88" s="84" t="s">
        <v>160</v>
      </c>
      <c r="C88" s="84">
        <v>2020</v>
      </c>
      <c r="D88" s="45" t="s">
        <v>163</v>
      </c>
      <c r="E88" s="84" t="s">
        <v>152</v>
      </c>
      <c r="F88" s="84" t="s">
        <v>147</v>
      </c>
      <c r="G88" s="84" t="s">
        <v>25</v>
      </c>
      <c r="H88" s="84" t="s">
        <v>113</v>
      </c>
      <c r="I88" s="84" t="s">
        <v>111</v>
      </c>
      <c r="J88" s="78" t="s">
        <v>27</v>
      </c>
      <c r="K88" s="77" t="s">
        <v>112</v>
      </c>
      <c r="L88" s="84">
        <v>3</v>
      </c>
      <c r="N88" s="77">
        <v>8</v>
      </c>
      <c r="O88" s="77">
        <v>0.35</v>
      </c>
      <c r="P88" s="77">
        <v>0.4</v>
      </c>
      <c r="Q88" s="44">
        <f t="shared" si="0"/>
        <v>0.375</v>
      </c>
      <c r="R88" s="77">
        <v>14</v>
      </c>
      <c r="S88" s="77">
        <v>79</v>
      </c>
      <c r="T88" s="16">
        <f t="shared" si="1"/>
        <v>39</v>
      </c>
      <c r="U88" s="77">
        <v>498</v>
      </c>
      <c r="V88" s="64">
        <f t="shared" si="2"/>
        <v>2427.75</v>
      </c>
      <c r="W88" s="77">
        <v>24</v>
      </c>
      <c r="X88" s="60" t="s">
        <v>35</v>
      </c>
      <c r="Y88" s="77" t="s">
        <v>55</v>
      </c>
      <c r="Z88" s="77" t="s">
        <v>43</v>
      </c>
      <c r="AA88" s="60" t="s">
        <v>74</v>
      </c>
      <c r="AB88" s="43" t="s">
        <v>161</v>
      </c>
      <c r="AI88" s="48"/>
      <c r="AJ88" s="48"/>
      <c r="AK88" s="48"/>
      <c r="AL88" s="48"/>
      <c r="AM88" s="48"/>
    </row>
    <row r="89" spans="1:39" s="77" customFormat="1" x14ac:dyDescent="0.15">
      <c r="A89" s="84" t="s">
        <v>23</v>
      </c>
      <c r="B89" s="84" t="s">
        <v>160</v>
      </c>
      <c r="C89" s="84">
        <v>2020</v>
      </c>
      <c r="D89" s="45" t="s">
        <v>163</v>
      </c>
      <c r="E89" s="84" t="s">
        <v>152</v>
      </c>
      <c r="F89" s="84" t="s">
        <v>147</v>
      </c>
      <c r="G89" s="84" t="s">
        <v>25</v>
      </c>
      <c r="H89" s="84" t="s">
        <v>171</v>
      </c>
      <c r="I89" s="84" t="s">
        <v>165</v>
      </c>
      <c r="J89" s="78" t="s">
        <v>27</v>
      </c>
      <c r="K89" s="77" t="s">
        <v>112</v>
      </c>
      <c r="L89" s="84">
        <v>1</v>
      </c>
      <c r="N89" s="77">
        <v>2</v>
      </c>
      <c r="O89" s="77">
        <v>0.2</v>
      </c>
      <c r="P89" s="77">
        <v>0.2</v>
      </c>
      <c r="Q89" s="44">
        <f t="shared" si="0"/>
        <v>0.2</v>
      </c>
      <c r="R89" s="77">
        <v>13.5</v>
      </c>
      <c r="S89" s="77">
        <v>113</v>
      </c>
      <c r="T89" s="16">
        <f t="shared" si="1"/>
        <v>30</v>
      </c>
      <c r="U89" s="77">
        <v>298</v>
      </c>
      <c r="V89" s="64">
        <f t="shared" si="2"/>
        <v>4470</v>
      </c>
      <c r="W89" s="77">
        <v>24</v>
      </c>
      <c r="X89" s="60" t="s">
        <v>35</v>
      </c>
      <c r="Y89" s="77" t="s">
        <v>55</v>
      </c>
      <c r="Z89" s="77" t="s">
        <v>43</v>
      </c>
      <c r="AA89" s="60" t="s">
        <v>74</v>
      </c>
      <c r="AB89" s="43" t="s">
        <v>161</v>
      </c>
      <c r="AI89" s="48"/>
      <c r="AJ89" s="48"/>
      <c r="AK89" s="48"/>
      <c r="AL89" s="48"/>
      <c r="AM89" s="48"/>
    </row>
    <row r="90" spans="1:39" s="77" customFormat="1" x14ac:dyDescent="0.15">
      <c r="A90" s="84" t="s">
        <v>23</v>
      </c>
      <c r="B90" s="84" t="s">
        <v>160</v>
      </c>
      <c r="C90" s="84">
        <v>2020</v>
      </c>
      <c r="D90" s="45" t="s">
        <v>163</v>
      </c>
      <c r="E90" s="84" t="s">
        <v>152</v>
      </c>
      <c r="F90" s="84" t="s">
        <v>147</v>
      </c>
      <c r="G90" s="84" t="s">
        <v>25</v>
      </c>
      <c r="H90" s="84" t="s">
        <v>113</v>
      </c>
      <c r="I90" s="84" t="s">
        <v>165</v>
      </c>
      <c r="J90" s="78" t="s">
        <v>27</v>
      </c>
      <c r="K90" s="77" t="s">
        <v>112</v>
      </c>
      <c r="L90" s="84">
        <v>2</v>
      </c>
      <c r="N90" s="77">
        <v>2</v>
      </c>
      <c r="O90" s="77">
        <v>0.2</v>
      </c>
      <c r="P90" s="77">
        <v>0.2</v>
      </c>
      <c r="Q90" s="44">
        <f t="shared" si="0"/>
        <v>0.2</v>
      </c>
      <c r="R90" s="77">
        <v>15.1</v>
      </c>
      <c r="S90" s="77">
        <v>106</v>
      </c>
      <c r="T90" s="16">
        <f t="shared" si="1"/>
        <v>33</v>
      </c>
      <c r="U90" s="77">
        <v>298</v>
      </c>
      <c r="V90" s="64">
        <f t="shared" si="2"/>
        <v>4917</v>
      </c>
      <c r="W90" s="77">
        <v>24</v>
      </c>
      <c r="X90" s="60" t="s">
        <v>35</v>
      </c>
      <c r="Y90" s="77" t="s">
        <v>55</v>
      </c>
      <c r="Z90" s="77" t="s">
        <v>43</v>
      </c>
      <c r="AA90" s="60" t="s">
        <v>74</v>
      </c>
      <c r="AB90" s="43" t="s">
        <v>161</v>
      </c>
      <c r="AI90" s="48"/>
      <c r="AJ90" s="48"/>
      <c r="AK90" s="48"/>
      <c r="AL90" s="48"/>
      <c r="AM90" s="48"/>
    </row>
    <row r="91" spans="1:39" s="77" customFormat="1" x14ac:dyDescent="0.15">
      <c r="A91" s="84" t="s">
        <v>23</v>
      </c>
      <c r="B91" s="84" t="s">
        <v>160</v>
      </c>
      <c r="C91" s="84">
        <v>2020</v>
      </c>
      <c r="D91" s="45" t="s">
        <v>163</v>
      </c>
      <c r="E91" s="84" t="s">
        <v>152</v>
      </c>
      <c r="F91" s="84" t="s">
        <v>147</v>
      </c>
      <c r="G91" s="84" t="s">
        <v>25</v>
      </c>
      <c r="H91" s="84" t="s">
        <v>113</v>
      </c>
      <c r="I91" s="84" t="s">
        <v>172</v>
      </c>
      <c r="J91" s="78" t="s">
        <v>27</v>
      </c>
      <c r="K91" s="77" t="s">
        <v>112</v>
      </c>
      <c r="L91" s="84">
        <v>3</v>
      </c>
      <c r="N91" s="77">
        <v>2</v>
      </c>
      <c r="O91" s="77">
        <v>0.35</v>
      </c>
      <c r="P91" s="77">
        <v>0.5</v>
      </c>
      <c r="Q91" s="44">
        <f t="shared" si="0"/>
        <v>0.42499999999999999</v>
      </c>
      <c r="R91" s="77">
        <v>14.5</v>
      </c>
      <c r="S91" s="77">
        <v>116</v>
      </c>
      <c r="T91" s="16">
        <f t="shared" si="1"/>
        <v>30</v>
      </c>
      <c r="U91" s="77">
        <v>298</v>
      </c>
      <c r="V91" s="64">
        <f t="shared" si="2"/>
        <v>4470</v>
      </c>
      <c r="W91" s="77">
        <v>24</v>
      </c>
      <c r="X91" s="60" t="s">
        <v>35</v>
      </c>
      <c r="Y91" s="77" t="s">
        <v>55</v>
      </c>
      <c r="Z91" s="77" t="s">
        <v>43</v>
      </c>
      <c r="AA91" s="60" t="s">
        <v>74</v>
      </c>
      <c r="AB91" s="43" t="s">
        <v>161</v>
      </c>
      <c r="AI91" s="48"/>
      <c r="AJ91" s="48"/>
      <c r="AK91" s="48"/>
      <c r="AL91" s="48"/>
      <c r="AM91" s="48"/>
    </row>
    <row r="92" spans="1:39" s="77" customFormat="1" x14ac:dyDescent="0.15">
      <c r="A92" s="84" t="s">
        <v>23</v>
      </c>
      <c r="B92" s="84" t="s">
        <v>160</v>
      </c>
      <c r="C92" s="84">
        <v>2020</v>
      </c>
      <c r="D92" s="45" t="s">
        <v>163</v>
      </c>
      <c r="E92" s="84" t="s">
        <v>152</v>
      </c>
      <c r="F92" s="84" t="s">
        <v>147</v>
      </c>
      <c r="G92" s="84" t="s">
        <v>25</v>
      </c>
      <c r="H92" s="84" t="s">
        <v>166</v>
      </c>
      <c r="I92" s="84" t="s">
        <v>111</v>
      </c>
      <c r="J92" s="78" t="s">
        <v>27</v>
      </c>
      <c r="K92" s="77" t="s">
        <v>112</v>
      </c>
      <c r="L92" s="84">
        <v>1</v>
      </c>
      <c r="N92" s="77">
        <v>1</v>
      </c>
      <c r="O92" s="77">
        <v>0.65</v>
      </c>
      <c r="P92" s="77">
        <v>0.7</v>
      </c>
      <c r="Q92" s="44">
        <f t="shared" si="0"/>
        <v>0.67500000000000004</v>
      </c>
      <c r="R92" s="77">
        <v>17</v>
      </c>
      <c r="S92" s="77">
        <v>117</v>
      </c>
      <c r="T92" s="16">
        <f t="shared" si="1"/>
        <v>30</v>
      </c>
      <c r="U92" s="77">
        <v>98</v>
      </c>
      <c r="V92" s="64">
        <f t="shared" si="2"/>
        <v>2940</v>
      </c>
      <c r="W92" s="77">
        <v>24</v>
      </c>
      <c r="X92" s="60" t="s">
        <v>35</v>
      </c>
      <c r="Y92" s="77" t="s">
        <v>55</v>
      </c>
      <c r="Z92" s="77" t="s">
        <v>43</v>
      </c>
      <c r="AA92" s="60" t="s">
        <v>74</v>
      </c>
      <c r="AB92" s="43" t="s">
        <v>161</v>
      </c>
      <c r="AI92" s="48"/>
      <c r="AJ92" s="48"/>
      <c r="AK92" s="48"/>
      <c r="AL92" s="48"/>
      <c r="AM92" s="48"/>
    </row>
    <row r="93" spans="1:39" s="77" customFormat="1" x14ac:dyDescent="0.15">
      <c r="A93" s="84" t="s">
        <v>23</v>
      </c>
      <c r="B93" s="84" t="s">
        <v>160</v>
      </c>
      <c r="C93" s="84">
        <v>2020</v>
      </c>
      <c r="D93" s="45" t="s">
        <v>163</v>
      </c>
      <c r="E93" s="84" t="s">
        <v>152</v>
      </c>
      <c r="F93" s="84" t="s">
        <v>147</v>
      </c>
      <c r="G93" s="84" t="s">
        <v>25</v>
      </c>
      <c r="H93" s="84" t="s">
        <v>166</v>
      </c>
      <c r="I93" s="84" t="s">
        <v>111</v>
      </c>
      <c r="J93" s="78" t="s">
        <v>27</v>
      </c>
      <c r="K93" s="77" t="s">
        <v>112</v>
      </c>
      <c r="L93" s="84">
        <v>2</v>
      </c>
      <c r="N93" s="77">
        <v>1</v>
      </c>
      <c r="O93" s="77">
        <v>0.7</v>
      </c>
      <c r="P93" s="77">
        <v>0.7</v>
      </c>
      <c r="Q93" s="44">
        <f t="shared" si="0"/>
        <v>0.7</v>
      </c>
      <c r="R93" s="77">
        <v>18.8</v>
      </c>
      <c r="S93" s="77">
        <v>120</v>
      </c>
      <c r="T93" s="16">
        <f t="shared" si="1"/>
        <v>30</v>
      </c>
      <c r="U93" s="77">
        <v>98</v>
      </c>
      <c r="V93" s="64">
        <f t="shared" si="2"/>
        <v>2940</v>
      </c>
      <c r="W93" s="77">
        <v>24</v>
      </c>
      <c r="X93" s="60" t="s">
        <v>35</v>
      </c>
      <c r="Y93" s="77" t="s">
        <v>55</v>
      </c>
      <c r="Z93" s="77" t="s">
        <v>43</v>
      </c>
      <c r="AA93" s="60" t="s">
        <v>74</v>
      </c>
      <c r="AB93" s="43" t="s">
        <v>161</v>
      </c>
      <c r="AI93" s="48"/>
      <c r="AJ93" s="48"/>
      <c r="AK93" s="48"/>
      <c r="AL93" s="48"/>
      <c r="AM93" s="48"/>
    </row>
    <row r="94" spans="1:39" s="77" customFormat="1" x14ac:dyDescent="0.15">
      <c r="A94" s="84" t="s">
        <v>23</v>
      </c>
      <c r="B94" s="84" t="s">
        <v>160</v>
      </c>
      <c r="C94" s="84">
        <v>2020</v>
      </c>
      <c r="D94" s="45" t="s">
        <v>163</v>
      </c>
      <c r="E94" s="84" t="s">
        <v>152</v>
      </c>
      <c r="F94" s="84" t="s">
        <v>147</v>
      </c>
      <c r="G94" s="84" t="s">
        <v>25</v>
      </c>
      <c r="H94" s="84" t="s">
        <v>166</v>
      </c>
      <c r="I94" s="84" t="s">
        <v>111</v>
      </c>
      <c r="J94" s="78" t="s">
        <v>27</v>
      </c>
      <c r="K94" s="77" t="s">
        <v>112</v>
      </c>
      <c r="L94" s="84">
        <v>3</v>
      </c>
      <c r="N94" s="77">
        <v>1</v>
      </c>
      <c r="O94" s="77">
        <v>0.7</v>
      </c>
      <c r="P94" s="77">
        <v>0.7</v>
      </c>
      <c r="Q94" s="44">
        <f t="shared" si="0"/>
        <v>0.7</v>
      </c>
      <c r="R94" s="77">
        <v>16.2</v>
      </c>
      <c r="S94" s="77">
        <v>115</v>
      </c>
      <c r="T94" s="16">
        <f t="shared" si="1"/>
        <v>30</v>
      </c>
      <c r="U94" s="77">
        <v>98</v>
      </c>
      <c r="V94" s="64">
        <f t="shared" si="2"/>
        <v>2940</v>
      </c>
      <c r="W94" s="77">
        <v>24</v>
      </c>
      <c r="X94" s="60" t="s">
        <v>35</v>
      </c>
      <c r="Y94" s="77" t="s">
        <v>55</v>
      </c>
      <c r="Z94" s="77" t="s">
        <v>43</v>
      </c>
      <c r="AA94" s="60" t="s">
        <v>74</v>
      </c>
      <c r="AB94" s="43" t="s">
        <v>161</v>
      </c>
      <c r="AI94" s="48"/>
      <c r="AJ94" s="48"/>
      <c r="AK94" s="48"/>
      <c r="AL94" s="48"/>
      <c r="AM94" s="48"/>
    </row>
    <row r="95" spans="1:39" s="77" customFormat="1" x14ac:dyDescent="0.15">
      <c r="A95" s="84" t="s">
        <v>23</v>
      </c>
      <c r="B95" s="84" t="s">
        <v>160</v>
      </c>
      <c r="C95" s="84">
        <v>2020</v>
      </c>
      <c r="D95" s="45" t="s">
        <v>163</v>
      </c>
      <c r="E95" s="84" t="s">
        <v>152</v>
      </c>
      <c r="F95" s="84" t="s">
        <v>147</v>
      </c>
      <c r="G95" s="84" t="s">
        <v>25</v>
      </c>
      <c r="H95" s="84" t="s">
        <v>166</v>
      </c>
      <c r="I95" s="84" t="s">
        <v>111</v>
      </c>
      <c r="J95" s="78" t="s">
        <v>27</v>
      </c>
      <c r="K95" s="77" t="s">
        <v>112</v>
      </c>
      <c r="L95" s="84">
        <v>1</v>
      </c>
      <c r="N95" s="77">
        <v>1</v>
      </c>
      <c r="O95" s="77">
        <v>0.3</v>
      </c>
      <c r="P95" s="77">
        <v>0.3</v>
      </c>
      <c r="Q95" s="44">
        <f t="shared" si="0"/>
        <v>0.3</v>
      </c>
      <c r="R95" s="77">
        <v>15.8</v>
      </c>
      <c r="S95" s="77">
        <v>149</v>
      </c>
      <c r="T95" s="16">
        <f t="shared" si="1"/>
        <v>30</v>
      </c>
      <c r="U95" s="77">
        <v>158</v>
      </c>
      <c r="V95" s="64">
        <f t="shared" si="2"/>
        <v>4740</v>
      </c>
      <c r="W95" s="77">
        <v>24</v>
      </c>
      <c r="X95" s="60" t="s">
        <v>35</v>
      </c>
      <c r="Y95" s="77" t="s">
        <v>55</v>
      </c>
      <c r="Z95" s="77" t="s">
        <v>43</v>
      </c>
      <c r="AA95" s="60" t="s">
        <v>74</v>
      </c>
      <c r="AB95" s="43" t="s">
        <v>161</v>
      </c>
      <c r="AI95" s="48"/>
      <c r="AJ95" s="48"/>
      <c r="AK95" s="48"/>
      <c r="AL95" s="48"/>
      <c r="AM95" s="48"/>
    </row>
    <row r="96" spans="1:39" s="77" customFormat="1" x14ac:dyDescent="0.15">
      <c r="A96" s="84" t="s">
        <v>23</v>
      </c>
      <c r="B96" s="84" t="s">
        <v>160</v>
      </c>
      <c r="C96" s="84">
        <v>2020</v>
      </c>
      <c r="D96" s="45" t="s">
        <v>163</v>
      </c>
      <c r="E96" s="84" t="s">
        <v>152</v>
      </c>
      <c r="F96" s="84" t="s">
        <v>147</v>
      </c>
      <c r="G96" s="84" t="s">
        <v>25</v>
      </c>
      <c r="H96" s="84" t="s">
        <v>166</v>
      </c>
      <c r="I96" s="84" t="s">
        <v>111</v>
      </c>
      <c r="J96" s="78" t="s">
        <v>27</v>
      </c>
      <c r="K96" s="77" t="s">
        <v>112</v>
      </c>
      <c r="L96" s="84">
        <v>2</v>
      </c>
      <c r="N96" s="77">
        <v>1</v>
      </c>
      <c r="O96" s="77">
        <v>0.2</v>
      </c>
      <c r="P96" s="77">
        <v>0.2</v>
      </c>
      <c r="Q96" s="44">
        <f t="shared" si="0"/>
        <v>0.2</v>
      </c>
      <c r="R96" s="77">
        <v>18.899999999999999</v>
      </c>
      <c r="S96" s="77">
        <v>149</v>
      </c>
      <c r="T96" s="16">
        <f t="shared" si="1"/>
        <v>30</v>
      </c>
      <c r="U96" s="77">
        <v>158</v>
      </c>
      <c r="V96" s="64">
        <f t="shared" si="2"/>
        <v>4740</v>
      </c>
      <c r="W96" s="77">
        <v>24</v>
      </c>
      <c r="X96" s="60" t="s">
        <v>35</v>
      </c>
      <c r="Y96" s="77" t="s">
        <v>55</v>
      </c>
      <c r="Z96" s="77" t="s">
        <v>43</v>
      </c>
      <c r="AA96" s="60" t="s">
        <v>74</v>
      </c>
      <c r="AB96" s="43" t="s">
        <v>161</v>
      </c>
      <c r="AI96" s="48"/>
      <c r="AJ96" s="48"/>
      <c r="AK96" s="48"/>
      <c r="AL96" s="48"/>
      <c r="AM96" s="48"/>
    </row>
    <row r="97" spans="1:39" s="77" customFormat="1" x14ac:dyDescent="0.15">
      <c r="A97" s="84" t="s">
        <v>23</v>
      </c>
      <c r="B97" s="84" t="s">
        <v>160</v>
      </c>
      <c r="C97" s="84">
        <v>2020</v>
      </c>
      <c r="D97" s="45" t="s">
        <v>163</v>
      </c>
      <c r="E97" s="84" t="s">
        <v>152</v>
      </c>
      <c r="F97" s="84" t="s">
        <v>147</v>
      </c>
      <c r="G97" s="84" t="s">
        <v>25</v>
      </c>
      <c r="H97" s="84" t="s">
        <v>166</v>
      </c>
      <c r="I97" s="84" t="s">
        <v>111</v>
      </c>
      <c r="J97" s="78" t="s">
        <v>27</v>
      </c>
      <c r="K97" s="77" t="s">
        <v>112</v>
      </c>
      <c r="L97" s="84">
        <v>3</v>
      </c>
      <c r="N97" s="77">
        <v>1</v>
      </c>
      <c r="O97" s="77">
        <v>0.2</v>
      </c>
      <c r="P97" s="77">
        <v>0.2</v>
      </c>
      <c r="Q97" s="44">
        <f t="shared" si="0"/>
        <v>0.2</v>
      </c>
      <c r="R97" s="77">
        <v>15.63</v>
      </c>
      <c r="S97" s="77">
        <v>146</v>
      </c>
      <c r="T97" s="16">
        <f t="shared" si="1"/>
        <v>30</v>
      </c>
      <c r="U97" s="77">
        <v>158</v>
      </c>
      <c r="V97" s="64">
        <f t="shared" si="2"/>
        <v>4740</v>
      </c>
      <c r="W97" s="77">
        <v>24</v>
      </c>
      <c r="X97" s="60" t="s">
        <v>35</v>
      </c>
      <c r="Y97" s="77" t="s">
        <v>55</v>
      </c>
      <c r="Z97" s="77" t="s">
        <v>43</v>
      </c>
      <c r="AA97" s="60" t="s">
        <v>74</v>
      </c>
      <c r="AB97" s="43" t="s">
        <v>161</v>
      </c>
      <c r="AI97" s="48"/>
      <c r="AJ97" s="48"/>
      <c r="AK97" s="48"/>
      <c r="AL97" s="48"/>
      <c r="AM97" s="48"/>
    </row>
    <row r="98" spans="1:39" s="77" customFormat="1" x14ac:dyDescent="0.15">
      <c r="A98" s="84" t="s">
        <v>23</v>
      </c>
      <c r="B98" s="84" t="s">
        <v>160</v>
      </c>
      <c r="C98" s="84">
        <v>2020</v>
      </c>
      <c r="D98" s="45" t="s">
        <v>163</v>
      </c>
      <c r="E98" s="84" t="s">
        <v>152</v>
      </c>
      <c r="F98" s="84" t="s">
        <v>147</v>
      </c>
      <c r="G98" s="84" t="s">
        <v>25</v>
      </c>
      <c r="H98" s="84" t="s">
        <v>166</v>
      </c>
      <c r="I98" s="84" t="s">
        <v>111</v>
      </c>
      <c r="J98" s="78" t="s">
        <v>27</v>
      </c>
      <c r="K98" s="77" t="s">
        <v>112</v>
      </c>
      <c r="L98" s="84">
        <v>1</v>
      </c>
      <c r="N98" s="77">
        <v>4</v>
      </c>
      <c r="O98" s="77">
        <v>0.5</v>
      </c>
      <c r="P98" s="77">
        <v>0.6</v>
      </c>
      <c r="Q98" s="44">
        <f t="shared" si="0"/>
        <v>0.55000000000000004</v>
      </c>
      <c r="R98" s="77">
        <v>15.2</v>
      </c>
      <c r="S98" s="77">
        <v>111</v>
      </c>
      <c r="T98" s="16">
        <f t="shared" si="1"/>
        <v>33</v>
      </c>
      <c r="U98" s="77">
        <v>458</v>
      </c>
      <c r="V98" s="64">
        <f t="shared" si="2"/>
        <v>3778.5</v>
      </c>
      <c r="W98" s="77">
        <v>24</v>
      </c>
      <c r="X98" s="60" t="s">
        <v>35</v>
      </c>
      <c r="Y98" s="77" t="s">
        <v>55</v>
      </c>
      <c r="Z98" s="77" t="s">
        <v>43</v>
      </c>
      <c r="AA98" s="60" t="s">
        <v>74</v>
      </c>
      <c r="AB98" s="43" t="s">
        <v>161</v>
      </c>
      <c r="AI98" s="48"/>
      <c r="AJ98" s="48"/>
      <c r="AK98" s="48"/>
      <c r="AL98" s="48"/>
      <c r="AM98" s="48"/>
    </row>
    <row r="99" spans="1:39" s="77" customFormat="1" x14ac:dyDescent="0.15">
      <c r="A99" s="84" t="s">
        <v>23</v>
      </c>
      <c r="B99" s="84" t="s">
        <v>160</v>
      </c>
      <c r="C99" s="84">
        <v>2020</v>
      </c>
      <c r="D99" s="45" t="s">
        <v>163</v>
      </c>
      <c r="E99" s="84" t="s">
        <v>152</v>
      </c>
      <c r="F99" s="84" t="s">
        <v>147</v>
      </c>
      <c r="G99" s="84" t="s">
        <v>25</v>
      </c>
      <c r="H99" s="84" t="s">
        <v>166</v>
      </c>
      <c r="I99" s="84" t="s">
        <v>111</v>
      </c>
      <c r="J99" s="78" t="s">
        <v>27</v>
      </c>
      <c r="K99" s="77" t="s">
        <v>112</v>
      </c>
      <c r="L99" s="84">
        <v>2</v>
      </c>
      <c r="N99" s="77">
        <v>4</v>
      </c>
      <c r="O99" s="77">
        <v>0.7</v>
      </c>
      <c r="P99" s="77">
        <v>0.5</v>
      </c>
      <c r="Q99" s="44">
        <f t="shared" si="0"/>
        <v>0.6</v>
      </c>
      <c r="R99" s="77">
        <v>17.2</v>
      </c>
      <c r="S99" s="77">
        <v>109</v>
      </c>
      <c r="T99" s="16">
        <f t="shared" si="1"/>
        <v>33</v>
      </c>
      <c r="U99" s="77">
        <v>458</v>
      </c>
      <c r="V99" s="64">
        <f t="shared" si="2"/>
        <v>3778.5</v>
      </c>
      <c r="W99" s="77">
        <v>24</v>
      </c>
      <c r="X99" s="60" t="s">
        <v>35</v>
      </c>
      <c r="Y99" s="77" t="s">
        <v>55</v>
      </c>
      <c r="Z99" s="77" t="s">
        <v>43</v>
      </c>
      <c r="AA99" s="60" t="s">
        <v>74</v>
      </c>
      <c r="AB99" s="43" t="s">
        <v>161</v>
      </c>
      <c r="AI99" s="48"/>
      <c r="AJ99" s="48"/>
      <c r="AK99" s="48"/>
      <c r="AL99" s="48"/>
      <c r="AM99" s="48"/>
    </row>
    <row r="100" spans="1:39" s="77" customFormat="1" x14ac:dyDescent="0.15">
      <c r="A100" s="84" t="s">
        <v>23</v>
      </c>
      <c r="B100" s="84" t="s">
        <v>160</v>
      </c>
      <c r="C100" s="84">
        <v>2020</v>
      </c>
      <c r="D100" s="45" t="s">
        <v>163</v>
      </c>
      <c r="E100" s="84" t="s">
        <v>152</v>
      </c>
      <c r="F100" s="84" t="s">
        <v>147</v>
      </c>
      <c r="G100" s="84" t="s">
        <v>25</v>
      </c>
      <c r="H100" s="84" t="s">
        <v>166</v>
      </c>
      <c r="I100" s="84" t="s">
        <v>111</v>
      </c>
      <c r="J100" s="78" t="s">
        <v>27</v>
      </c>
      <c r="K100" s="77" t="s">
        <v>112</v>
      </c>
      <c r="L100" s="84">
        <v>3</v>
      </c>
      <c r="N100" s="77">
        <v>4</v>
      </c>
      <c r="O100" s="77">
        <v>0.65</v>
      </c>
      <c r="P100" s="77">
        <v>0.65</v>
      </c>
      <c r="Q100" s="44">
        <f t="shared" si="0"/>
        <v>0.65</v>
      </c>
      <c r="R100" s="77">
        <v>16.100000000000001</v>
      </c>
      <c r="S100" s="77">
        <v>109</v>
      </c>
      <c r="T100" s="16">
        <f t="shared" si="1"/>
        <v>33</v>
      </c>
      <c r="U100" s="77">
        <v>458</v>
      </c>
      <c r="V100" s="64">
        <f t="shared" si="2"/>
        <v>3778.5</v>
      </c>
      <c r="W100" s="77">
        <v>24</v>
      </c>
      <c r="X100" s="60" t="s">
        <v>35</v>
      </c>
      <c r="Y100" s="77" t="s">
        <v>55</v>
      </c>
      <c r="Z100" s="77" t="s">
        <v>43</v>
      </c>
      <c r="AA100" s="60" t="s">
        <v>74</v>
      </c>
      <c r="AB100" s="43" t="s">
        <v>161</v>
      </c>
      <c r="AI100" s="48"/>
      <c r="AJ100" s="48"/>
      <c r="AK100" s="48"/>
      <c r="AL100" s="48"/>
      <c r="AM100" s="48"/>
    </row>
    <row r="101" spans="1:39" s="77" customFormat="1" x14ac:dyDescent="0.15">
      <c r="A101" s="84" t="s">
        <v>23</v>
      </c>
      <c r="B101" s="84" t="s">
        <v>160</v>
      </c>
      <c r="C101" s="84">
        <v>2020</v>
      </c>
      <c r="D101" s="45" t="s">
        <v>163</v>
      </c>
      <c r="E101" s="84" t="s">
        <v>152</v>
      </c>
      <c r="F101" s="84" t="s">
        <v>147</v>
      </c>
      <c r="G101" s="84" t="s">
        <v>25</v>
      </c>
      <c r="H101" s="84" t="s">
        <v>166</v>
      </c>
      <c r="I101" s="84" t="s">
        <v>165</v>
      </c>
      <c r="J101" s="78" t="s">
        <v>27</v>
      </c>
      <c r="K101" s="77" t="s">
        <v>112</v>
      </c>
      <c r="L101" s="84">
        <v>1</v>
      </c>
      <c r="N101" s="77">
        <v>2</v>
      </c>
      <c r="O101" s="77">
        <v>0.65</v>
      </c>
      <c r="P101" s="77">
        <v>0.75</v>
      </c>
      <c r="Q101" s="44">
        <f t="shared" si="0"/>
        <v>0.7</v>
      </c>
      <c r="R101" s="77">
        <v>18.600000000000001</v>
      </c>
      <c r="S101" s="77">
        <v>125</v>
      </c>
      <c r="T101" s="16">
        <f t="shared" si="1"/>
        <v>30</v>
      </c>
      <c r="U101" s="77">
        <v>358</v>
      </c>
      <c r="V101" s="64">
        <f t="shared" si="2"/>
        <v>5370</v>
      </c>
      <c r="W101" s="77">
        <v>24</v>
      </c>
      <c r="X101" s="60" t="s">
        <v>35</v>
      </c>
      <c r="Y101" s="77" t="s">
        <v>55</v>
      </c>
      <c r="Z101" s="77" t="s">
        <v>43</v>
      </c>
      <c r="AA101" s="60" t="s">
        <v>74</v>
      </c>
      <c r="AB101" s="43" t="s">
        <v>161</v>
      </c>
      <c r="AI101" s="48"/>
      <c r="AJ101" s="48"/>
      <c r="AK101" s="48"/>
      <c r="AL101" s="48"/>
      <c r="AM101" s="48"/>
    </row>
    <row r="102" spans="1:39" s="77" customFormat="1" x14ac:dyDescent="0.15">
      <c r="A102" s="84" t="s">
        <v>23</v>
      </c>
      <c r="B102" s="84" t="s">
        <v>160</v>
      </c>
      <c r="C102" s="84">
        <v>2020</v>
      </c>
      <c r="D102" s="45" t="s">
        <v>163</v>
      </c>
      <c r="E102" s="84" t="s">
        <v>152</v>
      </c>
      <c r="F102" s="84" t="s">
        <v>147</v>
      </c>
      <c r="G102" s="84" t="s">
        <v>25</v>
      </c>
      <c r="H102" s="84" t="s">
        <v>166</v>
      </c>
      <c r="I102" s="84" t="s">
        <v>165</v>
      </c>
      <c r="J102" s="78" t="s">
        <v>27</v>
      </c>
      <c r="K102" s="77" t="s">
        <v>112</v>
      </c>
      <c r="L102" s="84">
        <v>2</v>
      </c>
      <c r="N102" s="77">
        <v>2</v>
      </c>
      <c r="O102" s="77">
        <v>0.35</v>
      </c>
      <c r="P102" s="77">
        <v>0.7</v>
      </c>
      <c r="Q102" s="44">
        <f t="shared" si="0"/>
        <v>0.52499999999999991</v>
      </c>
      <c r="R102" s="77">
        <v>17.399999999999999</v>
      </c>
      <c r="S102" s="77">
        <v>128</v>
      </c>
      <c r="T102" s="16">
        <f t="shared" si="1"/>
        <v>30</v>
      </c>
      <c r="U102" s="77">
        <v>358</v>
      </c>
      <c r="V102" s="64">
        <f t="shared" si="2"/>
        <v>5370</v>
      </c>
      <c r="W102" s="77">
        <v>24</v>
      </c>
      <c r="X102" s="60" t="s">
        <v>35</v>
      </c>
      <c r="Y102" s="77" t="s">
        <v>55</v>
      </c>
      <c r="Z102" s="77" t="s">
        <v>43</v>
      </c>
      <c r="AA102" s="60" t="s">
        <v>74</v>
      </c>
      <c r="AB102" s="43" t="s">
        <v>161</v>
      </c>
      <c r="AI102" s="48"/>
      <c r="AJ102" s="48"/>
      <c r="AK102" s="48"/>
      <c r="AL102" s="48"/>
      <c r="AM102" s="48"/>
    </row>
    <row r="103" spans="1:39" s="77" customFormat="1" x14ac:dyDescent="0.15">
      <c r="A103" s="84" t="s">
        <v>23</v>
      </c>
      <c r="B103" s="84" t="s">
        <v>160</v>
      </c>
      <c r="C103" s="84">
        <v>2020</v>
      </c>
      <c r="D103" s="45" t="s">
        <v>163</v>
      </c>
      <c r="E103" s="84" t="s">
        <v>152</v>
      </c>
      <c r="F103" s="84" t="s">
        <v>147</v>
      </c>
      <c r="G103" s="84" t="s">
        <v>25</v>
      </c>
      <c r="H103" s="84" t="s">
        <v>166</v>
      </c>
      <c r="I103" s="84" t="s">
        <v>165</v>
      </c>
      <c r="J103" s="78" t="s">
        <v>27</v>
      </c>
      <c r="K103" s="77" t="s">
        <v>112</v>
      </c>
      <c r="L103" s="84">
        <v>3</v>
      </c>
      <c r="N103" s="77">
        <v>2</v>
      </c>
      <c r="O103" s="77">
        <v>0.7</v>
      </c>
      <c r="P103" s="77">
        <v>0.6</v>
      </c>
      <c r="Q103" s="44">
        <f t="shared" si="0"/>
        <v>0.64999999999999991</v>
      </c>
      <c r="R103" s="77">
        <v>16.2</v>
      </c>
      <c r="S103" s="77">
        <v>131</v>
      </c>
      <c r="T103" s="16">
        <f t="shared" si="1"/>
        <v>30</v>
      </c>
      <c r="U103" s="77">
        <v>358</v>
      </c>
      <c r="V103" s="64">
        <f t="shared" si="2"/>
        <v>5370</v>
      </c>
      <c r="W103" s="77">
        <v>24</v>
      </c>
      <c r="X103" s="60" t="s">
        <v>35</v>
      </c>
      <c r="Y103" s="77" t="s">
        <v>55</v>
      </c>
      <c r="Z103" s="77" t="s">
        <v>43</v>
      </c>
      <c r="AA103" s="60" t="s">
        <v>74</v>
      </c>
      <c r="AB103" s="43" t="s">
        <v>161</v>
      </c>
      <c r="AI103" s="48"/>
      <c r="AJ103" s="48"/>
      <c r="AK103" s="48"/>
      <c r="AL103" s="48"/>
      <c r="AM103" s="48"/>
    </row>
    <row r="104" spans="1:39" s="77" customFormat="1" x14ac:dyDescent="0.15">
      <c r="A104" s="84" t="s">
        <v>23</v>
      </c>
      <c r="B104" s="84" t="s">
        <v>160</v>
      </c>
      <c r="C104" s="84">
        <v>2020</v>
      </c>
      <c r="D104" s="45" t="s">
        <v>163</v>
      </c>
      <c r="E104" s="84" t="s">
        <v>153</v>
      </c>
      <c r="F104" s="84" t="s">
        <v>154</v>
      </c>
      <c r="G104" s="84" t="s">
        <v>31</v>
      </c>
      <c r="H104" s="84" t="s">
        <v>113</v>
      </c>
      <c r="I104" s="84" t="s">
        <v>111</v>
      </c>
      <c r="J104" s="78" t="s">
        <v>27</v>
      </c>
      <c r="K104" s="77" t="s">
        <v>112</v>
      </c>
      <c r="L104" s="84">
        <v>1</v>
      </c>
      <c r="N104" s="77">
        <v>4</v>
      </c>
      <c r="O104" s="77">
        <v>0.85</v>
      </c>
      <c r="P104" s="77">
        <v>1</v>
      </c>
      <c r="Q104" s="44">
        <f t="shared" si="0"/>
        <v>0.92500000000000004</v>
      </c>
      <c r="R104" s="77">
        <v>21</v>
      </c>
      <c r="S104" s="77">
        <v>102</v>
      </c>
      <c r="T104" s="16">
        <f t="shared" si="1"/>
        <v>33</v>
      </c>
      <c r="U104" s="77">
        <v>499</v>
      </c>
      <c r="V104" s="64">
        <f t="shared" si="2"/>
        <v>4116.75</v>
      </c>
      <c r="W104" s="77">
        <v>1</v>
      </c>
      <c r="X104" s="77" t="s">
        <v>28</v>
      </c>
      <c r="Y104" s="60" t="s">
        <v>74</v>
      </c>
      <c r="Z104" s="77" t="s">
        <v>55</v>
      </c>
      <c r="AA104" s="77" t="s">
        <v>64</v>
      </c>
      <c r="AB104" s="43" t="s">
        <v>161</v>
      </c>
      <c r="AI104" s="48"/>
      <c r="AJ104" s="48"/>
      <c r="AK104" s="48"/>
      <c r="AL104" s="48"/>
      <c r="AM104" s="48"/>
    </row>
    <row r="105" spans="1:39" s="77" customFormat="1" x14ac:dyDescent="0.15">
      <c r="A105" s="84" t="s">
        <v>23</v>
      </c>
      <c r="B105" s="84" t="s">
        <v>160</v>
      </c>
      <c r="C105" s="84">
        <v>2020</v>
      </c>
      <c r="D105" s="45" t="s">
        <v>163</v>
      </c>
      <c r="E105" s="84" t="s">
        <v>153</v>
      </c>
      <c r="F105" s="84" t="s">
        <v>154</v>
      </c>
      <c r="G105" s="84" t="s">
        <v>31</v>
      </c>
      <c r="H105" s="84" t="s">
        <v>113</v>
      </c>
      <c r="I105" s="84" t="s">
        <v>111</v>
      </c>
      <c r="J105" s="78" t="s">
        <v>27</v>
      </c>
      <c r="K105" s="77" t="s">
        <v>112</v>
      </c>
      <c r="L105" s="84">
        <v>2</v>
      </c>
      <c r="N105" s="77">
        <v>4</v>
      </c>
      <c r="O105" s="77">
        <v>0.7</v>
      </c>
      <c r="P105" s="77">
        <v>0.9</v>
      </c>
      <c r="Q105" s="44">
        <f t="shared" si="0"/>
        <v>0.8</v>
      </c>
      <c r="R105" s="77">
        <v>19.100000000000001</v>
      </c>
      <c r="S105" s="77">
        <v>93</v>
      </c>
      <c r="T105" s="16">
        <f t="shared" si="1"/>
        <v>36</v>
      </c>
      <c r="U105" s="77">
        <v>499</v>
      </c>
      <c r="V105" s="64">
        <f t="shared" si="2"/>
        <v>4491</v>
      </c>
      <c r="W105" s="77">
        <v>1</v>
      </c>
      <c r="X105" s="77" t="s">
        <v>28</v>
      </c>
      <c r="Y105" s="60" t="s">
        <v>74</v>
      </c>
      <c r="Z105" s="77" t="s">
        <v>55</v>
      </c>
      <c r="AA105" s="77" t="s">
        <v>64</v>
      </c>
      <c r="AB105" s="43" t="s">
        <v>161</v>
      </c>
      <c r="AI105" s="48"/>
      <c r="AJ105" s="48"/>
      <c r="AK105" s="48"/>
      <c r="AL105" s="48"/>
      <c r="AM105" s="48"/>
    </row>
    <row r="106" spans="1:39" s="77" customFormat="1" x14ac:dyDescent="0.15">
      <c r="A106" s="84" t="s">
        <v>23</v>
      </c>
      <c r="B106" s="84" t="s">
        <v>160</v>
      </c>
      <c r="C106" s="84">
        <v>2020</v>
      </c>
      <c r="D106" s="45" t="s">
        <v>163</v>
      </c>
      <c r="E106" s="84" t="s">
        <v>153</v>
      </c>
      <c r="F106" s="84" t="s">
        <v>154</v>
      </c>
      <c r="G106" s="84" t="s">
        <v>31</v>
      </c>
      <c r="H106" s="84" t="s">
        <v>113</v>
      </c>
      <c r="I106" s="84" t="s">
        <v>111</v>
      </c>
      <c r="J106" s="78" t="s">
        <v>27</v>
      </c>
      <c r="K106" s="77" t="s">
        <v>112</v>
      </c>
      <c r="L106" s="84">
        <v>3</v>
      </c>
      <c r="N106" s="77">
        <v>4</v>
      </c>
      <c r="O106" s="77">
        <v>0.7</v>
      </c>
      <c r="P106" s="77">
        <v>0.85</v>
      </c>
      <c r="Q106" s="44">
        <f t="shared" si="0"/>
        <v>0.77499999999999991</v>
      </c>
      <c r="R106" s="77">
        <v>19.600000000000001</v>
      </c>
      <c r="S106" s="77">
        <v>98</v>
      </c>
      <c r="T106" s="16">
        <f t="shared" si="1"/>
        <v>36</v>
      </c>
      <c r="U106" s="77">
        <v>499</v>
      </c>
      <c r="V106" s="64">
        <f t="shared" si="2"/>
        <v>4491</v>
      </c>
      <c r="W106" s="77">
        <v>1</v>
      </c>
      <c r="X106" s="77" t="s">
        <v>28</v>
      </c>
      <c r="Y106" s="60" t="s">
        <v>74</v>
      </c>
      <c r="Z106" s="77" t="s">
        <v>55</v>
      </c>
      <c r="AA106" s="77" t="s">
        <v>64</v>
      </c>
      <c r="AB106" s="43" t="s">
        <v>161</v>
      </c>
      <c r="AI106" s="48"/>
      <c r="AJ106" s="48"/>
      <c r="AK106" s="48"/>
      <c r="AL106" s="48"/>
      <c r="AM106" s="48"/>
    </row>
    <row r="107" spans="1:39" s="77" customFormat="1" x14ac:dyDescent="0.15">
      <c r="A107" s="84" t="s">
        <v>23</v>
      </c>
      <c r="B107" s="84" t="s">
        <v>160</v>
      </c>
      <c r="C107" s="84">
        <v>2020</v>
      </c>
      <c r="D107" s="45" t="s">
        <v>163</v>
      </c>
      <c r="E107" s="84" t="s">
        <v>153</v>
      </c>
      <c r="F107" s="84" t="s">
        <v>154</v>
      </c>
      <c r="G107" s="84" t="s">
        <v>31</v>
      </c>
      <c r="H107" s="84" t="s">
        <v>166</v>
      </c>
      <c r="I107" s="84" t="s">
        <v>111</v>
      </c>
      <c r="J107" s="78" t="s">
        <v>27</v>
      </c>
      <c r="K107" s="77" t="s">
        <v>112</v>
      </c>
      <c r="L107" s="84">
        <v>1</v>
      </c>
      <c r="N107" s="77">
        <v>4</v>
      </c>
      <c r="O107" s="77">
        <v>0.3</v>
      </c>
      <c r="P107" s="77">
        <v>0.4</v>
      </c>
      <c r="Q107" s="44">
        <f t="shared" si="0"/>
        <v>0.35</v>
      </c>
      <c r="R107" s="77">
        <v>16.600000000000001</v>
      </c>
      <c r="S107" s="77">
        <v>99</v>
      </c>
      <c r="T107" s="16">
        <f t="shared" si="1"/>
        <v>33</v>
      </c>
      <c r="U107" s="77">
        <v>599</v>
      </c>
      <c r="V107" s="64">
        <f t="shared" si="2"/>
        <v>4941.75</v>
      </c>
      <c r="W107" s="77">
        <v>1</v>
      </c>
      <c r="X107" s="77" t="s">
        <v>28</v>
      </c>
      <c r="Y107" s="60" t="s">
        <v>74</v>
      </c>
      <c r="Z107" s="77" t="s">
        <v>55</v>
      </c>
      <c r="AA107" s="77" t="s">
        <v>64</v>
      </c>
      <c r="AB107" s="43" t="s">
        <v>161</v>
      </c>
      <c r="AI107" s="48"/>
      <c r="AJ107" s="48"/>
      <c r="AK107" s="48"/>
      <c r="AL107" s="48"/>
      <c r="AM107" s="48"/>
    </row>
    <row r="108" spans="1:39" s="77" customFormat="1" x14ac:dyDescent="0.15">
      <c r="A108" s="84" t="s">
        <v>23</v>
      </c>
      <c r="B108" s="84" t="s">
        <v>160</v>
      </c>
      <c r="C108" s="84">
        <v>2020</v>
      </c>
      <c r="D108" s="45" t="s">
        <v>163</v>
      </c>
      <c r="E108" s="84" t="s">
        <v>153</v>
      </c>
      <c r="F108" s="84" t="s">
        <v>154</v>
      </c>
      <c r="G108" s="84" t="s">
        <v>31</v>
      </c>
      <c r="H108" s="84" t="s">
        <v>166</v>
      </c>
      <c r="I108" s="84" t="s">
        <v>111</v>
      </c>
      <c r="J108" s="78" t="s">
        <v>27</v>
      </c>
      <c r="K108" s="77" t="s">
        <v>112</v>
      </c>
      <c r="L108" s="84">
        <v>2</v>
      </c>
      <c r="N108" s="77">
        <v>4</v>
      </c>
      <c r="O108" s="77">
        <v>0.2</v>
      </c>
      <c r="P108" s="77">
        <v>0.4</v>
      </c>
      <c r="Q108" s="44">
        <f t="shared" si="0"/>
        <v>0.30000000000000004</v>
      </c>
      <c r="R108" s="77">
        <v>15.6</v>
      </c>
      <c r="S108" s="77">
        <v>95</v>
      </c>
      <c r="T108" s="16">
        <f t="shared" si="1"/>
        <v>36</v>
      </c>
      <c r="U108" s="77">
        <v>599</v>
      </c>
      <c r="V108" s="64">
        <f t="shared" si="2"/>
        <v>5391</v>
      </c>
      <c r="W108" s="77">
        <v>1</v>
      </c>
      <c r="X108" s="77" t="s">
        <v>28</v>
      </c>
      <c r="Y108" s="60" t="s">
        <v>74</v>
      </c>
      <c r="Z108" s="77" t="s">
        <v>55</v>
      </c>
      <c r="AA108" s="77" t="s">
        <v>64</v>
      </c>
      <c r="AB108" s="43" t="s">
        <v>161</v>
      </c>
      <c r="AI108" s="48"/>
      <c r="AJ108" s="48"/>
      <c r="AK108" s="48"/>
      <c r="AL108" s="48"/>
      <c r="AM108" s="48"/>
    </row>
    <row r="109" spans="1:39" s="77" customFormat="1" x14ac:dyDescent="0.15">
      <c r="A109" s="84" t="s">
        <v>23</v>
      </c>
      <c r="B109" s="84" t="s">
        <v>160</v>
      </c>
      <c r="C109" s="84">
        <v>2020</v>
      </c>
      <c r="D109" s="45" t="s">
        <v>163</v>
      </c>
      <c r="E109" s="84" t="s">
        <v>153</v>
      </c>
      <c r="F109" s="84" t="s">
        <v>154</v>
      </c>
      <c r="G109" s="84" t="s">
        <v>31</v>
      </c>
      <c r="H109" s="84" t="s">
        <v>166</v>
      </c>
      <c r="I109" s="84" t="s">
        <v>111</v>
      </c>
      <c r="J109" s="78" t="s">
        <v>27</v>
      </c>
      <c r="K109" s="77" t="s">
        <v>112</v>
      </c>
      <c r="L109" s="84">
        <v>3</v>
      </c>
      <c r="N109" s="77">
        <v>4</v>
      </c>
      <c r="O109" s="77">
        <v>0.4</v>
      </c>
      <c r="P109" s="77">
        <v>0.55000000000000004</v>
      </c>
      <c r="Q109" s="44">
        <f t="shared" si="0"/>
        <v>0.47500000000000003</v>
      </c>
      <c r="R109" s="77">
        <v>17.399999999999999</v>
      </c>
      <c r="S109" s="77">
        <v>103</v>
      </c>
      <c r="T109" s="16">
        <f t="shared" si="1"/>
        <v>33</v>
      </c>
      <c r="U109" s="77">
        <v>599</v>
      </c>
      <c r="V109" s="64">
        <f t="shared" si="2"/>
        <v>4941.75</v>
      </c>
      <c r="W109" s="77">
        <v>1</v>
      </c>
      <c r="X109" s="77" t="s">
        <v>28</v>
      </c>
      <c r="Y109" s="60" t="s">
        <v>74</v>
      </c>
      <c r="Z109" s="77" t="s">
        <v>55</v>
      </c>
      <c r="AA109" s="77" t="s">
        <v>64</v>
      </c>
      <c r="AB109" s="43" t="s">
        <v>161</v>
      </c>
      <c r="AI109" s="48"/>
      <c r="AJ109" s="48"/>
      <c r="AK109" s="48"/>
      <c r="AL109" s="48"/>
      <c r="AM109" s="48"/>
    </row>
    <row r="110" spans="1:39" s="77" customFormat="1" x14ac:dyDescent="0.15">
      <c r="A110" s="84" t="s">
        <v>23</v>
      </c>
      <c r="B110" s="84" t="s">
        <v>160</v>
      </c>
      <c r="C110" s="84">
        <v>2020</v>
      </c>
      <c r="D110" s="45" t="s">
        <v>163</v>
      </c>
      <c r="E110" s="84" t="s">
        <v>151</v>
      </c>
      <c r="F110" s="84" t="s">
        <v>147</v>
      </c>
      <c r="G110" s="84" t="s">
        <v>25</v>
      </c>
      <c r="H110" s="84" t="s">
        <v>113</v>
      </c>
      <c r="I110" s="84" t="s">
        <v>111</v>
      </c>
      <c r="J110" s="78" t="s">
        <v>27</v>
      </c>
      <c r="K110" s="77" t="s">
        <v>112</v>
      </c>
      <c r="L110" s="84">
        <v>1</v>
      </c>
      <c r="N110" s="77">
        <v>1</v>
      </c>
      <c r="O110" s="77">
        <v>1</v>
      </c>
      <c r="P110" s="77">
        <v>1</v>
      </c>
      <c r="Q110" s="44">
        <f t="shared" si="0"/>
        <v>1</v>
      </c>
      <c r="R110" s="77">
        <v>14.4</v>
      </c>
      <c r="S110" s="77">
        <v>102</v>
      </c>
      <c r="T110" s="16">
        <f t="shared" si="1"/>
        <v>33</v>
      </c>
      <c r="U110" s="77">
        <v>99</v>
      </c>
      <c r="V110" s="64">
        <f t="shared" si="2"/>
        <v>3267</v>
      </c>
      <c r="W110" s="77">
        <v>14</v>
      </c>
      <c r="X110" s="60" t="s">
        <v>35</v>
      </c>
      <c r="Y110" s="60" t="s">
        <v>74</v>
      </c>
      <c r="Z110" s="77" t="s">
        <v>55</v>
      </c>
      <c r="AA110" s="77" t="s">
        <v>43</v>
      </c>
      <c r="AB110" s="43" t="s">
        <v>161</v>
      </c>
      <c r="AI110" s="48"/>
      <c r="AJ110" s="48"/>
      <c r="AK110" s="48"/>
      <c r="AL110" s="48"/>
      <c r="AM110" s="48"/>
    </row>
    <row r="111" spans="1:39" s="77" customFormat="1" x14ac:dyDescent="0.15">
      <c r="A111" s="84" t="s">
        <v>23</v>
      </c>
      <c r="B111" s="84" t="s">
        <v>160</v>
      </c>
      <c r="C111" s="84">
        <v>2020</v>
      </c>
      <c r="D111" s="45" t="s">
        <v>163</v>
      </c>
      <c r="E111" s="84" t="s">
        <v>151</v>
      </c>
      <c r="F111" s="84" t="s">
        <v>147</v>
      </c>
      <c r="G111" s="84" t="s">
        <v>25</v>
      </c>
      <c r="H111" s="84" t="s">
        <v>113</v>
      </c>
      <c r="I111" s="84" t="s">
        <v>111</v>
      </c>
      <c r="J111" s="78" t="s">
        <v>27</v>
      </c>
      <c r="K111" s="77" t="s">
        <v>112</v>
      </c>
      <c r="L111" s="84">
        <v>2</v>
      </c>
      <c r="N111" s="77">
        <v>1</v>
      </c>
      <c r="O111" s="77">
        <v>0.9</v>
      </c>
      <c r="P111" s="77">
        <v>0.95</v>
      </c>
      <c r="Q111" s="44">
        <f t="shared" si="0"/>
        <v>0.92500000000000004</v>
      </c>
      <c r="R111" s="77">
        <v>15.1</v>
      </c>
      <c r="S111" s="77">
        <v>112</v>
      </c>
      <c r="T111" s="16">
        <f t="shared" si="1"/>
        <v>33</v>
      </c>
      <c r="U111" s="77">
        <v>99</v>
      </c>
      <c r="V111" s="64">
        <f t="shared" si="2"/>
        <v>3267</v>
      </c>
      <c r="W111" s="77">
        <v>14</v>
      </c>
      <c r="X111" s="60" t="s">
        <v>35</v>
      </c>
      <c r="Y111" s="60" t="s">
        <v>74</v>
      </c>
      <c r="Z111" s="77" t="s">
        <v>55</v>
      </c>
      <c r="AA111" s="77" t="s">
        <v>43</v>
      </c>
      <c r="AB111" s="43" t="s">
        <v>161</v>
      </c>
      <c r="AI111" s="48"/>
      <c r="AJ111" s="48"/>
      <c r="AK111" s="48"/>
      <c r="AL111" s="48"/>
      <c r="AM111" s="48"/>
    </row>
    <row r="112" spans="1:39" s="77" customFormat="1" x14ac:dyDescent="0.15">
      <c r="A112" s="84" t="s">
        <v>23</v>
      </c>
      <c r="B112" s="84" t="s">
        <v>160</v>
      </c>
      <c r="C112" s="84">
        <v>2020</v>
      </c>
      <c r="D112" s="45" t="s">
        <v>163</v>
      </c>
      <c r="E112" s="84" t="s">
        <v>151</v>
      </c>
      <c r="F112" s="84" t="s">
        <v>147</v>
      </c>
      <c r="G112" s="84" t="s">
        <v>25</v>
      </c>
      <c r="H112" s="84" t="s">
        <v>113</v>
      </c>
      <c r="I112" s="84" t="s">
        <v>111</v>
      </c>
      <c r="J112" s="78" t="s">
        <v>27</v>
      </c>
      <c r="K112" s="77" t="s">
        <v>112</v>
      </c>
      <c r="L112" s="84">
        <v>3</v>
      </c>
      <c r="N112" s="77">
        <v>1</v>
      </c>
      <c r="O112" s="77">
        <v>0.95</v>
      </c>
      <c r="P112" s="77">
        <v>0.9</v>
      </c>
      <c r="Q112" s="44">
        <f t="shared" si="0"/>
        <v>0.92500000000000004</v>
      </c>
      <c r="R112" s="77">
        <v>17.600000000000001</v>
      </c>
      <c r="S112" s="77">
        <v>115</v>
      </c>
      <c r="T112" s="16">
        <f t="shared" si="1"/>
        <v>30</v>
      </c>
      <c r="U112" s="77">
        <v>99</v>
      </c>
      <c r="V112" s="64">
        <f t="shared" si="2"/>
        <v>2970</v>
      </c>
      <c r="W112" s="77">
        <v>14</v>
      </c>
      <c r="X112" s="60" t="s">
        <v>35</v>
      </c>
      <c r="Y112" s="60" t="s">
        <v>74</v>
      </c>
      <c r="Z112" s="77" t="s">
        <v>55</v>
      </c>
      <c r="AA112" s="77" t="s">
        <v>43</v>
      </c>
      <c r="AB112" s="43" t="s">
        <v>161</v>
      </c>
      <c r="AI112" s="48"/>
      <c r="AJ112" s="48"/>
      <c r="AK112" s="48"/>
      <c r="AL112" s="48"/>
      <c r="AM112" s="48"/>
    </row>
    <row r="113" spans="1:39" s="77" customFormat="1" x14ac:dyDescent="0.15">
      <c r="A113" s="84" t="s">
        <v>23</v>
      </c>
      <c r="B113" s="84" t="s">
        <v>160</v>
      </c>
      <c r="C113" s="84">
        <v>2020</v>
      </c>
      <c r="D113" s="45" t="s">
        <v>163</v>
      </c>
      <c r="E113" s="84" t="s">
        <v>151</v>
      </c>
      <c r="F113" s="84" t="s">
        <v>147</v>
      </c>
      <c r="G113" s="84" t="s">
        <v>25</v>
      </c>
      <c r="H113" s="84" t="s">
        <v>113</v>
      </c>
      <c r="I113" s="84" t="s">
        <v>111</v>
      </c>
      <c r="J113" s="78" t="s">
        <v>27</v>
      </c>
      <c r="K113" s="77" t="s">
        <v>112</v>
      </c>
      <c r="L113" s="84">
        <v>1</v>
      </c>
      <c r="N113" s="77">
        <v>5</v>
      </c>
      <c r="O113" s="77">
        <v>1.1000000000000001</v>
      </c>
      <c r="P113" s="77">
        <v>1.1000000000000001</v>
      </c>
      <c r="Q113" s="44">
        <f t="shared" si="0"/>
        <v>1.1000000000000001</v>
      </c>
      <c r="R113" s="77">
        <v>15</v>
      </c>
      <c r="S113" s="77">
        <v>82</v>
      </c>
      <c r="T113" s="16">
        <f t="shared" si="1"/>
        <v>39</v>
      </c>
      <c r="U113" s="77">
        <v>377</v>
      </c>
      <c r="V113" s="64">
        <f t="shared" si="2"/>
        <v>2940.6000000000004</v>
      </c>
      <c r="W113" s="77">
        <v>14</v>
      </c>
      <c r="X113" s="60" t="s">
        <v>35</v>
      </c>
      <c r="Y113" s="60" t="s">
        <v>74</v>
      </c>
      <c r="Z113" s="77" t="s">
        <v>55</v>
      </c>
      <c r="AA113" s="77" t="s">
        <v>43</v>
      </c>
      <c r="AB113" s="43" t="s">
        <v>161</v>
      </c>
      <c r="AI113" s="48"/>
      <c r="AJ113" s="48"/>
      <c r="AK113" s="48"/>
      <c r="AL113" s="48"/>
      <c r="AM113" s="48"/>
    </row>
    <row r="114" spans="1:39" s="77" customFormat="1" x14ac:dyDescent="0.15">
      <c r="A114" s="84" t="s">
        <v>23</v>
      </c>
      <c r="B114" s="84" t="s">
        <v>160</v>
      </c>
      <c r="C114" s="84">
        <v>2020</v>
      </c>
      <c r="D114" s="45" t="s">
        <v>163</v>
      </c>
      <c r="E114" s="84" t="s">
        <v>151</v>
      </c>
      <c r="F114" s="84" t="s">
        <v>147</v>
      </c>
      <c r="G114" s="84" t="s">
        <v>25</v>
      </c>
      <c r="H114" s="84" t="s">
        <v>113</v>
      </c>
      <c r="I114" s="84" t="s">
        <v>111</v>
      </c>
      <c r="J114" s="78" t="s">
        <v>27</v>
      </c>
      <c r="K114" s="77" t="s">
        <v>112</v>
      </c>
      <c r="L114" s="84">
        <v>2</v>
      </c>
      <c r="N114" s="77">
        <v>5</v>
      </c>
      <c r="O114" s="77">
        <v>0.95</v>
      </c>
      <c r="P114" s="77">
        <v>0.95</v>
      </c>
      <c r="Q114" s="44">
        <f t="shared" si="0"/>
        <v>0.95</v>
      </c>
      <c r="R114" s="77">
        <v>14.7</v>
      </c>
      <c r="S114" s="77">
        <v>84</v>
      </c>
      <c r="T114" s="16">
        <f t="shared" si="1"/>
        <v>36</v>
      </c>
      <c r="U114" s="77">
        <v>377</v>
      </c>
      <c r="V114" s="64">
        <f t="shared" si="2"/>
        <v>2714.4</v>
      </c>
      <c r="W114" s="77">
        <v>14</v>
      </c>
      <c r="X114" s="60" t="s">
        <v>35</v>
      </c>
      <c r="Y114" s="60" t="s">
        <v>74</v>
      </c>
      <c r="Z114" s="77" t="s">
        <v>55</v>
      </c>
      <c r="AA114" s="77" t="s">
        <v>43</v>
      </c>
      <c r="AB114" s="43" t="s">
        <v>161</v>
      </c>
      <c r="AI114" s="48"/>
      <c r="AJ114" s="48"/>
      <c r="AK114" s="48"/>
      <c r="AL114" s="48"/>
      <c r="AM114" s="48"/>
    </row>
    <row r="115" spans="1:39" s="77" customFormat="1" x14ac:dyDescent="0.15">
      <c r="A115" s="84" t="s">
        <v>23</v>
      </c>
      <c r="B115" s="84" t="s">
        <v>160</v>
      </c>
      <c r="C115" s="84">
        <v>2020</v>
      </c>
      <c r="D115" s="45" t="s">
        <v>163</v>
      </c>
      <c r="E115" s="84" t="s">
        <v>151</v>
      </c>
      <c r="F115" s="84" t="s">
        <v>147</v>
      </c>
      <c r="G115" s="84" t="s">
        <v>25</v>
      </c>
      <c r="H115" s="84" t="s">
        <v>113</v>
      </c>
      <c r="I115" s="84" t="s">
        <v>111</v>
      </c>
      <c r="J115" s="78" t="s">
        <v>27</v>
      </c>
      <c r="K115" s="77" t="s">
        <v>112</v>
      </c>
      <c r="L115" s="84">
        <v>3</v>
      </c>
      <c r="N115" s="77">
        <v>5</v>
      </c>
      <c r="O115" s="77">
        <v>1</v>
      </c>
      <c r="P115" s="77">
        <v>1</v>
      </c>
      <c r="Q115" s="44">
        <f t="shared" si="0"/>
        <v>1</v>
      </c>
      <c r="R115" s="77">
        <v>12.6</v>
      </c>
      <c r="S115" s="77">
        <v>83</v>
      </c>
      <c r="T115" s="16">
        <f t="shared" si="1"/>
        <v>39</v>
      </c>
      <c r="U115" s="77">
        <v>377</v>
      </c>
      <c r="V115" s="64">
        <f t="shared" si="2"/>
        <v>2940.6000000000004</v>
      </c>
      <c r="W115" s="77">
        <v>14</v>
      </c>
      <c r="X115" s="60" t="s">
        <v>35</v>
      </c>
      <c r="Y115" s="60" t="s">
        <v>74</v>
      </c>
      <c r="Z115" s="77" t="s">
        <v>55</v>
      </c>
      <c r="AA115" s="77" t="s">
        <v>43</v>
      </c>
      <c r="AB115" s="43" t="s">
        <v>161</v>
      </c>
      <c r="AI115" s="48"/>
      <c r="AJ115" s="48"/>
      <c r="AK115" s="48"/>
      <c r="AL115" s="48"/>
      <c r="AM115" s="48"/>
    </row>
    <row r="116" spans="1:39" s="77" customFormat="1" x14ac:dyDescent="0.15">
      <c r="A116" s="84" t="s">
        <v>23</v>
      </c>
      <c r="B116" s="84" t="s">
        <v>160</v>
      </c>
      <c r="C116" s="84">
        <v>2020</v>
      </c>
      <c r="D116" s="45" t="s">
        <v>163</v>
      </c>
      <c r="E116" s="84" t="s">
        <v>151</v>
      </c>
      <c r="F116" s="84" t="s">
        <v>147</v>
      </c>
      <c r="G116" s="84" t="s">
        <v>25</v>
      </c>
      <c r="H116" s="84" t="s">
        <v>166</v>
      </c>
      <c r="I116" s="84" t="s">
        <v>111</v>
      </c>
      <c r="J116" s="78" t="s">
        <v>27</v>
      </c>
      <c r="K116" s="77" t="s">
        <v>112</v>
      </c>
      <c r="L116" s="84">
        <v>1</v>
      </c>
      <c r="N116" s="77">
        <v>1</v>
      </c>
      <c r="O116" s="77">
        <v>0.7</v>
      </c>
      <c r="P116" s="77">
        <v>0.7</v>
      </c>
      <c r="Q116" s="44">
        <f t="shared" si="0"/>
        <v>0.7</v>
      </c>
      <c r="R116" s="77">
        <v>17.399999999999999</v>
      </c>
      <c r="S116" s="77">
        <v>133</v>
      </c>
      <c r="T116" s="16">
        <f t="shared" si="1"/>
        <v>30</v>
      </c>
      <c r="U116" s="77">
        <v>99</v>
      </c>
      <c r="V116" s="64">
        <f t="shared" si="2"/>
        <v>2970</v>
      </c>
      <c r="W116" s="77">
        <v>14</v>
      </c>
      <c r="X116" s="60" t="s">
        <v>35</v>
      </c>
      <c r="Y116" s="60" t="s">
        <v>74</v>
      </c>
      <c r="Z116" s="77" t="s">
        <v>55</v>
      </c>
      <c r="AA116" s="77" t="s">
        <v>43</v>
      </c>
      <c r="AB116" s="43" t="s">
        <v>161</v>
      </c>
      <c r="AI116" s="48"/>
      <c r="AJ116" s="48"/>
      <c r="AK116" s="48"/>
      <c r="AL116" s="48"/>
      <c r="AM116" s="48"/>
    </row>
    <row r="117" spans="1:39" s="77" customFormat="1" x14ac:dyDescent="0.15">
      <c r="A117" s="84" t="s">
        <v>23</v>
      </c>
      <c r="B117" s="84" t="s">
        <v>160</v>
      </c>
      <c r="C117" s="84">
        <v>2020</v>
      </c>
      <c r="D117" s="45" t="s">
        <v>163</v>
      </c>
      <c r="E117" s="84" t="s">
        <v>151</v>
      </c>
      <c r="F117" s="84" t="s">
        <v>147</v>
      </c>
      <c r="G117" s="84" t="s">
        <v>25</v>
      </c>
      <c r="H117" s="84" t="s">
        <v>166</v>
      </c>
      <c r="I117" s="84" t="s">
        <v>111</v>
      </c>
      <c r="J117" s="78" t="s">
        <v>27</v>
      </c>
      <c r="K117" s="77" t="s">
        <v>112</v>
      </c>
      <c r="L117" s="84">
        <v>2</v>
      </c>
      <c r="N117" s="77">
        <v>1</v>
      </c>
      <c r="O117" s="77">
        <v>0.7</v>
      </c>
      <c r="P117" s="77">
        <v>0.65</v>
      </c>
      <c r="Q117" s="44">
        <f t="shared" si="0"/>
        <v>0.67500000000000004</v>
      </c>
      <c r="R117" s="77">
        <v>14.9</v>
      </c>
      <c r="S117" s="77">
        <v>131</v>
      </c>
      <c r="T117" s="16">
        <f t="shared" si="1"/>
        <v>30</v>
      </c>
      <c r="U117" s="77">
        <v>99</v>
      </c>
      <c r="V117" s="64">
        <f t="shared" si="2"/>
        <v>2970</v>
      </c>
      <c r="W117" s="77">
        <v>14</v>
      </c>
      <c r="X117" s="60" t="s">
        <v>35</v>
      </c>
      <c r="Y117" s="60" t="s">
        <v>74</v>
      </c>
      <c r="Z117" s="77" t="s">
        <v>55</v>
      </c>
      <c r="AA117" s="77" t="s">
        <v>43</v>
      </c>
      <c r="AB117" s="43" t="s">
        <v>161</v>
      </c>
      <c r="AI117" s="48"/>
      <c r="AJ117" s="48"/>
      <c r="AK117" s="48"/>
      <c r="AL117" s="48"/>
      <c r="AM117" s="48"/>
    </row>
    <row r="118" spans="1:39" s="77" customFormat="1" x14ac:dyDescent="0.15">
      <c r="A118" s="84" t="s">
        <v>23</v>
      </c>
      <c r="B118" s="84" t="s">
        <v>160</v>
      </c>
      <c r="C118" s="84">
        <v>2020</v>
      </c>
      <c r="D118" s="45" t="s">
        <v>163</v>
      </c>
      <c r="E118" s="84" t="s">
        <v>151</v>
      </c>
      <c r="F118" s="84" t="s">
        <v>147</v>
      </c>
      <c r="G118" s="84" t="s">
        <v>25</v>
      </c>
      <c r="H118" s="84" t="s">
        <v>166</v>
      </c>
      <c r="I118" s="84" t="s">
        <v>111</v>
      </c>
      <c r="J118" s="78" t="s">
        <v>27</v>
      </c>
      <c r="K118" s="77" t="s">
        <v>112</v>
      </c>
      <c r="L118" s="84">
        <v>3</v>
      </c>
      <c r="N118" s="77">
        <v>1</v>
      </c>
      <c r="O118" s="77">
        <v>0.75</v>
      </c>
      <c r="P118" s="77">
        <v>0.75</v>
      </c>
      <c r="Q118" s="44">
        <v>0.8</v>
      </c>
      <c r="R118" s="77">
        <v>16.7</v>
      </c>
      <c r="S118" s="77">
        <v>130</v>
      </c>
      <c r="T118" s="16">
        <f t="shared" si="1"/>
        <v>30</v>
      </c>
      <c r="U118" s="77">
        <v>99</v>
      </c>
      <c r="V118" s="64">
        <f t="shared" si="2"/>
        <v>2970</v>
      </c>
      <c r="W118" s="77">
        <v>14</v>
      </c>
      <c r="X118" s="60" t="s">
        <v>35</v>
      </c>
      <c r="Y118" s="60" t="s">
        <v>74</v>
      </c>
      <c r="Z118" s="77" t="s">
        <v>55</v>
      </c>
      <c r="AA118" s="77" t="s">
        <v>43</v>
      </c>
      <c r="AB118" s="43" t="s">
        <v>161</v>
      </c>
      <c r="AI118" s="48"/>
      <c r="AJ118" s="48"/>
      <c r="AK118" s="48"/>
      <c r="AL118" s="48"/>
      <c r="AM118" s="48"/>
    </row>
    <row r="119" spans="1:39" s="77" customFormat="1" x14ac:dyDescent="0.15">
      <c r="A119" s="84" t="s">
        <v>23</v>
      </c>
      <c r="B119" s="84" t="s">
        <v>160</v>
      </c>
      <c r="C119" s="84">
        <v>2020</v>
      </c>
      <c r="D119" s="45" t="s">
        <v>163</v>
      </c>
      <c r="E119" s="84" t="s">
        <v>151</v>
      </c>
      <c r="F119" s="84" t="s">
        <v>147</v>
      </c>
      <c r="G119" s="84" t="s">
        <v>25</v>
      </c>
      <c r="H119" s="84" t="s">
        <v>166</v>
      </c>
      <c r="I119" s="84" t="s">
        <v>111</v>
      </c>
      <c r="J119" s="78" t="s">
        <v>27</v>
      </c>
      <c r="K119" s="77" t="s">
        <v>112</v>
      </c>
      <c r="L119" s="84">
        <v>1</v>
      </c>
      <c r="N119" s="77">
        <v>4</v>
      </c>
      <c r="O119" s="77">
        <v>0.8</v>
      </c>
      <c r="P119" s="77">
        <v>0.8</v>
      </c>
      <c r="Q119" s="44">
        <f t="shared" si="0"/>
        <v>0.8</v>
      </c>
      <c r="R119" s="77">
        <v>18.8</v>
      </c>
      <c r="S119" s="77">
        <v>86</v>
      </c>
      <c r="T119" s="16">
        <f t="shared" si="1"/>
        <v>36</v>
      </c>
      <c r="U119" s="77">
        <v>377</v>
      </c>
      <c r="V119" s="64">
        <f t="shared" si="2"/>
        <v>3393</v>
      </c>
      <c r="W119" s="77">
        <v>14</v>
      </c>
      <c r="X119" s="60" t="s">
        <v>35</v>
      </c>
      <c r="Y119" s="60" t="s">
        <v>74</v>
      </c>
      <c r="Z119" s="77" t="s">
        <v>55</v>
      </c>
      <c r="AA119" s="77" t="s">
        <v>43</v>
      </c>
      <c r="AB119" s="43" t="s">
        <v>161</v>
      </c>
      <c r="AI119" s="48"/>
      <c r="AJ119" s="48"/>
      <c r="AK119" s="48"/>
      <c r="AL119" s="48"/>
      <c r="AM119" s="48"/>
    </row>
    <row r="120" spans="1:39" s="77" customFormat="1" x14ac:dyDescent="0.15">
      <c r="A120" s="84" t="s">
        <v>23</v>
      </c>
      <c r="B120" s="84" t="s">
        <v>160</v>
      </c>
      <c r="C120" s="84">
        <v>2020</v>
      </c>
      <c r="D120" s="45" t="s">
        <v>163</v>
      </c>
      <c r="E120" s="84" t="s">
        <v>151</v>
      </c>
      <c r="F120" s="84" t="s">
        <v>147</v>
      </c>
      <c r="G120" s="84" t="s">
        <v>25</v>
      </c>
      <c r="H120" s="84" t="s">
        <v>166</v>
      </c>
      <c r="I120" s="84" t="s">
        <v>111</v>
      </c>
      <c r="J120" s="78" t="s">
        <v>27</v>
      </c>
      <c r="K120" s="77" t="s">
        <v>112</v>
      </c>
      <c r="L120" s="84">
        <v>2</v>
      </c>
      <c r="N120" s="77">
        <v>4</v>
      </c>
      <c r="O120" s="77">
        <v>0.9</v>
      </c>
      <c r="P120" s="77">
        <v>0.8</v>
      </c>
      <c r="Q120" s="44">
        <f t="shared" si="0"/>
        <v>0.85000000000000009</v>
      </c>
      <c r="R120" s="77">
        <v>14.7</v>
      </c>
      <c r="S120" s="77">
        <v>92</v>
      </c>
      <c r="T120" s="16">
        <f t="shared" si="1"/>
        <v>36</v>
      </c>
      <c r="U120" s="77">
        <v>377</v>
      </c>
      <c r="V120" s="64">
        <f t="shared" si="2"/>
        <v>3393</v>
      </c>
      <c r="W120" s="77">
        <v>14</v>
      </c>
      <c r="X120" s="60" t="s">
        <v>35</v>
      </c>
      <c r="Y120" s="60" t="s">
        <v>74</v>
      </c>
      <c r="Z120" s="77" t="s">
        <v>55</v>
      </c>
      <c r="AA120" s="77" t="s">
        <v>43</v>
      </c>
      <c r="AB120" s="43" t="s">
        <v>161</v>
      </c>
      <c r="AI120" s="48"/>
      <c r="AJ120" s="48"/>
      <c r="AK120" s="48"/>
      <c r="AL120" s="48"/>
      <c r="AM120" s="48"/>
    </row>
    <row r="121" spans="1:39" s="77" customFormat="1" x14ac:dyDescent="0.15">
      <c r="A121" s="84" t="s">
        <v>23</v>
      </c>
      <c r="B121" s="84" t="s">
        <v>160</v>
      </c>
      <c r="C121" s="84">
        <v>2020</v>
      </c>
      <c r="D121" s="45" t="s">
        <v>163</v>
      </c>
      <c r="E121" s="84" t="s">
        <v>151</v>
      </c>
      <c r="F121" s="84" t="s">
        <v>147</v>
      </c>
      <c r="G121" s="84" t="s">
        <v>25</v>
      </c>
      <c r="H121" s="84" t="s">
        <v>166</v>
      </c>
      <c r="I121" s="84" t="s">
        <v>111</v>
      </c>
      <c r="J121" s="78" t="s">
        <v>27</v>
      </c>
      <c r="K121" s="77" t="s">
        <v>112</v>
      </c>
      <c r="L121" s="84">
        <v>3</v>
      </c>
      <c r="N121" s="77">
        <v>4</v>
      </c>
      <c r="O121" s="77">
        <v>0.9</v>
      </c>
      <c r="P121" s="77">
        <v>1.05</v>
      </c>
      <c r="Q121" s="44">
        <f t="shared" si="0"/>
        <v>0.97500000000000009</v>
      </c>
      <c r="R121" s="77">
        <v>17.8</v>
      </c>
      <c r="S121" s="77">
        <v>84</v>
      </c>
      <c r="T121" s="16">
        <f t="shared" si="1"/>
        <v>36</v>
      </c>
      <c r="U121" s="77">
        <v>377</v>
      </c>
      <c r="V121" s="64">
        <f t="shared" si="2"/>
        <v>3393</v>
      </c>
      <c r="W121" s="77">
        <v>14</v>
      </c>
      <c r="X121" s="60" t="s">
        <v>35</v>
      </c>
      <c r="Y121" s="60" t="s">
        <v>74</v>
      </c>
      <c r="Z121" s="77" t="s">
        <v>55</v>
      </c>
      <c r="AA121" s="77" t="s">
        <v>43</v>
      </c>
      <c r="AB121" s="43" t="s">
        <v>161</v>
      </c>
      <c r="AI121" s="48"/>
      <c r="AJ121" s="48"/>
      <c r="AK121" s="48"/>
      <c r="AL121" s="48"/>
      <c r="AM121" s="48"/>
    </row>
    <row r="122" spans="1:39" s="77" customFormat="1" x14ac:dyDescent="0.15">
      <c r="A122" s="84" t="s">
        <v>23</v>
      </c>
      <c r="B122" s="84" t="s">
        <v>160</v>
      </c>
      <c r="C122" s="84">
        <v>2020</v>
      </c>
      <c r="D122" s="45" t="s">
        <v>163</v>
      </c>
      <c r="E122" s="84" t="s">
        <v>167</v>
      </c>
      <c r="F122" s="84" t="s">
        <v>155</v>
      </c>
      <c r="G122" s="84" t="s">
        <v>25</v>
      </c>
      <c r="H122" s="84" t="s">
        <v>113</v>
      </c>
      <c r="I122" s="84" t="s">
        <v>111</v>
      </c>
      <c r="J122" s="78" t="s">
        <v>27</v>
      </c>
      <c r="K122" s="77" t="s">
        <v>112</v>
      </c>
      <c r="L122" s="84">
        <v>1</v>
      </c>
      <c r="N122" s="77">
        <v>1</v>
      </c>
      <c r="O122" s="77">
        <v>1.25</v>
      </c>
      <c r="P122" s="77">
        <v>1.1499999999999999</v>
      </c>
      <c r="Q122" s="44">
        <f t="shared" si="0"/>
        <v>1.2</v>
      </c>
      <c r="R122" s="77">
        <v>15.2</v>
      </c>
      <c r="S122" s="77">
        <v>126</v>
      </c>
      <c r="T122" s="16">
        <f t="shared" si="1"/>
        <v>30</v>
      </c>
      <c r="U122" s="77">
        <v>98</v>
      </c>
      <c r="V122" s="64">
        <f t="shared" si="2"/>
        <v>2940</v>
      </c>
      <c r="W122" s="77">
        <v>12</v>
      </c>
      <c r="X122" s="60" t="s">
        <v>35</v>
      </c>
      <c r="Y122" s="77" t="s">
        <v>82</v>
      </c>
      <c r="Z122" s="77" t="s">
        <v>55</v>
      </c>
      <c r="AA122" s="77" t="s">
        <v>43</v>
      </c>
      <c r="AB122" s="43" t="s">
        <v>161</v>
      </c>
      <c r="AI122" s="48"/>
      <c r="AJ122" s="48"/>
      <c r="AK122" s="48"/>
      <c r="AL122" s="48"/>
      <c r="AM122" s="48"/>
    </row>
    <row r="123" spans="1:39" s="77" customFormat="1" x14ac:dyDescent="0.15">
      <c r="A123" s="84" t="s">
        <v>23</v>
      </c>
      <c r="B123" s="84" t="s">
        <v>160</v>
      </c>
      <c r="C123" s="84">
        <v>2020</v>
      </c>
      <c r="D123" s="45" t="s">
        <v>163</v>
      </c>
      <c r="E123" s="84" t="s">
        <v>167</v>
      </c>
      <c r="F123" s="84" t="s">
        <v>155</v>
      </c>
      <c r="G123" s="84" t="s">
        <v>25</v>
      </c>
      <c r="H123" s="84" t="s">
        <v>113</v>
      </c>
      <c r="I123" s="84" t="s">
        <v>111</v>
      </c>
      <c r="J123" s="78" t="s">
        <v>27</v>
      </c>
      <c r="K123" s="77" t="s">
        <v>112</v>
      </c>
      <c r="L123" s="84">
        <v>2</v>
      </c>
      <c r="N123" s="77">
        <v>1</v>
      </c>
      <c r="O123" s="77">
        <v>0.75</v>
      </c>
      <c r="P123" s="77">
        <v>0.75</v>
      </c>
      <c r="Q123" s="44">
        <f t="shared" si="0"/>
        <v>0.75</v>
      </c>
      <c r="R123" s="77">
        <v>14.8</v>
      </c>
      <c r="S123" s="77">
        <v>129</v>
      </c>
      <c r="T123" s="16">
        <f t="shared" si="1"/>
        <v>30</v>
      </c>
      <c r="U123" s="77">
        <v>98</v>
      </c>
      <c r="V123" s="64">
        <f t="shared" si="2"/>
        <v>2940</v>
      </c>
      <c r="W123" s="77">
        <v>12</v>
      </c>
      <c r="X123" s="60" t="s">
        <v>35</v>
      </c>
      <c r="Y123" s="77" t="s">
        <v>82</v>
      </c>
      <c r="Z123" s="77" t="s">
        <v>55</v>
      </c>
      <c r="AA123" s="77" t="s">
        <v>43</v>
      </c>
      <c r="AB123" s="43" t="s">
        <v>161</v>
      </c>
      <c r="AI123" s="48"/>
      <c r="AJ123" s="48"/>
      <c r="AK123" s="48"/>
      <c r="AL123" s="48"/>
      <c r="AM123" s="48"/>
    </row>
    <row r="124" spans="1:39" s="77" customFormat="1" x14ac:dyDescent="0.15">
      <c r="A124" s="84" t="s">
        <v>23</v>
      </c>
      <c r="B124" s="84" t="s">
        <v>160</v>
      </c>
      <c r="C124" s="84">
        <v>2020</v>
      </c>
      <c r="D124" s="45" t="s">
        <v>163</v>
      </c>
      <c r="E124" s="84" t="s">
        <v>167</v>
      </c>
      <c r="F124" s="84" t="s">
        <v>155</v>
      </c>
      <c r="G124" s="84" t="s">
        <v>25</v>
      </c>
      <c r="H124" s="84" t="s">
        <v>113</v>
      </c>
      <c r="I124" s="84" t="s">
        <v>111</v>
      </c>
      <c r="J124" s="78" t="s">
        <v>27</v>
      </c>
      <c r="K124" s="77" t="s">
        <v>112</v>
      </c>
      <c r="L124" s="84">
        <v>3</v>
      </c>
      <c r="N124" s="77">
        <v>1</v>
      </c>
      <c r="O124" s="77">
        <v>1.2</v>
      </c>
      <c r="P124" s="77">
        <v>0.95</v>
      </c>
      <c r="Q124" s="44">
        <f t="shared" si="0"/>
        <v>1.075</v>
      </c>
      <c r="R124" s="77">
        <v>17.600000000000001</v>
      </c>
      <c r="S124" s="77">
        <v>126</v>
      </c>
      <c r="T124" s="16">
        <f t="shared" si="1"/>
        <v>30</v>
      </c>
      <c r="U124" s="77">
        <v>98</v>
      </c>
      <c r="V124" s="64">
        <f t="shared" si="2"/>
        <v>2940</v>
      </c>
      <c r="W124" s="77">
        <v>12</v>
      </c>
      <c r="X124" s="60" t="s">
        <v>35</v>
      </c>
      <c r="Y124" s="77" t="s">
        <v>82</v>
      </c>
      <c r="Z124" s="77" t="s">
        <v>55</v>
      </c>
      <c r="AA124" s="77" t="s">
        <v>43</v>
      </c>
      <c r="AB124" s="43" t="s">
        <v>161</v>
      </c>
      <c r="AI124" s="48"/>
      <c r="AJ124" s="48"/>
      <c r="AK124" s="48"/>
      <c r="AL124" s="48"/>
      <c r="AM124" s="48"/>
    </row>
    <row r="125" spans="1:39" s="77" customFormat="1" x14ac:dyDescent="0.15">
      <c r="A125" s="84" t="s">
        <v>23</v>
      </c>
      <c r="B125" s="84" t="s">
        <v>160</v>
      </c>
      <c r="C125" s="84">
        <v>2020</v>
      </c>
      <c r="D125" s="45" t="s">
        <v>163</v>
      </c>
      <c r="E125" s="84" t="s">
        <v>167</v>
      </c>
      <c r="F125" s="84" t="s">
        <v>155</v>
      </c>
      <c r="G125" s="84" t="s">
        <v>25</v>
      </c>
      <c r="H125" s="84" t="s">
        <v>166</v>
      </c>
      <c r="I125" s="84" t="s">
        <v>111</v>
      </c>
      <c r="J125" s="78" t="s">
        <v>27</v>
      </c>
      <c r="K125" s="77" t="s">
        <v>112</v>
      </c>
      <c r="L125" s="84">
        <v>1</v>
      </c>
      <c r="N125" s="77">
        <v>1</v>
      </c>
      <c r="O125" s="77">
        <v>0.35</v>
      </c>
      <c r="P125" s="77">
        <v>0.55000000000000004</v>
      </c>
      <c r="Q125" s="44">
        <f t="shared" si="0"/>
        <v>0.45</v>
      </c>
      <c r="R125" s="77">
        <v>15.5</v>
      </c>
      <c r="S125" s="77">
        <v>166</v>
      </c>
      <c r="T125" s="16">
        <f t="shared" si="1"/>
        <v>30</v>
      </c>
      <c r="U125" s="77">
        <v>98</v>
      </c>
      <c r="V125" s="64">
        <f t="shared" si="2"/>
        <v>2940</v>
      </c>
      <c r="W125" s="77">
        <v>12</v>
      </c>
      <c r="X125" s="60" t="s">
        <v>35</v>
      </c>
      <c r="Y125" s="77" t="s">
        <v>82</v>
      </c>
      <c r="Z125" s="77" t="s">
        <v>55</v>
      </c>
      <c r="AA125" s="77" t="s">
        <v>43</v>
      </c>
      <c r="AB125" s="43" t="s">
        <v>161</v>
      </c>
      <c r="AI125" s="48"/>
      <c r="AJ125" s="48"/>
      <c r="AK125" s="48"/>
      <c r="AL125" s="48"/>
      <c r="AM125" s="48"/>
    </row>
    <row r="126" spans="1:39" s="77" customFormat="1" x14ac:dyDescent="0.15">
      <c r="A126" s="84" t="s">
        <v>23</v>
      </c>
      <c r="B126" s="84" t="s">
        <v>160</v>
      </c>
      <c r="C126" s="84">
        <v>2020</v>
      </c>
      <c r="D126" s="45" t="s">
        <v>163</v>
      </c>
      <c r="E126" s="84" t="s">
        <v>167</v>
      </c>
      <c r="F126" s="84" t="s">
        <v>155</v>
      </c>
      <c r="G126" s="84" t="s">
        <v>25</v>
      </c>
      <c r="H126" s="84" t="s">
        <v>166</v>
      </c>
      <c r="I126" s="84" t="s">
        <v>111</v>
      </c>
      <c r="J126" s="78" t="s">
        <v>27</v>
      </c>
      <c r="K126" s="77" t="s">
        <v>112</v>
      </c>
      <c r="L126" s="84">
        <v>2</v>
      </c>
      <c r="N126" s="77">
        <v>1</v>
      </c>
      <c r="O126" s="77">
        <v>0.8</v>
      </c>
      <c r="P126" s="77">
        <v>0.7</v>
      </c>
      <c r="Q126" s="44">
        <f t="shared" si="0"/>
        <v>0.75</v>
      </c>
      <c r="R126" s="77">
        <v>16.899999999999999</v>
      </c>
      <c r="S126" s="77">
        <v>156</v>
      </c>
      <c r="T126" s="16">
        <f t="shared" si="1"/>
        <v>30</v>
      </c>
      <c r="U126" s="77">
        <v>98</v>
      </c>
      <c r="V126" s="64">
        <f t="shared" si="2"/>
        <v>2940</v>
      </c>
      <c r="W126" s="77">
        <v>12</v>
      </c>
      <c r="X126" s="60" t="s">
        <v>35</v>
      </c>
      <c r="Y126" s="77" t="s">
        <v>82</v>
      </c>
      <c r="Z126" s="77" t="s">
        <v>55</v>
      </c>
      <c r="AA126" s="77" t="s">
        <v>43</v>
      </c>
      <c r="AB126" s="43" t="s">
        <v>161</v>
      </c>
      <c r="AI126" s="48"/>
      <c r="AJ126" s="48"/>
      <c r="AK126" s="48"/>
      <c r="AL126" s="48"/>
      <c r="AM126" s="48"/>
    </row>
    <row r="127" spans="1:39" s="77" customFormat="1" x14ac:dyDescent="0.15">
      <c r="A127" s="84" t="s">
        <v>23</v>
      </c>
      <c r="B127" s="84" t="s">
        <v>160</v>
      </c>
      <c r="C127" s="84">
        <v>2020</v>
      </c>
      <c r="D127" s="45" t="s">
        <v>163</v>
      </c>
      <c r="E127" s="84" t="s">
        <v>167</v>
      </c>
      <c r="F127" s="84" t="s">
        <v>155</v>
      </c>
      <c r="G127" s="84" t="s">
        <v>25</v>
      </c>
      <c r="H127" s="84" t="s">
        <v>166</v>
      </c>
      <c r="I127" s="84" t="s">
        <v>111</v>
      </c>
      <c r="J127" s="78" t="s">
        <v>27</v>
      </c>
      <c r="K127" s="77" t="s">
        <v>112</v>
      </c>
      <c r="L127" s="84">
        <v>3</v>
      </c>
      <c r="N127" s="77">
        <v>1</v>
      </c>
      <c r="O127" s="77">
        <v>0.7</v>
      </c>
      <c r="P127" s="77">
        <v>0.7</v>
      </c>
      <c r="Q127" s="44">
        <f t="shared" si="0"/>
        <v>0.7</v>
      </c>
      <c r="R127" s="77">
        <v>16.2</v>
      </c>
      <c r="S127" s="77">
        <v>145</v>
      </c>
      <c r="T127" s="16">
        <f t="shared" si="1"/>
        <v>30</v>
      </c>
      <c r="U127" s="77">
        <v>98</v>
      </c>
      <c r="V127" s="64">
        <f t="shared" si="2"/>
        <v>2940</v>
      </c>
      <c r="W127" s="77">
        <v>12</v>
      </c>
      <c r="X127" s="60" t="s">
        <v>35</v>
      </c>
      <c r="Y127" s="77" t="s">
        <v>82</v>
      </c>
      <c r="Z127" s="77" t="s">
        <v>55</v>
      </c>
      <c r="AA127" s="77" t="s">
        <v>43</v>
      </c>
      <c r="AB127" s="43" t="s">
        <v>161</v>
      </c>
      <c r="AI127" s="48"/>
      <c r="AJ127" s="48"/>
      <c r="AK127" s="48"/>
      <c r="AL127" s="48"/>
      <c r="AM127" s="48"/>
    </row>
    <row r="128" spans="1:39" s="77" customFormat="1" x14ac:dyDescent="0.15">
      <c r="A128" s="84" t="s">
        <v>23</v>
      </c>
      <c r="B128" s="84" t="s">
        <v>160</v>
      </c>
      <c r="C128" s="84">
        <v>2020</v>
      </c>
      <c r="D128" s="45" t="s">
        <v>163</v>
      </c>
      <c r="E128" s="84" t="s">
        <v>167</v>
      </c>
      <c r="F128" s="84" t="s">
        <v>155</v>
      </c>
      <c r="G128" s="84" t="s">
        <v>25</v>
      </c>
      <c r="H128" s="84" t="s">
        <v>166</v>
      </c>
      <c r="I128" s="84" t="s">
        <v>111</v>
      </c>
      <c r="J128" s="78" t="s">
        <v>27</v>
      </c>
      <c r="K128" s="77" t="s">
        <v>112</v>
      </c>
      <c r="L128" s="84">
        <v>1</v>
      </c>
      <c r="N128" s="77">
        <v>6</v>
      </c>
      <c r="O128" s="77">
        <v>0.75</v>
      </c>
      <c r="P128" s="77">
        <v>0.8</v>
      </c>
      <c r="Q128" s="44">
        <f t="shared" si="0"/>
        <v>0.77500000000000002</v>
      </c>
      <c r="R128" s="77">
        <v>19.600000000000001</v>
      </c>
      <c r="S128" s="77">
        <v>135</v>
      </c>
      <c r="T128" s="16">
        <f t="shared" si="1"/>
        <v>30</v>
      </c>
      <c r="U128" s="77">
        <v>480</v>
      </c>
      <c r="V128" s="64">
        <f t="shared" si="2"/>
        <v>2400</v>
      </c>
      <c r="W128" s="77">
        <v>12</v>
      </c>
      <c r="X128" s="60" t="s">
        <v>35</v>
      </c>
      <c r="Y128" s="77" t="s">
        <v>82</v>
      </c>
      <c r="Z128" s="77" t="s">
        <v>55</v>
      </c>
      <c r="AA128" s="77" t="s">
        <v>43</v>
      </c>
      <c r="AB128" s="43" t="s">
        <v>161</v>
      </c>
      <c r="AI128" s="48"/>
      <c r="AJ128" s="48"/>
      <c r="AK128" s="48"/>
      <c r="AL128" s="48"/>
      <c r="AM128" s="48"/>
    </row>
    <row r="129" spans="1:39" s="77" customFormat="1" x14ac:dyDescent="0.15">
      <c r="A129" s="84" t="s">
        <v>23</v>
      </c>
      <c r="B129" s="84" t="s">
        <v>160</v>
      </c>
      <c r="C129" s="84">
        <v>2020</v>
      </c>
      <c r="D129" s="45" t="s">
        <v>163</v>
      </c>
      <c r="E129" s="84" t="s">
        <v>167</v>
      </c>
      <c r="F129" s="84" t="s">
        <v>155</v>
      </c>
      <c r="G129" s="84" t="s">
        <v>25</v>
      </c>
      <c r="H129" s="84" t="s">
        <v>166</v>
      </c>
      <c r="I129" s="84" t="s">
        <v>111</v>
      </c>
      <c r="J129" s="78" t="s">
        <v>27</v>
      </c>
      <c r="K129" s="77" t="s">
        <v>112</v>
      </c>
      <c r="L129" s="84">
        <v>2</v>
      </c>
      <c r="N129" s="77">
        <v>6</v>
      </c>
      <c r="O129" s="77">
        <v>0.95</v>
      </c>
      <c r="P129" s="77">
        <v>0.8</v>
      </c>
      <c r="Q129" s="44">
        <f t="shared" si="0"/>
        <v>0.875</v>
      </c>
      <c r="R129" s="77">
        <v>18</v>
      </c>
      <c r="S129" s="77">
        <v>136</v>
      </c>
      <c r="T129" s="16">
        <f t="shared" si="1"/>
        <v>30</v>
      </c>
      <c r="U129" s="77">
        <v>480</v>
      </c>
      <c r="V129" s="64">
        <f t="shared" si="2"/>
        <v>2400</v>
      </c>
      <c r="W129" s="77">
        <v>12</v>
      </c>
      <c r="X129" s="60" t="s">
        <v>35</v>
      </c>
      <c r="Y129" s="77" t="s">
        <v>82</v>
      </c>
      <c r="Z129" s="77" t="s">
        <v>55</v>
      </c>
      <c r="AA129" s="77" t="s">
        <v>43</v>
      </c>
      <c r="AB129" s="43" t="s">
        <v>161</v>
      </c>
      <c r="AI129" s="48"/>
      <c r="AJ129" s="48"/>
      <c r="AK129" s="48"/>
      <c r="AL129" s="48"/>
      <c r="AM129" s="48"/>
    </row>
    <row r="130" spans="1:39" s="77" customFormat="1" x14ac:dyDescent="0.15">
      <c r="A130" s="84" t="s">
        <v>23</v>
      </c>
      <c r="B130" s="84" t="s">
        <v>160</v>
      </c>
      <c r="C130" s="84">
        <v>2020</v>
      </c>
      <c r="D130" s="45" t="s">
        <v>163</v>
      </c>
      <c r="E130" s="84" t="s">
        <v>167</v>
      </c>
      <c r="F130" s="84" t="s">
        <v>155</v>
      </c>
      <c r="G130" s="84" t="s">
        <v>25</v>
      </c>
      <c r="H130" s="84" t="s">
        <v>166</v>
      </c>
      <c r="I130" s="84" t="s">
        <v>111</v>
      </c>
      <c r="J130" s="78" t="s">
        <v>27</v>
      </c>
      <c r="K130" s="77" t="s">
        <v>112</v>
      </c>
      <c r="L130" s="84">
        <v>3</v>
      </c>
      <c r="N130" s="77">
        <v>6</v>
      </c>
      <c r="O130" s="77">
        <v>0.3</v>
      </c>
      <c r="P130" s="77">
        <v>0.4</v>
      </c>
      <c r="Q130" s="44">
        <f t="shared" si="0"/>
        <v>0.35</v>
      </c>
      <c r="R130" s="77">
        <v>19.3</v>
      </c>
      <c r="S130" s="77">
        <v>132</v>
      </c>
      <c r="T130" s="16">
        <f t="shared" si="1"/>
        <v>30</v>
      </c>
      <c r="U130" s="77">
        <v>480</v>
      </c>
      <c r="V130" s="64">
        <f t="shared" si="2"/>
        <v>2400</v>
      </c>
      <c r="W130" s="77">
        <v>12</v>
      </c>
      <c r="X130" s="60" t="s">
        <v>35</v>
      </c>
      <c r="Y130" s="77" t="s">
        <v>82</v>
      </c>
      <c r="Z130" s="77" t="s">
        <v>55</v>
      </c>
      <c r="AA130" s="77" t="s">
        <v>43</v>
      </c>
      <c r="AB130" s="43" t="s">
        <v>161</v>
      </c>
      <c r="AI130" s="48"/>
      <c r="AJ130" s="48"/>
      <c r="AK130" s="48"/>
      <c r="AL130" s="48"/>
      <c r="AM130" s="48"/>
    </row>
    <row r="131" spans="1:39" s="77" customFormat="1" x14ac:dyDescent="0.15">
      <c r="A131" s="84"/>
      <c r="B131" s="84"/>
      <c r="C131" s="84"/>
      <c r="D131" s="45"/>
      <c r="E131" s="84"/>
      <c r="F131" s="84"/>
      <c r="G131" s="84"/>
      <c r="H131" s="84"/>
      <c r="I131" s="84"/>
      <c r="J131" s="78"/>
      <c r="L131" s="84"/>
      <c r="Q131" s="44" t="str">
        <f t="shared" si="0"/>
        <v/>
      </c>
      <c r="T131" s="16" t="str">
        <f t="shared" si="1"/>
        <v/>
      </c>
      <c r="V131" s="64" t="str">
        <f t="shared" si="2"/>
        <v/>
      </c>
      <c r="AB131" s="43"/>
      <c r="AI131" s="48"/>
      <c r="AJ131" s="48"/>
      <c r="AK131" s="48"/>
      <c r="AL131" s="48"/>
      <c r="AM131" s="48"/>
    </row>
    <row r="132" spans="1:39" s="77" customFormat="1" x14ac:dyDescent="0.15">
      <c r="A132" s="84"/>
      <c r="B132" s="84"/>
      <c r="C132" s="84"/>
      <c r="D132" s="45"/>
      <c r="E132" s="84"/>
      <c r="F132" s="84"/>
      <c r="G132" s="84"/>
      <c r="H132" s="84"/>
      <c r="I132" s="84"/>
      <c r="J132" s="78"/>
      <c r="L132" s="84"/>
      <c r="Q132" s="44" t="str">
        <f t="shared" si="0"/>
        <v/>
      </c>
      <c r="T132" s="16" t="str">
        <f t="shared" si="1"/>
        <v/>
      </c>
      <c r="V132" s="64" t="str">
        <f t="shared" si="2"/>
        <v/>
      </c>
      <c r="AB132" s="43"/>
      <c r="AI132" s="48"/>
      <c r="AJ132" s="48"/>
      <c r="AK132" s="48"/>
      <c r="AL132" s="48"/>
      <c r="AM132" s="48"/>
    </row>
    <row r="133" spans="1:39" s="77" customFormat="1" x14ac:dyDescent="0.15">
      <c r="A133" s="84"/>
      <c r="B133" s="84"/>
      <c r="C133" s="84"/>
      <c r="D133" s="45"/>
      <c r="E133" s="84"/>
      <c r="F133" s="84"/>
      <c r="G133" s="84"/>
      <c r="H133" s="84"/>
      <c r="I133" s="84"/>
      <c r="J133" s="78"/>
      <c r="L133" s="84"/>
      <c r="Q133" s="44" t="str">
        <f t="shared" si="0"/>
        <v/>
      </c>
      <c r="T133" s="16" t="str">
        <f t="shared" si="1"/>
        <v/>
      </c>
      <c r="V133" s="64" t="str">
        <f t="shared" si="2"/>
        <v/>
      </c>
      <c r="AB133" s="43"/>
      <c r="AI133" s="48"/>
      <c r="AJ133" s="48"/>
      <c r="AK133" s="48"/>
      <c r="AL133" s="48"/>
      <c r="AM133" s="48"/>
    </row>
    <row r="134" spans="1:39" s="77" customFormat="1" x14ac:dyDescent="0.15">
      <c r="A134" s="84"/>
      <c r="B134" s="84"/>
      <c r="C134" s="84"/>
      <c r="D134" s="45"/>
      <c r="E134" s="84"/>
      <c r="F134" s="84"/>
      <c r="G134" s="84"/>
      <c r="H134" s="84"/>
      <c r="I134" s="84"/>
      <c r="J134" s="78"/>
      <c r="L134" s="84"/>
      <c r="Q134" s="44" t="str">
        <f t="shared" si="0"/>
        <v/>
      </c>
      <c r="T134" s="16" t="str">
        <f t="shared" si="1"/>
        <v/>
      </c>
      <c r="V134" s="64" t="str">
        <f t="shared" si="2"/>
        <v/>
      </c>
      <c r="AB134" s="43"/>
      <c r="AI134" s="48"/>
      <c r="AJ134" s="48"/>
      <c r="AK134" s="48"/>
      <c r="AL134" s="48"/>
      <c r="AM134" s="48"/>
    </row>
    <row r="135" spans="1:39" s="77" customFormat="1" x14ac:dyDescent="0.15">
      <c r="A135" s="84"/>
      <c r="B135" s="84"/>
      <c r="C135" s="84"/>
      <c r="D135" s="45"/>
      <c r="E135" s="84"/>
      <c r="F135" s="84"/>
      <c r="G135" s="84"/>
      <c r="H135" s="84"/>
      <c r="I135" s="84"/>
      <c r="J135" s="78"/>
      <c r="L135" s="84"/>
      <c r="Q135" s="44" t="str">
        <f t="shared" si="0"/>
        <v/>
      </c>
      <c r="T135" s="16" t="str">
        <f t="shared" si="1"/>
        <v/>
      </c>
      <c r="V135" s="64" t="str">
        <f t="shared" si="2"/>
        <v/>
      </c>
      <c r="AB135" s="43"/>
      <c r="AI135" s="48"/>
      <c r="AJ135" s="48"/>
      <c r="AK135" s="48"/>
      <c r="AL135" s="48"/>
      <c r="AM135" s="48"/>
    </row>
    <row r="136" spans="1:39" s="77" customFormat="1" x14ac:dyDescent="0.15">
      <c r="A136" s="84"/>
      <c r="B136" s="84"/>
      <c r="C136" s="84"/>
      <c r="D136" s="45"/>
      <c r="E136" s="84"/>
      <c r="F136" s="84"/>
      <c r="G136" s="84"/>
      <c r="H136" s="84"/>
      <c r="I136" s="84"/>
      <c r="J136" s="78"/>
      <c r="L136" s="84"/>
      <c r="Q136" s="44" t="str">
        <f t="shared" si="0"/>
        <v/>
      </c>
      <c r="T136" s="16" t="str">
        <f t="shared" si="1"/>
        <v/>
      </c>
      <c r="V136" s="64" t="str">
        <f t="shared" si="2"/>
        <v/>
      </c>
      <c r="AB136" s="43"/>
      <c r="AI136" s="48"/>
      <c r="AJ136" s="48"/>
      <c r="AK136" s="48"/>
      <c r="AL136" s="48"/>
      <c r="AM136" s="48"/>
    </row>
    <row r="137" spans="1:39" s="77" customFormat="1" x14ac:dyDescent="0.15">
      <c r="A137" s="84"/>
      <c r="B137" s="84"/>
      <c r="C137" s="84"/>
      <c r="D137" s="45"/>
      <c r="E137" s="84"/>
      <c r="F137" s="84"/>
      <c r="G137" s="84"/>
      <c r="H137" s="84"/>
      <c r="I137" s="84"/>
      <c r="J137" s="78"/>
      <c r="L137" s="84"/>
      <c r="Q137" s="44" t="str">
        <f t="shared" si="0"/>
        <v/>
      </c>
      <c r="T137" s="16" t="str">
        <f t="shared" si="1"/>
        <v/>
      </c>
      <c r="V137" s="64" t="str">
        <f t="shared" si="2"/>
        <v/>
      </c>
      <c r="AB137" s="43"/>
      <c r="AI137" s="48"/>
      <c r="AJ137" s="48"/>
      <c r="AK137" s="48"/>
      <c r="AL137" s="48"/>
      <c r="AM137" s="48"/>
    </row>
    <row r="138" spans="1:39" s="77" customFormat="1" x14ac:dyDescent="0.15">
      <c r="A138" s="84"/>
      <c r="B138" s="84"/>
      <c r="C138" s="84"/>
      <c r="D138" s="45"/>
      <c r="E138" s="84"/>
      <c r="F138" s="84"/>
      <c r="G138" s="84"/>
      <c r="H138" s="84"/>
      <c r="I138" s="84"/>
      <c r="J138" s="78"/>
      <c r="L138" s="84"/>
      <c r="Q138" s="44" t="str">
        <f t="shared" si="0"/>
        <v/>
      </c>
      <c r="T138" s="16" t="str">
        <f t="shared" si="1"/>
        <v/>
      </c>
      <c r="V138" s="64" t="str">
        <f t="shared" si="2"/>
        <v/>
      </c>
      <c r="AB138" s="43"/>
      <c r="AI138" s="48"/>
      <c r="AJ138" s="48"/>
      <c r="AK138" s="48"/>
      <c r="AL138" s="48"/>
      <c r="AM138" s="48"/>
    </row>
    <row r="139" spans="1:39" s="77" customFormat="1" x14ac:dyDescent="0.15">
      <c r="A139" s="84"/>
      <c r="B139" s="84"/>
      <c r="C139" s="84"/>
      <c r="D139" s="45"/>
      <c r="E139" s="84"/>
      <c r="F139" s="84"/>
      <c r="G139" s="84"/>
      <c r="H139" s="84"/>
      <c r="I139" s="84"/>
      <c r="J139" s="78"/>
      <c r="L139" s="84"/>
      <c r="Q139" s="44" t="str">
        <f t="shared" si="0"/>
        <v/>
      </c>
      <c r="T139" s="16" t="str">
        <f t="shared" si="1"/>
        <v/>
      </c>
      <c r="V139" s="64" t="str">
        <f t="shared" si="2"/>
        <v/>
      </c>
      <c r="AB139" s="43"/>
      <c r="AI139" s="48"/>
      <c r="AJ139" s="48"/>
      <c r="AK139" s="48"/>
      <c r="AL139" s="48"/>
      <c r="AM139" s="48"/>
    </row>
    <row r="140" spans="1:39" s="77" customFormat="1" x14ac:dyDescent="0.15">
      <c r="A140" s="84"/>
      <c r="B140" s="84"/>
      <c r="C140" s="84"/>
      <c r="D140" s="45"/>
      <c r="E140" s="84"/>
      <c r="F140" s="84"/>
      <c r="G140" s="84"/>
      <c r="H140" s="84"/>
      <c r="I140" s="84"/>
      <c r="J140" s="78"/>
      <c r="L140" s="84"/>
      <c r="Q140" s="44" t="str">
        <f t="shared" si="0"/>
        <v/>
      </c>
      <c r="T140" s="16" t="str">
        <f t="shared" si="1"/>
        <v/>
      </c>
      <c r="V140" s="64" t="str">
        <f t="shared" si="2"/>
        <v/>
      </c>
      <c r="AB140" s="43"/>
      <c r="AI140" s="48"/>
      <c r="AJ140" s="48"/>
      <c r="AK140" s="48"/>
      <c r="AL140" s="48"/>
      <c r="AM140" s="48"/>
    </row>
    <row r="141" spans="1:39" s="77" customFormat="1" x14ac:dyDescent="0.15">
      <c r="A141" s="84"/>
      <c r="B141" s="84"/>
      <c r="C141" s="84"/>
      <c r="D141" s="45"/>
      <c r="E141" s="84"/>
      <c r="F141" s="84"/>
      <c r="G141" s="84"/>
      <c r="H141" s="84"/>
      <c r="I141" s="84"/>
      <c r="J141" s="78"/>
      <c r="L141" s="84"/>
      <c r="Q141" s="44" t="str">
        <f t="shared" si="0"/>
        <v/>
      </c>
      <c r="T141" s="16" t="str">
        <f t="shared" si="1"/>
        <v/>
      </c>
      <c r="V141" s="64" t="str">
        <f t="shared" si="2"/>
        <v/>
      </c>
      <c r="AB141" s="43"/>
      <c r="AI141" s="48"/>
      <c r="AJ141" s="48"/>
      <c r="AK141" s="48"/>
      <c r="AL141" s="48"/>
      <c r="AM141" s="48"/>
    </row>
    <row r="142" spans="1:39" s="77" customFormat="1" x14ac:dyDescent="0.15">
      <c r="A142" s="84"/>
      <c r="B142" s="84"/>
      <c r="C142" s="84"/>
      <c r="D142" s="45"/>
      <c r="E142" s="84"/>
      <c r="F142" s="84"/>
      <c r="G142" s="84"/>
      <c r="H142" s="84"/>
      <c r="I142" s="84"/>
      <c r="J142" s="78"/>
      <c r="L142" s="84"/>
      <c r="Q142" s="44" t="str">
        <f t="shared" si="0"/>
        <v/>
      </c>
      <c r="T142" s="16" t="str">
        <f t="shared" si="1"/>
        <v/>
      </c>
      <c r="V142" s="64" t="str">
        <f t="shared" si="2"/>
        <v/>
      </c>
      <c r="AB142" s="43"/>
      <c r="AI142" s="48"/>
      <c r="AJ142" s="48"/>
      <c r="AK142" s="48"/>
      <c r="AL142" s="48"/>
      <c r="AM142" s="48"/>
    </row>
    <row r="143" spans="1:39" s="77" customFormat="1" x14ac:dyDescent="0.15">
      <c r="A143" s="84"/>
      <c r="B143" s="84"/>
      <c r="C143" s="84"/>
      <c r="D143" s="45"/>
      <c r="E143" s="84"/>
      <c r="F143" s="84"/>
      <c r="G143" s="84"/>
      <c r="H143" s="84"/>
      <c r="I143" s="84"/>
      <c r="J143" s="78"/>
      <c r="L143" s="84"/>
      <c r="Q143" s="44" t="str">
        <f t="shared" si="0"/>
        <v/>
      </c>
      <c r="T143" s="16" t="str">
        <f t="shared" si="1"/>
        <v/>
      </c>
      <c r="V143" s="64" t="str">
        <f t="shared" si="2"/>
        <v/>
      </c>
      <c r="AB143" s="43"/>
      <c r="AI143" s="48"/>
      <c r="AJ143" s="48"/>
      <c r="AK143" s="48"/>
      <c r="AL143" s="48"/>
      <c r="AM143" s="48"/>
    </row>
    <row r="144" spans="1:39" s="77" customFormat="1" x14ac:dyDescent="0.15">
      <c r="A144" s="84"/>
      <c r="B144" s="84"/>
      <c r="C144" s="84"/>
      <c r="D144" s="45"/>
      <c r="E144" s="84"/>
      <c r="F144" s="84"/>
      <c r="G144" s="84"/>
      <c r="H144" s="84"/>
      <c r="I144" s="84"/>
      <c r="J144" s="78"/>
      <c r="L144" s="84"/>
      <c r="Q144" s="44" t="str">
        <f t="shared" si="0"/>
        <v/>
      </c>
      <c r="T144" s="16" t="str">
        <f t="shared" si="1"/>
        <v/>
      </c>
      <c r="V144" s="64" t="str">
        <f t="shared" si="2"/>
        <v/>
      </c>
      <c r="AB144" s="43"/>
      <c r="AI144" s="48"/>
      <c r="AJ144" s="48"/>
      <c r="AK144" s="48"/>
      <c r="AL144" s="48"/>
      <c r="AM144" s="48"/>
    </row>
    <row r="145" spans="1:39" s="77" customFormat="1" x14ac:dyDescent="0.15">
      <c r="A145" s="84"/>
      <c r="B145" s="84"/>
      <c r="C145" s="84"/>
      <c r="D145" s="45"/>
      <c r="E145" s="84"/>
      <c r="F145" s="84"/>
      <c r="G145" s="84"/>
      <c r="H145" s="84"/>
      <c r="I145" s="84"/>
      <c r="J145" s="78"/>
      <c r="L145" s="84"/>
      <c r="Q145" s="44" t="str">
        <f t="shared" si="0"/>
        <v/>
      </c>
      <c r="T145" s="16" t="str">
        <f t="shared" si="1"/>
        <v/>
      </c>
      <c r="V145" s="64" t="str">
        <f t="shared" si="2"/>
        <v/>
      </c>
      <c r="AB145" s="43"/>
      <c r="AI145" s="48"/>
      <c r="AJ145" s="48"/>
      <c r="AK145" s="48"/>
      <c r="AL145" s="48"/>
      <c r="AM145" s="48"/>
    </row>
    <row r="146" spans="1:39" s="77" customFormat="1" x14ac:dyDescent="0.15">
      <c r="A146" s="84"/>
      <c r="B146" s="84"/>
      <c r="C146" s="84"/>
      <c r="D146" s="45"/>
      <c r="E146" s="84"/>
      <c r="F146" s="84"/>
      <c r="G146" s="84"/>
      <c r="H146" s="84"/>
      <c r="I146" s="84"/>
      <c r="J146" s="78"/>
      <c r="L146" s="84"/>
      <c r="Q146" s="44" t="str">
        <f t="shared" si="0"/>
        <v/>
      </c>
      <c r="T146" s="16" t="str">
        <f t="shared" si="1"/>
        <v/>
      </c>
      <c r="V146" s="64" t="str">
        <f t="shared" si="2"/>
        <v/>
      </c>
      <c r="AB146" s="43"/>
      <c r="AI146" s="48"/>
      <c r="AJ146" s="48"/>
      <c r="AK146" s="48"/>
      <c r="AL146" s="48"/>
      <c r="AM146" s="48"/>
    </row>
    <row r="147" spans="1:39" s="77" customFormat="1" x14ac:dyDescent="0.15">
      <c r="A147" s="84"/>
      <c r="B147" s="84"/>
      <c r="C147" s="84"/>
      <c r="D147" s="45"/>
      <c r="E147" s="84"/>
      <c r="F147" s="84"/>
      <c r="G147" s="84"/>
      <c r="H147" s="84"/>
      <c r="I147" s="84"/>
      <c r="J147" s="78"/>
      <c r="L147" s="84"/>
      <c r="Q147" s="44" t="str">
        <f t="shared" si="0"/>
        <v/>
      </c>
      <c r="T147" s="16" t="str">
        <f t="shared" si="1"/>
        <v/>
      </c>
      <c r="V147" s="64" t="str">
        <f t="shared" si="2"/>
        <v/>
      </c>
      <c r="AB147" s="43"/>
      <c r="AI147" s="48"/>
      <c r="AJ147" s="48"/>
      <c r="AK147" s="48"/>
      <c r="AL147" s="48"/>
      <c r="AM147" s="48"/>
    </row>
    <row r="148" spans="1:39" s="77" customFormat="1" x14ac:dyDescent="0.15">
      <c r="A148" s="84"/>
      <c r="B148" s="84"/>
      <c r="C148" s="84"/>
      <c r="D148" s="45"/>
      <c r="E148" s="84"/>
      <c r="F148" s="84"/>
      <c r="G148" s="84"/>
      <c r="H148" s="84"/>
      <c r="I148" s="84"/>
      <c r="J148" s="78"/>
      <c r="L148" s="84"/>
      <c r="Q148" s="44" t="str">
        <f t="shared" si="0"/>
        <v/>
      </c>
      <c r="T148" s="16" t="str">
        <f t="shared" si="1"/>
        <v/>
      </c>
      <c r="V148" s="64" t="str">
        <f t="shared" si="2"/>
        <v/>
      </c>
      <c r="AB148" s="43"/>
      <c r="AI148" s="48"/>
      <c r="AJ148" s="48"/>
      <c r="AK148" s="48"/>
      <c r="AL148" s="48"/>
      <c r="AM148" s="48"/>
    </row>
    <row r="149" spans="1:39" s="77" customFormat="1" x14ac:dyDescent="0.15">
      <c r="A149" s="84"/>
      <c r="B149" s="84"/>
      <c r="C149" s="84"/>
      <c r="D149" s="45"/>
      <c r="E149" s="84"/>
      <c r="F149" s="84"/>
      <c r="G149" s="84"/>
      <c r="H149" s="84"/>
      <c r="I149" s="84"/>
      <c r="J149" s="78"/>
      <c r="L149" s="84"/>
      <c r="Q149" s="44" t="str">
        <f t="shared" si="0"/>
        <v/>
      </c>
      <c r="T149" s="16" t="str">
        <f t="shared" si="1"/>
        <v/>
      </c>
      <c r="V149" s="64" t="str">
        <f t="shared" si="2"/>
        <v/>
      </c>
      <c r="AB149" s="43"/>
      <c r="AI149" s="48"/>
      <c r="AJ149" s="48"/>
      <c r="AK149" s="48"/>
      <c r="AL149" s="48"/>
      <c r="AM149" s="48"/>
    </row>
    <row r="150" spans="1:39" s="77" customFormat="1" x14ac:dyDescent="0.15">
      <c r="A150" s="84"/>
      <c r="B150" s="84"/>
      <c r="C150" s="84"/>
      <c r="D150" s="45"/>
      <c r="E150" s="84"/>
      <c r="F150" s="84"/>
      <c r="G150" s="84"/>
      <c r="H150" s="84"/>
      <c r="I150" s="84"/>
      <c r="J150" s="78"/>
      <c r="L150" s="84"/>
      <c r="Q150" s="44" t="str">
        <f t="shared" si="0"/>
        <v/>
      </c>
      <c r="T150" s="16" t="str">
        <f t="shared" si="1"/>
        <v/>
      </c>
      <c r="V150" s="64" t="str">
        <f t="shared" si="2"/>
        <v/>
      </c>
      <c r="AB150" s="43"/>
      <c r="AI150" s="48"/>
      <c r="AJ150" s="48"/>
      <c r="AK150" s="48"/>
      <c r="AL150" s="48"/>
      <c r="AM150" s="48"/>
    </row>
    <row r="151" spans="1:39" s="77" customFormat="1" x14ac:dyDescent="0.15">
      <c r="A151" s="84"/>
      <c r="B151" s="84"/>
      <c r="C151" s="84"/>
      <c r="D151" s="45"/>
      <c r="E151" s="84"/>
      <c r="F151" s="84"/>
      <c r="G151" s="84"/>
      <c r="H151" s="84"/>
      <c r="I151" s="84"/>
      <c r="J151" s="78"/>
      <c r="L151" s="84"/>
      <c r="Q151" s="44" t="str">
        <f t="shared" si="0"/>
        <v/>
      </c>
      <c r="T151" s="16" t="str">
        <f t="shared" si="1"/>
        <v/>
      </c>
      <c r="V151" s="64" t="str">
        <f t="shared" si="2"/>
        <v/>
      </c>
      <c r="AB151" s="43"/>
      <c r="AI151" s="48"/>
      <c r="AJ151" s="48"/>
      <c r="AK151" s="48"/>
      <c r="AL151" s="48"/>
      <c r="AM151" s="48"/>
    </row>
    <row r="152" spans="1:39" s="77" customFormat="1" x14ac:dyDescent="0.15">
      <c r="A152" s="84"/>
      <c r="B152" s="84"/>
      <c r="C152" s="84"/>
      <c r="D152" s="45"/>
      <c r="E152" s="84"/>
      <c r="F152" s="84"/>
      <c r="G152" s="84"/>
      <c r="H152" s="84"/>
      <c r="I152" s="84"/>
      <c r="J152" s="78"/>
      <c r="L152" s="84"/>
      <c r="Q152" s="44" t="str">
        <f t="shared" si="0"/>
        <v/>
      </c>
      <c r="T152" s="16" t="str">
        <f t="shared" si="1"/>
        <v/>
      </c>
      <c r="V152" s="64" t="str">
        <f t="shared" si="2"/>
        <v/>
      </c>
      <c r="AB152" s="43"/>
      <c r="AI152" s="48"/>
      <c r="AJ152" s="48"/>
      <c r="AK152" s="48"/>
      <c r="AL152" s="48"/>
      <c r="AM152" s="48"/>
    </row>
    <row r="153" spans="1:39" s="77" customFormat="1" x14ac:dyDescent="0.15">
      <c r="A153" s="84"/>
      <c r="B153" s="84"/>
      <c r="C153" s="84"/>
      <c r="D153" s="45"/>
      <c r="E153" s="84"/>
      <c r="F153" s="84"/>
      <c r="G153" s="84"/>
      <c r="H153" s="84"/>
      <c r="I153" s="84"/>
      <c r="J153" s="78"/>
      <c r="L153" s="84"/>
      <c r="Q153" s="44" t="str">
        <f t="shared" si="0"/>
        <v/>
      </c>
      <c r="T153" s="16" t="str">
        <f t="shared" si="1"/>
        <v/>
      </c>
      <c r="V153" s="64" t="str">
        <f t="shared" si="2"/>
        <v/>
      </c>
      <c r="AB153" s="43"/>
      <c r="AI153" s="48"/>
      <c r="AJ153" s="48"/>
      <c r="AK153" s="48"/>
      <c r="AL153" s="48"/>
      <c r="AM153" s="48"/>
    </row>
    <row r="154" spans="1:39" s="77" customFormat="1" x14ac:dyDescent="0.15">
      <c r="A154" s="84"/>
      <c r="B154" s="84"/>
      <c r="C154" s="84"/>
      <c r="D154" s="45"/>
      <c r="E154" s="84"/>
      <c r="F154" s="84"/>
      <c r="G154" s="84"/>
      <c r="H154" s="84"/>
      <c r="I154" s="84"/>
      <c r="J154" s="78"/>
      <c r="L154" s="84"/>
      <c r="Q154" s="44" t="str">
        <f t="shared" si="0"/>
        <v/>
      </c>
      <c r="T154" s="16" t="str">
        <f t="shared" si="1"/>
        <v/>
      </c>
      <c r="V154" s="64" t="str">
        <f t="shared" si="2"/>
        <v/>
      </c>
      <c r="AB154" s="43"/>
      <c r="AI154" s="48"/>
      <c r="AJ154" s="48"/>
      <c r="AK154" s="48"/>
      <c r="AL154" s="48"/>
      <c r="AM154" s="48"/>
    </row>
    <row r="155" spans="1:39" s="77" customFormat="1" x14ac:dyDescent="0.15">
      <c r="A155" s="84"/>
      <c r="B155" s="84"/>
      <c r="C155" s="84"/>
      <c r="D155" s="45"/>
      <c r="E155" s="84"/>
      <c r="F155" s="84"/>
      <c r="G155" s="84"/>
      <c r="H155" s="84"/>
      <c r="I155" s="84"/>
      <c r="J155" s="78"/>
      <c r="L155" s="84"/>
      <c r="Q155" s="44" t="str">
        <f t="shared" si="0"/>
        <v/>
      </c>
      <c r="T155" s="16" t="str">
        <f t="shared" si="1"/>
        <v/>
      </c>
      <c r="V155" s="64" t="str">
        <f t="shared" si="2"/>
        <v/>
      </c>
      <c r="AB155" s="43"/>
      <c r="AI155" s="48"/>
      <c r="AJ155" s="48"/>
      <c r="AK155" s="48"/>
      <c r="AL155" s="48"/>
      <c r="AM155" s="48"/>
    </row>
    <row r="156" spans="1:39" s="77" customFormat="1" x14ac:dyDescent="0.15">
      <c r="A156" s="84"/>
      <c r="B156" s="84"/>
      <c r="C156" s="84"/>
      <c r="D156" s="45"/>
      <c r="E156" s="84"/>
      <c r="F156" s="84"/>
      <c r="G156" s="84"/>
      <c r="H156" s="84"/>
      <c r="I156" s="84"/>
      <c r="J156" s="78"/>
      <c r="L156" s="84"/>
      <c r="Q156" s="44" t="str">
        <f t="shared" si="0"/>
        <v/>
      </c>
      <c r="T156" s="16" t="str">
        <f t="shared" si="1"/>
        <v/>
      </c>
      <c r="V156" s="64" t="str">
        <f t="shared" si="2"/>
        <v/>
      </c>
      <c r="AB156" s="43"/>
      <c r="AI156" s="48"/>
      <c r="AJ156" s="48"/>
      <c r="AK156" s="48"/>
      <c r="AL156" s="48"/>
      <c r="AM156" s="48"/>
    </row>
    <row r="157" spans="1:39" s="77" customFormat="1" x14ac:dyDescent="0.15">
      <c r="A157" s="84"/>
      <c r="B157" s="84"/>
      <c r="C157" s="84"/>
      <c r="D157" s="45"/>
      <c r="E157" s="84"/>
      <c r="F157" s="84"/>
      <c r="G157" s="84"/>
      <c r="H157" s="84"/>
      <c r="I157" s="84"/>
      <c r="J157" s="78"/>
      <c r="L157" s="84"/>
      <c r="Q157" s="44" t="str">
        <f t="shared" si="0"/>
        <v/>
      </c>
      <c r="T157" s="16" t="str">
        <f t="shared" si="1"/>
        <v/>
      </c>
      <c r="V157" s="64" t="str">
        <f t="shared" si="2"/>
        <v/>
      </c>
      <c r="AB157" s="43"/>
      <c r="AI157" s="48"/>
      <c r="AJ157" s="48"/>
      <c r="AK157" s="48"/>
      <c r="AL157" s="48"/>
      <c r="AM157" s="48"/>
    </row>
    <row r="158" spans="1:39" s="77" customFormat="1" x14ac:dyDescent="0.15">
      <c r="A158" s="84"/>
      <c r="B158" s="84"/>
      <c r="C158" s="84"/>
      <c r="D158" s="45"/>
      <c r="E158" s="84"/>
      <c r="F158" s="84"/>
      <c r="G158" s="84"/>
      <c r="H158" s="84"/>
      <c r="I158" s="84"/>
      <c r="J158" s="78"/>
      <c r="L158" s="84"/>
      <c r="Q158" s="44" t="str">
        <f t="shared" si="0"/>
        <v/>
      </c>
      <c r="T158" s="16" t="str">
        <f t="shared" si="1"/>
        <v/>
      </c>
      <c r="V158" s="64" t="str">
        <f t="shared" si="2"/>
        <v/>
      </c>
      <c r="AB158" s="43"/>
      <c r="AI158" s="48"/>
      <c r="AJ158" s="48"/>
      <c r="AK158" s="48"/>
      <c r="AL158" s="48"/>
      <c r="AM158" s="48"/>
    </row>
    <row r="159" spans="1:39" s="77" customFormat="1" x14ac:dyDescent="0.15">
      <c r="A159" s="84"/>
      <c r="B159" s="84"/>
      <c r="C159" s="84"/>
      <c r="D159" s="45"/>
      <c r="E159" s="84"/>
      <c r="F159" s="84"/>
      <c r="G159" s="84"/>
      <c r="H159" s="84"/>
      <c r="I159" s="84"/>
      <c r="J159" s="78"/>
      <c r="L159" s="84"/>
      <c r="Q159" s="44" t="str">
        <f t="shared" si="0"/>
        <v/>
      </c>
      <c r="T159" s="16" t="str">
        <f t="shared" si="1"/>
        <v/>
      </c>
      <c r="V159" s="64" t="str">
        <f t="shared" si="2"/>
        <v/>
      </c>
      <c r="AB159" s="43"/>
      <c r="AI159" s="48"/>
      <c r="AJ159" s="48"/>
      <c r="AK159" s="48"/>
      <c r="AL159" s="48"/>
      <c r="AM159" s="48"/>
    </row>
    <row r="160" spans="1:39" s="77" customFormat="1" x14ac:dyDescent="0.15">
      <c r="A160" s="84"/>
      <c r="B160" s="84"/>
      <c r="C160" s="84"/>
      <c r="D160" s="45"/>
      <c r="E160" s="84"/>
      <c r="F160" s="84"/>
      <c r="G160" s="84"/>
      <c r="H160" s="84"/>
      <c r="I160" s="84"/>
      <c r="J160" s="78"/>
      <c r="L160" s="84"/>
      <c r="Q160" s="44" t="str">
        <f t="shared" si="0"/>
        <v/>
      </c>
      <c r="T160" s="16" t="str">
        <f t="shared" si="1"/>
        <v/>
      </c>
      <c r="V160" s="64" t="str">
        <f t="shared" si="2"/>
        <v/>
      </c>
      <c r="AB160" s="43"/>
      <c r="AI160" s="48"/>
      <c r="AJ160" s="48"/>
      <c r="AK160" s="48"/>
      <c r="AL160" s="48"/>
      <c r="AM160" s="48"/>
    </row>
    <row r="161" spans="1:44" s="77" customFormat="1" x14ac:dyDescent="0.15">
      <c r="A161" s="84"/>
      <c r="B161" s="84"/>
      <c r="C161" s="84"/>
      <c r="D161" s="45"/>
      <c r="E161" s="84"/>
      <c r="F161" s="84"/>
      <c r="G161" s="84"/>
      <c r="H161" s="84"/>
      <c r="I161" s="84"/>
      <c r="J161" s="78"/>
      <c r="L161" s="84"/>
      <c r="Q161" s="44" t="str">
        <f t="shared" si="0"/>
        <v/>
      </c>
      <c r="T161" s="16" t="str">
        <f t="shared" si="1"/>
        <v/>
      </c>
      <c r="V161" s="64" t="str">
        <f t="shared" si="2"/>
        <v/>
      </c>
      <c r="AB161" s="43"/>
      <c r="AI161" s="48"/>
      <c r="AJ161" s="48"/>
      <c r="AK161" s="48"/>
      <c r="AL161" s="48"/>
      <c r="AM161" s="48"/>
    </row>
    <row r="162" spans="1:44" s="77" customFormat="1" x14ac:dyDescent="0.15">
      <c r="A162" s="84"/>
      <c r="B162" s="84"/>
      <c r="C162" s="84"/>
      <c r="D162" s="45"/>
      <c r="E162" s="84"/>
      <c r="F162" s="84"/>
      <c r="G162" s="84"/>
      <c r="H162" s="84"/>
      <c r="I162" s="84"/>
      <c r="J162" s="78"/>
      <c r="L162" s="84"/>
      <c r="Q162" s="44" t="str">
        <f t="shared" si="0"/>
        <v/>
      </c>
      <c r="T162" s="16" t="str">
        <f t="shared" si="1"/>
        <v/>
      </c>
      <c r="V162" s="64" t="str">
        <f t="shared" si="2"/>
        <v/>
      </c>
      <c r="AB162" s="43"/>
      <c r="AI162" s="48"/>
      <c r="AJ162" s="48"/>
      <c r="AK162" s="48"/>
      <c r="AL162" s="48"/>
      <c r="AM162" s="48"/>
    </row>
    <row r="163" spans="1:44" s="77" customFormat="1" x14ac:dyDescent="0.15">
      <c r="A163" s="84"/>
      <c r="B163" s="84"/>
      <c r="C163" s="84"/>
      <c r="D163" s="45"/>
      <c r="E163" s="84"/>
      <c r="F163" s="84"/>
      <c r="G163" s="84"/>
      <c r="H163" s="84"/>
      <c r="I163" s="84"/>
      <c r="J163" s="78"/>
      <c r="L163" s="84"/>
      <c r="Q163" s="44" t="str">
        <f t="shared" si="0"/>
        <v/>
      </c>
      <c r="T163" s="16" t="str">
        <f t="shared" si="1"/>
        <v/>
      </c>
      <c r="V163" s="64" t="str">
        <f t="shared" si="2"/>
        <v/>
      </c>
      <c r="AB163" s="43"/>
      <c r="AI163" s="48"/>
      <c r="AJ163" s="48"/>
      <c r="AK163" s="48"/>
      <c r="AL163" s="48"/>
      <c r="AM163" s="48"/>
    </row>
    <row r="164" spans="1:44" s="77" customFormat="1" x14ac:dyDescent="0.15">
      <c r="A164" s="84"/>
      <c r="B164" s="84"/>
      <c r="C164" s="84"/>
      <c r="D164" s="45"/>
      <c r="E164" s="84"/>
      <c r="F164" s="84"/>
      <c r="G164" s="84"/>
      <c r="H164" s="84"/>
      <c r="I164" s="84"/>
      <c r="J164" s="78"/>
      <c r="L164" s="84"/>
      <c r="Q164" s="44" t="str">
        <f t="shared" si="0"/>
        <v/>
      </c>
      <c r="T164" s="16" t="str">
        <f t="shared" ref="T164:T220" si="3">IF(H164="","",IF(OR(H164="GREEN",H164="GK"),IF(S164&gt;=$AX$2,VLOOKUP(S164,$AX$2:$AY$7,2,1),""),IF(S164&gt;=$AZ$2,VLOOKUP(S164,$AZ$2:$BA$7,2,1),"")))</f>
        <v/>
      </c>
      <c r="V164" s="64" t="str">
        <f t="shared" si="2"/>
        <v/>
      </c>
      <c r="AB164" s="43"/>
      <c r="AI164" s="48"/>
      <c r="AJ164" s="48"/>
      <c r="AK164" s="48"/>
      <c r="AL164" s="48"/>
      <c r="AM164" s="48"/>
    </row>
    <row r="165" spans="1:44" s="77" customFormat="1" x14ac:dyDescent="0.15">
      <c r="A165" s="84"/>
      <c r="B165" s="84"/>
      <c r="C165" s="84"/>
      <c r="D165" s="45"/>
      <c r="E165" s="84"/>
      <c r="F165" s="84"/>
      <c r="G165" s="84"/>
      <c r="H165" s="84"/>
      <c r="I165" s="84"/>
      <c r="J165" s="78"/>
      <c r="L165" s="84"/>
      <c r="Q165" s="44" t="str">
        <f t="shared" si="0"/>
        <v/>
      </c>
      <c r="T165" s="16" t="str">
        <f t="shared" si="3"/>
        <v/>
      </c>
      <c r="V165" s="64" t="str">
        <f t="shared" si="2"/>
        <v/>
      </c>
      <c r="AB165" s="43"/>
      <c r="AI165" s="48"/>
      <c r="AJ165" s="48"/>
      <c r="AK165" s="48"/>
      <c r="AL165" s="48"/>
      <c r="AM165" s="48"/>
    </row>
    <row r="166" spans="1:44" s="77" customFormat="1" x14ac:dyDescent="0.15">
      <c r="A166" s="84"/>
      <c r="B166" s="84"/>
      <c r="C166" s="84"/>
      <c r="D166" s="45"/>
      <c r="E166" s="84"/>
      <c r="F166" s="84"/>
      <c r="G166" s="84"/>
      <c r="H166" s="84"/>
      <c r="I166" s="84"/>
      <c r="J166" s="78"/>
      <c r="L166" s="84"/>
      <c r="Q166" s="44" t="str">
        <f t="shared" si="0"/>
        <v/>
      </c>
      <c r="T166" s="16" t="str">
        <f t="shared" si="3"/>
        <v/>
      </c>
      <c r="V166" s="64" t="str">
        <f t="shared" si="2"/>
        <v/>
      </c>
      <c r="AB166" s="43"/>
      <c r="AI166" s="48"/>
      <c r="AJ166" s="48"/>
      <c r="AK166" s="48"/>
      <c r="AL166" s="48"/>
      <c r="AM166" s="48"/>
    </row>
    <row r="167" spans="1:44" x14ac:dyDescent="0.15">
      <c r="A167" s="84"/>
      <c r="B167" s="84"/>
      <c r="C167" s="84"/>
      <c r="D167" s="45"/>
      <c r="E167" s="84"/>
      <c r="F167" s="84"/>
      <c r="G167" s="84"/>
      <c r="H167" s="84"/>
      <c r="I167" s="84"/>
      <c r="J167" s="78"/>
      <c r="L167" s="84"/>
      <c r="Q167" s="44" t="str">
        <f t="shared" si="0"/>
        <v/>
      </c>
      <c r="T167" s="16" t="str">
        <f t="shared" si="3"/>
        <v/>
      </c>
      <c r="V167" s="64" t="str">
        <f t="shared" si="2"/>
        <v/>
      </c>
      <c r="X167" s="65"/>
      <c r="AB167" s="43"/>
      <c r="AR167" s="77"/>
    </row>
    <row r="168" spans="1:44" x14ac:dyDescent="0.15">
      <c r="A168" s="84"/>
      <c r="B168" s="84"/>
      <c r="C168" s="84"/>
      <c r="D168" s="45"/>
      <c r="E168" s="84"/>
      <c r="F168" s="84"/>
      <c r="G168" s="84"/>
      <c r="H168" s="84"/>
      <c r="I168" s="84"/>
      <c r="J168" s="78"/>
      <c r="L168" s="84"/>
      <c r="Q168" s="44" t="str">
        <f t="shared" si="0"/>
        <v/>
      </c>
      <c r="T168" s="16" t="str">
        <f t="shared" si="3"/>
        <v/>
      </c>
      <c r="V168" s="64" t="str">
        <f t="shared" si="2"/>
        <v/>
      </c>
      <c r="X168" s="65"/>
      <c r="AB168" s="43"/>
      <c r="AR168" s="77"/>
    </row>
    <row r="169" spans="1:44" x14ac:dyDescent="0.15">
      <c r="A169" s="84"/>
      <c r="B169" s="84"/>
      <c r="C169" s="84"/>
      <c r="D169" s="45"/>
      <c r="E169" s="84"/>
      <c r="F169" s="84"/>
      <c r="G169" s="84"/>
      <c r="H169" s="84"/>
      <c r="I169" s="84"/>
      <c r="J169" s="78"/>
      <c r="L169" s="84"/>
      <c r="Q169" s="44" t="str">
        <f t="shared" si="0"/>
        <v/>
      </c>
      <c r="T169" s="16" t="str">
        <f t="shared" si="3"/>
        <v/>
      </c>
      <c r="V169" s="64" t="str">
        <f t="shared" si="2"/>
        <v/>
      </c>
      <c r="X169" s="65"/>
      <c r="AB169" s="43"/>
      <c r="AR169" s="77"/>
    </row>
    <row r="170" spans="1:44" x14ac:dyDescent="0.15">
      <c r="A170" s="84"/>
      <c r="B170" s="84"/>
      <c r="C170" s="84"/>
      <c r="D170" s="45"/>
      <c r="E170" s="84"/>
      <c r="F170" s="84"/>
      <c r="G170" s="84"/>
      <c r="H170" s="84"/>
      <c r="I170" s="84"/>
      <c r="J170" s="78"/>
      <c r="L170" s="84"/>
      <c r="Q170" s="44" t="str">
        <f t="shared" si="0"/>
        <v/>
      </c>
      <c r="T170" s="16" t="str">
        <f t="shared" si="3"/>
        <v/>
      </c>
      <c r="V170" s="64" t="str">
        <f t="shared" si="2"/>
        <v/>
      </c>
      <c r="X170" s="65"/>
      <c r="AB170" s="43"/>
      <c r="AR170" s="77"/>
    </row>
    <row r="171" spans="1:44" x14ac:dyDescent="0.15">
      <c r="A171" s="84"/>
      <c r="B171" s="84"/>
      <c r="C171" s="84"/>
      <c r="D171" s="45"/>
      <c r="E171" s="84"/>
      <c r="F171" s="84"/>
      <c r="G171" s="84"/>
      <c r="H171" s="84"/>
      <c r="I171" s="84"/>
      <c r="J171" s="78"/>
      <c r="L171" s="84"/>
      <c r="Q171" s="44" t="str">
        <f t="shared" si="0"/>
        <v/>
      </c>
      <c r="T171" s="16" t="str">
        <f t="shared" si="3"/>
        <v/>
      </c>
      <c r="V171" s="64" t="str">
        <f t="shared" si="2"/>
        <v/>
      </c>
      <c r="X171" s="65"/>
      <c r="AB171" s="43"/>
      <c r="AR171" s="77"/>
    </row>
    <row r="172" spans="1:44" x14ac:dyDescent="0.15">
      <c r="A172" s="84"/>
      <c r="B172" s="84"/>
      <c r="C172" s="84"/>
      <c r="D172" s="45"/>
      <c r="E172" s="84"/>
      <c r="F172" s="84"/>
      <c r="G172" s="84"/>
      <c r="H172" s="84"/>
      <c r="I172" s="84"/>
      <c r="J172" s="78"/>
      <c r="L172" s="84"/>
      <c r="Q172" s="44" t="str">
        <f t="shared" si="0"/>
        <v/>
      </c>
      <c r="T172" s="16" t="str">
        <f t="shared" si="3"/>
        <v/>
      </c>
      <c r="V172" s="64" t="str">
        <f t="shared" ref="V172:V220" si="4">IF(OR(N172="",U172="",T172=""),"",U172/N172*T172)</f>
        <v/>
      </c>
      <c r="X172" s="65"/>
      <c r="AB172" s="43"/>
      <c r="AR172" s="77"/>
    </row>
    <row r="173" spans="1:44" x14ac:dyDescent="0.15">
      <c r="A173" s="84"/>
      <c r="B173" s="84"/>
      <c r="C173" s="84"/>
      <c r="D173" s="45"/>
      <c r="E173" s="84"/>
      <c r="F173" s="84"/>
      <c r="G173" s="84"/>
      <c r="H173" s="84"/>
      <c r="I173" s="84"/>
      <c r="J173" s="78"/>
      <c r="L173" s="84"/>
      <c r="Q173" s="44" t="str">
        <f t="shared" si="0"/>
        <v/>
      </c>
      <c r="T173" s="16" t="str">
        <f t="shared" si="3"/>
        <v/>
      </c>
      <c r="V173" s="64" t="str">
        <f t="shared" si="4"/>
        <v/>
      </c>
      <c r="X173" s="65"/>
      <c r="AB173" s="43"/>
      <c r="AR173" s="77"/>
    </row>
    <row r="174" spans="1:44" x14ac:dyDescent="0.15">
      <c r="A174" s="84"/>
      <c r="B174" s="84"/>
      <c r="C174" s="84"/>
      <c r="D174" s="45"/>
      <c r="E174" s="84"/>
      <c r="F174" s="84"/>
      <c r="G174" s="84"/>
      <c r="H174" s="84"/>
      <c r="I174" s="84"/>
      <c r="J174" s="78"/>
      <c r="L174" s="84"/>
      <c r="Q174" s="44" t="str">
        <f t="shared" ref="Q174:Q220" si="5">IF(OR(O174="",P174=""),"",AVERAGE(O174,P174))</f>
        <v/>
      </c>
      <c r="T174" s="16" t="str">
        <f t="shared" si="3"/>
        <v/>
      </c>
      <c r="V174" s="64" t="str">
        <f t="shared" si="4"/>
        <v/>
      </c>
      <c r="X174" s="65"/>
      <c r="AB174" s="43"/>
    </row>
    <row r="175" spans="1:44" x14ac:dyDescent="0.15">
      <c r="A175" s="84"/>
      <c r="B175" s="84"/>
      <c r="C175" s="84"/>
      <c r="D175" s="45"/>
      <c r="E175" s="84"/>
      <c r="F175" s="84"/>
      <c r="G175" s="84"/>
      <c r="H175" s="84"/>
      <c r="I175" s="84"/>
      <c r="J175" s="78"/>
      <c r="L175" s="84"/>
      <c r="Q175" s="44" t="str">
        <f t="shared" si="5"/>
        <v/>
      </c>
      <c r="T175" s="16" t="str">
        <f t="shared" si="3"/>
        <v/>
      </c>
      <c r="V175" s="64" t="str">
        <f t="shared" si="4"/>
        <v/>
      </c>
      <c r="X175" s="65"/>
      <c r="AB175" s="43"/>
    </row>
    <row r="176" spans="1:44" x14ac:dyDescent="0.15">
      <c r="A176" s="84"/>
      <c r="B176" s="84"/>
      <c r="C176" s="84"/>
      <c r="D176" s="45"/>
      <c r="E176" s="84"/>
      <c r="F176" s="84"/>
      <c r="G176" s="84"/>
      <c r="H176" s="84"/>
      <c r="I176" s="84"/>
      <c r="J176" s="78"/>
      <c r="L176" s="84"/>
      <c r="Q176" s="44" t="str">
        <f t="shared" si="5"/>
        <v/>
      </c>
      <c r="T176" s="16" t="str">
        <f t="shared" si="3"/>
        <v/>
      </c>
      <c r="V176" s="64" t="str">
        <f t="shared" si="4"/>
        <v/>
      </c>
      <c r="X176" s="65"/>
      <c r="AB176" s="43"/>
    </row>
    <row r="177" spans="1:28" x14ac:dyDescent="0.15">
      <c r="A177" s="84"/>
      <c r="B177" s="84"/>
      <c r="C177" s="84"/>
      <c r="D177" s="45"/>
      <c r="E177" s="84"/>
      <c r="F177" s="84"/>
      <c r="G177" s="84"/>
      <c r="H177" s="84"/>
      <c r="I177" s="84"/>
      <c r="J177" s="78"/>
      <c r="L177" s="84"/>
      <c r="Q177" s="44" t="str">
        <f t="shared" si="5"/>
        <v/>
      </c>
      <c r="T177" s="16" t="str">
        <f t="shared" si="3"/>
        <v/>
      </c>
      <c r="V177" s="64" t="str">
        <f t="shared" si="4"/>
        <v/>
      </c>
      <c r="X177" s="65"/>
      <c r="AB177" s="43"/>
    </row>
    <row r="178" spans="1:28" x14ac:dyDescent="0.15">
      <c r="A178" s="84"/>
      <c r="B178" s="84"/>
      <c r="C178" s="84"/>
      <c r="D178" s="45"/>
      <c r="E178" s="84"/>
      <c r="F178" s="84"/>
      <c r="G178" s="84"/>
      <c r="H178" s="84"/>
      <c r="I178" s="84"/>
      <c r="J178" s="78"/>
      <c r="L178" s="84"/>
      <c r="Q178" s="44" t="str">
        <f t="shared" si="5"/>
        <v/>
      </c>
      <c r="T178" s="16" t="str">
        <f t="shared" si="3"/>
        <v/>
      </c>
      <c r="V178" s="64" t="str">
        <f t="shared" si="4"/>
        <v/>
      </c>
      <c r="X178" s="65"/>
      <c r="AB178" s="43"/>
    </row>
    <row r="179" spans="1:28" x14ac:dyDescent="0.15">
      <c r="A179" s="84"/>
      <c r="B179" s="84"/>
      <c r="C179" s="84"/>
      <c r="D179" s="45"/>
      <c r="E179" s="84"/>
      <c r="F179" s="84"/>
      <c r="G179" s="84"/>
      <c r="H179" s="84"/>
      <c r="I179" s="84"/>
      <c r="J179" s="78"/>
      <c r="L179" s="84"/>
      <c r="Q179" s="44" t="str">
        <f t="shared" si="5"/>
        <v/>
      </c>
      <c r="T179" s="16" t="str">
        <f t="shared" si="3"/>
        <v/>
      </c>
      <c r="V179" s="64" t="str">
        <f t="shared" si="4"/>
        <v/>
      </c>
      <c r="X179" s="65"/>
      <c r="AB179" s="43"/>
    </row>
    <row r="180" spans="1:28" x14ac:dyDescent="0.15">
      <c r="A180" s="84"/>
      <c r="B180" s="84"/>
      <c r="C180" s="84"/>
      <c r="D180" s="45"/>
      <c r="E180" s="84"/>
      <c r="F180" s="84"/>
      <c r="G180" s="84"/>
      <c r="H180" s="84"/>
      <c r="I180" s="84"/>
      <c r="J180" s="78"/>
      <c r="L180" s="84"/>
      <c r="Q180" s="44" t="str">
        <f t="shared" si="5"/>
        <v/>
      </c>
      <c r="T180" s="16" t="str">
        <f t="shared" si="3"/>
        <v/>
      </c>
      <c r="V180" s="64" t="str">
        <f t="shared" si="4"/>
        <v/>
      </c>
      <c r="X180" s="65"/>
      <c r="AB180" s="43"/>
    </row>
    <row r="181" spans="1:28" x14ac:dyDescent="0.15">
      <c r="A181" s="84"/>
      <c r="B181" s="84"/>
      <c r="C181" s="84"/>
      <c r="D181" s="45"/>
      <c r="E181" s="84"/>
      <c r="F181" s="84"/>
      <c r="G181" s="84"/>
      <c r="H181" s="84"/>
      <c r="I181" s="84"/>
      <c r="J181" s="78"/>
      <c r="L181" s="84"/>
      <c r="Q181" s="44" t="str">
        <f t="shared" si="5"/>
        <v/>
      </c>
      <c r="T181" s="16" t="str">
        <f t="shared" si="3"/>
        <v/>
      </c>
      <c r="V181" s="64" t="str">
        <f t="shared" si="4"/>
        <v/>
      </c>
      <c r="X181" s="65"/>
      <c r="AB181" s="43"/>
    </row>
    <row r="182" spans="1:28" x14ac:dyDescent="0.15">
      <c r="A182" s="84"/>
      <c r="B182" s="84"/>
      <c r="C182" s="84"/>
      <c r="D182" s="45"/>
      <c r="E182" s="84"/>
      <c r="F182" s="84"/>
      <c r="G182" s="84"/>
      <c r="H182" s="84"/>
      <c r="I182" s="84"/>
      <c r="J182" s="78"/>
      <c r="L182" s="84"/>
      <c r="Q182" s="44" t="str">
        <f t="shared" si="5"/>
        <v/>
      </c>
      <c r="T182" s="16" t="str">
        <f t="shared" si="3"/>
        <v/>
      </c>
      <c r="V182" s="64" t="str">
        <f t="shared" si="4"/>
        <v/>
      </c>
      <c r="X182" s="65"/>
      <c r="AB182" s="43"/>
    </row>
    <row r="183" spans="1:28" x14ac:dyDescent="0.15">
      <c r="A183" s="84"/>
      <c r="B183" s="84"/>
      <c r="C183" s="84"/>
      <c r="D183" s="45"/>
      <c r="E183" s="84"/>
      <c r="F183" s="84"/>
      <c r="G183" s="84"/>
      <c r="H183" s="84"/>
      <c r="I183" s="84"/>
      <c r="J183" s="78"/>
      <c r="L183" s="84"/>
      <c r="Q183" s="44" t="str">
        <f t="shared" si="5"/>
        <v/>
      </c>
      <c r="T183" s="16" t="str">
        <f t="shared" si="3"/>
        <v/>
      </c>
      <c r="V183" s="64" t="str">
        <f t="shared" si="4"/>
        <v/>
      </c>
      <c r="X183" s="65"/>
      <c r="AB183" s="43"/>
    </row>
    <row r="184" spans="1:28" x14ac:dyDescent="0.15">
      <c r="A184" s="84"/>
      <c r="B184" s="84"/>
      <c r="C184" s="84"/>
      <c r="D184" s="45"/>
      <c r="E184" s="84"/>
      <c r="F184" s="84"/>
      <c r="G184" s="84"/>
      <c r="H184" s="84"/>
      <c r="I184" s="84"/>
      <c r="J184" s="78"/>
      <c r="L184" s="84"/>
      <c r="Q184" s="44" t="str">
        <f t="shared" si="5"/>
        <v/>
      </c>
      <c r="T184" s="16" t="str">
        <f t="shared" si="3"/>
        <v/>
      </c>
      <c r="V184" s="64" t="str">
        <f t="shared" si="4"/>
        <v/>
      </c>
      <c r="X184" s="65"/>
      <c r="AB184" s="43"/>
    </row>
    <row r="185" spans="1:28" x14ac:dyDescent="0.15">
      <c r="A185" s="84"/>
      <c r="B185" s="84"/>
      <c r="C185" s="84"/>
      <c r="D185" s="45"/>
      <c r="E185" s="84"/>
      <c r="F185" s="84"/>
      <c r="G185" s="84"/>
      <c r="H185" s="84"/>
      <c r="I185" s="84"/>
      <c r="J185" s="78"/>
      <c r="L185" s="84"/>
      <c r="Q185" s="44" t="str">
        <f t="shared" si="5"/>
        <v/>
      </c>
      <c r="T185" s="16" t="str">
        <f t="shared" si="3"/>
        <v/>
      </c>
      <c r="V185" s="64" t="str">
        <f t="shared" si="4"/>
        <v/>
      </c>
      <c r="X185" s="65"/>
      <c r="AB185" s="43"/>
    </row>
    <row r="186" spans="1:28" x14ac:dyDescent="0.15">
      <c r="A186" s="84"/>
      <c r="B186" s="84"/>
      <c r="C186" s="84"/>
      <c r="D186" s="45"/>
      <c r="E186" s="84"/>
      <c r="F186" s="84"/>
      <c r="G186" s="84"/>
      <c r="H186" s="84"/>
      <c r="I186" s="84"/>
      <c r="J186" s="78"/>
      <c r="L186" s="84"/>
      <c r="Q186" s="44" t="str">
        <f t="shared" si="5"/>
        <v/>
      </c>
      <c r="T186" s="16" t="str">
        <f t="shared" si="3"/>
        <v/>
      </c>
      <c r="V186" s="64" t="str">
        <f t="shared" si="4"/>
        <v/>
      </c>
      <c r="X186" s="65"/>
      <c r="AB186" s="43"/>
    </row>
    <row r="187" spans="1:28" x14ac:dyDescent="0.15">
      <c r="A187" s="84"/>
      <c r="B187" s="84"/>
      <c r="C187" s="84"/>
      <c r="D187" s="45"/>
      <c r="E187" s="84"/>
      <c r="F187" s="84"/>
      <c r="G187" s="84"/>
      <c r="H187" s="84"/>
      <c r="I187" s="84"/>
      <c r="J187" s="78"/>
      <c r="L187" s="84"/>
      <c r="Q187" s="44" t="str">
        <f t="shared" si="5"/>
        <v/>
      </c>
      <c r="T187" s="16" t="str">
        <f t="shared" si="3"/>
        <v/>
      </c>
      <c r="V187" s="64" t="str">
        <f t="shared" si="4"/>
        <v/>
      </c>
      <c r="X187" s="65"/>
      <c r="AB187" s="43"/>
    </row>
    <row r="188" spans="1:28" x14ac:dyDescent="0.15">
      <c r="A188" s="84"/>
      <c r="B188" s="84"/>
      <c r="C188" s="84"/>
      <c r="D188" s="45"/>
      <c r="E188" s="84"/>
      <c r="F188" s="84"/>
      <c r="G188" s="84"/>
      <c r="H188" s="84"/>
      <c r="I188" s="84"/>
      <c r="J188" s="78"/>
      <c r="L188" s="84"/>
      <c r="Q188" s="44" t="str">
        <f t="shared" si="5"/>
        <v/>
      </c>
      <c r="T188" s="16" t="str">
        <f t="shared" si="3"/>
        <v/>
      </c>
      <c r="V188" s="64" t="str">
        <f t="shared" si="4"/>
        <v/>
      </c>
      <c r="AB188" s="43"/>
    </row>
    <row r="189" spans="1:28" x14ac:dyDescent="0.15">
      <c r="A189" s="84"/>
      <c r="B189" s="84"/>
      <c r="C189" s="84"/>
      <c r="D189" s="45"/>
      <c r="E189" s="84"/>
      <c r="F189" s="84"/>
      <c r="G189" s="84"/>
      <c r="H189" s="84"/>
      <c r="I189" s="84"/>
      <c r="J189" s="78"/>
      <c r="L189" s="84"/>
      <c r="Q189" s="44" t="str">
        <f t="shared" si="5"/>
        <v/>
      </c>
      <c r="T189" s="16" t="str">
        <f t="shared" si="3"/>
        <v/>
      </c>
      <c r="V189" s="64" t="str">
        <f t="shared" si="4"/>
        <v/>
      </c>
      <c r="AB189" s="43"/>
    </row>
    <row r="190" spans="1:28" x14ac:dyDescent="0.15">
      <c r="A190" s="84"/>
      <c r="B190" s="84"/>
      <c r="C190" s="84"/>
      <c r="D190" s="45"/>
      <c r="E190" s="84"/>
      <c r="F190" s="84"/>
      <c r="G190" s="84"/>
      <c r="H190" s="84"/>
      <c r="I190" s="84"/>
      <c r="J190" s="78"/>
      <c r="L190" s="84"/>
      <c r="Q190" s="44" t="str">
        <f t="shared" si="5"/>
        <v/>
      </c>
      <c r="T190" s="16" t="str">
        <f t="shared" si="3"/>
        <v/>
      </c>
      <c r="V190" s="64" t="str">
        <f t="shared" si="4"/>
        <v/>
      </c>
      <c r="AB190" s="43"/>
    </row>
    <row r="191" spans="1:28" x14ac:dyDescent="0.15">
      <c r="A191" s="84"/>
      <c r="B191" s="84"/>
      <c r="C191" s="84"/>
      <c r="D191" s="45"/>
      <c r="E191" s="84"/>
      <c r="F191" s="84"/>
      <c r="G191" s="84"/>
      <c r="H191" s="84"/>
      <c r="I191" s="84"/>
      <c r="J191" s="78"/>
      <c r="L191" s="84"/>
      <c r="Q191" s="44" t="str">
        <f t="shared" si="5"/>
        <v/>
      </c>
      <c r="T191" s="16" t="str">
        <f t="shared" si="3"/>
        <v/>
      </c>
      <c r="V191" s="64" t="str">
        <f t="shared" si="4"/>
        <v/>
      </c>
      <c r="AB191" s="43"/>
    </row>
    <row r="192" spans="1:28" x14ac:dyDescent="0.15">
      <c r="A192" s="84"/>
      <c r="B192" s="84"/>
      <c r="C192" s="84"/>
      <c r="D192" s="45"/>
      <c r="E192" s="84"/>
      <c r="F192" s="84"/>
      <c r="G192" s="84"/>
      <c r="H192" s="84"/>
      <c r="I192" s="84"/>
      <c r="J192" s="78"/>
      <c r="L192" s="84"/>
      <c r="Q192" s="44" t="str">
        <f t="shared" si="5"/>
        <v/>
      </c>
      <c r="T192" s="16" t="str">
        <f t="shared" si="3"/>
        <v/>
      </c>
      <c r="V192" s="64" t="str">
        <f t="shared" si="4"/>
        <v/>
      </c>
      <c r="AB192" s="43"/>
    </row>
    <row r="193" spans="1:28" x14ac:dyDescent="0.15">
      <c r="A193" s="84"/>
      <c r="B193" s="84"/>
      <c r="C193" s="84"/>
      <c r="D193" s="45"/>
      <c r="E193" s="84"/>
      <c r="F193" s="84"/>
      <c r="G193" s="84"/>
      <c r="H193" s="84"/>
      <c r="I193" s="84"/>
      <c r="J193" s="78"/>
      <c r="L193" s="84"/>
      <c r="Q193" s="44" t="str">
        <f t="shared" si="5"/>
        <v/>
      </c>
      <c r="T193" s="16" t="str">
        <f t="shared" si="3"/>
        <v/>
      </c>
      <c r="V193" s="64" t="str">
        <f t="shared" si="4"/>
        <v/>
      </c>
      <c r="AB193" s="43"/>
    </row>
    <row r="194" spans="1:28" x14ac:dyDescent="0.15">
      <c r="A194" s="84"/>
      <c r="B194" s="84"/>
      <c r="C194" s="84"/>
      <c r="D194" s="45"/>
      <c r="E194" s="84"/>
      <c r="F194" s="84"/>
      <c r="G194" s="84"/>
      <c r="H194" s="84"/>
      <c r="I194" s="84"/>
      <c r="J194" s="78"/>
      <c r="L194" s="84"/>
      <c r="Q194" s="44" t="str">
        <f t="shared" si="5"/>
        <v/>
      </c>
      <c r="T194" s="16" t="str">
        <f t="shared" si="3"/>
        <v/>
      </c>
      <c r="V194" s="64" t="str">
        <f t="shared" si="4"/>
        <v/>
      </c>
      <c r="AB194" s="43"/>
    </row>
    <row r="195" spans="1:28" x14ac:dyDescent="0.15">
      <c r="A195" s="84"/>
      <c r="B195" s="84"/>
      <c r="C195" s="84"/>
      <c r="D195" s="45"/>
      <c r="E195" s="84"/>
      <c r="F195" s="84"/>
      <c r="G195" s="84"/>
      <c r="H195" s="84"/>
      <c r="I195" s="84"/>
      <c r="J195" s="78"/>
      <c r="L195" s="84"/>
      <c r="Q195" s="44" t="str">
        <f t="shared" si="5"/>
        <v/>
      </c>
      <c r="T195" s="16" t="str">
        <f t="shared" si="3"/>
        <v/>
      </c>
      <c r="V195" s="64" t="str">
        <f t="shared" si="4"/>
        <v/>
      </c>
      <c r="AB195" s="43"/>
    </row>
    <row r="196" spans="1:28" x14ac:dyDescent="0.15">
      <c r="A196" s="84"/>
      <c r="B196" s="84"/>
      <c r="C196" s="84"/>
      <c r="D196" s="45"/>
      <c r="E196" s="84"/>
      <c r="F196" s="84"/>
      <c r="G196" s="84"/>
      <c r="H196" s="84"/>
      <c r="I196" s="84"/>
      <c r="J196" s="78"/>
      <c r="L196" s="84"/>
      <c r="Q196" s="44" t="str">
        <f t="shared" si="5"/>
        <v/>
      </c>
      <c r="T196" s="16" t="str">
        <f t="shared" si="3"/>
        <v/>
      </c>
      <c r="V196" s="64" t="str">
        <f t="shared" si="4"/>
        <v/>
      </c>
      <c r="AB196" s="43"/>
    </row>
    <row r="197" spans="1:28" x14ac:dyDescent="0.15">
      <c r="A197" s="84"/>
      <c r="B197" s="84"/>
      <c r="C197" s="84"/>
      <c r="D197" s="45"/>
      <c r="E197" s="84"/>
      <c r="F197" s="84"/>
      <c r="G197" s="84"/>
      <c r="H197" s="84"/>
      <c r="I197" s="84"/>
      <c r="J197" s="78"/>
      <c r="L197" s="84"/>
      <c r="Q197" s="44" t="str">
        <f t="shared" si="5"/>
        <v/>
      </c>
      <c r="T197" s="16" t="str">
        <f t="shared" si="3"/>
        <v/>
      </c>
      <c r="V197" s="64" t="str">
        <f t="shared" si="4"/>
        <v/>
      </c>
      <c r="AB197" s="43"/>
    </row>
    <row r="198" spans="1:28" x14ac:dyDescent="0.15">
      <c r="A198" s="84"/>
      <c r="B198" s="84"/>
      <c r="C198" s="84"/>
      <c r="D198" s="45"/>
      <c r="E198" s="84"/>
      <c r="F198" s="84"/>
      <c r="G198" s="84"/>
      <c r="H198" s="84"/>
      <c r="I198" s="84"/>
      <c r="J198" s="78"/>
      <c r="L198" s="84"/>
      <c r="Q198" s="44" t="str">
        <f t="shared" si="5"/>
        <v/>
      </c>
      <c r="T198" s="16" t="str">
        <f t="shared" si="3"/>
        <v/>
      </c>
      <c r="V198" s="64" t="str">
        <f t="shared" si="4"/>
        <v/>
      </c>
      <c r="AB198" s="43"/>
    </row>
    <row r="199" spans="1:28" x14ac:dyDescent="0.15">
      <c r="A199" s="84"/>
      <c r="B199" s="84"/>
      <c r="C199" s="84"/>
      <c r="D199" s="45"/>
      <c r="E199" s="84"/>
      <c r="F199" s="84"/>
      <c r="G199" s="84"/>
      <c r="H199" s="84"/>
      <c r="I199" s="84"/>
      <c r="J199" s="78"/>
      <c r="L199" s="84"/>
      <c r="Q199" s="44" t="str">
        <f t="shared" si="5"/>
        <v/>
      </c>
      <c r="T199" s="16" t="str">
        <f t="shared" si="3"/>
        <v/>
      </c>
      <c r="V199" s="64" t="str">
        <f t="shared" si="4"/>
        <v/>
      </c>
      <c r="AB199" s="43"/>
    </row>
    <row r="200" spans="1:28" x14ac:dyDescent="0.15">
      <c r="A200" s="84"/>
      <c r="B200" s="84"/>
      <c r="C200" s="84"/>
      <c r="D200" s="45"/>
      <c r="E200" s="84"/>
      <c r="F200" s="84"/>
      <c r="G200" s="84"/>
      <c r="H200" s="84"/>
      <c r="I200" s="84"/>
      <c r="J200" s="78"/>
      <c r="L200" s="84"/>
      <c r="Q200" s="44" t="str">
        <f t="shared" si="5"/>
        <v/>
      </c>
      <c r="T200" s="16" t="str">
        <f t="shared" si="3"/>
        <v/>
      </c>
      <c r="V200" s="64" t="str">
        <f t="shared" si="4"/>
        <v/>
      </c>
      <c r="AB200" s="43"/>
    </row>
    <row r="201" spans="1:28" x14ac:dyDescent="0.15">
      <c r="A201" s="84"/>
      <c r="B201" s="84"/>
      <c r="C201" s="84"/>
      <c r="D201" s="45"/>
      <c r="E201" s="84"/>
      <c r="F201" s="84"/>
      <c r="G201" s="84"/>
      <c r="H201" s="84"/>
      <c r="I201" s="84"/>
      <c r="J201" s="78"/>
      <c r="L201" s="84"/>
      <c r="Q201" s="44" t="str">
        <f t="shared" si="5"/>
        <v/>
      </c>
      <c r="T201" s="16" t="str">
        <f t="shared" si="3"/>
        <v/>
      </c>
      <c r="V201" s="64" t="str">
        <f t="shared" si="4"/>
        <v/>
      </c>
      <c r="AB201" s="43"/>
    </row>
    <row r="202" spans="1:28" x14ac:dyDescent="0.15">
      <c r="A202" s="84"/>
      <c r="B202" s="84"/>
      <c r="C202" s="84"/>
      <c r="D202" s="45"/>
      <c r="E202" s="84"/>
      <c r="F202" s="84"/>
      <c r="G202" s="84"/>
      <c r="H202" s="84"/>
      <c r="I202" s="84"/>
      <c r="J202" s="78"/>
      <c r="L202" s="84"/>
      <c r="Q202" s="44" t="str">
        <f t="shared" si="5"/>
        <v/>
      </c>
      <c r="T202" s="16" t="str">
        <f t="shared" si="3"/>
        <v/>
      </c>
      <c r="V202" s="64" t="str">
        <f t="shared" si="4"/>
        <v/>
      </c>
      <c r="AB202" s="43"/>
    </row>
    <row r="203" spans="1:28" x14ac:dyDescent="0.15">
      <c r="A203" s="84"/>
      <c r="B203" s="84"/>
      <c r="C203" s="84"/>
      <c r="D203" s="45"/>
      <c r="E203" s="84"/>
      <c r="F203" s="84"/>
      <c r="G203" s="84"/>
      <c r="H203" s="84"/>
      <c r="I203" s="84"/>
      <c r="J203" s="78"/>
      <c r="L203" s="84"/>
      <c r="Q203" s="44" t="str">
        <f t="shared" si="5"/>
        <v/>
      </c>
      <c r="T203" s="16" t="str">
        <f t="shared" si="3"/>
        <v/>
      </c>
      <c r="V203" s="64" t="str">
        <f t="shared" si="4"/>
        <v/>
      </c>
      <c r="AB203" s="43"/>
    </row>
    <row r="204" spans="1:28" x14ac:dyDescent="0.15">
      <c r="A204" s="84"/>
      <c r="B204" s="84"/>
      <c r="C204" s="84"/>
      <c r="D204" s="45"/>
      <c r="E204" s="84"/>
      <c r="F204" s="84"/>
      <c r="G204" s="84"/>
      <c r="H204" s="84"/>
      <c r="I204" s="84"/>
      <c r="J204" s="78"/>
      <c r="L204" s="84"/>
      <c r="Q204" s="44" t="str">
        <f t="shared" si="5"/>
        <v/>
      </c>
      <c r="T204" s="16" t="str">
        <f t="shared" si="3"/>
        <v/>
      </c>
      <c r="V204" s="64" t="str">
        <f t="shared" si="4"/>
        <v/>
      </c>
      <c r="AB204" s="43"/>
    </row>
    <row r="205" spans="1:28" x14ac:dyDescent="0.15">
      <c r="A205" s="84"/>
      <c r="B205" s="84"/>
      <c r="C205" s="84"/>
      <c r="D205" s="45"/>
      <c r="E205" s="84"/>
      <c r="F205" s="84"/>
      <c r="G205" s="84"/>
      <c r="H205" s="84"/>
      <c r="I205" s="84"/>
      <c r="J205" s="78"/>
      <c r="L205" s="84"/>
      <c r="Q205" s="44" t="str">
        <f t="shared" si="5"/>
        <v/>
      </c>
      <c r="T205" s="16" t="str">
        <f t="shared" si="3"/>
        <v/>
      </c>
      <c r="V205" s="64" t="str">
        <f t="shared" si="4"/>
        <v/>
      </c>
      <c r="AB205" s="43"/>
    </row>
    <row r="206" spans="1:28" x14ac:dyDescent="0.15">
      <c r="A206" s="84"/>
      <c r="B206" s="84"/>
      <c r="C206" s="84"/>
      <c r="D206" s="45"/>
      <c r="E206" s="84"/>
      <c r="F206" s="84"/>
      <c r="G206" s="84"/>
      <c r="H206" s="84"/>
      <c r="I206" s="84"/>
      <c r="J206" s="78"/>
      <c r="L206" s="84"/>
      <c r="Q206" s="44" t="str">
        <f t="shared" si="5"/>
        <v/>
      </c>
      <c r="T206" s="16" t="str">
        <f t="shared" si="3"/>
        <v/>
      </c>
      <c r="V206" s="64" t="str">
        <f t="shared" si="4"/>
        <v/>
      </c>
      <c r="AB206" s="43"/>
    </row>
    <row r="207" spans="1:28" x14ac:dyDescent="0.15">
      <c r="A207" s="84"/>
      <c r="B207" s="84"/>
      <c r="C207" s="84"/>
      <c r="D207" s="45"/>
      <c r="E207" s="84"/>
      <c r="F207" s="84"/>
      <c r="G207" s="84"/>
      <c r="H207" s="84"/>
      <c r="I207" s="84"/>
      <c r="J207" s="78"/>
      <c r="L207" s="84"/>
      <c r="Q207" s="44" t="str">
        <f t="shared" si="5"/>
        <v/>
      </c>
      <c r="T207" s="16" t="str">
        <f t="shared" si="3"/>
        <v/>
      </c>
      <c r="V207" s="64" t="str">
        <f t="shared" si="4"/>
        <v/>
      </c>
      <c r="AB207" s="43"/>
    </row>
    <row r="208" spans="1:28" x14ac:dyDescent="0.15">
      <c r="A208" s="84"/>
      <c r="B208" s="84"/>
      <c r="C208" s="84"/>
      <c r="D208" s="45"/>
      <c r="E208" s="84"/>
      <c r="F208" s="84"/>
      <c r="G208" s="84"/>
      <c r="H208" s="84"/>
      <c r="I208" s="84"/>
      <c r="J208" s="78"/>
      <c r="L208" s="84"/>
      <c r="Q208" s="44" t="str">
        <f t="shared" si="5"/>
        <v/>
      </c>
      <c r="T208" s="16" t="str">
        <f t="shared" si="3"/>
        <v/>
      </c>
      <c r="V208" s="64" t="str">
        <f t="shared" si="4"/>
        <v/>
      </c>
      <c r="AB208" s="43"/>
    </row>
    <row r="209" spans="1:28" x14ac:dyDescent="0.15">
      <c r="A209" s="84"/>
      <c r="B209" s="84"/>
      <c r="C209" s="84"/>
      <c r="D209" s="45"/>
      <c r="E209" s="84"/>
      <c r="F209" s="84"/>
      <c r="G209" s="84"/>
      <c r="H209" s="84"/>
      <c r="I209" s="84"/>
      <c r="J209" s="78"/>
      <c r="L209" s="84"/>
      <c r="Q209" s="44" t="str">
        <f t="shared" si="5"/>
        <v/>
      </c>
      <c r="T209" s="16" t="str">
        <f t="shared" si="3"/>
        <v/>
      </c>
      <c r="V209" s="64" t="str">
        <f t="shared" si="4"/>
        <v/>
      </c>
      <c r="AB209" s="43"/>
    </row>
    <row r="210" spans="1:28" x14ac:dyDescent="0.15">
      <c r="A210" s="84"/>
      <c r="B210" s="84"/>
      <c r="C210" s="84"/>
      <c r="D210" s="45"/>
      <c r="E210" s="84"/>
      <c r="F210" s="84"/>
      <c r="G210" s="84"/>
      <c r="H210" s="84"/>
      <c r="I210" s="84"/>
      <c r="J210" s="78"/>
      <c r="L210" s="84"/>
      <c r="Q210" s="44" t="str">
        <f t="shared" si="5"/>
        <v/>
      </c>
      <c r="T210" s="16" t="str">
        <f t="shared" si="3"/>
        <v/>
      </c>
      <c r="V210" s="64" t="str">
        <f t="shared" si="4"/>
        <v/>
      </c>
      <c r="AB210" s="43"/>
    </row>
    <row r="211" spans="1:28" x14ac:dyDescent="0.15">
      <c r="A211" s="84"/>
      <c r="B211" s="84"/>
      <c r="C211" s="84"/>
      <c r="D211" s="45"/>
      <c r="E211" s="84"/>
      <c r="F211" s="84"/>
      <c r="G211" s="84"/>
      <c r="H211" s="84"/>
      <c r="I211" s="84"/>
      <c r="J211" s="78"/>
      <c r="L211" s="84"/>
      <c r="Q211" s="44" t="str">
        <f t="shared" si="5"/>
        <v/>
      </c>
      <c r="T211" s="16" t="str">
        <f t="shared" si="3"/>
        <v/>
      </c>
      <c r="V211" s="64" t="str">
        <f t="shared" si="4"/>
        <v/>
      </c>
      <c r="AB211" s="43"/>
    </row>
    <row r="212" spans="1:28" x14ac:dyDescent="0.15">
      <c r="A212" s="84"/>
      <c r="B212" s="84"/>
      <c r="C212" s="84"/>
      <c r="D212" s="45"/>
      <c r="E212" s="84"/>
      <c r="F212" s="84"/>
      <c r="G212" s="84"/>
      <c r="H212" s="84"/>
      <c r="I212" s="84"/>
      <c r="J212" s="78"/>
      <c r="L212" s="84"/>
      <c r="Q212" s="44" t="str">
        <f t="shared" si="5"/>
        <v/>
      </c>
      <c r="T212" s="16" t="str">
        <f t="shared" si="3"/>
        <v/>
      </c>
      <c r="V212" s="64" t="str">
        <f t="shared" si="4"/>
        <v/>
      </c>
      <c r="AB212" s="43"/>
    </row>
    <row r="213" spans="1:28" x14ac:dyDescent="0.15">
      <c r="A213" s="84"/>
      <c r="B213" s="84"/>
      <c r="C213" s="84"/>
      <c r="D213" s="45"/>
      <c r="E213" s="84"/>
      <c r="F213" s="84"/>
      <c r="G213" s="84"/>
      <c r="H213" s="84"/>
      <c r="I213" s="84"/>
      <c r="J213" s="78"/>
      <c r="L213" s="84"/>
      <c r="Q213" s="44" t="str">
        <f t="shared" si="5"/>
        <v/>
      </c>
      <c r="T213" s="16" t="str">
        <f t="shared" si="3"/>
        <v/>
      </c>
      <c r="V213" s="64" t="str">
        <f t="shared" si="4"/>
        <v/>
      </c>
      <c r="AB213" s="43"/>
    </row>
    <row r="214" spans="1:28" x14ac:dyDescent="0.15">
      <c r="A214" s="84"/>
      <c r="B214" s="84"/>
      <c r="C214" s="84"/>
      <c r="D214" s="45"/>
      <c r="E214" s="84"/>
      <c r="F214" s="84"/>
      <c r="G214" s="84"/>
      <c r="H214" s="84"/>
      <c r="I214" s="84"/>
      <c r="J214" s="78"/>
      <c r="L214" s="84"/>
      <c r="Q214" s="44" t="str">
        <f t="shared" si="5"/>
        <v/>
      </c>
      <c r="T214" s="16" t="str">
        <f t="shared" si="3"/>
        <v/>
      </c>
      <c r="V214" s="64" t="str">
        <f t="shared" si="4"/>
        <v/>
      </c>
      <c r="AB214" s="43"/>
    </row>
    <row r="215" spans="1:28" x14ac:dyDescent="0.15">
      <c r="A215" s="84"/>
      <c r="B215" s="84"/>
      <c r="C215" s="84"/>
      <c r="D215" s="45"/>
      <c r="E215" s="84"/>
      <c r="F215" s="84"/>
      <c r="G215" s="84"/>
      <c r="H215" s="84"/>
      <c r="I215" s="84"/>
      <c r="J215" s="78"/>
      <c r="L215" s="84"/>
      <c r="Q215" s="44" t="str">
        <f t="shared" si="5"/>
        <v/>
      </c>
      <c r="T215" s="16" t="str">
        <f t="shared" si="3"/>
        <v/>
      </c>
      <c r="V215" s="64" t="str">
        <f t="shared" si="4"/>
        <v/>
      </c>
      <c r="AB215" s="43"/>
    </row>
    <row r="216" spans="1:28" x14ac:dyDescent="0.15">
      <c r="A216" s="84"/>
      <c r="B216" s="84"/>
      <c r="C216" s="84"/>
      <c r="D216" s="45"/>
      <c r="E216" s="84"/>
      <c r="F216" s="84"/>
      <c r="G216" s="84"/>
      <c r="H216" s="84"/>
      <c r="I216" s="84"/>
      <c r="J216" s="78"/>
      <c r="L216" s="84"/>
      <c r="Q216" s="44" t="str">
        <f t="shared" si="5"/>
        <v/>
      </c>
      <c r="T216" s="16" t="str">
        <f t="shared" si="3"/>
        <v/>
      </c>
      <c r="V216" s="64" t="str">
        <f t="shared" si="4"/>
        <v/>
      </c>
      <c r="AB216" s="43"/>
    </row>
    <row r="217" spans="1:28" x14ac:dyDescent="0.15">
      <c r="A217" s="84"/>
      <c r="B217" s="84"/>
      <c r="C217" s="84"/>
      <c r="D217" s="45"/>
      <c r="E217" s="84"/>
      <c r="F217" s="84"/>
      <c r="G217" s="84"/>
      <c r="H217" s="84"/>
      <c r="I217" s="84"/>
      <c r="J217" s="78"/>
      <c r="L217" s="84"/>
      <c r="Q217" s="44" t="str">
        <f t="shared" si="5"/>
        <v/>
      </c>
      <c r="T217" s="16" t="str">
        <f t="shared" si="3"/>
        <v/>
      </c>
      <c r="V217" s="64" t="str">
        <f t="shared" si="4"/>
        <v/>
      </c>
      <c r="AB217" s="43"/>
    </row>
    <row r="218" spans="1:28" x14ac:dyDescent="0.15">
      <c r="A218" s="84"/>
      <c r="B218" s="84"/>
      <c r="C218" s="84"/>
      <c r="D218" s="45"/>
      <c r="E218" s="84"/>
      <c r="F218" s="84"/>
      <c r="G218" s="84"/>
      <c r="H218" s="84"/>
      <c r="I218" s="84"/>
      <c r="J218" s="78"/>
      <c r="L218" s="84"/>
      <c r="Q218" s="44" t="str">
        <f t="shared" si="5"/>
        <v/>
      </c>
      <c r="T218" s="16" t="str">
        <f t="shared" si="3"/>
        <v/>
      </c>
      <c r="V218" s="64" t="str">
        <f t="shared" si="4"/>
        <v/>
      </c>
      <c r="AB218" s="43"/>
    </row>
    <row r="219" spans="1:28" x14ac:dyDescent="0.15">
      <c r="A219" s="84"/>
      <c r="B219" s="84"/>
      <c r="C219" s="84"/>
      <c r="D219" s="45"/>
      <c r="E219" s="84"/>
      <c r="F219" s="84"/>
      <c r="G219" s="84"/>
      <c r="H219" s="84"/>
      <c r="I219" s="84"/>
      <c r="J219" s="78"/>
      <c r="L219" s="84"/>
      <c r="Q219" s="44" t="str">
        <f t="shared" si="5"/>
        <v/>
      </c>
      <c r="T219" s="16" t="str">
        <f t="shared" si="3"/>
        <v/>
      </c>
      <c r="V219" s="64" t="str">
        <f t="shared" si="4"/>
        <v/>
      </c>
      <c r="AB219" s="43"/>
    </row>
    <row r="220" spans="1:28" x14ac:dyDescent="0.15">
      <c r="A220" s="84"/>
      <c r="B220" s="84"/>
      <c r="C220" s="84"/>
      <c r="D220" s="45"/>
      <c r="E220" s="84"/>
      <c r="F220" s="84"/>
      <c r="G220" s="84"/>
      <c r="H220" s="84"/>
      <c r="I220" s="84"/>
      <c r="J220" s="78"/>
      <c r="L220" s="84"/>
      <c r="Q220" s="44" t="str">
        <f t="shared" si="5"/>
        <v/>
      </c>
      <c r="T220" s="16" t="str">
        <f t="shared" si="3"/>
        <v/>
      </c>
      <c r="V220" s="64" t="str">
        <f t="shared" si="4"/>
        <v/>
      </c>
      <c r="AB220" s="43"/>
    </row>
    <row r="221" spans="1:28" x14ac:dyDescent="0.15">
      <c r="A221" s="89"/>
      <c r="B221" s="90"/>
      <c r="C221" s="90"/>
      <c r="D221" s="91"/>
      <c r="E221" s="90"/>
      <c r="F221" s="90"/>
      <c r="G221" s="90"/>
      <c r="H221" s="90"/>
      <c r="I221" s="90"/>
      <c r="J221" s="78"/>
      <c r="Q221" s="44"/>
    </row>
    <row r="222" spans="1:28" x14ac:dyDescent="0.15">
      <c r="A222" s="89"/>
      <c r="B222" s="90"/>
      <c r="C222" s="90"/>
      <c r="D222" s="91"/>
      <c r="E222" s="90"/>
      <c r="F222" s="90"/>
      <c r="G222" s="90"/>
      <c r="H222" s="90"/>
      <c r="I222" s="90"/>
      <c r="J222" s="78"/>
      <c r="Q222" s="44"/>
    </row>
    <row r="223" spans="1:28" x14ac:dyDescent="0.15">
      <c r="A223" s="89"/>
      <c r="B223" s="90"/>
      <c r="C223" s="90"/>
      <c r="D223" s="91"/>
      <c r="E223" s="90"/>
      <c r="F223" s="90"/>
      <c r="G223" s="90"/>
      <c r="H223" s="90"/>
      <c r="I223" s="90"/>
      <c r="J223" s="78"/>
      <c r="Q223" s="44"/>
    </row>
    <row r="224" spans="1:28" x14ac:dyDescent="0.15">
      <c r="A224" s="89"/>
      <c r="B224" s="90"/>
      <c r="C224" s="90"/>
      <c r="D224" s="91"/>
      <c r="E224" s="90"/>
      <c r="F224" s="90"/>
      <c r="G224" s="90"/>
      <c r="H224" s="90"/>
      <c r="I224" s="90"/>
      <c r="J224" s="78"/>
      <c r="Q224" s="44"/>
    </row>
    <row r="225" spans="1:17" x14ac:dyDescent="0.15">
      <c r="A225" s="89"/>
      <c r="B225" s="90"/>
      <c r="C225" s="90"/>
      <c r="D225" s="91"/>
      <c r="E225" s="90"/>
      <c r="F225" s="90"/>
      <c r="G225" s="90"/>
      <c r="H225" s="90"/>
      <c r="I225" s="90"/>
      <c r="J225" s="78"/>
      <c r="Q225" s="44"/>
    </row>
    <row r="226" spans="1:17" x14ac:dyDescent="0.15">
      <c r="A226" s="89"/>
      <c r="B226" s="90"/>
      <c r="C226" s="90"/>
      <c r="D226" s="91"/>
      <c r="E226" s="90"/>
      <c r="F226" s="90"/>
      <c r="G226" s="90"/>
      <c r="H226" s="90"/>
      <c r="I226" s="90"/>
      <c r="J226" s="78"/>
      <c r="Q226" s="44"/>
    </row>
    <row r="227" spans="1:17" x14ac:dyDescent="0.15">
      <c r="A227" s="89"/>
      <c r="B227" s="90"/>
      <c r="C227" s="90"/>
      <c r="D227" s="91"/>
      <c r="E227" s="90"/>
      <c r="F227" s="90"/>
      <c r="G227" s="90"/>
      <c r="H227" s="90"/>
      <c r="I227" s="90"/>
      <c r="J227" s="78"/>
      <c r="Q227" s="44"/>
    </row>
    <row r="228" spans="1:17" x14ac:dyDescent="0.15">
      <c r="A228" s="89"/>
      <c r="B228" s="90"/>
      <c r="C228" s="90"/>
      <c r="D228" s="91"/>
      <c r="E228" s="90"/>
      <c r="F228" s="90"/>
      <c r="G228" s="90"/>
      <c r="H228" s="90"/>
      <c r="I228" s="90"/>
      <c r="J228" s="78"/>
      <c r="Q228" s="44"/>
    </row>
    <row r="229" spans="1:17" x14ac:dyDescent="0.15">
      <c r="A229" s="89"/>
      <c r="B229" s="90"/>
      <c r="C229" s="90"/>
      <c r="D229" s="91"/>
      <c r="E229" s="90"/>
      <c r="F229" s="90"/>
      <c r="G229" s="90"/>
      <c r="H229" s="90"/>
      <c r="I229" s="90"/>
      <c r="J229" s="78"/>
      <c r="Q229" s="44"/>
    </row>
    <row r="230" spans="1:17" x14ac:dyDescent="0.15">
      <c r="A230" s="89"/>
      <c r="B230" s="90"/>
      <c r="C230" s="90"/>
      <c r="D230" s="91"/>
      <c r="E230" s="90"/>
      <c r="F230" s="90"/>
      <c r="G230" s="90"/>
      <c r="H230" s="90"/>
      <c r="I230" s="90"/>
      <c r="J230" s="78"/>
      <c r="Q230" s="44"/>
    </row>
    <row r="231" spans="1:17" x14ac:dyDescent="0.15">
      <c r="A231" s="89"/>
      <c r="B231" s="90"/>
      <c r="C231" s="90"/>
      <c r="D231" s="91"/>
      <c r="E231" s="90"/>
      <c r="F231" s="90"/>
      <c r="G231" s="90"/>
      <c r="H231" s="90"/>
      <c r="I231" s="90"/>
      <c r="J231" s="78"/>
      <c r="Q231" s="44"/>
    </row>
    <row r="232" spans="1:17" x14ac:dyDescent="0.15">
      <c r="A232" s="89"/>
      <c r="B232" s="90"/>
      <c r="C232" s="90"/>
      <c r="D232" s="91"/>
      <c r="E232" s="90"/>
      <c r="F232" s="90"/>
      <c r="G232" s="90"/>
      <c r="H232" s="90"/>
      <c r="I232" s="90"/>
      <c r="J232" s="78"/>
      <c r="Q232" s="44"/>
    </row>
    <row r="233" spans="1:17" x14ac:dyDescent="0.15">
      <c r="A233" s="89"/>
      <c r="B233" s="90"/>
      <c r="C233" s="90"/>
      <c r="D233" s="91"/>
      <c r="E233" s="90"/>
      <c r="F233" s="90"/>
      <c r="G233" s="90"/>
      <c r="H233" s="90"/>
      <c r="I233" s="90"/>
      <c r="J233" s="78"/>
      <c r="Q233" s="44"/>
    </row>
    <row r="234" spans="1:17" x14ac:dyDescent="0.15">
      <c r="A234" s="89"/>
      <c r="B234" s="90"/>
      <c r="C234" s="90"/>
      <c r="D234" s="91"/>
      <c r="E234" s="90"/>
      <c r="F234" s="90"/>
      <c r="G234" s="90"/>
      <c r="H234" s="90"/>
      <c r="I234" s="90"/>
      <c r="J234" s="78"/>
      <c r="Q234" s="44"/>
    </row>
    <row r="235" spans="1:17" x14ac:dyDescent="0.15">
      <c r="A235" s="89"/>
      <c r="B235" s="90"/>
      <c r="C235" s="90"/>
      <c r="D235" s="91"/>
      <c r="E235" s="90"/>
      <c r="F235" s="90"/>
      <c r="G235" s="90"/>
      <c r="H235" s="90"/>
      <c r="I235" s="90"/>
      <c r="J235" s="78"/>
      <c r="Q235" s="44"/>
    </row>
    <row r="236" spans="1:17" x14ac:dyDescent="0.15">
      <c r="A236" s="89"/>
      <c r="B236" s="90"/>
      <c r="C236" s="90"/>
      <c r="D236" s="91"/>
      <c r="E236" s="90"/>
      <c r="F236" s="90"/>
      <c r="G236" s="90"/>
      <c r="H236" s="90"/>
      <c r="I236" s="90"/>
      <c r="J236" s="78"/>
      <c r="Q236" s="44"/>
    </row>
    <row r="237" spans="1:17" x14ac:dyDescent="0.15">
      <c r="A237" s="89"/>
      <c r="B237" s="90"/>
      <c r="C237" s="90"/>
      <c r="D237" s="91"/>
      <c r="E237" s="90"/>
      <c r="F237" s="90"/>
      <c r="G237" s="90"/>
      <c r="H237" s="90"/>
      <c r="I237" s="90"/>
      <c r="J237" s="78"/>
      <c r="Q237" s="44"/>
    </row>
    <row r="238" spans="1:17" x14ac:dyDescent="0.15">
      <c r="A238" s="89"/>
      <c r="B238" s="90"/>
      <c r="C238" s="90"/>
      <c r="D238" s="91"/>
      <c r="E238" s="90"/>
      <c r="F238" s="90"/>
      <c r="G238" s="90"/>
      <c r="H238" s="90"/>
      <c r="I238" s="90"/>
      <c r="J238" s="78"/>
      <c r="Q238" s="44"/>
    </row>
    <row r="239" spans="1:17" x14ac:dyDescent="0.15">
      <c r="A239" s="89"/>
      <c r="B239" s="90"/>
      <c r="C239" s="90"/>
      <c r="D239" s="91"/>
      <c r="E239" s="90"/>
      <c r="F239" s="90"/>
      <c r="G239" s="90"/>
      <c r="H239" s="90"/>
      <c r="I239" s="90"/>
      <c r="J239" s="78"/>
      <c r="Q239" s="44"/>
    </row>
    <row r="240" spans="1:17" x14ac:dyDescent="0.15">
      <c r="A240" s="89"/>
      <c r="B240" s="90"/>
      <c r="C240" s="90"/>
      <c r="D240" s="91"/>
      <c r="E240" s="90"/>
      <c r="F240" s="90"/>
      <c r="G240" s="90"/>
      <c r="H240" s="90"/>
      <c r="I240" s="90"/>
      <c r="J240" s="78"/>
      <c r="Q240" s="44"/>
    </row>
    <row r="241" spans="1:17" x14ac:dyDescent="0.15">
      <c r="A241" s="89"/>
      <c r="B241" s="90"/>
      <c r="C241" s="90"/>
      <c r="D241" s="91"/>
      <c r="E241" s="90"/>
      <c r="F241" s="90"/>
      <c r="G241" s="90"/>
      <c r="H241" s="90"/>
      <c r="I241" s="90"/>
      <c r="J241" s="78"/>
      <c r="Q241" s="44"/>
    </row>
    <row r="242" spans="1:17" x14ac:dyDescent="0.15">
      <c r="A242" s="89"/>
      <c r="B242" s="90"/>
      <c r="C242" s="90"/>
      <c r="D242" s="91"/>
      <c r="E242" s="90"/>
      <c r="F242" s="90"/>
      <c r="G242" s="90"/>
      <c r="H242" s="90"/>
      <c r="I242" s="90"/>
      <c r="J242" s="78"/>
      <c r="Q242" s="44"/>
    </row>
    <row r="243" spans="1:17" x14ac:dyDescent="0.15">
      <c r="A243" s="89"/>
      <c r="B243" s="90"/>
      <c r="C243" s="90"/>
      <c r="D243" s="91"/>
      <c r="E243" s="90"/>
      <c r="F243" s="90"/>
      <c r="G243" s="90"/>
      <c r="H243" s="90"/>
      <c r="I243" s="90"/>
      <c r="J243" s="78"/>
      <c r="Q243" s="44"/>
    </row>
    <row r="244" spans="1:17" x14ac:dyDescent="0.15">
      <c r="A244" s="89"/>
      <c r="B244" s="90"/>
      <c r="C244" s="90"/>
      <c r="D244" s="91"/>
      <c r="E244" s="90"/>
      <c r="F244" s="90"/>
      <c r="G244" s="90"/>
      <c r="H244" s="90"/>
      <c r="I244" s="90"/>
      <c r="J244" s="78"/>
      <c r="Q244" s="44"/>
    </row>
    <row r="245" spans="1:17" x14ac:dyDescent="0.15">
      <c r="A245" s="89"/>
      <c r="B245" s="90"/>
      <c r="C245" s="90"/>
      <c r="D245" s="91"/>
      <c r="E245" s="90"/>
      <c r="F245" s="90"/>
      <c r="G245" s="90"/>
      <c r="H245" s="90"/>
      <c r="I245" s="90"/>
      <c r="J245" s="78"/>
      <c r="Q245" s="44"/>
    </row>
    <row r="246" spans="1:17" x14ac:dyDescent="0.15">
      <c r="A246" s="89"/>
      <c r="B246" s="90"/>
      <c r="C246" s="90"/>
      <c r="D246" s="91"/>
      <c r="E246" s="90"/>
      <c r="F246" s="90"/>
      <c r="G246" s="90"/>
      <c r="H246" s="90"/>
      <c r="I246" s="90"/>
      <c r="J246" s="78"/>
      <c r="Q246" s="44"/>
    </row>
    <row r="247" spans="1:17" x14ac:dyDescent="0.15">
      <c r="A247" s="89"/>
      <c r="B247" s="90"/>
      <c r="C247" s="90"/>
      <c r="D247" s="91"/>
      <c r="E247" s="90"/>
      <c r="F247" s="90"/>
      <c r="G247" s="90"/>
      <c r="H247" s="90"/>
      <c r="I247" s="90"/>
      <c r="J247" s="78"/>
      <c r="Q247" s="44"/>
    </row>
    <row r="248" spans="1:17" x14ac:dyDescent="0.15">
      <c r="A248" s="89"/>
      <c r="B248" s="90"/>
      <c r="C248" s="90"/>
      <c r="D248" s="91"/>
      <c r="E248" s="90"/>
      <c r="F248" s="90"/>
      <c r="G248" s="90"/>
      <c r="H248" s="90"/>
      <c r="I248" s="90"/>
      <c r="J248" s="78"/>
      <c r="Q248" s="44"/>
    </row>
    <row r="249" spans="1:17" x14ac:dyDescent="0.15">
      <c r="A249" s="89"/>
      <c r="B249" s="90"/>
      <c r="C249" s="90"/>
      <c r="D249" s="91"/>
      <c r="E249" s="90"/>
      <c r="F249" s="90"/>
      <c r="G249" s="90"/>
      <c r="H249" s="90"/>
      <c r="I249" s="90"/>
      <c r="J249" s="78"/>
      <c r="Q249" s="44"/>
    </row>
    <row r="250" spans="1:17" x14ac:dyDescent="0.15">
      <c r="A250" s="89"/>
      <c r="B250" s="90"/>
      <c r="C250" s="90"/>
      <c r="D250" s="91"/>
      <c r="E250" s="90"/>
      <c r="F250" s="90"/>
      <c r="G250" s="90"/>
      <c r="H250" s="90"/>
      <c r="I250" s="90"/>
      <c r="J250" s="78"/>
      <c r="Q250" s="44"/>
    </row>
    <row r="251" spans="1:17" x14ac:dyDescent="0.15">
      <c r="A251" s="89"/>
      <c r="B251" s="90"/>
      <c r="C251" s="90"/>
      <c r="D251" s="91"/>
      <c r="E251" s="90"/>
      <c r="F251" s="90"/>
      <c r="G251" s="90"/>
      <c r="H251" s="90"/>
      <c r="I251" s="90"/>
      <c r="J251" s="78"/>
      <c r="Q251" s="44"/>
    </row>
    <row r="252" spans="1:17" x14ac:dyDescent="0.15">
      <c r="A252" s="89"/>
      <c r="B252" s="90"/>
      <c r="C252" s="90"/>
      <c r="D252" s="91"/>
      <c r="E252" s="90"/>
      <c r="F252" s="90"/>
      <c r="G252" s="90"/>
      <c r="H252" s="90"/>
      <c r="I252" s="90"/>
      <c r="J252" s="78"/>
      <c r="Q252" s="44"/>
    </row>
    <row r="253" spans="1:17" x14ac:dyDescent="0.15">
      <c r="A253" s="89"/>
      <c r="B253" s="90"/>
      <c r="C253" s="90"/>
      <c r="D253" s="91"/>
      <c r="E253" s="90"/>
      <c r="F253" s="90"/>
      <c r="G253" s="90"/>
      <c r="H253" s="90"/>
      <c r="I253" s="90"/>
      <c r="J253" s="78"/>
      <c r="Q253" s="44"/>
    </row>
    <row r="254" spans="1:17" x14ac:dyDescent="0.15">
      <c r="A254" s="89"/>
      <c r="B254" s="90"/>
      <c r="C254" s="90"/>
      <c r="D254" s="91"/>
      <c r="E254" s="90"/>
      <c r="F254" s="90"/>
      <c r="G254" s="90"/>
      <c r="H254" s="90"/>
      <c r="I254" s="90"/>
      <c r="J254" s="78"/>
      <c r="Q254" s="44"/>
    </row>
    <row r="255" spans="1:17" x14ac:dyDescent="0.15">
      <c r="A255" s="89"/>
      <c r="B255" s="90"/>
      <c r="C255" s="90"/>
      <c r="D255" s="91"/>
      <c r="E255" s="90"/>
      <c r="F255" s="90"/>
      <c r="G255" s="90"/>
      <c r="H255" s="90"/>
      <c r="I255" s="90"/>
      <c r="J255" s="78"/>
      <c r="Q255" s="44"/>
    </row>
    <row r="256" spans="1:17" x14ac:dyDescent="0.15">
      <c r="A256" s="89"/>
      <c r="B256" s="90"/>
      <c r="C256" s="90"/>
      <c r="D256" s="91"/>
      <c r="E256" s="90"/>
      <c r="F256" s="90"/>
      <c r="G256" s="90"/>
      <c r="H256" s="90"/>
      <c r="I256" s="90"/>
      <c r="J256" s="78"/>
      <c r="Q256" s="44"/>
    </row>
    <row r="257" spans="1:17" x14ac:dyDescent="0.15">
      <c r="A257" s="89"/>
      <c r="B257" s="90"/>
      <c r="C257" s="90"/>
      <c r="D257" s="91"/>
      <c r="E257" s="90"/>
      <c r="F257" s="90"/>
      <c r="G257" s="90"/>
      <c r="H257" s="90"/>
      <c r="I257" s="90"/>
      <c r="J257" s="78"/>
      <c r="Q257" s="44"/>
    </row>
    <row r="258" spans="1:17" x14ac:dyDescent="0.15">
      <c r="A258" s="89"/>
      <c r="B258" s="90"/>
      <c r="C258" s="90"/>
      <c r="D258" s="91"/>
      <c r="E258" s="90"/>
      <c r="F258" s="90"/>
      <c r="G258" s="90"/>
      <c r="H258" s="90"/>
      <c r="I258" s="90"/>
      <c r="J258" s="78"/>
      <c r="Q258" s="44"/>
    </row>
    <row r="259" spans="1:17" x14ac:dyDescent="0.15">
      <c r="A259" s="89"/>
      <c r="B259" s="90"/>
      <c r="C259" s="90"/>
      <c r="D259" s="91"/>
      <c r="E259" s="90"/>
      <c r="F259" s="90"/>
      <c r="G259" s="90"/>
      <c r="H259" s="90"/>
      <c r="I259" s="90"/>
      <c r="J259" s="78"/>
      <c r="Q259" s="44"/>
    </row>
    <row r="260" spans="1:17" x14ac:dyDescent="0.15">
      <c r="A260" s="89"/>
      <c r="B260" s="90"/>
      <c r="C260" s="90"/>
      <c r="D260" s="91"/>
      <c r="E260" s="90"/>
      <c r="F260" s="90"/>
      <c r="G260" s="90"/>
      <c r="H260" s="90"/>
      <c r="I260" s="90"/>
      <c r="J260" s="78"/>
      <c r="Q260" s="44"/>
    </row>
    <row r="261" spans="1:17" x14ac:dyDescent="0.15">
      <c r="A261" s="89"/>
      <c r="B261" s="90"/>
      <c r="C261" s="90"/>
      <c r="D261" s="91"/>
      <c r="E261" s="90"/>
      <c r="F261" s="90"/>
      <c r="G261" s="90"/>
      <c r="H261" s="90"/>
      <c r="I261" s="90"/>
      <c r="J261" s="78"/>
      <c r="Q261" s="44"/>
    </row>
    <row r="262" spans="1:17" x14ac:dyDescent="0.15">
      <c r="A262" s="89"/>
      <c r="B262" s="90"/>
      <c r="C262" s="90"/>
      <c r="D262" s="91"/>
      <c r="E262" s="90"/>
      <c r="F262" s="90"/>
      <c r="G262" s="90"/>
      <c r="H262" s="90"/>
      <c r="I262" s="90"/>
      <c r="J262" s="78"/>
      <c r="Q262" s="44"/>
    </row>
    <row r="263" spans="1:17" x14ac:dyDescent="0.15">
      <c r="A263" s="89"/>
      <c r="B263" s="90"/>
      <c r="C263" s="90"/>
      <c r="D263" s="91"/>
      <c r="E263" s="90"/>
      <c r="F263" s="90"/>
      <c r="G263" s="90"/>
      <c r="H263" s="90"/>
      <c r="I263" s="90"/>
      <c r="J263" s="78"/>
      <c r="Q263" s="44"/>
    </row>
    <row r="264" spans="1:17" x14ac:dyDescent="0.15">
      <c r="A264" s="89"/>
      <c r="B264" s="90"/>
      <c r="C264" s="90"/>
      <c r="D264" s="91"/>
      <c r="E264" s="90"/>
      <c r="F264" s="90"/>
      <c r="G264" s="90"/>
      <c r="H264" s="90"/>
      <c r="I264" s="90"/>
      <c r="J264" s="78"/>
      <c r="Q264" s="44"/>
    </row>
    <row r="265" spans="1:17" x14ac:dyDescent="0.15">
      <c r="A265" s="89"/>
      <c r="B265" s="90"/>
      <c r="C265" s="90"/>
      <c r="D265" s="91"/>
      <c r="E265" s="90"/>
      <c r="F265" s="90"/>
      <c r="G265" s="90"/>
      <c r="H265" s="90"/>
      <c r="I265" s="90"/>
      <c r="J265" s="78"/>
      <c r="Q265" s="44"/>
    </row>
    <row r="266" spans="1:17" x14ac:dyDescent="0.15">
      <c r="A266" s="89"/>
      <c r="B266" s="90"/>
      <c r="C266" s="90"/>
      <c r="D266" s="91"/>
      <c r="E266" s="90"/>
      <c r="F266" s="90"/>
      <c r="G266" s="90"/>
      <c r="H266" s="90"/>
      <c r="I266" s="90"/>
      <c r="J266" s="78"/>
      <c r="Q266" s="44"/>
    </row>
    <row r="267" spans="1:17" x14ac:dyDescent="0.15">
      <c r="A267" s="89"/>
      <c r="B267" s="90"/>
      <c r="C267" s="90"/>
      <c r="D267" s="91"/>
      <c r="E267" s="90"/>
      <c r="F267" s="90"/>
      <c r="G267" s="90"/>
      <c r="H267" s="90"/>
      <c r="I267" s="90"/>
      <c r="J267" s="78"/>
      <c r="Q267" s="44"/>
    </row>
    <row r="268" spans="1:17" x14ac:dyDescent="0.15">
      <c r="A268" s="89"/>
      <c r="B268" s="90"/>
      <c r="C268" s="90"/>
      <c r="D268" s="91"/>
      <c r="E268" s="90"/>
      <c r="F268" s="90"/>
      <c r="G268" s="90"/>
      <c r="H268" s="90"/>
      <c r="I268" s="90"/>
      <c r="J268" s="78"/>
      <c r="Q268" s="44"/>
    </row>
    <row r="269" spans="1:17" x14ac:dyDescent="0.15">
      <c r="A269" s="89"/>
      <c r="B269" s="90"/>
      <c r="C269" s="90"/>
      <c r="D269" s="91"/>
      <c r="E269" s="90"/>
      <c r="F269" s="90"/>
      <c r="G269" s="90"/>
      <c r="H269" s="90"/>
      <c r="I269" s="90"/>
      <c r="J269" s="78"/>
      <c r="Q269" s="44"/>
    </row>
    <row r="270" spans="1:17" x14ac:dyDescent="0.15">
      <c r="A270" s="89"/>
      <c r="B270" s="90"/>
      <c r="C270" s="90"/>
      <c r="D270" s="91"/>
      <c r="E270" s="90"/>
      <c r="F270" s="90"/>
      <c r="G270" s="90"/>
      <c r="H270" s="90"/>
      <c r="I270" s="90"/>
      <c r="J270" s="78"/>
      <c r="Q270" s="44"/>
    </row>
    <row r="271" spans="1:17" x14ac:dyDescent="0.15">
      <c r="A271" s="89"/>
      <c r="B271" s="90"/>
      <c r="C271" s="90"/>
      <c r="D271" s="91"/>
      <c r="E271" s="90"/>
      <c r="F271" s="90"/>
      <c r="G271" s="90"/>
      <c r="H271" s="90"/>
      <c r="I271" s="90"/>
      <c r="J271" s="78"/>
      <c r="Q271" s="44"/>
    </row>
    <row r="272" spans="1:17" x14ac:dyDescent="0.15">
      <c r="A272" s="89"/>
      <c r="B272" s="90"/>
      <c r="C272" s="90"/>
      <c r="D272" s="91"/>
      <c r="E272" s="90"/>
      <c r="F272" s="90"/>
      <c r="G272" s="90"/>
      <c r="H272" s="90"/>
      <c r="I272" s="90"/>
      <c r="J272" s="78"/>
      <c r="Q272" s="44"/>
    </row>
    <row r="273" spans="1:17" x14ac:dyDescent="0.15">
      <c r="A273" s="89"/>
      <c r="B273" s="90"/>
      <c r="C273" s="90"/>
      <c r="D273" s="91"/>
      <c r="E273" s="90"/>
      <c r="F273" s="90"/>
      <c r="G273" s="90"/>
      <c r="H273" s="90"/>
      <c r="I273" s="90"/>
      <c r="J273" s="78"/>
      <c r="Q273" s="44"/>
    </row>
    <row r="274" spans="1:17" x14ac:dyDescent="0.15">
      <c r="A274" s="89"/>
      <c r="B274" s="90"/>
      <c r="C274" s="90"/>
      <c r="D274" s="91"/>
      <c r="E274" s="90"/>
      <c r="F274" s="90"/>
      <c r="G274" s="90"/>
      <c r="H274" s="90"/>
      <c r="I274" s="90"/>
      <c r="J274" s="78"/>
      <c r="Q274" s="44"/>
    </row>
    <row r="275" spans="1:17" x14ac:dyDescent="0.15">
      <c r="A275" s="89"/>
      <c r="B275" s="90"/>
      <c r="C275" s="90"/>
      <c r="D275" s="91"/>
      <c r="E275" s="90"/>
      <c r="F275" s="90"/>
      <c r="G275" s="90"/>
      <c r="H275" s="90"/>
      <c r="I275" s="90"/>
      <c r="J275" s="78"/>
      <c r="Q275" s="44"/>
    </row>
    <row r="276" spans="1:17" x14ac:dyDescent="0.15">
      <c r="A276" s="89"/>
      <c r="B276" s="90"/>
      <c r="C276" s="90"/>
      <c r="D276" s="91"/>
      <c r="E276" s="90"/>
      <c r="F276" s="90"/>
      <c r="G276" s="90"/>
      <c r="H276" s="90"/>
      <c r="I276" s="90"/>
      <c r="J276" s="78"/>
      <c r="Q276" s="44"/>
    </row>
    <row r="277" spans="1:17" x14ac:dyDescent="0.15">
      <c r="A277" s="89"/>
      <c r="B277" s="90"/>
      <c r="C277" s="90"/>
      <c r="D277" s="91"/>
      <c r="E277" s="90"/>
      <c r="F277" s="90"/>
      <c r="G277" s="90"/>
      <c r="H277" s="90"/>
      <c r="I277" s="90"/>
      <c r="J277" s="78"/>
      <c r="Q277" s="44"/>
    </row>
    <row r="278" spans="1:17" x14ac:dyDescent="0.15">
      <c r="A278" s="89"/>
      <c r="B278" s="90"/>
      <c r="C278" s="90"/>
      <c r="D278" s="91"/>
      <c r="E278" s="90"/>
      <c r="F278" s="90"/>
      <c r="G278" s="90"/>
      <c r="H278" s="90"/>
      <c r="I278" s="90"/>
      <c r="J278" s="78"/>
      <c r="Q278" s="44"/>
    </row>
    <row r="279" spans="1:17" x14ac:dyDescent="0.15">
      <c r="A279" s="89"/>
      <c r="B279" s="90"/>
      <c r="C279" s="90"/>
      <c r="D279" s="91"/>
      <c r="E279" s="90"/>
      <c r="F279" s="90"/>
      <c r="G279" s="90"/>
      <c r="H279" s="90"/>
      <c r="I279" s="90"/>
      <c r="J279" s="78"/>
      <c r="Q279" s="44"/>
    </row>
    <row r="280" spans="1:17" x14ac:dyDescent="0.15">
      <c r="A280" s="89"/>
      <c r="B280" s="90"/>
      <c r="C280" s="90"/>
      <c r="D280" s="91"/>
      <c r="E280" s="90"/>
      <c r="F280" s="90"/>
      <c r="G280" s="90"/>
      <c r="H280" s="90"/>
      <c r="I280" s="90"/>
      <c r="J280" s="78"/>
      <c r="Q280" s="44"/>
    </row>
    <row r="281" spans="1:17" x14ac:dyDescent="0.15">
      <c r="A281" s="89"/>
      <c r="B281" s="90"/>
      <c r="C281" s="90"/>
      <c r="D281" s="91"/>
      <c r="E281" s="90"/>
      <c r="F281" s="90"/>
      <c r="G281" s="90"/>
      <c r="H281" s="90"/>
      <c r="I281" s="90"/>
      <c r="J281" s="78"/>
      <c r="Q281" s="44"/>
    </row>
    <row r="282" spans="1:17" x14ac:dyDescent="0.15">
      <c r="A282" s="89"/>
      <c r="B282" s="90"/>
      <c r="C282" s="90"/>
      <c r="D282" s="91"/>
      <c r="E282" s="90"/>
      <c r="F282" s="90"/>
      <c r="G282" s="90"/>
      <c r="H282" s="90"/>
      <c r="I282" s="90"/>
      <c r="J282" s="78"/>
      <c r="Q282" s="44"/>
    </row>
    <row r="283" spans="1:17" x14ac:dyDescent="0.15">
      <c r="A283" s="89"/>
      <c r="B283" s="90"/>
      <c r="C283" s="90"/>
      <c r="D283" s="91"/>
      <c r="E283" s="90"/>
      <c r="F283" s="90"/>
      <c r="G283" s="90"/>
      <c r="H283" s="90"/>
      <c r="I283" s="90"/>
      <c r="J283" s="78"/>
      <c r="Q283" s="44"/>
    </row>
    <row r="284" spans="1:17" x14ac:dyDescent="0.15">
      <c r="A284" s="89"/>
      <c r="B284" s="90"/>
      <c r="C284" s="90"/>
      <c r="D284" s="91"/>
      <c r="E284" s="90"/>
      <c r="F284" s="90"/>
      <c r="G284" s="90"/>
      <c r="H284" s="90"/>
      <c r="I284" s="90"/>
      <c r="J284" s="78"/>
      <c r="Q284" s="44"/>
    </row>
    <row r="285" spans="1:17" x14ac:dyDescent="0.15">
      <c r="A285" s="89"/>
      <c r="B285" s="90"/>
      <c r="C285" s="90"/>
      <c r="D285" s="91"/>
      <c r="E285" s="90"/>
      <c r="F285" s="90"/>
      <c r="G285" s="90"/>
      <c r="H285" s="90"/>
      <c r="I285" s="90"/>
      <c r="J285" s="78"/>
      <c r="Q285" s="44"/>
    </row>
    <row r="286" spans="1:17" x14ac:dyDescent="0.15">
      <c r="A286" s="89"/>
      <c r="B286" s="90"/>
      <c r="C286" s="90"/>
      <c r="D286" s="91"/>
      <c r="E286" s="90"/>
      <c r="F286" s="90"/>
      <c r="G286" s="90"/>
      <c r="H286" s="90"/>
      <c r="I286" s="90"/>
      <c r="J286" s="78"/>
      <c r="Q286" s="44"/>
    </row>
    <row r="287" spans="1:17" x14ac:dyDescent="0.15">
      <c r="A287" s="89"/>
      <c r="B287" s="90"/>
      <c r="C287" s="90"/>
      <c r="D287" s="91"/>
      <c r="E287" s="90"/>
      <c r="F287" s="90"/>
      <c r="G287" s="90"/>
      <c r="H287" s="90"/>
      <c r="I287" s="90"/>
      <c r="J287" s="78"/>
      <c r="Q287" s="44"/>
    </row>
    <row r="288" spans="1:17" x14ac:dyDescent="0.15">
      <c r="A288" s="89"/>
      <c r="B288" s="90"/>
      <c r="C288" s="90"/>
      <c r="D288" s="91"/>
      <c r="E288" s="90"/>
      <c r="F288" s="90"/>
      <c r="G288" s="90"/>
      <c r="H288" s="90"/>
      <c r="I288" s="90"/>
      <c r="J288" s="78"/>
      <c r="Q288" s="44"/>
    </row>
    <row r="289" spans="1:17" x14ac:dyDescent="0.15">
      <c r="A289" s="89"/>
      <c r="B289" s="90"/>
      <c r="C289" s="90"/>
      <c r="D289" s="91"/>
      <c r="E289" s="90"/>
      <c r="F289" s="90"/>
      <c r="G289" s="90"/>
      <c r="H289" s="90"/>
      <c r="I289" s="90"/>
      <c r="J289" s="78"/>
      <c r="Q289" s="44"/>
    </row>
    <row r="290" spans="1:17" x14ac:dyDescent="0.15">
      <c r="A290" s="89"/>
      <c r="B290" s="90"/>
      <c r="C290" s="90"/>
      <c r="D290" s="91"/>
      <c r="E290" s="90"/>
      <c r="F290" s="90"/>
      <c r="G290" s="90"/>
      <c r="H290" s="90"/>
      <c r="I290" s="90"/>
      <c r="J290" s="78"/>
      <c r="Q290" s="44"/>
    </row>
    <row r="291" spans="1:17" x14ac:dyDescent="0.15">
      <c r="A291" s="89"/>
      <c r="B291" s="90"/>
      <c r="C291" s="90"/>
      <c r="D291" s="91"/>
      <c r="E291" s="90"/>
      <c r="F291" s="90"/>
      <c r="G291" s="90"/>
      <c r="H291" s="90"/>
      <c r="I291" s="90"/>
      <c r="J291" s="78"/>
      <c r="Q291" s="44"/>
    </row>
    <row r="292" spans="1:17" x14ac:dyDescent="0.15">
      <c r="A292" s="89"/>
      <c r="B292" s="90"/>
      <c r="C292" s="90"/>
      <c r="D292" s="91"/>
      <c r="E292" s="90"/>
      <c r="F292" s="90"/>
      <c r="G292" s="90"/>
      <c r="H292" s="90"/>
      <c r="I292" s="90"/>
      <c r="J292" s="78"/>
      <c r="Q292" s="44"/>
    </row>
    <row r="293" spans="1:17" x14ac:dyDescent="0.15">
      <c r="A293" s="89"/>
      <c r="B293" s="90"/>
      <c r="C293" s="90"/>
      <c r="D293" s="91"/>
      <c r="E293" s="90"/>
      <c r="F293" s="90"/>
      <c r="G293" s="90"/>
      <c r="H293" s="90"/>
      <c r="I293" s="90"/>
      <c r="J293" s="78"/>
      <c r="Q293" s="44"/>
    </row>
    <row r="294" spans="1:17" x14ac:dyDescent="0.15">
      <c r="A294" s="89"/>
      <c r="B294" s="90"/>
      <c r="C294" s="90"/>
      <c r="D294" s="91"/>
      <c r="E294" s="90"/>
      <c r="F294" s="90"/>
      <c r="G294" s="90"/>
      <c r="H294" s="90"/>
      <c r="I294" s="90"/>
      <c r="J294" s="78"/>
      <c r="Q294" s="44"/>
    </row>
    <row r="295" spans="1:17" x14ac:dyDescent="0.15">
      <c r="A295" s="89"/>
      <c r="B295" s="90"/>
      <c r="C295" s="90"/>
      <c r="D295" s="91"/>
      <c r="E295" s="90"/>
      <c r="F295" s="90"/>
      <c r="G295" s="90"/>
      <c r="H295" s="90"/>
      <c r="I295" s="90"/>
      <c r="J295" s="78"/>
      <c r="Q295" s="44"/>
    </row>
    <row r="296" spans="1:17" x14ac:dyDescent="0.15">
      <c r="A296" s="89"/>
      <c r="B296" s="90"/>
      <c r="C296" s="90"/>
      <c r="D296" s="91"/>
      <c r="E296" s="90"/>
      <c r="F296" s="90"/>
      <c r="G296" s="90"/>
      <c r="H296" s="90"/>
      <c r="I296" s="90"/>
      <c r="J296" s="78"/>
      <c r="Q296" s="44"/>
    </row>
    <row r="297" spans="1:17" x14ac:dyDescent="0.15">
      <c r="A297" s="89"/>
      <c r="B297" s="90"/>
      <c r="C297" s="90"/>
      <c r="D297" s="91"/>
      <c r="E297" s="90"/>
      <c r="F297" s="90"/>
      <c r="G297" s="90"/>
      <c r="H297" s="90"/>
      <c r="I297" s="90"/>
      <c r="J297" s="78"/>
      <c r="Q297" s="44"/>
    </row>
    <row r="298" spans="1:17" x14ac:dyDescent="0.15">
      <c r="A298" s="89"/>
      <c r="B298" s="90"/>
      <c r="C298" s="90"/>
      <c r="D298" s="91"/>
      <c r="E298" s="90"/>
      <c r="F298" s="90"/>
      <c r="G298" s="90"/>
      <c r="H298" s="90"/>
      <c r="I298" s="90"/>
      <c r="J298" s="78"/>
      <c r="Q298" s="44"/>
    </row>
    <row r="299" spans="1:17" x14ac:dyDescent="0.15">
      <c r="A299" s="89"/>
      <c r="B299" s="90"/>
      <c r="C299" s="90"/>
      <c r="D299" s="91"/>
      <c r="E299" s="90"/>
      <c r="F299" s="90"/>
      <c r="G299" s="90"/>
      <c r="H299" s="90"/>
      <c r="I299" s="90"/>
      <c r="J299" s="78"/>
      <c r="Q299" s="44"/>
    </row>
    <row r="300" spans="1:17" x14ac:dyDescent="0.15">
      <c r="A300" s="89"/>
      <c r="B300" s="90"/>
      <c r="C300" s="90"/>
      <c r="D300" s="91"/>
      <c r="E300" s="90"/>
      <c r="F300" s="90"/>
      <c r="G300" s="90"/>
      <c r="H300" s="90"/>
      <c r="I300" s="90"/>
      <c r="J300" s="78"/>
      <c r="Q300" s="44"/>
    </row>
    <row r="301" spans="1:17" x14ac:dyDescent="0.15">
      <c r="A301" s="89"/>
      <c r="B301" s="90"/>
      <c r="C301" s="90"/>
      <c r="D301" s="91"/>
      <c r="E301" s="90"/>
      <c r="F301" s="90"/>
      <c r="G301" s="90"/>
      <c r="H301" s="90"/>
      <c r="I301" s="90"/>
      <c r="J301" s="78"/>
      <c r="Q301" s="44"/>
    </row>
    <row r="302" spans="1:17" x14ac:dyDescent="0.15">
      <c r="A302" s="89"/>
      <c r="B302" s="90"/>
      <c r="C302" s="90"/>
      <c r="D302" s="91"/>
      <c r="E302" s="90"/>
      <c r="F302" s="90"/>
      <c r="G302" s="90"/>
      <c r="H302" s="90"/>
      <c r="I302" s="90"/>
      <c r="J302" s="78"/>
      <c r="Q302" s="44"/>
    </row>
    <row r="303" spans="1:17" x14ac:dyDescent="0.15">
      <c r="A303" s="89"/>
      <c r="B303" s="90"/>
      <c r="C303" s="90"/>
      <c r="D303" s="91"/>
      <c r="E303" s="90"/>
      <c r="F303" s="90"/>
      <c r="G303" s="90"/>
      <c r="H303" s="90"/>
      <c r="I303" s="90"/>
      <c r="J303" s="78"/>
      <c r="Q303" s="44"/>
    </row>
    <row r="304" spans="1:17" x14ac:dyDescent="0.15">
      <c r="A304" s="89"/>
      <c r="B304" s="90"/>
      <c r="C304" s="90"/>
      <c r="D304" s="91"/>
      <c r="E304" s="90"/>
      <c r="F304" s="90"/>
      <c r="G304" s="90"/>
      <c r="H304" s="90"/>
      <c r="I304" s="90"/>
      <c r="J304" s="78"/>
      <c r="Q304" s="44"/>
    </row>
    <row r="305" spans="1:17" x14ac:dyDescent="0.15">
      <c r="A305" s="89"/>
      <c r="B305" s="90"/>
      <c r="C305" s="90"/>
      <c r="D305" s="91"/>
      <c r="E305" s="90"/>
      <c r="F305" s="90"/>
      <c r="G305" s="90"/>
      <c r="H305" s="90"/>
      <c r="I305" s="90"/>
      <c r="J305" s="78"/>
      <c r="Q305" s="44"/>
    </row>
    <row r="306" spans="1:17" x14ac:dyDescent="0.15">
      <c r="A306" s="89"/>
      <c r="B306" s="90"/>
      <c r="C306" s="90"/>
      <c r="D306" s="91"/>
      <c r="E306" s="90"/>
      <c r="F306" s="90"/>
      <c r="G306" s="90"/>
      <c r="H306" s="90"/>
      <c r="I306" s="90"/>
      <c r="J306" s="78"/>
      <c r="Q306" s="44"/>
    </row>
    <row r="307" spans="1:17" x14ac:dyDescent="0.15">
      <c r="A307" s="89"/>
      <c r="B307" s="90"/>
      <c r="C307" s="90"/>
      <c r="D307" s="91"/>
      <c r="E307" s="90"/>
      <c r="F307" s="90"/>
      <c r="G307" s="90"/>
      <c r="H307" s="90"/>
      <c r="I307" s="90"/>
      <c r="J307" s="78"/>
      <c r="Q307" s="44"/>
    </row>
    <row r="308" spans="1:17" x14ac:dyDescent="0.15">
      <c r="A308" s="89"/>
      <c r="B308" s="90"/>
      <c r="C308" s="90"/>
      <c r="D308" s="91"/>
      <c r="E308" s="90"/>
      <c r="F308" s="90"/>
      <c r="G308" s="90"/>
      <c r="H308" s="90"/>
      <c r="I308" s="90"/>
      <c r="J308" s="78"/>
      <c r="Q308" s="44"/>
    </row>
    <row r="309" spans="1:17" x14ac:dyDescent="0.15">
      <c r="A309" s="89"/>
      <c r="B309" s="90"/>
      <c r="C309" s="90"/>
      <c r="D309" s="91"/>
      <c r="E309" s="90"/>
      <c r="F309" s="90"/>
      <c r="G309" s="90"/>
      <c r="H309" s="90"/>
      <c r="I309" s="90"/>
      <c r="J309" s="78"/>
      <c r="Q309" s="44"/>
    </row>
    <row r="310" spans="1:17" x14ac:dyDescent="0.15">
      <c r="A310" s="89"/>
      <c r="B310" s="90"/>
      <c r="C310" s="90"/>
      <c r="D310" s="91"/>
      <c r="E310" s="90"/>
      <c r="F310" s="90"/>
      <c r="G310" s="90"/>
      <c r="H310" s="90"/>
      <c r="I310" s="90"/>
      <c r="J310" s="78"/>
      <c r="Q310" s="44"/>
    </row>
    <row r="311" spans="1:17" x14ac:dyDescent="0.15">
      <c r="A311" s="89"/>
      <c r="B311" s="90"/>
      <c r="C311" s="90"/>
      <c r="D311" s="91"/>
      <c r="E311" s="90"/>
      <c r="F311" s="90"/>
      <c r="G311" s="90"/>
      <c r="H311" s="90"/>
      <c r="I311" s="90"/>
      <c r="J311" s="78"/>
      <c r="Q311" s="44"/>
    </row>
    <row r="312" spans="1:17" x14ac:dyDescent="0.15">
      <c r="A312" s="89"/>
      <c r="B312" s="90"/>
      <c r="C312" s="90"/>
      <c r="D312" s="91"/>
      <c r="E312" s="90"/>
      <c r="F312" s="90"/>
      <c r="G312" s="90"/>
      <c r="H312" s="90"/>
      <c r="I312" s="90"/>
      <c r="J312" s="78"/>
      <c r="Q312" s="44"/>
    </row>
    <row r="313" spans="1:17" x14ac:dyDescent="0.15">
      <c r="A313" s="89"/>
      <c r="B313" s="90"/>
      <c r="C313" s="90"/>
      <c r="D313" s="91"/>
      <c r="E313" s="90"/>
      <c r="F313" s="90"/>
      <c r="G313" s="90"/>
      <c r="H313" s="90"/>
      <c r="I313" s="90"/>
      <c r="J313" s="78"/>
      <c r="Q313" s="44"/>
    </row>
    <row r="314" spans="1:17" x14ac:dyDescent="0.15">
      <c r="A314" s="89"/>
      <c r="B314" s="90"/>
      <c r="C314" s="90"/>
      <c r="D314" s="91"/>
      <c r="E314" s="90"/>
      <c r="F314" s="90"/>
      <c r="G314" s="90"/>
      <c r="H314" s="90"/>
      <c r="I314" s="90"/>
      <c r="J314" s="78"/>
      <c r="Q314" s="44"/>
    </row>
    <row r="315" spans="1:17" x14ac:dyDescent="0.15">
      <c r="A315" s="89"/>
      <c r="B315" s="90"/>
      <c r="C315" s="90"/>
      <c r="D315" s="91"/>
      <c r="E315" s="90"/>
      <c r="F315" s="90"/>
      <c r="G315" s="90"/>
      <c r="H315" s="90"/>
      <c r="I315" s="90"/>
      <c r="J315" s="78"/>
      <c r="Q315" s="44"/>
    </row>
    <row r="316" spans="1:17" x14ac:dyDescent="0.15">
      <c r="A316" s="89"/>
      <c r="B316" s="90"/>
      <c r="C316" s="90"/>
      <c r="D316" s="91"/>
      <c r="E316" s="90"/>
      <c r="F316" s="90"/>
      <c r="G316" s="90"/>
      <c r="H316" s="90"/>
      <c r="I316" s="90"/>
      <c r="J316" s="78"/>
      <c r="Q316" s="44"/>
    </row>
    <row r="317" spans="1:17" x14ac:dyDescent="0.15">
      <c r="A317" s="89"/>
      <c r="B317" s="90"/>
      <c r="C317" s="90"/>
      <c r="D317" s="91"/>
      <c r="E317" s="90"/>
      <c r="F317" s="90"/>
      <c r="G317" s="90"/>
      <c r="H317" s="90"/>
      <c r="I317" s="90"/>
      <c r="J317" s="78"/>
      <c r="Q317" s="44"/>
    </row>
    <row r="318" spans="1:17" x14ac:dyDescent="0.15">
      <c r="A318" s="89"/>
      <c r="B318" s="90"/>
      <c r="C318" s="90"/>
      <c r="D318" s="91"/>
      <c r="E318" s="90"/>
      <c r="F318" s="90"/>
      <c r="G318" s="90"/>
      <c r="H318" s="90"/>
      <c r="I318" s="90"/>
      <c r="J318" s="78"/>
      <c r="Q318" s="44"/>
    </row>
    <row r="319" spans="1:17" x14ac:dyDescent="0.15">
      <c r="A319" s="89"/>
      <c r="B319" s="90"/>
      <c r="C319" s="90"/>
      <c r="D319" s="91"/>
      <c r="E319" s="90"/>
      <c r="F319" s="90"/>
      <c r="G319" s="90"/>
      <c r="H319" s="90"/>
      <c r="I319" s="90"/>
      <c r="J319" s="78"/>
      <c r="Q319" s="44"/>
    </row>
    <row r="320" spans="1:17" x14ac:dyDescent="0.15">
      <c r="A320" s="89"/>
      <c r="B320" s="90"/>
      <c r="C320" s="90"/>
      <c r="D320" s="91"/>
      <c r="E320" s="90"/>
      <c r="F320" s="90"/>
      <c r="G320" s="90"/>
      <c r="H320" s="90"/>
      <c r="I320" s="90"/>
      <c r="J320" s="78"/>
      <c r="Q320" s="44"/>
    </row>
    <row r="321" spans="1:17" x14ac:dyDescent="0.15">
      <c r="A321" s="89"/>
      <c r="B321" s="90"/>
      <c r="C321" s="90"/>
      <c r="D321" s="91"/>
      <c r="E321" s="90"/>
      <c r="F321" s="90"/>
      <c r="G321" s="90"/>
      <c r="H321" s="90"/>
      <c r="I321" s="90"/>
      <c r="J321" s="78"/>
      <c r="Q321" s="44"/>
    </row>
    <row r="322" spans="1:17" x14ac:dyDescent="0.15">
      <c r="A322" s="89"/>
      <c r="B322" s="90"/>
      <c r="C322" s="90"/>
      <c r="D322" s="91"/>
      <c r="E322" s="90"/>
      <c r="F322" s="90"/>
      <c r="G322" s="90"/>
      <c r="H322" s="90"/>
      <c r="I322" s="90"/>
      <c r="J322" s="78"/>
      <c r="Q322" s="44"/>
    </row>
    <row r="323" spans="1:17" x14ac:dyDescent="0.15">
      <c r="A323" s="89"/>
      <c r="B323" s="90"/>
      <c r="C323" s="90"/>
      <c r="D323" s="91"/>
      <c r="E323" s="90"/>
      <c r="F323" s="90"/>
      <c r="G323" s="90"/>
      <c r="H323" s="90"/>
      <c r="I323" s="90"/>
      <c r="J323" s="78"/>
      <c r="Q323" s="44"/>
    </row>
    <row r="324" spans="1:17" x14ac:dyDescent="0.15">
      <c r="A324" s="89"/>
      <c r="B324" s="90"/>
      <c r="C324" s="90"/>
      <c r="D324" s="91"/>
      <c r="E324" s="90"/>
      <c r="F324" s="90"/>
      <c r="G324" s="90"/>
      <c r="H324" s="90"/>
      <c r="I324" s="90"/>
      <c r="J324" s="78"/>
      <c r="Q324" s="44"/>
    </row>
    <row r="325" spans="1:17" x14ac:dyDescent="0.15">
      <c r="A325" s="89"/>
      <c r="B325" s="90"/>
      <c r="C325" s="90"/>
      <c r="D325" s="91"/>
      <c r="E325" s="90"/>
      <c r="F325" s="90"/>
      <c r="G325" s="90"/>
      <c r="H325" s="90"/>
      <c r="I325" s="90"/>
      <c r="J325" s="78"/>
      <c r="Q325" s="44"/>
    </row>
    <row r="326" spans="1:17" x14ac:dyDescent="0.15">
      <c r="A326" s="89"/>
      <c r="B326" s="90"/>
      <c r="C326" s="90"/>
      <c r="D326" s="91"/>
      <c r="E326" s="90"/>
      <c r="F326" s="90"/>
      <c r="G326" s="90"/>
      <c r="H326" s="90"/>
      <c r="I326" s="90"/>
      <c r="J326" s="78"/>
      <c r="Q326" s="44"/>
    </row>
    <row r="327" spans="1:17" x14ac:dyDescent="0.15">
      <c r="A327" s="89"/>
      <c r="B327" s="90"/>
      <c r="C327" s="90"/>
      <c r="D327" s="91"/>
      <c r="E327" s="90"/>
      <c r="F327" s="90"/>
      <c r="G327" s="90"/>
      <c r="H327" s="90"/>
      <c r="I327" s="90"/>
      <c r="J327" s="78"/>
      <c r="Q327" s="44"/>
    </row>
    <row r="328" spans="1:17" x14ac:dyDescent="0.15">
      <c r="A328" s="89"/>
      <c r="B328" s="90"/>
      <c r="C328" s="90"/>
      <c r="D328" s="91"/>
      <c r="E328" s="90"/>
      <c r="F328" s="90"/>
      <c r="G328" s="90"/>
      <c r="H328" s="90"/>
      <c r="I328" s="90"/>
      <c r="J328" s="78"/>
      <c r="Q328" s="44"/>
    </row>
    <row r="329" spans="1:17" x14ac:dyDescent="0.15">
      <c r="A329" s="89"/>
      <c r="B329" s="90"/>
      <c r="C329" s="90"/>
      <c r="D329" s="91"/>
      <c r="E329" s="90"/>
      <c r="F329" s="90"/>
      <c r="G329" s="90"/>
      <c r="H329" s="90"/>
      <c r="I329" s="90"/>
      <c r="J329" s="78"/>
      <c r="Q329" s="44"/>
    </row>
    <row r="330" spans="1:17" x14ac:dyDescent="0.15">
      <c r="A330" s="89"/>
      <c r="B330" s="90"/>
      <c r="C330" s="90"/>
      <c r="D330" s="91"/>
      <c r="E330" s="90"/>
      <c r="F330" s="90"/>
      <c r="G330" s="90"/>
      <c r="H330" s="90"/>
      <c r="I330" s="90"/>
      <c r="J330" s="78"/>
      <c r="Q330" s="44"/>
    </row>
    <row r="331" spans="1:17" x14ac:dyDescent="0.15">
      <c r="A331" s="89"/>
      <c r="B331" s="90"/>
      <c r="C331" s="90"/>
      <c r="D331" s="91"/>
      <c r="E331" s="90"/>
      <c r="F331" s="90"/>
      <c r="G331" s="90"/>
      <c r="H331" s="90"/>
      <c r="I331" s="90"/>
      <c r="J331" s="78"/>
      <c r="Q331" s="44"/>
    </row>
    <row r="332" spans="1:17" x14ac:dyDescent="0.15">
      <c r="A332" s="89"/>
      <c r="B332" s="90"/>
      <c r="C332" s="90"/>
      <c r="D332" s="91"/>
      <c r="E332" s="90"/>
      <c r="F332" s="90"/>
      <c r="G332" s="90"/>
      <c r="H332" s="90"/>
      <c r="I332" s="90"/>
      <c r="J332" s="78"/>
      <c r="Q332" s="44"/>
    </row>
    <row r="333" spans="1:17" x14ac:dyDescent="0.15">
      <c r="A333" s="89"/>
      <c r="B333" s="90"/>
      <c r="C333" s="90"/>
      <c r="D333" s="91"/>
      <c r="E333" s="90"/>
      <c r="F333" s="90"/>
      <c r="G333" s="90"/>
      <c r="H333" s="90"/>
      <c r="I333" s="90"/>
      <c r="J333" s="78"/>
      <c r="Q333" s="44"/>
    </row>
    <row r="334" spans="1:17" x14ac:dyDescent="0.15">
      <c r="A334" s="89"/>
      <c r="B334" s="90"/>
      <c r="C334" s="90"/>
      <c r="D334" s="91"/>
      <c r="E334" s="90"/>
      <c r="F334" s="90"/>
      <c r="G334" s="90"/>
      <c r="H334" s="90"/>
      <c r="I334" s="90"/>
      <c r="J334" s="78"/>
      <c r="Q334" s="44"/>
    </row>
    <row r="335" spans="1:17" x14ac:dyDescent="0.15">
      <c r="A335" s="89"/>
      <c r="B335" s="90"/>
      <c r="C335" s="90"/>
      <c r="D335" s="91"/>
      <c r="E335" s="90"/>
      <c r="F335" s="90"/>
      <c r="G335" s="90"/>
      <c r="H335" s="90"/>
      <c r="I335" s="90"/>
      <c r="J335" s="78"/>
      <c r="Q335" s="44"/>
    </row>
    <row r="336" spans="1:17" x14ac:dyDescent="0.15">
      <c r="A336" s="89"/>
      <c r="B336" s="90"/>
      <c r="C336" s="90"/>
      <c r="D336" s="91"/>
      <c r="E336" s="90"/>
      <c r="F336" s="90"/>
      <c r="G336" s="90"/>
      <c r="H336" s="90"/>
      <c r="I336" s="90"/>
      <c r="J336" s="78"/>
      <c r="Q336" s="44"/>
    </row>
    <row r="337" spans="1:17" x14ac:dyDescent="0.15">
      <c r="A337" s="89"/>
      <c r="B337" s="90"/>
      <c r="C337" s="90"/>
      <c r="D337" s="91"/>
      <c r="E337" s="90"/>
      <c r="F337" s="90"/>
      <c r="G337" s="90"/>
      <c r="H337" s="90"/>
      <c r="I337" s="90"/>
      <c r="J337" s="78"/>
      <c r="Q337" s="44"/>
    </row>
    <row r="338" spans="1:17" x14ac:dyDescent="0.15">
      <c r="A338" s="89"/>
      <c r="B338" s="90"/>
      <c r="C338" s="90"/>
      <c r="D338" s="91"/>
      <c r="E338" s="90"/>
      <c r="F338" s="90"/>
      <c r="G338" s="90"/>
      <c r="H338" s="90"/>
      <c r="I338" s="90"/>
      <c r="J338" s="78"/>
      <c r="Q338" s="44"/>
    </row>
    <row r="339" spans="1:17" x14ac:dyDescent="0.15">
      <c r="A339" s="89"/>
      <c r="B339" s="90"/>
      <c r="C339" s="90"/>
      <c r="D339" s="91"/>
      <c r="E339" s="90"/>
      <c r="F339" s="90"/>
      <c r="G339" s="90"/>
      <c r="H339" s="90"/>
      <c r="I339" s="90"/>
      <c r="J339" s="78"/>
      <c r="Q339" s="44"/>
    </row>
    <row r="340" spans="1:17" x14ac:dyDescent="0.15">
      <c r="A340" s="89"/>
      <c r="B340" s="90"/>
      <c r="C340" s="90"/>
      <c r="D340" s="91"/>
      <c r="E340" s="90"/>
      <c r="F340" s="90"/>
      <c r="G340" s="90"/>
      <c r="H340" s="90"/>
      <c r="I340" s="90"/>
      <c r="J340" s="78"/>
      <c r="Q340" s="44"/>
    </row>
    <row r="341" spans="1:17" x14ac:dyDescent="0.15">
      <c r="A341" s="89"/>
      <c r="B341" s="90"/>
      <c r="C341" s="90"/>
      <c r="D341" s="91"/>
      <c r="E341" s="90"/>
      <c r="F341" s="90"/>
      <c r="G341" s="90"/>
      <c r="H341" s="90"/>
      <c r="I341" s="90"/>
      <c r="J341" s="78"/>
      <c r="Q341" s="44"/>
    </row>
    <row r="342" spans="1:17" x14ac:dyDescent="0.15">
      <c r="A342" s="89"/>
      <c r="B342" s="90"/>
      <c r="C342" s="90"/>
      <c r="D342" s="91"/>
      <c r="E342" s="90"/>
      <c r="F342" s="90"/>
      <c r="G342" s="90"/>
      <c r="H342" s="90"/>
      <c r="I342" s="90"/>
      <c r="J342" s="78"/>
      <c r="Q342" s="44"/>
    </row>
    <row r="343" spans="1:17" x14ac:dyDescent="0.15">
      <c r="A343" s="89"/>
      <c r="B343" s="90"/>
      <c r="C343" s="90"/>
      <c r="D343" s="91"/>
      <c r="E343" s="90"/>
      <c r="F343" s="90"/>
      <c r="G343" s="90"/>
      <c r="H343" s="90"/>
      <c r="I343" s="90"/>
      <c r="J343" s="78"/>
      <c r="Q343" s="44"/>
    </row>
    <row r="344" spans="1:17" x14ac:dyDescent="0.15">
      <c r="A344" s="89"/>
      <c r="B344" s="90"/>
      <c r="C344" s="90"/>
      <c r="D344" s="91"/>
      <c r="E344" s="90"/>
      <c r="F344" s="90"/>
      <c r="G344" s="90"/>
      <c r="H344" s="90"/>
      <c r="I344" s="90"/>
      <c r="J344" s="78"/>
      <c r="Q344" s="44"/>
    </row>
    <row r="345" spans="1:17" x14ac:dyDescent="0.15">
      <c r="A345" s="89"/>
      <c r="B345" s="90"/>
      <c r="C345" s="90"/>
      <c r="D345" s="91"/>
      <c r="E345" s="90"/>
      <c r="F345" s="90"/>
      <c r="G345" s="90"/>
      <c r="H345" s="90"/>
      <c r="I345" s="90"/>
      <c r="J345" s="78"/>
      <c r="Q345" s="44"/>
    </row>
    <row r="346" spans="1:17" x14ac:dyDescent="0.15">
      <c r="A346" s="89"/>
      <c r="B346" s="90"/>
      <c r="C346" s="90"/>
      <c r="D346" s="91"/>
      <c r="E346" s="90"/>
      <c r="F346" s="90"/>
      <c r="G346" s="90"/>
      <c r="H346" s="90"/>
      <c r="I346" s="90"/>
      <c r="J346" s="78"/>
      <c r="Q346" s="44"/>
    </row>
    <row r="347" spans="1:17" x14ac:dyDescent="0.15">
      <c r="A347" s="89"/>
      <c r="B347" s="90"/>
      <c r="C347" s="90"/>
      <c r="D347" s="91"/>
      <c r="E347" s="90"/>
      <c r="F347" s="90"/>
      <c r="G347" s="90"/>
      <c r="H347" s="90"/>
      <c r="I347" s="90"/>
      <c r="J347" s="78"/>
      <c r="Q347" s="44"/>
    </row>
    <row r="348" spans="1:17" x14ac:dyDescent="0.15">
      <c r="A348" s="89"/>
      <c r="B348" s="90"/>
      <c r="C348" s="90"/>
      <c r="D348" s="91"/>
      <c r="E348" s="90"/>
      <c r="F348" s="90"/>
      <c r="G348" s="90"/>
      <c r="H348" s="90"/>
      <c r="I348" s="90"/>
      <c r="J348" s="78"/>
      <c r="Q348" s="44"/>
    </row>
    <row r="349" spans="1:17" x14ac:dyDescent="0.15">
      <c r="A349" s="89"/>
      <c r="B349" s="90"/>
      <c r="C349" s="90"/>
      <c r="D349" s="91"/>
      <c r="E349" s="90"/>
      <c r="F349" s="90"/>
      <c r="G349" s="90"/>
      <c r="H349" s="90"/>
      <c r="I349" s="90"/>
      <c r="J349" s="78"/>
      <c r="Q349" s="44"/>
    </row>
    <row r="350" spans="1:17" x14ac:dyDescent="0.15">
      <c r="A350" s="89"/>
      <c r="B350" s="90"/>
      <c r="C350" s="90"/>
      <c r="D350" s="91"/>
      <c r="E350" s="90"/>
      <c r="F350" s="90"/>
      <c r="G350" s="90"/>
      <c r="H350" s="90"/>
      <c r="I350" s="90"/>
      <c r="J350" s="78"/>
      <c r="Q350" s="44"/>
    </row>
    <row r="351" spans="1:17" x14ac:dyDescent="0.15">
      <c r="A351" s="89"/>
      <c r="B351" s="90"/>
      <c r="C351" s="90"/>
      <c r="D351" s="91"/>
      <c r="E351" s="90"/>
      <c r="F351" s="90"/>
      <c r="G351" s="90"/>
      <c r="H351" s="90"/>
      <c r="I351" s="90"/>
      <c r="J351" s="78"/>
      <c r="Q351" s="44"/>
    </row>
    <row r="352" spans="1:17" x14ac:dyDescent="0.15">
      <c r="A352" s="89"/>
      <c r="B352" s="90"/>
      <c r="C352" s="90"/>
      <c r="D352" s="91"/>
      <c r="E352" s="90"/>
      <c r="F352" s="90"/>
      <c r="G352" s="90"/>
      <c r="H352" s="90"/>
      <c r="I352" s="90"/>
      <c r="J352" s="78"/>
      <c r="Q352" s="44"/>
    </row>
    <row r="353" spans="1:17" x14ac:dyDescent="0.15">
      <c r="A353" s="89"/>
      <c r="B353" s="90"/>
      <c r="C353" s="90"/>
      <c r="D353" s="91"/>
      <c r="E353" s="90"/>
      <c r="F353" s="90"/>
      <c r="G353" s="90"/>
      <c r="H353" s="90"/>
      <c r="I353" s="90"/>
      <c r="J353" s="78"/>
      <c r="Q353" s="44"/>
    </row>
    <row r="354" spans="1:17" x14ac:dyDescent="0.15">
      <c r="A354" s="89"/>
      <c r="B354" s="90"/>
      <c r="C354" s="90"/>
      <c r="D354" s="91"/>
      <c r="E354" s="90"/>
      <c r="F354" s="90"/>
      <c r="G354" s="90"/>
      <c r="H354" s="90"/>
      <c r="I354" s="90"/>
      <c r="J354" s="78"/>
      <c r="Q354" s="44"/>
    </row>
    <row r="355" spans="1:17" x14ac:dyDescent="0.15">
      <c r="A355" s="89"/>
      <c r="B355" s="90"/>
      <c r="C355" s="90"/>
      <c r="D355" s="91"/>
      <c r="E355" s="90"/>
      <c r="F355" s="90"/>
      <c r="G355" s="90"/>
      <c r="H355" s="90"/>
      <c r="I355" s="90"/>
      <c r="J355" s="78"/>
      <c r="Q355" s="44"/>
    </row>
    <row r="356" spans="1:17" x14ac:dyDescent="0.15">
      <c r="A356" s="89"/>
      <c r="B356" s="90"/>
      <c r="C356" s="90"/>
      <c r="D356" s="91"/>
      <c r="E356" s="90"/>
      <c r="F356" s="90"/>
      <c r="G356" s="90"/>
      <c r="H356" s="90"/>
      <c r="I356" s="90"/>
      <c r="J356" s="78"/>
      <c r="Q356" s="44"/>
    </row>
    <row r="357" spans="1:17" x14ac:dyDescent="0.15">
      <c r="A357" s="89"/>
      <c r="B357" s="90"/>
      <c r="C357" s="90"/>
      <c r="D357" s="91"/>
      <c r="E357" s="90"/>
      <c r="F357" s="90"/>
      <c r="G357" s="90"/>
      <c r="H357" s="90"/>
      <c r="I357" s="90"/>
      <c r="J357" s="78"/>
      <c r="Q357" s="44"/>
    </row>
    <row r="358" spans="1:17" x14ac:dyDescent="0.15">
      <c r="A358" s="89"/>
      <c r="B358" s="90"/>
      <c r="C358" s="90"/>
      <c r="D358" s="91"/>
      <c r="E358" s="90"/>
      <c r="F358" s="90"/>
      <c r="G358" s="90"/>
      <c r="H358" s="90"/>
      <c r="I358" s="90"/>
      <c r="J358" s="78"/>
      <c r="Q358" s="44"/>
    </row>
    <row r="359" spans="1:17" x14ac:dyDescent="0.15">
      <c r="A359" s="89"/>
      <c r="B359" s="90"/>
      <c r="C359" s="90"/>
      <c r="D359" s="91"/>
      <c r="E359" s="90"/>
      <c r="F359" s="90"/>
      <c r="G359" s="90"/>
      <c r="H359" s="90"/>
      <c r="I359" s="90"/>
      <c r="J359" s="78"/>
      <c r="Q359" s="44"/>
    </row>
    <row r="360" spans="1:17" x14ac:dyDescent="0.15">
      <c r="A360" s="89"/>
      <c r="B360" s="90"/>
      <c r="C360" s="90"/>
      <c r="D360" s="91"/>
      <c r="E360" s="90"/>
      <c r="F360" s="90"/>
      <c r="G360" s="90"/>
      <c r="H360" s="90"/>
      <c r="I360" s="90"/>
      <c r="J360" s="78"/>
      <c r="Q360" s="44"/>
    </row>
    <row r="361" spans="1:17" x14ac:dyDescent="0.15">
      <c r="A361" s="89"/>
      <c r="B361" s="90"/>
      <c r="C361" s="90"/>
      <c r="D361" s="91"/>
      <c r="E361" s="90"/>
      <c r="F361" s="90"/>
      <c r="G361" s="90"/>
      <c r="H361" s="90"/>
      <c r="I361" s="90"/>
      <c r="J361" s="78"/>
      <c r="Q361" s="44"/>
    </row>
    <row r="362" spans="1:17" x14ac:dyDescent="0.15">
      <c r="A362" s="89"/>
      <c r="B362" s="90"/>
      <c r="C362" s="90"/>
      <c r="D362" s="91"/>
      <c r="E362" s="90"/>
      <c r="F362" s="90"/>
      <c r="G362" s="90"/>
      <c r="H362" s="90"/>
      <c r="I362" s="90"/>
      <c r="J362" s="78"/>
      <c r="Q362" s="44"/>
    </row>
    <row r="363" spans="1:17" x14ac:dyDescent="0.15">
      <c r="A363" s="89"/>
      <c r="B363" s="90"/>
      <c r="C363" s="90"/>
      <c r="D363" s="91"/>
      <c r="E363" s="90"/>
      <c r="F363" s="90"/>
      <c r="G363" s="90"/>
      <c r="H363" s="90"/>
      <c r="I363" s="90"/>
      <c r="J363" s="78"/>
      <c r="Q363" s="44"/>
    </row>
    <row r="364" spans="1:17" x14ac:dyDescent="0.15">
      <c r="A364" s="89"/>
      <c r="B364" s="90"/>
      <c r="C364" s="90"/>
      <c r="D364" s="91"/>
      <c r="E364" s="90"/>
      <c r="F364" s="90"/>
      <c r="G364" s="90"/>
      <c r="H364" s="90"/>
      <c r="I364" s="90"/>
      <c r="J364" s="78"/>
      <c r="Q364" s="44"/>
    </row>
    <row r="365" spans="1:17" x14ac:dyDescent="0.15">
      <c r="A365" s="89"/>
      <c r="B365" s="90"/>
      <c r="C365" s="90"/>
      <c r="D365" s="91"/>
      <c r="E365" s="90"/>
      <c r="F365" s="90"/>
      <c r="G365" s="90"/>
      <c r="H365" s="90"/>
      <c r="I365" s="90"/>
      <c r="J365" s="78"/>
      <c r="Q365" s="44"/>
    </row>
    <row r="366" spans="1:17" x14ac:dyDescent="0.15">
      <c r="A366" s="89"/>
      <c r="B366" s="90"/>
      <c r="C366" s="90"/>
      <c r="D366" s="91"/>
      <c r="E366" s="90"/>
      <c r="F366" s="90"/>
      <c r="G366" s="90"/>
      <c r="H366" s="90"/>
      <c r="I366" s="90"/>
      <c r="J366" s="78"/>
      <c r="Q366" s="44"/>
    </row>
    <row r="367" spans="1:17" x14ac:dyDescent="0.15">
      <c r="A367" s="89"/>
      <c r="B367" s="90"/>
      <c r="C367" s="90"/>
      <c r="D367" s="91"/>
      <c r="E367" s="90"/>
      <c r="F367" s="90"/>
      <c r="G367" s="90"/>
      <c r="H367" s="90"/>
      <c r="I367" s="90"/>
      <c r="J367" s="78"/>
      <c r="Q367" s="44"/>
    </row>
    <row r="368" spans="1:17" x14ac:dyDescent="0.15">
      <c r="A368" s="89"/>
      <c r="B368" s="90"/>
      <c r="C368" s="90"/>
      <c r="D368" s="91"/>
      <c r="E368" s="90"/>
      <c r="F368" s="90"/>
      <c r="G368" s="90"/>
      <c r="H368" s="90"/>
      <c r="I368" s="90"/>
      <c r="J368" s="78"/>
      <c r="Q368" s="44"/>
    </row>
    <row r="369" spans="1:17" x14ac:dyDescent="0.15">
      <c r="A369" s="89"/>
      <c r="B369" s="90"/>
      <c r="C369" s="90"/>
      <c r="D369" s="91"/>
      <c r="E369" s="90"/>
      <c r="F369" s="90"/>
      <c r="G369" s="90"/>
      <c r="H369" s="90"/>
      <c r="I369" s="90"/>
      <c r="J369" s="78"/>
      <c r="Q369" s="44"/>
    </row>
    <row r="370" spans="1:17" x14ac:dyDescent="0.15">
      <c r="A370" s="89"/>
      <c r="B370" s="90"/>
      <c r="C370" s="90"/>
      <c r="D370" s="91"/>
      <c r="E370" s="90"/>
      <c r="F370" s="90"/>
      <c r="G370" s="90"/>
      <c r="H370" s="90"/>
      <c r="I370" s="90"/>
      <c r="J370" s="78"/>
      <c r="Q370" s="44"/>
    </row>
    <row r="371" spans="1:17" x14ac:dyDescent="0.15">
      <c r="A371" s="89"/>
      <c r="B371" s="90"/>
      <c r="C371" s="90"/>
      <c r="D371" s="91"/>
      <c r="E371" s="90"/>
      <c r="F371" s="90"/>
      <c r="G371" s="90"/>
      <c r="H371" s="90"/>
      <c r="I371" s="90"/>
      <c r="J371" s="78"/>
      <c r="Q371" s="44"/>
    </row>
    <row r="372" spans="1:17" x14ac:dyDescent="0.15">
      <c r="A372" s="89"/>
      <c r="B372" s="90"/>
      <c r="C372" s="90"/>
      <c r="D372" s="91"/>
      <c r="E372" s="90"/>
      <c r="F372" s="90"/>
      <c r="G372" s="90"/>
      <c r="H372" s="90"/>
      <c r="I372" s="90"/>
      <c r="J372" s="78"/>
      <c r="Q372" s="44"/>
    </row>
    <row r="373" spans="1:17" x14ac:dyDescent="0.15">
      <c r="A373" s="89"/>
      <c r="B373" s="90"/>
      <c r="C373" s="90"/>
      <c r="D373" s="91"/>
      <c r="E373" s="90"/>
      <c r="F373" s="90"/>
      <c r="G373" s="90"/>
      <c r="H373" s="90"/>
      <c r="I373" s="90"/>
      <c r="J373" s="78"/>
      <c r="Q373" s="44"/>
    </row>
    <row r="374" spans="1:17" x14ac:dyDescent="0.15">
      <c r="A374" s="89"/>
      <c r="B374" s="90"/>
      <c r="C374" s="90"/>
      <c r="D374" s="91"/>
      <c r="E374" s="90"/>
      <c r="F374" s="90"/>
      <c r="G374" s="90"/>
      <c r="H374" s="90"/>
      <c r="I374" s="90"/>
      <c r="J374" s="78"/>
      <c r="Q374" s="44"/>
    </row>
    <row r="375" spans="1:17" x14ac:dyDescent="0.15">
      <c r="A375" s="89"/>
      <c r="B375" s="90"/>
      <c r="C375" s="90"/>
      <c r="D375" s="91"/>
      <c r="E375" s="90"/>
      <c r="F375" s="90"/>
      <c r="G375" s="90"/>
      <c r="H375" s="90"/>
      <c r="I375" s="90"/>
      <c r="J375" s="78"/>
      <c r="Q375" s="44"/>
    </row>
    <row r="376" spans="1:17" x14ac:dyDescent="0.15">
      <c r="A376" s="89"/>
      <c r="B376" s="90"/>
      <c r="C376" s="90"/>
      <c r="D376" s="91"/>
      <c r="E376" s="90"/>
      <c r="F376" s="90"/>
      <c r="G376" s="90"/>
      <c r="H376" s="90"/>
      <c r="I376" s="90"/>
      <c r="J376" s="78"/>
      <c r="Q376" s="44"/>
    </row>
    <row r="377" spans="1:17" x14ac:dyDescent="0.15">
      <c r="A377" s="89"/>
      <c r="B377" s="90"/>
      <c r="C377" s="90"/>
      <c r="D377" s="91"/>
      <c r="E377" s="90"/>
      <c r="F377" s="90"/>
      <c r="G377" s="90"/>
      <c r="H377" s="90"/>
      <c r="I377" s="90"/>
      <c r="J377" s="78"/>
      <c r="Q377" s="44"/>
    </row>
    <row r="378" spans="1:17" x14ac:dyDescent="0.15">
      <c r="A378" s="89"/>
      <c r="B378" s="90"/>
      <c r="C378" s="90"/>
      <c r="D378" s="91"/>
      <c r="E378" s="90"/>
      <c r="F378" s="90"/>
      <c r="G378" s="90"/>
      <c r="H378" s="90"/>
      <c r="I378" s="90"/>
      <c r="J378" s="78"/>
      <c r="Q378" s="44"/>
    </row>
    <row r="379" spans="1:17" x14ac:dyDescent="0.15">
      <c r="A379" s="89"/>
      <c r="B379" s="90"/>
      <c r="C379" s="90"/>
      <c r="D379" s="91"/>
      <c r="E379" s="90"/>
      <c r="F379" s="90"/>
      <c r="G379" s="90"/>
      <c r="H379" s="90"/>
      <c r="I379" s="90"/>
      <c r="J379" s="78"/>
      <c r="Q379" s="44"/>
    </row>
    <row r="380" spans="1:17" x14ac:dyDescent="0.15">
      <c r="A380" s="89"/>
      <c r="B380" s="90"/>
      <c r="C380" s="90"/>
      <c r="D380" s="91"/>
      <c r="E380" s="90"/>
      <c r="F380" s="90"/>
      <c r="G380" s="90"/>
      <c r="H380" s="90"/>
      <c r="I380" s="90"/>
      <c r="J380" s="78"/>
      <c r="Q380" s="44"/>
    </row>
    <row r="381" spans="1:17" x14ac:dyDescent="0.15">
      <c r="A381" s="89"/>
      <c r="B381" s="90"/>
      <c r="C381" s="90"/>
      <c r="D381" s="91"/>
      <c r="E381" s="90"/>
      <c r="F381" s="90"/>
      <c r="G381" s="90"/>
      <c r="H381" s="90"/>
      <c r="I381" s="90"/>
      <c r="J381" s="78"/>
      <c r="Q381" s="44"/>
    </row>
    <row r="382" spans="1:17" x14ac:dyDescent="0.15">
      <c r="A382" s="89"/>
      <c r="B382" s="90"/>
      <c r="C382" s="90"/>
      <c r="D382" s="91"/>
      <c r="E382" s="90"/>
      <c r="F382" s="90"/>
      <c r="G382" s="90"/>
      <c r="H382" s="90"/>
      <c r="I382" s="90"/>
      <c r="J382" s="78"/>
      <c r="Q382" s="44"/>
    </row>
    <row r="383" spans="1:17" x14ac:dyDescent="0.15">
      <c r="A383" s="89"/>
      <c r="B383" s="90"/>
      <c r="C383" s="90"/>
      <c r="D383" s="91"/>
      <c r="E383" s="90"/>
      <c r="F383" s="90"/>
      <c r="G383" s="90"/>
      <c r="H383" s="90"/>
      <c r="I383" s="90"/>
      <c r="J383" s="78"/>
      <c r="Q383" s="44"/>
    </row>
    <row r="384" spans="1:17" x14ac:dyDescent="0.15">
      <c r="A384" s="89"/>
      <c r="B384" s="90"/>
      <c r="C384" s="90"/>
      <c r="D384" s="91"/>
      <c r="E384" s="90"/>
      <c r="F384" s="90"/>
      <c r="G384" s="90"/>
      <c r="H384" s="90"/>
      <c r="I384" s="90"/>
      <c r="J384" s="78"/>
      <c r="Q384" s="44"/>
    </row>
    <row r="385" spans="1:17" x14ac:dyDescent="0.15">
      <c r="A385" s="89"/>
      <c r="B385" s="90"/>
      <c r="C385" s="90"/>
      <c r="D385" s="91"/>
      <c r="E385" s="90"/>
      <c r="F385" s="90"/>
      <c r="G385" s="90"/>
      <c r="H385" s="90"/>
      <c r="I385" s="90"/>
      <c r="J385" s="78"/>
      <c r="Q385" s="44"/>
    </row>
    <row r="386" spans="1:17" x14ac:dyDescent="0.15">
      <c r="A386" s="89"/>
      <c r="B386" s="90"/>
      <c r="C386" s="90"/>
      <c r="D386" s="91"/>
      <c r="E386" s="90"/>
      <c r="F386" s="90"/>
      <c r="G386" s="90"/>
      <c r="H386" s="90"/>
      <c r="I386" s="90"/>
      <c r="J386" s="78"/>
      <c r="Q386" s="44"/>
    </row>
    <row r="387" spans="1:17" x14ac:dyDescent="0.15">
      <c r="A387" s="89"/>
      <c r="B387" s="90"/>
      <c r="C387" s="90"/>
      <c r="D387" s="91"/>
      <c r="E387" s="90"/>
      <c r="F387" s="90"/>
      <c r="G387" s="90"/>
      <c r="H387" s="90"/>
      <c r="I387" s="90"/>
      <c r="J387" s="78"/>
      <c r="Q387" s="44"/>
    </row>
    <row r="388" spans="1:17" x14ac:dyDescent="0.15">
      <c r="A388" s="89"/>
      <c r="B388" s="90"/>
      <c r="C388" s="90"/>
      <c r="D388" s="91"/>
      <c r="E388" s="90"/>
      <c r="F388" s="90"/>
      <c r="G388" s="90"/>
      <c r="H388" s="90"/>
      <c r="I388" s="90"/>
      <c r="J388" s="78"/>
      <c r="Q388" s="44"/>
    </row>
    <row r="389" spans="1:17" x14ac:dyDescent="0.15">
      <c r="A389" s="89"/>
      <c r="B389" s="90"/>
      <c r="C389" s="90"/>
      <c r="D389" s="91"/>
      <c r="E389" s="90"/>
      <c r="F389" s="90"/>
      <c r="G389" s="90"/>
      <c r="H389" s="90"/>
      <c r="I389" s="90"/>
      <c r="J389" s="78"/>
      <c r="Q389" s="44"/>
    </row>
    <row r="390" spans="1:17" x14ac:dyDescent="0.15">
      <c r="A390" s="89"/>
      <c r="B390" s="90"/>
      <c r="C390" s="90"/>
      <c r="D390" s="91"/>
      <c r="E390" s="90"/>
      <c r="F390" s="90"/>
      <c r="G390" s="90"/>
      <c r="H390" s="90"/>
      <c r="I390" s="90"/>
      <c r="J390" s="78"/>
      <c r="Q390" s="44"/>
    </row>
    <row r="391" spans="1:17" x14ac:dyDescent="0.15">
      <c r="A391" s="89"/>
      <c r="B391" s="90"/>
      <c r="C391" s="90"/>
      <c r="D391" s="91"/>
      <c r="E391" s="90"/>
      <c r="F391" s="90"/>
      <c r="G391" s="90"/>
      <c r="H391" s="90"/>
      <c r="I391" s="90"/>
      <c r="J391" s="78"/>
      <c r="Q391" s="44"/>
    </row>
    <row r="392" spans="1:17" x14ac:dyDescent="0.15">
      <c r="A392" s="89"/>
      <c r="B392" s="90"/>
      <c r="C392" s="90"/>
      <c r="D392" s="91"/>
      <c r="E392" s="90"/>
      <c r="F392" s="90"/>
      <c r="G392" s="90"/>
      <c r="H392" s="90"/>
      <c r="I392" s="90"/>
      <c r="J392" s="78"/>
      <c r="Q392" s="44"/>
    </row>
    <row r="393" spans="1:17" x14ac:dyDescent="0.15">
      <c r="A393" s="89"/>
      <c r="B393" s="90"/>
      <c r="C393" s="90"/>
      <c r="D393" s="91"/>
      <c r="E393" s="90"/>
      <c r="F393" s="90"/>
      <c r="G393" s="90"/>
      <c r="H393" s="90"/>
      <c r="I393" s="90"/>
      <c r="J393" s="78"/>
      <c r="Q393" s="44"/>
    </row>
    <row r="394" spans="1:17" x14ac:dyDescent="0.15">
      <c r="A394" s="89"/>
      <c r="B394" s="90"/>
      <c r="C394" s="90"/>
      <c r="D394" s="91"/>
      <c r="E394" s="90"/>
      <c r="F394" s="90"/>
      <c r="G394" s="90"/>
      <c r="H394" s="90"/>
      <c r="I394" s="90"/>
      <c r="J394" s="78"/>
      <c r="Q394" s="44"/>
    </row>
    <row r="395" spans="1:17" x14ac:dyDescent="0.15">
      <c r="A395" s="89"/>
      <c r="B395" s="90"/>
      <c r="C395" s="90"/>
      <c r="D395" s="91"/>
      <c r="E395" s="90"/>
      <c r="F395" s="90"/>
      <c r="G395" s="90"/>
      <c r="H395" s="90"/>
      <c r="I395" s="90"/>
      <c r="J395" s="78"/>
      <c r="Q395" s="44"/>
    </row>
    <row r="396" spans="1:17" x14ac:dyDescent="0.15">
      <c r="A396" s="89"/>
      <c r="B396" s="90"/>
      <c r="C396" s="90"/>
      <c r="D396" s="91"/>
      <c r="E396" s="90"/>
      <c r="F396" s="90"/>
      <c r="G396" s="90"/>
      <c r="H396" s="90"/>
      <c r="I396" s="90"/>
      <c r="J396" s="78"/>
      <c r="Q396" s="44"/>
    </row>
    <row r="397" spans="1:17" x14ac:dyDescent="0.15">
      <c r="A397" s="89"/>
      <c r="B397" s="90"/>
      <c r="C397" s="90"/>
      <c r="D397" s="91"/>
      <c r="E397" s="90"/>
      <c r="F397" s="90"/>
      <c r="G397" s="90"/>
      <c r="H397" s="90"/>
      <c r="I397" s="90"/>
      <c r="J397" s="78"/>
      <c r="Q397" s="44"/>
    </row>
    <row r="398" spans="1:17" x14ac:dyDescent="0.15">
      <c r="A398" s="89"/>
      <c r="B398" s="90"/>
      <c r="C398" s="90"/>
      <c r="D398" s="91"/>
      <c r="E398" s="90"/>
      <c r="F398" s="90"/>
      <c r="G398" s="90"/>
      <c r="H398" s="90"/>
      <c r="I398" s="90"/>
      <c r="J398" s="78"/>
      <c r="Q398" s="44"/>
    </row>
    <row r="399" spans="1:17" x14ac:dyDescent="0.15">
      <c r="A399" s="89"/>
      <c r="B399" s="90"/>
      <c r="C399" s="90"/>
      <c r="D399" s="91"/>
      <c r="E399" s="90"/>
      <c r="F399" s="90"/>
      <c r="G399" s="90"/>
      <c r="H399" s="90"/>
      <c r="I399" s="90"/>
      <c r="J399" s="78"/>
      <c r="Q399" s="44"/>
    </row>
    <row r="400" spans="1:17" x14ac:dyDescent="0.15">
      <c r="A400" s="89"/>
      <c r="B400" s="90"/>
      <c r="C400" s="90"/>
      <c r="D400" s="91"/>
      <c r="E400" s="90"/>
      <c r="F400" s="90"/>
      <c r="G400" s="90"/>
      <c r="H400" s="90"/>
      <c r="I400" s="90"/>
      <c r="J400" s="78"/>
    </row>
    <row r="401" spans="1:10" x14ac:dyDescent="0.15">
      <c r="A401" s="89"/>
      <c r="B401" s="90"/>
      <c r="C401" s="90"/>
      <c r="D401" s="91"/>
      <c r="E401" s="90"/>
      <c r="F401" s="90"/>
      <c r="G401" s="90"/>
      <c r="H401" s="90"/>
      <c r="I401" s="90"/>
      <c r="J401" s="78"/>
    </row>
    <row r="402" spans="1:10" x14ac:dyDescent="0.15">
      <c r="A402" s="89"/>
      <c r="B402" s="90"/>
      <c r="C402" s="90"/>
      <c r="D402" s="91"/>
      <c r="E402" s="90"/>
      <c r="F402" s="90"/>
      <c r="G402" s="90"/>
      <c r="H402" s="90"/>
      <c r="I402" s="90"/>
      <c r="J402" s="78"/>
    </row>
    <row r="403" spans="1:10" x14ac:dyDescent="0.15">
      <c r="A403" s="89"/>
      <c r="B403" s="90"/>
      <c r="C403" s="90"/>
      <c r="D403" s="91"/>
      <c r="E403" s="90"/>
      <c r="F403" s="90"/>
      <c r="G403" s="90"/>
      <c r="H403" s="90"/>
      <c r="I403" s="90"/>
      <c r="J403" s="78"/>
    </row>
    <row r="404" spans="1:10" x14ac:dyDescent="0.15">
      <c r="A404" s="89"/>
      <c r="B404" s="90"/>
      <c r="C404" s="90"/>
      <c r="D404" s="91"/>
      <c r="E404" s="90"/>
      <c r="F404" s="90"/>
      <c r="G404" s="90"/>
      <c r="H404" s="90"/>
      <c r="I404" s="90"/>
      <c r="J404" s="78"/>
    </row>
    <row r="405" spans="1:10" x14ac:dyDescent="0.15">
      <c r="A405" s="89"/>
      <c r="B405" s="90"/>
      <c r="C405" s="90"/>
      <c r="D405" s="91"/>
      <c r="E405" s="90"/>
      <c r="F405" s="90"/>
      <c r="G405" s="90"/>
      <c r="H405" s="90"/>
      <c r="I405" s="90"/>
      <c r="J405" s="78"/>
    </row>
    <row r="406" spans="1:10" x14ac:dyDescent="0.15">
      <c r="A406" s="89"/>
      <c r="B406" s="90"/>
      <c r="C406" s="90"/>
      <c r="D406" s="91"/>
      <c r="E406" s="90"/>
      <c r="F406" s="90"/>
      <c r="G406" s="90"/>
      <c r="H406" s="90"/>
      <c r="I406" s="90"/>
      <c r="J406" s="78"/>
    </row>
    <row r="407" spans="1:10" x14ac:dyDescent="0.15">
      <c r="A407" s="89"/>
      <c r="B407" s="90"/>
      <c r="C407" s="90"/>
      <c r="D407" s="91"/>
      <c r="E407" s="90"/>
      <c r="F407" s="90"/>
      <c r="G407" s="90"/>
      <c r="H407" s="90"/>
      <c r="I407" s="90"/>
      <c r="J407" s="78"/>
    </row>
    <row r="408" spans="1:10" x14ac:dyDescent="0.15">
      <c r="A408" s="89"/>
      <c r="B408" s="90"/>
      <c r="C408" s="90"/>
      <c r="D408" s="91"/>
      <c r="E408" s="90"/>
      <c r="F408" s="90"/>
      <c r="G408" s="90"/>
      <c r="H408" s="90"/>
      <c r="I408" s="90"/>
      <c r="J408" s="78"/>
    </row>
    <row r="409" spans="1:10" x14ac:dyDescent="0.15">
      <c r="A409" s="89"/>
      <c r="B409" s="90"/>
      <c r="C409" s="90"/>
      <c r="D409" s="91"/>
      <c r="E409" s="90"/>
      <c r="F409" s="90"/>
      <c r="G409" s="90"/>
      <c r="H409" s="90"/>
      <c r="I409" s="90"/>
      <c r="J409" s="78"/>
    </row>
    <row r="410" spans="1:10" x14ac:dyDescent="0.15">
      <c r="A410" s="89"/>
      <c r="B410" s="90"/>
      <c r="C410" s="90"/>
      <c r="D410" s="91"/>
      <c r="E410" s="90"/>
      <c r="F410" s="90"/>
      <c r="G410" s="90"/>
      <c r="H410" s="90"/>
      <c r="I410" s="90"/>
      <c r="J410" s="78"/>
    </row>
    <row r="411" spans="1:10" x14ac:dyDescent="0.15">
      <c r="A411" s="89"/>
      <c r="B411" s="90"/>
      <c r="C411" s="90"/>
      <c r="D411" s="91"/>
      <c r="E411" s="90"/>
      <c r="F411" s="90"/>
      <c r="G411" s="90"/>
      <c r="H411" s="90"/>
      <c r="I411" s="90"/>
      <c r="J411" s="78"/>
    </row>
    <row r="412" spans="1:10" x14ac:dyDescent="0.15">
      <c r="A412" s="89"/>
      <c r="B412" s="90"/>
      <c r="C412" s="90"/>
      <c r="D412" s="91"/>
      <c r="E412" s="90"/>
      <c r="F412" s="90"/>
      <c r="G412" s="90"/>
      <c r="H412" s="90"/>
      <c r="I412" s="90"/>
      <c r="J412" s="78"/>
    </row>
    <row r="413" spans="1:10" x14ac:dyDescent="0.15">
      <c r="A413" s="89"/>
      <c r="B413" s="90"/>
      <c r="C413" s="90"/>
      <c r="D413" s="91"/>
      <c r="E413" s="90"/>
      <c r="F413" s="90"/>
      <c r="G413" s="90"/>
      <c r="H413" s="90"/>
      <c r="I413" s="90"/>
      <c r="J413" s="78"/>
    </row>
    <row r="414" spans="1:10" x14ac:dyDescent="0.15">
      <c r="A414" s="89"/>
      <c r="B414" s="90"/>
      <c r="C414" s="90"/>
      <c r="D414" s="91"/>
      <c r="E414" s="90"/>
      <c r="F414" s="90"/>
      <c r="G414" s="90"/>
      <c r="H414" s="90"/>
      <c r="I414" s="90"/>
      <c r="J414" s="78"/>
    </row>
    <row r="415" spans="1:10" x14ac:dyDescent="0.15">
      <c r="A415" s="89"/>
      <c r="B415" s="90"/>
      <c r="C415" s="90"/>
      <c r="D415" s="91"/>
      <c r="E415" s="90"/>
      <c r="F415" s="90"/>
      <c r="G415" s="90"/>
      <c r="H415" s="90"/>
      <c r="I415" s="90"/>
      <c r="J415" s="78"/>
    </row>
    <row r="416" spans="1:10" x14ac:dyDescent="0.15">
      <c r="A416" s="89"/>
      <c r="B416" s="90"/>
      <c r="C416" s="90"/>
      <c r="D416" s="91"/>
      <c r="E416" s="90"/>
      <c r="F416" s="90"/>
      <c r="G416" s="90"/>
      <c r="H416" s="90"/>
      <c r="I416" s="90"/>
      <c r="J416" s="78"/>
    </row>
    <row r="417" spans="1:10" x14ac:dyDescent="0.15">
      <c r="A417" s="89"/>
      <c r="B417" s="90"/>
      <c r="C417" s="90"/>
      <c r="D417" s="91"/>
      <c r="E417" s="90"/>
      <c r="F417" s="90"/>
      <c r="G417" s="90"/>
      <c r="H417" s="90"/>
      <c r="I417" s="90"/>
      <c r="J417" s="78"/>
    </row>
    <row r="418" spans="1:10" x14ac:dyDescent="0.15">
      <c r="A418" s="89"/>
      <c r="B418" s="90"/>
      <c r="C418" s="90"/>
      <c r="D418" s="91"/>
      <c r="E418" s="90"/>
      <c r="F418" s="90"/>
      <c r="G418" s="90"/>
      <c r="H418" s="90"/>
      <c r="I418" s="90"/>
      <c r="J418" s="78"/>
    </row>
    <row r="419" spans="1:10" x14ac:dyDescent="0.15">
      <c r="A419" s="89"/>
      <c r="B419" s="90"/>
      <c r="C419" s="90"/>
      <c r="D419" s="91"/>
      <c r="E419" s="90"/>
      <c r="F419" s="90"/>
      <c r="G419" s="90"/>
      <c r="H419" s="90"/>
      <c r="I419" s="90"/>
      <c r="J419" s="78"/>
    </row>
    <row r="420" spans="1:10" x14ac:dyDescent="0.15">
      <c r="A420" s="89"/>
      <c r="B420" s="90"/>
      <c r="C420" s="90"/>
      <c r="D420" s="91"/>
      <c r="E420" s="90"/>
      <c r="F420" s="90"/>
      <c r="G420" s="90"/>
      <c r="H420" s="90"/>
      <c r="I420" s="90"/>
      <c r="J420" s="78"/>
    </row>
    <row r="421" spans="1:10" x14ac:dyDescent="0.15">
      <c r="A421" s="89"/>
      <c r="B421" s="90"/>
      <c r="C421" s="90"/>
      <c r="D421" s="91"/>
      <c r="E421" s="90"/>
      <c r="F421" s="90"/>
      <c r="G421" s="90"/>
      <c r="H421" s="90"/>
      <c r="I421" s="90"/>
      <c r="J421" s="78"/>
    </row>
    <row r="422" spans="1:10" x14ac:dyDescent="0.15">
      <c r="A422" s="89"/>
      <c r="B422" s="90"/>
      <c r="C422" s="90"/>
      <c r="D422" s="91"/>
      <c r="E422" s="90"/>
      <c r="F422" s="90"/>
      <c r="G422" s="90"/>
      <c r="H422" s="90"/>
      <c r="I422" s="90"/>
      <c r="J422" s="78"/>
    </row>
    <row r="423" spans="1:10" x14ac:dyDescent="0.15">
      <c r="A423" s="89"/>
      <c r="B423" s="90"/>
      <c r="C423" s="90"/>
      <c r="D423" s="91"/>
      <c r="E423" s="90"/>
      <c r="F423" s="90"/>
      <c r="G423" s="90"/>
      <c r="H423" s="90"/>
      <c r="I423" s="90"/>
      <c r="J423" s="78"/>
    </row>
    <row r="424" spans="1:10" x14ac:dyDescent="0.15">
      <c r="A424" s="89"/>
      <c r="B424" s="90"/>
      <c r="C424" s="90"/>
      <c r="D424" s="91"/>
      <c r="E424" s="90"/>
      <c r="F424" s="90"/>
      <c r="G424" s="90"/>
      <c r="H424" s="90"/>
      <c r="I424" s="90"/>
      <c r="J424" s="78"/>
    </row>
    <row r="425" spans="1:10" x14ac:dyDescent="0.15">
      <c r="A425" s="89"/>
      <c r="B425" s="90"/>
      <c r="C425" s="90"/>
      <c r="D425" s="91"/>
      <c r="E425" s="90"/>
      <c r="F425" s="90"/>
      <c r="G425" s="90"/>
      <c r="H425" s="90"/>
      <c r="I425" s="90"/>
      <c r="J425" s="78"/>
    </row>
    <row r="426" spans="1:10" x14ac:dyDescent="0.15">
      <c r="A426" s="89"/>
      <c r="B426" s="90"/>
      <c r="C426" s="90"/>
      <c r="D426" s="91"/>
      <c r="E426" s="90"/>
      <c r="F426" s="90"/>
      <c r="G426" s="90"/>
      <c r="H426" s="90"/>
      <c r="I426" s="90"/>
      <c r="J426" s="78"/>
    </row>
    <row r="427" spans="1:10" x14ac:dyDescent="0.15">
      <c r="A427" s="89"/>
      <c r="B427" s="90"/>
      <c r="C427" s="90"/>
      <c r="D427" s="91"/>
      <c r="E427" s="90"/>
      <c r="F427" s="90"/>
      <c r="G427" s="90"/>
      <c r="H427" s="90"/>
      <c r="I427" s="90"/>
      <c r="J427" s="78"/>
    </row>
    <row r="428" spans="1:10" x14ac:dyDescent="0.15">
      <c r="A428" s="89"/>
      <c r="B428" s="90"/>
      <c r="C428" s="90"/>
      <c r="D428" s="91"/>
      <c r="E428" s="90"/>
      <c r="F428" s="90"/>
      <c r="G428" s="90"/>
      <c r="H428" s="90"/>
      <c r="I428" s="90"/>
      <c r="J428" s="78"/>
    </row>
    <row r="429" spans="1:10" x14ac:dyDescent="0.15">
      <c r="A429" s="89"/>
      <c r="B429" s="90"/>
      <c r="C429" s="90"/>
      <c r="D429" s="91"/>
      <c r="E429" s="90"/>
      <c r="F429" s="90"/>
      <c r="G429" s="90"/>
      <c r="H429" s="90"/>
      <c r="I429" s="90"/>
      <c r="J429" s="78"/>
    </row>
    <row r="430" spans="1:10" x14ac:dyDescent="0.15">
      <c r="A430" s="89"/>
      <c r="B430" s="90"/>
      <c r="C430" s="90"/>
      <c r="D430" s="91"/>
      <c r="E430" s="90"/>
      <c r="F430" s="90"/>
      <c r="G430" s="90"/>
      <c r="H430" s="90"/>
      <c r="I430" s="90"/>
      <c r="J430" s="78"/>
    </row>
    <row r="431" spans="1:10" x14ac:dyDescent="0.15">
      <c r="A431" s="89"/>
      <c r="B431" s="90"/>
      <c r="C431" s="90"/>
      <c r="D431" s="91"/>
      <c r="E431" s="90"/>
      <c r="F431" s="90"/>
      <c r="G431" s="90"/>
      <c r="H431" s="90"/>
      <c r="I431" s="90"/>
      <c r="J431" s="78"/>
    </row>
    <row r="432" spans="1:10" x14ac:dyDescent="0.15">
      <c r="A432" s="89"/>
      <c r="B432" s="90"/>
      <c r="C432" s="90"/>
      <c r="D432" s="91"/>
      <c r="E432" s="90"/>
      <c r="F432" s="90"/>
      <c r="G432" s="90"/>
      <c r="H432" s="90"/>
      <c r="I432" s="90"/>
      <c r="J432" s="78"/>
    </row>
    <row r="433" spans="1:10" x14ac:dyDescent="0.15">
      <c r="A433" s="89"/>
      <c r="B433" s="90"/>
      <c r="C433" s="90"/>
      <c r="D433" s="91"/>
      <c r="E433" s="90"/>
      <c r="F433" s="90"/>
      <c r="G433" s="90"/>
      <c r="H433" s="90"/>
      <c r="I433" s="90"/>
      <c r="J433" s="78"/>
    </row>
    <row r="434" spans="1:10" x14ac:dyDescent="0.15">
      <c r="A434" s="89"/>
      <c r="B434" s="90"/>
      <c r="C434" s="90"/>
      <c r="D434" s="91"/>
      <c r="E434" s="90"/>
      <c r="F434" s="90"/>
      <c r="G434" s="90"/>
      <c r="H434" s="90"/>
      <c r="I434" s="90"/>
      <c r="J434" s="78"/>
    </row>
    <row r="435" spans="1:10" x14ac:dyDescent="0.15">
      <c r="A435" s="89"/>
      <c r="B435" s="90"/>
      <c r="C435" s="90"/>
      <c r="D435" s="91"/>
      <c r="E435" s="90"/>
      <c r="F435" s="90"/>
      <c r="G435" s="90"/>
      <c r="H435" s="90"/>
      <c r="I435" s="90"/>
      <c r="J435" s="78"/>
    </row>
    <row r="436" spans="1:10" x14ac:dyDescent="0.15">
      <c r="A436" s="89"/>
      <c r="B436" s="90"/>
      <c r="C436" s="90"/>
      <c r="D436" s="91"/>
      <c r="E436" s="90"/>
      <c r="F436" s="90"/>
      <c r="G436" s="90"/>
      <c r="H436" s="90"/>
      <c r="I436" s="90"/>
      <c r="J436" s="78"/>
    </row>
    <row r="437" spans="1:10" x14ac:dyDescent="0.15">
      <c r="A437" s="89"/>
      <c r="B437" s="90"/>
      <c r="C437" s="90"/>
      <c r="D437" s="91"/>
      <c r="E437" s="90"/>
      <c r="F437" s="90"/>
      <c r="G437" s="90"/>
      <c r="H437" s="90"/>
      <c r="I437" s="90"/>
      <c r="J437" s="78"/>
    </row>
    <row r="438" spans="1:10" x14ac:dyDescent="0.15">
      <c r="A438" s="89"/>
      <c r="B438" s="90"/>
      <c r="C438" s="90"/>
      <c r="D438" s="91"/>
      <c r="E438" s="90"/>
      <c r="F438" s="90"/>
      <c r="G438" s="90"/>
      <c r="H438" s="90"/>
      <c r="I438" s="90"/>
      <c r="J438" s="78"/>
    </row>
    <row r="439" spans="1:10" x14ac:dyDescent="0.15">
      <c r="A439" s="89"/>
      <c r="B439" s="90"/>
      <c r="C439" s="90"/>
      <c r="D439" s="91"/>
      <c r="E439" s="90"/>
      <c r="F439" s="90"/>
      <c r="G439" s="90"/>
      <c r="H439" s="90"/>
      <c r="I439" s="90"/>
      <c r="J439" s="78"/>
    </row>
    <row r="440" spans="1:10" x14ac:dyDescent="0.15">
      <c r="A440" s="89"/>
      <c r="B440" s="90"/>
      <c r="C440" s="90"/>
      <c r="D440" s="91"/>
      <c r="E440" s="90"/>
      <c r="F440" s="90"/>
      <c r="G440" s="90"/>
      <c r="H440" s="90"/>
      <c r="I440" s="90"/>
      <c r="J440" s="78"/>
    </row>
    <row r="441" spans="1:10" x14ac:dyDescent="0.15">
      <c r="A441" s="89"/>
      <c r="B441" s="90"/>
      <c r="C441" s="90"/>
      <c r="D441" s="91"/>
      <c r="E441" s="90"/>
      <c r="F441" s="90"/>
      <c r="G441" s="90"/>
      <c r="H441" s="90"/>
      <c r="I441" s="90"/>
      <c r="J441" s="78"/>
    </row>
    <row r="442" spans="1:10" x14ac:dyDescent="0.15">
      <c r="A442" s="89"/>
      <c r="B442" s="90"/>
      <c r="C442" s="90"/>
      <c r="D442" s="91"/>
      <c r="E442" s="90"/>
      <c r="F442" s="90"/>
      <c r="G442" s="90"/>
      <c r="H442" s="90"/>
      <c r="I442" s="90"/>
      <c r="J442" s="78"/>
    </row>
    <row r="443" spans="1:10" x14ac:dyDescent="0.15">
      <c r="A443" s="89"/>
      <c r="B443" s="90"/>
      <c r="C443" s="90"/>
      <c r="D443" s="91"/>
      <c r="E443" s="90"/>
      <c r="F443" s="90"/>
      <c r="G443" s="90"/>
      <c r="H443" s="90"/>
      <c r="I443" s="90"/>
      <c r="J443" s="78"/>
    </row>
    <row r="444" spans="1:10" x14ac:dyDescent="0.15">
      <c r="A444" s="89"/>
      <c r="B444" s="90"/>
      <c r="C444" s="90"/>
      <c r="D444" s="91"/>
      <c r="E444" s="90"/>
      <c r="F444" s="90"/>
      <c r="G444" s="90"/>
      <c r="H444" s="90"/>
      <c r="I444" s="90"/>
      <c r="J444" s="78"/>
    </row>
    <row r="445" spans="1:10" x14ac:dyDescent="0.15">
      <c r="A445" s="89"/>
      <c r="B445" s="90"/>
      <c r="C445" s="90"/>
      <c r="D445" s="91"/>
      <c r="E445" s="90"/>
      <c r="F445" s="90"/>
      <c r="G445" s="90"/>
      <c r="H445" s="90"/>
      <c r="I445" s="90"/>
      <c r="J445" s="78"/>
    </row>
    <row r="446" spans="1:10" x14ac:dyDescent="0.15">
      <c r="A446" s="89"/>
      <c r="B446" s="90"/>
      <c r="C446" s="90"/>
      <c r="D446" s="91"/>
      <c r="E446" s="90"/>
      <c r="F446" s="90"/>
      <c r="G446" s="90"/>
      <c r="H446" s="90"/>
      <c r="I446" s="90"/>
      <c r="J446" s="78"/>
    </row>
    <row r="447" spans="1:10" x14ac:dyDescent="0.15">
      <c r="A447" s="89"/>
      <c r="B447" s="90"/>
      <c r="C447" s="90"/>
      <c r="D447" s="91"/>
      <c r="E447" s="90"/>
      <c r="F447" s="90"/>
      <c r="G447" s="90"/>
      <c r="H447" s="90"/>
      <c r="I447" s="90"/>
      <c r="J447" s="78"/>
    </row>
    <row r="448" spans="1:10" x14ac:dyDescent="0.15">
      <c r="A448" s="89"/>
      <c r="B448" s="90"/>
      <c r="C448" s="90"/>
      <c r="D448" s="91"/>
      <c r="E448" s="90"/>
      <c r="F448" s="90"/>
      <c r="G448" s="90"/>
      <c r="H448" s="90"/>
      <c r="I448" s="90"/>
      <c r="J448" s="78"/>
    </row>
    <row r="449" spans="1:10" x14ac:dyDescent="0.15">
      <c r="A449" s="89"/>
      <c r="B449" s="90"/>
      <c r="C449" s="90"/>
      <c r="D449" s="91"/>
      <c r="E449" s="90"/>
      <c r="F449" s="90"/>
      <c r="G449" s="90"/>
      <c r="H449" s="90"/>
      <c r="I449" s="90"/>
      <c r="J449" s="78"/>
    </row>
    <row r="450" spans="1:10" x14ac:dyDescent="0.15">
      <c r="A450" s="89"/>
      <c r="B450" s="90"/>
      <c r="C450" s="90"/>
      <c r="D450" s="91"/>
      <c r="E450" s="90"/>
      <c r="F450" s="90"/>
      <c r="G450" s="90"/>
      <c r="H450" s="90"/>
      <c r="I450" s="90"/>
      <c r="J450" s="78"/>
    </row>
    <row r="451" spans="1:10" x14ac:dyDescent="0.15">
      <c r="A451" s="89"/>
      <c r="B451" s="90"/>
      <c r="C451" s="90"/>
      <c r="D451" s="91"/>
      <c r="E451" s="90"/>
      <c r="F451" s="90"/>
      <c r="G451" s="90"/>
      <c r="H451" s="90"/>
      <c r="I451" s="90"/>
      <c r="J451" s="78"/>
    </row>
    <row r="452" spans="1:10" x14ac:dyDescent="0.15">
      <c r="A452" s="89"/>
      <c r="B452" s="90"/>
      <c r="C452" s="90"/>
      <c r="D452" s="91"/>
      <c r="E452" s="90"/>
      <c r="F452" s="90"/>
      <c r="G452" s="90"/>
      <c r="H452" s="90"/>
      <c r="I452" s="90"/>
      <c r="J452" s="78"/>
    </row>
    <row r="453" spans="1:10" x14ac:dyDescent="0.15">
      <c r="A453" s="89"/>
      <c r="B453" s="90"/>
      <c r="C453" s="90"/>
      <c r="D453" s="91"/>
      <c r="E453" s="90"/>
      <c r="F453" s="90"/>
      <c r="G453" s="90"/>
      <c r="H453" s="90"/>
      <c r="I453" s="90"/>
      <c r="J453" s="78"/>
    </row>
    <row r="454" spans="1:10" x14ac:dyDescent="0.15">
      <c r="A454" s="89"/>
      <c r="B454" s="90"/>
      <c r="C454" s="90"/>
      <c r="D454" s="91"/>
      <c r="E454" s="90"/>
      <c r="F454" s="90"/>
      <c r="G454" s="90"/>
      <c r="H454" s="90"/>
      <c r="I454" s="90"/>
      <c r="J454" s="78"/>
    </row>
    <row r="455" spans="1:10" x14ac:dyDescent="0.15">
      <c r="A455" s="89"/>
      <c r="B455" s="90"/>
      <c r="C455" s="90"/>
      <c r="D455" s="91"/>
      <c r="E455" s="90"/>
      <c r="F455" s="90"/>
      <c r="G455" s="90"/>
      <c r="H455" s="90"/>
      <c r="I455" s="90"/>
      <c r="J455" s="78"/>
    </row>
    <row r="456" spans="1:10" x14ac:dyDescent="0.15">
      <c r="A456" s="89"/>
      <c r="B456" s="90"/>
      <c r="C456" s="90"/>
      <c r="D456" s="91"/>
      <c r="E456" s="90"/>
      <c r="F456" s="90"/>
      <c r="G456" s="90"/>
      <c r="H456" s="90"/>
      <c r="I456" s="90"/>
      <c r="J456" s="78"/>
    </row>
    <row r="457" spans="1:10" x14ac:dyDescent="0.15">
      <c r="A457" s="89"/>
      <c r="B457" s="90"/>
      <c r="C457" s="90"/>
      <c r="D457" s="91"/>
      <c r="E457" s="90"/>
      <c r="F457" s="90"/>
      <c r="G457" s="90"/>
      <c r="H457" s="90"/>
      <c r="I457" s="90"/>
      <c r="J457" s="78"/>
    </row>
    <row r="458" spans="1:10" x14ac:dyDescent="0.15">
      <c r="A458" s="89"/>
      <c r="B458" s="90"/>
      <c r="C458" s="90"/>
      <c r="D458" s="91"/>
      <c r="E458" s="90"/>
      <c r="F458" s="90"/>
      <c r="G458" s="90"/>
      <c r="H458" s="90"/>
      <c r="I458" s="90"/>
      <c r="J458" s="78"/>
    </row>
    <row r="459" spans="1:10" x14ac:dyDescent="0.15">
      <c r="A459" s="89"/>
      <c r="B459" s="90"/>
      <c r="C459" s="90"/>
      <c r="D459" s="91"/>
      <c r="E459" s="90"/>
      <c r="F459" s="90"/>
      <c r="G459" s="90"/>
      <c r="H459" s="90"/>
      <c r="I459" s="90"/>
      <c r="J459" s="78"/>
    </row>
    <row r="460" spans="1:10" x14ac:dyDescent="0.15">
      <c r="A460" s="89"/>
      <c r="B460" s="90"/>
      <c r="C460" s="90"/>
      <c r="D460" s="91"/>
      <c r="E460" s="90"/>
      <c r="F460" s="90"/>
      <c r="G460" s="90"/>
      <c r="H460" s="90"/>
      <c r="I460" s="90"/>
      <c r="J460" s="78"/>
    </row>
    <row r="461" spans="1:10" x14ac:dyDescent="0.15">
      <c r="A461" s="89"/>
      <c r="B461" s="90"/>
      <c r="C461" s="90"/>
      <c r="D461" s="91"/>
      <c r="E461" s="90"/>
      <c r="F461" s="90"/>
      <c r="G461" s="90"/>
      <c r="H461" s="90"/>
      <c r="I461" s="90"/>
      <c r="J461" s="78"/>
    </row>
    <row r="462" spans="1:10" x14ac:dyDescent="0.15">
      <c r="A462" s="89"/>
      <c r="B462" s="90"/>
      <c r="C462" s="90"/>
      <c r="D462" s="91"/>
      <c r="E462" s="90"/>
      <c r="F462" s="90"/>
      <c r="G462" s="90"/>
      <c r="H462" s="90"/>
      <c r="I462" s="90"/>
      <c r="J462" s="78"/>
    </row>
    <row r="463" spans="1:10" x14ac:dyDescent="0.15">
      <c r="A463" s="89"/>
      <c r="B463" s="90"/>
      <c r="C463" s="90"/>
      <c r="D463" s="91"/>
      <c r="E463" s="90"/>
      <c r="F463" s="90"/>
      <c r="G463" s="90"/>
      <c r="H463" s="90"/>
      <c r="I463" s="90"/>
      <c r="J463" s="78"/>
    </row>
    <row r="464" spans="1:10" x14ac:dyDescent="0.15">
      <c r="A464" s="89"/>
      <c r="B464" s="90"/>
      <c r="C464" s="90"/>
      <c r="D464" s="91"/>
      <c r="E464" s="90"/>
      <c r="F464" s="90"/>
      <c r="G464" s="90"/>
      <c r="H464" s="90"/>
      <c r="I464" s="90"/>
      <c r="J464" s="78"/>
    </row>
    <row r="465" spans="1:10" x14ac:dyDescent="0.15">
      <c r="A465" s="89"/>
      <c r="B465" s="90"/>
      <c r="C465" s="90"/>
      <c r="D465" s="91"/>
      <c r="E465" s="90"/>
      <c r="F465" s="90"/>
      <c r="G465" s="90"/>
      <c r="H465" s="90"/>
      <c r="I465" s="90"/>
      <c r="J465" s="78"/>
    </row>
    <row r="466" spans="1:10" x14ac:dyDescent="0.15">
      <c r="A466" s="89"/>
      <c r="B466" s="90"/>
      <c r="C466" s="90"/>
      <c r="D466" s="91"/>
      <c r="E466" s="90"/>
      <c r="F466" s="90"/>
      <c r="G466" s="90"/>
      <c r="H466" s="90"/>
      <c r="I466" s="90"/>
      <c r="J466" s="78"/>
    </row>
    <row r="467" spans="1:10" x14ac:dyDescent="0.15">
      <c r="A467" s="89"/>
      <c r="B467" s="90"/>
      <c r="C467" s="90"/>
      <c r="D467" s="91"/>
      <c r="E467" s="90"/>
      <c r="F467" s="90"/>
      <c r="G467" s="90"/>
      <c r="H467" s="90"/>
      <c r="I467" s="90"/>
      <c r="J467" s="78"/>
    </row>
    <row r="468" spans="1:10" x14ac:dyDescent="0.15">
      <c r="A468" s="89"/>
      <c r="B468" s="90"/>
      <c r="C468" s="90"/>
      <c r="D468" s="91"/>
      <c r="E468" s="90"/>
      <c r="F468" s="90"/>
      <c r="G468" s="90"/>
      <c r="H468" s="90"/>
      <c r="I468" s="90"/>
      <c r="J468" s="78"/>
    </row>
    <row r="469" spans="1:10" x14ac:dyDescent="0.15">
      <c r="A469" s="89"/>
      <c r="B469" s="90"/>
      <c r="C469" s="90"/>
      <c r="D469" s="91"/>
      <c r="E469" s="90"/>
      <c r="F469" s="90"/>
      <c r="G469" s="90"/>
      <c r="H469" s="90"/>
      <c r="I469" s="90"/>
      <c r="J469" s="78"/>
    </row>
    <row r="470" spans="1:10" x14ac:dyDescent="0.15">
      <c r="A470" s="89"/>
      <c r="B470" s="90"/>
      <c r="C470" s="90"/>
      <c r="D470" s="91"/>
      <c r="E470" s="90"/>
      <c r="F470" s="90"/>
      <c r="G470" s="90"/>
      <c r="H470" s="90"/>
      <c r="I470" s="90"/>
      <c r="J470" s="78"/>
    </row>
    <row r="471" spans="1:10" x14ac:dyDescent="0.15">
      <c r="A471" s="89"/>
      <c r="B471" s="90"/>
      <c r="C471" s="90"/>
      <c r="D471" s="91"/>
      <c r="E471" s="90"/>
      <c r="F471" s="90"/>
      <c r="G471" s="90"/>
      <c r="H471" s="90"/>
      <c r="I471" s="90"/>
      <c r="J471" s="78"/>
    </row>
    <row r="472" spans="1:10" x14ac:dyDescent="0.15">
      <c r="A472" s="89"/>
      <c r="B472" s="90"/>
      <c r="C472" s="90"/>
      <c r="D472" s="91"/>
      <c r="E472" s="90"/>
      <c r="F472" s="90"/>
      <c r="G472" s="90"/>
      <c r="H472" s="90"/>
      <c r="I472" s="90"/>
      <c r="J472" s="78"/>
    </row>
    <row r="473" spans="1:10" x14ac:dyDescent="0.15">
      <c r="A473" s="89"/>
      <c r="B473" s="90"/>
      <c r="C473" s="90"/>
      <c r="D473" s="91"/>
      <c r="E473" s="90"/>
      <c r="F473" s="90"/>
      <c r="G473" s="90"/>
      <c r="H473" s="90"/>
      <c r="I473" s="90"/>
      <c r="J473" s="78"/>
    </row>
    <row r="474" spans="1:10" x14ac:dyDescent="0.15">
      <c r="A474" s="89"/>
      <c r="B474" s="90"/>
      <c r="C474" s="90"/>
      <c r="D474" s="91"/>
      <c r="E474" s="90"/>
      <c r="F474" s="90"/>
      <c r="G474" s="90"/>
      <c r="H474" s="90"/>
      <c r="I474" s="90"/>
      <c r="J474" s="78"/>
    </row>
    <row r="475" spans="1:10" x14ac:dyDescent="0.15">
      <c r="A475" s="89"/>
      <c r="B475" s="90"/>
      <c r="C475" s="90"/>
      <c r="D475" s="91"/>
      <c r="E475" s="90"/>
      <c r="F475" s="90"/>
      <c r="G475" s="90"/>
      <c r="H475" s="90"/>
      <c r="I475" s="90"/>
      <c r="J475" s="78"/>
    </row>
    <row r="476" spans="1:10" x14ac:dyDescent="0.15">
      <c r="A476" s="89"/>
      <c r="B476" s="90"/>
      <c r="C476" s="90"/>
      <c r="D476" s="91"/>
      <c r="E476" s="90"/>
      <c r="F476" s="90"/>
      <c r="G476" s="90"/>
      <c r="H476" s="90"/>
      <c r="I476" s="90"/>
      <c r="J476" s="78"/>
    </row>
    <row r="477" spans="1:10" x14ac:dyDescent="0.15">
      <c r="A477" s="89"/>
      <c r="B477" s="90"/>
      <c r="C477" s="90"/>
      <c r="D477" s="91"/>
      <c r="E477" s="90"/>
      <c r="F477" s="90"/>
      <c r="G477" s="90"/>
      <c r="H477" s="90"/>
      <c r="I477" s="90"/>
      <c r="J477" s="78"/>
    </row>
    <row r="478" spans="1:10" x14ac:dyDescent="0.15">
      <c r="A478" s="89"/>
      <c r="B478" s="90"/>
      <c r="C478" s="90"/>
      <c r="D478" s="91"/>
      <c r="E478" s="90"/>
      <c r="F478" s="90"/>
      <c r="G478" s="90"/>
      <c r="H478" s="90"/>
      <c r="I478" s="90"/>
      <c r="J478" s="78"/>
    </row>
    <row r="479" spans="1:10" x14ac:dyDescent="0.15">
      <c r="A479" s="89"/>
      <c r="B479" s="90"/>
      <c r="C479" s="90"/>
      <c r="D479" s="91"/>
      <c r="E479" s="90"/>
      <c r="F479" s="90"/>
      <c r="G479" s="90"/>
      <c r="H479" s="90"/>
      <c r="I479" s="90"/>
      <c r="J479" s="78"/>
    </row>
    <row r="480" spans="1:10" x14ac:dyDescent="0.15">
      <c r="A480" s="89"/>
      <c r="B480" s="90"/>
      <c r="C480" s="90"/>
      <c r="D480" s="91"/>
      <c r="E480" s="90"/>
      <c r="F480" s="90"/>
      <c r="G480" s="90"/>
      <c r="H480" s="90"/>
      <c r="I480" s="90"/>
      <c r="J480" s="78"/>
    </row>
    <row r="481" spans="1:10" x14ac:dyDescent="0.15">
      <c r="A481" s="89"/>
      <c r="B481" s="90"/>
      <c r="C481" s="90"/>
      <c r="D481" s="91"/>
      <c r="E481" s="90"/>
      <c r="F481" s="90"/>
      <c r="G481" s="90"/>
      <c r="H481" s="90"/>
      <c r="I481" s="90"/>
      <c r="J481" s="78"/>
    </row>
    <row r="482" spans="1:10" x14ac:dyDescent="0.15">
      <c r="A482" s="89"/>
      <c r="B482" s="90"/>
      <c r="C482" s="90"/>
      <c r="D482" s="91"/>
      <c r="E482" s="90"/>
      <c r="F482" s="90"/>
      <c r="G482" s="90"/>
      <c r="H482" s="90"/>
      <c r="I482" s="90"/>
      <c r="J482" s="78"/>
    </row>
    <row r="483" spans="1:10" x14ac:dyDescent="0.15">
      <c r="A483" s="89"/>
      <c r="B483" s="90"/>
      <c r="C483" s="90"/>
      <c r="D483" s="91"/>
      <c r="E483" s="90"/>
      <c r="F483" s="90"/>
      <c r="G483" s="90"/>
      <c r="H483" s="90"/>
      <c r="I483" s="90"/>
      <c r="J483" s="78"/>
    </row>
    <row r="484" spans="1:10" x14ac:dyDescent="0.15">
      <c r="A484" s="89"/>
      <c r="B484" s="90"/>
      <c r="C484" s="90"/>
      <c r="D484" s="91"/>
      <c r="E484" s="90"/>
      <c r="F484" s="90"/>
      <c r="G484" s="90"/>
      <c r="H484" s="90"/>
      <c r="I484" s="90"/>
      <c r="J484" s="78"/>
    </row>
    <row r="485" spans="1:10" x14ac:dyDescent="0.15">
      <c r="A485" s="89"/>
      <c r="B485" s="90"/>
      <c r="C485" s="90"/>
      <c r="D485" s="91"/>
      <c r="E485" s="90"/>
      <c r="F485" s="90"/>
      <c r="G485" s="90"/>
      <c r="H485" s="90"/>
      <c r="I485" s="90"/>
      <c r="J485" s="78"/>
    </row>
    <row r="486" spans="1:10" x14ac:dyDescent="0.15">
      <c r="A486" s="89"/>
      <c r="B486" s="90"/>
      <c r="C486" s="90"/>
      <c r="D486" s="91"/>
      <c r="E486" s="90"/>
      <c r="F486" s="90"/>
      <c r="G486" s="90"/>
      <c r="H486" s="90"/>
      <c r="I486" s="90"/>
      <c r="J486" s="78"/>
    </row>
    <row r="487" spans="1:10" x14ac:dyDescent="0.15">
      <c r="A487" s="89"/>
      <c r="B487" s="90"/>
      <c r="C487" s="90"/>
      <c r="D487" s="91"/>
      <c r="E487" s="90"/>
      <c r="F487" s="90"/>
      <c r="G487" s="90"/>
      <c r="H487" s="90"/>
      <c r="I487" s="90"/>
      <c r="J487" s="78"/>
    </row>
    <row r="488" spans="1:10" x14ac:dyDescent="0.15">
      <c r="A488" s="89"/>
      <c r="B488" s="90"/>
      <c r="C488" s="90"/>
      <c r="D488" s="91"/>
      <c r="E488" s="90"/>
      <c r="F488" s="90"/>
      <c r="G488" s="90"/>
      <c r="H488" s="90"/>
      <c r="I488" s="90"/>
      <c r="J488" s="78"/>
    </row>
    <row r="489" spans="1:10" x14ac:dyDescent="0.15">
      <c r="A489" s="89"/>
      <c r="B489" s="90"/>
      <c r="C489" s="90"/>
      <c r="D489" s="91"/>
      <c r="E489" s="90"/>
      <c r="F489" s="90"/>
      <c r="G489" s="90"/>
      <c r="H489" s="90"/>
      <c r="I489" s="90"/>
      <c r="J489" s="78"/>
    </row>
    <row r="490" spans="1:10" x14ac:dyDescent="0.15">
      <c r="A490" s="89"/>
      <c r="B490" s="90"/>
      <c r="C490" s="90"/>
      <c r="D490" s="91"/>
      <c r="E490" s="90"/>
      <c r="F490" s="90"/>
      <c r="G490" s="90"/>
      <c r="H490" s="90"/>
      <c r="I490" s="90"/>
      <c r="J490" s="78"/>
    </row>
    <row r="491" spans="1:10" x14ac:dyDescent="0.15">
      <c r="A491" s="89"/>
      <c r="B491" s="90"/>
      <c r="C491" s="90"/>
      <c r="D491" s="91"/>
      <c r="E491" s="90"/>
      <c r="F491" s="90"/>
      <c r="G491" s="90"/>
      <c r="H491" s="90"/>
      <c r="I491" s="90"/>
      <c r="J491" s="78"/>
    </row>
    <row r="492" spans="1:10" x14ac:dyDescent="0.15">
      <c r="A492" s="89"/>
      <c r="B492" s="90"/>
      <c r="C492" s="90"/>
      <c r="D492" s="91"/>
      <c r="E492" s="90"/>
      <c r="F492" s="90"/>
      <c r="G492" s="90"/>
      <c r="H492" s="90"/>
      <c r="I492" s="90"/>
      <c r="J492" s="78"/>
    </row>
    <row r="493" spans="1:10" x14ac:dyDescent="0.15">
      <c r="A493" s="89"/>
      <c r="B493" s="90"/>
      <c r="C493" s="90"/>
      <c r="D493" s="91"/>
      <c r="E493" s="90"/>
      <c r="F493" s="90"/>
      <c r="G493" s="90"/>
      <c r="H493" s="90"/>
      <c r="I493" s="90"/>
      <c r="J493" s="78"/>
    </row>
    <row r="494" spans="1:10" x14ac:dyDescent="0.15">
      <c r="A494" s="89"/>
      <c r="B494" s="90"/>
      <c r="C494" s="90"/>
      <c r="D494" s="91"/>
      <c r="E494" s="90"/>
      <c r="F494" s="90"/>
      <c r="G494" s="90"/>
      <c r="H494" s="90"/>
      <c r="I494" s="90"/>
      <c r="J494" s="78"/>
    </row>
    <row r="495" spans="1:10" x14ac:dyDescent="0.15">
      <c r="A495" s="89"/>
      <c r="B495" s="90"/>
      <c r="C495" s="90"/>
      <c r="D495" s="91"/>
      <c r="E495" s="90"/>
      <c r="F495" s="90"/>
      <c r="G495" s="90"/>
      <c r="H495" s="90"/>
      <c r="I495" s="90"/>
      <c r="J495" s="78"/>
    </row>
    <row r="496" spans="1:10" x14ac:dyDescent="0.15">
      <c r="A496" s="89"/>
      <c r="B496" s="90"/>
      <c r="C496" s="90"/>
      <c r="D496" s="91"/>
      <c r="E496" s="90"/>
      <c r="F496" s="90"/>
      <c r="G496" s="90"/>
      <c r="H496" s="90"/>
      <c r="I496" s="90"/>
      <c r="J496" s="78"/>
    </row>
    <row r="497" spans="1:10" x14ac:dyDescent="0.15">
      <c r="A497" s="89"/>
      <c r="B497" s="90"/>
      <c r="C497" s="90"/>
      <c r="D497" s="91"/>
      <c r="E497" s="90"/>
      <c r="F497" s="90"/>
      <c r="G497" s="90"/>
      <c r="H497" s="90"/>
      <c r="I497" s="90"/>
      <c r="J497" s="78"/>
    </row>
    <row r="498" spans="1:10" x14ac:dyDescent="0.15">
      <c r="A498" s="89"/>
      <c r="B498" s="90"/>
      <c r="C498" s="90"/>
      <c r="D498" s="91"/>
      <c r="E498" s="90"/>
      <c r="F498" s="90"/>
      <c r="G498" s="90"/>
      <c r="H498" s="90"/>
      <c r="I498" s="90"/>
      <c r="J498" s="78"/>
    </row>
    <row r="499" spans="1:10" x14ac:dyDescent="0.15">
      <c r="A499" s="89"/>
      <c r="B499" s="90"/>
      <c r="C499" s="90"/>
      <c r="D499" s="91"/>
      <c r="E499" s="90"/>
      <c r="F499" s="90"/>
      <c r="G499" s="90"/>
      <c r="H499" s="90"/>
      <c r="I499" s="90"/>
      <c r="J499" s="78"/>
    </row>
    <row r="500" spans="1:10" x14ac:dyDescent="0.15">
      <c r="A500" s="89"/>
      <c r="B500" s="90"/>
      <c r="C500" s="90"/>
      <c r="D500" s="91"/>
      <c r="E500" s="90"/>
      <c r="F500" s="90"/>
      <c r="G500" s="90"/>
      <c r="H500" s="90"/>
      <c r="I500" s="90"/>
      <c r="J500" s="78"/>
    </row>
    <row r="501" spans="1:10" x14ac:dyDescent="0.15">
      <c r="A501" s="89"/>
      <c r="B501" s="90"/>
      <c r="C501" s="90"/>
      <c r="D501" s="91"/>
      <c r="E501" s="90"/>
      <c r="F501" s="90"/>
      <c r="G501" s="90"/>
      <c r="H501" s="90"/>
      <c r="I501" s="90"/>
      <c r="J501" s="78"/>
    </row>
    <row r="502" spans="1:10" x14ac:dyDescent="0.15">
      <c r="A502" s="89"/>
      <c r="B502" s="90"/>
      <c r="C502" s="90"/>
      <c r="D502" s="91"/>
      <c r="E502" s="90"/>
      <c r="F502" s="90"/>
      <c r="G502" s="90"/>
      <c r="H502" s="90"/>
      <c r="I502" s="90"/>
      <c r="J502" s="78"/>
    </row>
    <row r="503" spans="1:10" x14ac:dyDescent="0.15">
      <c r="A503" s="89"/>
      <c r="B503" s="90"/>
      <c r="C503" s="90"/>
      <c r="D503" s="91"/>
      <c r="E503" s="90"/>
      <c r="F503" s="90"/>
      <c r="G503" s="90"/>
      <c r="H503" s="90"/>
      <c r="I503" s="90"/>
      <c r="J503" s="78"/>
    </row>
    <row r="504" spans="1:10" x14ac:dyDescent="0.15">
      <c r="A504" s="89"/>
      <c r="B504" s="90"/>
      <c r="C504" s="90"/>
      <c r="D504" s="91"/>
      <c r="E504" s="90"/>
      <c r="F504" s="90"/>
      <c r="G504" s="90"/>
      <c r="H504" s="90"/>
      <c r="I504" s="90"/>
      <c r="J504" s="78"/>
    </row>
    <row r="505" spans="1:10" x14ac:dyDescent="0.15">
      <c r="A505" s="89"/>
      <c r="B505" s="90"/>
      <c r="C505" s="90"/>
      <c r="D505" s="91"/>
      <c r="E505" s="90"/>
      <c r="F505" s="90"/>
      <c r="G505" s="90"/>
      <c r="H505" s="90"/>
      <c r="I505" s="90"/>
      <c r="J505" s="78"/>
    </row>
    <row r="506" spans="1:10" x14ac:dyDescent="0.15">
      <c r="A506" s="89"/>
      <c r="B506" s="90"/>
      <c r="C506" s="90"/>
      <c r="D506" s="91"/>
      <c r="E506" s="90"/>
      <c r="F506" s="90"/>
      <c r="G506" s="90"/>
      <c r="H506" s="90"/>
      <c r="I506" s="90"/>
      <c r="J506" s="78"/>
    </row>
    <row r="507" spans="1:10" x14ac:dyDescent="0.15">
      <c r="A507" s="89"/>
      <c r="B507" s="90"/>
      <c r="C507" s="90"/>
      <c r="D507" s="91"/>
      <c r="E507" s="90"/>
      <c r="F507" s="90"/>
      <c r="G507" s="90"/>
      <c r="H507" s="90"/>
      <c r="I507" s="90"/>
      <c r="J507" s="78"/>
    </row>
    <row r="508" spans="1:10" x14ac:dyDescent="0.15">
      <c r="A508" s="89"/>
      <c r="B508" s="90"/>
      <c r="C508" s="90"/>
      <c r="D508" s="91"/>
      <c r="E508" s="90"/>
      <c r="F508" s="90"/>
      <c r="G508" s="90"/>
      <c r="H508" s="90"/>
      <c r="I508" s="90"/>
      <c r="J508" s="78"/>
    </row>
    <row r="509" spans="1:10" x14ac:dyDescent="0.15">
      <c r="A509" s="89"/>
      <c r="B509" s="90"/>
      <c r="C509" s="90"/>
      <c r="D509" s="91"/>
      <c r="E509" s="90"/>
      <c r="F509" s="90"/>
      <c r="G509" s="90"/>
      <c r="H509" s="90"/>
      <c r="I509" s="90"/>
      <c r="J509" s="78"/>
    </row>
    <row r="510" spans="1:10" x14ac:dyDescent="0.15">
      <c r="A510" s="89"/>
      <c r="B510" s="90"/>
      <c r="C510" s="90"/>
      <c r="D510" s="91"/>
      <c r="E510" s="90"/>
      <c r="F510" s="90"/>
      <c r="G510" s="90"/>
      <c r="H510" s="90"/>
      <c r="I510" s="90"/>
      <c r="J510" s="78"/>
    </row>
    <row r="511" spans="1:10" x14ac:dyDescent="0.15">
      <c r="A511" s="89"/>
      <c r="B511" s="90"/>
      <c r="C511" s="90"/>
      <c r="D511" s="91"/>
      <c r="E511" s="90"/>
      <c r="F511" s="90"/>
      <c r="G511" s="90"/>
      <c r="H511" s="90"/>
      <c r="I511" s="90"/>
      <c r="J511" s="78"/>
    </row>
    <row r="512" spans="1:10" x14ac:dyDescent="0.15">
      <c r="A512" s="89"/>
      <c r="B512" s="90"/>
      <c r="C512" s="90"/>
      <c r="D512" s="91"/>
      <c r="E512" s="90"/>
      <c r="F512" s="90"/>
      <c r="G512" s="90"/>
      <c r="H512" s="90"/>
      <c r="I512" s="90"/>
      <c r="J512" s="78"/>
    </row>
    <row r="513" spans="1:10" x14ac:dyDescent="0.15">
      <c r="A513" s="89"/>
      <c r="B513" s="90"/>
      <c r="C513" s="90"/>
      <c r="D513" s="91"/>
      <c r="E513" s="90"/>
      <c r="F513" s="90"/>
      <c r="G513" s="90"/>
      <c r="H513" s="90"/>
      <c r="I513" s="90"/>
      <c r="J513" s="78"/>
    </row>
    <row r="514" spans="1:10" x14ac:dyDescent="0.15">
      <c r="A514" s="89"/>
      <c r="B514" s="90"/>
      <c r="C514" s="90"/>
      <c r="D514" s="91"/>
      <c r="E514" s="90"/>
      <c r="F514" s="90"/>
      <c r="G514" s="90"/>
      <c r="H514" s="90"/>
      <c r="I514" s="90"/>
      <c r="J514" s="78"/>
    </row>
    <row r="515" spans="1:10" x14ac:dyDescent="0.15">
      <c r="A515" s="89"/>
      <c r="B515" s="90"/>
      <c r="C515" s="90"/>
      <c r="D515" s="91"/>
      <c r="E515" s="90"/>
      <c r="F515" s="90"/>
      <c r="G515" s="90"/>
      <c r="H515" s="90"/>
      <c r="I515" s="90"/>
      <c r="J515" s="78"/>
    </row>
    <row r="516" spans="1:10" x14ac:dyDescent="0.15">
      <c r="A516" s="89"/>
      <c r="B516" s="90"/>
      <c r="C516" s="90"/>
      <c r="D516" s="91"/>
      <c r="E516" s="90"/>
      <c r="F516" s="90"/>
      <c r="G516" s="90"/>
      <c r="H516" s="90"/>
      <c r="I516" s="90"/>
      <c r="J516" s="78"/>
    </row>
    <row r="517" spans="1:10" x14ac:dyDescent="0.15">
      <c r="A517" s="89"/>
      <c r="B517" s="90"/>
      <c r="C517" s="90"/>
      <c r="D517" s="91"/>
      <c r="E517" s="90"/>
      <c r="F517" s="90"/>
      <c r="G517" s="90"/>
      <c r="H517" s="90"/>
      <c r="I517" s="90"/>
      <c r="J517" s="78"/>
    </row>
    <row r="518" spans="1:10" x14ac:dyDescent="0.15">
      <c r="A518" s="89"/>
      <c r="B518" s="90"/>
      <c r="C518" s="90"/>
      <c r="D518" s="91"/>
      <c r="E518" s="90"/>
      <c r="F518" s="90"/>
      <c r="G518" s="90"/>
      <c r="H518" s="90"/>
      <c r="I518" s="90"/>
      <c r="J518" s="78"/>
    </row>
    <row r="519" spans="1:10" x14ac:dyDescent="0.15">
      <c r="A519" s="89"/>
      <c r="B519" s="90"/>
      <c r="C519" s="90"/>
      <c r="D519" s="91"/>
      <c r="E519" s="90"/>
      <c r="F519" s="90"/>
      <c r="G519" s="90"/>
      <c r="H519" s="90"/>
      <c r="I519" s="90"/>
      <c r="J519" s="78"/>
    </row>
    <row r="520" spans="1:10" x14ac:dyDescent="0.15">
      <c r="A520" s="89"/>
      <c r="B520" s="90"/>
      <c r="C520" s="90"/>
      <c r="D520" s="91"/>
      <c r="E520" s="90"/>
      <c r="F520" s="90"/>
      <c r="G520" s="90"/>
      <c r="H520" s="90"/>
      <c r="I520" s="90"/>
      <c r="J520" s="78"/>
    </row>
    <row r="521" spans="1:10" x14ac:dyDescent="0.15">
      <c r="A521" s="89"/>
      <c r="B521" s="90"/>
      <c r="C521" s="90"/>
      <c r="D521" s="91"/>
      <c r="E521" s="90"/>
      <c r="F521" s="90"/>
      <c r="G521" s="90"/>
      <c r="H521" s="90"/>
      <c r="I521" s="90"/>
      <c r="J521" s="78"/>
    </row>
    <row r="522" spans="1:10" x14ac:dyDescent="0.15">
      <c r="A522" s="89"/>
      <c r="B522" s="90"/>
      <c r="C522" s="90"/>
      <c r="D522" s="91"/>
      <c r="E522" s="90"/>
      <c r="F522" s="90"/>
      <c r="G522" s="90"/>
      <c r="H522" s="90"/>
      <c r="I522" s="90"/>
      <c r="J522" s="78"/>
    </row>
    <row r="523" spans="1:10" x14ac:dyDescent="0.15">
      <c r="A523" s="89"/>
      <c r="B523" s="90"/>
      <c r="C523" s="90"/>
      <c r="D523" s="91"/>
      <c r="E523" s="90"/>
      <c r="F523" s="90"/>
      <c r="G523" s="90"/>
      <c r="H523" s="90"/>
      <c r="I523" s="90"/>
      <c r="J523" s="78"/>
    </row>
    <row r="524" spans="1:10" x14ac:dyDescent="0.15">
      <c r="A524" s="89"/>
      <c r="B524" s="90"/>
      <c r="C524" s="90"/>
      <c r="D524" s="91"/>
      <c r="E524" s="90"/>
      <c r="F524" s="90"/>
      <c r="G524" s="90"/>
      <c r="H524" s="90"/>
      <c r="I524" s="90"/>
      <c r="J524" s="78"/>
    </row>
    <row r="525" spans="1:10" x14ac:dyDescent="0.15">
      <c r="A525" s="89"/>
      <c r="B525" s="90"/>
      <c r="C525" s="90"/>
      <c r="D525" s="91"/>
      <c r="E525" s="90"/>
      <c r="F525" s="90"/>
      <c r="G525" s="90"/>
      <c r="H525" s="90"/>
      <c r="I525" s="90"/>
      <c r="J525" s="78"/>
    </row>
    <row r="526" spans="1:10" x14ac:dyDescent="0.15">
      <c r="A526" s="89"/>
      <c r="B526" s="90"/>
      <c r="C526" s="90"/>
      <c r="D526" s="91"/>
      <c r="E526" s="90"/>
      <c r="F526" s="90"/>
      <c r="G526" s="90"/>
      <c r="H526" s="90"/>
      <c r="I526" s="90"/>
      <c r="J526" s="78"/>
    </row>
    <row r="527" spans="1:10" x14ac:dyDescent="0.15">
      <c r="A527" s="89"/>
      <c r="B527" s="90"/>
      <c r="C527" s="90"/>
      <c r="D527" s="91"/>
      <c r="E527" s="90"/>
      <c r="F527" s="90"/>
      <c r="G527" s="90"/>
      <c r="H527" s="90"/>
      <c r="I527" s="90"/>
      <c r="J527" s="78"/>
    </row>
    <row r="528" spans="1:10" x14ac:dyDescent="0.15">
      <c r="A528" s="89"/>
      <c r="B528" s="90"/>
      <c r="C528" s="90"/>
      <c r="D528" s="91"/>
      <c r="E528" s="90"/>
      <c r="F528" s="90"/>
      <c r="G528" s="90"/>
      <c r="H528" s="90"/>
      <c r="I528" s="90"/>
      <c r="J528" s="78"/>
    </row>
    <row r="529" spans="1:10" x14ac:dyDescent="0.15">
      <c r="A529" s="89"/>
      <c r="B529" s="90"/>
      <c r="C529" s="90"/>
      <c r="D529" s="91"/>
      <c r="E529" s="90"/>
      <c r="F529" s="90"/>
      <c r="G529" s="90"/>
      <c r="H529" s="90"/>
      <c r="I529" s="90"/>
      <c r="J529" s="78"/>
    </row>
    <row r="530" spans="1:10" x14ac:dyDescent="0.15">
      <c r="A530" s="89"/>
      <c r="B530" s="90"/>
      <c r="C530" s="90"/>
      <c r="D530" s="91"/>
      <c r="E530" s="90"/>
      <c r="F530" s="90"/>
      <c r="G530" s="90"/>
      <c r="H530" s="90"/>
      <c r="I530" s="90"/>
      <c r="J530" s="78"/>
    </row>
    <row r="531" spans="1:10" x14ac:dyDescent="0.15">
      <c r="A531" s="89"/>
      <c r="B531" s="90"/>
      <c r="C531" s="90"/>
      <c r="D531" s="91"/>
      <c r="E531" s="90"/>
      <c r="F531" s="90"/>
      <c r="G531" s="90"/>
      <c r="H531" s="90"/>
      <c r="I531" s="90"/>
      <c r="J531" s="78"/>
    </row>
    <row r="532" spans="1:10" x14ac:dyDescent="0.15">
      <c r="A532" s="89"/>
      <c r="B532" s="90"/>
      <c r="C532" s="90"/>
      <c r="D532" s="91"/>
      <c r="E532" s="90"/>
      <c r="F532" s="90"/>
      <c r="G532" s="90"/>
      <c r="H532" s="90"/>
      <c r="I532" s="90"/>
      <c r="J532" s="78"/>
    </row>
    <row r="533" spans="1:10" x14ac:dyDescent="0.15">
      <c r="A533" s="89"/>
      <c r="B533" s="90"/>
      <c r="C533" s="90"/>
      <c r="D533" s="91"/>
      <c r="E533" s="90"/>
      <c r="F533" s="90"/>
      <c r="G533" s="90"/>
      <c r="H533" s="90"/>
      <c r="I533" s="90"/>
      <c r="J533" s="78"/>
    </row>
    <row r="534" spans="1:10" x14ac:dyDescent="0.15">
      <c r="A534" s="89"/>
      <c r="B534" s="90"/>
      <c r="C534" s="90"/>
      <c r="D534" s="91"/>
      <c r="E534" s="90"/>
      <c r="F534" s="90"/>
      <c r="G534" s="90"/>
      <c r="H534" s="90"/>
      <c r="I534" s="90"/>
      <c r="J534" s="78"/>
    </row>
    <row r="535" spans="1:10" x14ac:dyDescent="0.15">
      <c r="A535" s="89"/>
      <c r="B535" s="90"/>
      <c r="C535" s="90"/>
      <c r="D535" s="91"/>
      <c r="E535" s="90"/>
      <c r="F535" s="90"/>
      <c r="G535" s="90"/>
      <c r="H535" s="90"/>
      <c r="I535" s="90"/>
      <c r="J535" s="78"/>
    </row>
    <row r="536" spans="1:10" x14ac:dyDescent="0.15">
      <c r="A536" s="89"/>
      <c r="B536" s="90"/>
      <c r="C536" s="90"/>
      <c r="D536" s="91"/>
      <c r="E536" s="90"/>
      <c r="F536" s="90"/>
      <c r="G536" s="90"/>
      <c r="H536" s="90"/>
      <c r="I536" s="90"/>
      <c r="J536" s="78"/>
    </row>
    <row r="537" spans="1:10" x14ac:dyDescent="0.15">
      <c r="A537" s="89"/>
      <c r="B537" s="90"/>
      <c r="C537" s="90"/>
      <c r="D537" s="91"/>
      <c r="E537" s="90"/>
      <c r="F537" s="90"/>
      <c r="G537" s="90"/>
      <c r="H537" s="90"/>
      <c r="I537" s="90"/>
      <c r="J537" s="78"/>
    </row>
    <row r="538" spans="1:10" x14ac:dyDescent="0.15">
      <c r="A538" s="89"/>
      <c r="B538" s="90"/>
      <c r="C538" s="90"/>
      <c r="D538" s="91"/>
      <c r="E538" s="90"/>
      <c r="F538" s="90"/>
      <c r="G538" s="90"/>
      <c r="H538" s="90"/>
      <c r="I538" s="90"/>
      <c r="J538" s="78"/>
    </row>
    <row r="539" spans="1:10" x14ac:dyDescent="0.15">
      <c r="A539" s="89"/>
      <c r="B539" s="90"/>
      <c r="C539" s="90"/>
      <c r="D539" s="91"/>
      <c r="E539" s="90"/>
      <c r="F539" s="90"/>
      <c r="G539" s="90"/>
      <c r="H539" s="90"/>
      <c r="I539" s="90"/>
      <c r="J539" s="78"/>
    </row>
    <row r="540" spans="1:10" x14ac:dyDescent="0.15">
      <c r="A540" s="89"/>
      <c r="B540" s="90"/>
      <c r="C540" s="90"/>
      <c r="D540" s="91"/>
      <c r="E540" s="90"/>
      <c r="F540" s="90"/>
      <c r="G540" s="90"/>
      <c r="H540" s="90"/>
      <c r="I540" s="90"/>
      <c r="J540" s="78"/>
    </row>
    <row r="541" spans="1:10" x14ac:dyDescent="0.15">
      <c r="A541" s="89"/>
      <c r="B541" s="90"/>
      <c r="C541" s="90"/>
      <c r="D541" s="91"/>
      <c r="E541" s="90"/>
      <c r="F541" s="90"/>
      <c r="G541" s="90"/>
      <c r="H541" s="90"/>
      <c r="I541" s="90"/>
      <c r="J541" s="78"/>
    </row>
    <row r="542" spans="1:10" x14ac:dyDescent="0.15">
      <c r="A542" s="89"/>
      <c r="B542" s="90"/>
      <c r="C542" s="90"/>
      <c r="D542" s="91"/>
      <c r="E542" s="90"/>
      <c r="F542" s="90"/>
      <c r="G542" s="90"/>
      <c r="H542" s="90"/>
      <c r="I542" s="90"/>
      <c r="J542" s="78"/>
    </row>
    <row r="543" spans="1:10" x14ac:dyDescent="0.15">
      <c r="A543" s="89"/>
      <c r="B543" s="90"/>
      <c r="C543" s="90"/>
      <c r="D543" s="91"/>
      <c r="E543" s="90"/>
      <c r="F543" s="90"/>
      <c r="G543" s="90"/>
      <c r="H543" s="90"/>
      <c r="I543" s="90"/>
      <c r="J543" s="78"/>
    </row>
    <row r="544" spans="1:10" x14ac:dyDescent="0.15">
      <c r="A544" s="89"/>
      <c r="B544" s="90"/>
      <c r="C544" s="90"/>
      <c r="D544" s="91"/>
      <c r="E544" s="90"/>
      <c r="F544" s="90"/>
      <c r="G544" s="90"/>
      <c r="H544" s="90"/>
      <c r="I544" s="90"/>
      <c r="J544" s="78"/>
    </row>
    <row r="545" spans="1:10" x14ac:dyDescent="0.15">
      <c r="A545" s="89"/>
      <c r="B545" s="90"/>
      <c r="C545" s="90"/>
      <c r="D545" s="91"/>
      <c r="E545" s="90"/>
      <c r="F545" s="90"/>
      <c r="G545" s="90"/>
      <c r="H545" s="90"/>
      <c r="I545" s="90"/>
      <c r="J545" s="78"/>
    </row>
    <row r="546" spans="1:10" x14ac:dyDescent="0.15">
      <c r="A546" s="89"/>
      <c r="B546" s="90"/>
      <c r="C546" s="90"/>
      <c r="D546" s="91"/>
      <c r="E546" s="90"/>
      <c r="F546" s="90"/>
      <c r="G546" s="90"/>
      <c r="H546" s="90"/>
      <c r="I546" s="90"/>
      <c r="J546" s="78"/>
    </row>
    <row r="547" spans="1:10" x14ac:dyDescent="0.15">
      <c r="A547" s="89"/>
      <c r="B547" s="90"/>
      <c r="C547" s="90"/>
      <c r="D547" s="91"/>
      <c r="E547" s="90"/>
      <c r="F547" s="90"/>
      <c r="G547" s="90"/>
      <c r="H547" s="90"/>
      <c r="I547" s="90"/>
      <c r="J547" s="78"/>
    </row>
    <row r="548" spans="1:10" x14ac:dyDescent="0.15">
      <c r="A548" s="89"/>
      <c r="B548" s="90"/>
      <c r="C548" s="90"/>
      <c r="D548" s="91"/>
      <c r="E548" s="90"/>
      <c r="F548" s="90"/>
      <c r="G548" s="90"/>
      <c r="H548" s="90"/>
      <c r="I548" s="90"/>
      <c r="J548" s="78"/>
    </row>
    <row r="549" spans="1:10" x14ac:dyDescent="0.15">
      <c r="A549" s="89"/>
      <c r="B549" s="90"/>
      <c r="C549" s="90"/>
      <c r="D549" s="91"/>
      <c r="E549" s="90"/>
      <c r="F549" s="90"/>
      <c r="G549" s="90"/>
      <c r="H549" s="90"/>
      <c r="I549" s="90"/>
      <c r="J549" s="78"/>
    </row>
    <row r="550" spans="1:10" x14ac:dyDescent="0.15">
      <c r="A550" s="89"/>
      <c r="B550" s="90"/>
      <c r="C550" s="90"/>
      <c r="D550" s="91"/>
      <c r="E550" s="90"/>
      <c r="F550" s="90"/>
      <c r="G550" s="90"/>
      <c r="H550" s="90"/>
      <c r="I550" s="90"/>
      <c r="J550" s="78"/>
    </row>
    <row r="551" spans="1:10" x14ac:dyDescent="0.15">
      <c r="A551" s="89"/>
      <c r="B551" s="90"/>
      <c r="C551" s="90"/>
      <c r="D551" s="91"/>
      <c r="E551" s="90"/>
      <c r="F551" s="90"/>
      <c r="G551" s="90"/>
      <c r="H551" s="90"/>
      <c r="I551" s="90"/>
      <c r="J551" s="78"/>
    </row>
    <row r="552" spans="1:10" x14ac:dyDescent="0.15">
      <c r="A552" s="89"/>
      <c r="B552" s="90"/>
      <c r="C552" s="90"/>
      <c r="D552" s="91"/>
      <c r="E552" s="90"/>
      <c r="F552" s="90"/>
      <c r="G552" s="90"/>
      <c r="H552" s="90"/>
      <c r="I552" s="90"/>
      <c r="J552" s="78"/>
    </row>
    <row r="553" spans="1:10" x14ac:dyDescent="0.15">
      <c r="A553" s="89"/>
      <c r="B553" s="90"/>
      <c r="C553" s="90"/>
      <c r="D553" s="91"/>
      <c r="E553" s="90"/>
      <c r="F553" s="90"/>
      <c r="G553" s="90"/>
      <c r="H553" s="90"/>
      <c r="I553" s="90"/>
      <c r="J553" s="78"/>
    </row>
    <row r="554" spans="1:10" x14ac:dyDescent="0.15">
      <c r="A554" s="89"/>
      <c r="B554" s="90"/>
      <c r="C554" s="90"/>
      <c r="D554" s="91"/>
      <c r="E554" s="90"/>
      <c r="F554" s="90"/>
      <c r="G554" s="90"/>
      <c r="H554" s="90"/>
      <c r="I554" s="90"/>
      <c r="J554" s="78"/>
    </row>
    <row r="555" spans="1:10" x14ac:dyDescent="0.15">
      <c r="A555" s="89"/>
      <c r="B555" s="90"/>
      <c r="C555" s="90"/>
      <c r="D555" s="91"/>
      <c r="E555" s="90"/>
      <c r="F555" s="90"/>
      <c r="G555" s="90"/>
      <c r="H555" s="90"/>
      <c r="I555" s="90"/>
      <c r="J555" s="78"/>
    </row>
    <row r="556" spans="1:10" x14ac:dyDescent="0.15">
      <c r="A556" s="89"/>
      <c r="B556" s="90"/>
      <c r="C556" s="90"/>
      <c r="D556" s="91"/>
      <c r="E556" s="90"/>
      <c r="F556" s="90"/>
      <c r="G556" s="90"/>
      <c r="H556" s="90"/>
      <c r="I556" s="90"/>
      <c r="J556" s="78"/>
    </row>
    <row r="557" spans="1:10" x14ac:dyDescent="0.15">
      <c r="A557" s="89"/>
      <c r="B557" s="90"/>
      <c r="C557" s="90"/>
      <c r="D557" s="91"/>
      <c r="E557" s="90"/>
      <c r="F557" s="90"/>
      <c r="G557" s="90"/>
      <c r="H557" s="90"/>
      <c r="I557" s="90"/>
      <c r="J557" s="78"/>
    </row>
    <row r="558" spans="1:10" x14ac:dyDescent="0.15">
      <c r="A558" s="89"/>
      <c r="B558" s="90"/>
      <c r="C558" s="90"/>
      <c r="D558" s="91"/>
      <c r="E558" s="90"/>
      <c r="F558" s="90"/>
      <c r="G558" s="90"/>
      <c r="H558" s="90"/>
      <c r="I558" s="90"/>
      <c r="J558" s="78"/>
    </row>
    <row r="559" spans="1:10" x14ac:dyDescent="0.15">
      <c r="A559" s="89"/>
      <c r="B559" s="90"/>
      <c r="C559" s="90"/>
      <c r="D559" s="91"/>
      <c r="E559" s="90"/>
      <c r="F559" s="90"/>
      <c r="G559" s="90"/>
      <c r="H559" s="90"/>
      <c r="I559" s="90"/>
      <c r="J559" s="78"/>
    </row>
    <row r="560" spans="1:10" x14ac:dyDescent="0.15">
      <c r="A560" s="89"/>
      <c r="B560" s="90"/>
      <c r="C560" s="90"/>
      <c r="D560" s="91"/>
      <c r="E560" s="90"/>
      <c r="F560" s="90"/>
      <c r="G560" s="90"/>
      <c r="H560" s="90"/>
      <c r="I560" s="90"/>
      <c r="J560" s="78"/>
    </row>
    <row r="561" spans="1:10" x14ac:dyDescent="0.15">
      <c r="A561" s="89"/>
      <c r="B561" s="90"/>
      <c r="C561" s="90"/>
      <c r="D561" s="91"/>
      <c r="E561" s="90"/>
      <c r="F561" s="90"/>
      <c r="G561" s="90"/>
      <c r="H561" s="90"/>
      <c r="I561" s="90"/>
      <c r="J561" s="78"/>
    </row>
    <row r="562" spans="1:10" x14ac:dyDescent="0.15">
      <c r="A562" s="89"/>
      <c r="B562" s="90"/>
      <c r="C562" s="90"/>
      <c r="D562" s="91"/>
      <c r="E562" s="90"/>
      <c r="F562" s="90"/>
      <c r="G562" s="90"/>
      <c r="H562" s="90"/>
      <c r="I562" s="90"/>
      <c r="J562" s="78"/>
    </row>
    <row r="563" spans="1:10" x14ac:dyDescent="0.15">
      <c r="A563" s="89"/>
      <c r="B563" s="90"/>
      <c r="C563" s="90"/>
      <c r="D563" s="91"/>
      <c r="E563" s="90"/>
      <c r="F563" s="90"/>
      <c r="G563" s="90"/>
      <c r="H563" s="90"/>
      <c r="I563" s="90"/>
      <c r="J563" s="78"/>
    </row>
    <row r="564" spans="1:10" x14ac:dyDescent="0.15">
      <c r="A564" s="89"/>
      <c r="B564" s="90"/>
      <c r="C564" s="90"/>
      <c r="D564" s="91"/>
      <c r="E564" s="90"/>
      <c r="F564" s="90"/>
      <c r="G564" s="90"/>
      <c r="H564" s="90"/>
      <c r="I564" s="90"/>
      <c r="J564" s="78"/>
    </row>
    <row r="565" spans="1:10" x14ac:dyDescent="0.15">
      <c r="A565" s="89"/>
      <c r="B565" s="90"/>
      <c r="C565" s="90"/>
      <c r="D565" s="91"/>
      <c r="E565" s="90"/>
      <c r="F565" s="90"/>
      <c r="G565" s="90"/>
      <c r="H565" s="90"/>
      <c r="I565" s="90"/>
      <c r="J565" s="78"/>
    </row>
    <row r="566" spans="1:10" x14ac:dyDescent="0.15">
      <c r="A566" s="89"/>
      <c r="B566" s="90"/>
      <c r="C566" s="90"/>
      <c r="D566" s="91"/>
      <c r="E566" s="90"/>
      <c r="F566" s="90"/>
      <c r="G566" s="90"/>
      <c r="H566" s="90"/>
      <c r="I566" s="90"/>
      <c r="J566" s="78"/>
    </row>
    <row r="567" spans="1:10" x14ac:dyDescent="0.15">
      <c r="A567" s="89"/>
      <c r="B567" s="90"/>
      <c r="C567" s="90"/>
      <c r="D567" s="91"/>
      <c r="E567" s="90"/>
      <c r="F567" s="90"/>
      <c r="G567" s="90"/>
      <c r="H567" s="90"/>
      <c r="I567" s="90"/>
      <c r="J567" s="78"/>
    </row>
    <row r="568" spans="1:10" x14ac:dyDescent="0.15">
      <c r="A568" s="89"/>
      <c r="B568" s="90"/>
      <c r="C568" s="90"/>
      <c r="D568" s="91"/>
      <c r="E568" s="90"/>
      <c r="F568" s="90"/>
      <c r="G568" s="90"/>
      <c r="H568" s="90"/>
      <c r="I568" s="90"/>
      <c r="J568" s="78"/>
    </row>
    <row r="569" spans="1:10" x14ac:dyDescent="0.15">
      <c r="A569" s="89"/>
      <c r="B569" s="90"/>
      <c r="C569" s="90"/>
      <c r="D569" s="91"/>
      <c r="E569" s="90"/>
      <c r="F569" s="90"/>
      <c r="G569" s="90"/>
      <c r="H569" s="90"/>
      <c r="I569" s="90"/>
      <c r="J569" s="78"/>
    </row>
    <row r="570" spans="1:10" x14ac:dyDescent="0.15">
      <c r="A570" s="89"/>
      <c r="B570" s="90"/>
      <c r="C570" s="90"/>
      <c r="D570" s="91"/>
      <c r="E570" s="90"/>
      <c r="F570" s="90"/>
      <c r="G570" s="90"/>
      <c r="H570" s="90"/>
      <c r="I570" s="90"/>
      <c r="J570" s="78"/>
    </row>
    <row r="571" spans="1:10" x14ac:dyDescent="0.15">
      <c r="A571" s="89"/>
      <c r="B571" s="90"/>
      <c r="C571" s="90"/>
      <c r="D571" s="91"/>
      <c r="E571" s="90"/>
      <c r="F571" s="90"/>
      <c r="G571" s="90"/>
      <c r="H571" s="90"/>
      <c r="I571" s="90"/>
      <c r="J571" s="78"/>
    </row>
    <row r="572" spans="1:10" x14ac:dyDescent="0.15">
      <c r="A572" s="89"/>
      <c r="B572" s="90"/>
      <c r="C572" s="90"/>
      <c r="D572" s="91"/>
      <c r="E572" s="90"/>
      <c r="F572" s="90"/>
      <c r="G572" s="90"/>
      <c r="H572" s="90"/>
      <c r="I572" s="90"/>
      <c r="J572" s="78"/>
    </row>
    <row r="573" spans="1:10" x14ac:dyDescent="0.15">
      <c r="A573" s="89"/>
      <c r="B573" s="90"/>
      <c r="C573" s="90"/>
      <c r="D573" s="91"/>
      <c r="E573" s="90"/>
      <c r="F573" s="90"/>
      <c r="G573" s="90"/>
      <c r="H573" s="90"/>
      <c r="I573" s="90"/>
      <c r="J573" s="78"/>
    </row>
    <row r="574" spans="1:10" x14ac:dyDescent="0.15">
      <c r="A574" s="89"/>
      <c r="B574" s="90"/>
      <c r="C574" s="90"/>
      <c r="D574" s="91"/>
      <c r="E574" s="90"/>
      <c r="F574" s="90"/>
      <c r="G574" s="90"/>
      <c r="H574" s="90"/>
      <c r="I574" s="90"/>
      <c r="J574" s="78"/>
    </row>
    <row r="575" spans="1:10" x14ac:dyDescent="0.15">
      <c r="A575" s="89"/>
      <c r="B575" s="90"/>
      <c r="C575" s="90"/>
      <c r="D575" s="91"/>
      <c r="E575" s="90"/>
      <c r="F575" s="90"/>
      <c r="G575" s="90"/>
      <c r="H575" s="90"/>
      <c r="I575" s="90"/>
      <c r="J575" s="78"/>
    </row>
    <row r="576" spans="1:10" x14ac:dyDescent="0.15">
      <c r="A576" s="89"/>
      <c r="B576" s="90"/>
      <c r="C576" s="90"/>
      <c r="D576" s="91"/>
      <c r="E576" s="90"/>
      <c r="F576" s="90"/>
      <c r="G576" s="90"/>
      <c r="H576" s="90"/>
      <c r="I576" s="90"/>
      <c r="J576" s="78"/>
    </row>
    <row r="577" spans="1:10" x14ac:dyDescent="0.15">
      <c r="A577" s="89"/>
      <c r="B577" s="90"/>
      <c r="C577" s="90"/>
      <c r="D577" s="91"/>
      <c r="E577" s="90"/>
      <c r="F577" s="90"/>
      <c r="G577" s="90"/>
      <c r="H577" s="90"/>
      <c r="I577" s="90"/>
      <c r="J577" s="78"/>
    </row>
    <row r="578" spans="1:10" x14ac:dyDescent="0.15">
      <c r="A578" s="89"/>
      <c r="B578" s="90"/>
      <c r="C578" s="90"/>
      <c r="D578" s="91"/>
      <c r="E578" s="90"/>
      <c r="F578" s="90"/>
      <c r="G578" s="90"/>
      <c r="H578" s="90"/>
      <c r="I578" s="90"/>
      <c r="J578" s="78"/>
    </row>
    <row r="579" spans="1:10" x14ac:dyDescent="0.15">
      <c r="A579" s="89"/>
      <c r="B579" s="90"/>
      <c r="C579" s="90"/>
      <c r="D579" s="91"/>
      <c r="E579" s="90"/>
      <c r="F579" s="90"/>
      <c r="G579" s="90"/>
      <c r="H579" s="90"/>
      <c r="I579" s="90"/>
      <c r="J579" s="78"/>
    </row>
    <row r="580" spans="1:10" x14ac:dyDescent="0.15">
      <c r="A580" s="89"/>
      <c r="B580" s="90"/>
      <c r="C580" s="90"/>
      <c r="D580" s="91"/>
      <c r="E580" s="90"/>
      <c r="F580" s="90"/>
      <c r="G580" s="90"/>
      <c r="H580" s="90"/>
      <c r="I580" s="90"/>
      <c r="J580" s="78"/>
    </row>
    <row r="581" spans="1:10" x14ac:dyDescent="0.15">
      <c r="A581" s="89"/>
      <c r="B581" s="90"/>
      <c r="C581" s="90"/>
      <c r="D581" s="91"/>
      <c r="E581" s="90"/>
      <c r="F581" s="90"/>
      <c r="G581" s="90"/>
      <c r="H581" s="90"/>
      <c r="I581" s="90"/>
      <c r="J581" s="78"/>
    </row>
    <row r="582" spans="1:10" x14ac:dyDescent="0.15">
      <c r="A582" s="89"/>
      <c r="B582" s="90"/>
      <c r="C582" s="90"/>
      <c r="D582" s="91"/>
      <c r="E582" s="90"/>
      <c r="F582" s="90"/>
      <c r="G582" s="90"/>
      <c r="H582" s="90"/>
      <c r="I582" s="90"/>
      <c r="J582" s="78"/>
    </row>
    <row r="583" spans="1:10" x14ac:dyDescent="0.15">
      <c r="A583" s="89"/>
      <c r="B583" s="90"/>
      <c r="C583" s="90"/>
      <c r="D583" s="91"/>
      <c r="E583" s="90"/>
      <c r="F583" s="90"/>
      <c r="G583" s="90"/>
      <c r="H583" s="90"/>
      <c r="I583" s="90"/>
      <c r="J583" s="78"/>
    </row>
    <row r="584" spans="1:10" x14ac:dyDescent="0.15">
      <c r="A584" s="89"/>
      <c r="B584" s="90"/>
      <c r="C584" s="90"/>
      <c r="D584" s="91"/>
      <c r="E584" s="90"/>
      <c r="F584" s="90"/>
      <c r="G584" s="90"/>
      <c r="H584" s="90"/>
      <c r="I584" s="90"/>
      <c r="J584" s="78"/>
    </row>
    <row r="585" spans="1:10" x14ac:dyDescent="0.15">
      <c r="A585" s="89"/>
      <c r="B585" s="90"/>
      <c r="C585" s="90"/>
      <c r="D585" s="91"/>
      <c r="E585" s="90"/>
      <c r="F585" s="90"/>
      <c r="G585" s="90"/>
      <c r="H585" s="90"/>
      <c r="I585" s="90"/>
      <c r="J585" s="78"/>
    </row>
    <row r="586" spans="1:10" x14ac:dyDescent="0.15">
      <c r="A586" s="89"/>
      <c r="B586" s="90"/>
      <c r="C586" s="90"/>
      <c r="D586" s="91"/>
      <c r="E586" s="90"/>
      <c r="F586" s="90"/>
      <c r="G586" s="90"/>
      <c r="H586" s="90"/>
      <c r="I586" s="90"/>
      <c r="J586" s="78"/>
    </row>
    <row r="587" spans="1:10" x14ac:dyDescent="0.15">
      <c r="A587" s="89"/>
      <c r="B587" s="90"/>
      <c r="C587" s="90"/>
      <c r="D587" s="91"/>
      <c r="E587" s="90"/>
      <c r="F587" s="90"/>
      <c r="G587" s="90"/>
      <c r="H587" s="90"/>
      <c r="I587" s="90"/>
      <c r="J587" s="78"/>
    </row>
    <row r="588" spans="1:10" x14ac:dyDescent="0.15">
      <c r="A588" s="89"/>
      <c r="B588" s="90"/>
      <c r="C588" s="90"/>
      <c r="D588" s="91"/>
      <c r="E588" s="90"/>
      <c r="F588" s="90"/>
      <c r="G588" s="90"/>
      <c r="H588" s="90"/>
      <c r="I588" s="90"/>
      <c r="J588" s="78"/>
    </row>
    <row r="589" spans="1:10" x14ac:dyDescent="0.15">
      <c r="A589" s="89"/>
      <c r="B589" s="90"/>
      <c r="C589" s="90"/>
      <c r="D589" s="91"/>
      <c r="E589" s="90"/>
      <c r="F589" s="90"/>
      <c r="G589" s="90"/>
      <c r="H589" s="90"/>
      <c r="I589" s="90"/>
      <c r="J589" s="78"/>
    </row>
    <row r="590" spans="1:10" x14ac:dyDescent="0.15">
      <c r="A590" s="89"/>
      <c r="B590" s="90"/>
      <c r="C590" s="90"/>
      <c r="D590" s="91"/>
      <c r="E590" s="90"/>
      <c r="F590" s="90"/>
      <c r="G590" s="90"/>
      <c r="H590" s="90"/>
      <c r="I590" s="90"/>
      <c r="J590" s="78"/>
    </row>
    <row r="591" spans="1:10" x14ac:dyDescent="0.15">
      <c r="A591" s="89"/>
      <c r="B591" s="90"/>
      <c r="C591" s="90"/>
      <c r="D591" s="91"/>
      <c r="E591" s="90"/>
      <c r="F591" s="90"/>
      <c r="G591" s="90"/>
      <c r="H591" s="90"/>
      <c r="I591" s="90"/>
      <c r="J591" s="78"/>
    </row>
    <row r="592" spans="1:10" x14ac:dyDescent="0.15">
      <c r="A592" s="89"/>
      <c r="B592" s="90"/>
      <c r="C592" s="90"/>
      <c r="D592" s="91"/>
      <c r="E592" s="90"/>
      <c r="F592" s="90"/>
      <c r="G592" s="90"/>
      <c r="H592" s="90"/>
      <c r="I592" s="90"/>
      <c r="J592" s="78"/>
    </row>
    <row r="593" spans="1:10" x14ac:dyDescent="0.15">
      <c r="A593" s="89"/>
      <c r="B593" s="90"/>
      <c r="C593" s="90"/>
      <c r="D593" s="91"/>
      <c r="E593" s="90"/>
      <c r="F593" s="90"/>
      <c r="G593" s="90"/>
      <c r="H593" s="90"/>
      <c r="I593" s="90"/>
      <c r="J593" s="78"/>
    </row>
    <row r="594" spans="1:10" x14ac:dyDescent="0.15">
      <c r="A594" s="89"/>
      <c r="B594" s="90"/>
      <c r="C594" s="90"/>
      <c r="D594" s="91"/>
      <c r="E594" s="90"/>
      <c r="F594" s="90"/>
      <c r="G594" s="90"/>
      <c r="H594" s="90"/>
      <c r="I594" s="90"/>
      <c r="J594" s="78"/>
    </row>
    <row r="595" spans="1:10" x14ac:dyDescent="0.15">
      <c r="A595" s="89"/>
      <c r="B595" s="90"/>
      <c r="C595" s="90"/>
      <c r="D595" s="91"/>
      <c r="E595" s="90"/>
      <c r="F595" s="90"/>
      <c r="G595" s="90"/>
      <c r="H595" s="90"/>
      <c r="I595" s="90"/>
      <c r="J595" s="78"/>
    </row>
    <row r="596" spans="1:10" x14ac:dyDescent="0.15">
      <c r="A596" s="89"/>
      <c r="B596" s="90"/>
      <c r="C596" s="90"/>
      <c r="D596" s="91"/>
      <c r="E596" s="90"/>
      <c r="F596" s="90"/>
      <c r="G596" s="90"/>
      <c r="H596" s="90"/>
      <c r="I596" s="90"/>
      <c r="J596" s="78"/>
    </row>
    <row r="597" spans="1:10" x14ac:dyDescent="0.15">
      <c r="A597" s="89"/>
      <c r="B597" s="90"/>
      <c r="C597" s="90"/>
      <c r="D597" s="91"/>
      <c r="E597" s="90"/>
      <c r="F597" s="90"/>
      <c r="G597" s="90"/>
      <c r="H597" s="90"/>
      <c r="I597" s="90"/>
      <c r="J597" s="78"/>
    </row>
    <row r="598" spans="1:10" x14ac:dyDescent="0.15">
      <c r="A598" s="89"/>
      <c r="B598" s="90"/>
      <c r="C598" s="90"/>
      <c r="D598" s="91"/>
      <c r="E598" s="90"/>
      <c r="F598" s="90"/>
      <c r="G598" s="90"/>
      <c r="H598" s="90"/>
      <c r="I598" s="90"/>
      <c r="J598" s="78"/>
    </row>
    <row r="599" spans="1:10" x14ac:dyDescent="0.15">
      <c r="A599" s="89"/>
      <c r="B599" s="90"/>
      <c r="C599" s="90"/>
      <c r="D599" s="91"/>
      <c r="E599" s="90"/>
      <c r="F599" s="90"/>
      <c r="G599" s="90"/>
      <c r="H599" s="90"/>
      <c r="I599" s="90"/>
      <c r="J599" s="78"/>
    </row>
    <row r="600" spans="1:10" x14ac:dyDescent="0.15">
      <c r="A600" s="89"/>
      <c r="B600" s="90"/>
      <c r="C600" s="90"/>
      <c r="D600" s="91"/>
      <c r="E600" s="90"/>
      <c r="F600" s="90"/>
      <c r="G600" s="90"/>
      <c r="H600" s="90"/>
      <c r="I600" s="90"/>
      <c r="J600" s="78"/>
    </row>
    <row r="601" spans="1:10" x14ac:dyDescent="0.15">
      <c r="A601" s="89"/>
      <c r="B601" s="90"/>
      <c r="C601" s="90"/>
      <c r="D601" s="91"/>
      <c r="E601" s="90"/>
      <c r="F601" s="90"/>
      <c r="G601" s="90"/>
      <c r="H601" s="90"/>
      <c r="I601" s="90"/>
      <c r="J601" s="78"/>
    </row>
    <row r="602" spans="1:10" x14ac:dyDescent="0.15">
      <c r="A602" s="89"/>
      <c r="B602" s="90"/>
      <c r="C602" s="90"/>
      <c r="D602" s="91"/>
      <c r="E602" s="90"/>
      <c r="F602" s="90"/>
      <c r="G602" s="90"/>
      <c r="H602" s="90"/>
      <c r="I602" s="90"/>
      <c r="J602" s="78"/>
    </row>
    <row r="603" spans="1:10" x14ac:dyDescent="0.15">
      <c r="A603" s="89"/>
      <c r="B603" s="90"/>
      <c r="C603" s="90"/>
      <c r="D603" s="91"/>
      <c r="E603" s="90"/>
      <c r="F603" s="90"/>
      <c r="G603" s="90"/>
      <c r="H603" s="90"/>
      <c r="I603" s="90"/>
      <c r="J603" s="78"/>
    </row>
    <row r="604" spans="1:10" x14ac:dyDescent="0.15">
      <c r="A604" s="89"/>
      <c r="B604" s="90"/>
      <c r="C604" s="90"/>
      <c r="D604" s="91"/>
      <c r="E604" s="90"/>
      <c r="F604" s="90"/>
      <c r="G604" s="90"/>
      <c r="H604" s="90"/>
      <c r="I604" s="90"/>
      <c r="J604" s="78"/>
    </row>
    <row r="605" spans="1:10" x14ac:dyDescent="0.15">
      <c r="A605" s="89"/>
      <c r="B605" s="90"/>
      <c r="C605" s="90"/>
      <c r="D605" s="91"/>
      <c r="E605" s="90"/>
      <c r="F605" s="90"/>
      <c r="G605" s="90"/>
      <c r="H605" s="90"/>
      <c r="I605" s="90"/>
      <c r="J605" s="78"/>
    </row>
    <row r="606" spans="1:10" x14ac:dyDescent="0.15">
      <c r="A606" s="89"/>
      <c r="B606" s="90"/>
      <c r="C606" s="90"/>
      <c r="D606" s="91"/>
      <c r="E606" s="90"/>
      <c r="F606" s="90"/>
      <c r="G606" s="90"/>
      <c r="H606" s="90"/>
      <c r="I606" s="90"/>
      <c r="J606" s="78"/>
    </row>
    <row r="607" spans="1:10" x14ac:dyDescent="0.15">
      <c r="A607" s="89"/>
      <c r="B607" s="90"/>
      <c r="C607" s="90"/>
      <c r="D607" s="91"/>
      <c r="E607" s="90"/>
      <c r="F607" s="90"/>
      <c r="G607" s="90"/>
      <c r="H607" s="90"/>
      <c r="I607" s="90"/>
      <c r="J607" s="78"/>
    </row>
    <row r="608" spans="1:10" x14ac:dyDescent="0.15">
      <c r="A608" s="89"/>
      <c r="B608" s="90"/>
      <c r="C608" s="90"/>
      <c r="D608" s="91"/>
      <c r="E608" s="90"/>
      <c r="F608" s="90"/>
      <c r="G608" s="90"/>
      <c r="H608" s="90"/>
      <c r="I608" s="90"/>
      <c r="J608" s="78"/>
    </row>
    <row r="609" spans="1:10" x14ac:dyDescent="0.15">
      <c r="A609" s="89"/>
      <c r="B609" s="90"/>
      <c r="C609" s="90"/>
      <c r="D609" s="91"/>
      <c r="E609" s="90"/>
      <c r="F609" s="90"/>
      <c r="G609" s="90"/>
      <c r="H609" s="90"/>
      <c r="I609" s="90"/>
      <c r="J609" s="78"/>
    </row>
    <row r="610" spans="1:10" x14ac:dyDescent="0.15">
      <c r="A610" s="89"/>
      <c r="B610" s="90"/>
      <c r="C610" s="90"/>
      <c r="D610" s="91"/>
      <c r="E610" s="90"/>
      <c r="F610" s="90"/>
      <c r="G610" s="90"/>
      <c r="H610" s="90"/>
      <c r="I610" s="90"/>
      <c r="J610" s="78"/>
    </row>
    <row r="611" spans="1:10" x14ac:dyDescent="0.15">
      <c r="A611" s="89"/>
      <c r="B611" s="90"/>
      <c r="C611" s="90"/>
      <c r="D611" s="91"/>
      <c r="E611" s="90"/>
      <c r="F611" s="90"/>
      <c r="G611" s="90"/>
      <c r="H611" s="90"/>
      <c r="I611" s="90"/>
      <c r="J611" s="78"/>
    </row>
    <row r="612" spans="1:10" x14ac:dyDescent="0.15">
      <c r="A612" s="89"/>
      <c r="B612" s="90"/>
      <c r="C612" s="90"/>
      <c r="D612" s="91"/>
      <c r="E612" s="90"/>
      <c r="F612" s="90"/>
      <c r="G612" s="90"/>
      <c r="H612" s="90"/>
      <c r="I612" s="90"/>
      <c r="J612" s="78"/>
    </row>
    <row r="613" spans="1:10" x14ac:dyDescent="0.15">
      <c r="A613" s="89"/>
      <c r="B613" s="90"/>
      <c r="C613" s="90"/>
      <c r="D613" s="91"/>
      <c r="E613" s="90"/>
      <c r="F613" s="90"/>
      <c r="G613" s="90"/>
      <c r="H613" s="90"/>
      <c r="I613" s="90"/>
      <c r="J613" s="78"/>
    </row>
    <row r="614" spans="1:10" x14ac:dyDescent="0.15">
      <c r="A614" s="89"/>
      <c r="B614" s="90"/>
      <c r="C614" s="90"/>
      <c r="D614" s="91"/>
      <c r="E614" s="90"/>
      <c r="F614" s="90"/>
      <c r="G614" s="90"/>
      <c r="H614" s="90"/>
      <c r="I614" s="90"/>
      <c r="J614" s="78"/>
    </row>
    <row r="615" spans="1:10" x14ac:dyDescent="0.15">
      <c r="A615" s="89"/>
      <c r="B615" s="90"/>
      <c r="C615" s="90"/>
      <c r="D615" s="91"/>
      <c r="E615" s="90"/>
      <c r="F615" s="90"/>
      <c r="G615" s="90"/>
      <c r="H615" s="90"/>
      <c r="I615" s="90"/>
      <c r="J615" s="78"/>
    </row>
    <row r="616" spans="1:10" x14ac:dyDescent="0.15">
      <c r="A616" s="89"/>
      <c r="B616" s="90"/>
      <c r="C616" s="90"/>
      <c r="D616" s="91"/>
      <c r="E616" s="90"/>
      <c r="F616" s="90"/>
      <c r="G616" s="90"/>
      <c r="H616" s="90"/>
      <c r="I616" s="90"/>
      <c r="J616" s="78"/>
    </row>
    <row r="617" spans="1:10" x14ac:dyDescent="0.15">
      <c r="A617" s="89"/>
      <c r="B617" s="90"/>
      <c r="C617" s="90"/>
      <c r="D617" s="91"/>
      <c r="E617" s="90"/>
      <c r="F617" s="90"/>
      <c r="G617" s="90"/>
      <c r="H617" s="90"/>
      <c r="I617" s="90"/>
      <c r="J617" s="78"/>
    </row>
    <row r="618" spans="1:10" x14ac:dyDescent="0.15">
      <c r="A618" s="89"/>
      <c r="B618" s="90"/>
      <c r="C618" s="90"/>
      <c r="D618" s="91"/>
      <c r="E618" s="90"/>
      <c r="F618" s="90"/>
      <c r="G618" s="90"/>
      <c r="H618" s="90"/>
      <c r="I618" s="90"/>
      <c r="J618" s="78"/>
    </row>
    <row r="619" spans="1:10" x14ac:dyDescent="0.15">
      <c r="A619" s="89"/>
      <c r="B619" s="90"/>
      <c r="C619" s="90"/>
      <c r="D619" s="91"/>
      <c r="E619" s="90"/>
      <c r="F619" s="90"/>
      <c r="G619" s="90"/>
      <c r="H619" s="90"/>
      <c r="I619" s="90"/>
      <c r="J619" s="78"/>
    </row>
    <row r="620" spans="1:10" x14ac:dyDescent="0.15">
      <c r="A620" s="89"/>
      <c r="B620" s="90"/>
      <c r="C620" s="90"/>
      <c r="D620" s="91"/>
      <c r="E620" s="90"/>
      <c r="F620" s="90"/>
      <c r="G620" s="90"/>
      <c r="H620" s="90"/>
      <c r="I620" s="90"/>
      <c r="J620" s="78"/>
    </row>
    <row r="621" spans="1:10" x14ac:dyDescent="0.15">
      <c r="A621" s="89"/>
      <c r="B621" s="90"/>
      <c r="C621" s="90"/>
      <c r="D621" s="91"/>
      <c r="E621" s="90"/>
      <c r="F621" s="90"/>
      <c r="G621" s="90"/>
      <c r="H621" s="90"/>
      <c r="I621" s="90"/>
      <c r="J621" s="78"/>
    </row>
    <row r="622" spans="1:10" x14ac:dyDescent="0.15">
      <c r="A622" s="89"/>
      <c r="B622" s="90"/>
      <c r="C622" s="90"/>
      <c r="D622" s="91"/>
      <c r="E622" s="90"/>
      <c r="F622" s="90"/>
      <c r="G622" s="90"/>
      <c r="H622" s="90"/>
      <c r="I622" s="90"/>
      <c r="J622" s="78"/>
    </row>
    <row r="623" spans="1:10" x14ac:dyDescent="0.15">
      <c r="A623" s="89"/>
      <c r="B623" s="90"/>
      <c r="C623" s="90"/>
      <c r="D623" s="91"/>
      <c r="E623" s="90"/>
      <c r="F623" s="90"/>
      <c r="G623" s="90"/>
      <c r="H623" s="90"/>
      <c r="I623" s="90"/>
      <c r="J623" s="78"/>
    </row>
    <row r="624" spans="1:10" x14ac:dyDescent="0.15">
      <c r="A624" s="89"/>
      <c r="B624" s="90"/>
      <c r="C624" s="90"/>
      <c r="D624" s="91"/>
      <c r="E624" s="90"/>
      <c r="F624" s="90"/>
      <c r="G624" s="90"/>
      <c r="H624" s="90"/>
      <c r="I624" s="90"/>
      <c r="J624" s="78"/>
    </row>
    <row r="625" spans="1:10" x14ac:dyDescent="0.15">
      <c r="A625" s="89"/>
      <c r="B625" s="90"/>
      <c r="C625" s="90"/>
      <c r="D625" s="91"/>
      <c r="E625" s="90"/>
      <c r="F625" s="90"/>
      <c r="G625" s="90"/>
      <c r="H625" s="90"/>
      <c r="I625" s="90"/>
      <c r="J625" s="78"/>
    </row>
    <row r="626" spans="1:10" x14ac:dyDescent="0.15">
      <c r="A626" s="89"/>
      <c r="B626" s="90"/>
      <c r="C626" s="90"/>
      <c r="D626" s="91"/>
      <c r="E626" s="90"/>
      <c r="F626" s="90"/>
      <c r="G626" s="90"/>
      <c r="H626" s="90"/>
      <c r="I626" s="90"/>
      <c r="J626" s="78"/>
    </row>
    <row r="627" spans="1:10" x14ac:dyDescent="0.15">
      <c r="A627" s="89"/>
      <c r="B627" s="90"/>
      <c r="C627" s="90"/>
      <c r="D627" s="91"/>
      <c r="E627" s="90"/>
      <c r="F627" s="90"/>
      <c r="G627" s="90"/>
      <c r="H627" s="90"/>
      <c r="I627" s="90"/>
      <c r="J627" s="78"/>
    </row>
    <row r="628" spans="1:10" x14ac:dyDescent="0.15">
      <c r="A628" s="89"/>
      <c r="B628" s="90"/>
      <c r="C628" s="90"/>
      <c r="D628" s="91"/>
      <c r="E628" s="90"/>
      <c r="F628" s="90"/>
      <c r="G628" s="90"/>
      <c r="H628" s="90"/>
      <c r="I628" s="90"/>
      <c r="J628" s="78"/>
    </row>
    <row r="629" spans="1:10" x14ac:dyDescent="0.15">
      <c r="A629" s="89"/>
      <c r="B629" s="90"/>
      <c r="C629" s="90"/>
      <c r="D629" s="91"/>
      <c r="E629" s="90"/>
      <c r="F629" s="90"/>
      <c r="G629" s="90"/>
      <c r="H629" s="90"/>
      <c r="I629" s="90"/>
      <c r="J629" s="78"/>
    </row>
    <row r="630" spans="1:10" x14ac:dyDescent="0.15">
      <c r="A630" s="89"/>
      <c r="B630" s="90"/>
      <c r="C630" s="90"/>
      <c r="D630" s="91"/>
      <c r="E630" s="90"/>
      <c r="F630" s="90"/>
      <c r="G630" s="90"/>
      <c r="H630" s="90"/>
      <c r="I630" s="90"/>
      <c r="J630" s="78"/>
    </row>
    <row r="631" spans="1:10" x14ac:dyDescent="0.15">
      <c r="A631" s="89"/>
      <c r="B631" s="90"/>
      <c r="C631" s="90"/>
      <c r="D631" s="91"/>
      <c r="E631" s="90"/>
      <c r="F631" s="90"/>
      <c r="G631" s="90"/>
      <c r="H631" s="90"/>
      <c r="I631" s="90"/>
      <c r="J631" s="78"/>
    </row>
    <row r="632" spans="1:10" x14ac:dyDescent="0.15">
      <c r="A632" s="89"/>
      <c r="B632" s="90"/>
      <c r="C632" s="90"/>
      <c r="D632" s="91"/>
      <c r="E632" s="90"/>
      <c r="F632" s="90"/>
      <c r="G632" s="90"/>
      <c r="H632" s="90"/>
      <c r="I632" s="90"/>
      <c r="J632" s="78"/>
    </row>
    <row r="633" spans="1:10" x14ac:dyDescent="0.15">
      <c r="A633" s="89"/>
      <c r="B633" s="90"/>
      <c r="C633" s="90"/>
      <c r="D633" s="91"/>
      <c r="E633" s="90"/>
      <c r="F633" s="90"/>
      <c r="G633" s="90"/>
      <c r="H633" s="90"/>
      <c r="I633" s="90"/>
      <c r="J633" s="78"/>
    </row>
    <row r="634" spans="1:10" x14ac:dyDescent="0.15">
      <c r="A634" s="89"/>
      <c r="B634" s="90"/>
      <c r="C634" s="90"/>
      <c r="D634" s="91"/>
      <c r="E634" s="90"/>
      <c r="F634" s="90"/>
      <c r="G634" s="90"/>
      <c r="H634" s="90"/>
      <c r="I634" s="90"/>
      <c r="J634" s="78"/>
    </row>
    <row r="635" spans="1:10" x14ac:dyDescent="0.15">
      <c r="A635" s="89"/>
      <c r="B635" s="90"/>
      <c r="C635" s="90"/>
      <c r="D635" s="91"/>
      <c r="E635" s="90"/>
      <c r="F635" s="90"/>
      <c r="G635" s="90"/>
      <c r="H635" s="90"/>
      <c r="I635" s="90"/>
      <c r="J635" s="78"/>
    </row>
    <row r="636" spans="1:10" x14ac:dyDescent="0.15">
      <c r="A636" s="89"/>
      <c r="B636" s="90"/>
      <c r="C636" s="90"/>
      <c r="D636" s="91"/>
      <c r="E636" s="90"/>
      <c r="F636" s="90"/>
      <c r="G636" s="90"/>
      <c r="H636" s="90"/>
      <c r="I636" s="90"/>
      <c r="J636" s="78"/>
    </row>
    <row r="637" spans="1:10" x14ac:dyDescent="0.15">
      <c r="A637" s="89"/>
      <c r="B637" s="90"/>
      <c r="C637" s="90"/>
      <c r="D637" s="91"/>
      <c r="E637" s="90"/>
      <c r="F637" s="90"/>
      <c r="G637" s="90"/>
      <c r="H637" s="90"/>
      <c r="I637" s="90"/>
      <c r="J637" s="78"/>
    </row>
    <row r="638" spans="1:10" x14ac:dyDescent="0.15">
      <c r="A638" s="89"/>
      <c r="B638" s="90"/>
      <c r="C638" s="90"/>
      <c r="D638" s="91"/>
      <c r="E638" s="90"/>
      <c r="F638" s="90"/>
      <c r="G638" s="90"/>
      <c r="H638" s="90"/>
      <c r="I638" s="90"/>
      <c r="J638" s="78"/>
    </row>
    <row r="639" spans="1:10" x14ac:dyDescent="0.15">
      <c r="A639" s="89"/>
      <c r="B639" s="90"/>
      <c r="C639" s="90"/>
      <c r="D639" s="91"/>
      <c r="E639" s="90"/>
      <c r="F639" s="90"/>
      <c r="G639" s="90"/>
      <c r="H639" s="90"/>
      <c r="I639" s="90"/>
      <c r="J639" s="78"/>
    </row>
    <row r="640" spans="1:10" x14ac:dyDescent="0.15">
      <c r="A640" s="89"/>
      <c r="B640" s="90"/>
      <c r="C640" s="90"/>
      <c r="D640" s="91"/>
      <c r="E640" s="90"/>
      <c r="F640" s="90"/>
      <c r="G640" s="90"/>
      <c r="H640" s="90"/>
      <c r="I640" s="90"/>
      <c r="J640" s="78"/>
    </row>
    <row r="641" spans="1:10" x14ac:dyDescent="0.15">
      <c r="A641" s="89"/>
      <c r="B641" s="90"/>
      <c r="C641" s="90"/>
      <c r="D641" s="91"/>
      <c r="E641" s="90"/>
      <c r="F641" s="90"/>
      <c r="G641" s="90"/>
      <c r="H641" s="90"/>
      <c r="I641" s="90"/>
      <c r="J641" s="78"/>
    </row>
    <row r="642" spans="1:10" x14ac:dyDescent="0.15">
      <c r="A642" s="89"/>
      <c r="B642" s="90"/>
      <c r="C642" s="90"/>
      <c r="D642" s="91"/>
      <c r="E642" s="90"/>
      <c r="F642" s="90"/>
      <c r="G642" s="90"/>
      <c r="H642" s="90"/>
      <c r="I642" s="90"/>
      <c r="J642" s="78"/>
    </row>
    <row r="643" spans="1:10" x14ac:dyDescent="0.15">
      <c r="A643" s="89"/>
      <c r="B643" s="90"/>
      <c r="C643" s="90"/>
      <c r="D643" s="91"/>
      <c r="E643" s="90"/>
      <c r="F643" s="90"/>
      <c r="G643" s="90"/>
      <c r="H643" s="90"/>
      <c r="I643" s="90"/>
      <c r="J643" s="78"/>
    </row>
    <row r="644" spans="1:10" x14ac:dyDescent="0.15">
      <c r="A644" s="89"/>
      <c r="B644" s="90"/>
      <c r="C644" s="90"/>
      <c r="D644" s="91"/>
      <c r="E644" s="90"/>
      <c r="F644" s="90"/>
      <c r="G644" s="90"/>
      <c r="H644" s="90"/>
      <c r="I644" s="90"/>
      <c r="J644" s="78"/>
    </row>
    <row r="645" spans="1:10" x14ac:dyDescent="0.15">
      <c r="A645" s="89"/>
      <c r="B645" s="90"/>
      <c r="C645" s="90"/>
      <c r="D645" s="91"/>
      <c r="E645" s="90"/>
      <c r="F645" s="90"/>
      <c r="G645" s="90"/>
      <c r="H645" s="90"/>
      <c r="I645" s="90"/>
      <c r="J645" s="78"/>
    </row>
    <row r="646" spans="1:10" x14ac:dyDescent="0.15">
      <c r="A646" s="89"/>
      <c r="B646" s="90"/>
      <c r="C646" s="90"/>
      <c r="D646" s="91"/>
      <c r="E646" s="90"/>
      <c r="F646" s="90"/>
      <c r="G646" s="90"/>
      <c r="H646" s="90"/>
      <c r="I646" s="90"/>
      <c r="J646" s="78"/>
    </row>
    <row r="647" spans="1:10" x14ac:dyDescent="0.15">
      <c r="A647" s="89"/>
      <c r="B647" s="90"/>
      <c r="C647" s="90"/>
      <c r="D647" s="91"/>
      <c r="E647" s="90"/>
      <c r="F647" s="90"/>
      <c r="G647" s="90"/>
      <c r="H647" s="90"/>
      <c r="I647" s="90"/>
      <c r="J647" s="78"/>
    </row>
    <row r="648" spans="1:10" x14ac:dyDescent="0.15">
      <c r="A648" s="89"/>
      <c r="B648" s="90"/>
      <c r="C648" s="90"/>
      <c r="D648" s="91"/>
      <c r="E648" s="90"/>
      <c r="F648" s="90"/>
      <c r="G648" s="90"/>
      <c r="H648" s="90"/>
      <c r="I648" s="90"/>
      <c r="J648" s="78"/>
    </row>
    <row r="649" spans="1:10" x14ac:dyDescent="0.15">
      <c r="A649" s="89"/>
      <c r="B649" s="90"/>
      <c r="C649" s="90"/>
      <c r="D649" s="91"/>
      <c r="E649" s="90"/>
      <c r="F649" s="90"/>
      <c r="G649" s="90"/>
      <c r="H649" s="90"/>
      <c r="I649" s="90"/>
      <c r="J649" s="78"/>
    </row>
    <row r="650" spans="1:10" x14ac:dyDescent="0.15">
      <c r="A650" s="89"/>
      <c r="B650" s="90"/>
      <c r="C650" s="90"/>
      <c r="D650" s="91"/>
      <c r="E650" s="90"/>
      <c r="F650" s="90"/>
      <c r="G650" s="90"/>
      <c r="H650" s="90"/>
      <c r="I650" s="90"/>
      <c r="J650" s="78"/>
    </row>
    <row r="651" spans="1:10" x14ac:dyDescent="0.15">
      <c r="A651" s="89"/>
      <c r="B651" s="90"/>
      <c r="C651" s="90"/>
      <c r="D651" s="91"/>
      <c r="E651" s="90"/>
      <c r="F651" s="90"/>
      <c r="G651" s="90"/>
      <c r="H651" s="90"/>
      <c r="I651" s="90"/>
      <c r="J651" s="78"/>
    </row>
    <row r="652" spans="1:10" x14ac:dyDescent="0.15">
      <c r="A652" s="89"/>
      <c r="B652" s="90"/>
      <c r="C652" s="90"/>
      <c r="D652" s="91"/>
      <c r="E652" s="90"/>
      <c r="F652" s="90"/>
      <c r="G652" s="90"/>
      <c r="H652" s="90"/>
      <c r="I652" s="90"/>
      <c r="J652" s="78"/>
    </row>
    <row r="653" spans="1:10" x14ac:dyDescent="0.15">
      <c r="A653" s="89"/>
      <c r="B653" s="90"/>
      <c r="C653" s="90"/>
      <c r="D653" s="91"/>
      <c r="E653" s="90"/>
      <c r="F653" s="90"/>
      <c r="G653" s="90"/>
      <c r="H653" s="90"/>
      <c r="I653" s="90"/>
      <c r="J653" s="78"/>
    </row>
    <row r="654" spans="1:10" x14ac:dyDescent="0.15">
      <c r="A654" s="89"/>
      <c r="B654" s="90"/>
      <c r="C654" s="90"/>
      <c r="D654" s="91"/>
      <c r="E654" s="90"/>
      <c r="F654" s="90"/>
      <c r="G654" s="90"/>
      <c r="H654" s="90"/>
      <c r="I654" s="90"/>
      <c r="J654" s="78"/>
    </row>
    <row r="655" spans="1:10" x14ac:dyDescent="0.15">
      <c r="A655" s="89"/>
      <c r="B655" s="90"/>
      <c r="C655" s="90"/>
      <c r="D655" s="91"/>
      <c r="E655" s="90"/>
      <c r="F655" s="90"/>
      <c r="G655" s="90"/>
      <c r="H655" s="90"/>
      <c r="I655" s="90"/>
      <c r="J655" s="78"/>
    </row>
    <row r="656" spans="1:10" x14ac:dyDescent="0.15">
      <c r="A656" s="89"/>
      <c r="B656" s="90"/>
      <c r="C656" s="90"/>
      <c r="D656" s="91"/>
      <c r="E656" s="90"/>
      <c r="F656" s="90"/>
      <c r="G656" s="90"/>
      <c r="H656" s="90"/>
      <c r="I656" s="90"/>
      <c r="J656" s="78"/>
    </row>
    <row r="657" spans="1:10" x14ac:dyDescent="0.15">
      <c r="A657" s="89"/>
      <c r="B657" s="90"/>
      <c r="C657" s="90"/>
      <c r="D657" s="91"/>
      <c r="E657" s="90"/>
      <c r="F657" s="90"/>
      <c r="G657" s="90"/>
      <c r="H657" s="90"/>
      <c r="I657" s="90"/>
      <c r="J657" s="78"/>
    </row>
    <row r="658" spans="1:10" x14ac:dyDescent="0.15">
      <c r="A658" s="89"/>
      <c r="B658" s="90"/>
      <c r="C658" s="90"/>
      <c r="D658" s="91"/>
      <c r="E658" s="90"/>
      <c r="F658" s="90"/>
      <c r="G658" s="90"/>
      <c r="H658" s="90"/>
      <c r="I658" s="90"/>
      <c r="J658" s="78"/>
    </row>
    <row r="659" spans="1:10" x14ac:dyDescent="0.15">
      <c r="A659" s="89"/>
      <c r="B659" s="90"/>
      <c r="C659" s="90"/>
      <c r="D659" s="91"/>
      <c r="E659" s="90"/>
      <c r="F659" s="90"/>
      <c r="G659" s="90"/>
      <c r="H659" s="90"/>
      <c r="I659" s="90"/>
      <c r="J659" s="78"/>
    </row>
    <row r="660" spans="1:10" x14ac:dyDescent="0.15">
      <c r="A660" s="89"/>
      <c r="B660" s="90"/>
      <c r="C660" s="90"/>
      <c r="D660" s="91"/>
      <c r="E660" s="90"/>
      <c r="F660" s="90"/>
      <c r="G660" s="90"/>
      <c r="H660" s="90"/>
      <c r="I660" s="90"/>
      <c r="J660" s="78"/>
    </row>
    <row r="661" spans="1:10" x14ac:dyDescent="0.15">
      <c r="A661" s="89"/>
      <c r="B661" s="90"/>
      <c r="C661" s="90"/>
      <c r="D661" s="91"/>
      <c r="E661" s="90"/>
      <c r="F661" s="90"/>
      <c r="G661" s="90"/>
      <c r="H661" s="90"/>
      <c r="I661" s="90"/>
      <c r="J661" s="78"/>
    </row>
    <row r="662" spans="1:10" x14ac:dyDescent="0.15">
      <c r="A662" s="89"/>
      <c r="B662" s="90"/>
      <c r="C662" s="90"/>
      <c r="D662" s="91"/>
      <c r="E662" s="90"/>
      <c r="F662" s="90"/>
      <c r="G662" s="90"/>
      <c r="H662" s="90"/>
      <c r="I662" s="90"/>
      <c r="J662" s="78"/>
    </row>
    <row r="663" spans="1:10" x14ac:dyDescent="0.15">
      <c r="A663" s="89"/>
      <c r="B663" s="90"/>
      <c r="C663" s="90"/>
      <c r="D663" s="91"/>
      <c r="E663" s="90"/>
      <c r="F663" s="90"/>
      <c r="G663" s="90"/>
      <c r="H663" s="90"/>
      <c r="I663" s="90"/>
      <c r="J663" s="78"/>
    </row>
    <row r="664" spans="1:10" x14ac:dyDescent="0.15">
      <c r="A664" s="89"/>
      <c r="B664" s="90"/>
      <c r="C664" s="90"/>
      <c r="D664" s="91"/>
      <c r="E664" s="90"/>
      <c r="F664" s="90"/>
      <c r="G664" s="90"/>
      <c r="H664" s="90"/>
      <c r="I664" s="90"/>
      <c r="J664" s="78"/>
    </row>
    <row r="665" spans="1:10" x14ac:dyDescent="0.15">
      <c r="A665" s="89"/>
      <c r="B665" s="90"/>
      <c r="C665" s="90"/>
      <c r="D665" s="91"/>
      <c r="E665" s="90"/>
      <c r="F665" s="90"/>
      <c r="G665" s="90"/>
      <c r="H665" s="90"/>
      <c r="I665" s="90"/>
      <c r="J665" s="78"/>
    </row>
    <row r="666" spans="1:10" x14ac:dyDescent="0.15">
      <c r="A666" s="89"/>
      <c r="B666" s="90"/>
      <c r="C666" s="90"/>
      <c r="D666" s="91"/>
      <c r="E666" s="90"/>
      <c r="F666" s="90"/>
      <c r="G666" s="90"/>
      <c r="H666" s="90"/>
      <c r="I666" s="90"/>
      <c r="J666" s="78"/>
    </row>
    <row r="667" spans="1:10" x14ac:dyDescent="0.15">
      <c r="A667" s="89"/>
      <c r="B667" s="90"/>
      <c r="C667" s="90"/>
      <c r="D667" s="91"/>
      <c r="E667" s="90"/>
      <c r="F667" s="90"/>
      <c r="G667" s="90"/>
      <c r="H667" s="90"/>
      <c r="I667" s="90"/>
      <c r="J667" s="78"/>
    </row>
    <row r="668" spans="1:10" x14ac:dyDescent="0.15">
      <c r="A668" s="89"/>
      <c r="B668" s="90"/>
      <c r="C668" s="90"/>
      <c r="D668" s="91"/>
      <c r="E668" s="90"/>
      <c r="F668" s="90"/>
      <c r="G668" s="90"/>
      <c r="H668" s="90"/>
      <c r="I668" s="90"/>
      <c r="J668" s="78"/>
    </row>
    <row r="669" spans="1:10" x14ac:dyDescent="0.15">
      <c r="A669" s="89"/>
      <c r="B669" s="90"/>
      <c r="C669" s="90"/>
      <c r="D669" s="91"/>
      <c r="E669" s="90"/>
      <c r="F669" s="90"/>
      <c r="G669" s="90"/>
      <c r="H669" s="90"/>
      <c r="I669" s="90"/>
      <c r="J669" s="78"/>
    </row>
    <row r="670" spans="1:10" x14ac:dyDescent="0.15">
      <c r="A670" s="89"/>
      <c r="B670" s="90"/>
      <c r="C670" s="90"/>
      <c r="D670" s="91"/>
      <c r="E670" s="90"/>
      <c r="F670" s="90"/>
      <c r="G670" s="90"/>
      <c r="H670" s="90"/>
      <c r="I670" s="90"/>
      <c r="J670" s="78"/>
    </row>
    <row r="671" spans="1:10" x14ac:dyDescent="0.15">
      <c r="A671" s="89"/>
      <c r="B671" s="90"/>
      <c r="C671" s="90"/>
      <c r="D671" s="91"/>
      <c r="E671" s="90"/>
      <c r="F671" s="90"/>
      <c r="G671" s="90"/>
      <c r="H671" s="90"/>
      <c r="I671" s="90"/>
      <c r="J671" s="78"/>
    </row>
    <row r="672" spans="1:10" x14ac:dyDescent="0.15">
      <c r="A672" s="89"/>
      <c r="B672" s="90"/>
      <c r="C672" s="90"/>
      <c r="D672" s="91"/>
      <c r="E672" s="90"/>
      <c r="F672" s="90"/>
      <c r="G672" s="90"/>
      <c r="H672" s="90"/>
      <c r="I672" s="90"/>
      <c r="J672" s="78"/>
    </row>
    <row r="673" spans="1:10" x14ac:dyDescent="0.15">
      <c r="A673" s="89"/>
      <c r="B673" s="90"/>
      <c r="C673" s="90"/>
      <c r="D673" s="91"/>
      <c r="E673" s="90"/>
      <c r="F673" s="90"/>
      <c r="G673" s="90"/>
      <c r="H673" s="90"/>
      <c r="I673" s="90"/>
      <c r="J673" s="78"/>
    </row>
    <row r="674" spans="1:10" x14ac:dyDescent="0.15">
      <c r="A674" s="89"/>
      <c r="B674" s="90"/>
      <c r="C674" s="90"/>
      <c r="D674" s="91"/>
      <c r="E674" s="90"/>
      <c r="F674" s="90"/>
      <c r="G674" s="90"/>
      <c r="H674" s="90"/>
      <c r="I674" s="90"/>
      <c r="J674" s="78"/>
    </row>
    <row r="675" spans="1:10" x14ac:dyDescent="0.15">
      <c r="A675" s="89"/>
      <c r="B675" s="90"/>
      <c r="C675" s="90"/>
      <c r="D675" s="91"/>
      <c r="E675" s="90"/>
      <c r="F675" s="90"/>
      <c r="G675" s="90"/>
      <c r="H675" s="90"/>
      <c r="I675" s="90"/>
      <c r="J675" s="78"/>
    </row>
    <row r="676" spans="1:10" x14ac:dyDescent="0.15">
      <c r="A676" s="89"/>
      <c r="B676" s="90"/>
      <c r="C676" s="90"/>
      <c r="D676" s="91"/>
      <c r="E676" s="90"/>
      <c r="F676" s="90"/>
      <c r="G676" s="90"/>
      <c r="H676" s="90"/>
      <c r="I676" s="90"/>
      <c r="J676" s="78"/>
    </row>
    <row r="677" spans="1:10" x14ac:dyDescent="0.15">
      <c r="A677" s="89"/>
      <c r="B677" s="90"/>
      <c r="C677" s="90"/>
      <c r="D677" s="91"/>
      <c r="E677" s="90"/>
      <c r="F677" s="90"/>
      <c r="G677" s="90"/>
      <c r="H677" s="90"/>
      <c r="I677" s="90"/>
      <c r="J677" s="78"/>
    </row>
    <row r="678" spans="1:10" x14ac:dyDescent="0.15">
      <c r="A678" s="89"/>
      <c r="B678" s="90"/>
      <c r="C678" s="90"/>
      <c r="D678" s="91"/>
      <c r="E678" s="90"/>
      <c r="F678" s="90"/>
      <c r="G678" s="90"/>
      <c r="H678" s="90"/>
      <c r="I678" s="90"/>
      <c r="J678" s="78"/>
    </row>
    <row r="679" spans="1:10" x14ac:dyDescent="0.15">
      <c r="A679" s="89"/>
      <c r="B679" s="90"/>
      <c r="C679" s="90"/>
      <c r="D679" s="91"/>
      <c r="E679" s="90"/>
      <c r="F679" s="90"/>
      <c r="G679" s="90"/>
      <c r="H679" s="90"/>
      <c r="I679" s="90"/>
      <c r="J679" s="78"/>
    </row>
    <row r="680" spans="1:10" x14ac:dyDescent="0.15">
      <c r="A680" s="89"/>
      <c r="B680" s="90"/>
      <c r="C680" s="90"/>
      <c r="D680" s="91"/>
      <c r="E680" s="90"/>
      <c r="F680" s="90"/>
      <c r="G680" s="90"/>
      <c r="H680" s="90"/>
      <c r="I680" s="90"/>
      <c r="J680" s="78"/>
    </row>
    <row r="681" spans="1:10" x14ac:dyDescent="0.15">
      <c r="A681" s="89"/>
      <c r="B681" s="90"/>
      <c r="C681" s="90"/>
      <c r="D681" s="91"/>
      <c r="E681" s="90"/>
      <c r="F681" s="90"/>
      <c r="G681" s="90"/>
      <c r="H681" s="90"/>
      <c r="I681" s="90"/>
      <c r="J681" s="78"/>
    </row>
    <row r="682" spans="1:10" x14ac:dyDescent="0.15">
      <c r="A682" s="89"/>
      <c r="B682" s="90"/>
      <c r="C682" s="90"/>
      <c r="D682" s="91"/>
      <c r="E682" s="90"/>
      <c r="F682" s="90"/>
      <c r="G682" s="90"/>
      <c r="H682" s="90"/>
      <c r="I682" s="90"/>
      <c r="J682" s="78"/>
    </row>
    <row r="683" spans="1:10" x14ac:dyDescent="0.15">
      <c r="A683" s="89"/>
      <c r="B683" s="90"/>
      <c r="C683" s="90"/>
      <c r="D683" s="91"/>
      <c r="E683" s="90"/>
      <c r="F683" s="90"/>
      <c r="G683" s="90"/>
      <c r="H683" s="90"/>
      <c r="I683" s="90"/>
      <c r="J683" s="78"/>
    </row>
    <row r="684" spans="1:10" x14ac:dyDescent="0.15">
      <c r="A684" s="89"/>
      <c r="B684" s="90"/>
      <c r="C684" s="90"/>
      <c r="D684" s="91"/>
      <c r="E684" s="90"/>
      <c r="F684" s="90"/>
      <c r="G684" s="90"/>
      <c r="H684" s="90"/>
      <c r="I684" s="90"/>
      <c r="J684" s="78"/>
    </row>
    <row r="685" spans="1:10" x14ac:dyDescent="0.15">
      <c r="A685" s="89"/>
      <c r="B685" s="90"/>
      <c r="C685" s="90"/>
      <c r="D685" s="91"/>
      <c r="E685" s="90"/>
      <c r="F685" s="90"/>
      <c r="G685" s="90"/>
      <c r="H685" s="90"/>
      <c r="I685" s="90"/>
      <c r="J685" s="78"/>
    </row>
    <row r="686" spans="1:10" x14ac:dyDescent="0.15">
      <c r="A686" s="89"/>
      <c r="B686" s="90"/>
      <c r="C686" s="90"/>
      <c r="D686" s="91"/>
      <c r="E686" s="90"/>
      <c r="F686" s="90"/>
      <c r="G686" s="90"/>
      <c r="H686" s="90"/>
      <c r="I686" s="90"/>
      <c r="J686" s="78"/>
    </row>
    <row r="687" spans="1:10" x14ac:dyDescent="0.15">
      <c r="A687" s="89"/>
      <c r="B687" s="90"/>
      <c r="C687" s="90"/>
      <c r="D687" s="91"/>
      <c r="E687" s="90"/>
      <c r="F687" s="90"/>
      <c r="G687" s="90"/>
      <c r="H687" s="90"/>
      <c r="I687" s="90"/>
      <c r="J687" s="78"/>
    </row>
    <row r="688" spans="1:10" x14ac:dyDescent="0.15">
      <c r="A688" s="89"/>
      <c r="B688" s="90"/>
      <c r="C688" s="90"/>
      <c r="D688" s="91"/>
      <c r="E688" s="90"/>
      <c r="F688" s="90"/>
      <c r="G688" s="90"/>
      <c r="H688" s="90"/>
      <c r="I688" s="90"/>
      <c r="J688" s="78"/>
    </row>
    <row r="689" spans="1:10" x14ac:dyDescent="0.15">
      <c r="A689" s="89"/>
      <c r="B689" s="90"/>
      <c r="C689" s="90"/>
      <c r="D689" s="91"/>
      <c r="E689" s="90"/>
      <c r="F689" s="90"/>
      <c r="G689" s="90"/>
      <c r="H689" s="90"/>
      <c r="I689" s="90"/>
      <c r="J689" s="78"/>
    </row>
    <row r="690" spans="1:10" x14ac:dyDescent="0.15">
      <c r="A690" s="89"/>
      <c r="B690" s="90"/>
      <c r="C690" s="90"/>
      <c r="D690" s="91"/>
      <c r="E690" s="90"/>
      <c r="F690" s="90"/>
      <c r="G690" s="90"/>
      <c r="H690" s="90"/>
      <c r="I690" s="90"/>
      <c r="J690" s="78"/>
    </row>
    <row r="691" spans="1:10" x14ac:dyDescent="0.15">
      <c r="A691" s="89"/>
      <c r="B691" s="90"/>
      <c r="C691" s="90"/>
      <c r="D691" s="91"/>
      <c r="E691" s="90"/>
      <c r="F691" s="90"/>
      <c r="G691" s="90"/>
      <c r="H691" s="90"/>
      <c r="I691" s="90"/>
      <c r="J691" s="78"/>
    </row>
    <row r="692" spans="1:10" x14ac:dyDescent="0.15">
      <c r="A692" s="89"/>
      <c r="B692" s="90"/>
      <c r="C692" s="90"/>
      <c r="D692" s="91"/>
      <c r="E692" s="90"/>
      <c r="F692" s="90"/>
      <c r="G692" s="90"/>
      <c r="H692" s="90"/>
      <c r="I692" s="90"/>
      <c r="J692" s="78"/>
    </row>
    <row r="693" spans="1:10" x14ac:dyDescent="0.15">
      <c r="A693" s="89"/>
      <c r="B693" s="90"/>
      <c r="C693" s="90"/>
      <c r="D693" s="91"/>
      <c r="E693" s="90"/>
      <c r="F693" s="90"/>
      <c r="G693" s="90"/>
      <c r="H693" s="90"/>
      <c r="I693" s="90"/>
      <c r="J693" s="78"/>
    </row>
    <row r="694" spans="1:10" x14ac:dyDescent="0.15">
      <c r="A694" s="89"/>
      <c r="B694" s="90"/>
      <c r="C694" s="90"/>
      <c r="D694" s="91"/>
      <c r="E694" s="90"/>
      <c r="F694" s="90"/>
      <c r="G694" s="90"/>
      <c r="H694" s="90"/>
      <c r="I694" s="90"/>
      <c r="J694" s="78"/>
    </row>
    <row r="695" spans="1:10" x14ac:dyDescent="0.15">
      <c r="A695" s="89"/>
      <c r="B695" s="90"/>
      <c r="C695" s="90"/>
      <c r="D695" s="91"/>
      <c r="E695" s="90"/>
      <c r="F695" s="90"/>
      <c r="G695" s="90"/>
      <c r="H695" s="90"/>
      <c r="I695" s="90"/>
      <c r="J695" s="78"/>
    </row>
    <row r="696" spans="1:10" x14ac:dyDescent="0.15">
      <c r="A696" s="89"/>
      <c r="B696" s="90"/>
      <c r="C696" s="90"/>
      <c r="D696" s="91"/>
      <c r="E696" s="90"/>
      <c r="F696" s="90"/>
      <c r="G696" s="90"/>
      <c r="H696" s="90"/>
      <c r="I696" s="90"/>
      <c r="J696" s="78"/>
    </row>
    <row r="697" spans="1:10" x14ac:dyDescent="0.15">
      <c r="A697" s="89"/>
      <c r="B697" s="90"/>
      <c r="C697" s="90"/>
      <c r="D697" s="91"/>
      <c r="E697" s="90"/>
      <c r="F697" s="90"/>
      <c r="G697" s="90"/>
      <c r="H697" s="90"/>
      <c r="I697" s="90"/>
      <c r="J697" s="78"/>
    </row>
    <row r="698" spans="1:10" x14ac:dyDescent="0.15">
      <c r="A698" s="89"/>
      <c r="B698" s="90"/>
      <c r="C698" s="90"/>
      <c r="D698" s="91"/>
      <c r="E698" s="90"/>
      <c r="F698" s="90"/>
      <c r="G698" s="90"/>
      <c r="H698" s="90"/>
      <c r="I698" s="90"/>
      <c r="J698" s="78"/>
    </row>
    <row r="699" spans="1:10" x14ac:dyDescent="0.15">
      <c r="A699" s="89"/>
      <c r="B699" s="90"/>
      <c r="C699" s="90"/>
      <c r="D699" s="91"/>
      <c r="E699" s="90"/>
      <c r="F699" s="90"/>
      <c r="G699" s="90"/>
      <c r="H699" s="90"/>
      <c r="I699" s="90"/>
      <c r="J699" s="78"/>
    </row>
    <row r="700" spans="1:10" x14ac:dyDescent="0.15">
      <c r="A700" s="89"/>
      <c r="B700" s="90"/>
      <c r="C700" s="90"/>
      <c r="D700" s="91"/>
      <c r="E700" s="90"/>
      <c r="F700" s="90"/>
      <c r="G700" s="90"/>
      <c r="H700" s="90"/>
      <c r="I700" s="90"/>
      <c r="J700" s="78"/>
    </row>
    <row r="701" spans="1:10" x14ac:dyDescent="0.15">
      <c r="A701" s="89"/>
      <c r="B701" s="90"/>
      <c r="C701" s="90"/>
      <c r="D701" s="91"/>
      <c r="E701" s="90"/>
      <c r="F701" s="90"/>
      <c r="G701" s="90"/>
      <c r="H701" s="90"/>
      <c r="I701" s="90"/>
      <c r="J701" s="78"/>
    </row>
    <row r="702" spans="1:10" x14ac:dyDescent="0.15">
      <c r="A702" s="89"/>
      <c r="B702" s="90"/>
      <c r="C702" s="90"/>
      <c r="D702" s="91"/>
      <c r="E702" s="90"/>
      <c r="F702" s="90"/>
      <c r="G702" s="90"/>
      <c r="H702" s="90"/>
      <c r="I702" s="90"/>
      <c r="J702" s="78"/>
    </row>
    <row r="703" spans="1:10" x14ac:dyDescent="0.15">
      <c r="A703" s="89"/>
      <c r="B703" s="90"/>
      <c r="C703" s="90"/>
      <c r="D703" s="91"/>
      <c r="E703" s="90"/>
      <c r="F703" s="90"/>
      <c r="G703" s="90"/>
      <c r="H703" s="90"/>
      <c r="I703" s="90"/>
      <c r="J703" s="78"/>
    </row>
    <row r="704" spans="1:10" x14ac:dyDescent="0.15">
      <c r="A704" s="89"/>
      <c r="B704" s="90"/>
      <c r="C704" s="90"/>
      <c r="D704" s="91"/>
      <c r="E704" s="90"/>
      <c r="F704" s="90"/>
      <c r="G704" s="90"/>
      <c r="H704" s="90"/>
      <c r="I704" s="90"/>
      <c r="J704" s="78"/>
    </row>
    <row r="705" spans="1:10" x14ac:dyDescent="0.15">
      <c r="A705" s="89"/>
      <c r="B705" s="90"/>
      <c r="C705" s="90"/>
      <c r="D705" s="91"/>
      <c r="E705" s="90"/>
      <c r="F705" s="90"/>
      <c r="G705" s="90"/>
      <c r="H705" s="90"/>
      <c r="I705" s="90"/>
      <c r="J705" s="78"/>
    </row>
    <row r="706" spans="1:10" x14ac:dyDescent="0.15">
      <c r="A706" s="89"/>
      <c r="B706" s="90"/>
      <c r="C706" s="90"/>
      <c r="D706" s="91"/>
      <c r="E706" s="90"/>
      <c r="F706" s="90"/>
      <c r="G706" s="90"/>
      <c r="H706" s="90"/>
      <c r="I706" s="90"/>
      <c r="J706" s="78"/>
    </row>
    <row r="707" spans="1:10" x14ac:dyDescent="0.15">
      <c r="A707" s="89"/>
      <c r="B707" s="90"/>
      <c r="C707" s="90"/>
      <c r="D707" s="91"/>
      <c r="E707" s="90"/>
      <c r="F707" s="90"/>
      <c r="G707" s="90"/>
      <c r="H707" s="90"/>
      <c r="I707" s="90"/>
      <c r="J707" s="78"/>
    </row>
    <row r="708" spans="1:10" x14ac:dyDescent="0.15">
      <c r="A708" s="89"/>
      <c r="B708" s="90"/>
      <c r="C708" s="90"/>
      <c r="D708" s="91"/>
      <c r="E708" s="90"/>
      <c r="F708" s="90"/>
      <c r="G708" s="90"/>
      <c r="H708" s="90"/>
      <c r="I708" s="90"/>
      <c r="J708" s="78"/>
    </row>
    <row r="709" spans="1:10" x14ac:dyDescent="0.15">
      <c r="A709" s="89"/>
      <c r="B709" s="90"/>
      <c r="C709" s="90"/>
      <c r="D709" s="91"/>
      <c r="E709" s="90"/>
      <c r="F709" s="90"/>
      <c r="G709" s="90"/>
      <c r="H709" s="90"/>
      <c r="I709" s="90"/>
      <c r="J709" s="78"/>
    </row>
    <row r="710" spans="1:10" x14ac:dyDescent="0.15">
      <c r="A710" s="89"/>
      <c r="B710" s="90"/>
      <c r="C710" s="90"/>
      <c r="D710" s="91"/>
      <c r="E710" s="90"/>
      <c r="F710" s="90"/>
      <c r="G710" s="90"/>
      <c r="H710" s="90"/>
      <c r="I710" s="90"/>
      <c r="J710" s="78"/>
    </row>
    <row r="711" spans="1:10" x14ac:dyDescent="0.15">
      <c r="A711" s="89"/>
      <c r="B711" s="90"/>
      <c r="C711" s="90"/>
      <c r="D711" s="91"/>
      <c r="E711" s="90"/>
      <c r="F711" s="90"/>
      <c r="G711" s="90"/>
      <c r="H711" s="90"/>
      <c r="I711" s="90"/>
      <c r="J711" s="78"/>
    </row>
    <row r="712" spans="1:10" x14ac:dyDescent="0.15">
      <c r="A712" s="89"/>
      <c r="B712" s="90"/>
      <c r="C712" s="90"/>
      <c r="D712" s="91"/>
      <c r="E712" s="90"/>
      <c r="F712" s="90"/>
      <c r="G712" s="90"/>
      <c r="H712" s="90"/>
      <c r="I712" s="90"/>
      <c r="J712" s="78"/>
    </row>
    <row r="713" spans="1:10" x14ac:dyDescent="0.15">
      <c r="A713" s="89"/>
      <c r="B713" s="90"/>
      <c r="C713" s="90"/>
      <c r="D713" s="91"/>
      <c r="E713" s="90"/>
      <c r="F713" s="90"/>
      <c r="G713" s="90"/>
      <c r="H713" s="90"/>
      <c r="I713" s="90"/>
      <c r="J713" s="78"/>
    </row>
    <row r="714" spans="1:10" x14ac:dyDescent="0.15">
      <c r="A714" s="89"/>
      <c r="B714" s="90"/>
      <c r="C714" s="90"/>
      <c r="D714" s="91"/>
      <c r="E714" s="90"/>
      <c r="F714" s="90"/>
      <c r="G714" s="90"/>
      <c r="H714" s="90"/>
      <c r="I714" s="90"/>
      <c r="J714" s="78"/>
    </row>
    <row r="715" spans="1:10" x14ac:dyDescent="0.15">
      <c r="A715" s="89"/>
      <c r="B715" s="90"/>
      <c r="C715" s="90"/>
      <c r="D715" s="91"/>
      <c r="E715" s="90"/>
      <c r="F715" s="90"/>
      <c r="G715" s="90"/>
      <c r="H715" s="90"/>
      <c r="I715" s="90"/>
      <c r="J715" s="78"/>
    </row>
    <row r="716" spans="1:10" x14ac:dyDescent="0.15">
      <c r="A716" s="89"/>
      <c r="B716" s="90"/>
      <c r="C716" s="90"/>
      <c r="D716" s="91"/>
      <c r="E716" s="90"/>
      <c r="F716" s="90"/>
      <c r="G716" s="90"/>
      <c r="H716" s="90"/>
      <c r="I716" s="90"/>
      <c r="J716" s="78"/>
    </row>
    <row r="717" spans="1:10" x14ac:dyDescent="0.15">
      <c r="A717" s="89"/>
      <c r="B717" s="90"/>
      <c r="C717" s="90"/>
      <c r="D717" s="91"/>
      <c r="E717" s="90"/>
      <c r="F717" s="90"/>
      <c r="G717" s="90"/>
      <c r="H717" s="90"/>
      <c r="I717" s="90"/>
      <c r="J717" s="78"/>
    </row>
    <row r="718" spans="1:10" x14ac:dyDescent="0.15">
      <c r="A718" s="89"/>
      <c r="B718" s="90"/>
      <c r="C718" s="90"/>
      <c r="D718" s="91"/>
      <c r="E718" s="90"/>
      <c r="F718" s="90"/>
      <c r="G718" s="90"/>
      <c r="H718" s="90"/>
      <c r="I718" s="90"/>
      <c r="J718" s="78"/>
    </row>
    <row r="719" spans="1:10" x14ac:dyDescent="0.15">
      <c r="A719" s="89"/>
      <c r="B719" s="90"/>
      <c r="C719" s="90"/>
      <c r="D719" s="91"/>
      <c r="E719" s="90"/>
      <c r="F719" s="90"/>
      <c r="G719" s="90"/>
      <c r="H719" s="90"/>
      <c r="I719" s="90"/>
      <c r="J719" s="78"/>
    </row>
    <row r="720" spans="1:10" x14ac:dyDescent="0.15">
      <c r="A720" s="89"/>
      <c r="B720" s="90"/>
      <c r="C720" s="90"/>
      <c r="D720" s="91"/>
      <c r="E720" s="90"/>
      <c r="F720" s="90"/>
      <c r="G720" s="90"/>
      <c r="H720" s="90"/>
      <c r="I720" s="90"/>
      <c r="J720" s="78"/>
    </row>
    <row r="721" spans="1:10" x14ac:dyDescent="0.15">
      <c r="A721" s="89"/>
      <c r="B721" s="90"/>
      <c r="C721" s="90"/>
      <c r="D721" s="91"/>
      <c r="E721" s="90"/>
      <c r="F721" s="90"/>
      <c r="G721" s="90"/>
      <c r="H721" s="90"/>
      <c r="I721" s="90"/>
      <c r="J721" s="78"/>
    </row>
    <row r="722" spans="1:10" x14ac:dyDescent="0.15">
      <c r="A722" s="89"/>
      <c r="B722" s="90"/>
      <c r="C722" s="90"/>
      <c r="D722" s="91"/>
      <c r="E722" s="90"/>
      <c r="F722" s="90"/>
      <c r="G722" s="90"/>
      <c r="H722" s="90"/>
      <c r="I722" s="90"/>
      <c r="J722" s="78"/>
    </row>
    <row r="723" spans="1:10" x14ac:dyDescent="0.15">
      <c r="A723" s="89"/>
      <c r="B723" s="90"/>
      <c r="C723" s="90"/>
      <c r="D723" s="91"/>
      <c r="E723" s="90"/>
      <c r="F723" s="90"/>
      <c r="G723" s="90"/>
      <c r="H723" s="90"/>
      <c r="I723" s="90"/>
      <c r="J723" s="78"/>
    </row>
    <row r="724" spans="1:10" x14ac:dyDescent="0.15">
      <c r="A724" s="89"/>
      <c r="B724" s="90"/>
      <c r="C724" s="90"/>
      <c r="D724" s="91"/>
      <c r="E724" s="90"/>
      <c r="F724" s="90"/>
      <c r="G724" s="90"/>
      <c r="H724" s="90"/>
      <c r="I724" s="90"/>
      <c r="J724" s="78"/>
    </row>
    <row r="725" spans="1:10" x14ac:dyDescent="0.15">
      <c r="A725" s="89"/>
      <c r="B725" s="90"/>
      <c r="C725" s="90"/>
      <c r="D725" s="91"/>
      <c r="E725" s="90"/>
      <c r="F725" s="90"/>
      <c r="G725" s="90"/>
      <c r="H725" s="90"/>
      <c r="I725" s="90"/>
      <c r="J725" s="78"/>
    </row>
    <row r="726" spans="1:10" x14ac:dyDescent="0.15">
      <c r="A726" s="89"/>
      <c r="B726" s="90"/>
      <c r="C726" s="90"/>
      <c r="D726" s="91"/>
      <c r="E726" s="90"/>
      <c r="F726" s="90"/>
      <c r="G726" s="90"/>
      <c r="H726" s="90"/>
      <c r="I726" s="90"/>
      <c r="J726" s="78"/>
    </row>
    <row r="727" spans="1:10" x14ac:dyDescent="0.15">
      <c r="A727" s="89"/>
      <c r="B727" s="90"/>
      <c r="C727" s="90"/>
      <c r="D727" s="91"/>
      <c r="E727" s="90"/>
      <c r="F727" s="90"/>
      <c r="G727" s="90"/>
      <c r="H727" s="90"/>
      <c r="I727" s="90"/>
      <c r="J727" s="78"/>
    </row>
    <row r="728" spans="1:10" x14ac:dyDescent="0.15">
      <c r="A728" s="89"/>
      <c r="B728" s="90"/>
      <c r="C728" s="90"/>
      <c r="D728" s="91"/>
      <c r="E728" s="90"/>
      <c r="F728" s="90"/>
      <c r="G728" s="90"/>
      <c r="H728" s="90"/>
      <c r="I728" s="90"/>
      <c r="J728" s="78"/>
    </row>
    <row r="729" spans="1:10" x14ac:dyDescent="0.15">
      <c r="A729" s="89"/>
      <c r="B729" s="90"/>
      <c r="C729" s="90"/>
      <c r="D729" s="91"/>
      <c r="E729" s="90"/>
      <c r="F729" s="90"/>
      <c r="G729" s="90"/>
      <c r="H729" s="90"/>
      <c r="I729" s="90"/>
      <c r="J729" s="78"/>
    </row>
    <row r="730" spans="1:10" x14ac:dyDescent="0.15">
      <c r="A730" s="89"/>
      <c r="B730" s="90"/>
      <c r="C730" s="90"/>
      <c r="D730" s="91"/>
      <c r="E730" s="90"/>
      <c r="F730" s="90"/>
      <c r="G730" s="90"/>
      <c r="H730" s="90"/>
      <c r="I730" s="90"/>
      <c r="J730" s="78"/>
    </row>
    <row r="731" spans="1:10" x14ac:dyDescent="0.15">
      <c r="A731" s="89"/>
      <c r="B731" s="90"/>
      <c r="C731" s="90"/>
      <c r="D731" s="91"/>
      <c r="E731" s="90"/>
      <c r="F731" s="90"/>
      <c r="G731" s="90"/>
      <c r="H731" s="90"/>
      <c r="I731" s="90"/>
      <c r="J731" s="78"/>
    </row>
    <row r="732" spans="1:10" x14ac:dyDescent="0.15">
      <c r="A732" s="89"/>
      <c r="B732" s="90"/>
      <c r="C732" s="90"/>
      <c r="D732" s="91"/>
      <c r="E732" s="90"/>
      <c r="F732" s="90"/>
      <c r="G732" s="90"/>
      <c r="H732" s="90"/>
      <c r="I732" s="90"/>
      <c r="J732" s="78"/>
    </row>
    <row r="733" spans="1:10" x14ac:dyDescent="0.15">
      <c r="A733" s="89"/>
      <c r="B733" s="90"/>
      <c r="C733" s="90"/>
      <c r="D733" s="91"/>
      <c r="E733" s="90"/>
      <c r="F733" s="90"/>
      <c r="G733" s="90"/>
      <c r="H733" s="90"/>
      <c r="I733" s="90"/>
      <c r="J733" s="78"/>
    </row>
    <row r="734" spans="1:10" x14ac:dyDescent="0.15">
      <c r="A734" s="89"/>
      <c r="B734" s="90"/>
      <c r="C734" s="90"/>
      <c r="D734" s="91"/>
      <c r="E734" s="90"/>
      <c r="F734" s="90"/>
      <c r="G734" s="90"/>
      <c r="H734" s="90"/>
      <c r="I734" s="90"/>
      <c r="J734" s="78"/>
    </row>
    <row r="735" spans="1:10" x14ac:dyDescent="0.15">
      <c r="A735" s="89"/>
      <c r="B735" s="90"/>
      <c r="C735" s="90"/>
      <c r="D735" s="91"/>
      <c r="E735" s="90"/>
      <c r="F735" s="90"/>
      <c r="G735" s="90"/>
      <c r="H735" s="90"/>
      <c r="I735" s="90"/>
      <c r="J735" s="78"/>
    </row>
    <row r="736" spans="1:10" x14ac:dyDescent="0.15">
      <c r="A736" s="89"/>
      <c r="B736" s="90"/>
      <c r="C736" s="90"/>
      <c r="D736" s="91"/>
      <c r="E736" s="90"/>
      <c r="F736" s="90"/>
      <c r="G736" s="90"/>
      <c r="H736" s="90"/>
      <c r="I736" s="90"/>
      <c r="J736" s="78"/>
    </row>
    <row r="737" spans="1:10" x14ac:dyDescent="0.15">
      <c r="A737" s="89"/>
      <c r="B737" s="90"/>
      <c r="C737" s="90"/>
      <c r="D737" s="91"/>
      <c r="E737" s="90"/>
      <c r="F737" s="90"/>
      <c r="G737" s="90"/>
      <c r="H737" s="90"/>
      <c r="I737" s="90"/>
      <c r="J737" s="78"/>
    </row>
    <row r="738" spans="1:10" x14ac:dyDescent="0.15">
      <c r="A738" s="89"/>
      <c r="B738" s="90"/>
      <c r="C738" s="90"/>
      <c r="D738" s="91"/>
      <c r="E738" s="90"/>
      <c r="F738" s="90"/>
      <c r="G738" s="90"/>
      <c r="H738" s="90"/>
      <c r="I738" s="90"/>
      <c r="J738" s="78"/>
    </row>
    <row r="739" spans="1:10" x14ac:dyDescent="0.15">
      <c r="A739" s="89"/>
      <c r="B739" s="90"/>
      <c r="C739" s="90"/>
      <c r="D739" s="91"/>
      <c r="E739" s="90"/>
      <c r="F739" s="90"/>
      <c r="G739" s="90"/>
      <c r="H739" s="90"/>
      <c r="I739" s="90"/>
      <c r="J739" s="78"/>
    </row>
    <row r="740" spans="1:10" x14ac:dyDescent="0.15">
      <c r="A740" s="89"/>
      <c r="B740" s="90"/>
      <c r="C740" s="90"/>
      <c r="D740" s="91"/>
      <c r="E740" s="90"/>
      <c r="F740" s="90"/>
      <c r="G740" s="90"/>
      <c r="H740" s="90"/>
      <c r="I740" s="90"/>
      <c r="J740" s="78"/>
    </row>
    <row r="741" spans="1:10" x14ac:dyDescent="0.15">
      <c r="A741" s="89"/>
      <c r="B741" s="90"/>
      <c r="C741" s="90"/>
      <c r="D741" s="91"/>
      <c r="E741" s="90"/>
      <c r="F741" s="90"/>
      <c r="G741" s="90"/>
      <c r="H741" s="90"/>
      <c r="I741" s="90"/>
      <c r="J741" s="78"/>
    </row>
    <row r="742" spans="1:10" x14ac:dyDescent="0.15">
      <c r="A742" s="89"/>
      <c r="B742" s="90"/>
      <c r="C742" s="90"/>
      <c r="D742" s="91"/>
      <c r="E742" s="90"/>
      <c r="F742" s="90"/>
      <c r="G742" s="90"/>
      <c r="H742" s="90"/>
      <c r="I742" s="90"/>
      <c r="J742" s="78"/>
    </row>
    <row r="743" spans="1:10" x14ac:dyDescent="0.15">
      <c r="A743" s="89"/>
      <c r="B743" s="90"/>
      <c r="C743" s="90"/>
      <c r="D743" s="91"/>
      <c r="E743" s="90"/>
      <c r="F743" s="90"/>
      <c r="G743" s="90"/>
      <c r="H743" s="90"/>
      <c r="I743" s="90"/>
      <c r="J743" s="78"/>
    </row>
    <row r="744" spans="1:10" x14ac:dyDescent="0.15">
      <c r="A744" s="89"/>
      <c r="B744" s="90"/>
      <c r="C744" s="90"/>
      <c r="D744" s="91"/>
      <c r="E744" s="90"/>
      <c r="F744" s="90"/>
      <c r="G744" s="90"/>
      <c r="H744" s="90"/>
      <c r="I744" s="90"/>
      <c r="J744" s="78"/>
    </row>
    <row r="745" spans="1:10" x14ac:dyDescent="0.15">
      <c r="A745" s="89"/>
      <c r="B745" s="90"/>
      <c r="C745" s="90"/>
      <c r="D745" s="91"/>
      <c r="E745" s="90"/>
      <c r="F745" s="90"/>
      <c r="G745" s="90"/>
      <c r="H745" s="90"/>
      <c r="I745" s="90"/>
      <c r="J745" s="78"/>
    </row>
    <row r="746" spans="1:10" x14ac:dyDescent="0.15">
      <c r="A746" s="89"/>
      <c r="B746" s="90"/>
      <c r="C746" s="90"/>
      <c r="D746" s="91"/>
      <c r="E746" s="90"/>
      <c r="F746" s="90"/>
      <c r="G746" s="90"/>
      <c r="H746" s="90"/>
      <c r="I746" s="90"/>
      <c r="J746" s="78"/>
    </row>
    <row r="747" spans="1:10" x14ac:dyDescent="0.15">
      <c r="A747" s="89"/>
      <c r="B747" s="90"/>
      <c r="C747" s="90"/>
      <c r="D747" s="91"/>
      <c r="E747" s="90"/>
      <c r="F747" s="90"/>
      <c r="G747" s="90"/>
      <c r="H747" s="90"/>
      <c r="I747" s="90"/>
      <c r="J747" s="78"/>
    </row>
    <row r="748" spans="1:10" x14ac:dyDescent="0.15">
      <c r="A748" s="89"/>
      <c r="B748" s="90"/>
      <c r="C748" s="90"/>
      <c r="D748" s="91"/>
      <c r="E748" s="90"/>
      <c r="F748" s="90"/>
      <c r="G748" s="90"/>
      <c r="H748" s="90"/>
      <c r="I748" s="90"/>
      <c r="J748" s="78"/>
    </row>
    <row r="749" spans="1:10" x14ac:dyDescent="0.15">
      <c r="A749" s="89"/>
      <c r="B749" s="90"/>
      <c r="C749" s="90"/>
      <c r="D749" s="91"/>
      <c r="E749" s="90"/>
      <c r="F749" s="90"/>
      <c r="G749" s="90"/>
      <c r="H749" s="90"/>
      <c r="I749" s="90"/>
      <c r="J749" s="78"/>
    </row>
    <row r="750" spans="1:10" x14ac:dyDescent="0.15">
      <c r="A750" s="89"/>
      <c r="B750" s="90"/>
      <c r="C750" s="90"/>
      <c r="D750" s="91"/>
      <c r="E750" s="90"/>
      <c r="F750" s="90"/>
      <c r="G750" s="90"/>
      <c r="H750" s="90"/>
      <c r="I750" s="90"/>
      <c r="J750" s="78"/>
    </row>
    <row r="751" spans="1:10" x14ac:dyDescent="0.15">
      <c r="A751" s="89"/>
      <c r="B751" s="90"/>
      <c r="C751" s="90"/>
      <c r="D751" s="91"/>
      <c r="E751" s="90"/>
      <c r="F751" s="90"/>
      <c r="G751" s="90"/>
      <c r="H751" s="90"/>
      <c r="I751" s="90"/>
      <c r="J751" s="78"/>
    </row>
    <row r="752" spans="1:10" x14ac:dyDescent="0.15">
      <c r="A752" s="89"/>
      <c r="B752" s="90"/>
      <c r="C752" s="90"/>
      <c r="D752" s="91"/>
      <c r="E752" s="90"/>
      <c r="F752" s="90"/>
      <c r="G752" s="90"/>
      <c r="H752" s="90"/>
      <c r="I752" s="90"/>
      <c r="J752" s="78"/>
    </row>
    <row r="753" spans="1:10" x14ac:dyDescent="0.15">
      <c r="A753" s="89"/>
      <c r="B753" s="90"/>
      <c r="C753" s="90"/>
      <c r="D753" s="91"/>
      <c r="E753" s="90"/>
      <c r="F753" s="90"/>
      <c r="G753" s="90"/>
      <c r="H753" s="90"/>
      <c r="I753" s="90"/>
      <c r="J753" s="78"/>
    </row>
    <row r="754" spans="1:10" x14ac:dyDescent="0.15">
      <c r="A754" s="89"/>
      <c r="B754" s="90"/>
      <c r="C754" s="90"/>
      <c r="D754" s="91"/>
      <c r="E754" s="90"/>
      <c r="F754" s="90"/>
      <c r="G754" s="90"/>
      <c r="H754" s="90"/>
      <c r="I754" s="90"/>
      <c r="J754" s="78"/>
    </row>
    <row r="755" spans="1:10" x14ac:dyDescent="0.15">
      <c r="A755" s="89"/>
      <c r="B755" s="90"/>
      <c r="C755" s="90"/>
      <c r="D755" s="91"/>
      <c r="E755" s="90"/>
      <c r="F755" s="90"/>
      <c r="G755" s="90"/>
      <c r="H755" s="90"/>
      <c r="I755" s="90"/>
      <c r="J755" s="78"/>
    </row>
    <row r="756" spans="1:10" x14ac:dyDescent="0.15">
      <c r="A756" s="89"/>
      <c r="B756" s="90"/>
      <c r="C756" s="90"/>
      <c r="D756" s="91"/>
      <c r="E756" s="90"/>
      <c r="F756" s="90"/>
      <c r="G756" s="90"/>
      <c r="H756" s="90"/>
      <c r="I756" s="90"/>
      <c r="J756" s="78"/>
    </row>
    <row r="757" spans="1:10" x14ac:dyDescent="0.15">
      <c r="A757" s="89"/>
      <c r="B757" s="90"/>
      <c r="C757" s="90"/>
      <c r="D757" s="91"/>
      <c r="E757" s="90"/>
      <c r="F757" s="90"/>
      <c r="G757" s="90"/>
      <c r="H757" s="90"/>
      <c r="I757" s="90"/>
      <c r="J757" s="78"/>
    </row>
    <row r="758" spans="1:10" x14ac:dyDescent="0.15">
      <c r="A758" s="89"/>
      <c r="B758" s="90"/>
      <c r="C758" s="90"/>
      <c r="D758" s="91"/>
      <c r="E758" s="90"/>
      <c r="F758" s="90"/>
      <c r="G758" s="90"/>
      <c r="H758" s="90"/>
      <c r="I758" s="90"/>
      <c r="J758" s="78"/>
    </row>
    <row r="759" spans="1:10" x14ac:dyDescent="0.15">
      <c r="A759" s="89"/>
      <c r="B759" s="90"/>
      <c r="C759" s="90"/>
      <c r="D759" s="91"/>
      <c r="E759" s="90"/>
      <c r="F759" s="90"/>
      <c r="G759" s="90"/>
      <c r="H759" s="90"/>
      <c r="I759" s="90"/>
      <c r="J759" s="78"/>
    </row>
    <row r="760" spans="1:10" x14ac:dyDescent="0.15">
      <c r="A760" s="89"/>
      <c r="B760" s="90"/>
      <c r="C760" s="90"/>
      <c r="D760" s="91"/>
      <c r="E760" s="90"/>
      <c r="F760" s="90"/>
      <c r="G760" s="90"/>
      <c r="H760" s="90"/>
      <c r="I760" s="90"/>
      <c r="J760" s="78"/>
    </row>
    <row r="761" spans="1:10" x14ac:dyDescent="0.15">
      <c r="A761" s="89"/>
      <c r="B761" s="90"/>
      <c r="C761" s="90"/>
      <c r="D761" s="91"/>
      <c r="E761" s="90"/>
      <c r="F761" s="90"/>
      <c r="G761" s="90"/>
      <c r="H761" s="90"/>
      <c r="I761" s="90"/>
      <c r="J761" s="78"/>
    </row>
    <row r="762" spans="1:10" x14ac:dyDescent="0.15">
      <c r="A762" s="89"/>
      <c r="B762" s="90"/>
      <c r="C762" s="90"/>
      <c r="D762" s="91"/>
      <c r="E762" s="90"/>
      <c r="F762" s="90"/>
      <c r="G762" s="90"/>
      <c r="H762" s="90"/>
      <c r="I762" s="90"/>
      <c r="J762" s="78"/>
    </row>
    <row r="763" spans="1:10" x14ac:dyDescent="0.15">
      <c r="A763" s="89"/>
      <c r="B763" s="90"/>
      <c r="C763" s="90"/>
      <c r="D763" s="91"/>
      <c r="E763" s="90"/>
      <c r="F763" s="90"/>
      <c r="G763" s="90"/>
      <c r="H763" s="90"/>
      <c r="I763" s="90"/>
      <c r="J763" s="78"/>
    </row>
    <row r="764" spans="1:10" x14ac:dyDescent="0.15">
      <c r="A764" s="89"/>
      <c r="B764" s="90"/>
      <c r="C764" s="90"/>
      <c r="D764" s="91"/>
      <c r="E764" s="90"/>
      <c r="F764" s="90"/>
      <c r="G764" s="90"/>
      <c r="H764" s="90"/>
      <c r="I764" s="90"/>
      <c r="J764" s="78"/>
    </row>
    <row r="765" spans="1:10" x14ac:dyDescent="0.15">
      <c r="A765" s="89"/>
      <c r="B765" s="90"/>
      <c r="C765" s="90"/>
      <c r="D765" s="91"/>
      <c r="E765" s="90"/>
      <c r="F765" s="90"/>
      <c r="G765" s="90"/>
      <c r="H765" s="90"/>
      <c r="I765" s="90"/>
      <c r="J765" s="78"/>
    </row>
    <row r="766" spans="1:10" x14ac:dyDescent="0.15">
      <c r="A766" s="89"/>
      <c r="B766" s="90"/>
      <c r="C766" s="90"/>
      <c r="D766" s="91"/>
      <c r="E766" s="90"/>
      <c r="F766" s="90"/>
      <c r="G766" s="90"/>
      <c r="H766" s="90"/>
      <c r="I766" s="90"/>
      <c r="J766" s="78"/>
    </row>
    <row r="767" spans="1:10" x14ac:dyDescent="0.15">
      <c r="A767" s="89"/>
      <c r="B767" s="90"/>
      <c r="C767" s="90"/>
      <c r="D767" s="91"/>
      <c r="E767" s="90"/>
      <c r="F767" s="90"/>
      <c r="G767" s="90"/>
      <c r="H767" s="90"/>
      <c r="I767" s="90"/>
      <c r="J767" s="78"/>
    </row>
    <row r="768" spans="1:10" x14ac:dyDescent="0.15">
      <c r="A768" s="89"/>
      <c r="B768" s="90"/>
      <c r="C768" s="90"/>
      <c r="D768" s="91"/>
      <c r="E768" s="90"/>
      <c r="F768" s="90"/>
      <c r="G768" s="90"/>
      <c r="H768" s="90"/>
      <c r="I768" s="90"/>
      <c r="J768" s="78"/>
    </row>
    <row r="769" spans="1:10" x14ac:dyDescent="0.15">
      <c r="A769" s="89"/>
      <c r="B769" s="90"/>
      <c r="C769" s="90"/>
      <c r="D769" s="91"/>
      <c r="E769" s="90"/>
      <c r="F769" s="90"/>
      <c r="G769" s="90"/>
      <c r="H769" s="90"/>
      <c r="I769" s="90"/>
      <c r="J769" s="78"/>
    </row>
    <row r="770" spans="1:10" x14ac:dyDescent="0.15">
      <c r="A770" s="89"/>
      <c r="B770" s="90"/>
      <c r="C770" s="90"/>
      <c r="D770" s="91"/>
      <c r="E770" s="90"/>
      <c r="F770" s="90"/>
      <c r="G770" s="90"/>
      <c r="H770" s="90"/>
      <c r="I770" s="90"/>
      <c r="J770" s="78"/>
    </row>
    <row r="771" spans="1:10" x14ac:dyDescent="0.15">
      <c r="A771" s="89"/>
      <c r="B771" s="90"/>
      <c r="C771" s="90"/>
      <c r="D771" s="91"/>
      <c r="E771" s="90"/>
      <c r="F771" s="90"/>
      <c r="G771" s="90"/>
      <c r="H771" s="90"/>
      <c r="I771" s="90"/>
      <c r="J771" s="78"/>
    </row>
    <row r="772" spans="1:10" x14ac:dyDescent="0.15">
      <c r="A772" s="89"/>
      <c r="B772" s="90"/>
      <c r="C772" s="90"/>
      <c r="D772" s="91"/>
      <c r="E772" s="90"/>
      <c r="F772" s="90"/>
      <c r="G772" s="90"/>
      <c r="H772" s="90"/>
      <c r="I772" s="90"/>
      <c r="J772" s="78"/>
    </row>
    <row r="773" spans="1:10" x14ac:dyDescent="0.15">
      <c r="A773" s="89"/>
      <c r="B773" s="90"/>
      <c r="C773" s="90"/>
      <c r="D773" s="91"/>
      <c r="E773" s="90"/>
      <c r="F773" s="90"/>
      <c r="G773" s="90"/>
      <c r="H773" s="90"/>
      <c r="I773" s="90"/>
      <c r="J773" s="78"/>
    </row>
    <row r="774" spans="1:10" x14ac:dyDescent="0.15">
      <c r="A774" s="89"/>
      <c r="B774" s="90"/>
      <c r="C774" s="90"/>
      <c r="D774" s="91"/>
      <c r="E774" s="90"/>
      <c r="F774" s="90"/>
      <c r="G774" s="90"/>
      <c r="H774" s="90"/>
      <c r="I774" s="90"/>
      <c r="J774" s="78"/>
    </row>
    <row r="775" spans="1:10" x14ac:dyDescent="0.15">
      <c r="A775" s="89"/>
      <c r="B775" s="90"/>
      <c r="C775" s="90"/>
      <c r="D775" s="91"/>
      <c r="E775" s="90"/>
      <c r="F775" s="90"/>
      <c r="G775" s="90"/>
      <c r="H775" s="90"/>
      <c r="I775" s="90"/>
      <c r="J775" s="78"/>
    </row>
    <row r="776" spans="1:10" x14ac:dyDescent="0.15">
      <c r="A776" s="89"/>
      <c r="B776" s="90"/>
      <c r="C776" s="90"/>
      <c r="D776" s="91"/>
      <c r="E776" s="90"/>
      <c r="F776" s="90"/>
      <c r="G776" s="90"/>
      <c r="H776" s="90"/>
      <c r="I776" s="90"/>
      <c r="J776" s="78"/>
    </row>
    <row r="777" spans="1:10" x14ac:dyDescent="0.15">
      <c r="A777" s="89"/>
      <c r="B777" s="90"/>
      <c r="C777" s="90"/>
      <c r="D777" s="91"/>
      <c r="E777" s="90"/>
      <c r="F777" s="90"/>
      <c r="G777" s="90"/>
      <c r="H777" s="90"/>
      <c r="I777" s="90"/>
      <c r="J777" s="78"/>
    </row>
    <row r="778" spans="1:10" x14ac:dyDescent="0.15">
      <c r="A778" s="89"/>
      <c r="B778" s="90"/>
      <c r="C778" s="90"/>
      <c r="D778" s="91"/>
      <c r="E778" s="90"/>
      <c r="F778" s="90"/>
      <c r="G778" s="90"/>
      <c r="H778" s="90"/>
      <c r="I778" s="90"/>
      <c r="J778" s="78"/>
    </row>
    <row r="779" spans="1:10" x14ac:dyDescent="0.15">
      <c r="A779" s="89"/>
      <c r="B779" s="90"/>
      <c r="C779" s="90"/>
      <c r="D779" s="91"/>
      <c r="E779" s="90"/>
      <c r="F779" s="90"/>
      <c r="G779" s="90"/>
      <c r="H779" s="90"/>
      <c r="I779" s="90"/>
      <c r="J779" s="78"/>
    </row>
    <row r="780" spans="1:10" x14ac:dyDescent="0.15">
      <c r="A780" s="89"/>
      <c r="B780" s="90"/>
      <c r="C780" s="90"/>
      <c r="D780" s="91"/>
      <c r="E780" s="90"/>
      <c r="F780" s="90"/>
      <c r="G780" s="90"/>
      <c r="H780" s="90"/>
      <c r="I780" s="90"/>
      <c r="J780" s="78"/>
    </row>
    <row r="781" spans="1:10" x14ac:dyDescent="0.15">
      <c r="A781" s="89"/>
      <c r="B781" s="90"/>
      <c r="C781" s="90"/>
      <c r="D781" s="91"/>
      <c r="E781" s="90"/>
      <c r="F781" s="90"/>
      <c r="G781" s="90"/>
      <c r="H781" s="90"/>
      <c r="I781" s="90"/>
      <c r="J781" s="78"/>
    </row>
    <row r="782" spans="1:10" x14ac:dyDescent="0.15">
      <c r="A782" s="89"/>
      <c r="B782" s="90"/>
      <c r="C782" s="90"/>
      <c r="D782" s="91"/>
      <c r="E782" s="90"/>
      <c r="F782" s="90"/>
      <c r="G782" s="90"/>
      <c r="H782" s="90"/>
      <c r="I782" s="90"/>
      <c r="J782" s="78"/>
    </row>
    <row r="783" spans="1:10" x14ac:dyDescent="0.15">
      <c r="A783" s="89"/>
      <c r="B783" s="90"/>
      <c r="C783" s="90"/>
      <c r="D783" s="91"/>
      <c r="E783" s="90"/>
      <c r="F783" s="90"/>
      <c r="G783" s="90"/>
      <c r="H783" s="90"/>
      <c r="I783" s="90"/>
      <c r="J783" s="78"/>
    </row>
    <row r="784" spans="1:10" x14ac:dyDescent="0.15">
      <c r="A784" s="89"/>
      <c r="B784" s="90"/>
      <c r="C784" s="90"/>
      <c r="D784" s="91"/>
      <c r="E784" s="90"/>
      <c r="F784" s="90"/>
      <c r="G784" s="90"/>
      <c r="H784" s="90"/>
      <c r="I784" s="90"/>
      <c r="J784" s="78"/>
    </row>
    <row r="785" spans="1:10" x14ac:dyDescent="0.15">
      <c r="A785" s="89"/>
      <c r="B785" s="90"/>
      <c r="C785" s="90"/>
      <c r="D785" s="91"/>
      <c r="E785" s="90"/>
      <c r="F785" s="90"/>
      <c r="G785" s="90"/>
      <c r="H785" s="90"/>
      <c r="I785" s="90"/>
      <c r="J785" s="78"/>
    </row>
    <row r="786" spans="1:10" x14ac:dyDescent="0.15">
      <c r="A786" s="89"/>
      <c r="B786" s="90"/>
      <c r="C786" s="90"/>
      <c r="D786" s="91"/>
      <c r="E786" s="90"/>
      <c r="F786" s="90"/>
      <c r="G786" s="90"/>
      <c r="H786" s="90"/>
      <c r="I786" s="90"/>
      <c r="J786" s="78"/>
    </row>
    <row r="787" spans="1:10" x14ac:dyDescent="0.15">
      <c r="A787" s="89"/>
      <c r="B787" s="90"/>
      <c r="C787" s="90"/>
      <c r="D787" s="91"/>
      <c r="E787" s="90"/>
      <c r="F787" s="90"/>
      <c r="G787" s="90"/>
      <c r="H787" s="90"/>
      <c r="I787" s="90"/>
      <c r="J787" s="78"/>
    </row>
    <row r="788" spans="1:10" x14ac:dyDescent="0.15">
      <c r="A788" s="89"/>
      <c r="B788" s="90"/>
      <c r="C788" s="90"/>
      <c r="D788" s="91"/>
      <c r="E788" s="90"/>
      <c r="F788" s="90"/>
      <c r="G788" s="90"/>
      <c r="H788" s="90"/>
      <c r="I788" s="90"/>
      <c r="J788" s="78"/>
    </row>
    <row r="789" spans="1:10" x14ac:dyDescent="0.15">
      <c r="A789" s="89"/>
      <c r="B789" s="90"/>
      <c r="C789" s="90"/>
      <c r="D789" s="91"/>
      <c r="E789" s="90"/>
      <c r="F789" s="90"/>
      <c r="G789" s="90"/>
      <c r="H789" s="90"/>
      <c r="I789" s="90"/>
      <c r="J789" s="78"/>
    </row>
    <row r="790" spans="1:10" x14ac:dyDescent="0.15">
      <c r="A790" s="89"/>
      <c r="B790" s="90"/>
      <c r="C790" s="90"/>
      <c r="D790" s="91"/>
      <c r="E790" s="90"/>
      <c r="F790" s="90"/>
      <c r="G790" s="90"/>
      <c r="H790" s="90"/>
      <c r="I790" s="90"/>
      <c r="J790" s="78"/>
    </row>
    <row r="791" spans="1:10" x14ac:dyDescent="0.15">
      <c r="A791" s="89"/>
      <c r="B791" s="90"/>
      <c r="C791" s="90"/>
      <c r="D791" s="91"/>
      <c r="E791" s="90"/>
      <c r="F791" s="90"/>
      <c r="G791" s="90"/>
      <c r="H791" s="90"/>
      <c r="I791" s="90"/>
      <c r="J791" s="78"/>
    </row>
    <row r="792" spans="1:10" x14ac:dyDescent="0.15">
      <c r="A792" s="89"/>
      <c r="B792" s="90"/>
      <c r="C792" s="90"/>
      <c r="D792" s="91"/>
      <c r="E792" s="90"/>
      <c r="F792" s="90"/>
      <c r="G792" s="90"/>
      <c r="H792" s="90"/>
      <c r="I792" s="90"/>
      <c r="J792" s="78"/>
    </row>
    <row r="793" spans="1:10" x14ac:dyDescent="0.15">
      <c r="A793" s="89"/>
      <c r="B793" s="90"/>
      <c r="C793" s="90"/>
      <c r="D793" s="91"/>
      <c r="E793" s="90"/>
      <c r="F793" s="90"/>
      <c r="G793" s="90"/>
      <c r="H793" s="90"/>
      <c r="I793" s="90"/>
      <c r="J793" s="78"/>
    </row>
    <row r="794" spans="1:10" x14ac:dyDescent="0.15">
      <c r="A794" s="89"/>
      <c r="B794" s="90"/>
      <c r="C794" s="90"/>
      <c r="D794" s="91"/>
      <c r="E794" s="90"/>
      <c r="F794" s="90"/>
      <c r="G794" s="90"/>
      <c r="H794" s="90"/>
      <c r="I794" s="90"/>
      <c r="J794" s="78"/>
    </row>
    <row r="795" spans="1:10" x14ac:dyDescent="0.15">
      <c r="A795" s="89"/>
      <c r="B795" s="90"/>
      <c r="C795" s="90"/>
      <c r="D795" s="91"/>
      <c r="E795" s="90"/>
      <c r="F795" s="90"/>
      <c r="G795" s="90"/>
      <c r="H795" s="90"/>
      <c r="I795" s="90"/>
      <c r="J795" s="78"/>
    </row>
    <row r="796" spans="1:10" x14ac:dyDescent="0.15">
      <c r="A796" s="89"/>
      <c r="B796" s="90"/>
      <c r="C796" s="90"/>
      <c r="D796" s="91"/>
      <c r="E796" s="90"/>
      <c r="F796" s="90"/>
      <c r="G796" s="90"/>
      <c r="H796" s="90"/>
      <c r="I796" s="90"/>
      <c r="J796" s="78"/>
    </row>
    <row r="797" spans="1:10" x14ac:dyDescent="0.15">
      <c r="A797" s="89"/>
      <c r="B797" s="90"/>
      <c r="C797" s="90"/>
      <c r="D797" s="91"/>
      <c r="E797" s="90"/>
      <c r="F797" s="90"/>
      <c r="G797" s="90"/>
      <c r="H797" s="90"/>
      <c r="I797" s="90"/>
      <c r="J797" s="78"/>
    </row>
    <row r="798" spans="1:10" x14ac:dyDescent="0.15">
      <c r="A798" s="89"/>
      <c r="B798" s="90"/>
      <c r="C798" s="90"/>
      <c r="D798" s="91"/>
      <c r="E798" s="90"/>
      <c r="F798" s="90"/>
      <c r="G798" s="90"/>
      <c r="H798" s="90"/>
      <c r="I798" s="90"/>
      <c r="J798" s="78"/>
    </row>
    <row r="799" spans="1:10" x14ac:dyDescent="0.15">
      <c r="A799" s="89"/>
      <c r="B799" s="90"/>
      <c r="C799" s="90"/>
      <c r="D799" s="91"/>
      <c r="E799" s="90"/>
      <c r="F799" s="90"/>
      <c r="G799" s="90"/>
      <c r="H799" s="90"/>
      <c r="I799" s="90"/>
      <c r="J799" s="78"/>
    </row>
    <row r="800" spans="1:10" x14ac:dyDescent="0.15">
      <c r="A800" s="89"/>
      <c r="B800" s="90"/>
      <c r="C800" s="90"/>
      <c r="D800" s="91"/>
      <c r="E800" s="90"/>
      <c r="F800" s="90"/>
      <c r="G800" s="90"/>
      <c r="H800" s="90"/>
      <c r="I800" s="90"/>
      <c r="J800" s="78"/>
    </row>
    <row r="801" spans="1:10" x14ac:dyDescent="0.15">
      <c r="A801" s="89"/>
      <c r="B801" s="90"/>
      <c r="C801" s="90"/>
      <c r="D801" s="91"/>
      <c r="E801" s="90"/>
      <c r="F801" s="90"/>
      <c r="G801" s="90"/>
      <c r="H801" s="90"/>
      <c r="I801" s="90"/>
      <c r="J801" s="78"/>
    </row>
    <row r="802" spans="1:10" x14ac:dyDescent="0.15">
      <c r="A802" s="89"/>
      <c r="B802" s="90"/>
      <c r="C802" s="90"/>
      <c r="D802" s="91"/>
      <c r="E802" s="90"/>
      <c r="F802" s="90"/>
      <c r="G802" s="90"/>
      <c r="H802" s="90"/>
      <c r="I802" s="90"/>
      <c r="J802" s="78"/>
    </row>
    <row r="803" spans="1:10" x14ac:dyDescent="0.15">
      <c r="A803" s="89"/>
      <c r="B803" s="90"/>
      <c r="C803" s="90"/>
      <c r="D803" s="91"/>
      <c r="E803" s="90"/>
      <c r="F803" s="90"/>
      <c r="G803" s="90"/>
      <c r="H803" s="90"/>
      <c r="I803" s="90"/>
      <c r="J803" s="78"/>
    </row>
    <row r="804" spans="1:10" x14ac:dyDescent="0.15">
      <c r="A804" s="89"/>
      <c r="B804" s="90"/>
      <c r="C804" s="90"/>
      <c r="D804" s="91"/>
      <c r="E804" s="90"/>
      <c r="F804" s="90"/>
      <c r="G804" s="90"/>
      <c r="H804" s="90"/>
      <c r="I804" s="90"/>
      <c r="J804" s="78"/>
    </row>
    <row r="805" spans="1:10" x14ac:dyDescent="0.15">
      <c r="A805" s="89"/>
      <c r="B805" s="90"/>
      <c r="C805" s="90"/>
      <c r="D805" s="91"/>
      <c r="E805" s="90"/>
      <c r="F805" s="90"/>
      <c r="G805" s="90"/>
      <c r="H805" s="90"/>
      <c r="I805" s="90"/>
      <c r="J805" s="78"/>
    </row>
    <row r="806" spans="1:10" x14ac:dyDescent="0.15">
      <c r="A806" s="89"/>
      <c r="B806" s="90"/>
      <c r="C806" s="90"/>
      <c r="D806" s="91"/>
      <c r="E806" s="90"/>
      <c r="F806" s="90"/>
      <c r="G806" s="90"/>
      <c r="H806" s="90"/>
      <c r="I806" s="90"/>
      <c r="J806" s="78"/>
    </row>
    <row r="807" spans="1:10" x14ac:dyDescent="0.15">
      <c r="A807" s="89"/>
      <c r="B807" s="90"/>
      <c r="C807" s="90"/>
      <c r="D807" s="91"/>
      <c r="E807" s="90"/>
      <c r="F807" s="90"/>
      <c r="G807" s="90"/>
      <c r="H807" s="90"/>
      <c r="I807" s="90"/>
      <c r="J807" s="78"/>
    </row>
    <row r="808" spans="1:10" x14ac:dyDescent="0.15">
      <c r="A808" s="89"/>
      <c r="B808" s="90"/>
      <c r="C808" s="90"/>
      <c r="D808" s="91"/>
      <c r="E808" s="90"/>
      <c r="F808" s="90"/>
      <c r="G808" s="90"/>
      <c r="H808" s="90"/>
      <c r="I808" s="90"/>
      <c r="J808" s="78"/>
    </row>
    <row r="809" spans="1:10" x14ac:dyDescent="0.15">
      <c r="A809" s="89"/>
      <c r="B809" s="90"/>
      <c r="C809" s="90"/>
      <c r="D809" s="91"/>
      <c r="E809" s="90"/>
      <c r="F809" s="90"/>
      <c r="G809" s="90"/>
      <c r="H809" s="90"/>
      <c r="I809" s="90"/>
      <c r="J809" s="78"/>
    </row>
    <row r="810" spans="1:10" x14ac:dyDescent="0.15">
      <c r="A810" s="89"/>
      <c r="B810" s="90"/>
      <c r="C810" s="90"/>
      <c r="D810" s="91"/>
      <c r="E810" s="90"/>
      <c r="F810" s="90"/>
      <c r="G810" s="90"/>
      <c r="H810" s="90"/>
      <c r="I810" s="90"/>
      <c r="J810" s="78"/>
    </row>
    <row r="811" spans="1:10" x14ac:dyDescent="0.15">
      <c r="A811" s="89"/>
      <c r="B811" s="90"/>
      <c r="C811" s="90"/>
      <c r="D811" s="91"/>
      <c r="E811" s="90"/>
      <c r="F811" s="90"/>
      <c r="G811" s="90"/>
      <c r="H811" s="90"/>
      <c r="I811" s="90"/>
      <c r="J811" s="78"/>
    </row>
    <row r="812" spans="1:10" x14ac:dyDescent="0.15">
      <c r="A812" s="89"/>
      <c r="B812" s="90"/>
      <c r="C812" s="90"/>
      <c r="D812" s="91"/>
      <c r="E812" s="90"/>
      <c r="F812" s="90"/>
      <c r="G812" s="90"/>
      <c r="H812" s="90"/>
      <c r="I812" s="90"/>
      <c r="J812" s="78"/>
    </row>
    <row r="813" spans="1:10" x14ac:dyDescent="0.15">
      <c r="A813" s="89"/>
      <c r="B813" s="90"/>
      <c r="C813" s="90"/>
      <c r="D813" s="91"/>
      <c r="E813" s="90"/>
      <c r="F813" s="90"/>
      <c r="G813" s="90"/>
      <c r="H813" s="90"/>
      <c r="I813" s="90"/>
      <c r="J813" s="78"/>
    </row>
    <row r="814" spans="1:10" x14ac:dyDescent="0.15">
      <c r="A814" s="89"/>
      <c r="B814" s="90"/>
      <c r="C814" s="90"/>
      <c r="D814" s="91"/>
      <c r="E814" s="90"/>
      <c r="F814" s="90"/>
      <c r="G814" s="90"/>
      <c r="H814" s="90"/>
      <c r="I814" s="90"/>
      <c r="J814" s="78"/>
    </row>
    <row r="815" spans="1:10" x14ac:dyDescent="0.15">
      <c r="A815" s="89"/>
      <c r="B815" s="90"/>
      <c r="C815" s="90"/>
      <c r="D815" s="91"/>
      <c r="E815" s="90"/>
      <c r="F815" s="90"/>
      <c r="G815" s="90"/>
      <c r="H815" s="90"/>
      <c r="I815" s="90"/>
      <c r="J815" s="78"/>
    </row>
    <row r="816" spans="1:10" x14ac:dyDescent="0.15">
      <c r="A816" s="89"/>
      <c r="B816" s="90"/>
      <c r="C816" s="90"/>
      <c r="D816" s="91"/>
      <c r="E816" s="90"/>
      <c r="F816" s="90"/>
      <c r="G816" s="90"/>
      <c r="H816" s="90"/>
      <c r="I816" s="90"/>
      <c r="J816" s="78"/>
    </row>
    <row r="817" spans="1:10" x14ac:dyDescent="0.15">
      <c r="A817" s="89"/>
      <c r="B817" s="90"/>
      <c r="C817" s="90"/>
      <c r="D817" s="91"/>
      <c r="E817" s="90"/>
      <c r="F817" s="90"/>
      <c r="G817" s="90"/>
      <c r="H817" s="90"/>
      <c r="I817" s="90"/>
      <c r="J817" s="78"/>
    </row>
    <row r="818" spans="1:10" x14ac:dyDescent="0.15">
      <c r="A818" s="89"/>
      <c r="B818" s="90"/>
      <c r="C818" s="90"/>
      <c r="D818" s="91"/>
      <c r="E818" s="90"/>
      <c r="F818" s="90"/>
      <c r="G818" s="90"/>
      <c r="H818" s="90"/>
      <c r="I818" s="90"/>
      <c r="J818" s="78"/>
    </row>
    <row r="819" spans="1:10" x14ac:dyDescent="0.15">
      <c r="A819" s="89"/>
      <c r="B819" s="90"/>
      <c r="C819" s="90"/>
      <c r="D819" s="91"/>
      <c r="E819" s="90"/>
      <c r="F819" s="90"/>
      <c r="G819" s="90"/>
      <c r="H819" s="90"/>
      <c r="I819" s="90"/>
      <c r="J819" s="78"/>
    </row>
    <row r="820" spans="1:10" x14ac:dyDescent="0.15">
      <c r="A820" s="89"/>
      <c r="B820" s="90"/>
      <c r="C820" s="90"/>
      <c r="D820" s="91"/>
      <c r="E820" s="90"/>
      <c r="F820" s="90"/>
      <c r="G820" s="90"/>
      <c r="H820" s="90"/>
      <c r="I820" s="90"/>
      <c r="J820" s="78"/>
    </row>
    <row r="821" spans="1:10" x14ac:dyDescent="0.15">
      <c r="A821" s="89"/>
      <c r="B821" s="90"/>
      <c r="C821" s="90"/>
      <c r="D821" s="91"/>
      <c r="E821" s="90"/>
      <c r="F821" s="90"/>
      <c r="G821" s="90"/>
      <c r="H821" s="90"/>
      <c r="I821" s="90"/>
      <c r="J821" s="78"/>
    </row>
    <row r="822" spans="1:10" x14ac:dyDescent="0.15">
      <c r="A822" s="89"/>
      <c r="B822" s="90"/>
      <c r="C822" s="90"/>
      <c r="D822" s="91"/>
      <c r="E822" s="90"/>
      <c r="F822" s="90"/>
      <c r="G822" s="90"/>
      <c r="H822" s="90"/>
      <c r="I822" s="90"/>
      <c r="J822" s="78"/>
    </row>
    <row r="823" spans="1:10" x14ac:dyDescent="0.15">
      <c r="A823" s="89"/>
      <c r="B823" s="90"/>
      <c r="C823" s="90"/>
      <c r="D823" s="91"/>
      <c r="E823" s="90"/>
      <c r="F823" s="90"/>
      <c r="G823" s="90"/>
      <c r="H823" s="90"/>
      <c r="I823" s="90"/>
      <c r="J823" s="78"/>
    </row>
    <row r="824" spans="1:10" x14ac:dyDescent="0.15">
      <c r="A824" s="89"/>
      <c r="B824" s="90"/>
      <c r="C824" s="90"/>
      <c r="D824" s="91"/>
      <c r="E824" s="90"/>
      <c r="F824" s="90"/>
      <c r="G824" s="90"/>
      <c r="H824" s="90"/>
      <c r="I824" s="90"/>
      <c r="J824" s="78"/>
    </row>
    <row r="825" spans="1:10" x14ac:dyDescent="0.15">
      <c r="A825" s="89"/>
      <c r="B825" s="90"/>
      <c r="C825" s="90"/>
      <c r="D825" s="91"/>
      <c r="E825" s="90"/>
      <c r="F825" s="90"/>
      <c r="G825" s="90"/>
      <c r="H825" s="90"/>
      <c r="I825" s="90"/>
      <c r="J825" s="78"/>
    </row>
    <row r="826" spans="1:10" x14ac:dyDescent="0.15">
      <c r="A826" s="89"/>
      <c r="B826" s="90"/>
      <c r="C826" s="90"/>
      <c r="D826" s="91"/>
      <c r="E826" s="90"/>
      <c r="F826" s="90"/>
      <c r="G826" s="90"/>
      <c r="H826" s="90"/>
      <c r="I826" s="90"/>
      <c r="J826" s="78"/>
    </row>
    <row r="827" spans="1:10" x14ac:dyDescent="0.15">
      <c r="A827" s="89"/>
      <c r="B827" s="90"/>
      <c r="C827" s="90"/>
      <c r="D827" s="91"/>
      <c r="E827" s="90"/>
      <c r="F827" s="90"/>
      <c r="G827" s="90"/>
      <c r="H827" s="90"/>
      <c r="I827" s="90"/>
      <c r="J827" s="78"/>
    </row>
    <row r="828" spans="1:10" x14ac:dyDescent="0.15">
      <c r="A828" s="89"/>
      <c r="B828" s="90"/>
      <c r="C828" s="90"/>
      <c r="D828" s="91"/>
      <c r="E828" s="90"/>
      <c r="F828" s="90"/>
      <c r="G828" s="90"/>
      <c r="H828" s="90"/>
      <c r="I828" s="90"/>
      <c r="J828" s="78"/>
    </row>
    <row r="829" spans="1:10" x14ac:dyDescent="0.15">
      <c r="A829" s="89"/>
      <c r="B829" s="90"/>
      <c r="C829" s="90"/>
      <c r="D829" s="91"/>
      <c r="E829" s="90"/>
      <c r="F829" s="90"/>
      <c r="G829" s="90"/>
      <c r="H829" s="90"/>
      <c r="I829" s="90"/>
      <c r="J829" s="78"/>
    </row>
    <row r="830" spans="1:10" x14ac:dyDescent="0.15">
      <c r="A830" s="89"/>
      <c r="B830" s="90"/>
      <c r="C830" s="90"/>
      <c r="D830" s="91"/>
      <c r="E830" s="90"/>
      <c r="F830" s="90"/>
      <c r="G830" s="90"/>
      <c r="H830" s="90"/>
      <c r="I830" s="90"/>
      <c r="J830" s="78"/>
    </row>
    <row r="831" spans="1:10" x14ac:dyDescent="0.15">
      <c r="A831" s="89"/>
      <c r="B831" s="90"/>
      <c r="C831" s="90"/>
      <c r="D831" s="91"/>
      <c r="E831" s="90"/>
      <c r="F831" s="90"/>
      <c r="G831" s="90"/>
      <c r="H831" s="90"/>
      <c r="I831" s="90"/>
      <c r="J831" s="78"/>
    </row>
    <row r="832" spans="1:10" x14ac:dyDescent="0.15">
      <c r="A832" s="89"/>
      <c r="B832" s="90"/>
      <c r="C832" s="90"/>
      <c r="D832" s="91"/>
      <c r="E832" s="90"/>
      <c r="F832" s="90"/>
      <c r="G832" s="90"/>
      <c r="H832" s="90"/>
      <c r="I832" s="90"/>
      <c r="J832" s="78"/>
    </row>
    <row r="833" spans="1:10" x14ac:dyDescent="0.15">
      <c r="A833" s="89"/>
      <c r="B833" s="90"/>
      <c r="C833" s="90"/>
      <c r="D833" s="91"/>
      <c r="E833" s="90"/>
      <c r="F833" s="90"/>
      <c r="G833" s="90"/>
      <c r="H833" s="90"/>
      <c r="I833" s="90"/>
      <c r="J833" s="78"/>
    </row>
    <row r="834" spans="1:10" x14ac:dyDescent="0.15">
      <c r="A834" s="89"/>
      <c r="B834" s="90"/>
      <c r="C834" s="90"/>
      <c r="D834" s="91"/>
      <c r="E834" s="90"/>
      <c r="F834" s="90"/>
      <c r="G834" s="90"/>
      <c r="H834" s="90"/>
      <c r="I834" s="90"/>
      <c r="J834" s="78"/>
    </row>
    <row r="835" spans="1:10" x14ac:dyDescent="0.15">
      <c r="A835" s="89"/>
      <c r="B835" s="90"/>
      <c r="C835" s="90"/>
      <c r="D835" s="91"/>
      <c r="E835" s="90"/>
      <c r="F835" s="90"/>
      <c r="G835" s="90"/>
      <c r="H835" s="90"/>
      <c r="I835" s="90"/>
      <c r="J835" s="78"/>
    </row>
    <row r="836" spans="1:10" x14ac:dyDescent="0.15">
      <c r="A836" s="89"/>
      <c r="B836" s="90"/>
      <c r="C836" s="90"/>
      <c r="D836" s="91"/>
      <c r="E836" s="90"/>
      <c r="F836" s="90"/>
      <c r="G836" s="90"/>
      <c r="H836" s="90"/>
      <c r="I836" s="90"/>
      <c r="J836" s="78"/>
    </row>
    <row r="837" spans="1:10" x14ac:dyDescent="0.15">
      <c r="A837" s="89"/>
      <c r="B837" s="90"/>
      <c r="C837" s="90"/>
      <c r="D837" s="91"/>
      <c r="E837" s="90"/>
      <c r="F837" s="90"/>
      <c r="G837" s="90"/>
      <c r="H837" s="90"/>
      <c r="I837" s="90"/>
      <c r="J837" s="78"/>
    </row>
    <row r="838" spans="1:10" x14ac:dyDescent="0.15">
      <c r="A838" s="89"/>
      <c r="B838" s="90"/>
      <c r="C838" s="90"/>
      <c r="D838" s="91"/>
      <c r="E838" s="90"/>
      <c r="F838" s="90"/>
      <c r="G838" s="90"/>
      <c r="H838" s="90"/>
      <c r="I838" s="90"/>
      <c r="J838" s="78"/>
    </row>
    <row r="839" spans="1:10" x14ac:dyDescent="0.15">
      <c r="A839" s="89"/>
      <c r="B839" s="90"/>
      <c r="C839" s="90"/>
      <c r="D839" s="91"/>
      <c r="E839" s="90"/>
      <c r="F839" s="90"/>
      <c r="G839" s="90"/>
      <c r="H839" s="90"/>
      <c r="I839" s="90"/>
      <c r="J839" s="78"/>
    </row>
    <row r="840" spans="1:10" x14ac:dyDescent="0.15">
      <c r="A840" s="89"/>
      <c r="B840" s="90"/>
      <c r="C840" s="90"/>
      <c r="D840" s="91"/>
      <c r="E840" s="90"/>
      <c r="F840" s="90"/>
      <c r="G840" s="90"/>
      <c r="H840" s="90"/>
      <c r="I840" s="90"/>
      <c r="J840" s="78"/>
    </row>
    <row r="841" spans="1:10" x14ac:dyDescent="0.15">
      <c r="A841" s="89"/>
      <c r="B841" s="90"/>
      <c r="C841" s="90"/>
      <c r="D841" s="91"/>
      <c r="E841" s="90"/>
      <c r="F841" s="90"/>
      <c r="G841" s="90"/>
      <c r="H841" s="90"/>
      <c r="I841" s="90"/>
      <c r="J841" s="78"/>
    </row>
    <row r="842" spans="1:10" x14ac:dyDescent="0.15">
      <c r="A842" s="89"/>
      <c r="B842" s="90"/>
      <c r="C842" s="90"/>
      <c r="D842" s="91"/>
      <c r="E842" s="90"/>
      <c r="F842" s="90"/>
      <c r="G842" s="90"/>
      <c r="H842" s="90"/>
      <c r="I842" s="90"/>
      <c r="J842" s="78"/>
    </row>
    <row r="843" spans="1:10" x14ac:dyDescent="0.15">
      <c r="A843" s="89"/>
      <c r="B843" s="90"/>
      <c r="C843" s="90"/>
      <c r="D843" s="91"/>
      <c r="E843" s="90"/>
      <c r="F843" s="90"/>
      <c r="G843" s="90"/>
      <c r="H843" s="90"/>
      <c r="I843" s="90"/>
      <c r="J843" s="78"/>
    </row>
    <row r="844" spans="1:10" x14ac:dyDescent="0.15">
      <c r="A844" s="89"/>
      <c r="B844" s="90"/>
      <c r="C844" s="90"/>
      <c r="D844" s="91"/>
      <c r="E844" s="90"/>
      <c r="F844" s="90"/>
      <c r="G844" s="90"/>
      <c r="H844" s="90"/>
      <c r="I844" s="90"/>
      <c r="J844" s="78"/>
    </row>
    <row r="845" spans="1:10" x14ac:dyDescent="0.15">
      <c r="A845" s="89"/>
      <c r="B845" s="90"/>
      <c r="C845" s="90"/>
      <c r="D845" s="91"/>
      <c r="E845" s="90"/>
      <c r="F845" s="90"/>
      <c r="G845" s="90"/>
      <c r="H845" s="90"/>
      <c r="I845" s="90"/>
      <c r="J845" s="78"/>
    </row>
    <row r="846" spans="1:10" x14ac:dyDescent="0.15">
      <c r="A846" s="89"/>
      <c r="B846" s="90"/>
      <c r="C846" s="90"/>
      <c r="D846" s="91"/>
      <c r="E846" s="90"/>
      <c r="F846" s="90"/>
      <c r="G846" s="90"/>
      <c r="H846" s="90"/>
      <c r="I846" s="90"/>
      <c r="J846" s="78"/>
    </row>
    <row r="847" spans="1:10" x14ac:dyDescent="0.15">
      <c r="A847" s="89"/>
      <c r="B847" s="90"/>
      <c r="C847" s="90"/>
      <c r="D847" s="91"/>
      <c r="E847" s="90"/>
      <c r="F847" s="90"/>
      <c r="G847" s="90"/>
      <c r="H847" s="90"/>
      <c r="I847" s="90"/>
      <c r="J847" s="78"/>
    </row>
    <row r="848" spans="1:10" x14ac:dyDescent="0.15">
      <c r="A848" s="89"/>
      <c r="B848" s="90"/>
      <c r="C848" s="90"/>
      <c r="D848" s="91"/>
      <c r="E848" s="90"/>
      <c r="F848" s="90"/>
      <c r="G848" s="90"/>
      <c r="H848" s="90"/>
      <c r="I848" s="90"/>
      <c r="J848" s="78"/>
    </row>
    <row r="849" spans="1:10" x14ac:dyDescent="0.15">
      <c r="A849" s="89"/>
      <c r="B849" s="90"/>
      <c r="C849" s="90"/>
      <c r="D849" s="91"/>
      <c r="E849" s="90"/>
      <c r="F849" s="90"/>
      <c r="G849" s="90"/>
      <c r="H849" s="90"/>
      <c r="I849" s="90"/>
      <c r="J849" s="78"/>
    </row>
    <row r="850" spans="1:10" x14ac:dyDescent="0.15">
      <c r="A850" s="89"/>
      <c r="B850" s="90"/>
      <c r="C850" s="90"/>
      <c r="D850" s="91"/>
      <c r="E850" s="90"/>
      <c r="F850" s="90"/>
      <c r="G850" s="90"/>
      <c r="H850" s="90"/>
      <c r="I850" s="90"/>
      <c r="J850" s="78"/>
    </row>
    <row r="851" spans="1:10" x14ac:dyDescent="0.15">
      <c r="A851" s="89"/>
      <c r="B851" s="90"/>
      <c r="C851" s="90"/>
      <c r="D851" s="91"/>
      <c r="E851" s="90"/>
      <c r="F851" s="90"/>
      <c r="G851" s="90"/>
      <c r="H851" s="90"/>
      <c r="I851" s="90"/>
      <c r="J851" s="78"/>
    </row>
    <row r="852" spans="1:10" x14ac:dyDescent="0.15">
      <c r="A852" s="89"/>
      <c r="B852" s="90"/>
      <c r="C852" s="90"/>
      <c r="D852" s="91"/>
      <c r="E852" s="90"/>
      <c r="F852" s="90"/>
      <c r="G852" s="90"/>
      <c r="H852" s="90"/>
      <c r="I852" s="90"/>
      <c r="J852" s="78"/>
    </row>
    <row r="853" spans="1:10" x14ac:dyDescent="0.15">
      <c r="A853" s="89"/>
      <c r="B853" s="90"/>
      <c r="C853" s="90"/>
      <c r="D853" s="91"/>
      <c r="E853" s="90"/>
      <c r="F853" s="90"/>
      <c r="G853" s="90"/>
      <c r="H853" s="90"/>
      <c r="I853" s="90"/>
      <c r="J853" s="78"/>
    </row>
    <row r="854" spans="1:10" x14ac:dyDescent="0.15">
      <c r="A854" s="89"/>
      <c r="B854" s="90"/>
      <c r="C854" s="90"/>
      <c r="D854" s="91"/>
      <c r="E854" s="90"/>
      <c r="F854" s="90"/>
      <c r="G854" s="90"/>
      <c r="H854" s="90"/>
      <c r="I854" s="90"/>
      <c r="J854" s="78"/>
    </row>
    <row r="855" spans="1:10" x14ac:dyDescent="0.15">
      <c r="A855" s="89"/>
      <c r="B855" s="90"/>
      <c r="C855" s="90"/>
      <c r="D855" s="91"/>
      <c r="E855" s="90"/>
      <c r="F855" s="90"/>
      <c r="G855" s="90"/>
      <c r="H855" s="90"/>
      <c r="I855" s="90"/>
      <c r="J855" s="78"/>
    </row>
    <row r="856" spans="1:10" x14ac:dyDescent="0.15">
      <c r="A856" s="89"/>
      <c r="B856" s="90"/>
      <c r="C856" s="90"/>
      <c r="D856" s="91"/>
      <c r="E856" s="90"/>
      <c r="F856" s="90"/>
      <c r="G856" s="90"/>
      <c r="H856" s="90"/>
      <c r="I856" s="90"/>
      <c r="J856" s="78"/>
    </row>
    <row r="857" spans="1:10" x14ac:dyDescent="0.15">
      <c r="A857" s="89"/>
      <c r="B857" s="90"/>
      <c r="C857" s="90"/>
      <c r="D857" s="91"/>
      <c r="E857" s="90"/>
      <c r="F857" s="90"/>
      <c r="G857" s="90"/>
      <c r="H857" s="90"/>
      <c r="I857" s="90"/>
      <c r="J857" s="78"/>
    </row>
    <row r="858" spans="1:10" x14ac:dyDescent="0.15">
      <c r="A858" s="89"/>
      <c r="B858" s="90"/>
      <c r="C858" s="90"/>
      <c r="D858" s="91"/>
      <c r="E858" s="90"/>
      <c r="F858" s="90"/>
      <c r="G858" s="90"/>
      <c r="H858" s="90"/>
      <c r="I858" s="90"/>
      <c r="J858" s="78"/>
    </row>
    <row r="859" spans="1:10" x14ac:dyDescent="0.15">
      <c r="A859" s="89"/>
      <c r="B859" s="90"/>
      <c r="C859" s="90"/>
      <c r="D859" s="91"/>
      <c r="E859" s="90"/>
      <c r="F859" s="90"/>
      <c r="G859" s="90"/>
      <c r="H859" s="90"/>
      <c r="I859" s="90"/>
      <c r="J859" s="78"/>
    </row>
    <row r="860" spans="1:10" x14ac:dyDescent="0.15">
      <c r="A860" s="89"/>
      <c r="B860" s="90"/>
      <c r="C860" s="90"/>
      <c r="D860" s="91"/>
      <c r="E860" s="90"/>
      <c r="F860" s="90"/>
      <c r="G860" s="90"/>
      <c r="H860" s="90"/>
      <c r="I860" s="90"/>
      <c r="J860" s="78"/>
    </row>
    <row r="861" spans="1:10" x14ac:dyDescent="0.15">
      <c r="A861" s="89"/>
      <c r="B861" s="90"/>
      <c r="C861" s="90"/>
      <c r="D861" s="91"/>
      <c r="E861" s="90"/>
      <c r="F861" s="90"/>
      <c r="G861" s="90"/>
      <c r="H861" s="90"/>
      <c r="I861" s="90"/>
      <c r="J861" s="78"/>
    </row>
    <row r="862" spans="1:10" x14ac:dyDescent="0.15">
      <c r="A862" s="89"/>
      <c r="B862" s="90"/>
      <c r="C862" s="90"/>
      <c r="D862" s="91"/>
      <c r="E862" s="90"/>
      <c r="F862" s="90"/>
      <c r="G862" s="90"/>
      <c r="H862" s="90"/>
      <c r="I862" s="90"/>
      <c r="J862" s="78"/>
    </row>
    <row r="863" spans="1:10" x14ac:dyDescent="0.15">
      <c r="A863" s="89"/>
      <c r="B863" s="90"/>
      <c r="C863" s="90"/>
      <c r="D863" s="91"/>
      <c r="E863" s="90"/>
      <c r="F863" s="90"/>
      <c r="G863" s="90"/>
      <c r="H863" s="90"/>
      <c r="I863" s="90"/>
      <c r="J863" s="78"/>
    </row>
    <row r="864" spans="1:10" x14ac:dyDescent="0.15">
      <c r="A864" s="89"/>
      <c r="B864" s="90"/>
      <c r="C864" s="90"/>
      <c r="D864" s="91"/>
      <c r="E864" s="90"/>
      <c r="F864" s="90"/>
      <c r="G864" s="90"/>
      <c r="H864" s="90"/>
      <c r="I864" s="90"/>
      <c r="J864" s="78"/>
    </row>
    <row r="865" spans="1:10" x14ac:dyDescent="0.15">
      <c r="A865" s="89"/>
      <c r="B865" s="90"/>
      <c r="C865" s="90"/>
      <c r="D865" s="91"/>
      <c r="E865" s="90"/>
      <c r="F865" s="90"/>
      <c r="G865" s="90"/>
      <c r="H865" s="90"/>
      <c r="I865" s="90"/>
      <c r="J865" s="78"/>
    </row>
    <row r="866" spans="1:10" x14ac:dyDescent="0.15">
      <c r="A866" s="89"/>
      <c r="B866" s="90"/>
      <c r="C866" s="90"/>
      <c r="D866" s="91"/>
      <c r="E866" s="90"/>
      <c r="F866" s="90"/>
      <c r="G866" s="90"/>
      <c r="H866" s="90"/>
      <c r="I866" s="90"/>
      <c r="J866" s="78"/>
    </row>
    <row r="867" spans="1:10" x14ac:dyDescent="0.15">
      <c r="A867" s="89"/>
      <c r="B867" s="90"/>
      <c r="C867" s="90"/>
      <c r="D867" s="91"/>
      <c r="E867" s="90"/>
      <c r="F867" s="90"/>
      <c r="G867" s="90"/>
      <c r="H867" s="90"/>
      <c r="I867" s="90"/>
      <c r="J867" s="78"/>
    </row>
    <row r="868" spans="1:10" x14ac:dyDescent="0.15">
      <c r="A868" s="89"/>
      <c r="B868" s="90"/>
      <c r="C868" s="90"/>
      <c r="D868" s="91"/>
      <c r="E868" s="90"/>
      <c r="F868" s="90"/>
      <c r="G868" s="90"/>
      <c r="H868" s="90"/>
      <c r="I868" s="90"/>
      <c r="J868" s="78"/>
    </row>
    <row r="869" spans="1:10" x14ac:dyDescent="0.15">
      <c r="A869" s="89"/>
      <c r="B869" s="90"/>
      <c r="C869" s="90"/>
      <c r="D869" s="91"/>
      <c r="E869" s="90"/>
      <c r="F869" s="90"/>
      <c r="G869" s="90"/>
      <c r="H869" s="90"/>
      <c r="I869" s="90"/>
      <c r="J869" s="78"/>
    </row>
    <row r="870" spans="1:10" x14ac:dyDescent="0.15">
      <c r="A870" s="89"/>
      <c r="B870" s="90"/>
      <c r="C870" s="90"/>
      <c r="D870" s="91"/>
      <c r="E870" s="90"/>
      <c r="F870" s="90"/>
      <c r="G870" s="90"/>
      <c r="H870" s="90"/>
      <c r="I870" s="90"/>
      <c r="J870" s="78"/>
    </row>
    <row r="871" spans="1:10" x14ac:dyDescent="0.15">
      <c r="A871" s="89"/>
      <c r="B871" s="90"/>
      <c r="C871" s="90"/>
      <c r="D871" s="91"/>
      <c r="E871" s="90"/>
      <c r="F871" s="90"/>
      <c r="G871" s="90"/>
      <c r="H871" s="90"/>
      <c r="I871" s="90"/>
      <c r="J871" s="78"/>
    </row>
    <row r="872" spans="1:10" x14ac:dyDescent="0.15">
      <c r="A872" s="89"/>
      <c r="B872" s="90"/>
      <c r="C872" s="90"/>
      <c r="D872" s="91"/>
      <c r="E872" s="90"/>
      <c r="F872" s="90"/>
      <c r="G872" s="90"/>
      <c r="H872" s="90"/>
      <c r="I872" s="90"/>
      <c r="J872" s="78"/>
    </row>
    <row r="873" spans="1:10" x14ac:dyDescent="0.15">
      <c r="A873" s="89"/>
      <c r="B873" s="90"/>
      <c r="C873" s="90"/>
      <c r="D873" s="91"/>
      <c r="E873" s="90"/>
      <c r="F873" s="90"/>
      <c r="G873" s="90"/>
      <c r="H873" s="90"/>
      <c r="I873" s="90"/>
      <c r="J873" s="78"/>
    </row>
    <row r="874" spans="1:10" x14ac:dyDescent="0.15">
      <c r="A874" s="89"/>
      <c r="B874" s="90"/>
      <c r="C874" s="90"/>
      <c r="D874" s="91"/>
      <c r="E874" s="90"/>
      <c r="F874" s="90"/>
      <c r="G874" s="90"/>
      <c r="H874" s="90"/>
      <c r="I874" s="90"/>
      <c r="J874" s="78"/>
    </row>
    <row r="875" spans="1:10" x14ac:dyDescent="0.15">
      <c r="A875" s="89"/>
      <c r="B875" s="90"/>
      <c r="C875" s="90"/>
      <c r="D875" s="91"/>
      <c r="E875" s="90"/>
      <c r="F875" s="90"/>
      <c r="G875" s="90"/>
      <c r="H875" s="90"/>
      <c r="I875" s="90"/>
      <c r="J875" s="78"/>
    </row>
    <row r="876" spans="1:10" x14ac:dyDescent="0.15">
      <c r="A876" s="89"/>
      <c r="B876" s="90"/>
      <c r="C876" s="90"/>
      <c r="D876" s="91"/>
      <c r="E876" s="90"/>
      <c r="F876" s="90"/>
      <c r="G876" s="90"/>
      <c r="H876" s="90"/>
      <c r="I876" s="90"/>
      <c r="J876" s="78"/>
    </row>
    <row r="877" spans="1:10" x14ac:dyDescent="0.15">
      <c r="A877" s="89"/>
      <c r="B877" s="90"/>
      <c r="C877" s="90"/>
      <c r="D877" s="91"/>
      <c r="E877" s="90"/>
      <c r="F877" s="90"/>
      <c r="G877" s="90"/>
      <c r="H877" s="90"/>
      <c r="I877" s="90"/>
      <c r="J877" s="78"/>
    </row>
    <row r="878" spans="1:10" x14ac:dyDescent="0.15">
      <c r="A878" s="89"/>
      <c r="B878" s="90"/>
      <c r="C878" s="90"/>
      <c r="D878" s="91"/>
      <c r="E878" s="90"/>
      <c r="F878" s="90"/>
      <c r="G878" s="90"/>
      <c r="H878" s="90"/>
      <c r="I878" s="90"/>
      <c r="J878" s="78"/>
    </row>
    <row r="879" spans="1:10" x14ac:dyDescent="0.15">
      <c r="A879" s="89"/>
      <c r="B879" s="90"/>
      <c r="C879" s="90"/>
      <c r="D879" s="91"/>
      <c r="E879" s="90"/>
      <c r="F879" s="90"/>
      <c r="G879" s="90"/>
      <c r="H879" s="90"/>
      <c r="I879" s="90"/>
      <c r="J879" s="78"/>
    </row>
    <row r="880" spans="1:10" x14ac:dyDescent="0.15">
      <c r="A880" s="89"/>
      <c r="B880" s="90"/>
      <c r="C880" s="90"/>
      <c r="D880" s="91"/>
      <c r="E880" s="90"/>
      <c r="F880" s="90"/>
      <c r="G880" s="90"/>
      <c r="H880" s="90"/>
      <c r="I880" s="90"/>
      <c r="J880" s="78"/>
    </row>
    <row r="881" spans="1:10" x14ac:dyDescent="0.15">
      <c r="A881" s="89"/>
      <c r="B881" s="90"/>
      <c r="C881" s="90"/>
      <c r="D881" s="91"/>
      <c r="E881" s="90"/>
      <c r="F881" s="90"/>
      <c r="G881" s="90"/>
      <c r="H881" s="90"/>
      <c r="I881" s="90"/>
      <c r="J881" s="78"/>
    </row>
    <row r="882" spans="1:10" x14ac:dyDescent="0.15">
      <c r="A882" s="89"/>
      <c r="B882" s="90"/>
      <c r="C882" s="90"/>
      <c r="D882" s="91"/>
      <c r="E882" s="90"/>
      <c r="F882" s="90"/>
      <c r="G882" s="90"/>
      <c r="H882" s="90"/>
      <c r="I882" s="90"/>
      <c r="J882" s="78"/>
    </row>
    <row r="883" spans="1:10" x14ac:dyDescent="0.15">
      <c r="A883" s="89"/>
      <c r="B883" s="90"/>
      <c r="C883" s="90"/>
      <c r="D883" s="91"/>
      <c r="E883" s="90"/>
      <c r="F883" s="90"/>
      <c r="G883" s="90"/>
      <c r="H883" s="90"/>
      <c r="I883" s="90"/>
      <c r="J883" s="78"/>
    </row>
    <row r="884" spans="1:10" x14ac:dyDescent="0.15">
      <c r="A884" s="89"/>
      <c r="B884" s="90"/>
      <c r="C884" s="90"/>
      <c r="D884" s="91"/>
      <c r="E884" s="90"/>
      <c r="F884" s="90"/>
      <c r="G884" s="90"/>
      <c r="H884" s="90"/>
      <c r="I884" s="90"/>
      <c r="J884" s="78"/>
    </row>
    <row r="885" spans="1:10" x14ac:dyDescent="0.15">
      <c r="A885" s="89"/>
      <c r="B885" s="90"/>
      <c r="C885" s="90"/>
      <c r="D885" s="91"/>
      <c r="E885" s="90"/>
      <c r="F885" s="90"/>
      <c r="G885" s="90"/>
      <c r="H885" s="90"/>
      <c r="I885" s="90"/>
      <c r="J885" s="78"/>
    </row>
    <row r="886" spans="1:10" x14ac:dyDescent="0.15">
      <c r="A886" s="89"/>
      <c r="B886" s="90"/>
      <c r="C886" s="90"/>
      <c r="D886" s="91"/>
      <c r="E886" s="90"/>
      <c r="F886" s="90"/>
      <c r="G886" s="90"/>
      <c r="H886" s="90"/>
      <c r="I886" s="90"/>
      <c r="J886" s="78"/>
    </row>
    <row r="887" spans="1:10" x14ac:dyDescent="0.15">
      <c r="A887" s="89"/>
      <c r="B887" s="90"/>
      <c r="C887" s="90"/>
      <c r="D887" s="91"/>
      <c r="E887" s="90"/>
      <c r="F887" s="90"/>
      <c r="G887" s="90"/>
      <c r="H887" s="90"/>
      <c r="I887" s="90"/>
      <c r="J887" s="78"/>
    </row>
    <row r="888" spans="1:10" x14ac:dyDescent="0.15">
      <c r="A888" s="89"/>
      <c r="B888" s="90"/>
      <c r="C888" s="90"/>
      <c r="D888" s="91"/>
      <c r="E888" s="90"/>
      <c r="F888" s="90"/>
      <c r="G888" s="90"/>
      <c r="H888" s="90"/>
      <c r="I888" s="90"/>
      <c r="J888" s="78"/>
    </row>
    <row r="889" spans="1:10" x14ac:dyDescent="0.15">
      <c r="A889" s="89"/>
      <c r="B889" s="90"/>
      <c r="C889" s="90"/>
      <c r="D889" s="91"/>
      <c r="E889" s="90"/>
      <c r="F889" s="90"/>
      <c r="G889" s="90"/>
      <c r="H889" s="90"/>
      <c r="I889" s="90"/>
      <c r="J889" s="78"/>
    </row>
    <row r="890" spans="1:10" x14ac:dyDescent="0.15">
      <c r="A890" s="89"/>
      <c r="B890" s="90"/>
      <c r="C890" s="90"/>
      <c r="D890" s="91"/>
      <c r="E890" s="90"/>
      <c r="F890" s="90"/>
      <c r="G890" s="90"/>
      <c r="H890" s="90"/>
      <c r="I890" s="90"/>
      <c r="J890" s="78"/>
    </row>
    <row r="891" spans="1:10" x14ac:dyDescent="0.15">
      <c r="A891" s="89"/>
      <c r="B891" s="90"/>
      <c r="C891" s="90"/>
      <c r="D891" s="91"/>
      <c r="E891" s="90"/>
      <c r="F891" s="90"/>
      <c r="G891" s="90"/>
      <c r="H891" s="90"/>
      <c r="I891" s="90"/>
      <c r="J891" s="78"/>
    </row>
    <row r="892" spans="1:10" x14ac:dyDescent="0.15">
      <c r="A892" s="89"/>
      <c r="B892" s="90"/>
      <c r="C892" s="90"/>
      <c r="D892" s="91"/>
      <c r="E892" s="90"/>
      <c r="F892" s="90"/>
      <c r="G892" s="90"/>
      <c r="H892" s="90"/>
      <c r="I892" s="90"/>
      <c r="J892" s="78"/>
    </row>
    <row r="893" spans="1:10" x14ac:dyDescent="0.15">
      <c r="A893" s="89"/>
      <c r="B893" s="90"/>
      <c r="C893" s="90"/>
      <c r="D893" s="91"/>
      <c r="E893" s="90"/>
      <c r="F893" s="90"/>
      <c r="G893" s="90"/>
      <c r="H893" s="90"/>
      <c r="I893" s="90"/>
      <c r="J893" s="78"/>
    </row>
    <row r="894" spans="1:10" x14ac:dyDescent="0.15">
      <c r="A894" s="89"/>
      <c r="B894" s="90"/>
      <c r="C894" s="90"/>
      <c r="D894" s="91"/>
      <c r="E894" s="90"/>
      <c r="F894" s="90"/>
      <c r="G894" s="90"/>
      <c r="H894" s="90"/>
      <c r="I894" s="90"/>
      <c r="J894" s="78"/>
    </row>
    <row r="895" spans="1:10" x14ac:dyDescent="0.15">
      <c r="A895" s="89"/>
      <c r="B895" s="90"/>
      <c r="C895" s="90"/>
      <c r="D895" s="91"/>
      <c r="E895" s="90"/>
      <c r="F895" s="90"/>
      <c r="G895" s="90"/>
      <c r="H895" s="90"/>
      <c r="I895" s="90"/>
      <c r="J895" s="78"/>
    </row>
    <row r="896" spans="1:10" x14ac:dyDescent="0.15">
      <c r="A896" s="89"/>
      <c r="B896" s="90"/>
      <c r="C896" s="90"/>
      <c r="D896" s="91"/>
      <c r="E896" s="90"/>
      <c r="F896" s="90"/>
      <c r="G896" s="90"/>
      <c r="H896" s="90"/>
      <c r="I896" s="90"/>
      <c r="J896" s="78"/>
    </row>
    <row r="897" spans="1:10" x14ac:dyDescent="0.15">
      <c r="A897" s="89"/>
      <c r="B897" s="90"/>
      <c r="C897" s="90"/>
      <c r="D897" s="91"/>
      <c r="E897" s="90"/>
      <c r="F897" s="90"/>
      <c r="G897" s="90"/>
      <c r="H897" s="90"/>
      <c r="I897" s="90"/>
      <c r="J897" s="78"/>
    </row>
    <row r="898" spans="1:10" x14ac:dyDescent="0.15">
      <c r="A898" s="89"/>
      <c r="B898" s="90"/>
      <c r="C898" s="90"/>
      <c r="D898" s="91"/>
      <c r="E898" s="90"/>
      <c r="F898" s="90"/>
      <c r="G898" s="90"/>
      <c r="H898" s="90"/>
      <c r="I898" s="90"/>
      <c r="J898" s="78"/>
    </row>
    <row r="899" spans="1:10" x14ac:dyDescent="0.15">
      <c r="A899" s="89"/>
      <c r="B899" s="90"/>
      <c r="C899" s="90"/>
      <c r="D899" s="91"/>
      <c r="E899" s="90"/>
      <c r="F899" s="90"/>
      <c r="G899" s="90"/>
      <c r="H899" s="90"/>
      <c r="I899" s="90"/>
      <c r="J899" s="78"/>
    </row>
    <row r="900" spans="1:10" x14ac:dyDescent="0.15">
      <c r="A900" s="89"/>
      <c r="B900" s="90"/>
      <c r="C900" s="90"/>
      <c r="D900" s="91"/>
      <c r="E900" s="90"/>
      <c r="F900" s="90"/>
      <c r="G900" s="90"/>
      <c r="H900" s="90"/>
      <c r="I900" s="90"/>
      <c r="J900" s="78"/>
    </row>
    <row r="901" spans="1:10" x14ac:dyDescent="0.15">
      <c r="A901" s="89"/>
      <c r="B901" s="90"/>
      <c r="C901" s="90"/>
      <c r="D901" s="91"/>
      <c r="E901" s="90"/>
      <c r="F901" s="90"/>
      <c r="G901" s="90"/>
      <c r="H901" s="90"/>
      <c r="I901" s="90"/>
      <c r="J901" s="78"/>
    </row>
    <row r="902" spans="1:10" x14ac:dyDescent="0.15">
      <c r="A902" s="89"/>
      <c r="B902" s="90"/>
      <c r="C902" s="90"/>
      <c r="D902" s="91"/>
      <c r="E902" s="90"/>
      <c r="F902" s="90"/>
      <c r="G902" s="90"/>
      <c r="H902" s="90"/>
      <c r="I902" s="90"/>
      <c r="J902" s="78"/>
    </row>
    <row r="903" spans="1:10" x14ac:dyDescent="0.15">
      <c r="A903" s="89"/>
      <c r="B903" s="90"/>
      <c r="C903" s="90"/>
      <c r="D903" s="91"/>
      <c r="E903" s="90"/>
      <c r="F903" s="90"/>
      <c r="G903" s="90"/>
      <c r="H903" s="90"/>
      <c r="I903" s="90"/>
      <c r="J903" s="78"/>
    </row>
    <row r="904" spans="1:10" x14ac:dyDescent="0.15">
      <c r="A904" s="89"/>
      <c r="B904" s="90"/>
      <c r="C904" s="90"/>
      <c r="D904" s="91"/>
      <c r="E904" s="90"/>
      <c r="F904" s="90"/>
      <c r="G904" s="90"/>
      <c r="H904" s="90"/>
      <c r="I904" s="90"/>
      <c r="J904" s="78"/>
    </row>
    <row r="905" spans="1:10" x14ac:dyDescent="0.15">
      <c r="A905" s="89"/>
      <c r="B905" s="90"/>
      <c r="C905" s="90"/>
      <c r="D905" s="91"/>
      <c r="E905" s="90"/>
      <c r="F905" s="90"/>
      <c r="G905" s="90"/>
      <c r="H905" s="90"/>
      <c r="I905" s="90"/>
      <c r="J905" s="78"/>
    </row>
    <row r="906" spans="1:10" x14ac:dyDescent="0.15">
      <c r="A906" s="89"/>
      <c r="B906" s="90"/>
      <c r="C906" s="90"/>
      <c r="D906" s="91"/>
      <c r="E906" s="90"/>
      <c r="F906" s="90"/>
      <c r="G906" s="90"/>
      <c r="H906" s="90"/>
      <c r="I906" s="90"/>
      <c r="J906" s="78"/>
    </row>
    <row r="907" spans="1:10" x14ac:dyDescent="0.15">
      <c r="A907" s="89"/>
      <c r="B907" s="90"/>
      <c r="C907" s="90"/>
      <c r="D907" s="91"/>
      <c r="E907" s="90"/>
      <c r="F907" s="90"/>
      <c r="G907" s="90"/>
      <c r="H907" s="90"/>
      <c r="I907" s="90"/>
      <c r="J907" s="78"/>
    </row>
    <row r="908" spans="1:10" x14ac:dyDescent="0.15">
      <c r="A908" s="89"/>
      <c r="B908" s="90"/>
      <c r="C908" s="90"/>
      <c r="D908" s="91"/>
      <c r="E908" s="90"/>
      <c r="F908" s="90"/>
      <c r="G908" s="90"/>
      <c r="H908" s="90"/>
      <c r="I908" s="90"/>
      <c r="J908" s="78"/>
    </row>
    <row r="909" spans="1:10" x14ac:dyDescent="0.15">
      <c r="A909" s="89"/>
      <c r="B909" s="90"/>
      <c r="C909" s="90"/>
      <c r="D909" s="91"/>
      <c r="E909" s="90"/>
      <c r="F909" s="90"/>
      <c r="G909" s="90"/>
      <c r="H909" s="90"/>
      <c r="I909" s="90"/>
      <c r="J909" s="78"/>
    </row>
    <row r="910" spans="1:10" x14ac:dyDescent="0.15">
      <c r="A910" s="89"/>
      <c r="B910" s="90"/>
      <c r="C910" s="90"/>
      <c r="D910" s="91"/>
      <c r="E910" s="90"/>
      <c r="F910" s="90"/>
      <c r="G910" s="90"/>
      <c r="H910" s="90"/>
      <c r="I910" s="90"/>
      <c r="J910" s="78"/>
    </row>
    <row r="911" spans="1:10" x14ac:dyDescent="0.15">
      <c r="A911" s="89"/>
      <c r="B911" s="90"/>
      <c r="C911" s="90"/>
      <c r="D911" s="91"/>
      <c r="E911" s="90"/>
      <c r="F911" s="90"/>
      <c r="G911" s="90"/>
      <c r="H911" s="90"/>
      <c r="I911" s="90"/>
      <c r="J911" s="78"/>
    </row>
    <row r="912" spans="1:10" x14ac:dyDescent="0.15">
      <c r="A912" s="89"/>
      <c r="B912" s="90"/>
      <c r="C912" s="90"/>
      <c r="D912" s="91"/>
      <c r="E912" s="90"/>
      <c r="F912" s="90"/>
      <c r="G912" s="90"/>
      <c r="H912" s="90"/>
      <c r="I912" s="90"/>
      <c r="J912" s="78"/>
    </row>
    <row r="913" spans="1:10" x14ac:dyDescent="0.15">
      <c r="A913" s="89"/>
      <c r="B913" s="90"/>
      <c r="C913" s="90"/>
      <c r="D913" s="91"/>
      <c r="E913" s="90"/>
      <c r="F913" s="90"/>
      <c r="G913" s="90"/>
      <c r="H913" s="90"/>
      <c r="I913" s="90"/>
      <c r="J913" s="78"/>
    </row>
    <row r="914" spans="1:10" x14ac:dyDescent="0.15">
      <c r="A914" s="89"/>
      <c r="B914" s="90"/>
      <c r="C914" s="90"/>
      <c r="D914" s="91"/>
      <c r="E914" s="90"/>
      <c r="F914" s="90"/>
      <c r="G914" s="90"/>
      <c r="H914" s="90"/>
      <c r="I914" s="90"/>
      <c r="J914" s="78"/>
    </row>
    <row r="915" spans="1:10" x14ac:dyDescent="0.15">
      <c r="A915" s="89"/>
      <c r="B915" s="90"/>
      <c r="C915" s="90"/>
      <c r="D915" s="91"/>
      <c r="E915" s="90"/>
      <c r="F915" s="90"/>
      <c r="G915" s="90"/>
      <c r="H915" s="90"/>
      <c r="I915" s="90"/>
      <c r="J915" s="78"/>
    </row>
    <row r="916" spans="1:10" x14ac:dyDescent="0.15">
      <c r="A916" s="89"/>
      <c r="B916" s="90"/>
      <c r="C916" s="90"/>
      <c r="D916" s="91"/>
      <c r="E916" s="90"/>
      <c r="F916" s="90"/>
      <c r="G916" s="90"/>
      <c r="H916" s="90"/>
      <c r="I916" s="90"/>
      <c r="J916" s="78"/>
    </row>
    <row r="917" spans="1:10" x14ac:dyDescent="0.15">
      <c r="A917" s="89"/>
      <c r="B917" s="90"/>
      <c r="C917" s="90"/>
      <c r="D917" s="91"/>
      <c r="E917" s="90"/>
      <c r="F917" s="90"/>
      <c r="G917" s="90"/>
      <c r="H917" s="90"/>
      <c r="I917" s="90"/>
      <c r="J917" s="78"/>
    </row>
    <row r="918" spans="1:10" x14ac:dyDescent="0.15">
      <c r="A918" s="89"/>
      <c r="B918" s="90"/>
      <c r="C918" s="90"/>
      <c r="D918" s="91"/>
      <c r="E918" s="90"/>
      <c r="F918" s="90"/>
      <c r="G918" s="90"/>
      <c r="H918" s="90"/>
      <c r="I918" s="90"/>
      <c r="J918" s="78"/>
    </row>
    <row r="919" spans="1:10" x14ac:dyDescent="0.15">
      <c r="A919" s="89"/>
      <c r="B919" s="90"/>
      <c r="C919" s="90"/>
      <c r="D919" s="91"/>
      <c r="E919" s="90"/>
      <c r="F919" s="90"/>
      <c r="G919" s="90"/>
      <c r="H919" s="90"/>
      <c r="I919" s="90"/>
      <c r="J919" s="78"/>
    </row>
    <row r="920" spans="1:10" x14ac:dyDescent="0.15">
      <c r="A920" s="89"/>
      <c r="B920" s="90"/>
      <c r="C920" s="90"/>
      <c r="D920" s="91"/>
      <c r="E920" s="90"/>
      <c r="F920" s="90"/>
      <c r="G920" s="90"/>
      <c r="H920" s="90"/>
      <c r="I920" s="90"/>
      <c r="J920" s="78"/>
    </row>
    <row r="921" spans="1:10" x14ac:dyDescent="0.15">
      <c r="A921" s="89"/>
      <c r="B921" s="90"/>
      <c r="C921" s="90"/>
      <c r="D921" s="91"/>
      <c r="E921" s="90"/>
      <c r="F921" s="90"/>
      <c r="G921" s="90"/>
      <c r="H921" s="90"/>
      <c r="I921" s="90"/>
      <c r="J921" s="78"/>
    </row>
    <row r="922" spans="1:10" x14ac:dyDescent="0.15">
      <c r="A922" s="89"/>
      <c r="B922" s="90"/>
      <c r="C922" s="90"/>
      <c r="D922" s="91"/>
      <c r="E922" s="90"/>
      <c r="F922" s="90"/>
      <c r="G922" s="90"/>
      <c r="H922" s="90"/>
      <c r="I922" s="90"/>
      <c r="J922" s="78"/>
    </row>
    <row r="923" spans="1:10" x14ac:dyDescent="0.15">
      <c r="A923" s="89"/>
      <c r="B923" s="90"/>
      <c r="C923" s="90"/>
      <c r="D923" s="91"/>
      <c r="E923" s="90"/>
      <c r="F923" s="90"/>
      <c r="G923" s="90"/>
      <c r="H923" s="90"/>
      <c r="I923" s="90"/>
      <c r="J923" s="78"/>
    </row>
    <row r="924" spans="1:10" x14ac:dyDescent="0.15">
      <c r="A924" s="89"/>
      <c r="B924" s="90"/>
      <c r="C924" s="90"/>
      <c r="D924" s="91"/>
      <c r="E924" s="90"/>
      <c r="F924" s="90"/>
      <c r="G924" s="90"/>
      <c r="H924" s="90"/>
      <c r="I924" s="90"/>
      <c r="J924" s="78"/>
    </row>
    <row r="925" spans="1:10" x14ac:dyDescent="0.15">
      <c r="A925" s="89"/>
      <c r="B925" s="90"/>
      <c r="C925" s="90"/>
      <c r="D925" s="91"/>
      <c r="E925" s="90"/>
      <c r="F925" s="90"/>
      <c r="G925" s="90"/>
      <c r="H925" s="90"/>
      <c r="I925" s="90"/>
      <c r="J925" s="78"/>
    </row>
    <row r="926" spans="1:10" x14ac:dyDescent="0.15">
      <c r="A926" s="89"/>
      <c r="B926" s="90"/>
      <c r="C926" s="90"/>
      <c r="D926" s="91"/>
      <c r="E926" s="90"/>
      <c r="F926" s="90"/>
      <c r="G926" s="90"/>
      <c r="H926" s="90"/>
      <c r="I926" s="90"/>
      <c r="J926" s="78"/>
    </row>
    <row r="927" spans="1:10" x14ac:dyDescent="0.15">
      <c r="A927" s="89"/>
      <c r="B927" s="90"/>
      <c r="C927" s="90"/>
      <c r="D927" s="91"/>
      <c r="E927" s="90"/>
      <c r="F927" s="90"/>
      <c r="G927" s="90"/>
      <c r="H927" s="90"/>
      <c r="I927" s="90"/>
      <c r="J927" s="78"/>
    </row>
    <row r="928" spans="1:10" x14ac:dyDescent="0.15">
      <c r="A928" s="89"/>
      <c r="B928" s="90"/>
      <c r="C928" s="90"/>
      <c r="D928" s="91"/>
      <c r="E928" s="90"/>
      <c r="F928" s="90"/>
      <c r="G928" s="90"/>
      <c r="H928" s="90"/>
      <c r="I928" s="90"/>
      <c r="J928" s="78"/>
    </row>
    <row r="929" spans="1:10" x14ac:dyDescent="0.15">
      <c r="A929" s="89"/>
      <c r="B929" s="90"/>
      <c r="C929" s="90"/>
      <c r="D929" s="91"/>
      <c r="E929" s="90"/>
      <c r="F929" s="90"/>
      <c r="G929" s="90"/>
      <c r="H929" s="90"/>
      <c r="I929" s="90"/>
      <c r="J929" s="78"/>
    </row>
    <row r="930" spans="1:10" x14ac:dyDescent="0.15">
      <c r="A930" s="89"/>
      <c r="B930" s="90"/>
      <c r="C930" s="90"/>
      <c r="D930" s="91"/>
      <c r="E930" s="90"/>
      <c r="F930" s="90"/>
      <c r="G930" s="90"/>
      <c r="H930" s="90"/>
      <c r="I930" s="90"/>
      <c r="J930" s="78"/>
    </row>
    <row r="931" spans="1:10" x14ac:dyDescent="0.15">
      <c r="A931" s="89"/>
      <c r="B931" s="90"/>
      <c r="C931" s="90"/>
      <c r="D931" s="91"/>
      <c r="E931" s="90"/>
      <c r="F931" s="90"/>
      <c r="G931" s="90"/>
      <c r="H931" s="90"/>
      <c r="I931" s="90"/>
      <c r="J931" s="78"/>
    </row>
    <row r="932" spans="1:10" x14ac:dyDescent="0.15">
      <c r="A932" s="89"/>
      <c r="B932" s="90"/>
      <c r="C932" s="90"/>
      <c r="D932" s="91"/>
      <c r="E932" s="90"/>
      <c r="F932" s="90"/>
      <c r="G932" s="90"/>
      <c r="H932" s="90"/>
      <c r="I932" s="90"/>
      <c r="J932" s="78"/>
    </row>
    <row r="933" spans="1:10" x14ac:dyDescent="0.15">
      <c r="A933" s="89"/>
      <c r="B933" s="90"/>
      <c r="C933" s="90"/>
      <c r="D933" s="91"/>
      <c r="E933" s="90"/>
      <c r="F933" s="90"/>
      <c r="G933" s="90"/>
      <c r="H933" s="90"/>
      <c r="I933" s="90"/>
      <c r="J933" s="78"/>
    </row>
    <row r="934" spans="1:10" x14ac:dyDescent="0.15">
      <c r="A934" s="89"/>
      <c r="B934" s="90"/>
      <c r="C934" s="90"/>
      <c r="D934" s="91"/>
      <c r="E934" s="90"/>
      <c r="F934" s="90"/>
      <c r="G934" s="90"/>
      <c r="H934" s="90"/>
      <c r="I934" s="90"/>
      <c r="J934" s="78"/>
    </row>
    <row r="935" spans="1:10" x14ac:dyDescent="0.15">
      <c r="A935" s="89"/>
      <c r="B935" s="90"/>
      <c r="C935" s="90"/>
      <c r="D935" s="91"/>
      <c r="E935" s="90"/>
      <c r="F935" s="90"/>
      <c r="G935" s="90"/>
      <c r="H935" s="90"/>
      <c r="I935" s="90"/>
      <c r="J935" s="78"/>
    </row>
    <row r="936" spans="1:10" x14ac:dyDescent="0.15">
      <c r="A936" s="89"/>
      <c r="B936" s="90"/>
      <c r="C936" s="90"/>
      <c r="D936" s="91"/>
      <c r="E936" s="90"/>
      <c r="F936" s="90"/>
      <c r="G936" s="90"/>
      <c r="H936" s="90"/>
      <c r="I936" s="90"/>
      <c r="J936" s="78"/>
    </row>
    <row r="937" spans="1:10" x14ac:dyDescent="0.15">
      <c r="A937" s="89"/>
      <c r="B937" s="90"/>
      <c r="C937" s="90"/>
      <c r="D937" s="91"/>
      <c r="E937" s="90"/>
      <c r="F937" s="90"/>
      <c r="G937" s="90"/>
      <c r="H937" s="90"/>
      <c r="I937" s="90"/>
      <c r="J937" s="78"/>
    </row>
    <row r="938" spans="1:10" x14ac:dyDescent="0.15">
      <c r="A938" s="89"/>
      <c r="B938" s="90"/>
      <c r="C938" s="90"/>
      <c r="D938" s="91"/>
      <c r="E938" s="90"/>
      <c r="F938" s="90"/>
      <c r="G938" s="90"/>
      <c r="H938" s="90"/>
      <c r="I938" s="90"/>
      <c r="J938" s="78"/>
    </row>
    <row r="939" spans="1:10" x14ac:dyDescent="0.15">
      <c r="A939" s="89"/>
      <c r="B939" s="90"/>
      <c r="C939" s="90"/>
      <c r="D939" s="91"/>
      <c r="E939" s="90"/>
      <c r="F939" s="90"/>
      <c r="G939" s="90"/>
      <c r="H939" s="90"/>
      <c r="I939" s="90"/>
      <c r="J939" s="78"/>
    </row>
    <row r="940" spans="1:10" x14ac:dyDescent="0.15">
      <c r="A940" s="89"/>
      <c r="B940" s="90"/>
      <c r="C940" s="90"/>
      <c r="D940" s="91"/>
      <c r="E940" s="90"/>
      <c r="F940" s="90"/>
      <c r="G940" s="90"/>
      <c r="H940" s="90"/>
      <c r="I940" s="90"/>
      <c r="J940" s="78"/>
    </row>
    <row r="941" spans="1:10" x14ac:dyDescent="0.15">
      <c r="A941" s="89"/>
      <c r="B941" s="90"/>
      <c r="C941" s="90"/>
      <c r="D941" s="91"/>
      <c r="E941" s="90"/>
      <c r="F941" s="90"/>
      <c r="G941" s="90"/>
      <c r="H941" s="90"/>
      <c r="I941" s="90"/>
      <c r="J941" s="78"/>
    </row>
    <row r="942" spans="1:10" x14ac:dyDescent="0.15">
      <c r="A942" s="89"/>
      <c r="B942" s="90"/>
      <c r="C942" s="90"/>
      <c r="D942" s="91"/>
      <c r="E942" s="90"/>
      <c r="F942" s="90"/>
      <c r="G942" s="90"/>
      <c r="H942" s="90"/>
      <c r="I942" s="90"/>
      <c r="J942" s="78"/>
    </row>
    <row r="943" spans="1:10" x14ac:dyDescent="0.15">
      <c r="A943" s="89"/>
      <c r="B943" s="90"/>
      <c r="C943" s="90"/>
      <c r="D943" s="91"/>
      <c r="E943" s="90"/>
      <c r="F943" s="90"/>
      <c r="G943" s="90"/>
      <c r="H943" s="90"/>
      <c r="I943" s="90"/>
      <c r="J943" s="78"/>
    </row>
    <row r="944" spans="1:10" x14ac:dyDescent="0.15">
      <c r="A944" s="89"/>
      <c r="B944" s="90"/>
      <c r="C944" s="90"/>
      <c r="D944" s="91"/>
      <c r="E944" s="90"/>
      <c r="F944" s="90"/>
      <c r="G944" s="90"/>
      <c r="H944" s="90"/>
      <c r="I944" s="90"/>
      <c r="J944" s="78"/>
    </row>
    <row r="945" spans="1:10" x14ac:dyDescent="0.15">
      <c r="A945" s="89"/>
      <c r="B945" s="90"/>
      <c r="C945" s="90"/>
      <c r="D945" s="91"/>
      <c r="E945" s="90"/>
      <c r="F945" s="90"/>
      <c r="G945" s="90"/>
      <c r="H945" s="90"/>
      <c r="I945" s="90"/>
      <c r="J945" s="78"/>
    </row>
    <row r="946" spans="1:10" x14ac:dyDescent="0.15">
      <c r="A946" s="89"/>
      <c r="B946" s="90"/>
      <c r="C946" s="90"/>
      <c r="D946" s="91"/>
      <c r="E946" s="90"/>
      <c r="F946" s="90"/>
      <c r="G946" s="90"/>
      <c r="H946" s="90"/>
      <c r="I946" s="90"/>
      <c r="J946" s="78"/>
    </row>
    <row r="947" spans="1:10" x14ac:dyDescent="0.15">
      <c r="A947" s="89"/>
      <c r="B947" s="90"/>
      <c r="C947" s="90"/>
      <c r="D947" s="91"/>
      <c r="E947" s="90"/>
      <c r="F947" s="90"/>
      <c r="G947" s="90"/>
      <c r="H947" s="90"/>
      <c r="I947" s="90"/>
      <c r="J947" s="78"/>
    </row>
    <row r="948" spans="1:10" x14ac:dyDescent="0.15">
      <c r="A948" s="89"/>
      <c r="B948" s="90"/>
      <c r="C948" s="90"/>
      <c r="D948" s="91"/>
      <c r="E948" s="90"/>
      <c r="F948" s="90"/>
      <c r="G948" s="90"/>
      <c r="H948" s="90"/>
      <c r="I948" s="90"/>
      <c r="J948" s="78"/>
    </row>
    <row r="949" spans="1:10" x14ac:dyDescent="0.15">
      <c r="A949" s="89"/>
      <c r="B949" s="90"/>
      <c r="C949" s="90"/>
      <c r="D949" s="91"/>
      <c r="E949" s="90"/>
      <c r="F949" s="90"/>
      <c r="G949" s="90"/>
      <c r="H949" s="90"/>
      <c r="I949" s="90"/>
      <c r="J949" s="78"/>
    </row>
    <row r="950" spans="1:10" x14ac:dyDescent="0.15">
      <c r="A950" s="89"/>
      <c r="B950" s="90"/>
      <c r="C950" s="90"/>
      <c r="D950" s="91"/>
      <c r="E950" s="90"/>
      <c r="F950" s="90"/>
      <c r="G950" s="90"/>
      <c r="H950" s="90"/>
      <c r="I950" s="90"/>
      <c r="J950" s="78"/>
    </row>
    <row r="951" spans="1:10" x14ac:dyDescent="0.15">
      <c r="A951" s="89"/>
      <c r="B951" s="90"/>
      <c r="C951" s="90"/>
      <c r="D951" s="91"/>
      <c r="E951" s="90"/>
      <c r="F951" s="90"/>
      <c r="G951" s="90"/>
      <c r="H951" s="90"/>
      <c r="I951" s="90"/>
      <c r="J951" s="78"/>
    </row>
    <row r="952" spans="1:10" x14ac:dyDescent="0.15">
      <c r="A952" s="89"/>
      <c r="B952" s="90"/>
      <c r="C952" s="90"/>
      <c r="D952" s="91"/>
      <c r="E952" s="90"/>
      <c r="F952" s="90"/>
      <c r="G952" s="90"/>
      <c r="H952" s="90"/>
      <c r="I952" s="90"/>
      <c r="J952" s="78"/>
    </row>
    <row r="953" spans="1:10" x14ac:dyDescent="0.15">
      <c r="A953" s="89"/>
      <c r="B953" s="90"/>
      <c r="C953" s="90"/>
      <c r="D953" s="91"/>
      <c r="E953" s="90"/>
      <c r="F953" s="90"/>
      <c r="G953" s="90"/>
      <c r="H953" s="90"/>
      <c r="I953" s="90"/>
      <c r="J953" s="78"/>
    </row>
    <row r="954" spans="1:10" x14ac:dyDescent="0.15">
      <c r="A954" s="89"/>
      <c r="B954" s="90"/>
      <c r="C954" s="90"/>
      <c r="D954" s="91"/>
      <c r="E954" s="90"/>
      <c r="F954" s="90"/>
      <c r="G954" s="90"/>
      <c r="H954" s="90"/>
      <c r="I954" s="90"/>
      <c r="J954" s="78"/>
    </row>
    <row r="955" spans="1:10" x14ac:dyDescent="0.15">
      <c r="A955" s="89"/>
      <c r="B955" s="90"/>
      <c r="C955" s="90"/>
      <c r="D955" s="91"/>
      <c r="E955" s="90"/>
      <c r="F955" s="90"/>
      <c r="G955" s="90"/>
      <c r="H955" s="90"/>
      <c r="I955" s="90"/>
      <c r="J955" s="78"/>
    </row>
    <row r="956" spans="1:10" x14ac:dyDescent="0.15">
      <c r="A956" s="89"/>
      <c r="B956" s="90"/>
      <c r="C956" s="90"/>
      <c r="D956" s="91"/>
      <c r="E956" s="90"/>
      <c r="F956" s="90"/>
      <c r="G956" s="90"/>
      <c r="H956" s="90"/>
      <c r="I956" s="90"/>
      <c r="J956" s="78"/>
    </row>
    <row r="957" spans="1:10" x14ac:dyDescent="0.15">
      <c r="A957" s="89"/>
      <c r="B957" s="90"/>
      <c r="C957" s="90"/>
      <c r="D957" s="91"/>
      <c r="E957" s="90"/>
      <c r="F957" s="90"/>
      <c r="G957" s="90"/>
      <c r="H957" s="90"/>
      <c r="I957" s="90"/>
      <c r="J957" s="78"/>
    </row>
    <row r="958" spans="1:10" x14ac:dyDescent="0.15">
      <c r="A958" s="89"/>
      <c r="B958" s="90"/>
      <c r="C958" s="90"/>
      <c r="D958" s="91"/>
      <c r="E958" s="90"/>
      <c r="F958" s="90"/>
      <c r="G958" s="90"/>
      <c r="H958" s="90"/>
      <c r="I958" s="90"/>
      <c r="J958" s="78"/>
    </row>
    <row r="959" spans="1:10" x14ac:dyDescent="0.15">
      <c r="A959" s="89"/>
      <c r="B959" s="90"/>
      <c r="C959" s="90"/>
      <c r="D959" s="91"/>
      <c r="E959" s="90"/>
      <c r="F959" s="90"/>
      <c r="G959" s="90"/>
      <c r="H959" s="90"/>
      <c r="I959" s="90"/>
      <c r="J959" s="78"/>
    </row>
    <row r="960" spans="1:10" x14ac:dyDescent="0.15">
      <c r="A960" s="89"/>
      <c r="B960" s="90"/>
      <c r="C960" s="90"/>
      <c r="D960" s="91"/>
      <c r="E960" s="90"/>
      <c r="F960" s="90"/>
      <c r="G960" s="90"/>
      <c r="H960" s="90"/>
      <c r="I960" s="90"/>
      <c r="J960" s="78"/>
    </row>
    <row r="961" spans="1:10" x14ac:dyDescent="0.15">
      <c r="A961" s="89"/>
      <c r="B961" s="90"/>
      <c r="C961" s="90"/>
      <c r="D961" s="91"/>
      <c r="E961" s="90"/>
      <c r="F961" s="90"/>
      <c r="G961" s="90"/>
      <c r="H961" s="90"/>
      <c r="I961" s="90"/>
      <c r="J961" s="78"/>
    </row>
    <row r="962" spans="1:10" x14ac:dyDescent="0.15">
      <c r="A962" s="89"/>
      <c r="B962" s="90"/>
      <c r="C962" s="90"/>
      <c r="D962" s="91"/>
      <c r="E962" s="90"/>
      <c r="F962" s="90"/>
      <c r="G962" s="90"/>
      <c r="H962" s="90"/>
      <c r="I962" s="90"/>
      <c r="J962" s="78"/>
    </row>
    <row r="963" spans="1:10" x14ac:dyDescent="0.15">
      <c r="A963" s="89"/>
      <c r="B963" s="90"/>
      <c r="C963" s="90"/>
      <c r="D963" s="91"/>
      <c r="E963" s="90"/>
      <c r="F963" s="90"/>
      <c r="G963" s="90"/>
      <c r="H963" s="90"/>
      <c r="I963" s="90"/>
      <c r="J963" s="78"/>
    </row>
    <row r="964" spans="1:10" x14ac:dyDescent="0.15">
      <c r="A964" s="89"/>
      <c r="B964" s="90"/>
      <c r="C964" s="90"/>
      <c r="D964" s="91"/>
      <c r="E964" s="90"/>
      <c r="F964" s="90"/>
      <c r="G964" s="90"/>
      <c r="H964" s="90"/>
      <c r="I964" s="90"/>
      <c r="J964" s="78"/>
    </row>
    <row r="965" spans="1:10" x14ac:dyDescent="0.15">
      <c r="A965" s="89"/>
      <c r="B965" s="90"/>
      <c r="C965" s="90"/>
      <c r="D965" s="91"/>
      <c r="E965" s="90"/>
      <c r="F965" s="90"/>
      <c r="G965" s="90"/>
      <c r="H965" s="90"/>
      <c r="I965" s="90"/>
      <c r="J965" s="78"/>
    </row>
    <row r="966" spans="1:10" x14ac:dyDescent="0.15">
      <c r="A966" s="89"/>
      <c r="B966" s="90"/>
      <c r="C966" s="90"/>
      <c r="D966" s="91"/>
      <c r="E966" s="90"/>
      <c r="F966" s="90"/>
      <c r="G966" s="90"/>
      <c r="H966" s="90"/>
      <c r="I966" s="90"/>
      <c r="J966" s="78"/>
    </row>
    <row r="967" spans="1:10" x14ac:dyDescent="0.15">
      <c r="A967" s="89"/>
      <c r="B967" s="90"/>
      <c r="C967" s="90"/>
      <c r="D967" s="91"/>
      <c r="E967" s="90"/>
      <c r="F967" s="90"/>
      <c r="G967" s="90"/>
      <c r="H967" s="90"/>
      <c r="I967" s="90"/>
      <c r="J967" s="78"/>
    </row>
    <row r="968" spans="1:10" x14ac:dyDescent="0.15">
      <c r="A968" s="89"/>
      <c r="B968" s="90"/>
      <c r="C968" s="90"/>
      <c r="D968" s="91"/>
      <c r="E968" s="90"/>
      <c r="F968" s="90"/>
      <c r="G968" s="90"/>
      <c r="H968" s="90"/>
      <c r="I968" s="90"/>
      <c r="J968" s="78"/>
    </row>
    <row r="969" spans="1:10" x14ac:dyDescent="0.15">
      <c r="A969" s="89"/>
      <c r="B969" s="90"/>
      <c r="C969" s="90"/>
      <c r="D969" s="91"/>
      <c r="E969" s="90"/>
      <c r="F969" s="90"/>
      <c r="G969" s="90"/>
      <c r="H969" s="90"/>
      <c r="I969" s="90"/>
      <c r="J969" s="78"/>
    </row>
    <row r="970" spans="1:10" x14ac:dyDescent="0.15">
      <c r="A970" s="89"/>
      <c r="B970" s="90"/>
      <c r="C970" s="90"/>
      <c r="D970" s="91"/>
      <c r="E970" s="90"/>
      <c r="F970" s="90"/>
      <c r="G970" s="90"/>
      <c r="H970" s="90"/>
      <c r="I970" s="90"/>
      <c r="J970" s="78"/>
    </row>
    <row r="971" spans="1:10" x14ac:dyDescent="0.15">
      <c r="A971" s="89"/>
      <c r="B971" s="90"/>
      <c r="C971" s="90"/>
      <c r="D971" s="91"/>
      <c r="E971" s="90"/>
      <c r="F971" s="90"/>
      <c r="G971" s="90"/>
      <c r="H971" s="90"/>
      <c r="I971" s="90"/>
      <c r="J971" s="78"/>
    </row>
    <row r="972" spans="1:10" x14ac:dyDescent="0.15">
      <c r="A972" s="89"/>
      <c r="B972" s="90"/>
      <c r="C972" s="90"/>
      <c r="D972" s="91"/>
      <c r="E972" s="90"/>
      <c r="F972" s="90"/>
      <c r="G972" s="90"/>
      <c r="H972" s="90"/>
      <c r="I972" s="90"/>
      <c r="J972" s="78"/>
    </row>
    <row r="973" spans="1:10" x14ac:dyDescent="0.15">
      <c r="A973" s="89"/>
      <c r="B973" s="90"/>
      <c r="C973" s="90"/>
      <c r="D973" s="91"/>
      <c r="E973" s="90"/>
      <c r="F973" s="90"/>
      <c r="G973" s="90"/>
      <c r="H973" s="90"/>
      <c r="I973" s="90"/>
      <c r="J973" s="78"/>
    </row>
    <row r="974" spans="1:10" x14ac:dyDescent="0.15">
      <c r="A974" s="89"/>
      <c r="B974" s="90"/>
      <c r="C974" s="90"/>
      <c r="D974" s="91"/>
      <c r="E974" s="90"/>
      <c r="F974" s="90"/>
      <c r="G974" s="90"/>
      <c r="H974" s="90"/>
      <c r="I974" s="90"/>
      <c r="J974" s="78"/>
    </row>
    <row r="975" spans="1:10" x14ac:dyDescent="0.15">
      <c r="A975" s="89"/>
      <c r="B975" s="90"/>
      <c r="C975" s="90"/>
      <c r="D975" s="91"/>
      <c r="E975" s="90"/>
      <c r="F975" s="90"/>
      <c r="G975" s="90"/>
      <c r="H975" s="90"/>
      <c r="I975" s="90"/>
      <c r="J975" s="78"/>
    </row>
    <row r="976" spans="1:10" x14ac:dyDescent="0.15">
      <c r="A976" s="89"/>
      <c r="B976" s="90"/>
      <c r="C976" s="90"/>
      <c r="D976" s="91"/>
      <c r="E976" s="90"/>
      <c r="F976" s="90"/>
      <c r="G976" s="90"/>
      <c r="H976" s="90"/>
      <c r="I976" s="90"/>
      <c r="J976" s="78"/>
    </row>
    <row r="977" spans="1:10" x14ac:dyDescent="0.15">
      <c r="A977" s="89"/>
      <c r="B977" s="90"/>
      <c r="C977" s="90"/>
      <c r="D977" s="91"/>
      <c r="E977" s="90"/>
      <c r="F977" s="90"/>
      <c r="G977" s="90"/>
      <c r="H977" s="90"/>
      <c r="I977" s="90"/>
      <c r="J977" s="78"/>
    </row>
    <row r="978" spans="1:10" x14ac:dyDescent="0.15">
      <c r="A978" s="89"/>
      <c r="B978" s="90"/>
      <c r="C978" s="90"/>
      <c r="D978" s="91"/>
      <c r="E978" s="90"/>
      <c r="F978" s="90"/>
      <c r="G978" s="90"/>
      <c r="H978" s="90"/>
      <c r="I978" s="90"/>
      <c r="J978" s="78"/>
    </row>
    <row r="979" spans="1:10" x14ac:dyDescent="0.15">
      <c r="A979" s="89"/>
      <c r="B979" s="90"/>
      <c r="C979" s="90"/>
      <c r="D979" s="91"/>
      <c r="E979" s="90"/>
      <c r="F979" s="90"/>
      <c r="G979" s="90"/>
      <c r="H979" s="90"/>
      <c r="I979" s="90"/>
      <c r="J979" s="78"/>
    </row>
    <row r="980" spans="1:10" x14ac:dyDescent="0.15">
      <c r="A980" s="89"/>
      <c r="B980" s="90"/>
      <c r="C980" s="90"/>
      <c r="D980" s="91"/>
      <c r="E980" s="90"/>
      <c r="F980" s="90"/>
      <c r="G980" s="90"/>
      <c r="H980" s="90"/>
      <c r="I980" s="90"/>
      <c r="J980" s="78"/>
    </row>
    <row r="981" spans="1:10" x14ac:dyDescent="0.15">
      <c r="A981" s="89"/>
      <c r="B981" s="90"/>
      <c r="C981" s="90"/>
      <c r="D981" s="91"/>
      <c r="E981" s="90"/>
      <c r="F981" s="90"/>
      <c r="G981" s="90"/>
      <c r="H981" s="90"/>
      <c r="I981" s="90"/>
      <c r="J981" s="78"/>
    </row>
    <row r="982" spans="1:10" x14ac:dyDescent="0.15">
      <c r="A982" s="89"/>
      <c r="B982" s="90"/>
      <c r="C982" s="90"/>
      <c r="D982" s="91"/>
      <c r="E982" s="90"/>
      <c r="F982" s="90"/>
      <c r="G982" s="90"/>
      <c r="H982" s="90"/>
      <c r="I982" s="90"/>
      <c r="J982" s="78"/>
    </row>
    <row r="983" spans="1:10" x14ac:dyDescent="0.15">
      <c r="A983" s="89"/>
      <c r="B983" s="90"/>
      <c r="C983" s="90"/>
      <c r="D983" s="91"/>
      <c r="E983" s="90"/>
      <c r="F983" s="90"/>
      <c r="G983" s="90"/>
      <c r="H983" s="90"/>
      <c r="I983" s="90"/>
      <c r="J983" s="78"/>
    </row>
    <row r="984" spans="1:10" x14ac:dyDescent="0.15">
      <c r="A984" s="89"/>
      <c r="B984" s="90"/>
      <c r="C984" s="90"/>
      <c r="D984" s="91"/>
      <c r="E984" s="90"/>
      <c r="F984" s="90"/>
      <c r="G984" s="90"/>
      <c r="H984" s="90"/>
      <c r="I984" s="90"/>
      <c r="J984" s="78"/>
    </row>
    <row r="985" spans="1:10" x14ac:dyDescent="0.15">
      <c r="A985" s="89"/>
      <c r="B985" s="90"/>
      <c r="C985" s="90"/>
      <c r="D985" s="91"/>
      <c r="E985" s="90"/>
      <c r="F985" s="90"/>
      <c r="G985" s="90"/>
      <c r="H985" s="90"/>
      <c r="I985" s="90"/>
      <c r="J985" s="78"/>
    </row>
    <row r="986" spans="1:10" x14ac:dyDescent="0.15">
      <c r="A986" s="89"/>
      <c r="B986" s="90"/>
      <c r="C986" s="90"/>
      <c r="D986" s="91"/>
      <c r="E986" s="90"/>
      <c r="F986" s="90"/>
      <c r="G986" s="90"/>
      <c r="H986" s="90"/>
      <c r="I986" s="90"/>
      <c r="J986" s="78"/>
    </row>
    <row r="987" spans="1:10" x14ac:dyDescent="0.15">
      <c r="A987" s="89"/>
      <c r="B987" s="90"/>
      <c r="C987" s="90"/>
      <c r="D987" s="91"/>
      <c r="E987" s="90"/>
      <c r="F987" s="90"/>
      <c r="G987" s="90"/>
      <c r="H987" s="90"/>
      <c r="I987" s="90"/>
      <c r="J987" s="78"/>
    </row>
    <row r="988" spans="1:10" x14ac:dyDescent="0.15">
      <c r="A988" s="89"/>
      <c r="B988" s="90"/>
      <c r="C988" s="90"/>
      <c r="D988" s="91"/>
      <c r="E988" s="90"/>
      <c r="F988" s="90"/>
      <c r="G988" s="90"/>
      <c r="H988" s="90"/>
      <c r="I988" s="90"/>
      <c r="J988" s="78"/>
    </row>
    <row r="989" spans="1:10" x14ac:dyDescent="0.15">
      <c r="A989" s="89"/>
      <c r="B989" s="90"/>
      <c r="C989" s="90"/>
      <c r="D989" s="91"/>
      <c r="E989" s="90"/>
      <c r="F989" s="90"/>
      <c r="G989" s="90"/>
      <c r="H989" s="90"/>
      <c r="I989" s="90"/>
      <c r="J989" s="78"/>
    </row>
    <row r="990" spans="1:10" x14ac:dyDescent="0.15">
      <c r="A990" s="89"/>
      <c r="B990" s="90"/>
      <c r="C990" s="90"/>
      <c r="D990" s="91"/>
      <c r="E990" s="90"/>
      <c r="F990" s="90"/>
      <c r="G990" s="90"/>
      <c r="H990" s="90"/>
      <c r="I990" s="90"/>
      <c r="J990" s="78"/>
    </row>
    <row r="991" spans="1:10" x14ac:dyDescent="0.15">
      <c r="A991" s="89"/>
      <c r="B991" s="90"/>
      <c r="C991" s="90"/>
      <c r="D991" s="91"/>
      <c r="E991" s="90"/>
      <c r="F991" s="90"/>
      <c r="G991" s="90"/>
      <c r="H991" s="90"/>
      <c r="I991" s="90"/>
      <c r="J991" s="78"/>
    </row>
    <row r="992" spans="1:10" x14ac:dyDescent="0.15">
      <c r="A992" s="89"/>
      <c r="B992" s="90"/>
      <c r="C992" s="90"/>
      <c r="D992" s="91"/>
      <c r="E992" s="90"/>
      <c r="F992" s="90"/>
      <c r="G992" s="90"/>
      <c r="H992" s="90"/>
      <c r="I992" s="90"/>
      <c r="J992" s="78"/>
    </row>
    <row r="993" spans="1:10" x14ac:dyDescent="0.15">
      <c r="A993" s="89"/>
      <c r="B993" s="90"/>
      <c r="C993" s="90"/>
      <c r="D993" s="91"/>
      <c r="E993" s="90"/>
      <c r="F993" s="90"/>
      <c r="G993" s="90"/>
      <c r="H993" s="90"/>
      <c r="I993" s="90"/>
      <c r="J993" s="78"/>
    </row>
    <row r="994" spans="1:10" x14ac:dyDescent="0.15">
      <c r="A994" s="89"/>
      <c r="B994" s="90"/>
      <c r="C994" s="90"/>
      <c r="D994" s="91"/>
      <c r="E994" s="90"/>
      <c r="F994" s="90"/>
      <c r="G994" s="90"/>
      <c r="H994" s="90"/>
      <c r="I994" s="90"/>
      <c r="J994" s="78"/>
    </row>
    <row r="995" spans="1:10" x14ac:dyDescent="0.15">
      <c r="A995" s="89"/>
      <c r="B995" s="90"/>
      <c r="C995" s="90"/>
      <c r="D995" s="91"/>
      <c r="E995" s="90"/>
      <c r="F995" s="90"/>
      <c r="G995" s="90"/>
      <c r="H995" s="90"/>
      <c r="I995" s="90"/>
      <c r="J995" s="78"/>
    </row>
    <row r="996" spans="1:10" x14ac:dyDescent="0.15">
      <c r="A996" s="89"/>
      <c r="B996" s="90"/>
      <c r="C996" s="90"/>
      <c r="D996" s="91"/>
      <c r="E996" s="90"/>
      <c r="F996" s="90"/>
      <c r="G996" s="90"/>
      <c r="H996" s="90"/>
      <c r="I996" s="90"/>
      <c r="J996" s="78"/>
    </row>
    <row r="997" spans="1:10" x14ac:dyDescent="0.15">
      <c r="A997" s="89"/>
      <c r="B997" s="90"/>
      <c r="C997" s="90"/>
      <c r="D997" s="91"/>
      <c r="E997" s="90"/>
      <c r="F997" s="90"/>
      <c r="G997" s="90"/>
      <c r="H997" s="90"/>
      <c r="I997" s="90"/>
      <c r="J997" s="78"/>
    </row>
    <row r="998" spans="1:10" x14ac:dyDescent="0.15">
      <c r="A998" s="89"/>
      <c r="B998" s="90"/>
      <c r="C998" s="90"/>
      <c r="D998" s="91"/>
      <c r="E998" s="90"/>
      <c r="F998" s="90"/>
      <c r="G998" s="90"/>
      <c r="H998" s="90"/>
      <c r="I998" s="90"/>
      <c r="J998" s="78"/>
    </row>
    <row r="999" spans="1:10" x14ac:dyDescent="0.15">
      <c r="A999" s="89"/>
      <c r="B999" s="90"/>
      <c r="C999" s="90"/>
      <c r="D999" s="91"/>
      <c r="E999" s="90"/>
      <c r="F999" s="90"/>
      <c r="G999" s="90"/>
      <c r="H999" s="90"/>
      <c r="I999" s="90"/>
      <c r="J999" s="78"/>
    </row>
    <row r="1000" spans="1:10" x14ac:dyDescent="0.15">
      <c r="A1000" s="89"/>
      <c r="B1000" s="90"/>
      <c r="C1000" s="90"/>
      <c r="D1000" s="91"/>
      <c r="E1000" s="90"/>
      <c r="F1000" s="90"/>
      <c r="G1000" s="90"/>
      <c r="H1000" s="90"/>
      <c r="I1000" s="90"/>
      <c r="J1000" s="78"/>
    </row>
    <row r="1001" spans="1:10" x14ac:dyDescent="0.15">
      <c r="A1001" s="89"/>
      <c r="B1001" s="90"/>
      <c r="C1001" s="90"/>
      <c r="D1001" s="91"/>
      <c r="E1001" s="90"/>
      <c r="F1001" s="90"/>
      <c r="G1001" s="90"/>
      <c r="H1001" s="90"/>
      <c r="I1001" s="90"/>
      <c r="J1001" s="78"/>
    </row>
    <row r="1002" spans="1:10" x14ac:dyDescent="0.15">
      <c r="A1002" s="89"/>
      <c r="B1002" s="90"/>
      <c r="C1002" s="90"/>
      <c r="D1002" s="91"/>
      <c r="E1002" s="90"/>
      <c r="F1002" s="90"/>
      <c r="G1002" s="90"/>
      <c r="H1002" s="90"/>
      <c r="I1002" s="90"/>
      <c r="J1002" s="78"/>
    </row>
    <row r="1003" spans="1:10" x14ac:dyDescent="0.15">
      <c r="A1003" s="89"/>
      <c r="B1003" s="90"/>
      <c r="C1003" s="90"/>
      <c r="D1003" s="91"/>
      <c r="E1003" s="90"/>
      <c r="F1003" s="90"/>
      <c r="G1003" s="90"/>
      <c r="H1003" s="90"/>
      <c r="I1003" s="90"/>
      <c r="J1003" s="78"/>
    </row>
    <row r="1004" spans="1:10" x14ac:dyDescent="0.15">
      <c r="A1004" s="89"/>
      <c r="B1004" s="90"/>
      <c r="C1004" s="90"/>
      <c r="D1004" s="91"/>
      <c r="E1004" s="90"/>
      <c r="F1004" s="90"/>
      <c r="G1004" s="90"/>
      <c r="H1004" s="90"/>
      <c r="I1004" s="90"/>
      <c r="J1004" s="78"/>
    </row>
    <row r="1005" spans="1:10" x14ac:dyDescent="0.15">
      <c r="A1005" s="89"/>
      <c r="B1005" s="90"/>
      <c r="C1005" s="90"/>
      <c r="D1005" s="91"/>
      <c r="E1005" s="90"/>
      <c r="F1005" s="90"/>
      <c r="G1005" s="90"/>
      <c r="H1005" s="90"/>
      <c r="I1005" s="90"/>
      <c r="J1005" s="78"/>
    </row>
    <row r="1006" spans="1:10" x14ac:dyDescent="0.15">
      <c r="A1006" s="89"/>
      <c r="B1006" s="90"/>
      <c r="C1006" s="90"/>
      <c r="D1006" s="91"/>
      <c r="E1006" s="90"/>
      <c r="F1006" s="90"/>
      <c r="G1006" s="90"/>
      <c r="H1006" s="90"/>
      <c r="I1006" s="90"/>
      <c r="J1006" s="78"/>
    </row>
    <row r="1007" spans="1:10" x14ac:dyDescent="0.15">
      <c r="A1007" s="89"/>
      <c r="B1007" s="90"/>
      <c r="C1007" s="90"/>
      <c r="D1007" s="91"/>
      <c r="E1007" s="90"/>
      <c r="F1007" s="90"/>
      <c r="G1007" s="90"/>
      <c r="H1007" s="90"/>
      <c r="I1007" s="90"/>
      <c r="J1007" s="78"/>
    </row>
    <row r="1008" spans="1:10" x14ac:dyDescent="0.15">
      <c r="A1008" s="89"/>
      <c r="B1008" s="90"/>
      <c r="C1008" s="90"/>
      <c r="D1008" s="91"/>
      <c r="E1008" s="90"/>
      <c r="F1008" s="90"/>
      <c r="G1008" s="90"/>
      <c r="H1008" s="90"/>
      <c r="I1008" s="90"/>
      <c r="J1008" s="78"/>
    </row>
    <row r="1009" spans="1:10" x14ac:dyDescent="0.15">
      <c r="A1009" s="89"/>
      <c r="B1009" s="90"/>
      <c r="C1009" s="90"/>
      <c r="D1009" s="91"/>
      <c r="E1009" s="90"/>
      <c r="F1009" s="90"/>
      <c r="G1009" s="90"/>
      <c r="H1009" s="90"/>
      <c r="I1009" s="90"/>
      <c r="J1009" s="78"/>
    </row>
    <row r="1010" spans="1:10" x14ac:dyDescent="0.15">
      <c r="A1010" s="89"/>
      <c r="B1010" s="90"/>
      <c r="C1010" s="90"/>
      <c r="D1010" s="91"/>
      <c r="E1010" s="90"/>
      <c r="F1010" s="90"/>
      <c r="G1010" s="90"/>
      <c r="H1010" s="90"/>
      <c r="I1010" s="90"/>
      <c r="J1010" s="78"/>
    </row>
    <row r="1011" spans="1:10" x14ac:dyDescent="0.15">
      <c r="A1011" s="89"/>
      <c r="B1011" s="90"/>
      <c r="C1011" s="90"/>
      <c r="D1011" s="91"/>
      <c r="E1011" s="90"/>
      <c r="F1011" s="90"/>
      <c r="G1011" s="90"/>
      <c r="H1011" s="90"/>
      <c r="I1011" s="90"/>
      <c r="J1011" s="78"/>
    </row>
    <row r="1012" spans="1:10" x14ac:dyDescent="0.15">
      <c r="A1012" s="89"/>
      <c r="B1012" s="90"/>
      <c r="C1012" s="90"/>
      <c r="D1012" s="91"/>
      <c r="E1012" s="90"/>
      <c r="F1012" s="90"/>
      <c r="G1012" s="90"/>
      <c r="H1012" s="90"/>
      <c r="I1012" s="90"/>
      <c r="J1012" s="78"/>
    </row>
    <row r="1013" spans="1:10" x14ac:dyDescent="0.15">
      <c r="A1013" s="89"/>
      <c r="B1013" s="90"/>
      <c r="C1013" s="90"/>
      <c r="D1013" s="91"/>
      <c r="E1013" s="90"/>
      <c r="F1013" s="90"/>
      <c r="G1013" s="90"/>
      <c r="H1013" s="90"/>
      <c r="I1013" s="90"/>
      <c r="J1013" s="78"/>
    </row>
    <row r="1014" spans="1:10" x14ac:dyDescent="0.15">
      <c r="A1014" s="89"/>
      <c r="B1014" s="90"/>
      <c r="C1014" s="90"/>
      <c r="D1014" s="91"/>
      <c r="E1014" s="90"/>
      <c r="F1014" s="90"/>
      <c r="G1014" s="90"/>
      <c r="H1014" s="90"/>
      <c r="I1014" s="90"/>
      <c r="J1014" s="78"/>
    </row>
    <row r="1015" spans="1:10" x14ac:dyDescent="0.15">
      <c r="A1015" s="89"/>
      <c r="B1015" s="90"/>
      <c r="C1015" s="90"/>
      <c r="D1015" s="91"/>
      <c r="E1015" s="90"/>
      <c r="F1015" s="90"/>
      <c r="G1015" s="90"/>
      <c r="H1015" s="90"/>
      <c r="I1015" s="90"/>
      <c r="J1015" s="78"/>
    </row>
    <row r="1016" spans="1:10" x14ac:dyDescent="0.15">
      <c r="A1016" s="89"/>
      <c r="B1016" s="90"/>
      <c r="C1016" s="90"/>
      <c r="D1016" s="91"/>
      <c r="E1016" s="90"/>
      <c r="F1016" s="90"/>
      <c r="G1016" s="90"/>
      <c r="H1016" s="90"/>
      <c r="I1016" s="90"/>
      <c r="J1016" s="78"/>
    </row>
    <row r="1017" spans="1:10" x14ac:dyDescent="0.15">
      <c r="A1017" s="89"/>
      <c r="B1017" s="90"/>
      <c r="C1017" s="90"/>
      <c r="D1017" s="91"/>
      <c r="E1017" s="90"/>
      <c r="F1017" s="90"/>
      <c r="G1017" s="90"/>
      <c r="H1017" s="90"/>
      <c r="I1017" s="90"/>
      <c r="J1017" s="78"/>
    </row>
    <row r="1018" spans="1:10" x14ac:dyDescent="0.15">
      <c r="A1018" s="89"/>
      <c r="B1018" s="90"/>
      <c r="C1018" s="90"/>
      <c r="D1018" s="91"/>
      <c r="E1018" s="90"/>
      <c r="F1018" s="90"/>
      <c r="G1018" s="90"/>
      <c r="H1018" s="90"/>
      <c r="I1018" s="90"/>
      <c r="J1018" s="78"/>
    </row>
    <row r="1019" spans="1:10" x14ac:dyDescent="0.15">
      <c r="A1019" s="89"/>
      <c r="B1019" s="90"/>
      <c r="C1019" s="90"/>
      <c r="D1019" s="91"/>
      <c r="E1019" s="90"/>
      <c r="F1019" s="90"/>
      <c r="G1019" s="90"/>
      <c r="H1019" s="90"/>
      <c r="I1019" s="90"/>
      <c r="J1019" s="78"/>
    </row>
    <row r="1020" spans="1:10" x14ac:dyDescent="0.15">
      <c r="A1020" s="89"/>
      <c r="B1020" s="90"/>
      <c r="C1020" s="90"/>
      <c r="D1020" s="91"/>
      <c r="E1020" s="90"/>
      <c r="F1020" s="90"/>
      <c r="G1020" s="90"/>
      <c r="H1020" s="90"/>
      <c r="I1020" s="90"/>
      <c r="J1020" s="78"/>
    </row>
    <row r="1021" spans="1:10" x14ac:dyDescent="0.15">
      <c r="A1021" s="89"/>
      <c r="B1021" s="90"/>
      <c r="C1021" s="90"/>
      <c r="D1021" s="91"/>
      <c r="E1021" s="90"/>
      <c r="F1021" s="90"/>
      <c r="G1021" s="90"/>
      <c r="H1021" s="90"/>
      <c r="I1021" s="90"/>
      <c r="J1021" s="78"/>
    </row>
    <row r="1022" spans="1:10" x14ac:dyDescent="0.15">
      <c r="A1022" s="89"/>
      <c r="B1022" s="90"/>
      <c r="C1022" s="90"/>
      <c r="D1022" s="91"/>
      <c r="E1022" s="90"/>
      <c r="F1022" s="90"/>
      <c r="G1022" s="90"/>
      <c r="H1022" s="90"/>
      <c r="I1022" s="90"/>
      <c r="J1022" s="78"/>
    </row>
    <row r="1023" spans="1:10" x14ac:dyDescent="0.15">
      <c r="A1023" s="89"/>
      <c r="B1023" s="90"/>
      <c r="C1023" s="90"/>
      <c r="D1023" s="91"/>
      <c r="E1023" s="90"/>
      <c r="F1023" s="90"/>
      <c r="G1023" s="90"/>
      <c r="H1023" s="90"/>
      <c r="I1023" s="90"/>
      <c r="J1023" s="78"/>
    </row>
    <row r="1024" spans="1:10" x14ac:dyDescent="0.15">
      <c r="A1024" s="89"/>
      <c r="B1024" s="90"/>
      <c r="C1024" s="90"/>
      <c r="D1024" s="91"/>
      <c r="E1024" s="90"/>
      <c r="F1024" s="90"/>
      <c r="G1024" s="90"/>
      <c r="H1024" s="90"/>
      <c r="I1024" s="90"/>
      <c r="J1024" s="78"/>
    </row>
    <row r="1025" spans="1:10" x14ac:dyDescent="0.15">
      <c r="A1025" s="89"/>
      <c r="B1025" s="90"/>
      <c r="C1025" s="90"/>
      <c r="D1025" s="91"/>
      <c r="E1025" s="90"/>
      <c r="F1025" s="90"/>
      <c r="G1025" s="90"/>
      <c r="H1025" s="90"/>
      <c r="I1025" s="90"/>
      <c r="J1025" s="78"/>
    </row>
    <row r="1026" spans="1:10" x14ac:dyDescent="0.15">
      <c r="A1026" s="89"/>
      <c r="B1026" s="90"/>
      <c r="C1026" s="90"/>
      <c r="D1026" s="91"/>
      <c r="E1026" s="90"/>
      <c r="F1026" s="90"/>
      <c r="G1026" s="90"/>
      <c r="H1026" s="90"/>
      <c r="I1026" s="90"/>
      <c r="J1026" s="78"/>
    </row>
    <row r="1027" spans="1:10" x14ac:dyDescent="0.15">
      <c r="A1027" s="89"/>
      <c r="B1027" s="90"/>
      <c r="C1027" s="90"/>
      <c r="D1027" s="91"/>
      <c r="E1027" s="90"/>
      <c r="F1027" s="90"/>
      <c r="G1027" s="90"/>
      <c r="H1027" s="90"/>
      <c r="I1027" s="90"/>
      <c r="J1027" s="78"/>
    </row>
    <row r="1028" spans="1:10" x14ac:dyDescent="0.15">
      <c r="A1028" s="89"/>
      <c r="B1028" s="90"/>
      <c r="C1028" s="90"/>
      <c r="D1028" s="91"/>
      <c r="E1028" s="90"/>
      <c r="F1028" s="90"/>
      <c r="G1028" s="90"/>
      <c r="H1028" s="90"/>
      <c r="I1028" s="90"/>
      <c r="J1028" s="78"/>
    </row>
    <row r="1029" spans="1:10" x14ac:dyDescent="0.15">
      <c r="A1029" s="89"/>
      <c r="B1029" s="90"/>
      <c r="C1029" s="90"/>
      <c r="D1029" s="91"/>
      <c r="E1029" s="90"/>
      <c r="F1029" s="90"/>
      <c r="G1029" s="90"/>
      <c r="H1029" s="90"/>
      <c r="I1029" s="90"/>
      <c r="J1029" s="78"/>
    </row>
    <row r="1030" spans="1:10" x14ac:dyDescent="0.15">
      <c r="A1030" s="89"/>
      <c r="B1030" s="90"/>
      <c r="C1030" s="90"/>
      <c r="D1030" s="91"/>
      <c r="E1030" s="90"/>
      <c r="F1030" s="90"/>
      <c r="G1030" s="90"/>
      <c r="H1030" s="90"/>
      <c r="I1030" s="90"/>
      <c r="J1030" s="78"/>
    </row>
    <row r="1031" spans="1:10" x14ac:dyDescent="0.15">
      <c r="A1031" s="89"/>
      <c r="B1031" s="90"/>
      <c r="C1031" s="90"/>
      <c r="D1031" s="91"/>
      <c r="E1031" s="90"/>
      <c r="F1031" s="90"/>
      <c r="G1031" s="90"/>
      <c r="H1031" s="90"/>
      <c r="I1031" s="90"/>
      <c r="J1031" s="78"/>
    </row>
    <row r="1032" spans="1:10" x14ac:dyDescent="0.15">
      <c r="A1032" s="89"/>
      <c r="B1032" s="90"/>
      <c r="C1032" s="90"/>
      <c r="D1032" s="91"/>
      <c r="E1032" s="90"/>
      <c r="F1032" s="90"/>
      <c r="G1032" s="90"/>
      <c r="H1032" s="90"/>
      <c r="I1032" s="90"/>
      <c r="J1032" s="78"/>
    </row>
    <row r="1033" spans="1:10" x14ac:dyDescent="0.15">
      <c r="A1033" s="89"/>
      <c r="B1033" s="90"/>
      <c r="C1033" s="90"/>
      <c r="D1033" s="91"/>
      <c r="E1033" s="90"/>
      <c r="F1033" s="90"/>
      <c r="G1033" s="90"/>
      <c r="H1033" s="90"/>
      <c r="I1033" s="90"/>
      <c r="J1033" s="78"/>
    </row>
    <row r="1034" spans="1:10" x14ac:dyDescent="0.15">
      <c r="A1034" s="89"/>
      <c r="B1034" s="90"/>
      <c r="C1034" s="90"/>
      <c r="D1034" s="91"/>
      <c r="E1034" s="90"/>
      <c r="F1034" s="90"/>
      <c r="G1034" s="90"/>
      <c r="H1034" s="90"/>
      <c r="I1034" s="90"/>
      <c r="J1034" s="78"/>
    </row>
    <row r="1035" spans="1:10" x14ac:dyDescent="0.15">
      <c r="A1035" s="89"/>
      <c r="B1035" s="90"/>
      <c r="C1035" s="90"/>
      <c r="D1035" s="91"/>
      <c r="E1035" s="90"/>
      <c r="F1035" s="90"/>
      <c r="G1035" s="90"/>
      <c r="H1035" s="90"/>
      <c r="I1035" s="90"/>
      <c r="J1035" s="78"/>
    </row>
    <row r="1036" spans="1:10" x14ac:dyDescent="0.15">
      <c r="A1036" s="89"/>
      <c r="B1036" s="90"/>
      <c r="C1036" s="90"/>
      <c r="D1036" s="91"/>
      <c r="E1036" s="90"/>
      <c r="F1036" s="90"/>
      <c r="G1036" s="90"/>
      <c r="H1036" s="90"/>
      <c r="I1036" s="90"/>
      <c r="J1036" s="78"/>
    </row>
    <row r="1037" spans="1:10" x14ac:dyDescent="0.15">
      <c r="A1037" s="89"/>
      <c r="B1037" s="90"/>
      <c r="C1037" s="90"/>
      <c r="D1037" s="91"/>
      <c r="E1037" s="90"/>
      <c r="F1037" s="90"/>
      <c r="G1037" s="90"/>
      <c r="H1037" s="90"/>
      <c r="I1037" s="90"/>
      <c r="J1037" s="78"/>
    </row>
    <row r="1038" spans="1:10" x14ac:dyDescent="0.15">
      <c r="A1038" s="89"/>
      <c r="B1038" s="90"/>
      <c r="C1038" s="90"/>
      <c r="D1038" s="91"/>
      <c r="E1038" s="90"/>
      <c r="F1038" s="90"/>
      <c r="G1038" s="90"/>
      <c r="H1038" s="90"/>
      <c r="I1038" s="90"/>
      <c r="J1038" s="78"/>
    </row>
    <row r="1039" spans="1:10" x14ac:dyDescent="0.15">
      <c r="A1039" s="89"/>
      <c r="B1039" s="90"/>
      <c r="C1039" s="90"/>
      <c r="D1039" s="91"/>
      <c r="E1039" s="90"/>
      <c r="F1039" s="90"/>
      <c r="G1039" s="90"/>
      <c r="H1039" s="90"/>
      <c r="I1039" s="90"/>
      <c r="J1039" s="78"/>
    </row>
    <row r="1040" spans="1:10" x14ac:dyDescent="0.15">
      <c r="A1040" s="89"/>
      <c r="B1040" s="90"/>
      <c r="C1040" s="90"/>
      <c r="D1040" s="91"/>
      <c r="E1040" s="90"/>
      <c r="F1040" s="90"/>
      <c r="G1040" s="90"/>
      <c r="H1040" s="90"/>
      <c r="I1040" s="90"/>
      <c r="J1040" s="78"/>
    </row>
    <row r="1041" spans="1:10" x14ac:dyDescent="0.15">
      <c r="A1041" s="89"/>
      <c r="B1041" s="90"/>
      <c r="C1041" s="90"/>
      <c r="D1041" s="91"/>
      <c r="E1041" s="90"/>
      <c r="F1041" s="90"/>
      <c r="G1041" s="90"/>
      <c r="H1041" s="90"/>
      <c r="I1041" s="90"/>
      <c r="J1041" s="78"/>
    </row>
    <row r="1042" spans="1:10" x14ac:dyDescent="0.15">
      <c r="A1042" s="89"/>
      <c r="B1042" s="90"/>
      <c r="C1042" s="90"/>
      <c r="D1042" s="91"/>
      <c r="E1042" s="90"/>
      <c r="F1042" s="90"/>
      <c r="G1042" s="90"/>
      <c r="H1042" s="90"/>
      <c r="I1042" s="90"/>
      <c r="J1042" s="78"/>
    </row>
    <row r="1043" spans="1:10" x14ac:dyDescent="0.15">
      <c r="A1043" s="89"/>
      <c r="B1043" s="90"/>
      <c r="C1043" s="90"/>
      <c r="D1043" s="91"/>
      <c r="E1043" s="90"/>
      <c r="F1043" s="90"/>
      <c r="G1043" s="90"/>
      <c r="H1043" s="90"/>
      <c r="I1043" s="90"/>
      <c r="J1043" s="78"/>
    </row>
    <row r="1044" spans="1:10" x14ac:dyDescent="0.15">
      <c r="A1044" s="89"/>
      <c r="B1044" s="90"/>
      <c r="C1044" s="90"/>
      <c r="D1044" s="91"/>
      <c r="E1044" s="90"/>
      <c r="F1044" s="90"/>
      <c r="G1044" s="90"/>
      <c r="H1044" s="90"/>
      <c r="I1044" s="90"/>
      <c r="J1044" s="78"/>
    </row>
    <row r="1045" spans="1:10" x14ac:dyDescent="0.15">
      <c r="A1045" s="89"/>
      <c r="B1045" s="90"/>
      <c r="C1045" s="90"/>
      <c r="D1045" s="91"/>
      <c r="E1045" s="90"/>
      <c r="F1045" s="90"/>
      <c r="G1045" s="90"/>
      <c r="H1045" s="90"/>
      <c r="I1045" s="90"/>
      <c r="J1045" s="78"/>
    </row>
    <row r="1046" spans="1:10" x14ac:dyDescent="0.15">
      <c r="A1046" s="89"/>
      <c r="B1046" s="90"/>
      <c r="C1046" s="90"/>
      <c r="D1046" s="91"/>
      <c r="E1046" s="90"/>
      <c r="F1046" s="90"/>
      <c r="G1046" s="90"/>
      <c r="H1046" s="90"/>
      <c r="I1046" s="90"/>
      <c r="J1046" s="78"/>
    </row>
    <row r="1047" spans="1:10" x14ac:dyDescent="0.15">
      <c r="A1047" s="89"/>
      <c r="B1047" s="90"/>
      <c r="C1047" s="90"/>
      <c r="D1047" s="91"/>
      <c r="E1047" s="90"/>
      <c r="F1047" s="90"/>
      <c r="G1047" s="90"/>
      <c r="H1047" s="90"/>
      <c r="I1047" s="90"/>
      <c r="J1047" s="78"/>
    </row>
    <row r="1048" spans="1:10" x14ac:dyDescent="0.15">
      <c r="A1048" s="89"/>
      <c r="B1048" s="90"/>
      <c r="C1048" s="90"/>
      <c r="D1048" s="91"/>
      <c r="E1048" s="90"/>
      <c r="F1048" s="90"/>
      <c r="G1048" s="90"/>
      <c r="H1048" s="90"/>
      <c r="I1048" s="90"/>
      <c r="J1048" s="78"/>
    </row>
    <row r="1049" spans="1:10" x14ac:dyDescent="0.15">
      <c r="A1049" s="89"/>
      <c r="B1049" s="90"/>
      <c r="C1049" s="90"/>
      <c r="D1049" s="91"/>
      <c r="E1049" s="90"/>
      <c r="F1049" s="90"/>
      <c r="G1049" s="90"/>
      <c r="H1049" s="90"/>
      <c r="I1049" s="90"/>
      <c r="J1049" s="78"/>
    </row>
    <row r="1050" spans="1:10" x14ac:dyDescent="0.15">
      <c r="A1050" s="89"/>
      <c r="B1050" s="90"/>
      <c r="C1050" s="90"/>
      <c r="D1050" s="91"/>
      <c r="E1050" s="90"/>
      <c r="F1050" s="90"/>
      <c r="G1050" s="90"/>
      <c r="H1050" s="90"/>
      <c r="I1050" s="90"/>
      <c r="J1050" s="78"/>
    </row>
    <row r="1051" spans="1:10" x14ac:dyDescent="0.15">
      <c r="A1051" s="89"/>
      <c r="B1051" s="90"/>
      <c r="C1051" s="90"/>
      <c r="D1051" s="91"/>
      <c r="E1051" s="90"/>
      <c r="F1051" s="90"/>
      <c r="G1051" s="90"/>
      <c r="H1051" s="90"/>
      <c r="I1051" s="90"/>
      <c r="J1051" s="78"/>
    </row>
    <row r="1052" spans="1:10" x14ac:dyDescent="0.15">
      <c r="A1052" s="89"/>
      <c r="B1052" s="90"/>
      <c r="C1052" s="90"/>
      <c r="D1052" s="91"/>
      <c r="E1052" s="90"/>
      <c r="F1052" s="90"/>
      <c r="G1052" s="90"/>
      <c r="H1052" s="90"/>
      <c r="I1052" s="90"/>
      <c r="J1052" s="78"/>
    </row>
    <row r="1053" spans="1:10" x14ac:dyDescent="0.15">
      <c r="A1053" s="89"/>
      <c r="B1053" s="90"/>
      <c r="C1053" s="90"/>
      <c r="D1053" s="91"/>
      <c r="E1053" s="90"/>
      <c r="F1053" s="90"/>
      <c r="G1053" s="90"/>
      <c r="H1053" s="90"/>
      <c r="I1053" s="90"/>
      <c r="J1053" s="78"/>
    </row>
    <row r="1054" spans="1:10" x14ac:dyDescent="0.15">
      <c r="A1054" s="89"/>
      <c r="B1054" s="90"/>
      <c r="C1054" s="90"/>
      <c r="D1054" s="91"/>
      <c r="E1054" s="90"/>
      <c r="F1054" s="90"/>
      <c r="G1054" s="90"/>
      <c r="H1054" s="90"/>
      <c r="I1054" s="90"/>
      <c r="J1054" s="78"/>
    </row>
    <row r="1055" spans="1:10" x14ac:dyDescent="0.15">
      <c r="A1055" s="89"/>
      <c r="B1055" s="90"/>
      <c r="C1055" s="90"/>
      <c r="D1055" s="91"/>
      <c r="E1055" s="90"/>
      <c r="F1055" s="90"/>
      <c r="G1055" s="90"/>
      <c r="H1055" s="90"/>
      <c r="I1055" s="90"/>
      <c r="J1055" s="78"/>
    </row>
    <row r="1056" spans="1:10" x14ac:dyDescent="0.15">
      <c r="A1056" s="89"/>
      <c r="B1056" s="90"/>
      <c r="C1056" s="90"/>
      <c r="D1056" s="91"/>
      <c r="E1056" s="90"/>
      <c r="F1056" s="90"/>
      <c r="G1056" s="90"/>
      <c r="H1056" s="90"/>
      <c r="I1056" s="90"/>
      <c r="J1056" s="78"/>
    </row>
    <row r="1057" spans="1:10" x14ac:dyDescent="0.15">
      <c r="A1057" s="89"/>
      <c r="B1057" s="90"/>
      <c r="C1057" s="90"/>
      <c r="D1057" s="91"/>
      <c r="E1057" s="90"/>
      <c r="F1057" s="90"/>
      <c r="G1057" s="90"/>
      <c r="H1057" s="90"/>
      <c r="I1057" s="90"/>
      <c r="J1057" s="78"/>
    </row>
    <row r="1058" spans="1:10" x14ac:dyDescent="0.15">
      <c r="A1058" s="89"/>
      <c r="B1058" s="90"/>
      <c r="C1058" s="90"/>
      <c r="D1058" s="91"/>
      <c r="E1058" s="90"/>
      <c r="F1058" s="90"/>
      <c r="G1058" s="90"/>
      <c r="H1058" s="90"/>
      <c r="I1058" s="90"/>
      <c r="J1058" s="78"/>
    </row>
    <row r="1059" spans="1:10" x14ac:dyDescent="0.15">
      <c r="A1059" s="89"/>
      <c r="B1059" s="90"/>
      <c r="C1059" s="90"/>
      <c r="D1059" s="91"/>
      <c r="E1059" s="90"/>
      <c r="F1059" s="90"/>
      <c r="G1059" s="90"/>
      <c r="H1059" s="90"/>
      <c r="I1059" s="90"/>
      <c r="J1059" s="78"/>
    </row>
    <row r="1060" spans="1:10" x14ac:dyDescent="0.15">
      <c r="A1060" s="89"/>
      <c r="B1060" s="90"/>
      <c r="C1060" s="90"/>
      <c r="D1060" s="91"/>
      <c r="E1060" s="90"/>
      <c r="F1060" s="90"/>
      <c r="G1060" s="90"/>
      <c r="H1060" s="90"/>
      <c r="I1060" s="90"/>
      <c r="J1060" s="78"/>
    </row>
    <row r="1061" spans="1:10" x14ac:dyDescent="0.15">
      <c r="A1061" s="89"/>
      <c r="B1061" s="90"/>
      <c r="C1061" s="90"/>
      <c r="D1061" s="91"/>
      <c r="E1061" s="90"/>
      <c r="F1061" s="90"/>
      <c r="G1061" s="90"/>
      <c r="H1061" s="90"/>
      <c r="I1061" s="90"/>
      <c r="J1061" s="78"/>
    </row>
    <row r="1062" spans="1:10" x14ac:dyDescent="0.15">
      <c r="A1062" s="89"/>
      <c r="B1062" s="90"/>
      <c r="C1062" s="90"/>
      <c r="D1062" s="91"/>
      <c r="E1062" s="90"/>
      <c r="F1062" s="90"/>
      <c r="G1062" s="90"/>
      <c r="H1062" s="90"/>
      <c r="I1062" s="90"/>
      <c r="J1062" s="78"/>
    </row>
    <row r="1063" spans="1:10" x14ac:dyDescent="0.15">
      <c r="A1063" s="89"/>
      <c r="B1063" s="90"/>
      <c r="C1063" s="90"/>
      <c r="D1063" s="91"/>
      <c r="E1063" s="90"/>
      <c r="F1063" s="90"/>
      <c r="G1063" s="90"/>
      <c r="H1063" s="90"/>
      <c r="I1063" s="90"/>
      <c r="J1063" s="78"/>
    </row>
    <row r="1064" spans="1:10" x14ac:dyDescent="0.15">
      <c r="A1064" s="89"/>
      <c r="B1064" s="90"/>
      <c r="C1064" s="90"/>
      <c r="D1064" s="91"/>
      <c r="E1064" s="90"/>
      <c r="F1064" s="90"/>
      <c r="G1064" s="90"/>
      <c r="H1064" s="90"/>
      <c r="I1064" s="90"/>
      <c r="J1064" s="78"/>
    </row>
    <row r="1065" spans="1:10" x14ac:dyDescent="0.15">
      <c r="A1065" s="89"/>
      <c r="B1065" s="90"/>
      <c r="C1065" s="90"/>
      <c r="D1065" s="91"/>
      <c r="E1065" s="90"/>
      <c r="F1065" s="90"/>
      <c r="G1065" s="90"/>
      <c r="H1065" s="90"/>
      <c r="I1065" s="90"/>
      <c r="J1065" s="78"/>
    </row>
    <row r="1066" spans="1:10" x14ac:dyDescent="0.15">
      <c r="A1066" s="89"/>
      <c r="B1066" s="90"/>
      <c r="C1066" s="90"/>
      <c r="D1066" s="91"/>
      <c r="E1066" s="90"/>
      <c r="F1066" s="90"/>
      <c r="G1066" s="90"/>
      <c r="H1066" s="90"/>
      <c r="I1066" s="90"/>
      <c r="J1066" s="78"/>
    </row>
    <row r="1067" spans="1:10" x14ac:dyDescent="0.15">
      <c r="A1067" s="89"/>
      <c r="B1067" s="90"/>
      <c r="C1067" s="90"/>
      <c r="D1067" s="91"/>
      <c r="E1067" s="90"/>
      <c r="F1067" s="90"/>
      <c r="G1067" s="90"/>
      <c r="H1067" s="90"/>
      <c r="I1067" s="90"/>
      <c r="J1067" s="78"/>
    </row>
    <row r="1068" spans="1:10" x14ac:dyDescent="0.15">
      <c r="A1068" s="89"/>
      <c r="B1068" s="90"/>
      <c r="C1068" s="90"/>
      <c r="D1068" s="91"/>
      <c r="E1068" s="90"/>
      <c r="F1068" s="90"/>
      <c r="G1068" s="90"/>
      <c r="H1068" s="90"/>
      <c r="I1068" s="90"/>
      <c r="J1068" s="78"/>
    </row>
    <row r="1069" spans="1:10" x14ac:dyDescent="0.15">
      <c r="A1069" s="89"/>
      <c r="B1069" s="90"/>
      <c r="C1069" s="90"/>
      <c r="D1069" s="91"/>
      <c r="E1069" s="90"/>
      <c r="F1069" s="90"/>
      <c r="G1069" s="90"/>
      <c r="H1069" s="90"/>
      <c r="I1069" s="90"/>
      <c r="J1069" s="78"/>
    </row>
    <row r="1070" spans="1:10" x14ac:dyDescent="0.15">
      <c r="A1070" s="89"/>
      <c r="B1070" s="90"/>
      <c r="C1070" s="90"/>
      <c r="D1070" s="91"/>
      <c r="E1070" s="90"/>
      <c r="F1070" s="90"/>
      <c r="G1070" s="90"/>
      <c r="H1070" s="90"/>
      <c r="I1070" s="90"/>
      <c r="J1070" s="78"/>
    </row>
    <row r="1071" spans="1:10" x14ac:dyDescent="0.15">
      <c r="A1071" s="89"/>
      <c r="B1071" s="90"/>
      <c r="C1071" s="90"/>
      <c r="D1071" s="91"/>
      <c r="E1071" s="90"/>
      <c r="F1071" s="90"/>
      <c r="G1071" s="90"/>
      <c r="H1071" s="90"/>
      <c r="I1071" s="90"/>
      <c r="J1071" s="78"/>
    </row>
    <row r="1072" spans="1:10" x14ac:dyDescent="0.15">
      <c r="A1072" s="89"/>
      <c r="B1072" s="90"/>
      <c r="C1072" s="90"/>
      <c r="D1072" s="91"/>
      <c r="E1072" s="90"/>
      <c r="F1072" s="90"/>
      <c r="G1072" s="90"/>
      <c r="H1072" s="90"/>
      <c r="I1072" s="90"/>
      <c r="J1072" s="78"/>
    </row>
    <row r="1073" spans="1:10" x14ac:dyDescent="0.15">
      <c r="A1073" s="89"/>
      <c r="B1073" s="90"/>
      <c r="C1073" s="90"/>
      <c r="D1073" s="91"/>
      <c r="E1073" s="90"/>
      <c r="F1073" s="90"/>
      <c r="G1073" s="90"/>
      <c r="H1073" s="90"/>
      <c r="I1073" s="90"/>
      <c r="J1073" s="78"/>
    </row>
    <row r="1074" spans="1:10" x14ac:dyDescent="0.15">
      <c r="A1074" s="89"/>
      <c r="B1074" s="90"/>
      <c r="C1074" s="90"/>
      <c r="D1074" s="91"/>
      <c r="E1074" s="90"/>
      <c r="F1074" s="90"/>
      <c r="G1074" s="90"/>
      <c r="H1074" s="90"/>
      <c r="I1074" s="90"/>
      <c r="J1074" s="78"/>
    </row>
    <row r="1075" spans="1:10" x14ac:dyDescent="0.15">
      <c r="A1075" s="89"/>
      <c r="B1075" s="90"/>
      <c r="C1075" s="90"/>
      <c r="D1075" s="91"/>
      <c r="E1075" s="90"/>
      <c r="F1075" s="90"/>
      <c r="G1075" s="90"/>
      <c r="H1075" s="90"/>
      <c r="I1075" s="90"/>
      <c r="J1075" s="78"/>
    </row>
    <row r="1076" spans="1:10" x14ac:dyDescent="0.15">
      <c r="A1076" s="89"/>
      <c r="B1076" s="90"/>
      <c r="C1076" s="90"/>
      <c r="D1076" s="91"/>
      <c r="E1076" s="90"/>
      <c r="F1076" s="90"/>
      <c r="G1076" s="90"/>
      <c r="H1076" s="90"/>
      <c r="I1076" s="90"/>
      <c r="J1076" s="78"/>
    </row>
    <row r="1077" spans="1:10" x14ac:dyDescent="0.15">
      <c r="A1077" s="89"/>
      <c r="B1077" s="90"/>
      <c r="C1077" s="90"/>
      <c r="D1077" s="91"/>
      <c r="E1077" s="90"/>
      <c r="F1077" s="90"/>
      <c r="G1077" s="90"/>
      <c r="H1077" s="90"/>
      <c r="I1077" s="90"/>
      <c r="J1077" s="78"/>
    </row>
    <row r="1078" spans="1:10" x14ac:dyDescent="0.15">
      <c r="A1078" s="89"/>
      <c r="B1078" s="90"/>
      <c r="C1078" s="90"/>
      <c r="D1078" s="91"/>
      <c r="E1078" s="90"/>
      <c r="F1078" s="90"/>
      <c r="G1078" s="90"/>
      <c r="H1078" s="90"/>
      <c r="I1078" s="90"/>
      <c r="J1078" s="78"/>
    </row>
    <row r="1079" spans="1:10" x14ac:dyDescent="0.15">
      <c r="A1079" s="89"/>
      <c r="B1079" s="90"/>
      <c r="C1079" s="90"/>
      <c r="D1079" s="91"/>
      <c r="E1079" s="90"/>
      <c r="F1079" s="90"/>
      <c r="G1079" s="90"/>
      <c r="H1079" s="90"/>
      <c r="I1079" s="90"/>
      <c r="J1079" s="78"/>
    </row>
    <row r="1080" spans="1:10" x14ac:dyDescent="0.15">
      <c r="A1080" s="89"/>
      <c r="B1080" s="90"/>
      <c r="C1080" s="90"/>
      <c r="D1080" s="91"/>
      <c r="E1080" s="90"/>
      <c r="F1080" s="90"/>
      <c r="G1080" s="90"/>
      <c r="H1080" s="90"/>
      <c r="I1080" s="90"/>
      <c r="J1080" s="78"/>
    </row>
    <row r="1081" spans="1:10" x14ac:dyDescent="0.15">
      <c r="A1081" s="89"/>
      <c r="B1081" s="90"/>
      <c r="C1081" s="90"/>
      <c r="D1081" s="91"/>
      <c r="E1081" s="90"/>
      <c r="F1081" s="90"/>
      <c r="G1081" s="90"/>
      <c r="H1081" s="90"/>
      <c r="I1081" s="90"/>
      <c r="J1081" s="78"/>
    </row>
    <row r="1082" spans="1:10" x14ac:dyDescent="0.15">
      <c r="A1082" s="89"/>
      <c r="B1082" s="90"/>
      <c r="C1082" s="90"/>
      <c r="D1082" s="91"/>
      <c r="E1082" s="90"/>
      <c r="F1082" s="90"/>
      <c r="G1082" s="90"/>
      <c r="H1082" s="90"/>
      <c r="I1082" s="90"/>
      <c r="J1082" s="78"/>
    </row>
    <row r="1083" spans="1:10" x14ac:dyDescent="0.15">
      <c r="A1083" s="89"/>
      <c r="B1083" s="90"/>
      <c r="C1083" s="90"/>
      <c r="D1083" s="91"/>
      <c r="E1083" s="90"/>
      <c r="F1083" s="90"/>
      <c r="G1083" s="90"/>
      <c r="H1083" s="90"/>
      <c r="I1083" s="90"/>
      <c r="J1083" s="78"/>
    </row>
    <row r="1084" spans="1:10" x14ac:dyDescent="0.15">
      <c r="A1084" s="89"/>
      <c r="B1084" s="90"/>
      <c r="C1084" s="90"/>
      <c r="D1084" s="91"/>
      <c r="E1084" s="90"/>
      <c r="F1084" s="90"/>
      <c r="G1084" s="90"/>
      <c r="H1084" s="90"/>
      <c r="I1084" s="90"/>
      <c r="J1084" s="78"/>
    </row>
    <row r="1085" spans="1:10" x14ac:dyDescent="0.15">
      <c r="A1085" s="89"/>
      <c r="B1085" s="90"/>
      <c r="C1085" s="90"/>
      <c r="D1085" s="91"/>
      <c r="E1085" s="90"/>
      <c r="F1085" s="90"/>
      <c r="G1085" s="90"/>
      <c r="H1085" s="90"/>
      <c r="I1085" s="90"/>
      <c r="J1085" s="78"/>
    </row>
    <row r="1086" spans="1:10" x14ac:dyDescent="0.15">
      <c r="A1086" s="89"/>
      <c r="B1086" s="90"/>
      <c r="C1086" s="90"/>
      <c r="D1086" s="91"/>
      <c r="E1086" s="90"/>
      <c r="F1086" s="90"/>
      <c r="G1086" s="90"/>
      <c r="H1086" s="90"/>
      <c r="I1086" s="90"/>
      <c r="J1086" s="78"/>
    </row>
    <row r="1087" spans="1:10" x14ac:dyDescent="0.15">
      <c r="A1087" s="89"/>
      <c r="B1087" s="90"/>
      <c r="C1087" s="90"/>
      <c r="D1087" s="91"/>
      <c r="E1087" s="90"/>
      <c r="F1087" s="90"/>
      <c r="G1087" s="90"/>
      <c r="H1087" s="90"/>
      <c r="I1087" s="90"/>
      <c r="J1087" s="78"/>
    </row>
    <row r="1088" spans="1:10" x14ac:dyDescent="0.15">
      <c r="A1088" s="89"/>
      <c r="B1088" s="90"/>
      <c r="C1088" s="90"/>
      <c r="D1088" s="91"/>
      <c r="E1088" s="90"/>
      <c r="F1088" s="90"/>
      <c r="G1088" s="90"/>
      <c r="H1088" s="90"/>
      <c r="I1088" s="90"/>
      <c r="J1088" s="78"/>
    </row>
    <row r="1089" spans="1:10" x14ac:dyDescent="0.15">
      <c r="A1089" s="89"/>
      <c r="B1089" s="90"/>
      <c r="C1089" s="90"/>
      <c r="D1089" s="91"/>
      <c r="E1089" s="90"/>
      <c r="F1089" s="90"/>
      <c r="G1089" s="90"/>
      <c r="H1089" s="90"/>
      <c r="I1089" s="90"/>
      <c r="J1089" s="78"/>
    </row>
    <row r="1090" spans="1:10" x14ac:dyDescent="0.15">
      <c r="A1090" s="89"/>
      <c r="B1090" s="90"/>
      <c r="C1090" s="90"/>
      <c r="D1090" s="91"/>
      <c r="E1090" s="90"/>
      <c r="F1090" s="90"/>
      <c r="G1090" s="90"/>
      <c r="H1090" s="90"/>
      <c r="I1090" s="90"/>
      <c r="J1090" s="78"/>
    </row>
    <row r="1091" spans="1:10" x14ac:dyDescent="0.15">
      <c r="A1091" s="89"/>
      <c r="B1091" s="90"/>
      <c r="C1091" s="90"/>
      <c r="D1091" s="91"/>
      <c r="E1091" s="90"/>
      <c r="F1091" s="90"/>
      <c r="G1091" s="90"/>
      <c r="H1091" s="90"/>
      <c r="I1091" s="90"/>
      <c r="J1091" s="78"/>
    </row>
    <row r="1092" spans="1:10" x14ac:dyDescent="0.15">
      <c r="A1092" s="89"/>
      <c r="B1092" s="90"/>
      <c r="C1092" s="90"/>
      <c r="D1092" s="91"/>
      <c r="E1092" s="90"/>
      <c r="F1092" s="90"/>
      <c r="G1092" s="90"/>
      <c r="H1092" s="90"/>
      <c r="I1092" s="90"/>
      <c r="J1092" s="78"/>
    </row>
    <row r="1093" spans="1:10" x14ac:dyDescent="0.15">
      <c r="A1093" s="89"/>
      <c r="B1093" s="90"/>
      <c r="C1093" s="90"/>
      <c r="D1093" s="91"/>
      <c r="E1093" s="90"/>
      <c r="F1093" s="90"/>
      <c r="G1093" s="90"/>
      <c r="H1093" s="90"/>
      <c r="I1093" s="90"/>
      <c r="J1093" s="78"/>
    </row>
    <row r="1094" spans="1:10" x14ac:dyDescent="0.15">
      <c r="A1094" s="89"/>
      <c r="B1094" s="90"/>
      <c r="C1094" s="90"/>
      <c r="D1094" s="91"/>
      <c r="E1094" s="90"/>
      <c r="F1094" s="90"/>
      <c r="G1094" s="90"/>
      <c r="H1094" s="90"/>
      <c r="I1094" s="90"/>
      <c r="J1094" s="78"/>
    </row>
    <row r="1095" spans="1:10" x14ac:dyDescent="0.15">
      <c r="A1095" s="89"/>
      <c r="B1095" s="90"/>
      <c r="C1095" s="90"/>
      <c r="D1095" s="91"/>
      <c r="E1095" s="90"/>
      <c r="F1095" s="90"/>
      <c r="G1095" s="90"/>
      <c r="H1095" s="90"/>
      <c r="I1095" s="90"/>
      <c r="J1095" s="78"/>
    </row>
    <row r="1096" spans="1:10" x14ac:dyDescent="0.15">
      <c r="A1096" s="89"/>
      <c r="B1096" s="90"/>
      <c r="C1096" s="90"/>
      <c r="D1096" s="91"/>
      <c r="E1096" s="90"/>
      <c r="F1096" s="90"/>
      <c r="G1096" s="90"/>
      <c r="H1096" s="90"/>
      <c r="I1096" s="90"/>
      <c r="J1096" s="78"/>
    </row>
    <row r="1097" spans="1:10" x14ac:dyDescent="0.15">
      <c r="A1097" s="89"/>
      <c r="B1097" s="90"/>
      <c r="C1097" s="90"/>
      <c r="D1097" s="91"/>
      <c r="E1097" s="90"/>
      <c r="F1097" s="90"/>
      <c r="G1097" s="90"/>
      <c r="H1097" s="90"/>
      <c r="I1097" s="90"/>
      <c r="J1097" s="78"/>
    </row>
    <row r="1098" spans="1:10" x14ac:dyDescent="0.15">
      <c r="A1098" s="89"/>
      <c r="B1098" s="90"/>
      <c r="C1098" s="90"/>
      <c r="D1098" s="91"/>
      <c r="E1098" s="90"/>
      <c r="F1098" s="90"/>
      <c r="G1098" s="90"/>
      <c r="H1098" s="90"/>
      <c r="I1098" s="90"/>
      <c r="J1098" s="78"/>
    </row>
    <row r="1099" spans="1:10" x14ac:dyDescent="0.15">
      <c r="A1099" s="89"/>
      <c r="B1099" s="90"/>
      <c r="C1099" s="90"/>
      <c r="D1099" s="91"/>
      <c r="E1099" s="90"/>
      <c r="F1099" s="90"/>
      <c r="G1099" s="90"/>
      <c r="H1099" s="90"/>
      <c r="I1099" s="90"/>
      <c r="J1099" s="78"/>
    </row>
    <row r="1100" spans="1:10" x14ac:dyDescent="0.15">
      <c r="A1100" s="89"/>
      <c r="B1100" s="90"/>
      <c r="C1100" s="90"/>
      <c r="D1100" s="91"/>
      <c r="E1100" s="90"/>
      <c r="F1100" s="90"/>
      <c r="G1100" s="90"/>
      <c r="H1100" s="90"/>
      <c r="I1100" s="90"/>
      <c r="J1100" s="78"/>
    </row>
    <row r="1101" spans="1:10" x14ac:dyDescent="0.15">
      <c r="A1101" s="89"/>
      <c r="B1101" s="90"/>
      <c r="C1101" s="90"/>
      <c r="D1101" s="91"/>
      <c r="E1101" s="90"/>
      <c r="F1101" s="90"/>
      <c r="G1101" s="90"/>
      <c r="H1101" s="90"/>
      <c r="I1101" s="90"/>
      <c r="J1101" s="78"/>
    </row>
    <row r="1102" spans="1:10" x14ac:dyDescent="0.15">
      <c r="A1102" s="89"/>
      <c r="B1102" s="90"/>
      <c r="C1102" s="90"/>
      <c r="D1102" s="91"/>
      <c r="E1102" s="90"/>
      <c r="F1102" s="90"/>
      <c r="G1102" s="90"/>
      <c r="H1102" s="90"/>
      <c r="I1102" s="90"/>
      <c r="J1102" s="78"/>
    </row>
    <row r="1103" spans="1:10" x14ac:dyDescent="0.15">
      <c r="A1103" s="89"/>
      <c r="B1103" s="90"/>
      <c r="C1103" s="90"/>
      <c r="D1103" s="91"/>
      <c r="E1103" s="90"/>
      <c r="F1103" s="90"/>
      <c r="G1103" s="90"/>
      <c r="H1103" s="90"/>
      <c r="I1103" s="90"/>
      <c r="J1103" s="78"/>
    </row>
    <row r="1104" spans="1:10" x14ac:dyDescent="0.15">
      <c r="A1104" s="89"/>
      <c r="B1104" s="90"/>
      <c r="C1104" s="90"/>
      <c r="D1104" s="91"/>
      <c r="E1104" s="90"/>
      <c r="F1104" s="90"/>
      <c r="G1104" s="90"/>
      <c r="H1104" s="90"/>
      <c r="I1104" s="90"/>
      <c r="J1104" s="78"/>
    </row>
    <row r="1105" spans="1:10" x14ac:dyDescent="0.15">
      <c r="A1105" s="89"/>
      <c r="B1105" s="90"/>
      <c r="C1105" s="90"/>
      <c r="D1105" s="91"/>
      <c r="E1105" s="90"/>
      <c r="F1105" s="90"/>
      <c r="G1105" s="90"/>
      <c r="H1105" s="90"/>
      <c r="I1105" s="90"/>
      <c r="J1105" s="78"/>
    </row>
    <row r="1106" spans="1:10" x14ac:dyDescent="0.15">
      <c r="A1106" s="89"/>
      <c r="B1106" s="90"/>
      <c r="C1106" s="90"/>
      <c r="D1106" s="91"/>
      <c r="E1106" s="90"/>
      <c r="F1106" s="90"/>
      <c r="G1106" s="90"/>
      <c r="H1106" s="90"/>
      <c r="I1106" s="90"/>
      <c r="J1106" s="78"/>
    </row>
    <row r="1107" spans="1:10" x14ac:dyDescent="0.15">
      <c r="A1107" s="89"/>
      <c r="B1107" s="90"/>
      <c r="C1107" s="90"/>
      <c r="D1107" s="91"/>
      <c r="E1107" s="90"/>
      <c r="F1107" s="90"/>
      <c r="G1107" s="90"/>
      <c r="H1107" s="90"/>
      <c r="I1107" s="90"/>
      <c r="J1107" s="78"/>
    </row>
    <row r="1108" spans="1:10" x14ac:dyDescent="0.15">
      <c r="A1108" s="89"/>
      <c r="B1108" s="90"/>
      <c r="C1108" s="90"/>
      <c r="D1108" s="91"/>
      <c r="E1108" s="90"/>
      <c r="F1108" s="90"/>
      <c r="G1108" s="90"/>
      <c r="H1108" s="90"/>
      <c r="I1108" s="90"/>
      <c r="J1108" s="78"/>
    </row>
    <row r="1109" spans="1:10" x14ac:dyDescent="0.15">
      <c r="H1109" s="46"/>
    </row>
    <row r="1110" spans="1:10" x14ac:dyDescent="0.15">
      <c r="H1110" s="46"/>
    </row>
    <row r="1111" spans="1:10" x14ac:dyDescent="0.15">
      <c r="H1111" s="46"/>
    </row>
    <row r="1112" spans="1:10" x14ac:dyDescent="0.15">
      <c r="H1112" s="46"/>
    </row>
    <row r="1113" spans="1:10" x14ac:dyDescent="0.15">
      <c r="H1113" s="46"/>
    </row>
    <row r="1114" spans="1:10" x14ac:dyDescent="0.15">
      <c r="H1114" s="46"/>
    </row>
    <row r="1115" spans="1:10" x14ac:dyDescent="0.15">
      <c r="H1115" s="46"/>
    </row>
    <row r="1116" spans="1:10" x14ac:dyDescent="0.15">
      <c r="H1116" s="46"/>
    </row>
    <row r="1117" spans="1:10" x14ac:dyDescent="0.15">
      <c r="H1117" s="46"/>
    </row>
    <row r="1118" spans="1:10" x14ac:dyDescent="0.15">
      <c r="H1118" s="46"/>
    </row>
    <row r="1119" spans="1:10" x14ac:dyDescent="0.15">
      <c r="H1119" s="46"/>
    </row>
    <row r="1120" spans="1:10" x14ac:dyDescent="0.15">
      <c r="H1120" s="46"/>
    </row>
    <row r="1121" spans="8:8" x14ac:dyDescent="0.15">
      <c r="H1121" s="46"/>
    </row>
    <row r="1122" spans="8:8" x14ac:dyDescent="0.15">
      <c r="H1122" s="46"/>
    </row>
    <row r="1123" spans="8:8" x14ac:dyDescent="0.15">
      <c r="H1123" s="46"/>
    </row>
    <row r="1124" spans="8:8" x14ac:dyDescent="0.15">
      <c r="H1124" s="46"/>
    </row>
    <row r="1125" spans="8:8" x14ac:dyDescent="0.15">
      <c r="H1125" s="46"/>
    </row>
    <row r="1126" spans="8:8" x14ac:dyDescent="0.15">
      <c r="H1126" s="46"/>
    </row>
    <row r="1127" spans="8:8" x14ac:dyDescent="0.15">
      <c r="H1127" s="46"/>
    </row>
    <row r="1128" spans="8:8" x14ac:dyDescent="0.15">
      <c r="H1128" s="46"/>
    </row>
    <row r="1129" spans="8:8" x14ac:dyDescent="0.15">
      <c r="H1129" s="46"/>
    </row>
    <row r="1130" spans="8:8" x14ac:dyDescent="0.15">
      <c r="H1130" s="46"/>
    </row>
    <row r="1131" spans="8:8" x14ac:dyDescent="0.15">
      <c r="H1131" s="46"/>
    </row>
    <row r="1132" spans="8:8" x14ac:dyDescent="0.15">
      <c r="H1132" s="46"/>
    </row>
    <row r="1133" spans="8:8" x14ac:dyDescent="0.15">
      <c r="H1133" s="46"/>
    </row>
    <row r="1134" spans="8:8" x14ac:dyDescent="0.15">
      <c r="H1134" s="46"/>
    </row>
    <row r="1135" spans="8:8" x14ac:dyDescent="0.15">
      <c r="H1135" s="46"/>
    </row>
    <row r="1136" spans="8:8" x14ac:dyDescent="0.15">
      <c r="H1136" s="46"/>
    </row>
    <row r="1137" spans="8:8" x14ac:dyDescent="0.15">
      <c r="H1137" s="46"/>
    </row>
    <row r="1138" spans="8:8" x14ac:dyDescent="0.15">
      <c r="H1138" s="46"/>
    </row>
    <row r="1139" spans="8:8" x14ac:dyDescent="0.15">
      <c r="H1139" s="46"/>
    </row>
    <row r="1140" spans="8:8" x14ac:dyDescent="0.15">
      <c r="H1140" s="46"/>
    </row>
    <row r="1141" spans="8:8" x14ac:dyDescent="0.15">
      <c r="H1141" s="46"/>
    </row>
    <row r="1142" spans="8:8" x14ac:dyDescent="0.15">
      <c r="H1142" s="46"/>
    </row>
    <row r="1143" spans="8:8" x14ac:dyDescent="0.15">
      <c r="H1143" s="46"/>
    </row>
    <row r="1144" spans="8:8" x14ac:dyDescent="0.15">
      <c r="H1144" s="46"/>
    </row>
    <row r="1145" spans="8:8" x14ac:dyDescent="0.15">
      <c r="H1145" s="46"/>
    </row>
    <row r="1146" spans="8:8" x14ac:dyDescent="0.15">
      <c r="H1146" s="46"/>
    </row>
    <row r="1147" spans="8:8" x14ac:dyDescent="0.15">
      <c r="H1147" s="46"/>
    </row>
    <row r="1148" spans="8:8" x14ac:dyDescent="0.15">
      <c r="H1148" s="46"/>
    </row>
    <row r="1149" spans="8:8" x14ac:dyDescent="0.15">
      <c r="H1149" s="46"/>
    </row>
    <row r="1150" spans="8:8" x14ac:dyDescent="0.15">
      <c r="H1150" s="46"/>
    </row>
    <row r="1151" spans="8:8" x14ac:dyDescent="0.15">
      <c r="H1151" s="46"/>
    </row>
    <row r="1152" spans="8:8" x14ac:dyDescent="0.15">
      <c r="H1152" s="46"/>
    </row>
    <row r="1153" spans="8:8" x14ac:dyDescent="0.15">
      <c r="H1153" s="46"/>
    </row>
    <row r="1154" spans="8:8" x14ac:dyDescent="0.15">
      <c r="H1154" s="46"/>
    </row>
    <row r="1155" spans="8:8" x14ac:dyDescent="0.15">
      <c r="H1155" s="46"/>
    </row>
    <row r="1156" spans="8:8" x14ac:dyDescent="0.15">
      <c r="H1156" s="46"/>
    </row>
    <row r="1157" spans="8:8" x14ac:dyDescent="0.15">
      <c r="H1157" s="46"/>
    </row>
    <row r="1158" spans="8:8" x14ac:dyDescent="0.15">
      <c r="H1158" s="46"/>
    </row>
    <row r="1159" spans="8:8" x14ac:dyDescent="0.15">
      <c r="H1159" s="46"/>
    </row>
    <row r="1160" spans="8:8" x14ac:dyDescent="0.15">
      <c r="H1160" s="46"/>
    </row>
    <row r="1161" spans="8:8" x14ac:dyDescent="0.15">
      <c r="H1161" s="46"/>
    </row>
    <row r="1162" spans="8:8" x14ac:dyDescent="0.15">
      <c r="H1162" s="46"/>
    </row>
    <row r="1163" spans="8:8" x14ac:dyDescent="0.15">
      <c r="H1163" s="46"/>
    </row>
    <row r="1164" spans="8:8" x14ac:dyDescent="0.15">
      <c r="H1164" s="46"/>
    </row>
    <row r="1165" spans="8:8" x14ac:dyDescent="0.15">
      <c r="H1165" s="46"/>
    </row>
    <row r="1166" spans="8:8" x14ac:dyDescent="0.15">
      <c r="H1166" s="46"/>
    </row>
    <row r="1167" spans="8:8" x14ac:dyDescent="0.15">
      <c r="H1167" s="46"/>
    </row>
    <row r="1168" spans="8:8" x14ac:dyDescent="0.15">
      <c r="H1168" s="46"/>
    </row>
    <row r="1169" spans="8:8" x14ac:dyDescent="0.15">
      <c r="H1169" s="46"/>
    </row>
    <row r="1170" spans="8:8" x14ac:dyDescent="0.15">
      <c r="H1170" s="46"/>
    </row>
    <row r="1171" spans="8:8" x14ac:dyDescent="0.15">
      <c r="H1171" s="46"/>
    </row>
    <row r="1172" spans="8:8" x14ac:dyDescent="0.15">
      <c r="H1172" s="46"/>
    </row>
    <row r="1173" spans="8:8" x14ac:dyDescent="0.15">
      <c r="H1173" s="46"/>
    </row>
    <row r="1174" spans="8:8" x14ac:dyDescent="0.15">
      <c r="H1174" s="46"/>
    </row>
    <row r="1175" spans="8:8" x14ac:dyDescent="0.15">
      <c r="H1175" s="46"/>
    </row>
    <row r="1176" spans="8:8" x14ac:dyDescent="0.15">
      <c r="H1176" s="46"/>
    </row>
    <row r="1177" spans="8:8" x14ac:dyDescent="0.15">
      <c r="H1177" s="46"/>
    </row>
    <row r="1178" spans="8:8" x14ac:dyDescent="0.15">
      <c r="H1178" s="46"/>
    </row>
    <row r="1179" spans="8:8" x14ac:dyDescent="0.15">
      <c r="H1179" s="46"/>
    </row>
    <row r="1180" spans="8:8" x14ac:dyDescent="0.15">
      <c r="H1180" s="46"/>
    </row>
    <row r="1181" spans="8:8" x14ac:dyDescent="0.15">
      <c r="H1181" s="46"/>
    </row>
    <row r="1182" spans="8:8" x14ac:dyDescent="0.15">
      <c r="H1182" s="46"/>
    </row>
    <row r="1183" spans="8:8" x14ac:dyDescent="0.15">
      <c r="H1183" s="46"/>
    </row>
    <row r="1184" spans="8:8" x14ac:dyDescent="0.15">
      <c r="H1184" s="46"/>
    </row>
    <row r="1185" spans="8:8" x14ac:dyDescent="0.15">
      <c r="H1185" s="46"/>
    </row>
    <row r="1186" spans="8:8" x14ac:dyDescent="0.15">
      <c r="H1186" s="46"/>
    </row>
    <row r="1187" spans="8:8" x14ac:dyDescent="0.15">
      <c r="H1187" s="46"/>
    </row>
    <row r="1188" spans="8:8" x14ac:dyDescent="0.15">
      <c r="H1188" s="46"/>
    </row>
    <row r="1189" spans="8:8" x14ac:dyDescent="0.15">
      <c r="H1189" s="46"/>
    </row>
    <row r="1190" spans="8:8" x14ac:dyDescent="0.15">
      <c r="H1190" s="46"/>
    </row>
    <row r="1191" spans="8:8" x14ac:dyDescent="0.15">
      <c r="H1191" s="46"/>
    </row>
    <row r="1192" spans="8:8" x14ac:dyDescent="0.15">
      <c r="H1192" s="46"/>
    </row>
    <row r="1193" spans="8:8" x14ac:dyDescent="0.15">
      <c r="H1193" s="46"/>
    </row>
    <row r="1194" spans="8:8" x14ac:dyDescent="0.15">
      <c r="H1194" s="46"/>
    </row>
    <row r="1195" spans="8:8" x14ac:dyDescent="0.15">
      <c r="H1195" s="46"/>
    </row>
    <row r="1196" spans="8:8" x14ac:dyDescent="0.15">
      <c r="H1196" s="46"/>
    </row>
    <row r="1197" spans="8:8" x14ac:dyDescent="0.15">
      <c r="H1197" s="46"/>
    </row>
    <row r="1198" spans="8:8" x14ac:dyDescent="0.15">
      <c r="H1198" s="46"/>
    </row>
    <row r="1199" spans="8:8" x14ac:dyDescent="0.15">
      <c r="H1199" s="46"/>
    </row>
    <row r="1200" spans="8:8" x14ac:dyDescent="0.15">
      <c r="H1200" s="46"/>
    </row>
    <row r="1201" spans="8:8" x14ac:dyDescent="0.15">
      <c r="H1201" s="46"/>
    </row>
    <row r="1202" spans="8:8" x14ac:dyDescent="0.15">
      <c r="H1202" s="46"/>
    </row>
    <row r="1203" spans="8:8" x14ac:dyDescent="0.15">
      <c r="H1203" s="46"/>
    </row>
    <row r="1204" spans="8:8" x14ac:dyDescent="0.15">
      <c r="H1204" s="46"/>
    </row>
    <row r="1205" spans="8:8" x14ac:dyDescent="0.15">
      <c r="H1205" s="46"/>
    </row>
    <row r="1206" spans="8:8" x14ac:dyDescent="0.15">
      <c r="H1206" s="46"/>
    </row>
    <row r="1207" spans="8:8" x14ac:dyDescent="0.15">
      <c r="H1207" s="46"/>
    </row>
    <row r="1208" spans="8:8" x14ac:dyDescent="0.15">
      <c r="H1208" s="46"/>
    </row>
    <row r="1209" spans="8:8" x14ac:dyDescent="0.15">
      <c r="H1209" s="46"/>
    </row>
    <row r="1210" spans="8:8" x14ac:dyDescent="0.15">
      <c r="H1210" s="46"/>
    </row>
    <row r="1211" spans="8:8" x14ac:dyDescent="0.15">
      <c r="H1211" s="46"/>
    </row>
    <row r="1212" spans="8:8" x14ac:dyDescent="0.15">
      <c r="H1212" s="46"/>
    </row>
    <row r="1213" spans="8:8" x14ac:dyDescent="0.15">
      <c r="H1213" s="46"/>
    </row>
    <row r="1214" spans="8:8" x14ac:dyDescent="0.15">
      <c r="H1214" s="46"/>
    </row>
    <row r="1215" spans="8:8" x14ac:dyDescent="0.15">
      <c r="H1215" s="46"/>
    </row>
    <row r="1216" spans="8:8" x14ac:dyDescent="0.15">
      <c r="H1216" s="46"/>
    </row>
    <row r="1217" spans="8:8" x14ac:dyDescent="0.15">
      <c r="H1217" s="46"/>
    </row>
    <row r="1218" spans="8:8" x14ac:dyDescent="0.15">
      <c r="H1218" s="46"/>
    </row>
    <row r="1219" spans="8:8" x14ac:dyDescent="0.15">
      <c r="H1219" s="46"/>
    </row>
    <row r="1220" spans="8:8" x14ac:dyDescent="0.15">
      <c r="H1220" s="46"/>
    </row>
    <row r="1221" spans="8:8" x14ac:dyDescent="0.15">
      <c r="H1221" s="46"/>
    </row>
    <row r="1222" spans="8:8" x14ac:dyDescent="0.15">
      <c r="H1222" s="46"/>
    </row>
    <row r="1223" spans="8:8" x14ac:dyDescent="0.15">
      <c r="H1223" s="46"/>
    </row>
    <row r="1224" spans="8:8" x14ac:dyDescent="0.15">
      <c r="H1224" s="46"/>
    </row>
    <row r="1225" spans="8:8" x14ac:dyDescent="0.15">
      <c r="H1225" s="46"/>
    </row>
    <row r="1226" spans="8:8" x14ac:dyDescent="0.15">
      <c r="H1226" s="46"/>
    </row>
    <row r="1227" spans="8:8" x14ac:dyDescent="0.15">
      <c r="H1227" s="46"/>
    </row>
    <row r="1228" spans="8:8" x14ac:dyDescent="0.15">
      <c r="H1228" s="46"/>
    </row>
    <row r="1229" spans="8:8" x14ac:dyDescent="0.15">
      <c r="H1229" s="46"/>
    </row>
    <row r="1230" spans="8:8" x14ac:dyDescent="0.15">
      <c r="H1230" s="46"/>
    </row>
    <row r="1231" spans="8:8" x14ac:dyDescent="0.15">
      <c r="H1231" s="46"/>
    </row>
    <row r="1232" spans="8:8" x14ac:dyDescent="0.15">
      <c r="H1232" s="46"/>
    </row>
    <row r="1233" spans="8:8" x14ac:dyDescent="0.15">
      <c r="H1233" s="46"/>
    </row>
    <row r="1234" spans="8:8" x14ac:dyDescent="0.15">
      <c r="H1234" s="46"/>
    </row>
    <row r="1235" spans="8:8" x14ac:dyDescent="0.15">
      <c r="H1235" s="46"/>
    </row>
    <row r="1236" spans="8:8" x14ac:dyDescent="0.15">
      <c r="H1236" s="46"/>
    </row>
    <row r="1237" spans="8:8" x14ac:dyDescent="0.15">
      <c r="H1237" s="46"/>
    </row>
    <row r="1238" spans="8:8" x14ac:dyDescent="0.15">
      <c r="H1238" s="46"/>
    </row>
    <row r="1239" spans="8:8" x14ac:dyDescent="0.15">
      <c r="H1239" s="46"/>
    </row>
    <row r="1240" spans="8:8" x14ac:dyDescent="0.15">
      <c r="H1240" s="46"/>
    </row>
    <row r="1241" spans="8:8" x14ac:dyDescent="0.15">
      <c r="H1241" s="46"/>
    </row>
    <row r="1242" spans="8:8" x14ac:dyDescent="0.15">
      <c r="H1242" s="46"/>
    </row>
    <row r="1243" spans="8:8" x14ac:dyDescent="0.15">
      <c r="H1243" s="46"/>
    </row>
    <row r="1244" spans="8:8" x14ac:dyDescent="0.15">
      <c r="H1244" s="46"/>
    </row>
    <row r="1245" spans="8:8" x14ac:dyDescent="0.15">
      <c r="H1245" s="46"/>
    </row>
    <row r="1246" spans="8:8" x14ac:dyDescent="0.15">
      <c r="H1246" s="46"/>
    </row>
    <row r="1247" spans="8:8" x14ac:dyDescent="0.15">
      <c r="H1247" s="46"/>
    </row>
    <row r="1248" spans="8:8" x14ac:dyDescent="0.15">
      <c r="H1248" s="46"/>
    </row>
    <row r="1249" spans="8:8" x14ac:dyDescent="0.15">
      <c r="H1249" s="46"/>
    </row>
    <row r="1250" spans="8:8" x14ac:dyDescent="0.15">
      <c r="H1250" s="46"/>
    </row>
    <row r="1251" spans="8:8" x14ac:dyDescent="0.15">
      <c r="H1251" s="46"/>
    </row>
    <row r="1252" spans="8:8" x14ac:dyDescent="0.15">
      <c r="H1252" s="46"/>
    </row>
    <row r="1253" spans="8:8" x14ac:dyDescent="0.15">
      <c r="H1253" s="46"/>
    </row>
    <row r="1254" spans="8:8" x14ac:dyDescent="0.15">
      <c r="H1254" s="46"/>
    </row>
    <row r="1255" spans="8:8" x14ac:dyDescent="0.15">
      <c r="H1255" s="46"/>
    </row>
    <row r="1256" spans="8:8" x14ac:dyDescent="0.15">
      <c r="H1256" s="46"/>
    </row>
    <row r="1257" spans="8:8" x14ac:dyDescent="0.15">
      <c r="H1257" s="46"/>
    </row>
    <row r="1258" spans="8:8" x14ac:dyDescent="0.15">
      <c r="H1258" s="46"/>
    </row>
    <row r="1259" spans="8:8" x14ac:dyDescent="0.15">
      <c r="H1259" s="46"/>
    </row>
    <row r="1260" spans="8:8" x14ac:dyDescent="0.15">
      <c r="H1260" s="46"/>
    </row>
    <row r="1261" spans="8:8" x14ac:dyDescent="0.15">
      <c r="H1261" s="46"/>
    </row>
    <row r="1262" spans="8:8" x14ac:dyDescent="0.15">
      <c r="H1262" s="46"/>
    </row>
    <row r="1263" spans="8:8" x14ac:dyDescent="0.15">
      <c r="H1263" s="46"/>
    </row>
    <row r="1264" spans="8:8" x14ac:dyDescent="0.15">
      <c r="H1264" s="46"/>
    </row>
    <row r="1265" spans="8:8" x14ac:dyDescent="0.15">
      <c r="H1265" s="46"/>
    </row>
    <row r="1266" spans="8:8" x14ac:dyDescent="0.15">
      <c r="H1266" s="46"/>
    </row>
    <row r="1267" spans="8:8" x14ac:dyDescent="0.15">
      <c r="H1267" s="46"/>
    </row>
    <row r="1268" spans="8:8" x14ac:dyDescent="0.15">
      <c r="H1268" s="46"/>
    </row>
    <row r="1269" spans="8:8" x14ac:dyDescent="0.15">
      <c r="H1269" s="46"/>
    </row>
    <row r="1270" spans="8:8" x14ac:dyDescent="0.15">
      <c r="H1270" s="46"/>
    </row>
    <row r="1271" spans="8:8" x14ac:dyDescent="0.15">
      <c r="H1271" s="46"/>
    </row>
    <row r="1272" spans="8:8" x14ac:dyDescent="0.15">
      <c r="H1272" s="46"/>
    </row>
    <row r="1273" spans="8:8" x14ac:dyDescent="0.15">
      <c r="H1273" s="46"/>
    </row>
    <row r="1274" spans="8:8" x14ac:dyDescent="0.15">
      <c r="H1274" s="46"/>
    </row>
    <row r="1275" spans="8:8" x14ac:dyDescent="0.15">
      <c r="H1275" s="46"/>
    </row>
    <row r="1276" spans="8:8" x14ac:dyDescent="0.15">
      <c r="H1276" s="46"/>
    </row>
    <row r="1277" spans="8:8" x14ac:dyDescent="0.15">
      <c r="H1277" s="46"/>
    </row>
    <row r="1278" spans="8:8" x14ac:dyDescent="0.15">
      <c r="H1278" s="46"/>
    </row>
    <row r="1279" spans="8:8" x14ac:dyDescent="0.15">
      <c r="H1279" s="46"/>
    </row>
    <row r="1280" spans="8:8" x14ac:dyDescent="0.15">
      <c r="H1280" s="46"/>
    </row>
    <row r="1281" spans="8:8" x14ac:dyDescent="0.15">
      <c r="H1281" s="46"/>
    </row>
    <row r="1282" spans="8:8" x14ac:dyDescent="0.15">
      <c r="H1282" s="46"/>
    </row>
    <row r="1283" spans="8:8" x14ac:dyDescent="0.15">
      <c r="H1283" s="46"/>
    </row>
    <row r="1284" spans="8:8" x14ac:dyDescent="0.15">
      <c r="H1284" s="46"/>
    </row>
    <row r="1285" spans="8:8" x14ac:dyDescent="0.15">
      <c r="H1285" s="46"/>
    </row>
    <row r="1286" spans="8:8" x14ac:dyDescent="0.15">
      <c r="H1286" s="46"/>
    </row>
    <row r="1287" spans="8:8" x14ac:dyDescent="0.15">
      <c r="H1287" s="46"/>
    </row>
    <row r="1288" spans="8:8" x14ac:dyDescent="0.15">
      <c r="H1288" s="46"/>
    </row>
    <row r="1289" spans="8:8" x14ac:dyDescent="0.15">
      <c r="H1289" s="46"/>
    </row>
    <row r="1290" spans="8:8" x14ac:dyDescent="0.15">
      <c r="H1290" s="46"/>
    </row>
    <row r="1291" spans="8:8" x14ac:dyDescent="0.15">
      <c r="H1291" s="46"/>
    </row>
    <row r="1292" spans="8:8" x14ac:dyDescent="0.15">
      <c r="H1292" s="46"/>
    </row>
    <row r="1293" spans="8:8" x14ac:dyDescent="0.15">
      <c r="H1293" s="46"/>
    </row>
    <row r="1294" spans="8:8" x14ac:dyDescent="0.15">
      <c r="H1294" s="46"/>
    </row>
    <row r="1295" spans="8:8" x14ac:dyDescent="0.15">
      <c r="H1295" s="46"/>
    </row>
    <row r="1296" spans="8:8" x14ac:dyDescent="0.15">
      <c r="H1296" s="46"/>
    </row>
    <row r="1297" spans="8:8" x14ac:dyDescent="0.15">
      <c r="H1297" s="46"/>
    </row>
    <row r="1298" spans="8:8" x14ac:dyDescent="0.15">
      <c r="H1298" s="46"/>
    </row>
    <row r="1299" spans="8:8" x14ac:dyDescent="0.15">
      <c r="H1299" s="46"/>
    </row>
    <row r="1300" spans="8:8" x14ac:dyDescent="0.15">
      <c r="H1300" s="46"/>
    </row>
    <row r="1301" spans="8:8" x14ac:dyDescent="0.15">
      <c r="H1301" s="46"/>
    </row>
    <row r="1302" spans="8:8" x14ac:dyDescent="0.15">
      <c r="H1302" s="46"/>
    </row>
    <row r="1303" spans="8:8" x14ac:dyDescent="0.15">
      <c r="H1303" s="46"/>
    </row>
    <row r="1304" spans="8:8" x14ac:dyDescent="0.15">
      <c r="H1304" s="46"/>
    </row>
    <row r="1305" spans="8:8" x14ac:dyDescent="0.15">
      <c r="H1305" s="46"/>
    </row>
    <row r="1306" spans="8:8" x14ac:dyDescent="0.15">
      <c r="H1306" s="46"/>
    </row>
    <row r="1307" spans="8:8" x14ac:dyDescent="0.15">
      <c r="H1307" s="46"/>
    </row>
    <row r="1308" spans="8:8" x14ac:dyDescent="0.15">
      <c r="H1308" s="46"/>
    </row>
    <row r="1309" spans="8:8" x14ac:dyDescent="0.15">
      <c r="H1309" s="46"/>
    </row>
    <row r="1310" spans="8:8" x14ac:dyDescent="0.15">
      <c r="H1310" s="46"/>
    </row>
    <row r="1311" spans="8:8" x14ac:dyDescent="0.15">
      <c r="H1311" s="46"/>
    </row>
    <row r="1312" spans="8:8" x14ac:dyDescent="0.15">
      <c r="H1312" s="46"/>
    </row>
    <row r="1313" spans="8:8" x14ac:dyDescent="0.15">
      <c r="H1313" s="46"/>
    </row>
    <row r="1314" spans="8:8" x14ac:dyDescent="0.15">
      <c r="H1314" s="46"/>
    </row>
    <row r="1315" spans="8:8" x14ac:dyDescent="0.15">
      <c r="H1315" s="46"/>
    </row>
    <row r="1316" spans="8:8" x14ac:dyDescent="0.15">
      <c r="H1316" s="46"/>
    </row>
    <row r="1317" spans="8:8" x14ac:dyDescent="0.15">
      <c r="H1317" s="46"/>
    </row>
    <row r="1318" spans="8:8" x14ac:dyDescent="0.15">
      <c r="H1318" s="46"/>
    </row>
    <row r="1319" spans="8:8" x14ac:dyDescent="0.15">
      <c r="H1319" s="46"/>
    </row>
    <row r="1320" spans="8:8" x14ac:dyDescent="0.15">
      <c r="H1320" s="46"/>
    </row>
    <row r="1321" spans="8:8" x14ac:dyDescent="0.15">
      <c r="H1321" s="46"/>
    </row>
    <row r="1322" spans="8:8" x14ac:dyDescent="0.15">
      <c r="H1322" s="46"/>
    </row>
    <row r="1323" spans="8:8" x14ac:dyDescent="0.15">
      <c r="H1323" s="46"/>
    </row>
    <row r="1324" spans="8:8" x14ac:dyDescent="0.15">
      <c r="H1324" s="46"/>
    </row>
    <row r="1325" spans="8:8" x14ac:dyDescent="0.15">
      <c r="H1325" s="46"/>
    </row>
    <row r="1326" spans="8:8" x14ac:dyDescent="0.15">
      <c r="H1326" s="46"/>
    </row>
    <row r="1327" spans="8:8" x14ac:dyDescent="0.15">
      <c r="H1327" s="46"/>
    </row>
    <row r="1328" spans="8:8" x14ac:dyDescent="0.15">
      <c r="H1328" s="46"/>
    </row>
    <row r="1329" spans="8:8" x14ac:dyDescent="0.15">
      <c r="H1329" s="46"/>
    </row>
    <row r="1330" spans="8:8" x14ac:dyDescent="0.15">
      <c r="H1330" s="46"/>
    </row>
    <row r="1331" spans="8:8" x14ac:dyDescent="0.15">
      <c r="H1331" s="46"/>
    </row>
    <row r="1332" spans="8:8" x14ac:dyDescent="0.15">
      <c r="H1332" s="46"/>
    </row>
    <row r="1333" spans="8:8" x14ac:dyDescent="0.15">
      <c r="H1333" s="46"/>
    </row>
    <row r="1334" spans="8:8" x14ac:dyDescent="0.15">
      <c r="H1334" s="46"/>
    </row>
    <row r="1335" spans="8:8" x14ac:dyDescent="0.15">
      <c r="H1335" s="46"/>
    </row>
    <row r="1336" spans="8:8" x14ac:dyDescent="0.15">
      <c r="H1336" s="46"/>
    </row>
    <row r="1337" spans="8:8" x14ac:dyDescent="0.15">
      <c r="H1337" s="46"/>
    </row>
    <row r="1338" spans="8:8" x14ac:dyDescent="0.15">
      <c r="H1338" s="46"/>
    </row>
    <row r="1339" spans="8:8" x14ac:dyDescent="0.15">
      <c r="H1339" s="46"/>
    </row>
    <row r="1340" spans="8:8" x14ac:dyDescent="0.15">
      <c r="H1340" s="46"/>
    </row>
    <row r="1341" spans="8:8" x14ac:dyDescent="0.15">
      <c r="H1341" s="46"/>
    </row>
    <row r="1342" spans="8:8" x14ac:dyDescent="0.15">
      <c r="H1342" s="46"/>
    </row>
    <row r="1343" spans="8:8" x14ac:dyDescent="0.15">
      <c r="H1343" s="46"/>
    </row>
    <row r="1344" spans="8:8" x14ac:dyDescent="0.15">
      <c r="H1344" s="46"/>
    </row>
    <row r="1345" spans="8:8" x14ac:dyDescent="0.15">
      <c r="H1345" s="46"/>
    </row>
    <row r="1346" spans="8:8" x14ac:dyDescent="0.15">
      <c r="H1346" s="46"/>
    </row>
    <row r="1347" spans="8:8" x14ac:dyDescent="0.15">
      <c r="H1347" s="46"/>
    </row>
    <row r="1348" spans="8:8" x14ac:dyDescent="0.15">
      <c r="H1348" s="46"/>
    </row>
    <row r="1349" spans="8:8" x14ac:dyDescent="0.15">
      <c r="H1349" s="46"/>
    </row>
    <row r="1350" spans="8:8" x14ac:dyDescent="0.15">
      <c r="H1350" s="46"/>
    </row>
    <row r="1351" spans="8:8" x14ac:dyDescent="0.15">
      <c r="H1351" s="46"/>
    </row>
    <row r="1352" spans="8:8" x14ac:dyDescent="0.15">
      <c r="H1352" s="46"/>
    </row>
    <row r="1353" spans="8:8" x14ac:dyDescent="0.15">
      <c r="H1353" s="46"/>
    </row>
    <row r="1354" spans="8:8" x14ac:dyDescent="0.15">
      <c r="H1354" s="46"/>
    </row>
    <row r="1355" spans="8:8" x14ac:dyDescent="0.15">
      <c r="H1355" s="46"/>
    </row>
    <row r="1356" spans="8:8" x14ac:dyDescent="0.15">
      <c r="H1356" s="46"/>
    </row>
    <row r="1357" spans="8:8" x14ac:dyDescent="0.15">
      <c r="H1357" s="46"/>
    </row>
    <row r="1358" spans="8:8" x14ac:dyDescent="0.15">
      <c r="H1358" s="46"/>
    </row>
    <row r="1359" spans="8:8" x14ac:dyDescent="0.15">
      <c r="H1359" s="46"/>
    </row>
    <row r="1360" spans="8:8" x14ac:dyDescent="0.15">
      <c r="H1360" s="46"/>
    </row>
    <row r="1361" spans="8:8" x14ac:dyDescent="0.15">
      <c r="H1361" s="46"/>
    </row>
    <row r="1362" spans="8:8" x14ac:dyDescent="0.15">
      <c r="H1362" s="46"/>
    </row>
    <row r="1363" spans="8:8" x14ac:dyDescent="0.15">
      <c r="H1363" s="46"/>
    </row>
    <row r="1364" spans="8:8" x14ac:dyDescent="0.15">
      <c r="H1364" s="46"/>
    </row>
    <row r="1365" spans="8:8" x14ac:dyDescent="0.15">
      <c r="H1365" s="46"/>
    </row>
    <row r="1366" spans="8:8" x14ac:dyDescent="0.15">
      <c r="H1366" s="46"/>
    </row>
    <row r="1367" spans="8:8" x14ac:dyDescent="0.15">
      <c r="H1367" s="46"/>
    </row>
    <row r="1368" spans="8:8" x14ac:dyDescent="0.15">
      <c r="H1368" s="46"/>
    </row>
    <row r="1369" spans="8:8" x14ac:dyDescent="0.15">
      <c r="H1369" s="46"/>
    </row>
    <row r="1370" spans="8:8" x14ac:dyDescent="0.15">
      <c r="H1370" s="46"/>
    </row>
    <row r="1371" spans="8:8" x14ac:dyDescent="0.15">
      <c r="H1371" s="46"/>
    </row>
    <row r="1372" spans="8:8" x14ac:dyDescent="0.15">
      <c r="H1372" s="46"/>
    </row>
    <row r="1373" spans="8:8" x14ac:dyDescent="0.15">
      <c r="H1373" s="46"/>
    </row>
    <row r="1374" spans="8:8" x14ac:dyDescent="0.15">
      <c r="H1374" s="46"/>
    </row>
    <row r="1375" spans="8:8" x14ac:dyDescent="0.15">
      <c r="H1375" s="46"/>
    </row>
    <row r="1376" spans="8:8" x14ac:dyDescent="0.15">
      <c r="H1376" s="46"/>
    </row>
    <row r="1377" spans="8:8" x14ac:dyDescent="0.15">
      <c r="H1377" s="46"/>
    </row>
    <row r="1378" spans="8:8" x14ac:dyDescent="0.15">
      <c r="H1378" s="46"/>
    </row>
    <row r="1379" spans="8:8" x14ac:dyDescent="0.15">
      <c r="H1379" s="46"/>
    </row>
    <row r="1380" spans="8:8" x14ac:dyDescent="0.15">
      <c r="H1380" s="46"/>
    </row>
    <row r="1381" spans="8:8" x14ac:dyDescent="0.15">
      <c r="H1381" s="46"/>
    </row>
    <row r="1382" spans="8:8" x14ac:dyDescent="0.15">
      <c r="H1382" s="46"/>
    </row>
    <row r="1383" spans="8:8" x14ac:dyDescent="0.15">
      <c r="H1383" s="46"/>
    </row>
    <row r="1384" spans="8:8" x14ac:dyDescent="0.15">
      <c r="H1384" s="46"/>
    </row>
    <row r="1385" spans="8:8" x14ac:dyDescent="0.15">
      <c r="H1385" s="46"/>
    </row>
    <row r="1386" spans="8:8" x14ac:dyDescent="0.15">
      <c r="H1386" s="46"/>
    </row>
    <row r="1387" spans="8:8" x14ac:dyDescent="0.15">
      <c r="H1387" s="46"/>
    </row>
    <row r="1388" spans="8:8" x14ac:dyDescent="0.15">
      <c r="H1388" s="46"/>
    </row>
    <row r="1389" spans="8:8" x14ac:dyDescent="0.15">
      <c r="H1389" s="46"/>
    </row>
    <row r="1390" spans="8:8" x14ac:dyDescent="0.15">
      <c r="H1390" s="46"/>
    </row>
    <row r="1391" spans="8:8" x14ac:dyDescent="0.15">
      <c r="H1391" s="46"/>
    </row>
    <row r="1392" spans="8:8" x14ac:dyDescent="0.15">
      <c r="H1392" s="46"/>
    </row>
    <row r="1393" spans="8:8" x14ac:dyDescent="0.15">
      <c r="H1393" s="46"/>
    </row>
    <row r="1394" spans="8:8" x14ac:dyDescent="0.15">
      <c r="H1394" s="46"/>
    </row>
    <row r="1395" spans="8:8" x14ac:dyDescent="0.15">
      <c r="H1395" s="46"/>
    </row>
    <row r="1396" spans="8:8" x14ac:dyDescent="0.15">
      <c r="H1396" s="46"/>
    </row>
    <row r="1397" spans="8:8" x14ac:dyDescent="0.15">
      <c r="H1397" s="46"/>
    </row>
    <row r="1398" spans="8:8" x14ac:dyDescent="0.15">
      <c r="H1398" s="46"/>
    </row>
    <row r="1399" spans="8:8" x14ac:dyDescent="0.15">
      <c r="H1399" s="46"/>
    </row>
    <row r="1400" spans="8:8" x14ac:dyDescent="0.15">
      <c r="H1400" s="46"/>
    </row>
    <row r="1401" spans="8:8" x14ac:dyDescent="0.15">
      <c r="H1401" s="46"/>
    </row>
    <row r="1402" spans="8:8" x14ac:dyDescent="0.15">
      <c r="H1402" s="46"/>
    </row>
    <row r="1403" spans="8:8" x14ac:dyDescent="0.15">
      <c r="H1403" s="46"/>
    </row>
    <row r="1404" spans="8:8" x14ac:dyDescent="0.15">
      <c r="H1404" s="46"/>
    </row>
    <row r="1405" spans="8:8" x14ac:dyDescent="0.15">
      <c r="H1405" s="46"/>
    </row>
    <row r="1406" spans="8:8" x14ac:dyDescent="0.15">
      <c r="H1406" s="46"/>
    </row>
    <row r="1407" spans="8:8" x14ac:dyDescent="0.15">
      <c r="H1407" s="46"/>
    </row>
    <row r="1408" spans="8:8" x14ac:dyDescent="0.15">
      <c r="H1408" s="46"/>
    </row>
    <row r="1409" spans="8:8" x14ac:dyDescent="0.15">
      <c r="H1409" s="46"/>
    </row>
    <row r="1410" spans="8:8" x14ac:dyDescent="0.15">
      <c r="H1410" s="46"/>
    </row>
    <row r="1411" spans="8:8" x14ac:dyDescent="0.15">
      <c r="H1411" s="46"/>
    </row>
    <row r="1412" spans="8:8" x14ac:dyDescent="0.15">
      <c r="H1412" s="46"/>
    </row>
    <row r="1413" spans="8:8" x14ac:dyDescent="0.15">
      <c r="H1413" s="46"/>
    </row>
    <row r="1414" spans="8:8" x14ac:dyDescent="0.15">
      <c r="H1414" s="46"/>
    </row>
    <row r="1415" spans="8:8" x14ac:dyDescent="0.15">
      <c r="H1415" s="46"/>
    </row>
    <row r="1416" spans="8:8" x14ac:dyDescent="0.15">
      <c r="H1416" s="46"/>
    </row>
    <row r="1417" spans="8:8" x14ac:dyDescent="0.15">
      <c r="H1417" s="46"/>
    </row>
    <row r="1418" spans="8:8" x14ac:dyDescent="0.15">
      <c r="H1418" s="46"/>
    </row>
    <row r="1419" spans="8:8" x14ac:dyDescent="0.15">
      <c r="H1419" s="46"/>
    </row>
    <row r="1420" spans="8:8" x14ac:dyDescent="0.15">
      <c r="H1420" s="46"/>
    </row>
    <row r="1421" spans="8:8" x14ac:dyDescent="0.15">
      <c r="H1421" s="46"/>
    </row>
    <row r="1422" spans="8:8" x14ac:dyDescent="0.15">
      <c r="H1422" s="46"/>
    </row>
    <row r="1423" spans="8:8" x14ac:dyDescent="0.15">
      <c r="H1423" s="46"/>
    </row>
    <row r="1424" spans="8:8" x14ac:dyDescent="0.15">
      <c r="H1424" s="46"/>
    </row>
    <row r="1425" spans="8:8" x14ac:dyDescent="0.15">
      <c r="H1425" s="46"/>
    </row>
  </sheetData>
  <autoFilter ref="A1:BA220" xr:uid="{00000000-0009-0000-0000-000006000000}"/>
  <phoneticPr fontId="3"/>
  <dataValidations count="25">
    <dataValidation type="list" allowBlank="1" showInputMessage="1" showErrorMessage="1" sqref="F221:F1108" xr:uid="{00000000-0002-0000-0600-000000000000}">
      <formula1>$AH$2:$AH$10</formula1>
    </dataValidation>
    <dataValidation type="list" allowBlank="1" showInputMessage="1" showErrorMessage="1" sqref="E221:E1108" xr:uid="{00000000-0002-0000-0600-000001000000}">
      <formula1>$AG$2:$AG$10</formula1>
    </dataValidation>
    <dataValidation type="decimal" allowBlank="1" showInputMessage="1" showErrorMessage="1" error="硬度を正しく入力して下さい。" sqref="O2:P599" xr:uid="{00000000-0002-0000-0600-000002000000}">
      <formula1>0</formula1>
      <formula2>7</formula2>
    </dataValidation>
    <dataValidation type="list" allowBlank="1" showInputMessage="1" showErrorMessage="1" sqref="A2:A1108" xr:uid="{00000000-0002-0000-0600-000007000000}">
      <formula1>$AE$2:$AE$19</formula1>
    </dataValidation>
    <dataValidation type="list" allowBlank="1" showInputMessage="1" showErrorMessage="1" sqref="G2:G1108" xr:uid="{00000000-0002-0000-0600-000009000000}">
      <formula1>$AJ$2:$AJ$4</formula1>
    </dataValidation>
    <dataValidation operator="equal" allowBlank="1" showInputMessage="1" showErrorMessage="1" sqref="B221:B1108" xr:uid="{00000000-0002-0000-0600-00000B000000}"/>
    <dataValidation type="list" allowBlank="1" showInputMessage="1" showErrorMessage="1" sqref="F1109:F64350" xr:uid="{00000000-0002-0000-0600-00000C000000}">
      <formula1>$AH$2:$AH$8</formula1>
    </dataValidation>
    <dataValidation type="list" allowBlank="1" showInputMessage="1" showErrorMessage="1" sqref="E1109:E64350" xr:uid="{00000000-0002-0000-0600-00000D000000}">
      <formula1>$AG$2:$AG$9</formula1>
    </dataValidation>
    <dataValidation type="list" allowBlank="1" showInputMessage="1" showErrorMessage="1" sqref="H1426:H64350" xr:uid="{00000000-0002-0000-0600-00000E000000}">
      <formula1>$AL$2:$AL$10</formula1>
    </dataValidation>
    <dataValidation type="list" allowBlank="1" showInputMessage="1" showErrorMessage="1" sqref="Y600:AA64350" xr:uid="{00000000-0002-0000-0600-000010000000}">
      <formula1>$AV$2:$AV$26</formula1>
    </dataValidation>
    <dataValidation type="list" allowBlank="1" showInputMessage="1" showErrorMessage="1" sqref="I1109:I64350" xr:uid="{00000000-0002-0000-0600-000011000000}">
      <formula1>$AN$2:$AN$6</formula1>
    </dataValidation>
    <dataValidation type="list" allowBlank="1" showInputMessage="1" showErrorMessage="1" sqref="H1109:H1425 H2:H220" xr:uid="{AA81BB8A-F1FE-4208-85B5-1FF0FCEB4E33}">
      <formula1>$AL$2:$AL$9</formula1>
    </dataValidation>
    <dataValidation type="list" allowBlank="1" showInputMessage="1" showErrorMessage="1" sqref="H221:H1108" xr:uid="{275C054A-9B5A-41DF-84F0-3334368FCAD4}">
      <formula1>$AL$2:$AL$15</formula1>
    </dataValidation>
    <dataValidation type="list" allowBlank="1" showInputMessage="1" showErrorMessage="1" sqref="K65643:K65721 K131179:K131257 K196715:K196793 K262251:K262329 K327787:K327865 K393323:K393401 K458859:K458937 K524395:K524473 K589931:K590009 K655467:K655545 K721003:K721081 K786539:K786617 K852075:K852153 K917611:K917689 K983147:K983225" xr:uid="{A932097C-E062-4CBE-BED5-EC7639015DEC}">
      <formula1>$AR$2:$AR$30</formula1>
    </dataValidation>
    <dataValidation type="list" allowBlank="1" showInputMessage="1" showErrorMessage="1" sqref="J65643:J65721 J131179:J131257 J196715:J196793 J262251:J262329 J327787:J327865 J393323:J393401 J458859:J458937 J524395:J524473 J589931:J590009 J655467:J655545 J721003:J721081 J786539:J786617 J852075:J852153 J917611:J917689 J983147:J983225" xr:uid="{ACBB5488-F4F5-4D7A-B160-559CDB1F646F}">
      <formula1>$AP$2:$AP$15</formula1>
    </dataValidation>
    <dataValidation type="list" allowBlank="1" showInputMessage="1" showErrorMessage="1" sqref="J221:J1108" xr:uid="{C44CAB8E-0A7F-4B46-830A-91B0DB4FF77B}">
      <formula1>$AP$2:$AP$26</formula1>
    </dataValidation>
    <dataValidation type="list" allowBlank="1" showInputMessage="1" showErrorMessage="1" sqref="K221:K1108" xr:uid="{18452FB3-BC99-4046-A7DD-3E529B2DA4AC}">
      <formula1>$AR$2:$AR$25</formula1>
    </dataValidation>
    <dataValidation type="list" allowBlank="1" showInputMessage="1" showErrorMessage="1" sqref="K2:K220" xr:uid="{B2841F96-228D-48D0-BFD4-4E205AA6DD7C}">
      <formula1>$AR$2:$AR$28</formula1>
    </dataValidation>
    <dataValidation type="list" allowBlank="1" showInputMessage="1" showErrorMessage="1" sqref="J2:J220" xr:uid="{4EABB15A-7BD6-4AB4-B460-C5B83DB0C7BE}">
      <formula1>$AP$2:$AP$29</formula1>
    </dataValidation>
    <dataValidation type="list" allowBlank="1" showInputMessage="1" showErrorMessage="1" sqref="E2:E220" xr:uid="{915291FB-7F52-48A7-8BF7-D45A824F9D49}">
      <formula1>$AG$2:$AG$11</formula1>
    </dataValidation>
    <dataValidation allowBlank="1" showInputMessage="1" showErrorMessage="1" sqref="B2" xr:uid="{74D21918-0662-4903-A6A7-9C05CD7B07A1}"/>
    <dataValidation type="list" allowBlank="1" showInputMessage="1" showErrorMessage="1" sqref="F2:F220" xr:uid="{C3456C52-09EB-4E30-A9CE-8C5F7FB0F043}">
      <formula1>$AH$2:$AH$11</formula1>
    </dataValidation>
    <dataValidation type="list" allowBlank="1" showInputMessage="1" showErrorMessage="1" sqref="I2:I1108" xr:uid="{00000000-0002-0000-0600-000005000000}">
      <formula1>$AN$5:$AN$6</formula1>
    </dataValidation>
    <dataValidation type="list" allowBlank="1" showInputMessage="1" showErrorMessage="1" sqref="Y2:AA599" xr:uid="{00000000-0002-0000-0600-000003000000}">
      <formula1>$AV$2:$AV$21</formula1>
    </dataValidation>
    <dataValidation type="list" allowBlank="1" showInputMessage="1" showErrorMessage="1" sqref="X2:X599" xr:uid="{00000000-0002-0000-0600-000008000000}">
      <formula1>$AT$2:$AT$3</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5C3DE-3A71-4B8A-9348-A6E322BE619D}">
  <dimension ref="A1:BA263"/>
  <sheetViews>
    <sheetView zoomScale="85" zoomScaleNormal="85" workbookViewId="0">
      <pane ySplit="1" topLeftCell="A2" activePane="bottomLeft" state="frozen"/>
      <selection activeCell="H14" sqref="H14"/>
      <selection pane="bottomLeft" activeCell="A2" sqref="A2"/>
    </sheetView>
  </sheetViews>
  <sheetFormatPr defaultColWidth="9" defaultRowHeight="13.5" x14ac:dyDescent="0.15"/>
  <cols>
    <col min="1" max="1" width="9.375" style="77" bestFit="1" customWidth="1"/>
    <col min="2" max="2" width="6.625" style="77" customWidth="1"/>
    <col min="3" max="3" width="7" style="77" customWidth="1"/>
    <col min="4" max="4" width="10.25" style="77" bestFit="1" customWidth="1"/>
    <col min="5" max="5" width="16.125" style="77" customWidth="1"/>
    <col min="6" max="6" width="17.25" style="77" bestFit="1" customWidth="1"/>
    <col min="7" max="7" width="12.375" style="77" bestFit="1" customWidth="1"/>
    <col min="8" max="9" width="9.375" style="77" bestFit="1" customWidth="1"/>
    <col min="10" max="10" width="11.25" style="77" bestFit="1" customWidth="1"/>
    <col min="11" max="11" width="11.125" style="77" bestFit="1" customWidth="1"/>
    <col min="12" max="12" width="6.5" style="77" bestFit="1" customWidth="1"/>
    <col min="13" max="13" width="7.625" style="77" bestFit="1" customWidth="1"/>
    <col min="14" max="16" width="9.375" style="77" bestFit="1" customWidth="1"/>
    <col min="17" max="17" width="10" style="16" bestFit="1" customWidth="1"/>
    <col min="18" max="18" width="9.375" style="77" bestFit="1" customWidth="1"/>
    <col min="19" max="19" width="10" style="77" bestFit="1" customWidth="1"/>
    <col min="20" max="20" width="8.25" style="16" bestFit="1" customWidth="1"/>
    <col min="21" max="21" width="9" style="77" bestFit="1" customWidth="1"/>
    <col min="22" max="22" width="10.875" style="16" customWidth="1"/>
    <col min="23" max="23" width="5.5" style="77" customWidth="1"/>
    <col min="24" max="24" width="9.625" style="77" customWidth="1"/>
    <col min="25" max="26" width="9" style="77"/>
    <col min="27" max="27" width="12.125" style="77" customWidth="1"/>
    <col min="28" max="32" width="9" style="77"/>
    <col min="33" max="33" width="15.125" style="77" bestFit="1" customWidth="1"/>
    <col min="34" max="34" width="19.625" style="77" bestFit="1" customWidth="1"/>
    <col min="35" max="16384" width="9" style="77"/>
  </cols>
  <sheetData>
    <row r="1" spans="1:53" ht="67.5" x14ac:dyDescent="0.15">
      <c r="A1" s="40" t="s">
        <v>0</v>
      </c>
      <c r="B1" s="92" t="s">
        <v>1</v>
      </c>
      <c r="C1" s="92" t="s">
        <v>118</v>
      </c>
      <c r="D1" s="93" t="s">
        <v>2</v>
      </c>
      <c r="E1" s="83" t="s">
        <v>245</v>
      </c>
      <c r="F1" s="83" t="s">
        <v>4</v>
      </c>
      <c r="G1" s="83" t="s">
        <v>387</v>
      </c>
      <c r="H1" s="83" t="s">
        <v>6</v>
      </c>
      <c r="I1" s="83" t="s">
        <v>7</v>
      </c>
      <c r="J1" s="83" t="s">
        <v>8</v>
      </c>
      <c r="K1" s="83" t="s">
        <v>9</v>
      </c>
      <c r="L1" s="93" t="s">
        <v>119</v>
      </c>
      <c r="M1" s="93" t="s">
        <v>10</v>
      </c>
      <c r="N1" s="93" t="s">
        <v>11</v>
      </c>
      <c r="O1" s="93" t="s">
        <v>120</v>
      </c>
      <c r="P1" s="93" t="s">
        <v>121</v>
      </c>
      <c r="Q1" s="3" t="s">
        <v>12</v>
      </c>
      <c r="R1" s="93" t="s">
        <v>122</v>
      </c>
      <c r="S1" s="93" t="s">
        <v>123</v>
      </c>
      <c r="T1" s="3" t="s">
        <v>13</v>
      </c>
      <c r="U1" s="114" t="s">
        <v>246</v>
      </c>
      <c r="V1" s="5" t="s">
        <v>14</v>
      </c>
      <c r="W1" s="93" t="s">
        <v>15</v>
      </c>
      <c r="X1" s="83" t="s">
        <v>16</v>
      </c>
      <c r="Y1" s="83" t="s">
        <v>17</v>
      </c>
      <c r="Z1" s="83" t="s">
        <v>247</v>
      </c>
      <c r="AA1" s="42" t="s">
        <v>19</v>
      </c>
      <c r="AB1" s="115" t="s">
        <v>124</v>
      </c>
      <c r="AE1" s="96" t="s">
        <v>0</v>
      </c>
      <c r="AF1" s="116"/>
      <c r="AG1" s="117" t="s">
        <v>3</v>
      </c>
      <c r="AH1" s="96" t="s">
        <v>4</v>
      </c>
      <c r="AI1" s="116"/>
      <c r="AJ1" s="96" t="s">
        <v>5</v>
      </c>
      <c r="AK1" s="116"/>
      <c r="AL1" s="10" t="s">
        <v>6</v>
      </c>
      <c r="AM1" s="116"/>
      <c r="AN1" s="10" t="s">
        <v>7</v>
      </c>
      <c r="AO1" s="116"/>
      <c r="AP1" s="10" t="s">
        <v>20</v>
      </c>
      <c r="AQ1" s="116"/>
      <c r="AR1" s="10" t="s">
        <v>9</v>
      </c>
      <c r="AS1" s="116"/>
      <c r="AT1" s="11" t="s">
        <v>21</v>
      </c>
      <c r="AU1" s="116"/>
      <c r="AV1" s="10" t="s">
        <v>22</v>
      </c>
      <c r="AX1" s="12" t="s">
        <v>125</v>
      </c>
      <c r="AY1" s="13" t="s">
        <v>126</v>
      </c>
      <c r="AZ1" s="13" t="s">
        <v>127</v>
      </c>
      <c r="BA1" s="14" t="s">
        <v>128</v>
      </c>
    </row>
    <row r="2" spans="1:53" x14ac:dyDescent="0.15">
      <c r="A2" s="77" t="s">
        <v>23</v>
      </c>
      <c r="B2" s="77" t="s">
        <v>160</v>
      </c>
      <c r="C2" s="77">
        <v>2020</v>
      </c>
      <c r="D2" s="118" t="s">
        <v>248</v>
      </c>
      <c r="E2" s="77" t="s">
        <v>249</v>
      </c>
      <c r="F2" s="77" t="s">
        <v>250</v>
      </c>
      <c r="G2" s="77" t="s">
        <v>31</v>
      </c>
      <c r="H2" s="77" t="s">
        <v>113</v>
      </c>
      <c r="I2" s="77" t="s">
        <v>111</v>
      </c>
      <c r="J2" s="77" t="s">
        <v>27</v>
      </c>
      <c r="K2" s="77" t="s">
        <v>112</v>
      </c>
      <c r="L2" s="77">
        <v>1</v>
      </c>
      <c r="N2" s="77">
        <v>1</v>
      </c>
      <c r="O2" s="77">
        <v>0.65</v>
      </c>
      <c r="P2" s="77">
        <v>0.75</v>
      </c>
      <c r="Q2" s="44">
        <f t="shared" ref="Q2:Q85" si="0">IF(OR(O2="",P2=""),"",AVERAGE(O2,P2))</f>
        <v>0.7</v>
      </c>
      <c r="R2" s="77">
        <v>15.4</v>
      </c>
      <c r="S2" s="77">
        <v>113</v>
      </c>
      <c r="T2" s="16">
        <f t="shared" ref="T2:T65" si="1">IF(H2="","",IF(OR(H2="GREEN",H2="GK"),IF(S2&gt;=$AX$2,VLOOKUP(S2,$AX$2:$AY$9,2,1),""),IF(S2&gt;=$AZ$2,VLOOKUP(S2,$AZ$2:$BA$9,2,1),"")))</f>
        <v>30</v>
      </c>
      <c r="U2" s="77">
        <v>96</v>
      </c>
      <c r="V2" s="16">
        <f t="shared" ref="V2:V118" si="2">IF(OR(N2="",U2="",T2=""),"",U2/N2*T2)</f>
        <v>2880</v>
      </c>
      <c r="W2" s="77">
        <v>6</v>
      </c>
      <c r="X2" s="77" t="s">
        <v>35</v>
      </c>
      <c r="Y2" s="77" t="s">
        <v>47</v>
      </c>
      <c r="Z2" s="77" t="s">
        <v>43</v>
      </c>
      <c r="AA2" s="77" t="s">
        <v>55</v>
      </c>
      <c r="AB2" s="77" t="s">
        <v>161</v>
      </c>
      <c r="AE2" s="103" t="s">
        <v>24</v>
      </c>
      <c r="AG2" s="119" t="s">
        <v>251</v>
      </c>
      <c r="AH2" s="50" t="s">
        <v>250</v>
      </c>
      <c r="AJ2" s="50" t="s">
        <v>25</v>
      </c>
      <c r="AL2" s="106" t="s">
        <v>107</v>
      </c>
      <c r="AN2" s="50" t="s">
        <v>26</v>
      </c>
      <c r="AP2" s="50" t="s">
        <v>27</v>
      </c>
      <c r="AR2" s="50" t="s">
        <v>129</v>
      </c>
      <c r="AT2" s="50" t="s">
        <v>28</v>
      </c>
      <c r="AV2" s="50" t="s">
        <v>29</v>
      </c>
      <c r="AX2" s="107">
        <v>1</v>
      </c>
      <c r="AY2" s="108">
        <v>50</v>
      </c>
      <c r="AZ2" s="108">
        <v>1</v>
      </c>
      <c r="BA2" s="109">
        <v>50</v>
      </c>
    </row>
    <row r="3" spans="1:53" x14ac:dyDescent="0.15">
      <c r="A3" s="77" t="s">
        <v>23</v>
      </c>
      <c r="B3" s="77" t="s">
        <v>160</v>
      </c>
      <c r="C3" s="77">
        <v>2020</v>
      </c>
      <c r="D3" s="118" t="s">
        <v>248</v>
      </c>
      <c r="E3" s="77" t="s">
        <v>249</v>
      </c>
      <c r="F3" s="77" t="s">
        <v>250</v>
      </c>
      <c r="G3" s="77" t="s">
        <v>31</v>
      </c>
      <c r="H3" s="77" t="s">
        <v>113</v>
      </c>
      <c r="I3" s="77" t="s">
        <v>111</v>
      </c>
      <c r="J3" s="77" t="s">
        <v>27</v>
      </c>
      <c r="K3" s="77" t="s">
        <v>112</v>
      </c>
      <c r="L3" s="77">
        <v>2</v>
      </c>
      <c r="N3" s="77">
        <v>1</v>
      </c>
      <c r="O3" s="77">
        <v>0.6</v>
      </c>
      <c r="P3" s="77">
        <v>0.75</v>
      </c>
      <c r="Q3" s="44">
        <f t="shared" si="0"/>
        <v>0.67500000000000004</v>
      </c>
      <c r="R3" s="77">
        <v>15.7</v>
      </c>
      <c r="S3" s="77">
        <v>109</v>
      </c>
      <c r="T3" s="16">
        <f t="shared" si="1"/>
        <v>33</v>
      </c>
      <c r="U3" s="77">
        <v>96</v>
      </c>
      <c r="V3" s="16">
        <f t="shared" si="2"/>
        <v>3168</v>
      </c>
      <c r="W3" s="77">
        <v>6</v>
      </c>
      <c r="X3" s="77" t="s">
        <v>35</v>
      </c>
      <c r="Y3" s="77" t="s">
        <v>47</v>
      </c>
      <c r="Z3" s="77" t="s">
        <v>43</v>
      </c>
      <c r="AA3" s="77" t="s">
        <v>55</v>
      </c>
      <c r="AB3" s="77" t="s">
        <v>161</v>
      </c>
      <c r="AE3" s="22" t="s">
        <v>30</v>
      </c>
      <c r="AG3" s="120" t="s">
        <v>252</v>
      </c>
      <c r="AH3" s="50" t="s">
        <v>253</v>
      </c>
      <c r="AJ3" s="80" t="s">
        <v>31</v>
      </c>
      <c r="AL3" s="80" t="s">
        <v>108</v>
      </c>
      <c r="AN3" s="80" t="s">
        <v>32</v>
      </c>
      <c r="AP3" s="80" t="s">
        <v>33</v>
      </c>
      <c r="AR3" s="80" t="s">
        <v>34</v>
      </c>
      <c r="AT3" s="80" t="s">
        <v>35</v>
      </c>
      <c r="AV3" s="80" t="s">
        <v>36</v>
      </c>
      <c r="AX3" s="24">
        <v>72</v>
      </c>
      <c r="AY3" s="25">
        <v>46</v>
      </c>
      <c r="AZ3" s="25">
        <v>71</v>
      </c>
      <c r="BA3" s="26">
        <v>42</v>
      </c>
    </row>
    <row r="4" spans="1:53" x14ac:dyDescent="0.15">
      <c r="A4" s="77" t="s">
        <v>23</v>
      </c>
      <c r="B4" s="77" t="s">
        <v>160</v>
      </c>
      <c r="C4" s="77">
        <v>2020</v>
      </c>
      <c r="D4" s="118" t="s">
        <v>248</v>
      </c>
      <c r="E4" s="77" t="s">
        <v>249</v>
      </c>
      <c r="F4" s="77" t="s">
        <v>250</v>
      </c>
      <c r="G4" s="77" t="s">
        <v>31</v>
      </c>
      <c r="H4" s="77" t="s">
        <v>113</v>
      </c>
      <c r="I4" s="77" t="s">
        <v>111</v>
      </c>
      <c r="J4" s="77" t="s">
        <v>27</v>
      </c>
      <c r="K4" s="77" t="s">
        <v>112</v>
      </c>
      <c r="L4" s="77">
        <v>3</v>
      </c>
      <c r="N4" s="77">
        <v>1</v>
      </c>
      <c r="O4" s="77">
        <v>0.45</v>
      </c>
      <c r="P4" s="77">
        <v>0.55000000000000004</v>
      </c>
      <c r="Q4" s="44">
        <f t="shared" si="0"/>
        <v>0.5</v>
      </c>
      <c r="R4" s="77">
        <v>15.7</v>
      </c>
      <c r="S4" s="77">
        <v>108.5</v>
      </c>
      <c r="T4" s="16">
        <f t="shared" si="1"/>
        <v>33</v>
      </c>
      <c r="U4" s="77">
        <v>96</v>
      </c>
      <c r="V4" s="16">
        <f t="shared" si="2"/>
        <v>3168</v>
      </c>
      <c r="W4" s="77">
        <v>6</v>
      </c>
      <c r="X4" s="77" t="s">
        <v>35</v>
      </c>
      <c r="Y4" s="77" t="s">
        <v>47</v>
      </c>
      <c r="Z4" s="77" t="s">
        <v>43</v>
      </c>
      <c r="AA4" s="77" t="s">
        <v>55</v>
      </c>
      <c r="AB4" s="77" t="s">
        <v>161</v>
      </c>
      <c r="AE4" s="22" t="s">
        <v>23</v>
      </c>
      <c r="AG4" s="120" t="s">
        <v>254</v>
      </c>
      <c r="AH4" s="50" t="s">
        <v>255</v>
      </c>
      <c r="AJ4" s="27" t="s">
        <v>37</v>
      </c>
      <c r="AL4" s="80" t="s">
        <v>109</v>
      </c>
      <c r="AN4" s="28" t="s">
        <v>38</v>
      </c>
      <c r="AP4" s="80" t="s">
        <v>130</v>
      </c>
      <c r="AR4" s="80" t="s">
        <v>131</v>
      </c>
      <c r="AT4" s="28"/>
      <c r="AV4" s="80" t="s">
        <v>39</v>
      </c>
      <c r="AX4" s="24">
        <v>75</v>
      </c>
      <c r="AY4" s="25">
        <v>42</v>
      </c>
      <c r="AZ4" s="25">
        <v>76</v>
      </c>
      <c r="BA4" s="26">
        <v>39</v>
      </c>
    </row>
    <row r="5" spans="1:53" x14ac:dyDescent="0.15">
      <c r="A5" s="77" t="s">
        <v>23</v>
      </c>
      <c r="B5" s="77" t="s">
        <v>160</v>
      </c>
      <c r="C5" s="77">
        <v>2020</v>
      </c>
      <c r="D5" s="118" t="s">
        <v>248</v>
      </c>
      <c r="E5" s="77" t="s">
        <v>249</v>
      </c>
      <c r="F5" s="77" t="s">
        <v>250</v>
      </c>
      <c r="G5" s="77" t="s">
        <v>31</v>
      </c>
      <c r="H5" s="77" t="s">
        <v>113</v>
      </c>
      <c r="I5" s="77" t="s">
        <v>111</v>
      </c>
      <c r="J5" s="77" t="s">
        <v>27</v>
      </c>
      <c r="K5" s="77" t="s">
        <v>112</v>
      </c>
      <c r="L5" s="77">
        <v>1</v>
      </c>
      <c r="N5" s="77">
        <v>4</v>
      </c>
      <c r="O5" s="77">
        <v>0.7</v>
      </c>
      <c r="P5" s="77">
        <v>0.75</v>
      </c>
      <c r="Q5" s="44">
        <f t="shared" si="0"/>
        <v>0.72499999999999998</v>
      </c>
      <c r="R5" s="77">
        <v>14.3</v>
      </c>
      <c r="S5" s="77">
        <v>96</v>
      </c>
      <c r="T5" s="16">
        <f t="shared" si="1"/>
        <v>36</v>
      </c>
      <c r="U5" s="77">
        <v>296</v>
      </c>
      <c r="V5" s="16">
        <f t="shared" si="2"/>
        <v>2664</v>
      </c>
      <c r="W5" s="77">
        <v>6</v>
      </c>
      <c r="X5" s="77" t="s">
        <v>35</v>
      </c>
      <c r="Y5" s="77" t="s">
        <v>47</v>
      </c>
      <c r="Z5" s="77" t="s">
        <v>43</v>
      </c>
      <c r="AA5" s="77" t="s">
        <v>55</v>
      </c>
      <c r="AB5" s="77" t="s">
        <v>161</v>
      </c>
      <c r="AE5" s="22" t="s">
        <v>40</v>
      </c>
      <c r="AG5" s="120" t="s">
        <v>256</v>
      </c>
      <c r="AH5" s="50" t="s">
        <v>257</v>
      </c>
      <c r="AJ5" s="28"/>
      <c r="AL5" s="80" t="s">
        <v>132</v>
      </c>
      <c r="AN5" s="111" t="s">
        <v>133</v>
      </c>
      <c r="AP5" s="80" t="s">
        <v>134</v>
      </c>
      <c r="AR5" s="80" t="s">
        <v>42</v>
      </c>
      <c r="AV5" s="80" t="s">
        <v>43</v>
      </c>
      <c r="AX5" s="24">
        <v>84</v>
      </c>
      <c r="AY5" s="25">
        <v>39</v>
      </c>
      <c r="AZ5" s="25">
        <v>84</v>
      </c>
      <c r="BA5" s="26">
        <v>36</v>
      </c>
    </row>
    <row r="6" spans="1:53" x14ac:dyDescent="0.15">
      <c r="A6" s="77" t="s">
        <v>23</v>
      </c>
      <c r="B6" s="77" t="s">
        <v>160</v>
      </c>
      <c r="C6" s="77">
        <v>2020</v>
      </c>
      <c r="D6" s="118" t="s">
        <v>248</v>
      </c>
      <c r="E6" s="77" t="s">
        <v>249</v>
      </c>
      <c r="F6" s="77" t="s">
        <v>250</v>
      </c>
      <c r="G6" s="77" t="s">
        <v>31</v>
      </c>
      <c r="H6" s="77" t="s">
        <v>113</v>
      </c>
      <c r="I6" s="77" t="s">
        <v>111</v>
      </c>
      <c r="J6" s="77" t="s">
        <v>27</v>
      </c>
      <c r="K6" s="77" t="s">
        <v>112</v>
      </c>
      <c r="L6" s="77">
        <v>2</v>
      </c>
      <c r="N6" s="77">
        <v>4</v>
      </c>
      <c r="O6" s="77">
        <v>0.75</v>
      </c>
      <c r="P6" s="77">
        <v>0.8</v>
      </c>
      <c r="Q6" s="44">
        <f t="shared" si="0"/>
        <v>0.77500000000000002</v>
      </c>
      <c r="R6" s="77">
        <v>14</v>
      </c>
      <c r="S6" s="77">
        <v>98</v>
      </c>
      <c r="T6" s="16">
        <f t="shared" si="1"/>
        <v>36</v>
      </c>
      <c r="U6" s="77">
        <v>296</v>
      </c>
      <c r="V6" s="16">
        <f t="shared" si="2"/>
        <v>2664</v>
      </c>
      <c r="W6" s="77">
        <v>6</v>
      </c>
      <c r="X6" s="77" t="s">
        <v>35</v>
      </c>
      <c r="Y6" s="77" t="s">
        <v>47</v>
      </c>
      <c r="Z6" s="77" t="s">
        <v>43</v>
      </c>
      <c r="AA6" s="77" t="s">
        <v>55</v>
      </c>
      <c r="AB6" s="77" t="s">
        <v>161</v>
      </c>
      <c r="AE6" s="22" t="s">
        <v>44</v>
      </c>
      <c r="AG6" s="120" t="s">
        <v>258</v>
      </c>
      <c r="AH6" s="50" t="s">
        <v>259</v>
      </c>
      <c r="AL6" s="80" t="s">
        <v>135</v>
      </c>
      <c r="AN6" s="111" t="s">
        <v>136</v>
      </c>
      <c r="AP6" s="80" t="s">
        <v>41</v>
      </c>
      <c r="AR6" s="80" t="s">
        <v>46</v>
      </c>
      <c r="AV6" s="80" t="s">
        <v>47</v>
      </c>
      <c r="AX6" s="24">
        <v>97</v>
      </c>
      <c r="AY6" s="25">
        <v>36</v>
      </c>
      <c r="AZ6" s="25">
        <v>99</v>
      </c>
      <c r="BA6" s="26">
        <v>33</v>
      </c>
    </row>
    <row r="7" spans="1:53" x14ac:dyDescent="0.15">
      <c r="A7" s="77" t="s">
        <v>23</v>
      </c>
      <c r="B7" s="77" t="s">
        <v>160</v>
      </c>
      <c r="C7" s="77">
        <v>2020</v>
      </c>
      <c r="D7" s="118" t="s">
        <v>248</v>
      </c>
      <c r="E7" s="77" t="s">
        <v>249</v>
      </c>
      <c r="F7" s="77" t="s">
        <v>250</v>
      </c>
      <c r="G7" s="77" t="s">
        <v>31</v>
      </c>
      <c r="H7" s="77" t="s">
        <v>113</v>
      </c>
      <c r="I7" s="77" t="s">
        <v>111</v>
      </c>
      <c r="J7" s="77" t="s">
        <v>27</v>
      </c>
      <c r="K7" s="77" t="s">
        <v>112</v>
      </c>
      <c r="L7" s="77">
        <v>3</v>
      </c>
      <c r="N7" s="77">
        <v>4</v>
      </c>
      <c r="O7" s="77">
        <v>0.85</v>
      </c>
      <c r="P7" s="77">
        <v>0.85</v>
      </c>
      <c r="Q7" s="44">
        <f t="shared" si="0"/>
        <v>0.85</v>
      </c>
      <c r="R7" s="77">
        <v>16</v>
      </c>
      <c r="S7" s="77">
        <v>107</v>
      </c>
      <c r="T7" s="16">
        <f t="shared" si="1"/>
        <v>33</v>
      </c>
      <c r="U7" s="77">
        <v>296</v>
      </c>
      <c r="V7" s="16">
        <f t="shared" si="2"/>
        <v>2442</v>
      </c>
      <c r="W7" s="77">
        <v>6</v>
      </c>
      <c r="X7" s="77" t="s">
        <v>35</v>
      </c>
      <c r="Y7" s="77" t="s">
        <v>47</v>
      </c>
      <c r="Z7" s="77" t="s">
        <v>43</v>
      </c>
      <c r="AA7" s="77" t="s">
        <v>55</v>
      </c>
      <c r="AB7" s="77" t="s">
        <v>161</v>
      </c>
      <c r="AE7" s="22" t="s">
        <v>48</v>
      </c>
      <c r="AG7" s="120" t="s">
        <v>260</v>
      </c>
      <c r="AH7" s="50" t="s">
        <v>261</v>
      </c>
      <c r="AL7" s="86" t="s">
        <v>137</v>
      </c>
      <c r="AP7" s="80" t="s">
        <v>45</v>
      </c>
      <c r="AR7" s="80" t="s">
        <v>102</v>
      </c>
      <c r="AV7" s="80" t="s">
        <v>51</v>
      </c>
      <c r="AX7" s="24">
        <v>109</v>
      </c>
      <c r="AY7" s="25">
        <v>33</v>
      </c>
      <c r="AZ7" s="25">
        <v>113</v>
      </c>
      <c r="BA7" s="26">
        <v>30</v>
      </c>
    </row>
    <row r="8" spans="1:53" x14ac:dyDescent="0.15">
      <c r="A8" s="77" t="s">
        <v>23</v>
      </c>
      <c r="B8" s="77" t="s">
        <v>160</v>
      </c>
      <c r="C8" s="77">
        <v>2020</v>
      </c>
      <c r="D8" s="118" t="s">
        <v>248</v>
      </c>
      <c r="E8" s="77" t="s">
        <v>249</v>
      </c>
      <c r="F8" s="77" t="s">
        <v>250</v>
      </c>
      <c r="G8" s="77" t="s">
        <v>31</v>
      </c>
      <c r="H8" s="77" t="s">
        <v>166</v>
      </c>
      <c r="I8" s="77" t="s">
        <v>111</v>
      </c>
      <c r="J8" s="77" t="s">
        <v>27</v>
      </c>
      <c r="K8" s="77" t="s">
        <v>112</v>
      </c>
      <c r="L8" s="77">
        <v>1</v>
      </c>
      <c r="N8" s="77">
        <v>1</v>
      </c>
      <c r="O8" s="77">
        <v>0.2</v>
      </c>
      <c r="P8" s="77">
        <v>0.2</v>
      </c>
      <c r="Q8" s="44">
        <f t="shared" si="0"/>
        <v>0.2</v>
      </c>
      <c r="R8" s="77">
        <v>15.3</v>
      </c>
      <c r="S8" s="77">
        <v>113.5</v>
      </c>
      <c r="T8" s="16">
        <f t="shared" si="1"/>
        <v>30</v>
      </c>
      <c r="U8" s="77">
        <v>96</v>
      </c>
      <c r="V8" s="16">
        <f t="shared" si="2"/>
        <v>2880</v>
      </c>
      <c r="W8" s="77">
        <v>6</v>
      </c>
      <c r="X8" s="77" t="s">
        <v>35</v>
      </c>
      <c r="Y8" s="77" t="s">
        <v>47</v>
      </c>
      <c r="Z8" s="77" t="s">
        <v>43</v>
      </c>
      <c r="AA8" s="77" t="s">
        <v>55</v>
      </c>
      <c r="AB8" s="77" t="s">
        <v>161</v>
      </c>
      <c r="AE8" s="22" t="s">
        <v>46</v>
      </c>
      <c r="AG8" s="120" t="s">
        <v>262</v>
      </c>
      <c r="AH8" s="50" t="s">
        <v>263</v>
      </c>
      <c r="AL8" s="86" t="s">
        <v>110</v>
      </c>
      <c r="AP8" s="80" t="s">
        <v>49</v>
      </c>
      <c r="AR8" s="80" t="s">
        <v>67</v>
      </c>
      <c r="AV8" s="80" t="s">
        <v>82</v>
      </c>
      <c r="AX8" s="24">
        <v>151</v>
      </c>
      <c r="AY8" s="25">
        <v>22</v>
      </c>
      <c r="AZ8" s="25">
        <v>152</v>
      </c>
      <c r="BA8" s="26">
        <v>18</v>
      </c>
    </row>
    <row r="9" spans="1:53" x14ac:dyDescent="0.15">
      <c r="A9" s="77" t="s">
        <v>23</v>
      </c>
      <c r="B9" s="77" t="s">
        <v>160</v>
      </c>
      <c r="C9" s="77">
        <v>2020</v>
      </c>
      <c r="D9" s="118" t="s">
        <v>248</v>
      </c>
      <c r="E9" s="77" t="s">
        <v>249</v>
      </c>
      <c r="F9" s="77" t="s">
        <v>250</v>
      </c>
      <c r="G9" s="77" t="s">
        <v>31</v>
      </c>
      <c r="H9" s="77" t="s">
        <v>166</v>
      </c>
      <c r="I9" s="77" t="s">
        <v>111</v>
      </c>
      <c r="J9" s="77" t="s">
        <v>27</v>
      </c>
      <c r="K9" s="77" t="s">
        <v>112</v>
      </c>
      <c r="L9" s="77">
        <v>2</v>
      </c>
      <c r="N9" s="77">
        <v>1</v>
      </c>
      <c r="O9" s="77">
        <v>0.5</v>
      </c>
      <c r="P9" s="77">
        <v>0.45</v>
      </c>
      <c r="Q9" s="44">
        <f t="shared" si="0"/>
        <v>0.47499999999999998</v>
      </c>
      <c r="R9" s="77">
        <v>15.8</v>
      </c>
      <c r="S9" s="77">
        <v>124</v>
      </c>
      <c r="T9" s="16">
        <f t="shared" si="1"/>
        <v>30</v>
      </c>
      <c r="U9" s="77">
        <v>96</v>
      </c>
      <c r="V9" s="16">
        <f t="shared" si="2"/>
        <v>2880</v>
      </c>
      <c r="W9" s="77">
        <v>6</v>
      </c>
      <c r="X9" s="77" t="s">
        <v>35</v>
      </c>
      <c r="Y9" s="77" t="s">
        <v>47</v>
      </c>
      <c r="Z9" s="77" t="s">
        <v>43</v>
      </c>
      <c r="AA9" s="77" t="s">
        <v>55</v>
      </c>
      <c r="AB9" s="77" t="s">
        <v>161</v>
      </c>
      <c r="AE9" s="22" t="s">
        <v>83</v>
      </c>
      <c r="AG9" s="120" t="s">
        <v>264</v>
      </c>
      <c r="AH9" s="50" t="s">
        <v>265</v>
      </c>
      <c r="AL9" s="80" t="s">
        <v>139</v>
      </c>
      <c r="AP9" s="80" t="s">
        <v>80</v>
      </c>
      <c r="AR9" s="80" t="s">
        <v>75</v>
      </c>
      <c r="AV9" s="80" t="s">
        <v>86</v>
      </c>
      <c r="AX9" s="31">
        <v>180</v>
      </c>
      <c r="AY9" s="32">
        <v>18</v>
      </c>
      <c r="AZ9" s="32">
        <v>181</v>
      </c>
      <c r="BA9" s="33">
        <v>16</v>
      </c>
    </row>
    <row r="10" spans="1:53" x14ac:dyDescent="0.15">
      <c r="A10" s="77" t="s">
        <v>23</v>
      </c>
      <c r="B10" s="77" t="s">
        <v>160</v>
      </c>
      <c r="C10" s="77">
        <v>2020</v>
      </c>
      <c r="D10" s="118" t="s">
        <v>248</v>
      </c>
      <c r="E10" s="77" t="s">
        <v>249</v>
      </c>
      <c r="F10" s="77" t="s">
        <v>250</v>
      </c>
      <c r="G10" s="77" t="s">
        <v>31</v>
      </c>
      <c r="H10" s="77" t="s">
        <v>166</v>
      </c>
      <c r="I10" s="77" t="s">
        <v>111</v>
      </c>
      <c r="J10" s="77" t="s">
        <v>27</v>
      </c>
      <c r="K10" s="77" t="s">
        <v>112</v>
      </c>
      <c r="L10" s="77">
        <v>3</v>
      </c>
      <c r="N10" s="77">
        <v>1</v>
      </c>
      <c r="O10" s="77">
        <v>0.5</v>
      </c>
      <c r="P10" s="77">
        <v>0.5</v>
      </c>
      <c r="Q10" s="44">
        <f t="shared" si="0"/>
        <v>0.5</v>
      </c>
      <c r="R10" s="77">
        <v>16.2</v>
      </c>
      <c r="S10" s="77">
        <v>124</v>
      </c>
      <c r="T10" s="16">
        <f t="shared" si="1"/>
        <v>30</v>
      </c>
      <c r="U10" s="77">
        <v>96</v>
      </c>
      <c r="V10" s="16">
        <f t="shared" si="2"/>
        <v>2880</v>
      </c>
      <c r="W10" s="77">
        <v>6</v>
      </c>
      <c r="X10" s="77" t="s">
        <v>35</v>
      </c>
      <c r="Y10" s="77" t="s">
        <v>47</v>
      </c>
      <c r="Z10" s="77" t="s">
        <v>43</v>
      </c>
      <c r="AA10" s="77" t="s">
        <v>55</v>
      </c>
      <c r="AB10" s="77" t="s">
        <v>161</v>
      </c>
      <c r="AE10" s="22" t="s">
        <v>87</v>
      </c>
      <c r="AG10" s="120" t="s">
        <v>266</v>
      </c>
      <c r="AH10" s="50" t="s">
        <v>267</v>
      </c>
      <c r="AL10" s="34"/>
      <c r="AP10" s="80" t="s">
        <v>84</v>
      </c>
      <c r="AR10" s="80" t="s">
        <v>103</v>
      </c>
      <c r="AV10" s="80" t="s">
        <v>90</v>
      </c>
    </row>
    <row r="11" spans="1:53" x14ac:dyDescent="0.15">
      <c r="A11" s="77" t="s">
        <v>23</v>
      </c>
      <c r="B11" s="77" t="s">
        <v>160</v>
      </c>
      <c r="C11" s="77">
        <v>2020</v>
      </c>
      <c r="D11" s="118" t="s">
        <v>248</v>
      </c>
      <c r="E11" s="77" t="s">
        <v>249</v>
      </c>
      <c r="F11" s="77" t="s">
        <v>250</v>
      </c>
      <c r="G11" s="77" t="s">
        <v>31</v>
      </c>
      <c r="H11" s="77" t="s">
        <v>166</v>
      </c>
      <c r="I11" s="77" t="s">
        <v>111</v>
      </c>
      <c r="J11" s="77" t="s">
        <v>27</v>
      </c>
      <c r="K11" s="77" t="s">
        <v>112</v>
      </c>
      <c r="L11" s="77">
        <v>1</v>
      </c>
      <c r="N11" s="77">
        <v>4</v>
      </c>
      <c r="O11" s="77">
        <v>0.2</v>
      </c>
      <c r="P11" s="77">
        <v>0.2</v>
      </c>
      <c r="Q11" s="44">
        <f t="shared" si="0"/>
        <v>0.2</v>
      </c>
      <c r="R11" s="77">
        <v>17.2</v>
      </c>
      <c r="S11" s="77">
        <v>104</v>
      </c>
      <c r="T11" s="16">
        <f t="shared" si="1"/>
        <v>33</v>
      </c>
      <c r="U11" s="77">
        <v>396</v>
      </c>
      <c r="V11" s="16">
        <f t="shared" si="2"/>
        <v>3267</v>
      </c>
      <c r="W11" s="77">
        <v>6</v>
      </c>
      <c r="X11" s="77" t="s">
        <v>35</v>
      </c>
      <c r="Y11" s="77" t="s">
        <v>47</v>
      </c>
      <c r="Z11" s="77" t="s">
        <v>43</v>
      </c>
      <c r="AA11" s="77" t="s">
        <v>55</v>
      </c>
      <c r="AB11" s="77" t="s">
        <v>161</v>
      </c>
      <c r="AE11" s="22" t="s">
        <v>52</v>
      </c>
      <c r="AG11" s="120" t="s">
        <v>268</v>
      </c>
      <c r="AH11" s="50" t="s">
        <v>269</v>
      </c>
      <c r="AL11" s="34"/>
      <c r="AP11" s="80" t="s">
        <v>88</v>
      </c>
      <c r="AR11" s="80" t="s">
        <v>73</v>
      </c>
      <c r="AV11" s="80" t="s">
        <v>55</v>
      </c>
    </row>
    <row r="12" spans="1:53" x14ac:dyDescent="0.15">
      <c r="A12" s="77" t="s">
        <v>23</v>
      </c>
      <c r="B12" s="77" t="s">
        <v>160</v>
      </c>
      <c r="C12" s="77">
        <v>2020</v>
      </c>
      <c r="D12" s="118" t="s">
        <v>248</v>
      </c>
      <c r="E12" s="77" t="s">
        <v>249</v>
      </c>
      <c r="F12" s="77" t="s">
        <v>250</v>
      </c>
      <c r="G12" s="77" t="s">
        <v>31</v>
      </c>
      <c r="H12" s="77" t="s">
        <v>166</v>
      </c>
      <c r="I12" s="77" t="s">
        <v>111</v>
      </c>
      <c r="J12" s="77" t="s">
        <v>27</v>
      </c>
      <c r="K12" s="77" t="s">
        <v>112</v>
      </c>
      <c r="L12" s="77">
        <v>2</v>
      </c>
      <c r="N12" s="77">
        <v>4</v>
      </c>
      <c r="O12" s="77">
        <v>0.5</v>
      </c>
      <c r="P12" s="77">
        <v>0.45</v>
      </c>
      <c r="Q12" s="44">
        <f t="shared" si="0"/>
        <v>0.47499999999999998</v>
      </c>
      <c r="R12" s="77">
        <v>18.5</v>
      </c>
      <c r="S12" s="77">
        <v>96</v>
      </c>
      <c r="T12" s="16">
        <f t="shared" si="1"/>
        <v>36</v>
      </c>
      <c r="U12" s="77">
        <v>396</v>
      </c>
      <c r="V12" s="16">
        <f t="shared" si="2"/>
        <v>3564</v>
      </c>
      <c r="W12" s="77">
        <v>6</v>
      </c>
      <c r="X12" s="77" t="s">
        <v>35</v>
      </c>
      <c r="Y12" s="77" t="s">
        <v>47</v>
      </c>
      <c r="Z12" s="77" t="s">
        <v>43</v>
      </c>
      <c r="AA12" s="77" t="s">
        <v>55</v>
      </c>
      <c r="AB12" s="77" t="s">
        <v>161</v>
      </c>
      <c r="AE12" s="22" t="s">
        <v>56</v>
      </c>
      <c r="AG12" s="28"/>
      <c r="AH12" s="80"/>
      <c r="AL12" s="34"/>
      <c r="AP12" s="80" t="s">
        <v>53</v>
      </c>
      <c r="AR12" s="80" t="s">
        <v>104</v>
      </c>
      <c r="AV12" s="80" t="s">
        <v>58</v>
      </c>
    </row>
    <row r="13" spans="1:53" x14ac:dyDescent="0.15">
      <c r="A13" s="77" t="s">
        <v>23</v>
      </c>
      <c r="B13" s="77" t="s">
        <v>160</v>
      </c>
      <c r="C13" s="77">
        <v>2020</v>
      </c>
      <c r="D13" s="118" t="s">
        <v>248</v>
      </c>
      <c r="E13" s="77" t="s">
        <v>249</v>
      </c>
      <c r="F13" s="77" t="s">
        <v>250</v>
      </c>
      <c r="G13" s="77" t="s">
        <v>31</v>
      </c>
      <c r="H13" s="77" t="s">
        <v>166</v>
      </c>
      <c r="I13" s="77" t="s">
        <v>111</v>
      </c>
      <c r="J13" s="77" t="s">
        <v>27</v>
      </c>
      <c r="K13" s="77" t="s">
        <v>112</v>
      </c>
      <c r="L13" s="77">
        <v>3</v>
      </c>
      <c r="N13" s="77">
        <v>4</v>
      </c>
      <c r="O13" s="77">
        <v>0.5</v>
      </c>
      <c r="P13" s="77">
        <v>0.5</v>
      </c>
      <c r="Q13" s="44">
        <f t="shared" si="0"/>
        <v>0.5</v>
      </c>
      <c r="R13" s="77">
        <v>12.5</v>
      </c>
      <c r="S13" s="77">
        <v>96.5</v>
      </c>
      <c r="T13" s="16">
        <f t="shared" si="1"/>
        <v>36</v>
      </c>
      <c r="U13" s="77">
        <v>396</v>
      </c>
      <c r="V13" s="16">
        <f t="shared" si="2"/>
        <v>3564</v>
      </c>
      <c r="W13" s="77">
        <v>6</v>
      </c>
      <c r="X13" s="77" t="s">
        <v>35</v>
      </c>
      <c r="Y13" s="77" t="s">
        <v>47</v>
      </c>
      <c r="Z13" s="77" t="s">
        <v>43</v>
      </c>
      <c r="AA13" s="77" t="s">
        <v>55</v>
      </c>
      <c r="AB13" s="77" t="s">
        <v>161</v>
      </c>
      <c r="AE13" s="22" t="s">
        <v>59</v>
      </c>
      <c r="AH13" s="28"/>
      <c r="AP13" s="80" t="s">
        <v>57</v>
      </c>
      <c r="AR13" s="80" t="s">
        <v>87</v>
      </c>
      <c r="AV13" s="80" t="s">
        <v>61</v>
      </c>
    </row>
    <row r="14" spans="1:53" x14ac:dyDescent="0.15">
      <c r="A14" s="77" t="s">
        <v>23</v>
      </c>
      <c r="B14" s="77" t="s">
        <v>160</v>
      </c>
      <c r="C14" s="77">
        <v>2020</v>
      </c>
      <c r="D14" s="118" t="s">
        <v>248</v>
      </c>
      <c r="E14" s="77" t="s">
        <v>270</v>
      </c>
      <c r="F14" s="77" t="s">
        <v>271</v>
      </c>
      <c r="G14" s="77" t="s">
        <v>25</v>
      </c>
      <c r="H14" s="77" t="s">
        <v>113</v>
      </c>
      <c r="I14" s="77" t="s">
        <v>111</v>
      </c>
      <c r="J14" s="77" t="s">
        <v>27</v>
      </c>
      <c r="K14" s="77" t="s">
        <v>112</v>
      </c>
      <c r="L14" s="77">
        <v>1</v>
      </c>
      <c r="N14" s="77">
        <v>1</v>
      </c>
      <c r="O14" s="77">
        <v>0.75</v>
      </c>
      <c r="P14" s="77">
        <v>0.7</v>
      </c>
      <c r="Q14" s="44">
        <f t="shared" si="0"/>
        <v>0.72499999999999998</v>
      </c>
      <c r="R14" s="77">
        <v>16.100000000000001</v>
      </c>
      <c r="S14" s="77">
        <v>140</v>
      </c>
      <c r="T14" s="16">
        <f t="shared" si="1"/>
        <v>30</v>
      </c>
      <c r="U14" s="77">
        <v>98</v>
      </c>
      <c r="V14" s="16">
        <f t="shared" si="2"/>
        <v>2940</v>
      </c>
      <c r="W14" s="77">
        <v>10</v>
      </c>
      <c r="X14" s="77" t="s">
        <v>35</v>
      </c>
      <c r="Y14" s="77" t="s">
        <v>43</v>
      </c>
      <c r="Z14" s="77" t="s">
        <v>82</v>
      </c>
      <c r="AA14" s="77" t="s">
        <v>55</v>
      </c>
      <c r="AB14" s="77" t="s">
        <v>161</v>
      </c>
      <c r="AE14" s="22" t="s">
        <v>62</v>
      </c>
      <c r="AG14" s="121"/>
      <c r="AP14" s="80" t="s">
        <v>60</v>
      </c>
      <c r="AR14" s="80" t="s">
        <v>105</v>
      </c>
      <c r="AV14" s="80" t="s">
        <v>64</v>
      </c>
    </row>
    <row r="15" spans="1:53" x14ac:dyDescent="0.15">
      <c r="A15" s="77" t="s">
        <v>23</v>
      </c>
      <c r="B15" s="77" t="s">
        <v>160</v>
      </c>
      <c r="C15" s="77">
        <v>2020</v>
      </c>
      <c r="D15" s="118" t="s">
        <v>248</v>
      </c>
      <c r="E15" s="77" t="s">
        <v>270</v>
      </c>
      <c r="F15" s="77" t="s">
        <v>271</v>
      </c>
      <c r="G15" s="77" t="s">
        <v>25</v>
      </c>
      <c r="H15" s="77" t="s">
        <v>113</v>
      </c>
      <c r="I15" s="77" t="s">
        <v>111</v>
      </c>
      <c r="J15" s="77" t="s">
        <v>27</v>
      </c>
      <c r="K15" s="77" t="s">
        <v>112</v>
      </c>
      <c r="L15" s="77">
        <v>2</v>
      </c>
      <c r="N15" s="77">
        <v>1</v>
      </c>
      <c r="O15" s="77">
        <v>0.75</v>
      </c>
      <c r="P15" s="77">
        <v>0.75</v>
      </c>
      <c r="Q15" s="44">
        <f t="shared" si="0"/>
        <v>0.75</v>
      </c>
      <c r="R15" s="77">
        <v>17.100000000000001</v>
      </c>
      <c r="S15" s="77">
        <v>145</v>
      </c>
      <c r="T15" s="16">
        <f t="shared" si="1"/>
        <v>30</v>
      </c>
      <c r="U15" s="77">
        <v>98</v>
      </c>
      <c r="V15" s="16">
        <f t="shared" si="2"/>
        <v>2940</v>
      </c>
      <c r="W15" s="77">
        <v>10</v>
      </c>
      <c r="X15" s="77" t="s">
        <v>35</v>
      </c>
      <c r="Y15" s="77" t="s">
        <v>43</v>
      </c>
      <c r="Z15" s="77" t="s">
        <v>82</v>
      </c>
      <c r="AA15" s="77" t="s">
        <v>55</v>
      </c>
      <c r="AB15" s="77" t="s">
        <v>161</v>
      </c>
      <c r="AE15" s="22" t="s">
        <v>65</v>
      </c>
      <c r="AP15" s="80" t="s">
        <v>63</v>
      </c>
      <c r="AR15" s="80" t="s">
        <v>79</v>
      </c>
      <c r="AV15" s="80" t="s">
        <v>91</v>
      </c>
    </row>
    <row r="16" spans="1:53" x14ac:dyDescent="0.15">
      <c r="A16" s="77" t="s">
        <v>23</v>
      </c>
      <c r="B16" s="77" t="s">
        <v>160</v>
      </c>
      <c r="C16" s="77">
        <v>2020</v>
      </c>
      <c r="D16" s="118" t="s">
        <v>248</v>
      </c>
      <c r="E16" s="77" t="s">
        <v>270</v>
      </c>
      <c r="F16" s="77" t="s">
        <v>271</v>
      </c>
      <c r="G16" s="77" t="s">
        <v>25</v>
      </c>
      <c r="H16" s="77" t="s">
        <v>113</v>
      </c>
      <c r="I16" s="77" t="s">
        <v>111</v>
      </c>
      <c r="J16" s="77" t="s">
        <v>27</v>
      </c>
      <c r="K16" s="77" t="s">
        <v>112</v>
      </c>
      <c r="L16" s="77">
        <v>3</v>
      </c>
      <c r="N16" s="77">
        <v>1</v>
      </c>
      <c r="O16" s="77">
        <v>0.5</v>
      </c>
      <c r="P16" s="77">
        <v>0.5</v>
      </c>
      <c r="Q16" s="44">
        <f t="shared" si="0"/>
        <v>0.5</v>
      </c>
      <c r="R16" s="77">
        <v>17</v>
      </c>
      <c r="S16" s="77">
        <v>148.5</v>
      </c>
      <c r="T16" s="16">
        <f t="shared" si="1"/>
        <v>30</v>
      </c>
      <c r="U16" s="77">
        <v>98</v>
      </c>
      <c r="V16" s="16">
        <f t="shared" si="2"/>
        <v>2940</v>
      </c>
      <c r="W16" s="77">
        <v>10</v>
      </c>
      <c r="X16" s="77" t="s">
        <v>35</v>
      </c>
      <c r="Y16" s="77" t="s">
        <v>43</v>
      </c>
      <c r="Z16" s="77" t="s">
        <v>82</v>
      </c>
      <c r="AA16" s="77" t="s">
        <v>55</v>
      </c>
      <c r="AB16" s="77" t="s">
        <v>161</v>
      </c>
      <c r="AE16" s="22" t="s">
        <v>68</v>
      </c>
      <c r="AP16" s="80" t="s">
        <v>66</v>
      </c>
      <c r="AR16" s="80" t="s">
        <v>50</v>
      </c>
      <c r="AV16" s="80" t="s">
        <v>70</v>
      </c>
    </row>
    <row r="17" spans="1:48" x14ac:dyDescent="0.15">
      <c r="A17" s="77" t="s">
        <v>23</v>
      </c>
      <c r="B17" s="77" t="s">
        <v>160</v>
      </c>
      <c r="C17" s="77">
        <v>2020</v>
      </c>
      <c r="D17" s="118" t="s">
        <v>248</v>
      </c>
      <c r="E17" s="77" t="s">
        <v>270</v>
      </c>
      <c r="F17" s="77" t="s">
        <v>271</v>
      </c>
      <c r="G17" s="77" t="s">
        <v>25</v>
      </c>
      <c r="H17" s="77" t="s">
        <v>113</v>
      </c>
      <c r="I17" s="77" t="s">
        <v>111</v>
      </c>
      <c r="J17" s="77" t="s">
        <v>27</v>
      </c>
      <c r="K17" s="77" t="s">
        <v>112</v>
      </c>
      <c r="L17" s="77">
        <v>1</v>
      </c>
      <c r="N17" s="77">
        <v>8</v>
      </c>
      <c r="O17" s="77">
        <v>0.2</v>
      </c>
      <c r="P17" s="77">
        <v>0.5</v>
      </c>
      <c r="Q17" s="44">
        <f>IF(OR(O18="",P17=""),"",AVERAGE(O18,P17))</f>
        <v>0.35</v>
      </c>
      <c r="R17" s="77">
        <v>12.6</v>
      </c>
      <c r="S17" s="77">
        <v>86.5</v>
      </c>
      <c r="T17" s="16">
        <f t="shared" si="1"/>
        <v>36</v>
      </c>
      <c r="U17" s="77">
        <v>498</v>
      </c>
      <c r="V17" s="16">
        <f t="shared" si="2"/>
        <v>2241</v>
      </c>
      <c r="W17" s="77">
        <v>10</v>
      </c>
      <c r="X17" s="77" t="s">
        <v>35</v>
      </c>
      <c r="Y17" s="77" t="s">
        <v>43</v>
      </c>
      <c r="Z17" s="77" t="s">
        <v>82</v>
      </c>
      <c r="AA17" s="77" t="s">
        <v>55</v>
      </c>
      <c r="AB17" s="77" t="s">
        <v>161</v>
      </c>
      <c r="AE17" s="22" t="s">
        <v>71</v>
      </c>
      <c r="AP17" s="27" t="s">
        <v>93</v>
      </c>
      <c r="AR17" s="80" t="s">
        <v>81</v>
      </c>
      <c r="AV17" s="80" t="s">
        <v>72</v>
      </c>
    </row>
    <row r="18" spans="1:48" x14ac:dyDescent="0.15">
      <c r="A18" s="77" t="s">
        <v>23</v>
      </c>
      <c r="B18" s="77" t="s">
        <v>160</v>
      </c>
      <c r="C18" s="77">
        <v>2020</v>
      </c>
      <c r="D18" s="118" t="s">
        <v>248</v>
      </c>
      <c r="E18" s="77" t="s">
        <v>270</v>
      </c>
      <c r="F18" s="77" t="s">
        <v>271</v>
      </c>
      <c r="G18" s="77" t="s">
        <v>25</v>
      </c>
      <c r="H18" s="77" t="s">
        <v>113</v>
      </c>
      <c r="I18" s="77" t="s">
        <v>111</v>
      </c>
      <c r="J18" s="77" t="s">
        <v>27</v>
      </c>
      <c r="K18" s="77" t="s">
        <v>112</v>
      </c>
      <c r="L18" s="77">
        <v>2</v>
      </c>
      <c r="N18" s="77">
        <v>8</v>
      </c>
      <c r="O18" s="77">
        <v>0.2</v>
      </c>
      <c r="P18" s="77">
        <v>0.2</v>
      </c>
      <c r="Q18" s="44">
        <f>IF(OR(O19="",P18=""),"",AVERAGE(O19,P18))</f>
        <v>0.2</v>
      </c>
      <c r="R18" s="77">
        <v>12.6</v>
      </c>
      <c r="S18" s="77">
        <v>91.5</v>
      </c>
      <c r="T18" s="16">
        <f t="shared" si="1"/>
        <v>36</v>
      </c>
      <c r="U18" s="77">
        <v>498</v>
      </c>
      <c r="V18" s="16">
        <f t="shared" si="2"/>
        <v>2241</v>
      </c>
      <c r="W18" s="77">
        <v>10</v>
      </c>
      <c r="X18" s="77" t="s">
        <v>35</v>
      </c>
      <c r="Y18" s="77" t="s">
        <v>43</v>
      </c>
      <c r="Z18" s="77" t="s">
        <v>82</v>
      </c>
      <c r="AA18" s="77" t="s">
        <v>55</v>
      </c>
      <c r="AB18" s="77" t="s">
        <v>161</v>
      </c>
      <c r="AE18" s="22" t="s">
        <v>73</v>
      </c>
      <c r="AP18" s="27" t="s">
        <v>94</v>
      </c>
      <c r="AR18" s="80" t="s">
        <v>85</v>
      </c>
      <c r="AV18" s="80" t="s">
        <v>74</v>
      </c>
    </row>
    <row r="19" spans="1:48" x14ac:dyDescent="0.15">
      <c r="A19" s="77" t="s">
        <v>23</v>
      </c>
      <c r="B19" s="77" t="s">
        <v>160</v>
      </c>
      <c r="C19" s="77">
        <v>2020</v>
      </c>
      <c r="D19" s="118" t="s">
        <v>248</v>
      </c>
      <c r="E19" s="77" t="s">
        <v>270</v>
      </c>
      <c r="F19" s="77" t="s">
        <v>271</v>
      </c>
      <c r="G19" s="77" t="s">
        <v>25</v>
      </c>
      <c r="H19" s="77" t="s">
        <v>113</v>
      </c>
      <c r="I19" s="77" t="s">
        <v>111</v>
      </c>
      <c r="J19" s="77" t="s">
        <v>27</v>
      </c>
      <c r="K19" s="77" t="s">
        <v>112</v>
      </c>
      <c r="L19" s="77">
        <v>3</v>
      </c>
      <c r="N19" s="77">
        <v>8</v>
      </c>
      <c r="O19" s="77">
        <v>0.2</v>
      </c>
      <c r="P19" s="77">
        <v>0.5</v>
      </c>
      <c r="Q19" s="44">
        <f>IF(OR(O20="",P19=""),"",AVERAGE(O20,P19))</f>
        <v>0.55000000000000004</v>
      </c>
      <c r="R19" s="77">
        <v>13.4</v>
      </c>
      <c r="S19" s="77">
        <v>89.5</v>
      </c>
      <c r="T19" s="16">
        <f t="shared" si="1"/>
        <v>36</v>
      </c>
      <c r="U19" s="77">
        <v>498</v>
      </c>
      <c r="V19" s="16">
        <f t="shared" si="2"/>
        <v>2241</v>
      </c>
      <c r="W19" s="77">
        <v>10</v>
      </c>
      <c r="X19" s="77" t="s">
        <v>35</v>
      </c>
      <c r="Y19" s="77" t="s">
        <v>43</v>
      </c>
      <c r="Z19" s="77" t="s">
        <v>82</v>
      </c>
      <c r="AA19" s="77" t="s">
        <v>55</v>
      </c>
      <c r="AB19" s="77" t="s">
        <v>161</v>
      </c>
      <c r="AE19" s="35" t="s">
        <v>75</v>
      </c>
      <c r="AP19" s="27" t="s">
        <v>95</v>
      </c>
      <c r="AR19" s="80" t="s">
        <v>106</v>
      </c>
      <c r="AV19" s="80" t="s">
        <v>76</v>
      </c>
    </row>
    <row r="20" spans="1:48" x14ac:dyDescent="0.15">
      <c r="A20" s="77" t="s">
        <v>23</v>
      </c>
      <c r="B20" s="77" t="s">
        <v>160</v>
      </c>
      <c r="C20" s="77">
        <v>2020</v>
      </c>
      <c r="D20" s="118" t="s">
        <v>248</v>
      </c>
      <c r="E20" s="77" t="s">
        <v>270</v>
      </c>
      <c r="F20" s="77" t="s">
        <v>271</v>
      </c>
      <c r="G20" s="77" t="s">
        <v>25</v>
      </c>
      <c r="H20" s="77" t="s">
        <v>113</v>
      </c>
      <c r="I20" s="77" t="s">
        <v>111</v>
      </c>
      <c r="J20" s="77" t="s">
        <v>27</v>
      </c>
      <c r="K20" s="77" t="s">
        <v>112</v>
      </c>
      <c r="L20" s="77">
        <v>1</v>
      </c>
      <c r="N20" s="77">
        <v>1</v>
      </c>
      <c r="O20" s="77">
        <v>0.6</v>
      </c>
      <c r="P20" s="77">
        <v>0.5</v>
      </c>
      <c r="Q20" s="44">
        <f>IF(OR(O21="",P20=""),"",AVERAGE(O21,P20))</f>
        <v>0.5</v>
      </c>
      <c r="R20" s="77">
        <v>15.4</v>
      </c>
      <c r="S20" s="77">
        <v>149.5</v>
      </c>
      <c r="T20" s="16">
        <f t="shared" si="1"/>
        <v>30</v>
      </c>
      <c r="U20" s="77">
        <v>98</v>
      </c>
      <c r="V20" s="16">
        <f t="shared" si="2"/>
        <v>2940</v>
      </c>
      <c r="W20" s="77">
        <v>10</v>
      </c>
      <c r="X20" s="77" t="s">
        <v>35</v>
      </c>
      <c r="Y20" s="77" t="s">
        <v>43</v>
      </c>
      <c r="Z20" s="77" t="s">
        <v>82</v>
      </c>
      <c r="AA20" s="77" t="s">
        <v>55</v>
      </c>
      <c r="AB20" s="77" t="s">
        <v>161</v>
      </c>
      <c r="AP20" s="27" t="s">
        <v>96</v>
      </c>
      <c r="AR20" s="80" t="s">
        <v>89</v>
      </c>
      <c r="AV20" s="27" t="s">
        <v>114</v>
      </c>
    </row>
    <row r="21" spans="1:48" x14ac:dyDescent="0.15">
      <c r="A21" s="77" t="s">
        <v>23</v>
      </c>
      <c r="B21" s="77" t="s">
        <v>160</v>
      </c>
      <c r="C21" s="77">
        <v>2020</v>
      </c>
      <c r="D21" s="118" t="s">
        <v>248</v>
      </c>
      <c r="E21" s="77" t="s">
        <v>270</v>
      </c>
      <c r="F21" s="77" t="s">
        <v>271</v>
      </c>
      <c r="G21" s="77" t="s">
        <v>25</v>
      </c>
      <c r="H21" s="77" t="s">
        <v>113</v>
      </c>
      <c r="I21" s="77" t="s">
        <v>111</v>
      </c>
      <c r="J21" s="77" t="s">
        <v>27</v>
      </c>
      <c r="K21" s="77" t="s">
        <v>112</v>
      </c>
      <c r="L21" s="77">
        <v>2</v>
      </c>
      <c r="N21" s="77">
        <v>1</v>
      </c>
      <c r="O21" s="77">
        <v>0.5</v>
      </c>
      <c r="P21" s="77">
        <v>0.5</v>
      </c>
      <c r="Q21" s="44">
        <f>IF(OR(O22="",P21=""),"",AVERAGE(O22,P21))</f>
        <v>0.52500000000000002</v>
      </c>
      <c r="R21" s="77">
        <v>15.5</v>
      </c>
      <c r="S21" s="77">
        <v>137.5</v>
      </c>
      <c r="T21" s="16">
        <f t="shared" si="1"/>
        <v>30</v>
      </c>
      <c r="U21" s="77">
        <v>98</v>
      </c>
      <c r="V21" s="16">
        <f t="shared" si="2"/>
        <v>2940</v>
      </c>
      <c r="W21" s="77">
        <v>10</v>
      </c>
      <c r="X21" s="77" t="s">
        <v>35</v>
      </c>
      <c r="Y21" s="77" t="s">
        <v>43</v>
      </c>
      <c r="Z21" s="77" t="s">
        <v>82</v>
      </c>
      <c r="AA21" s="77" t="s">
        <v>55</v>
      </c>
      <c r="AB21" s="77" t="s">
        <v>161</v>
      </c>
      <c r="AP21" s="27" t="s">
        <v>97</v>
      </c>
      <c r="AR21" s="80" t="s">
        <v>54</v>
      </c>
      <c r="AV21" s="27" t="s">
        <v>115</v>
      </c>
    </row>
    <row r="22" spans="1:48" x14ac:dyDescent="0.15">
      <c r="A22" s="77" t="s">
        <v>23</v>
      </c>
      <c r="B22" s="77" t="s">
        <v>160</v>
      </c>
      <c r="C22" s="77">
        <v>2020</v>
      </c>
      <c r="D22" s="118" t="s">
        <v>248</v>
      </c>
      <c r="E22" s="77" t="s">
        <v>270</v>
      </c>
      <c r="F22" s="77" t="s">
        <v>271</v>
      </c>
      <c r="G22" s="77" t="s">
        <v>25</v>
      </c>
      <c r="H22" s="77" t="s">
        <v>113</v>
      </c>
      <c r="I22" s="77" t="s">
        <v>111</v>
      </c>
      <c r="J22" s="77" t="s">
        <v>27</v>
      </c>
      <c r="K22" s="77" t="s">
        <v>112</v>
      </c>
      <c r="L22" s="77">
        <v>3</v>
      </c>
      <c r="N22" s="77">
        <v>1</v>
      </c>
      <c r="O22" s="77">
        <v>0.55000000000000004</v>
      </c>
      <c r="P22" s="77">
        <v>0.55000000000000004</v>
      </c>
      <c r="Q22" s="44">
        <f t="shared" ref="Q22:Q23" si="3">IF(OR(O23="",P22=""),"",AVERAGE(O23,P22))</f>
        <v>0.55000000000000004</v>
      </c>
      <c r="R22" s="77">
        <v>15.8</v>
      </c>
      <c r="S22" s="77">
        <v>140.5</v>
      </c>
      <c r="T22" s="16">
        <f t="shared" si="1"/>
        <v>30</v>
      </c>
      <c r="U22" s="77">
        <v>98</v>
      </c>
      <c r="V22" s="16">
        <f t="shared" si="2"/>
        <v>2940</v>
      </c>
      <c r="W22" s="77">
        <v>10</v>
      </c>
      <c r="X22" s="77" t="s">
        <v>35</v>
      </c>
      <c r="Y22" s="77" t="s">
        <v>43</v>
      </c>
      <c r="Z22" s="77" t="s">
        <v>82</v>
      </c>
      <c r="AA22" s="77" t="s">
        <v>55</v>
      </c>
      <c r="AB22" s="77" t="s">
        <v>161</v>
      </c>
      <c r="AP22" s="27" t="s">
        <v>98</v>
      </c>
      <c r="AR22" s="80" t="s">
        <v>69</v>
      </c>
      <c r="AV22" s="27"/>
    </row>
    <row r="23" spans="1:48" x14ac:dyDescent="0.15">
      <c r="A23" s="77" t="s">
        <v>23</v>
      </c>
      <c r="B23" s="77" t="s">
        <v>160</v>
      </c>
      <c r="C23" s="77">
        <v>2020</v>
      </c>
      <c r="D23" s="118" t="s">
        <v>248</v>
      </c>
      <c r="E23" s="77" t="s">
        <v>270</v>
      </c>
      <c r="F23" s="77" t="s">
        <v>271</v>
      </c>
      <c r="G23" s="77" t="s">
        <v>25</v>
      </c>
      <c r="H23" s="77" t="s">
        <v>166</v>
      </c>
      <c r="I23" s="77" t="s">
        <v>111</v>
      </c>
      <c r="J23" s="77" t="s">
        <v>27</v>
      </c>
      <c r="K23" s="77" t="s">
        <v>112</v>
      </c>
      <c r="L23" s="77">
        <v>1</v>
      </c>
      <c r="N23" s="77">
        <v>8</v>
      </c>
      <c r="O23" s="77">
        <v>0.55000000000000004</v>
      </c>
      <c r="P23" s="77">
        <v>0.5</v>
      </c>
      <c r="Q23" s="44">
        <f t="shared" si="3"/>
        <v>0.52500000000000002</v>
      </c>
      <c r="R23" s="77">
        <v>15.6</v>
      </c>
      <c r="S23" s="77">
        <v>98</v>
      </c>
      <c r="T23" s="16">
        <f t="shared" si="1"/>
        <v>36</v>
      </c>
      <c r="U23" s="77">
        <v>598</v>
      </c>
      <c r="V23" s="16">
        <f t="shared" si="2"/>
        <v>2691</v>
      </c>
      <c r="W23" s="77">
        <v>10</v>
      </c>
      <c r="X23" s="77" t="s">
        <v>35</v>
      </c>
      <c r="Y23" s="77" t="s">
        <v>43</v>
      </c>
      <c r="Z23" s="77" t="s">
        <v>82</v>
      </c>
      <c r="AA23" s="77" t="s">
        <v>55</v>
      </c>
      <c r="AB23" s="77" t="s">
        <v>161</v>
      </c>
      <c r="AP23" s="27" t="s">
        <v>100</v>
      </c>
      <c r="AR23" s="80" t="s">
        <v>138</v>
      </c>
    </row>
    <row r="24" spans="1:48" x14ac:dyDescent="0.15">
      <c r="A24" s="77" t="s">
        <v>23</v>
      </c>
      <c r="B24" s="77" t="s">
        <v>160</v>
      </c>
      <c r="C24" s="77">
        <v>2020</v>
      </c>
      <c r="D24" s="118" t="s">
        <v>248</v>
      </c>
      <c r="E24" s="77" t="s">
        <v>270</v>
      </c>
      <c r="F24" s="77" t="s">
        <v>271</v>
      </c>
      <c r="G24" s="77" t="s">
        <v>25</v>
      </c>
      <c r="H24" s="77" t="s">
        <v>166</v>
      </c>
      <c r="I24" s="77" t="s">
        <v>111</v>
      </c>
      <c r="J24" s="77" t="s">
        <v>27</v>
      </c>
      <c r="K24" s="77" t="s">
        <v>112</v>
      </c>
      <c r="L24" s="77">
        <v>2</v>
      </c>
      <c r="N24" s="77">
        <v>8</v>
      </c>
      <c r="O24" s="77">
        <v>0.55000000000000004</v>
      </c>
      <c r="P24" s="77">
        <v>0.5</v>
      </c>
      <c r="Q24" s="44">
        <f t="shared" si="0"/>
        <v>0.52500000000000002</v>
      </c>
      <c r="R24" s="77">
        <v>15.7</v>
      </c>
      <c r="S24" s="77">
        <v>101.5</v>
      </c>
      <c r="T24" s="16">
        <f t="shared" si="1"/>
        <v>33</v>
      </c>
      <c r="U24" s="77">
        <v>598</v>
      </c>
      <c r="V24" s="16">
        <f t="shared" si="2"/>
        <v>2466.75</v>
      </c>
      <c r="W24" s="77">
        <v>10</v>
      </c>
      <c r="X24" s="77" t="s">
        <v>35</v>
      </c>
      <c r="Y24" s="77" t="s">
        <v>43</v>
      </c>
      <c r="Z24" s="77" t="s">
        <v>82</v>
      </c>
      <c r="AA24" s="77" t="s">
        <v>55</v>
      </c>
      <c r="AB24" s="77" t="s">
        <v>161</v>
      </c>
      <c r="AP24" s="27" t="s">
        <v>101</v>
      </c>
      <c r="AR24" s="80" t="s">
        <v>159</v>
      </c>
    </row>
    <row r="25" spans="1:48" x14ac:dyDescent="0.15">
      <c r="A25" s="77" t="s">
        <v>23</v>
      </c>
      <c r="B25" s="77" t="s">
        <v>160</v>
      </c>
      <c r="C25" s="77">
        <v>2020</v>
      </c>
      <c r="D25" s="118" t="s">
        <v>248</v>
      </c>
      <c r="E25" s="77" t="s">
        <v>270</v>
      </c>
      <c r="F25" s="77" t="s">
        <v>271</v>
      </c>
      <c r="G25" s="77" t="s">
        <v>25</v>
      </c>
      <c r="H25" s="77" t="s">
        <v>166</v>
      </c>
      <c r="I25" s="77" t="s">
        <v>111</v>
      </c>
      <c r="J25" s="77" t="s">
        <v>27</v>
      </c>
      <c r="K25" s="77" t="s">
        <v>112</v>
      </c>
      <c r="L25" s="77">
        <v>3</v>
      </c>
      <c r="N25" s="77">
        <v>8</v>
      </c>
      <c r="O25" s="77">
        <v>0.45</v>
      </c>
      <c r="P25" s="77">
        <v>0.45</v>
      </c>
      <c r="Q25" s="44">
        <f t="shared" si="0"/>
        <v>0.45</v>
      </c>
      <c r="R25" s="77">
        <v>17.100000000000001</v>
      </c>
      <c r="S25" s="77">
        <v>96</v>
      </c>
      <c r="T25" s="16">
        <f t="shared" si="1"/>
        <v>36</v>
      </c>
      <c r="U25" s="77">
        <v>598</v>
      </c>
      <c r="V25" s="16">
        <f t="shared" si="2"/>
        <v>2691</v>
      </c>
      <c r="W25" s="77">
        <v>10</v>
      </c>
      <c r="X25" s="77" t="s">
        <v>35</v>
      </c>
      <c r="Y25" s="77" t="s">
        <v>43</v>
      </c>
      <c r="Z25" s="77" t="s">
        <v>82</v>
      </c>
      <c r="AA25" s="77" t="s">
        <v>55</v>
      </c>
      <c r="AB25" s="77" t="s">
        <v>161</v>
      </c>
      <c r="AP25" s="27" t="s">
        <v>156</v>
      </c>
      <c r="AR25" s="80" t="s">
        <v>158</v>
      </c>
    </row>
    <row r="26" spans="1:48" x14ac:dyDescent="0.15">
      <c r="A26" s="77" t="s">
        <v>23</v>
      </c>
      <c r="B26" s="77" t="s">
        <v>160</v>
      </c>
      <c r="C26" s="77">
        <v>2020</v>
      </c>
      <c r="D26" s="118" t="s">
        <v>248</v>
      </c>
      <c r="E26" s="77" t="s">
        <v>270</v>
      </c>
      <c r="F26" s="77" t="s">
        <v>271</v>
      </c>
      <c r="G26" s="77" t="s">
        <v>25</v>
      </c>
      <c r="H26" s="77" t="s">
        <v>166</v>
      </c>
      <c r="I26" s="77" t="s">
        <v>111</v>
      </c>
      <c r="J26" s="77" t="s">
        <v>27</v>
      </c>
      <c r="K26" s="77" t="s">
        <v>112</v>
      </c>
      <c r="L26" s="77">
        <v>1</v>
      </c>
      <c r="N26" s="77">
        <v>4</v>
      </c>
      <c r="O26" s="77">
        <v>0.5</v>
      </c>
      <c r="P26" s="77">
        <v>0.45</v>
      </c>
      <c r="Q26" s="44">
        <f t="shared" si="0"/>
        <v>0.47499999999999998</v>
      </c>
      <c r="R26" s="77">
        <v>15.9</v>
      </c>
      <c r="S26" s="77">
        <v>96.5</v>
      </c>
      <c r="T26" s="16">
        <f t="shared" si="1"/>
        <v>36</v>
      </c>
      <c r="U26" s="77">
        <v>298</v>
      </c>
      <c r="V26" s="16">
        <f t="shared" si="2"/>
        <v>2682</v>
      </c>
      <c r="W26" s="77">
        <v>10</v>
      </c>
      <c r="X26" s="77" t="s">
        <v>35</v>
      </c>
      <c r="Y26" s="77" t="s">
        <v>43</v>
      </c>
      <c r="Z26" s="77" t="s">
        <v>82</v>
      </c>
      <c r="AA26" s="77" t="s">
        <v>55</v>
      </c>
      <c r="AB26" s="77" t="s">
        <v>161</v>
      </c>
      <c r="AP26" s="27" t="s">
        <v>157</v>
      </c>
      <c r="AR26" s="28"/>
    </row>
    <row r="27" spans="1:48" x14ac:dyDescent="0.15">
      <c r="A27" s="77" t="s">
        <v>23</v>
      </c>
      <c r="B27" s="77" t="s">
        <v>160</v>
      </c>
      <c r="C27" s="77">
        <v>2020</v>
      </c>
      <c r="D27" s="118" t="s">
        <v>248</v>
      </c>
      <c r="E27" s="77" t="s">
        <v>270</v>
      </c>
      <c r="F27" s="77" t="s">
        <v>271</v>
      </c>
      <c r="G27" s="77" t="s">
        <v>25</v>
      </c>
      <c r="H27" s="77" t="s">
        <v>166</v>
      </c>
      <c r="I27" s="77" t="s">
        <v>111</v>
      </c>
      <c r="J27" s="77" t="s">
        <v>27</v>
      </c>
      <c r="K27" s="77" t="s">
        <v>112</v>
      </c>
      <c r="L27" s="77">
        <v>2</v>
      </c>
      <c r="N27" s="77">
        <v>4</v>
      </c>
      <c r="O27" s="77">
        <v>0.2</v>
      </c>
      <c r="P27" s="77">
        <v>0.5</v>
      </c>
      <c r="Q27" s="44">
        <f t="shared" si="0"/>
        <v>0.35</v>
      </c>
      <c r="R27" s="77">
        <v>16.2</v>
      </c>
      <c r="S27" s="77">
        <v>104.5</v>
      </c>
      <c r="T27" s="16">
        <f t="shared" si="1"/>
        <v>33</v>
      </c>
      <c r="U27" s="77">
        <v>298</v>
      </c>
      <c r="V27" s="16">
        <f t="shared" si="2"/>
        <v>2458.5</v>
      </c>
      <c r="W27" s="77">
        <v>10</v>
      </c>
      <c r="X27" s="77" t="s">
        <v>35</v>
      </c>
      <c r="Y27" s="77" t="s">
        <v>43</v>
      </c>
      <c r="Z27" s="77" t="s">
        <v>82</v>
      </c>
      <c r="AA27" s="77" t="s">
        <v>55</v>
      </c>
      <c r="AB27" s="77" t="s">
        <v>161</v>
      </c>
    </row>
    <row r="28" spans="1:48" x14ac:dyDescent="0.15">
      <c r="A28" s="77" t="s">
        <v>23</v>
      </c>
      <c r="B28" s="77" t="s">
        <v>160</v>
      </c>
      <c r="C28" s="77">
        <v>2020</v>
      </c>
      <c r="D28" s="118" t="s">
        <v>248</v>
      </c>
      <c r="E28" s="77" t="s">
        <v>270</v>
      </c>
      <c r="F28" s="77" t="s">
        <v>271</v>
      </c>
      <c r="G28" s="77" t="s">
        <v>25</v>
      </c>
      <c r="H28" s="77" t="s">
        <v>166</v>
      </c>
      <c r="I28" s="77" t="s">
        <v>111</v>
      </c>
      <c r="J28" s="77" t="s">
        <v>27</v>
      </c>
      <c r="K28" s="77" t="s">
        <v>112</v>
      </c>
      <c r="L28" s="77">
        <v>3</v>
      </c>
      <c r="N28" s="77">
        <v>4</v>
      </c>
      <c r="O28" s="77">
        <v>0.45</v>
      </c>
      <c r="P28" s="77">
        <v>0.5</v>
      </c>
      <c r="Q28" s="44">
        <f t="shared" si="0"/>
        <v>0.47499999999999998</v>
      </c>
      <c r="R28" s="77">
        <v>15.8</v>
      </c>
      <c r="S28" s="77">
        <v>106.5</v>
      </c>
      <c r="T28" s="16">
        <f t="shared" si="1"/>
        <v>33</v>
      </c>
      <c r="U28" s="77">
        <v>298</v>
      </c>
      <c r="V28" s="16">
        <f t="shared" si="2"/>
        <v>2458.5</v>
      </c>
      <c r="W28" s="77">
        <v>10</v>
      </c>
      <c r="X28" s="77" t="s">
        <v>35</v>
      </c>
      <c r="Y28" s="77" t="s">
        <v>43</v>
      </c>
      <c r="Z28" s="77" t="s">
        <v>82</v>
      </c>
      <c r="AA28" s="77" t="s">
        <v>55</v>
      </c>
      <c r="AB28" s="77" t="s">
        <v>161</v>
      </c>
    </row>
    <row r="29" spans="1:48" x14ac:dyDescent="0.15">
      <c r="A29" s="77" t="s">
        <v>23</v>
      </c>
      <c r="B29" s="77" t="s">
        <v>160</v>
      </c>
      <c r="C29" s="77">
        <v>2020</v>
      </c>
      <c r="D29" s="118" t="s">
        <v>248</v>
      </c>
      <c r="E29" s="77" t="s">
        <v>170</v>
      </c>
      <c r="F29" s="77" t="s">
        <v>255</v>
      </c>
      <c r="G29" s="77" t="s">
        <v>25</v>
      </c>
      <c r="H29" s="77" t="s">
        <v>113</v>
      </c>
      <c r="I29" s="77" t="s">
        <v>111</v>
      </c>
      <c r="J29" s="77" t="s">
        <v>27</v>
      </c>
      <c r="K29" s="77" t="s">
        <v>112</v>
      </c>
      <c r="L29" s="77">
        <v>1</v>
      </c>
      <c r="N29" s="77">
        <v>1</v>
      </c>
      <c r="O29" s="77">
        <v>0.45</v>
      </c>
      <c r="P29" s="77">
        <v>0.6</v>
      </c>
      <c r="Q29" s="44">
        <f t="shared" si="0"/>
        <v>0.52500000000000002</v>
      </c>
      <c r="R29" s="77">
        <v>15.7</v>
      </c>
      <c r="S29" s="77">
        <v>90.5</v>
      </c>
      <c r="T29" s="16">
        <f t="shared" si="1"/>
        <v>36</v>
      </c>
      <c r="U29" s="77">
        <v>98</v>
      </c>
      <c r="V29" s="16">
        <f t="shared" si="2"/>
        <v>3528</v>
      </c>
      <c r="W29" s="77">
        <v>6</v>
      </c>
      <c r="X29" s="77" t="s">
        <v>35</v>
      </c>
      <c r="Y29" s="77" t="s">
        <v>74</v>
      </c>
      <c r="Z29" s="77" t="s">
        <v>55</v>
      </c>
      <c r="AA29" s="77" t="s">
        <v>43</v>
      </c>
      <c r="AB29" s="77" t="s">
        <v>161</v>
      </c>
    </row>
    <row r="30" spans="1:48" x14ac:dyDescent="0.15">
      <c r="A30" s="77" t="s">
        <v>23</v>
      </c>
      <c r="B30" s="77" t="s">
        <v>160</v>
      </c>
      <c r="C30" s="77">
        <v>2020</v>
      </c>
      <c r="D30" s="118" t="s">
        <v>248</v>
      </c>
      <c r="E30" s="77" t="s">
        <v>170</v>
      </c>
      <c r="F30" s="77" t="s">
        <v>255</v>
      </c>
      <c r="G30" s="77" t="s">
        <v>25</v>
      </c>
      <c r="H30" s="77" t="s">
        <v>113</v>
      </c>
      <c r="I30" s="77" t="s">
        <v>111</v>
      </c>
      <c r="J30" s="77" t="s">
        <v>27</v>
      </c>
      <c r="K30" s="77" t="s">
        <v>112</v>
      </c>
      <c r="L30" s="77">
        <v>2</v>
      </c>
      <c r="N30" s="77">
        <v>1</v>
      </c>
      <c r="O30" s="77">
        <v>0.2</v>
      </c>
      <c r="P30" s="77">
        <v>0.2</v>
      </c>
      <c r="Q30" s="44">
        <f t="shared" si="0"/>
        <v>0.2</v>
      </c>
      <c r="R30" s="77">
        <v>15.7</v>
      </c>
      <c r="S30" s="77">
        <v>90.5</v>
      </c>
      <c r="T30" s="16">
        <f t="shared" si="1"/>
        <v>36</v>
      </c>
      <c r="U30" s="77">
        <v>98</v>
      </c>
      <c r="V30" s="16">
        <f t="shared" si="2"/>
        <v>3528</v>
      </c>
      <c r="W30" s="77">
        <v>6</v>
      </c>
      <c r="X30" s="77" t="s">
        <v>35</v>
      </c>
      <c r="Y30" s="77" t="s">
        <v>74</v>
      </c>
      <c r="Z30" s="77" t="s">
        <v>55</v>
      </c>
      <c r="AA30" s="77" t="s">
        <v>43</v>
      </c>
      <c r="AB30" s="77" t="s">
        <v>161</v>
      </c>
    </row>
    <row r="31" spans="1:48" x14ac:dyDescent="0.15">
      <c r="A31" s="77" t="s">
        <v>23</v>
      </c>
      <c r="B31" s="77" t="s">
        <v>160</v>
      </c>
      <c r="C31" s="77">
        <v>2020</v>
      </c>
      <c r="D31" s="118" t="s">
        <v>248</v>
      </c>
      <c r="E31" s="77" t="s">
        <v>170</v>
      </c>
      <c r="F31" s="77" t="s">
        <v>255</v>
      </c>
      <c r="G31" s="77" t="s">
        <v>25</v>
      </c>
      <c r="H31" s="77" t="s">
        <v>113</v>
      </c>
      <c r="I31" s="77" t="s">
        <v>111</v>
      </c>
      <c r="J31" s="77" t="s">
        <v>27</v>
      </c>
      <c r="K31" s="77" t="s">
        <v>112</v>
      </c>
      <c r="L31" s="77">
        <v>3</v>
      </c>
      <c r="N31" s="77">
        <v>1</v>
      </c>
      <c r="O31" s="77">
        <v>0.5</v>
      </c>
      <c r="P31" s="77">
        <v>0.5</v>
      </c>
      <c r="Q31" s="44">
        <f t="shared" si="0"/>
        <v>0.5</v>
      </c>
      <c r="R31" s="77">
        <v>15.8</v>
      </c>
      <c r="S31" s="77">
        <v>83</v>
      </c>
      <c r="T31" s="16">
        <f t="shared" si="1"/>
        <v>39</v>
      </c>
      <c r="U31" s="77">
        <v>98</v>
      </c>
      <c r="V31" s="16">
        <f t="shared" si="2"/>
        <v>3822</v>
      </c>
      <c r="W31" s="77">
        <v>6</v>
      </c>
      <c r="X31" s="77" t="s">
        <v>35</v>
      </c>
      <c r="Y31" s="77" t="s">
        <v>74</v>
      </c>
      <c r="Z31" s="77" t="s">
        <v>55</v>
      </c>
      <c r="AA31" s="77" t="s">
        <v>43</v>
      </c>
      <c r="AB31" s="77" t="s">
        <v>161</v>
      </c>
    </row>
    <row r="32" spans="1:48" x14ac:dyDescent="0.15">
      <c r="A32" s="77" t="s">
        <v>23</v>
      </c>
      <c r="B32" s="77" t="s">
        <v>160</v>
      </c>
      <c r="C32" s="77">
        <v>2020</v>
      </c>
      <c r="D32" s="118" t="s">
        <v>248</v>
      </c>
      <c r="E32" s="77" t="s">
        <v>170</v>
      </c>
      <c r="F32" s="77" t="s">
        <v>255</v>
      </c>
      <c r="G32" s="77" t="s">
        <v>25</v>
      </c>
      <c r="H32" s="77" t="s">
        <v>113</v>
      </c>
      <c r="I32" s="77" t="s">
        <v>165</v>
      </c>
      <c r="J32" s="77" t="s">
        <v>27</v>
      </c>
      <c r="K32" s="77" t="s">
        <v>112</v>
      </c>
      <c r="L32" s="77">
        <v>1</v>
      </c>
      <c r="N32" s="77">
        <v>6</v>
      </c>
      <c r="O32" s="77">
        <v>0.6</v>
      </c>
      <c r="P32" s="77">
        <v>0.7</v>
      </c>
      <c r="Q32" s="44">
        <f t="shared" si="0"/>
        <v>0.64999999999999991</v>
      </c>
      <c r="R32" s="77">
        <v>15.9</v>
      </c>
      <c r="S32" s="77">
        <v>89.5</v>
      </c>
      <c r="T32" s="16">
        <f t="shared" si="1"/>
        <v>36</v>
      </c>
      <c r="U32" s="77">
        <v>298</v>
      </c>
      <c r="V32" s="16">
        <f t="shared" si="2"/>
        <v>1788</v>
      </c>
      <c r="W32" s="77">
        <v>6</v>
      </c>
      <c r="X32" s="77" t="s">
        <v>35</v>
      </c>
      <c r="Y32" s="77" t="s">
        <v>74</v>
      </c>
      <c r="Z32" s="77" t="s">
        <v>55</v>
      </c>
      <c r="AA32" s="77" t="s">
        <v>43</v>
      </c>
      <c r="AB32" s="77" t="s">
        <v>161</v>
      </c>
    </row>
    <row r="33" spans="1:28" x14ac:dyDescent="0.15">
      <c r="A33" s="77" t="s">
        <v>23</v>
      </c>
      <c r="B33" s="77" t="s">
        <v>160</v>
      </c>
      <c r="C33" s="77">
        <v>2020</v>
      </c>
      <c r="D33" s="118" t="s">
        <v>248</v>
      </c>
      <c r="E33" s="77" t="s">
        <v>170</v>
      </c>
      <c r="F33" s="77" t="s">
        <v>255</v>
      </c>
      <c r="G33" s="77" t="s">
        <v>25</v>
      </c>
      <c r="H33" s="77" t="s">
        <v>113</v>
      </c>
      <c r="I33" s="77" t="s">
        <v>165</v>
      </c>
      <c r="J33" s="77" t="s">
        <v>27</v>
      </c>
      <c r="K33" s="77" t="s">
        <v>112</v>
      </c>
      <c r="L33" s="77">
        <v>2</v>
      </c>
      <c r="N33" s="77">
        <v>6</v>
      </c>
      <c r="O33" s="77">
        <v>0.5</v>
      </c>
      <c r="P33" s="77">
        <v>0.5</v>
      </c>
      <c r="Q33" s="44">
        <f t="shared" si="0"/>
        <v>0.5</v>
      </c>
      <c r="R33" s="77">
        <v>16</v>
      </c>
      <c r="S33" s="77">
        <v>85</v>
      </c>
      <c r="T33" s="16">
        <f t="shared" si="1"/>
        <v>36</v>
      </c>
      <c r="U33" s="77">
        <v>298</v>
      </c>
      <c r="V33" s="16">
        <f t="shared" si="2"/>
        <v>1788</v>
      </c>
      <c r="W33" s="77">
        <v>6</v>
      </c>
      <c r="X33" s="77" t="s">
        <v>35</v>
      </c>
      <c r="Y33" s="77" t="s">
        <v>74</v>
      </c>
      <c r="Z33" s="77" t="s">
        <v>55</v>
      </c>
      <c r="AA33" s="77" t="s">
        <v>43</v>
      </c>
      <c r="AB33" s="77" t="s">
        <v>161</v>
      </c>
    </row>
    <row r="34" spans="1:28" x14ac:dyDescent="0.15">
      <c r="A34" s="77" t="s">
        <v>23</v>
      </c>
      <c r="B34" s="77" t="s">
        <v>160</v>
      </c>
      <c r="C34" s="77">
        <v>2020</v>
      </c>
      <c r="D34" s="118" t="s">
        <v>248</v>
      </c>
      <c r="E34" s="77" t="s">
        <v>170</v>
      </c>
      <c r="F34" s="77" t="s">
        <v>255</v>
      </c>
      <c r="G34" s="77" t="s">
        <v>25</v>
      </c>
      <c r="H34" s="77" t="s">
        <v>113</v>
      </c>
      <c r="I34" s="77" t="s">
        <v>165</v>
      </c>
      <c r="J34" s="77" t="s">
        <v>27</v>
      </c>
      <c r="K34" s="77" t="s">
        <v>112</v>
      </c>
      <c r="L34" s="77">
        <v>3</v>
      </c>
      <c r="N34" s="77">
        <v>6</v>
      </c>
      <c r="O34" s="77">
        <v>0.6</v>
      </c>
      <c r="P34" s="77">
        <v>0.75</v>
      </c>
      <c r="Q34" s="44">
        <f t="shared" si="0"/>
        <v>0.67500000000000004</v>
      </c>
      <c r="R34" s="77">
        <v>12.8</v>
      </c>
      <c r="S34" s="77">
        <v>90.5</v>
      </c>
      <c r="T34" s="16">
        <f t="shared" si="1"/>
        <v>36</v>
      </c>
      <c r="U34" s="77">
        <v>298</v>
      </c>
      <c r="V34" s="16">
        <f t="shared" si="2"/>
        <v>1788</v>
      </c>
      <c r="W34" s="77">
        <v>6</v>
      </c>
      <c r="X34" s="77" t="s">
        <v>35</v>
      </c>
      <c r="Y34" s="77" t="s">
        <v>74</v>
      </c>
      <c r="Z34" s="77" t="s">
        <v>55</v>
      </c>
      <c r="AA34" s="77" t="s">
        <v>43</v>
      </c>
      <c r="AB34" s="77" t="s">
        <v>161</v>
      </c>
    </row>
    <row r="35" spans="1:28" x14ac:dyDescent="0.15">
      <c r="A35" s="77" t="s">
        <v>23</v>
      </c>
      <c r="B35" s="77" t="s">
        <v>160</v>
      </c>
      <c r="C35" s="77">
        <v>2020</v>
      </c>
      <c r="D35" s="118" t="s">
        <v>248</v>
      </c>
      <c r="E35" s="77" t="s">
        <v>170</v>
      </c>
      <c r="F35" s="77" t="s">
        <v>255</v>
      </c>
      <c r="G35" s="77" t="s">
        <v>25</v>
      </c>
      <c r="H35" s="77" t="s">
        <v>113</v>
      </c>
      <c r="I35" s="77" t="s">
        <v>111</v>
      </c>
      <c r="J35" s="77" t="s">
        <v>27</v>
      </c>
      <c r="K35" s="77" t="s">
        <v>112</v>
      </c>
      <c r="L35" s="77">
        <v>1</v>
      </c>
      <c r="N35" s="77">
        <v>4</v>
      </c>
      <c r="O35" s="77">
        <v>0.2</v>
      </c>
      <c r="P35" s="77">
        <v>0.2</v>
      </c>
      <c r="Q35" s="44">
        <f t="shared" si="0"/>
        <v>0.2</v>
      </c>
      <c r="R35" s="77">
        <v>15.5</v>
      </c>
      <c r="S35" s="77">
        <v>79</v>
      </c>
      <c r="T35" s="16">
        <f t="shared" si="1"/>
        <v>39</v>
      </c>
      <c r="U35" s="77">
        <v>398</v>
      </c>
      <c r="V35" s="16">
        <f t="shared" si="2"/>
        <v>3880.5</v>
      </c>
      <c r="W35" s="77">
        <v>6</v>
      </c>
      <c r="X35" s="77" t="s">
        <v>35</v>
      </c>
      <c r="Y35" s="77" t="s">
        <v>74</v>
      </c>
      <c r="Z35" s="77" t="s">
        <v>55</v>
      </c>
      <c r="AA35" s="77" t="s">
        <v>43</v>
      </c>
      <c r="AB35" s="77" t="s">
        <v>161</v>
      </c>
    </row>
    <row r="36" spans="1:28" x14ac:dyDescent="0.15">
      <c r="A36" s="77" t="s">
        <v>23</v>
      </c>
      <c r="B36" s="77" t="s">
        <v>160</v>
      </c>
      <c r="C36" s="77">
        <v>2020</v>
      </c>
      <c r="D36" s="118" t="s">
        <v>248</v>
      </c>
      <c r="E36" s="77" t="s">
        <v>170</v>
      </c>
      <c r="F36" s="77" t="s">
        <v>255</v>
      </c>
      <c r="G36" s="77" t="s">
        <v>25</v>
      </c>
      <c r="H36" s="77" t="s">
        <v>113</v>
      </c>
      <c r="I36" s="77" t="s">
        <v>111</v>
      </c>
      <c r="J36" s="77" t="s">
        <v>27</v>
      </c>
      <c r="K36" s="77" t="s">
        <v>112</v>
      </c>
      <c r="L36" s="77">
        <v>2</v>
      </c>
      <c r="N36" s="77">
        <v>4</v>
      </c>
      <c r="O36" s="77">
        <v>0.2</v>
      </c>
      <c r="P36" s="77">
        <v>0.2</v>
      </c>
      <c r="Q36" s="44">
        <f t="shared" si="0"/>
        <v>0.2</v>
      </c>
      <c r="R36" s="77">
        <v>15.9</v>
      </c>
      <c r="S36" s="77">
        <v>82</v>
      </c>
      <c r="T36" s="16">
        <f t="shared" si="1"/>
        <v>39</v>
      </c>
      <c r="U36" s="77">
        <v>398</v>
      </c>
      <c r="V36" s="16">
        <f t="shared" si="2"/>
        <v>3880.5</v>
      </c>
      <c r="W36" s="77">
        <v>6</v>
      </c>
      <c r="X36" s="77" t="s">
        <v>35</v>
      </c>
      <c r="Y36" s="77" t="s">
        <v>74</v>
      </c>
      <c r="Z36" s="77" t="s">
        <v>55</v>
      </c>
      <c r="AA36" s="77" t="s">
        <v>43</v>
      </c>
      <c r="AB36" s="77" t="s">
        <v>161</v>
      </c>
    </row>
    <row r="37" spans="1:28" x14ac:dyDescent="0.15">
      <c r="A37" s="77" t="s">
        <v>23</v>
      </c>
      <c r="B37" s="77" t="s">
        <v>160</v>
      </c>
      <c r="C37" s="77">
        <v>2020</v>
      </c>
      <c r="D37" s="118" t="s">
        <v>248</v>
      </c>
      <c r="E37" s="77" t="s">
        <v>170</v>
      </c>
      <c r="F37" s="77" t="s">
        <v>255</v>
      </c>
      <c r="G37" s="77" t="s">
        <v>25</v>
      </c>
      <c r="H37" s="77" t="s">
        <v>113</v>
      </c>
      <c r="I37" s="77" t="s">
        <v>111</v>
      </c>
      <c r="J37" s="77" t="s">
        <v>27</v>
      </c>
      <c r="K37" s="77" t="s">
        <v>112</v>
      </c>
      <c r="L37" s="77">
        <v>3</v>
      </c>
      <c r="N37" s="77">
        <v>4</v>
      </c>
      <c r="O37" s="77">
        <v>0.2</v>
      </c>
      <c r="P37" s="77">
        <v>0.2</v>
      </c>
      <c r="Q37" s="44">
        <f t="shared" si="0"/>
        <v>0.2</v>
      </c>
      <c r="R37" s="77">
        <v>15.2</v>
      </c>
      <c r="S37" s="77">
        <v>83</v>
      </c>
      <c r="T37" s="16">
        <f t="shared" si="1"/>
        <v>39</v>
      </c>
      <c r="U37" s="77">
        <v>398</v>
      </c>
      <c r="V37" s="16">
        <f t="shared" si="2"/>
        <v>3880.5</v>
      </c>
      <c r="W37" s="77">
        <v>6</v>
      </c>
      <c r="X37" s="77" t="s">
        <v>35</v>
      </c>
      <c r="Y37" s="77" t="s">
        <v>74</v>
      </c>
      <c r="Z37" s="77" t="s">
        <v>55</v>
      </c>
      <c r="AA37" s="77" t="s">
        <v>43</v>
      </c>
      <c r="AB37" s="77" t="s">
        <v>161</v>
      </c>
    </row>
    <row r="38" spans="1:28" x14ac:dyDescent="0.15">
      <c r="A38" s="77" t="s">
        <v>23</v>
      </c>
      <c r="B38" s="77" t="s">
        <v>160</v>
      </c>
      <c r="C38" s="77">
        <v>2020</v>
      </c>
      <c r="D38" s="118" t="s">
        <v>248</v>
      </c>
      <c r="E38" s="77" t="s">
        <v>170</v>
      </c>
      <c r="F38" s="77" t="s">
        <v>255</v>
      </c>
      <c r="G38" s="77" t="s">
        <v>25</v>
      </c>
      <c r="H38" s="77" t="s">
        <v>166</v>
      </c>
      <c r="I38" s="77" t="s">
        <v>111</v>
      </c>
      <c r="J38" s="77" t="s">
        <v>27</v>
      </c>
      <c r="K38" s="77" t="s">
        <v>112</v>
      </c>
      <c r="L38" s="77">
        <v>1</v>
      </c>
      <c r="N38" s="77">
        <v>1</v>
      </c>
      <c r="O38" s="77">
        <v>0.2</v>
      </c>
      <c r="P38" s="77">
        <v>0.2</v>
      </c>
      <c r="Q38" s="44">
        <f t="shared" si="0"/>
        <v>0.2</v>
      </c>
      <c r="R38" s="77">
        <v>16.600000000000001</v>
      </c>
      <c r="S38" s="77">
        <v>127.5</v>
      </c>
      <c r="T38" s="16">
        <f t="shared" si="1"/>
        <v>30</v>
      </c>
      <c r="U38" s="77">
        <v>138</v>
      </c>
      <c r="V38" s="16">
        <f t="shared" si="2"/>
        <v>4140</v>
      </c>
      <c r="W38" s="77">
        <v>6</v>
      </c>
      <c r="X38" s="77" t="s">
        <v>35</v>
      </c>
      <c r="Y38" s="77" t="s">
        <v>74</v>
      </c>
      <c r="Z38" s="77" t="s">
        <v>55</v>
      </c>
      <c r="AA38" s="77" t="s">
        <v>43</v>
      </c>
      <c r="AB38" s="77" t="s">
        <v>161</v>
      </c>
    </row>
    <row r="39" spans="1:28" x14ac:dyDescent="0.15">
      <c r="A39" s="77" t="s">
        <v>23</v>
      </c>
      <c r="B39" s="77" t="s">
        <v>160</v>
      </c>
      <c r="C39" s="77">
        <v>2020</v>
      </c>
      <c r="D39" s="118" t="s">
        <v>248</v>
      </c>
      <c r="E39" s="77" t="s">
        <v>170</v>
      </c>
      <c r="F39" s="77" t="s">
        <v>255</v>
      </c>
      <c r="G39" s="77" t="s">
        <v>25</v>
      </c>
      <c r="H39" s="77" t="s">
        <v>166</v>
      </c>
      <c r="I39" s="77" t="s">
        <v>111</v>
      </c>
      <c r="J39" s="77" t="s">
        <v>27</v>
      </c>
      <c r="K39" s="77" t="s">
        <v>112</v>
      </c>
      <c r="L39" s="77">
        <v>2</v>
      </c>
      <c r="N39" s="77">
        <v>1</v>
      </c>
      <c r="O39" s="77">
        <v>0.45</v>
      </c>
      <c r="P39" s="77">
        <v>0.55000000000000004</v>
      </c>
      <c r="Q39" s="44">
        <f t="shared" si="0"/>
        <v>0.5</v>
      </c>
      <c r="R39" s="77">
        <v>16.5</v>
      </c>
      <c r="S39" s="77">
        <v>133.5</v>
      </c>
      <c r="T39" s="16">
        <f t="shared" si="1"/>
        <v>30</v>
      </c>
      <c r="U39" s="77">
        <v>138</v>
      </c>
      <c r="V39" s="16">
        <f t="shared" si="2"/>
        <v>4140</v>
      </c>
      <c r="W39" s="77">
        <v>6</v>
      </c>
      <c r="X39" s="77" t="s">
        <v>35</v>
      </c>
      <c r="Y39" s="77" t="s">
        <v>74</v>
      </c>
      <c r="Z39" s="77" t="s">
        <v>55</v>
      </c>
      <c r="AA39" s="77" t="s">
        <v>43</v>
      </c>
      <c r="AB39" s="77" t="s">
        <v>161</v>
      </c>
    </row>
    <row r="40" spans="1:28" x14ac:dyDescent="0.15">
      <c r="A40" s="77" t="s">
        <v>23</v>
      </c>
      <c r="B40" s="77" t="s">
        <v>160</v>
      </c>
      <c r="C40" s="77">
        <v>2020</v>
      </c>
      <c r="D40" s="118" t="s">
        <v>248</v>
      </c>
      <c r="E40" s="77" t="s">
        <v>170</v>
      </c>
      <c r="F40" s="77" t="s">
        <v>255</v>
      </c>
      <c r="G40" s="77" t="s">
        <v>25</v>
      </c>
      <c r="H40" s="77" t="s">
        <v>166</v>
      </c>
      <c r="I40" s="77" t="s">
        <v>111</v>
      </c>
      <c r="J40" s="77" t="s">
        <v>27</v>
      </c>
      <c r="K40" s="77" t="s">
        <v>112</v>
      </c>
      <c r="L40" s="77">
        <v>3</v>
      </c>
      <c r="N40" s="77">
        <v>1</v>
      </c>
      <c r="O40" s="77">
        <v>0.2</v>
      </c>
      <c r="P40" s="77">
        <v>0.2</v>
      </c>
      <c r="Q40" s="44">
        <f>IF(OR(O40="",P40=""),"",AVERAGE(O40,P40))</f>
        <v>0.2</v>
      </c>
      <c r="R40" s="77">
        <v>19.899999999999999</v>
      </c>
      <c r="S40" s="77">
        <v>133</v>
      </c>
      <c r="T40" s="16">
        <f t="shared" si="1"/>
        <v>30</v>
      </c>
      <c r="U40" s="77">
        <v>138</v>
      </c>
      <c r="V40" s="16">
        <f t="shared" si="2"/>
        <v>4140</v>
      </c>
      <c r="W40" s="77">
        <v>6</v>
      </c>
      <c r="X40" s="77" t="s">
        <v>35</v>
      </c>
      <c r="Y40" s="77" t="s">
        <v>74</v>
      </c>
      <c r="Z40" s="77" t="s">
        <v>55</v>
      </c>
      <c r="AA40" s="77" t="s">
        <v>43</v>
      </c>
      <c r="AB40" s="77" t="s">
        <v>161</v>
      </c>
    </row>
    <row r="41" spans="1:28" x14ac:dyDescent="0.15">
      <c r="A41" s="77" t="s">
        <v>23</v>
      </c>
      <c r="B41" s="77" t="s">
        <v>160</v>
      </c>
      <c r="C41" s="77">
        <v>2020</v>
      </c>
      <c r="D41" s="118" t="s">
        <v>248</v>
      </c>
      <c r="E41" s="77" t="s">
        <v>170</v>
      </c>
      <c r="F41" s="77" t="s">
        <v>255</v>
      </c>
      <c r="G41" s="77" t="s">
        <v>25</v>
      </c>
      <c r="H41" s="77" t="s">
        <v>166</v>
      </c>
      <c r="I41" s="77" t="s">
        <v>165</v>
      </c>
      <c r="J41" s="77" t="s">
        <v>27</v>
      </c>
      <c r="K41" s="77" t="s">
        <v>112</v>
      </c>
      <c r="L41" s="77">
        <v>1</v>
      </c>
      <c r="N41" s="77">
        <v>4</v>
      </c>
      <c r="O41" s="77">
        <v>0.2</v>
      </c>
      <c r="P41" s="77">
        <v>0.55000000000000004</v>
      </c>
      <c r="Q41" s="44">
        <f t="shared" ref="Q41:Q42" si="4">IF(OR(O41="",P41=""),"",AVERAGE(O41,P41))</f>
        <v>0.375</v>
      </c>
      <c r="R41" s="77">
        <v>17.5</v>
      </c>
      <c r="S41" s="77">
        <v>103</v>
      </c>
      <c r="T41" s="16">
        <f t="shared" si="1"/>
        <v>33</v>
      </c>
      <c r="U41" s="77">
        <v>580</v>
      </c>
      <c r="V41" s="16">
        <f t="shared" si="2"/>
        <v>4785</v>
      </c>
      <c r="W41" s="77">
        <v>6</v>
      </c>
      <c r="X41" s="77" t="s">
        <v>35</v>
      </c>
      <c r="Y41" s="77" t="s">
        <v>74</v>
      </c>
      <c r="Z41" s="77" t="s">
        <v>55</v>
      </c>
      <c r="AA41" s="77" t="s">
        <v>43</v>
      </c>
      <c r="AB41" s="77" t="s">
        <v>161</v>
      </c>
    </row>
    <row r="42" spans="1:28" x14ac:dyDescent="0.15">
      <c r="A42" s="77" t="s">
        <v>23</v>
      </c>
      <c r="B42" s="77" t="s">
        <v>160</v>
      </c>
      <c r="C42" s="77">
        <v>2020</v>
      </c>
      <c r="D42" s="118" t="s">
        <v>248</v>
      </c>
      <c r="E42" s="77" t="s">
        <v>170</v>
      </c>
      <c r="F42" s="77" t="s">
        <v>255</v>
      </c>
      <c r="G42" s="77" t="s">
        <v>25</v>
      </c>
      <c r="H42" s="77" t="s">
        <v>166</v>
      </c>
      <c r="I42" s="77" t="s">
        <v>165</v>
      </c>
      <c r="J42" s="77" t="s">
        <v>27</v>
      </c>
      <c r="K42" s="77" t="s">
        <v>112</v>
      </c>
      <c r="L42" s="77">
        <v>2</v>
      </c>
      <c r="N42" s="77">
        <v>4</v>
      </c>
      <c r="O42" s="77">
        <v>0.2</v>
      </c>
      <c r="P42" s="77">
        <v>0.45</v>
      </c>
      <c r="Q42" s="44">
        <f t="shared" si="4"/>
        <v>0.32500000000000001</v>
      </c>
      <c r="R42" s="77">
        <v>17.5</v>
      </c>
      <c r="S42" s="77">
        <v>93</v>
      </c>
      <c r="T42" s="16">
        <f t="shared" si="1"/>
        <v>36</v>
      </c>
      <c r="U42" s="77">
        <v>580</v>
      </c>
      <c r="V42" s="16">
        <f t="shared" si="2"/>
        <v>5220</v>
      </c>
      <c r="W42" s="77">
        <v>6</v>
      </c>
      <c r="X42" s="77" t="s">
        <v>35</v>
      </c>
      <c r="Y42" s="77" t="s">
        <v>74</v>
      </c>
      <c r="Z42" s="77" t="s">
        <v>55</v>
      </c>
      <c r="AA42" s="77" t="s">
        <v>43</v>
      </c>
      <c r="AB42" s="77" t="s">
        <v>161</v>
      </c>
    </row>
    <row r="43" spans="1:28" x14ac:dyDescent="0.15">
      <c r="A43" s="77" t="s">
        <v>23</v>
      </c>
      <c r="B43" s="77" t="s">
        <v>160</v>
      </c>
      <c r="C43" s="77">
        <v>2020</v>
      </c>
      <c r="D43" s="118" t="s">
        <v>248</v>
      </c>
      <c r="E43" s="77" t="s">
        <v>170</v>
      </c>
      <c r="F43" s="77" t="s">
        <v>255</v>
      </c>
      <c r="G43" s="77" t="s">
        <v>25</v>
      </c>
      <c r="H43" s="77" t="s">
        <v>166</v>
      </c>
      <c r="I43" s="77" t="s">
        <v>165</v>
      </c>
      <c r="J43" s="77" t="s">
        <v>27</v>
      </c>
      <c r="K43" s="77" t="s">
        <v>112</v>
      </c>
      <c r="L43" s="77">
        <v>3</v>
      </c>
      <c r="N43" s="77">
        <v>4</v>
      </c>
      <c r="O43" s="77">
        <v>0.2</v>
      </c>
      <c r="P43" s="77">
        <v>0.5</v>
      </c>
      <c r="Q43" s="44">
        <f>IF(OR(O43="",P43=""),"",AVERAGE(O43,P43))</f>
        <v>0.35</v>
      </c>
      <c r="R43" s="77">
        <v>15.9</v>
      </c>
      <c r="S43" s="77">
        <v>100.5</v>
      </c>
      <c r="T43" s="16">
        <f t="shared" si="1"/>
        <v>33</v>
      </c>
      <c r="U43" s="77">
        <v>580</v>
      </c>
      <c r="V43" s="16">
        <f t="shared" si="2"/>
        <v>4785</v>
      </c>
      <c r="W43" s="77">
        <v>6</v>
      </c>
      <c r="X43" s="77" t="s">
        <v>35</v>
      </c>
      <c r="Y43" s="77" t="s">
        <v>74</v>
      </c>
      <c r="Z43" s="77" t="s">
        <v>55</v>
      </c>
      <c r="AA43" s="77" t="s">
        <v>43</v>
      </c>
      <c r="AB43" s="77" t="s">
        <v>161</v>
      </c>
    </row>
    <row r="44" spans="1:28" x14ac:dyDescent="0.15">
      <c r="A44" s="77" t="s">
        <v>23</v>
      </c>
      <c r="B44" s="77" t="s">
        <v>160</v>
      </c>
      <c r="C44" s="77">
        <v>2020</v>
      </c>
      <c r="D44" s="118" t="s">
        <v>248</v>
      </c>
      <c r="E44" s="77" t="s">
        <v>272</v>
      </c>
      <c r="F44" s="77" t="s">
        <v>257</v>
      </c>
      <c r="G44" s="77" t="s">
        <v>31</v>
      </c>
      <c r="H44" s="77" t="s">
        <v>113</v>
      </c>
      <c r="I44" s="77" t="s">
        <v>111</v>
      </c>
      <c r="J44" s="77" t="s">
        <v>27</v>
      </c>
      <c r="K44" s="77" t="s">
        <v>112</v>
      </c>
      <c r="L44" s="77">
        <v>1</v>
      </c>
      <c r="N44" s="77">
        <v>1</v>
      </c>
      <c r="O44" s="77">
        <v>0.65</v>
      </c>
      <c r="P44" s="77">
        <v>0.8</v>
      </c>
      <c r="Q44" s="44">
        <f t="shared" si="0"/>
        <v>0.72500000000000009</v>
      </c>
      <c r="R44" s="77">
        <v>13.7</v>
      </c>
      <c r="S44" s="77">
        <v>138</v>
      </c>
      <c r="T44" s="16">
        <f t="shared" si="1"/>
        <v>30</v>
      </c>
      <c r="U44" s="77">
        <v>98</v>
      </c>
      <c r="V44" s="16">
        <f t="shared" ref="V44:V45" si="5">IF(OR(N47="",U44="",T44=""),"",U44/N47*T44)</f>
        <v>2940</v>
      </c>
      <c r="W44" s="77">
        <v>3</v>
      </c>
      <c r="X44" s="77" t="s">
        <v>35</v>
      </c>
      <c r="Y44" s="77" t="s">
        <v>74</v>
      </c>
      <c r="Z44" s="77" t="s">
        <v>64</v>
      </c>
      <c r="AA44" s="77" t="s">
        <v>82</v>
      </c>
      <c r="AB44" s="77" t="s">
        <v>161</v>
      </c>
    </row>
    <row r="45" spans="1:28" x14ac:dyDescent="0.15">
      <c r="A45" s="77" t="s">
        <v>23</v>
      </c>
      <c r="B45" s="77" t="s">
        <v>160</v>
      </c>
      <c r="C45" s="77">
        <v>2020</v>
      </c>
      <c r="D45" s="118" t="s">
        <v>248</v>
      </c>
      <c r="E45" s="77" t="s">
        <v>272</v>
      </c>
      <c r="F45" s="77" t="s">
        <v>257</v>
      </c>
      <c r="G45" s="77" t="s">
        <v>31</v>
      </c>
      <c r="H45" s="77" t="s">
        <v>113</v>
      </c>
      <c r="I45" s="77" t="s">
        <v>111</v>
      </c>
      <c r="J45" s="77" t="s">
        <v>27</v>
      </c>
      <c r="K45" s="77" t="s">
        <v>112</v>
      </c>
      <c r="L45" s="77">
        <v>2</v>
      </c>
      <c r="N45" s="77">
        <v>1</v>
      </c>
      <c r="O45" s="77">
        <v>0.6</v>
      </c>
      <c r="P45" s="77">
        <v>0.7</v>
      </c>
      <c r="Q45" s="44">
        <f t="shared" si="0"/>
        <v>0.64999999999999991</v>
      </c>
      <c r="R45" s="77">
        <v>15.7</v>
      </c>
      <c r="S45" s="77">
        <v>133.5</v>
      </c>
      <c r="T45" s="16">
        <f t="shared" si="1"/>
        <v>30</v>
      </c>
      <c r="U45" s="77">
        <v>98</v>
      </c>
      <c r="V45" s="16">
        <f t="shared" si="5"/>
        <v>2940</v>
      </c>
      <c r="W45" s="77">
        <v>3</v>
      </c>
      <c r="X45" s="77" t="s">
        <v>35</v>
      </c>
      <c r="Y45" s="77" t="s">
        <v>74</v>
      </c>
      <c r="Z45" s="77" t="s">
        <v>64</v>
      </c>
      <c r="AA45" s="77" t="s">
        <v>82</v>
      </c>
      <c r="AB45" s="77" t="s">
        <v>161</v>
      </c>
    </row>
    <row r="46" spans="1:28" x14ac:dyDescent="0.15">
      <c r="A46" s="77" t="s">
        <v>23</v>
      </c>
      <c r="B46" s="77" t="s">
        <v>160</v>
      </c>
      <c r="C46" s="77">
        <v>2020</v>
      </c>
      <c r="D46" s="118" t="s">
        <v>248</v>
      </c>
      <c r="E46" s="77" t="s">
        <v>272</v>
      </c>
      <c r="F46" s="77" t="s">
        <v>257</v>
      </c>
      <c r="G46" s="77" t="s">
        <v>31</v>
      </c>
      <c r="H46" s="77" t="s">
        <v>113</v>
      </c>
      <c r="I46" s="77" t="s">
        <v>111</v>
      </c>
      <c r="J46" s="77" t="s">
        <v>27</v>
      </c>
      <c r="K46" s="77" t="s">
        <v>112</v>
      </c>
      <c r="L46" s="77">
        <v>3</v>
      </c>
      <c r="N46" s="77">
        <v>1</v>
      </c>
      <c r="O46" s="77">
        <v>0.7</v>
      </c>
      <c r="P46" s="77">
        <v>0.6</v>
      </c>
      <c r="Q46" s="44">
        <f t="shared" si="0"/>
        <v>0.64999999999999991</v>
      </c>
      <c r="R46" s="77">
        <v>15.7</v>
      </c>
      <c r="S46" s="77">
        <v>147</v>
      </c>
      <c r="T46" s="16">
        <f t="shared" si="1"/>
        <v>30</v>
      </c>
      <c r="U46" s="77">
        <v>98</v>
      </c>
      <c r="V46" s="16">
        <f t="shared" si="2"/>
        <v>2940</v>
      </c>
      <c r="W46" s="77">
        <v>3</v>
      </c>
      <c r="X46" s="77" t="s">
        <v>35</v>
      </c>
      <c r="Y46" s="77" t="s">
        <v>74</v>
      </c>
      <c r="Z46" s="77" t="s">
        <v>64</v>
      </c>
      <c r="AA46" s="77" t="s">
        <v>82</v>
      </c>
      <c r="AB46" s="77" t="s">
        <v>161</v>
      </c>
    </row>
    <row r="47" spans="1:28" x14ac:dyDescent="0.15">
      <c r="A47" s="77" t="s">
        <v>23</v>
      </c>
      <c r="B47" s="77" t="s">
        <v>160</v>
      </c>
      <c r="C47" s="77">
        <v>2020</v>
      </c>
      <c r="D47" s="118" t="s">
        <v>248</v>
      </c>
      <c r="E47" s="77" t="s">
        <v>272</v>
      </c>
      <c r="F47" s="77" t="s">
        <v>257</v>
      </c>
      <c r="G47" s="77" t="s">
        <v>31</v>
      </c>
      <c r="H47" s="77" t="s">
        <v>166</v>
      </c>
      <c r="I47" s="77" t="s">
        <v>111</v>
      </c>
      <c r="J47" s="77" t="s">
        <v>27</v>
      </c>
      <c r="K47" s="77" t="s">
        <v>112</v>
      </c>
      <c r="L47" s="77">
        <v>1</v>
      </c>
      <c r="N47" s="77">
        <v>1</v>
      </c>
      <c r="O47" s="77">
        <v>0.5</v>
      </c>
      <c r="P47" s="77">
        <v>0.45</v>
      </c>
      <c r="Q47" s="44">
        <f t="shared" si="0"/>
        <v>0.47499999999999998</v>
      </c>
      <c r="R47" s="77">
        <v>16.399999999999999</v>
      </c>
      <c r="S47" s="77">
        <v>121</v>
      </c>
      <c r="T47" s="16">
        <f t="shared" si="1"/>
        <v>30</v>
      </c>
      <c r="U47" s="77">
        <v>98</v>
      </c>
      <c r="V47" s="16">
        <f t="shared" si="2"/>
        <v>2940</v>
      </c>
      <c r="W47" s="77">
        <v>3</v>
      </c>
      <c r="X47" s="77" t="s">
        <v>35</v>
      </c>
      <c r="Y47" s="77" t="s">
        <v>74</v>
      </c>
      <c r="Z47" s="77" t="s">
        <v>64</v>
      </c>
      <c r="AA47" s="77" t="s">
        <v>82</v>
      </c>
      <c r="AB47" s="77" t="s">
        <v>161</v>
      </c>
    </row>
    <row r="48" spans="1:28" x14ac:dyDescent="0.15">
      <c r="A48" s="77" t="s">
        <v>23</v>
      </c>
      <c r="B48" s="77" t="s">
        <v>160</v>
      </c>
      <c r="C48" s="77">
        <v>2020</v>
      </c>
      <c r="D48" s="118" t="s">
        <v>248</v>
      </c>
      <c r="E48" s="77" t="s">
        <v>272</v>
      </c>
      <c r="F48" s="77" t="s">
        <v>257</v>
      </c>
      <c r="G48" s="77" t="s">
        <v>31</v>
      </c>
      <c r="H48" s="77" t="s">
        <v>166</v>
      </c>
      <c r="I48" s="77" t="s">
        <v>111</v>
      </c>
      <c r="J48" s="77" t="s">
        <v>27</v>
      </c>
      <c r="K48" s="77" t="s">
        <v>112</v>
      </c>
      <c r="L48" s="77">
        <v>2</v>
      </c>
      <c r="N48" s="77">
        <v>1</v>
      </c>
      <c r="O48" s="77">
        <v>0.5</v>
      </c>
      <c r="P48" s="77">
        <v>0.55000000000000004</v>
      </c>
      <c r="Q48" s="44">
        <f t="shared" si="0"/>
        <v>0.52500000000000002</v>
      </c>
      <c r="R48" s="77">
        <v>16.5</v>
      </c>
      <c r="S48" s="77">
        <v>138.5</v>
      </c>
      <c r="T48" s="16">
        <f t="shared" si="1"/>
        <v>30</v>
      </c>
      <c r="U48" s="77">
        <v>98</v>
      </c>
      <c r="V48" s="16">
        <f t="shared" si="2"/>
        <v>2940</v>
      </c>
      <c r="W48" s="77">
        <v>3</v>
      </c>
      <c r="X48" s="77" t="s">
        <v>35</v>
      </c>
      <c r="Y48" s="77" t="s">
        <v>74</v>
      </c>
      <c r="Z48" s="77" t="s">
        <v>64</v>
      </c>
      <c r="AA48" s="77" t="s">
        <v>82</v>
      </c>
      <c r="AB48" s="77" t="s">
        <v>161</v>
      </c>
    </row>
    <row r="49" spans="1:28" x14ac:dyDescent="0.15">
      <c r="A49" s="77" t="s">
        <v>23</v>
      </c>
      <c r="B49" s="77" t="s">
        <v>160</v>
      </c>
      <c r="C49" s="77">
        <v>2020</v>
      </c>
      <c r="D49" s="118" t="s">
        <v>248</v>
      </c>
      <c r="E49" s="77" t="s">
        <v>272</v>
      </c>
      <c r="F49" s="77" t="s">
        <v>257</v>
      </c>
      <c r="G49" s="77" t="s">
        <v>31</v>
      </c>
      <c r="H49" s="77" t="s">
        <v>166</v>
      </c>
      <c r="I49" s="77" t="s">
        <v>111</v>
      </c>
      <c r="J49" s="77" t="s">
        <v>27</v>
      </c>
      <c r="K49" s="77" t="s">
        <v>112</v>
      </c>
      <c r="L49" s="77">
        <v>3</v>
      </c>
      <c r="N49" s="77">
        <v>1</v>
      </c>
      <c r="O49" s="77">
        <v>0.6</v>
      </c>
      <c r="P49" s="77">
        <v>0.5</v>
      </c>
      <c r="Q49" s="44">
        <f t="shared" si="0"/>
        <v>0.55000000000000004</v>
      </c>
      <c r="R49" s="77">
        <v>15.9</v>
      </c>
      <c r="S49" s="77">
        <v>136</v>
      </c>
      <c r="T49" s="16">
        <f t="shared" si="1"/>
        <v>30</v>
      </c>
      <c r="U49" s="77">
        <v>98</v>
      </c>
      <c r="V49" s="16">
        <f t="shared" si="2"/>
        <v>2940</v>
      </c>
      <c r="W49" s="77">
        <v>3</v>
      </c>
      <c r="X49" s="77" t="s">
        <v>35</v>
      </c>
      <c r="Y49" s="77" t="s">
        <v>74</v>
      </c>
      <c r="Z49" s="77" t="s">
        <v>64</v>
      </c>
      <c r="AA49" s="77" t="s">
        <v>82</v>
      </c>
      <c r="AB49" s="77" t="s">
        <v>161</v>
      </c>
    </row>
    <row r="50" spans="1:28" x14ac:dyDescent="0.15">
      <c r="A50" s="77" t="s">
        <v>23</v>
      </c>
      <c r="B50" s="77" t="s">
        <v>160</v>
      </c>
      <c r="C50" s="77">
        <v>2020</v>
      </c>
      <c r="D50" s="118" t="s">
        <v>248</v>
      </c>
      <c r="E50" s="77" t="s">
        <v>273</v>
      </c>
      <c r="F50" s="77" t="s">
        <v>259</v>
      </c>
      <c r="G50" s="77" t="s">
        <v>25</v>
      </c>
      <c r="H50" s="77" t="s">
        <v>113</v>
      </c>
      <c r="I50" s="77" t="s">
        <v>111</v>
      </c>
      <c r="J50" s="77" t="s">
        <v>27</v>
      </c>
      <c r="K50" s="77" t="s">
        <v>112</v>
      </c>
      <c r="L50" s="77">
        <v>1</v>
      </c>
      <c r="N50" s="77">
        <v>1</v>
      </c>
      <c r="O50" s="77">
        <v>0.5</v>
      </c>
      <c r="P50" s="77">
        <v>0.75</v>
      </c>
      <c r="Q50" s="44">
        <f t="shared" si="0"/>
        <v>0.625</v>
      </c>
      <c r="R50" s="77">
        <v>16.600000000000001</v>
      </c>
      <c r="S50" s="77">
        <v>115.5</v>
      </c>
      <c r="T50" s="16">
        <f t="shared" si="1"/>
        <v>30</v>
      </c>
      <c r="U50" s="77">
        <v>98</v>
      </c>
      <c r="V50" s="16">
        <f t="shared" si="2"/>
        <v>2940</v>
      </c>
      <c r="W50" s="77">
        <v>8</v>
      </c>
      <c r="X50" s="77" t="s">
        <v>35</v>
      </c>
      <c r="Y50" s="77" t="s">
        <v>74</v>
      </c>
      <c r="Z50" s="77" t="s">
        <v>55</v>
      </c>
      <c r="AA50" s="77" t="s">
        <v>43</v>
      </c>
      <c r="AB50" s="77" t="s">
        <v>161</v>
      </c>
    </row>
    <row r="51" spans="1:28" x14ac:dyDescent="0.15">
      <c r="A51" s="77" t="s">
        <v>23</v>
      </c>
      <c r="B51" s="77" t="s">
        <v>160</v>
      </c>
      <c r="C51" s="77">
        <v>2020</v>
      </c>
      <c r="D51" s="118" t="s">
        <v>248</v>
      </c>
      <c r="E51" s="77" t="s">
        <v>273</v>
      </c>
      <c r="F51" s="77" t="s">
        <v>259</v>
      </c>
      <c r="G51" s="77" t="s">
        <v>25</v>
      </c>
      <c r="H51" s="77" t="s">
        <v>113</v>
      </c>
      <c r="I51" s="77" t="s">
        <v>111</v>
      </c>
      <c r="J51" s="77" t="s">
        <v>27</v>
      </c>
      <c r="K51" s="77" t="s">
        <v>112</v>
      </c>
      <c r="L51" s="77">
        <v>2</v>
      </c>
      <c r="N51" s="77">
        <v>1</v>
      </c>
      <c r="O51" s="77">
        <v>0.55000000000000004</v>
      </c>
      <c r="P51" s="77">
        <v>0.7</v>
      </c>
      <c r="Q51" s="44">
        <f t="shared" si="0"/>
        <v>0.625</v>
      </c>
      <c r="R51" s="77">
        <v>17.7</v>
      </c>
      <c r="S51" s="77">
        <v>119</v>
      </c>
      <c r="T51" s="16">
        <f t="shared" si="1"/>
        <v>30</v>
      </c>
      <c r="U51" s="77">
        <v>98</v>
      </c>
      <c r="V51" s="16">
        <f t="shared" si="2"/>
        <v>2940</v>
      </c>
      <c r="W51" s="77">
        <v>8</v>
      </c>
      <c r="X51" s="77" t="s">
        <v>35</v>
      </c>
      <c r="Y51" s="77" t="s">
        <v>74</v>
      </c>
      <c r="Z51" s="77" t="s">
        <v>55</v>
      </c>
      <c r="AA51" s="77" t="s">
        <v>43</v>
      </c>
      <c r="AB51" s="77" t="s">
        <v>161</v>
      </c>
    </row>
    <row r="52" spans="1:28" x14ac:dyDescent="0.15">
      <c r="A52" s="77" t="s">
        <v>23</v>
      </c>
      <c r="B52" s="77" t="s">
        <v>160</v>
      </c>
      <c r="C52" s="77">
        <v>2020</v>
      </c>
      <c r="D52" s="118" t="s">
        <v>248</v>
      </c>
      <c r="E52" s="77" t="s">
        <v>273</v>
      </c>
      <c r="F52" s="77" t="s">
        <v>259</v>
      </c>
      <c r="G52" s="77" t="s">
        <v>25</v>
      </c>
      <c r="H52" s="77" t="s">
        <v>113</v>
      </c>
      <c r="I52" s="77" t="s">
        <v>111</v>
      </c>
      <c r="J52" s="77" t="s">
        <v>27</v>
      </c>
      <c r="K52" s="77" t="s">
        <v>112</v>
      </c>
      <c r="L52" s="77">
        <v>3</v>
      </c>
      <c r="N52" s="77">
        <v>1</v>
      </c>
      <c r="O52" s="77">
        <v>0.8</v>
      </c>
      <c r="P52" s="77">
        <v>0.8</v>
      </c>
      <c r="Q52" s="44">
        <f t="shared" si="0"/>
        <v>0.8</v>
      </c>
      <c r="R52" s="77">
        <v>17.600000000000001</v>
      </c>
      <c r="S52" s="77">
        <v>122</v>
      </c>
      <c r="T52" s="16">
        <f t="shared" si="1"/>
        <v>30</v>
      </c>
      <c r="U52" s="77">
        <v>98</v>
      </c>
      <c r="V52" s="16">
        <f t="shared" si="2"/>
        <v>2940</v>
      </c>
      <c r="W52" s="77">
        <v>8</v>
      </c>
      <c r="X52" s="77" t="s">
        <v>35</v>
      </c>
      <c r="Y52" s="77" t="s">
        <v>74</v>
      </c>
      <c r="Z52" s="77" t="s">
        <v>55</v>
      </c>
      <c r="AA52" s="77" t="s">
        <v>43</v>
      </c>
      <c r="AB52" s="77" t="s">
        <v>161</v>
      </c>
    </row>
    <row r="53" spans="1:28" x14ac:dyDescent="0.15">
      <c r="A53" s="77" t="s">
        <v>23</v>
      </c>
      <c r="B53" s="77" t="s">
        <v>160</v>
      </c>
      <c r="C53" s="77">
        <v>2020</v>
      </c>
      <c r="D53" s="118" t="s">
        <v>248</v>
      </c>
      <c r="E53" s="77" t="s">
        <v>273</v>
      </c>
      <c r="F53" s="77" t="s">
        <v>259</v>
      </c>
      <c r="G53" s="77" t="s">
        <v>25</v>
      </c>
      <c r="H53" s="77" t="s">
        <v>113</v>
      </c>
      <c r="I53" s="77" t="s">
        <v>111</v>
      </c>
      <c r="J53" s="77" t="s">
        <v>27</v>
      </c>
      <c r="K53" s="77" t="s">
        <v>112</v>
      </c>
      <c r="L53" s="77">
        <v>1</v>
      </c>
      <c r="N53" s="77">
        <v>8</v>
      </c>
      <c r="O53" s="77">
        <v>0.7</v>
      </c>
      <c r="P53" s="77">
        <v>0.7</v>
      </c>
      <c r="Q53" s="44">
        <f t="shared" si="0"/>
        <v>0.7</v>
      </c>
      <c r="R53" s="77">
        <v>17.7</v>
      </c>
      <c r="S53" s="77">
        <v>86</v>
      </c>
      <c r="T53" s="16">
        <f t="shared" si="1"/>
        <v>36</v>
      </c>
      <c r="U53" s="77">
        <v>698</v>
      </c>
      <c r="V53" s="16">
        <f t="shared" si="2"/>
        <v>3141</v>
      </c>
      <c r="W53" s="77">
        <v>8</v>
      </c>
      <c r="X53" s="77" t="s">
        <v>35</v>
      </c>
      <c r="Y53" s="77" t="s">
        <v>74</v>
      </c>
      <c r="Z53" s="77" t="s">
        <v>55</v>
      </c>
      <c r="AA53" s="77" t="s">
        <v>43</v>
      </c>
      <c r="AB53" s="77" t="s">
        <v>161</v>
      </c>
    </row>
    <row r="54" spans="1:28" x14ac:dyDescent="0.15">
      <c r="A54" s="77" t="s">
        <v>23</v>
      </c>
      <c r="B54" s="77" t="s">
        <v>160</v>
      </c>
      <c r="C54" s="77">
        <v>2020</v>
      </c>
      <c r="D54" s="118" t="s">
        <v>248</v>
      </c>
      <c r="E54" s="77" t="s">
        <v>273</v>
      </c>
      <c r="F54" s="77" t="s">
        <v>259</v>
      </c>
      <c r="G54" s="77" t="s">
        <v>25</v>
      </c>
      <c r="H54" s="77" t="s">
        <v>113</v>
      </c>
      <c r="I54" s="77" t="s">
        <v>111</v>
      </c>
      <c r="J54" s="77" t="s">
        <v>27</v>
      </c>
      <c r="K54" s="77" t="s">
        <v>112</v>
      </c>
      <c r="L54" s="77">
        <v>2</v>
      </c>
      <c r="N54" s="77">
        <v>8</v>
      </c>
      <c r="O54" s="77">
        <v>0.2</v>
      </c>
      <c r="P54" s="77">
        <v>0.5</v>
      </c>
      <c r="Q54" s="44">
        <f t="shared" si="0"/>
        <v>0.35</v>
      </c>
      <c r="R54" s="77">
        <v>17.899999999999999</v>
      </c>
      <c r="S54" s="77">
        <v>84.5</v>
      </c>
      <c r="T54" s="16">
        <f t="shared" si="1"/>
        <v>36</v>
      </c>
      <c r="U54" s="77">
        <v>698</v>
      </c>
      <c r="V54" s="16">
        <f t="shared" si="2"/>
        <v>3141</v>
      </c>
      <c r="W54" s="77">
        <v>8</v>
      </c>
      <c r="X54" s="77" t="s">
        <v>35</v>
      </c>
      <c r="Y54" s="77" t="s">
        <v>74</v>
      </c>
      <c r="Z54" s="77" t="s">
        <v>55</v>
      </c>
      <c r="AA54" s="77" t="s">
        <v>43</v>
      </c>
      <c r="AB54" s="77" t="s">
        <v>161</v>
      </c>
    </row>
    <row r="55" spans="1:28" x14ac:dyDescent="0.15">
      <c r="A55" s="77" t="s">
        <v>23</v>
      </c>
      <c r="B55" s="77" t="s">
        <v>160</v>
      </c>
      <c r="C55" s="77">
        <v>2020</v>
      </c>
      <c r="D55" s="118" t="s">
        <v>248</v>
      </c>
      <c r="E55" s="77" t="s">
        <v>273</v>
      </c>
      <c r="F55" s="77" t="s">
        <v>259</v>
      </c>
      <c r="G55" s="77" t="s">
        <v>25</v>
      </c>
      <c r="H55" s="77" t="s">
        <v>113</v>
      </c>
      <c r="I55" s="77" t="s">
        <v>111</v>
      </c>
      <c r="J55" s="77" t="s">
        <v>27</v>
      </c>
      <c r="K55" s="77" t="s">
        <v>112</v>
      </c>
      <c r="L55" s="77">
        <v>3</v>
      </c>
      <c r="N55" s="77">
        <v>8</v>
      </c>
      <c r="O55" s="77">
        <v>0.6</v>
      </c>
      <c r="P55" s="77">
        <v>0.9</v>
      </c>
      <c r="Q55" s="44">
        <f t="shared" si="0"/>
        <v>0.75</v>
      </c>
      <c r="R55" s="77">
        <v>17.600000000000001</v>
      </c>
      <c r="S55" s="77">
        <v>89.5</v>
      </c>
      <c r="T55" s="16">
        <f t="shared" si="1"/>
        <v>36</v>
      </c>
      <c r="U55" s="77">
        <v>698</v>
      </c>
      <c r="V55" s="16">
        <f t="shared" si="2"/>
        <v>3141</v>
      </c>
      <c r="W55" s="77">
        <v>8</v>
      </c>
      <c r="X55" s="77" t="s">
        <v>35</v>
      </c>
      <c r="Y55" s="77" t="s">
        <v>74</v>
      </c>
      <c r="Z55" s="77" t="s">
        <v>55</v>
      </c>
      <c r="AA55" s="77" t="s">
        <v>43</v>
      </c>
      <c r="AB55" s="77" t="s">
        <v>161</v>
      </c>
    </row>
    <row r="56" spans="1:28" x14ac:dyDescent="0.15">
      <c r="A56" s="77" t="s">
        <v>23</v>
      </c>
      <c r="B56" s="77" t="s">
        <v>160</v>
      </c>
      <c r="C56" s="77">
        <v>2020</v>
      </c>
      <c r="D56" s="118" t="s">
        <v>248</v>
      </c>
      <c r="E56" s="77" t="s">
        <v>273</v>
      </c>
      <c r="F56" s="77" t="s">
        <v>259</v>
      </c>
      <c r="G56" s="77" t="s">
        <v>25</v>
      </c>
      <c r="H56" s="77" t="s">
        <v>113</v>
      </c>
      <c r="I56" s="77" t="s">
        <v>111</v>
      </c>
      <c r="J56" s="77" t="s">
        <v>27</v>
      </c>
      <c r="K56" s="77" t="s">
        <v>112</v>
      </c>
      <c r="L56" s="77">
        <v>1</v>
      </c>
      <c r="N56" s="77">
        <v>4</v>
      </c>
      <c r="O56" s="77">
        <v>0.6</v>
      </c>
      <c r="P56" s="77">
        <v>0.75</v>
      </c>
      <c r="Q56" s="44">
        <f t="shared" si="0"/>
        <v>0.67500000000000004</v>
      </c>
      <c r="R56" s="77">
        <v>17.7</v>
      </c>
      <c r="S56" s="77">
        <v>84.5</v>
      </c>
      <c r="T56" s="16">
        <f t="shared" si="1"/>
        <v>36</v>
      </c>
      <c r="U56" s="77">
        <v>398</v>
      </c>
      <c r="V56" s="16">
        <f t="shared" si="2"/>
        <v>3582</v>
      </c>
      <c r="W56" s="77">
        <v>8</v>
      </c>
      <c r="X56" s="77" t="s">
        <v>35</v>
      </c>
      <c r="Y56" s="77" t="s">
        <v>74</v>
      </c>
      <c r="Z56" s="77" t="s">
        <v>55</v>
      </c>
      <c r="AA56" s="77" t="s">
        <v>43</v>
      </c>
      <c r="AB56" s="77" t="s">
        <v>161</v>
      </c>
    </row>
    <row r="57" spans="1:28" x14ac:dyDescent="0.15">
      <c r="A57" s="77" t="s">
        <v>23</v>
      </c>
      <c r="B57" s="77" t="s">
        <v>160</v>
      </c>
      <c r="C57" s="77">
        <v>2020</v>
      </c>
      <c r="D57" s="118" t="s">
        <v>248</v>
      </c>
      <c r="E57" s="77" t="s">
        <v>273</v>
      </c>
      <c r="F57" s="77" t="s">
        <v>259</v>
      </c>
      <c r="G57" s="77" t="s">
        <v>25</v>
      </c>
      <c r="H57" s="77" t="s">
        <v>113</v>
      </c>
      <c r="I57" s="77" t="s">
        <v>111</v>
      </c>
      <c r="J57" s="77" t="s">
        <v>27</v>
      </c>
      <c r="K57" s="77" t="s">
        <v>112</v>
      </c>
      <c r="L57" s="77">
        <v>2</v>
      </c>
      <c r="N57" s="77">
        <v>4</v>
      </c>
      <c r="O57" s="77">
        <v>0.6</v>
      </c>
      <c r="P57" s="77">
        <v>0.75</v>
      </c>
      <c r="Q57" s="44">
        <f t="shared" si="0"/>
        <v>0.67500000000000004</v>
      </c>
      <c r="R57" s="77">
        <v>18.5</v>
      </c>
      <c r="S57" s="77">
        <v>86</v>
      </c>
      <c r="T57" s="16">
        <f t="shared" si="1"/>
        <v>36</v>
      </c>
      <c r="U57" s="77">
        <v>398</v>
      </c>
      <c r="V57" s="16">
        <f t="shared" si="2"/>
        <v>3582</v>
      </c>
      <c r="W57" s="77">
        <v>8</v>
      </c>
      <c r="X57" s="77" t="s">
        <v>35</v>
      </c>
      <c r="Y57" s="77" t="s">
        <v>74</v>
      </c>
      <c r="Z57" s="77" t="s">
        <v>55</v>
      </c>
      <c r="AA57" s="77" t="s">
        <v>43</v>
      </c>
      <c r="AB57" s="77" t="s">
        <v>161</v>
      </c>
    </row>
    <row r="58" spans="1:28" x14ac:dyDescent="0.15">
      <c r="A58" s="77" t="s">
        <v>23</v>
      </c>
      <c r="B58" s="77" t="s">
        <v>160</v>
      </c>
      <c r="C58" s="77">
        <v>2020</v>
      </c>
      <c r="D58" s="118" t="s">
        <v>248</v>
      </c>
      <c r="E58" s="77" t="s">
        <v>273</v>
      </c>
      <c r="F58" s="77" t="s">
        <v>259</v>
      </c>
      <c r="G58" s="77" t="s">
        <v>25</v>
      </c>
      <c r="H58" s="77" t="s">
        <v>113</v>
      </c>
      <c r="I58" s="77" t="s">
        <v>111</v>
      </c>
      <c r="J58" s="77" t="s">
        <v>27</v>
      </c>
      <c r="K58" s="77" t="s">
        <v>112</v>
      </c>
      <c r="L58" s="77">
        <v>3</v>
      </c>
      <c r="N58" s="77">
        <v>4</v>
      </c>
      <c r="O58" s="77">
        <v>0.7</v>
      </c>
      <c r="P58" s="77">
        <v>0.7</v>
      </c>
      <c r="Q58" s="44">
        <f t="shared" si="0"/>
        <v>0.7</v>
      </c>
      <c r="R58" s="77">
        <v>18.100000000000001</v>
      </c>
      <c r="S58" s="77">
        <v>88.5</v>
      </c>
      <c r="T58" s="16">
        <f t="shared" si="1"/>
        <v>36</v>
      </c>
      <c r="U58" s="77">
        <v>398</v>
      </c>
      <c r="V58" s="16">
        <f t="shared" si="2"/>
        <v>3582</v>
      </c>
      <c r="W58" s="77">
        <v>8</v>
      </c>
      <c r="X58" s="77" t="s">
        <v>35</v>
      </c>
      <c r="Y58" s="77" t="s">
        <v>74</v>
      </c>
      <c r="Z58" s="77" t="s">
        <v>55</v>
      </c>
      <c r="AA58" s="77" t="s">
        <v>43</v>
      </c>
      <c r="AB58" s="77" t="s">
        <v>161</v>
      </c>
    </row>
    <row r="59" spans="1:28" x14ac:dyDescent="0.15">
      <c r="A59" s="77" t="s">
        <v>23</v>
      </c>
      <c r="B59" s="77" t="s">
        <v>160</v>
      </c>
      <c r="C59" s="77">
        <v>2020</v>
      </c>
      <c r="D59" s="118" t="s">
        <v>248</v>
      </c>
      <c r="E59" s="77" t="s">
        <v>273</v>
      </c>
      <c r="F59" s="77" t="s">
        <v>259</v>
      </c>
      <c r="G59" s="77" t="s">
        <v>25</v>
      </c>
      <c r="H59" s="77" t="s">
        <v>166</v>
      </c>
      <c r="I59" s="77" t="s">
        <v>111</v>
      </c>
      <c r="J59" s="77" t="s">
        <v>27</v>
      </c>
      <c r="K59" s="77" t="s">
        <v>112</v>
      </c>
      <c r="L59" s="77">
        <v>1</v>
      </c>
      <c r="N59" s="77">
        <v>1</v>
      </c>
      <c r="O59" s="77">
        <v>0.5</v>
      </c>
      <c r="P59" s="77">
        <v>0.5</v>
      </c>
      <c r="Q59" s="44">
        <f t="shared" si="0"/>
        <v>0.5</v>
      </c>
      <c r="R59" s="77">
        <v>16</v>
      </c>
      <c r="S59" s="77">
        <v>116.5</v>
      </c>
      <c r="T59" s="16">
        <f t="shared" si="1"/>
        <v>30</v>
      </c>
      <c r="U59" s="77">
        <v>138</v>
      </c>
      <c r="V59" s="16">
        <f t="shared" si="2"/>
        <v>4140</v>
      </c>
      <c r="W59" s="77">
        <v>8</v>
      </c>
      <c r="X59" s="77" t="s">
        <v>35</v>
      </c>
      <c r="Y59" s="77" t="s">
        <v>74</v>
      </c>
      <c r="Z59" s="77" t="s">
        <v>55</v>
      </c>
      <c r="AA59" s="77" t="s">
        <v>43</v>
      </c>
      <c r="AB59" s="77" t="s">
        <v>161</v>
      </c>
    </row>
    <row r="60" spans="1:28" x14ac:dyDescent="0.15">
      <c r="A60" s="77" t="s">
        <v>23</v>
      </c>
      <c r="B60" s="77" t="s">
        <v>160</v>
      </c>
      <c r="C60" s="77">
        <v>2020</v>
      </c>
      <c r="D60" s="118" t="s">
        <v>248</v>
      </c>
      <c r="E60" s="77" t="s">
        <v>273</v>
      </c>
      <c r="F60" s="77" t="s">
        <v>259</v>
      </c>
      <c r="G60" s="77" t="s">
        <v>25</v>
      </c>
      <c r="H60" s="77" t="s">
        <v>166</v>
      </c>
      <c r="I60" s="77" t="s">
        <v>111</v>
      </c>
      <c r="J60" s="77" t="s">
        <v>27</v>
      </c>
      <c r="K60" s="77" t="s">
        <v>112</v>
      </c>
      <c r="L60" s="77">
        <v>2</v>
      </c>
      <c r="N60" s="77">
        <v>1</v>
      </c>
      <c r="O60" s="77">
        <v>0.45</v>
      </c>
      <c r="P60" s="77">
        <v>0.5</v>
      </c>
      <c r="Q60" s="44">
        <f t="shared" si="0"/>
        <v>0.47499999999999998</v>
      </c>
      <c r="R60" s="77">
        <v>16.5</v>
      </c>
      <c r="S60" s="77">
        <v>123.5</v>
      </c>
      <c r="T60" s="16">
        <f t="shared" si="1"/>
        <v>30</v>
      </c>
      <c r="U60" s="77">
        <v>138</v>
      </c>
      <c r="V60" s="16">
        <f t="shared" si="2"/>
        <v>4140</v>
      </c>
      <c r="W60" s="77">
        <v>8</v>
      </c>
      <c r="X60" s="77" t="s">
        <v>35</v>
      </c>
      <c r="Y60" s="77" t="s">
        <v>74</v>
      </c>
      <c r="Z60" s="77" t="s">
        <v>55</v>
      </c>
      <c r="AA60" s="77" t="s">
        <v>43</v>
      </c>
      <c r="AB60" s="77" t="s">
        <v>161</v>
      </c>
    </row>
    <row r="61" spans="1:28" x14ac:dyDescent="0.15">
      <c r="A61" s="77" t="s">
        <v>23</v>
      </c>
      <c r="B61" s="77" t="s">
        <v>160</v>
      </c>
      <c r="C61" s="77">
        <v>2020</v>
      </c>
      <c r="D61" s="118" t="s">
        <v>248</v>
      </c>
      <c r="E61" s="77" t="s">
        <v>273</v>
      </c>
      <c r="F61" s="77" t="s">
        <v>259</v>
      </c>
      <c r="G61" s="77" t="s">
        <v>25</v>
      </c>
      <c r="H61" s="77" t="s">
        <v>166</v>
      </c>
      <c r="I61" s="77" t="s">
        <v>111</v>
      </c>
      <c r="J61" s="77" t="s">
        <v>27</v>
      </c>
      <c r="K61" s="77" t="s">
        <v>112</v>
      </c>
      <c r="L61" s="77">
        <v>3</v>
      </c>
      <c r="N61" s="77">
        <v>1</v>
      </c>
      <c r="O61" s="77">
        <v>0.55000000000000004</v>
      </c>
      <c r="P61" s="77">
        <v>0.5</v>
      </c>
      <c r="Q61" s="44">
        <f t="shared" si="0"/>
        <v>0.52500000000000002</v>
      </c>
      <c r="R61" s="77">
        <v>16.600000000000001</v>
      </c>
      <c r="S61" s="77">
        <v>125.5</v>
      </c>
      <c r="T61" s="16">
        <f t="shared" si="1"/>
        <v>30</v>
      </c>
      <c r="U61" s="77">
        <v>138</v>
      </c>
      <c r="V61" s="16">
        <f t="shared" si="2"/>
        <v>4140</v>
      </c>
      <c r="W61" s="77">
        <v>8</v>
      </c>
      <c r="X61" s="77" t="s">
        <v>35</v>
      </c>
      <c r="Y61" s="77" t="s">
        <v>74</v>
      </c>
      <c r="Z61" s="77" t="s">
        <v>55</v>
      </c>
      <c r="AA61" s="77" t="s">
        <v>43</v>
      </c>
      <c r="AB61" s="77" t="s">
        <v>161</v>
      </c>
    </row>
    <row r="62" spans="1:28" x14ac:dyDescent="0.15">
      <c r="A62" s="77" t="s">
        <v>23</v>
      </c>
      <c r="B62" s="77" t="s">
        <v>160</v>
      </c>
      <c r="C62" s="77">
        <v>2020</v>
      </c>
      <c r="D62" s="118" t="s">
        <v>248</v>
      </c>
      <c r="E62" s="77" t="s">
        <v>273</v>
      </c>
      <c r="F62" s="77" t="s">
        <v>259</v>
      </c>
      <c r="G62" s="77" t="s">
        <v>25</v>
      </c>
      <c r="H62" s="77" t="s">
        <v>166</v>
      </c>
      <c r="I62" s="77" t="s">
        <v>111</v>
      </c>
      <c r="J62" s="77" t="s">
        <v>27</v>
      </c>
      <c r="K62" s="77" t="s">
        <v>112</v>
      </c>
      <c r="L62" s="77">
        <v>1</v>
      </c>
      <c r="N62" s="77">
        <v>8</v>
      </c>
      <c r="O62" s="77">
        <v>0.2</v>
      </c>
      <c r="P62" s="77">
        <v>0.2</v>
      </c>
      <c r="Q62" s="44">
        <f t="shared" si="0"/>
        <v>0.2</v>
      </c>
      <c r="R62" s="77">
        <v>16.100000000000001</v>
      </c>
      <c r="S62" s="77">
        <v>100</v>
      </c>
      <c r="T62" s="16">
        <f t="shared" si="1"/>
        <v>33</v>
      </c>
      <c r="U62" s="77">
        <v>980</v>
      </c>
      <c r="V62" s="16">
        <f t="shared" si="2"/>
        <v>4042.5</v>
      </c>
      <c r="W62" s="77">
        <v>8</v>
      </c>
      <c r="X62" s="77" t="s">
        <v>35</v>
      </c>
      <c r="Y62" s="77" t="s">
        <v>74</v>
      </c>
      <c r="Z62" s="77" t="s">
        <v>55</v>
      </c>
      <c r="AA62" s="77" t="s">
        <v>43</v>
      </c>
      <c r="AB62" s="77" t="s">
        <v>161</v>
      </c>
    </row>
    <row r="63" spans="1:28" x14ac:dyDescent="0.15">
      <c r="A63" s="77" t="s">
        <v>23</v>
      </c>
      <c r="B63" s="77" t="s">
        <v>160</v>
      </c>
      <c r="C63" s="77">
        <v>2020</v>
      </c>
      <c r="D63" s="118" t="s">
        <v>248</v>
      </c>
      <c r="E63" s="77" t="s">
        <v>273</v>
      </c>
      <c r="F63" s="77" t="s">
        <v>259</v>
      </c>
      <c r="G63" s="77" t="s">
        <v>25</v>
      </c>
      <c r="H63" s="77" t="s">
        <v>166</v>
      </c>
      <c r="I63" s="77" t="s">
        <v>111</v>
      </c>
      <c r="J63" s="77" t="s">
        <v>27</v>
      </c>
      <c r="K63" s="77" t="s">
        <v>112</v>
      </c>
      <c r="L63" s="77">
        <v>2</v>
      </c>
      <c r="N63" s="77">
        <v>8</v>
      </c>
      <c r="O63" s="77">
        <v>0.5</v>
      </c>
      <c r="P63" s="77">
        <v>0.2</v>
      </c>
      <c r="Q63" s="44">
        <f t="shared" si="0"/>
        <v>0.35</v>
      </c>
      <c r="R63" s="77">
        <v>15.6</v>
      </c>
      <c r="S63" s="77">
        <v>103.5</v>
      </c>
      <c r="T63" s="16">
        <f t="shared" si="1"/>
        <v>33</v>
      </c>
      <c r="U63" s="77">
        <v>980</v>
      </c>
      <c r="V63" s="16">
        <f t="shared" si="2"/>
        <v>4042.5</v>
      </c>
      <c r="W63" s="77">
        <v>8</v>
      </c>
      <c r="X63" s="77" t="s">
        <v>35</v>
      </c>
      <c r="Y63" s="77" t="s">
        <v>74</v>
      </c>
      <c r="Z63" s="77" t="s">
        <v>55</v>
      </c>
      <c r="AA63" s="77" t="s">
        <v>43</v>
      </c>
      <c r="AB63" s="77" t="s">
        <v>161</v>
      </c>
    </row>
    <row r="64" spans="1:28" x14ac:dyDescent="0.15">
      <c r="A64" s="77" t="s">
        <v>23</v>
      </c>
      <c r="B64" s="77" t="s">
        <v>160</v>
      </c>
      <c r="C64" s="77">
        <v>2020</v>
      </c>
      <c r="D64" s="118" t="s">
        <v>248</v>
      </c>
      <c r="E64" s="77" t="s">
        <v>273</v>
      </c>
      <c r="F64" s="77" t="s">
        <v>259</v>
      </c>
      <c r="G64" s="77" t="s">
        <v>25</v>
      </c>
      <c r="H64" s="77" t="s">
        <v>166</v>
      </c>
      <c r="I64" s="77" t="s">
        <v>111</v>
      </c>
      <c r="J64" s="77" t="s">
        <v>27</v>
      </c>
      <c r="K64" s="77" t="s">
        <v>112</v>
      </c>
      <c r="L64" s="77">
        <v>3</v>
      </c>
      <c r="N64" s="77">
        <v>8</v>
      </c>
      <c r="O64" s="77">
        <v>0.5</v>
      </c>
      <c r="P64" s="77">
        <v>0.2</v>
      </c>
      <c r="Q64" s="44">
        <f t="shared" si="0"/>
        <v>0.35</v>
      </c>
      <c r="R64" s="77">
        <v>16.100000000000001</v>
      </c>
      <c r="S64" s="77">
        <v>103.5</v>
      </c>
      <c r="T64" s="16">
        <f t="shared" si="1"/>
        <v>33</v>
      </c>
      <c r="U64" s="77">
        <v>980</v>
      </c>
      <c r="V64" s="16">
        <f t="shared" si="2"/>
        <v>4042.5</v>
      </c>
      <c r="W64" s="77">
        <v>8</v>
      </c>
      <c r="X64" s="77" t="s">
        <v>35</v>
      </c>
      <c r="Y64" s="77" t="s">
        <v>74</v>
      </c>
      <c r="Z64" s="77" t="s">
        <v>55</v>
      </c>
      <c r="AA64" s="77" t="s">
        <v>43</v>
      </c>
      <c r="AB64" s="77" t="s">
        <v>161</v>
      </c>
    </row>
    <row r="65" spans="1:28" x14ac:dyDescent="0.15">
      <c r="A65" s="77" t="s">
        <v>23</v>
      </c>
      <c r="B65" s="77" t="s">
        <v>160</v>
      </c>
      <c r="C65" s="77">
        <v>2020</v>
      </c>
      <c r="D65" s="118" t="s">
        <v>248</v>
      </c>
      <c r="E65" s="77" t="s">
        <v>273</v>
      </c>
      <c r="F65" s="77" t="s">
        <v>259</v>
      </c>
      <c r="G65" s="77" t="s">
        <v>25</v>
      </c>
      <c r="H65" s="77" t="s">
        <v>166</v>
      </c>
      <c r="I65" s="77" t="s">
        <v>111</v>
      </c>
      <c r="J65" s="77" t="s">
        <v>27</v>
      </c>
      <c r="K65" s="77" t="s">
        <v>112</v>
      </c>
      <c r="L65" s="77">
        <v>1</v>
      </c>
      <c r="N65" s="77">
        <v>4</v>
      </c>
      <c r="O65" s="77">
        <v>0.45</v>
      </c>
      <c r="P65" s="77">
        <v>0.55000000000000004</v>
      </c>
      <c r="Q65" s="44">
        <f t="shared" si="0"/>
        <v>0.5</v>
      </c>
      <c r="R65" s="77">
        <v>15.5</v>
      </c>
      <c r="S65" s="77">
        <v>93</v>
      </c>
      <c r="T65" s="16">
        <f t="shared" si="1"/>
        <v>36</v>
      </c>
      <c r="U65" s="77">
        <v>498</v>
      </c>
      <c r="V65" s="16">
        <f t="shared" si="2"/>
        <v>4482</v>
      </c>
      <c r="W65" s="77">
        <v>8</v>
      </c>
      <c r="X65" s="77" t="s">
        <v>35</v>
      </c>
      <c r="Y65" s="77" t="s">
        <v>74</v>
      </c>
      <c r="Z65" s="77" t="s">
        <v>55</v>
      </c>
      <c r="AA65" s="77" t="s">
        <v>43</v>
      </c>
      <c r="AB65" s="77" t="s">
        <v>161</v>
      </c>
    </row>
    <row r="66" spans="1:28" x14ac:dyDescent="0.15">
      <c r="A66" s="77" t="s">
        <v>23</v>
      </c>
      <c r="B66" s="77" t="s">
        <v>160</v>
      </c>
      <c r="C66" s="77">
        <v>2020</v>
      </c>
      <c r="D66" s="118" t="s">
        <v>248</v>
      </c>
      <c r="E66" s="77" t="s">
        <v>273</v>
      </c>
      <c r="F66" s="77" t="s">
        <v>259</v>
      </c>
      <c r="G66" s="77" t="s">
        <v>25</v>
      </c>
      <c r="H66" s="77" t="s">
        <v>166</v>
      </c>
      <c r="I66" s="77" t="s">
        <v>111</v>
      </c>
      <c r="J66" s="77" t="s">
        <v>27</v>
      </c>
      <c r="K66" s="77" t="s">
        <v>112</v>
      </c>
      <c r="L66" s="77">
        <v>2</v>
      </c>
      <c r="N66" s="77">
        <v>4</v>
      </c>
      <c r="O66" s="77">
        <v>0.2</v>
      </c>
      <c r="P66" s="77">
        <v>0.45</v>
      </c>
      <c r="Q66" s="44">
        <f t="shared" si="0"/>
        <v>0.32500000000000001</v>
      </c>
      <c r="R66" s="77">
        <v>16</v>
      </c>
      <c r="S66" s="77">
        <v>102</v>
      </c>
      <c r="T66" s="16">
        <f t="shared" ref="T66:T104" si="6">IF(H66="","",IF(OR(H66="GREEN",H66="GK"),IF(S66&gt;=$AX$2,VLOOKUP(S66,$AX$2:$AY$9,2,1),""),IF(S66&gt;=$AZ$2,VLOOKUP(S66,$AZ$2:$BA$9,2,1),"")))</f>
        <v>33</v>
      </c>
      <c r="U66" s="77">
        <v>498</v>
      </c>
      <c r="V66" s="16">
        <f t="shared" si="2"/>
        <v>4108.5</v>
      </c>
      <c r="W66" s="77">
        <v>8</v>
      </c>
      <c r="X66" s="77" t="s">
        <v>35</v>
      </c>
      <c r="Y66" s="77" t="s">
        <v>74</v>
      </c>
      <c r="Z66" s="77" t="s">
        <v>55</v>
      </c>
      <c r="AA66" s="77" t="s">
        <v>43</v>
      </c>
      <c r="AB66" s="77" t="s">
        <v>161</v>
      </c>
    </row>
    <row r="67" spans="1:28" x14ac:dyDescent="0.15">
      <c r="A67" s="77" t="s">
        <v>23</v>
      </c>
      <c r="B67" s="77" t="s">
        <v>160</v>
      </c>
      <c r="C67" s="77">
        <v>2020</v>
      </c>
      <c r="D67" s="118" t="s">
        <v>248</v>
      </c>
      <c r="E67" s="77" t="s">
        <v>273</v>
      </c>
      <c r="F67" s="77" t="s">
        <v>259</v>
      </c>
      <c r="G67" s="77" t="s">
        <v>25</v>
      </c>
      <c r="H67" s="77" t="s">
        <v>166</v>
      </c>
      <c r="I67" s="77" t="s">
        <v>111</v>
      </c>
      <c r="J67" s="77" t="s">
        <v>27</v>
      </c>
      <c r="K67" s="77" t="s">
        <v>112</v>
      </c>
      <c r="L67" s="77">
        <v>3</v>
      </c>
      <c r="N67" s="77">
        <v>4</v>
      </c>
      <c r="O67" s="77">
        <v>0.45</v>
      </c>
      <c r="P67" s="77">
        <v>0.5</v>
      </c>
      <c r="Q67" s="44">
        <f t="shared" si="0"/>
        <v>0.47499999999999998</v>
      </c>
      <c r="R67" s="77">
        <v>16.7</v>
      </c>
      <c r="S67" s="77">
        <v>105</v>
      </c>
      <c r="T67" s="16">
        <f t="shared" si="6"/>
        <v>33</v>
      </c>
      <c r="U67" s="77">
        <v>498</v>
      </c>
      <c r="V67" s="16">
        <f t="shared" si="2"/>
        <v>4108.5</v>
      </c>
      <c r="W67" s="77">
        <v>8</v>
      </c>
      <c r="X67" s="77" t="s">
        <v>35</v>
      </c>
      <c r="Y67" s="77" t="s">
        <v>74</v>
      </c>
      <c r="Z67" s="77" t="s">
        <v>55</v>
      </c>
      <c r="AA67" s="77" t="s">
        <v>43</v>
      </c>
      <c r="AB67" s="77" t="s">
        <v>161</v>
      </c>
    </row>
    <row r="68" spans="1:28" x14ac:dyDescent="0.15">
      <c r="A68" s="77" t="s">
        <v>23</v>
      </c>
      <c r="B68" s="77" t="s">
        <v>160</v>
      </c>
      <c r="C68" s="77">
        <v>2020</v>
      </c>
      <c r="D68" s="118" t="s">
        <v>248</v>
      </c>
      <c r="E68" s="77" t="s">
        <v>260</v>
      </c>
      <c r="F68" s="77" t="s">
        <v>259</v>
      </c>
      <c r="G68" s="77" t="s">
        <v>25</v>
      </c>
      <c r="H68" s="77" t="s">
        <v>166</v>
      </c>
      <c r="I68" s="77" t="s">
        <v>111</v>
      </c>
      <c r="J68" s="77" t="s">
        <v>27</v>
      </c>
      <c r="K68" s="77" t="s">
        <v>112</v>
      </c>
      <c r="L68" s="77">
        <v>1</v>
      </c>
      <c r="N68" s="77">
        <v>1</v>
      </c>
      <c r="O68" s="77">
        <v>0.95</v>
      </c>
      <c r="P68" s="77">
        <v>0.95</v>
      </c>
      <c r="Q68" s="44">
        <f t="shared" si="0"/>
        <v>0.95</v>
      </c>
      <c r="R68" s="77">
        <v>17.2</v>
      </c>
      <c r="S68" s="77">
        <v>107.5</v>
      </c>
      <c r="T68" s="16">
        <f t="shared" si="6"/>
        <v>33</v>
      </c>
      <c r="U68" s="77">
        <v>99</v>
      </c>
      <c r="V68" s="16">
        <f t="shared" si="2"/>
        <v>3267</v>
      </c>
      <c r="W68" s="77">
        <v>4</v>
      </c>
      <c r="X68" s="77" t="s">
        <v>35</v>
      </c>
      <c r="Y68" s="77" t="s">
        <v>74</v>
      </c>
      <c r="Z68" s="77" t="s">
        <v>43</v>
      </c>
      <c r="AA68" s="77" t="s">
        <v>72</v>
      </c>
      <c r="AB68" s="77" t="s">
        <v>161</v>
      </c>
    </row>
    <row r="69" spans="1:28" x14ac:dyDescent="0.15">
      <c r="A69" s="77" t="s">
        <v>23</v>
      </c>
      <c r="B69" s="77" t="s">
        <v>160</v>
      </c>
      <c r="C69" s="77">
        <v>2020</v>
      </c>
      <c r="D69" s="118" t="s">
        <v>248</v>
      </c>
      <c r="E69" s="77" t="s">
        <v>260</v>
      </c>
      <c r="F69" s="77" t="s">
        <v>259</v>
      </c>
      <c r="G69" s="77" t="s">
        <v>25</v>
      </c>
      <c r="H69" s="77" t="s">
        <v>166</v>
      </c>
      <c r="I69" s="77" t="s">
        <v>111</v>
      </c>
      <c r="J69" s="77" t="s">
        <v>27</v>
      </c>
      <c r="K69" s="77" t="s">
        <v>112</v>
      </c>
      <c r="L69" s="77">
        <v>2</v>
      </c>
      <c r="N69" s="77">
        <v>1</v>
      </c>
      <c r="O69" s="77">
        <v>0.75</v>
      </c>
      <c r="P69" s="77">
        <v>0.7</v>
      </c>
      <c r="Q69" s="44">
        <f t="shared" si="0"/>
        <v>0.72499999999999998</v>
      </c>
      <c r="R69" s="77">
        <v>17.3</v>
      </c>
      <c r="S69" s="77">
        <v>107.5</v>
      </c>
      <c r="T69" s="16">
        <f t="shared" si="6"/>
        <v>33</v>
      </c>
      <c r="U69" s="77">
        <v>99</v>
      </c>
      <c r="V69" s="16">
        <f t="shared" si="2"/>
        <v>3267</v>
      </c>
      <c r="W69" s="77">
        <v>4</v>
      </c>
      <c r="X69" s="77" t="s">
        <v>35</v>
      </c>
      <c r="Y69" s="77" t="s">
        <v>74</v>
      </c>
      <c r="Z69" s="77" t="s">
        <v>43</v>
      </c>
      <c r="AA69" s="77" t="s">
        <v>72</v>
      </c>
      <c r="AB69" s="77" t="s">
        <v>161</v>
      </c>
    </row>
    <row r="70" spans="1:28" x14ac:dyDescent="0.15">
      <c r="A70" s="77" t="s">
        <v>23</v>
      </c>
      <c r="B70" s="77" t="s">
        <v>160</v>
      </c>
      <c r="C70" s="77">
        <v>2020</v>
      </c>
      <c r="D70" s="118" t="s">
        <v>248</v>
      </c>
      <c r="E70" s="77" t="s">
        <v>260</v>
      </c>
      <c r="F70" s="77" t="s">
        <v>259</v>
      </c>
      <c r="G70" s="77" t="s">
        <v>25</v>
      </c>
      <c r="H70" s="77" t="s">
        <v>166</v>
      </c>
      <c r="I70" s="77" t="s">
        <v>111</v>
      </c>
      <c r="J70" s="77" t="s">
        <v>27</v>
      </c>
      <c r="K70" s="77" t="s">
        <v>112</v>
      </c>
      <c r="L70" s="77">
        <v>3</v>
      </c>
      <c r="N70" s="77">
        <v>1</v>
      </c>
      <c r="O70" s="77">
        <v>0.7</v>
      </c>
      <c r="P70" s="77">
        <v>0.75</v>
      </c>
      <c r="Q70" s="44">
        <f t="shared" si="0"/>
        <v>0.72499999999999998</v>
      </c>
      <c r="R70" s="77">
        <v>17.8</v>
      </c>
      <c r="S70" s="77">
        <v>105</v>
      </c>
      <c r="T70" s="16">
        <f t="shared" si="6"/>
        <v>33</v>
      </c>
      <c r="U70" s="77">
        <v>99</v>
      </c>
      <c r="V70" s="16">
        <f t="shared" si="2"/>
        <v>3267</v>
      </c>
      <c r="W70" s="77">
        <v>4</v>
      </c>
      <c r="X70" s="77" t="s">
        <v>35</v>
      </c>
      <c r="Y70" s="77" t="s">
        <v>74</v>
      </c>
      <c r="Z70" s="77" t="s">
        <v>43</v>
      </c>
      <c r="AA70" s="77" t="s">
        <v>72</v>
      </c>
      <c r="AB70" s="77" t="s">
        <v>161</v>
      </c>
    </row>
    <row r="71" spans="1:28" x14ac:dyDescent="0.15">
      <c r="A71" s="77" t="s">
        <v>23</v>
      </c>
      <c r="B71" s="77" t="s">
        <v>160</v>
      </c>
      <c r="C71" s="77">
        <v>2020</v>
      </c>
      <c r="D71" s="118" t="s">
        <v>248</v>
      </c>
      <c r="E71" s="77" t="s">
        <v>260</v>
      </c>
      <c r="F71" s="77" t="s">
        <v>259</v>
      </c>
      <c r="G71" s="77" t="s">
        <v>25</v>
      </c>
      <c r="H71" s="77" t="s">
        <v>113</v>
      </c>
      <c r="I71" s="77" t="s">
        <v>111</v>
      </c>
      <c r="J71" s="77" t="s">
        <v>27</v>
      </c>
      <c r="K71" s="77" t="s">
        <v>112</v>
      </c>
      <c r="L71" s="77">
        <v>1</v>
      </c>
      <c r="N71" s="77">
        <v>1</v>
      </c>
      <c r="O71" s="77">
        <v>0.5</v>
      </c>
      <c r="P71" s="77">
        <v>0.7</v>
      </c>
      <c r="Q71" s="44">
        <f t="shared" si="0"/>
        <v>0.6</v>
      </c>
      <c r="R71" s="77">
        <v>17</v>
      </c>
      <c r="S71" s="77">
        <v>130</v>
      </c>
      <c r="T71" s="16">
        <f t="shared" si="6"/>
        <v>30</v>
      </c>
      <c r="U71" s="77">
        <v>99</v>
      </c>
      <c r="V71" s="16">
        <f t="shared" si="2"/>
        <v>2970</v>
      </c>
      <c r="W71" s="77">
        <v>4</v>
      </c>
      <c r="X71" s="77" t="s">
        <v>35</v>
      </c>
      <c r="Y71" s="77" t="s">
        <v>74</v>
      </c>
      <c r="Z71" s="77" t="s">
        <v>43</v>
      </c>
      <c r="AA71" s="77" t="s">
        <v>72</v>
      </c>
      <c r="AB71" s="77" t="s">
        <v>161</v>
      </c>
    </row>
    <row r="72" spans="1:28" x14ac:dyDescent="0.15">
      <c r="A72" s="77" t="s">
        <v>23</v>
      </c>
      <c r="B72" s="77" t="s">
        <v>160</v>
      </c>
      <c r="C72" s="77">
        <v>2020</v>
      </c>
      <c r="D72" s="118" t="s">
        <v>248</v>
      </c>
      <c r="E72" s="77" t="s">
        <v>260</v>
      </c>
      <c r="F72" s="77" t="s">
        <v>259</v>
      </c>
      <c r="G72" s="77" t="s">
        <v>25</v>
      </c>
      <c r="H72" s="77" t="s">
        <v>113</v>
      </c>
      <c r="I72" s="77" t="s">
        <v>111</v>
      </c>
      <c r="J72" s="77" t="s">
        <v>27</v>
      </c>
      <c r="K72" s="77" t="s">
        <v>112</v>
      </c>
      <c r="L72" s="77">
        <v>2</v>
      </c>
      <c r="N72" s="77">
        <v>1</v>
      </c>
      <c r="O72" s="77">
        <v>0.5</v>
      </c>
      <c r="P72" s="77">
        <v>0.7</v>
      </c>
      <c r="Q72" s="44">
        <f t="shared" si="0"/>
        <v>0.6</v>
      </c>
      <c r="R72" s="77">
        <v>16.2</v>
      </c>
      <c r="S72" s="77">
        <v>128</v>
      </c>
      <c r="T72" s="16">
        <f t="shared" si="6"/>
        <v>30</v>
      </c>
      <c r="U72" s="77">
        <v>99</v>
      </c>
      <c r="V72" s="16">
        <f t="shared" ref="V72:V91" si="7">IF(OR(N72="",U71="",T72=""),"",U71/N72*T72)</f>
        <v>2970</v>
      </c>
      <c r="W72" s="77">
        <v>4</v>
      </c>
      <c r="X72" s="77" t="s">
        <v>35</v>
      </c>
      <c r="Y72" s="77" t="s">
        <v>74</v>
      </c>
      <c r="Z72" s="77" t="s">
        <v>43</v>
      </c>
      <c r="AA72" s="77" t="s">
        <v>72</v>
      </c>
      <c r="AB72" s="77" t="s">
        <v>161</v>
      </c>
    </row>
    <row r="73" spans="1:28" x14ac:dyDescent="0.15">
      <c r="A73" s="77" t="s">
        <v>23</v>
      </c>
      <c r="B73" s="77" t="s">
        <v>160</v>
      </c>
      <c r="C73" s="77">
        <v>2020</v>
      </c>
      <c r="D73" s="118" t="s">
        <v>248</v>
      </c>
      <c r="E73" s="77" t="s">
        <v>260</v>
      </c>
      <c r="F73" s="77" t="s">
        <v>259</v>
      </c>
      <c r="G73" s="77" t="s">
        <v>25</v>
      </c>
      <c r="H73" s="77" t="s">
        <v>113</v>
      </c>
      <c r="I73" s="77" t="s">
        <v>111</v>
      </c>
      <c r="J73" s="77" t="s">
        <v>27</v>
      </c>
      <c r="K73" s="77" t="s">
        <v>112</v>
      </c>
      <c r="L73" s="77">
        <v>3</v>
      </c>
      <c r="N73" s="77">
        <v>1</v>
      </c>
      <c r="O73" s="77">
        <v>0.45</v>
      </c>
      <c r="P73" s="77">
        <v>0.75</v>
      </c>
      <c r="Q73" s="44">
        <f t="shared" si="0"/>
        <v>0.6</v>
      </c>
      <c r="R73" s="77">
        <v>15.5</v>
      </c>
      <c r="S73" s="77">
        <v>132.5</v>
      </c>
      <c r="T73" s="16">
        <f t="shared" si="6"/>
        <v>30</v>
      </c>
      <c r="U73" s="77">
        <v>99</v>
      </c>
      <c r="V73" s="16">
        <f t="shared" si="7"/>
        <v>2970</v>
      </c>
      <c r="W73" s="77">
        <v>4</v>
      </c>
      <c r="X73" s="77" t="s">
        <v>35</v>
      </c>
      <c r="Y73" s="77" t="s">
        <v>74</v>
      </c>
      <c r="Z73" s="77" t="s">
        <v>43</v>
      </c>
      <c r="AA73" s="77" t="s">
        <v>72</v>
      </c>
      <c r="AB73" s="77" t="s">
        <v>161</v>
      </c>
    </row>
    <row r="74" spans="1:28" x14ac:dyDescent="0.15">
      <c r="A74" s="77" t="s">
        <v>23</v>
      </c>
      <c r="B74" s="77" t="s">
        <v>160</v>
      </c>
      <c r="C74" s="77">
        <v>2020</v>
      </c>
      <c r="D74" s="118" t="s">
        <v>248</v>
      </c>
      <c r="E74" s="77" t="s">
        <v>260</v>
      </c>
      <c r="F74" s="77" t="s">
        <v>261</v>
      </c>
      <c r="G74" s="77" t="s">
        <v>25</v>
      </c>
      <c r="H74" s="77" t="s">
        <v>113</v>
      </c>
      <c r="I74" s="77" t="s">
        <v>111</v>
      </c>
      <c r="J74" s="77" t="s">
        <v>27</v>
      </c>
      <c r="K74" s="77" t="s">
        <v>112</v>
      </c>
      <c r="L74" s="77">
        <v>1</v>
      </c>
      <c r="N74" s="77">
        <v>4</v>
      </c>
      <c r="O74" s="77">
        <v>0.7</v>
      </c>
      <c r="P74" s="77">
        <v>0.7</v>
      </c>
      <c r="Q74" s="44">
        <f t="shared" si="0"/>
        <v>0.7</v>
      </c>
      <c r="R74" s="77">
        <v>16.2</v>
      </c>
      <c r="S74" s="77">
        <v>92.5</v>
      </c>
      <c r="T74" s="16">
        <f t="shared" si="6"/>
        <v>36</v>
      </c>
      <c r="U74" s="77">
        <v>377</v>
      </c>
      <c r="V74" s="16">
        <f t="shared" si="7"/>
        <v>891</v>
      </c>
      <c r="W74" s="77">
        <v>4</v>
      </c>
      <c r="X74" s="77" t="s">
        <v>35</v>
      </c>
      <c r="Y74" s="77" t="s">
        <v>74</v>
      </c>
      <c r="Z74" s="77" t="s">
        <v>43</v>
      </c>
      <c r="AA74" s="77" t="s">
        <v>72</v>
      </c>
      <c r="AB74" s="77" t="s">
        <v>161</v>
      </c>
    </row>
    <row r="75" spans="1:28" x14ac:dyDescent="0.15">
      <c r="A75" s="77" t="s">
        <v>23</v>
      </c>
      <c r="B75" s="77" t="s">
        <v>160</v>
      </c>
      <c r="C75" s="77">
        <v>2020</v>
      </c>
      <c r="D75" s="118" t="s">
        <v>248</v>
      </c>
      <c r="E75" s="77" t="s">
        <v>260</v>
      </c>
      <c r="F75" s="77" t="s">
        <v>261</v>
      </c>
      <c r="G75" s="77" t="s">
        <v>25</v>
      </c>
      <c r="H75" s="77" t="s">
        <v>113</v>
      </c>
      <c r="I75" s="77" t="s">
        <v>111</v>
      </c>
      <c r="J75" s="77" t="s">
        <v>27</v>
      </c>
      <c r="K75" s="77" t="s">
        <v>112</v>
      </c>
      <c r="L75" s="77">
        <v>2</v>
      </c>
      <c r="N75" s="77">
        <v>4</v>
      </c>
      <c r="O75" s="77">
        <v>0.6</v>
      </c>
      <c r="P75" s="77">
        <v>0.8</v>
      </c>
      <c r="Q75" s="44">
        <f t="shared" si="0"/>
        <v>0.7</v>
      </c>
      <c r="R75" s="77">
        <v>15.7</v>
      </c>
      <c r="S75" s="77">
        <v>84</v>
      </c>
      <c r="T75" s="16">
        <f t="shared" si="6"/>
        <v>36</v>
      </c>
      <c r="U75" s="77">
        <v>377</v>
      </c>
      <c r="V75" s="16">
        <f t="shared" si="7"/>
        <v>3393</v>
      </c>
      <c r="W75" s="77">
        <v>4</v>
      </c>
      <c r="X75" s="77" t="s">
        <v>35</v>
      </c>
      <c r="Y75" s="77" t="s">
        <v>74</v>
      </c>
      <c r="Z75" s="77" t="s">
        <v>43</v>
      </c>
      <c r="AA75" s="77" t="s">
        <v>72</v>
      </c>
      <c r="AB75" s="77" t="s">
        <v>161</v>
      </c>
    </row>
    <row r="76" spans="1:28" x14ac:dyDescent="0.15">
      <c r="A76" s="77" t="s">
        <v>23</v>
      </c>
      <c r="B76" s="77" t="s">
        <v>160</v>
      </c>
      <c r="C76" s="77">
        <v>2020</v>
      </c>
      <c r="D76" s="118" t="s">
        <v>248</v>
      </c>
      <c r="E76" s="77" t="s">
        <v>260</v>
      </c>
      <c r="F76" s="77" t="s">
        <v>261</v>
      </c>
      <c r="G76" s="77" t="s">
        <v>25</v>
      </c>
      <c r="H76" s="77" t="s">
        <v>113</v>
      </c>
      <c r="I76" s="77" t="s">
        <v>111</v>
      </c>
      <c r="J76" s="77" t="s">
        <v>27</v>
      </c>
      <c r="K76" s="77" t="s">
        <v>112</v>
      </c>
      <c r="L76" s="77">
        <v>3</v>
      </c>
      <c r="N76" s="77">
        <v>4</v>
      </c>
      <c r="O76" s="77">
        <v>0.65</v>
      </c>
      <c r="P76" s="77">
        <v>0.7</v>
      </c>
      <c r="Q76" s="44">
        <f t="shared" si="0"/>
        <v>0.67500000000000004</v>
      </c>
      <c r="R76" s="77">
        <v>16</v>
      </c>
      <c r="S76" s="77">
        <v>94</v>
      </c>
      <c r="T76" s="16">
        <f t="shared" si="6"/>
        <v>36</v>
      </c>
      <c r="U76" s="77">
        <v>377</v>
      </c>
      <c r="V76" s="16">
        <f t="shared" si="7"/>
        <v>3393</v>
      </c>
      <c r="W76" s="77">
        <v>4</v>
      </c>
      <c r="X76" s="77" t="s">
        <v>35</v>
      </c>
      <c r="Y76" s="77" t="s">
        <v>74</v>
      </c>
      <c r="Z76" s="77" t="s">
        <v>43</v>
      </c>
      <c r="AA76" s="77" t="s">
        <v>72</v>
      </c>
      <c r="AB76" s="77" t="s">
        <v>161</v>
      </c>
    </row>
    <row r="77" spans="1:28" x14ac:dyDescent="0.15">
      <c r="A77" s="77" t="s">
        <v>23</v>
      </c>
      <c r="B77" s="77" t="s">
        <v>160</v>
      </c>
      <c r="C77" s="77">
        <v>2020</v>
      </c>
      <c r="D77" s="118" t="s">
        <v>248</v>
      </c>
      <c r="E77" s="77" t="s">
        <v>274</v>
      </c>
      <c r="F77" s="77" t="s">
        <v>263</v>
      </c>
      <c r="G77" s="77" t="s">
        <v>25</v>
      </c>
      <c r="H77" s="77" t="s">
        <v>113</v>
      </c>
      <c r="I77" s="77" t="s">
        <v>111</v>
      </c>
      <c r="J77" s="77" t="s">
        <v>27</v>
      </c>
      <c r="K77" s="77" t="s">
        <v>112</v>
      </c>
      <c r="L77" s="77">
        <v>1</v>
      </c>
      <c r="N77" s="77">
        <v>1</v>
      </c>
      <c r="O77" s="77">
        <v>0.6</v>
      </c>
      <c r="P77" s="77">
        <v>0.7</v>
      </c>
      <c r="Q77" s="44">
        <f t="shared" si="0"/>
        <v>0.64999999999999991</v>
      </c>
      <c r="R77" s="77">
        <v>16.2</v>
      </c>
      <c r="S77" s="77">
        <v>111</v>
      </c>
      <c r="T77" s="16">
        <f t="shared" ref="T77:T91" si="8">IF(H77="","",IF(OR(H77="GREEN",H77="GK"),IF(U77&gt;=$AX$2,VLOOKUP(U77,$AX$2:$AY$9,2,1),""),IF(U77&gt;=$AZ$2,VLOOKUP(U77,$AZ$2:$BA$9,2,1),"")))</f>
        <v>36</v>
      </c>
      <c r="U77" s="77">
        <v>98</v>
      </c>
      <c r="V77" s="16">
        <f t="shared" si="7"/>
        <v>13572</v>
      </c>
      <c r="W77" s="77">
        <v>7</v>
      </c>
      <c r="X77" s="77" t="s">
        <v>35</v>
      </c>
      <c r="Y77" s="77" t="s">
        <v>64</v>
      </c>
      <c r="Z77" s="77" t="s">
        <v>74</v>
      </c>
      <c r="AA77" s="77" t="s">
        <v>43</v>
      </c>
      <c r="AB77" s="77" t="s">
        <v>161</v>
      </c>
    </row>
    <row r="78" spans="1:28" x14ac:dyDescent="0.15">
      <c r="A78" s="77" t="s">
        <v>23</v>
      </c>
      <c r="B78" s="77" t="s">
        <v>160</v>
      </c>
      <c r="C78" s="77">
        <v>2020</v>
      </c>
      <c r="D78" s="118" t="s">
        <v>248</v>
      </c>
      <c r="E78" s="77" t="s">
        <v>274</v>
      </c>
      <c r="F78" s="77" t="s">
        <v>263</v>
      </c>
      <c r="G78" s="77" t="s">
        <v>25</v>
      </c>
      <c r="H78" s="77" t="s">
        <v>113</v>
      </c>
      <c r="I78" s="77" t="s">
        <v>111</v>
      </c>
      <c r="J78" s="77" t="s">
        <v>27</v>
      </c>
      <c r="K78" s="77" t="s">
        <v>112</v>
      </c>
      <c r="L78" s="77">
        <v>2</v>
      </c>
      <c r="N78" s="77">
        <v>1</v>
      </c>
      <c r="O78" s="77">
        <v>0.6</v>
      </c>
      <c r="P78" s="77">
        <v>0.5</v>
      </c>
      <c r="Q78" s="44">
        <f t="shared" si="0"/>
        <v>0.55000000000000004</v>
      </c>
      <c r="R78" s="77">
        <v>16.100000000000001</v>
      </c>
      <c r="S78" s="77">
        <v>113</v>
      </c>
      <c r="T78" s="16">
        <f t="shared" si="8"/>
        <v>36</v>
      </c>
      <c r="U78" s="77">
        <v>98</v>
      </c>
      <c r="V78" s="16">
        <f t="shared" si="7"/>
        <v>3528</v>
      </c>
      <c r="W78" s="77">
        <v>7</v>
      </c>
      <c r="X78" s="77" t="s">
        <v>35</v>
      </c>
      <c r="Y78" s="77" t="s">
        <v>64</v>
      </c>
      <c r="Z78" s="77" t="s">
        <v>74</v>
      </c>
      <c r="AA78" s="77" t="s">
        <v>43</v>
      </c>
      <c r="AB78" s="77" t="s">
        <v>161</v>
      </c>
    </row>
    <row r="79" spans="1:28" x14ac:dyDescent="0.15">
      <c r="A79" s="77" t="s">
        <v>23</v>
      </c>
      <c r="B79" s="77" t="s">
        <v>160</v>
      </c>
      <c r="C79" s="77">
        <v>2020</v>
      </c>
      <c r="D79" s="118" t="s">
        <v>248</v>
      </c>
      <c r="E79" s="77" t="s">
        <v>274</v>
      </c>
      <c r="F79" s="77" t="s">
        <v>263</v>
      </c>
      <c r="G79" s="77" t="s">
        <v>25</v>
      </c>
      <c r="H79" s="77" t="s">
        <v>113</v>
      </c>
      <c r="I79" s="77" t="s">
        <v>111</v>
      </c>
      <c r="J79" s="77" t="s">
        <v>27</v>
      </c>
      <c r="K79" s="77" t="s">
        <v>112</v>
      </c>
      <c r="L79" s="77">
        <v>3</v>
      </c>
      <c r="N79" s="77">
        <v>1</v>
      </c>
      <c r="O79" s="77">
        <v>0.75</v>
      </c>
      <c r="P79" s="77">
        <v>0.75</v>
      </c>
      <c r="Q79" s="44">
        <f t="shared" si="0"/>
        <v>0.75</v>
      </c>
      <c r="R79" s="77">
        <v>13.5</v>
      </c>
      <c r="S79" s="77">
        <v>118</v>
      </c>
      <c r="T79" s="16">
        <f t="shared" si="8"/>
        <v>36</v>
      </c>
      <c r="U79" s="77">
        <v>98</v>
      </c>
      <c r="V79" s="16">
        <f t="shared" si="7"/>
        <v>3528</v>
      </c>
      <c r="W79" s="77">
        <v>7</v>
      </c>
      <c r="X79" s="77" t="s">
        <v>35</v>
      </c>
      <c r="Y79" s="77" t="s">
        <v>64</v>
      </c>
      <c r="Z79" s="77" t="s">
        <v>74</v>
      </c>
      <c r="AA79" s="77" t="s">
        <v>43</v>
      </c>
      <c r="AB79" s="77" t="s">
        <v>161</v>
      </c>
    </row>
    <row r="80" spans="1:28" x14ac:dyDescent="0.15">
      <c r="A80" s="77" t="s">
        <v>23</v>
      </c>
      <c r="B80" s="77" t="s">
        <v>160</v>
      </c>
      <c r="C80" s="77">
        <v>2020</v>
      </c>
      <c r="D80" s="118" t="s">
        <v>248</v>
      </c>
      <c r="E80" s="77" t="s">
        <v>274</v>
      </c>
      <c r="F80" s="77" t="s">
        <v>263</v>
      </c>
      <c r="G80" s="77" t="s">
        <v>25</v>
      </c>
      <c r="H80" s="77" t="s">
        <v>113</v>
      </c>
      <c r="I80" s="77" t="s">
        <v>111</v>
      </c>
      <c r="J80" s="77" t="s">
        <v>27</v>
      </c>
      <c r="K80" s="77" t="s">
        <v>112</v>
      </c>
      <c r="L80" s="77">
        <v>1</v>
      </c>
      <c r="N80" s="77">
        <v>6</v>
      </c>
      <c r="O80" s="77">
        <v>0.95</v>
      </c>
      <c r="P80" s="77">
        <v>1.1000000000000001</v>
      </c>
      <c r="Q80" s="44">
        <f t="shared" si="0"/>
        <v>1.0249999999999999</v>
      </c>
      <c r="R80" s="77">
        <v>15.2</v>
      </c>
      <c r="S80" s="77">
        <v>94.5</v>
      </c>
      <c r="T80" s="16">
        <f t="shared" si="8"/>
        <v>16</v>
      </c>
      <c r="U80" s="77">
        <v>398</v>
      </c>
      <c r="V80" s="16">
        <f t="shared" si="7"/>
        <v>261.33333333333331</v>
      </c>
      <c r="W80" s="77">
        <v>7</v>
      </c>
      <c r="X80" s="77" t="s">
        <v>35</v>
      </c>
      <c r="Y80" s="77" t="s">
        <v>64</v>
      </c>
      <c r="Z80" s="77" t="s">
        <v>74</v>
      </c>
      <c r="AA80" s="77" t="s">
        <v>43</v>
      </c>
      <c r="AB80" s="77" t="s">
        <v>161</v>
      </c>
    </row>
    <row r="81" spans="1:28" x14ac:dyDescent="0.15">
      <c r="A81" s="77" t="s">
        <v>23</v>
      </c>
      <c r="B81" s="77" t="s">
        <v>160</v>
      </c>
      <c r="C81" s="77">
        <v>2020</v>
      </c>
      <c r="D81" s="118" t="s">
        <v>248</v>
      </c>
      <c r="E81" s="77" t="s">
        <v>274</v>
      </c>
      <c r="F81" s="77" t="s">
        <v>263</v>
      </c>
      <c r="G81" s="77" t="s">
        <v>25</v>
      </c>
      <c r="H81" s="77" t="s">
        <v>113</v>
      </c>
      <c r="I81" s="77" t="s">
        <v>111</v>
      </c>
      <c r="J81" s="77" t="s">
        <v>27</v>
      </c>
      <c r="K81" s="77" t="s">
        <v>112</v>
      </c>
      <c r="L81" s="77">
        <v>2</v>
      </c>
      <c r="N81" s="77">
        <v>6</v>
      </c>
      <c r="O81" s="77">
        <v>1</v>
      </c>
      <c r="P81" s="77">
        <v>1.05</v>
      </c>
      <c r="Q81" s="44">
        <f t="shared" si="0"/>
        <v>1.0249999999999999</v>
      </c>
      <c r="R81" s="77">
        <v>17.3</v>
      </c>
      <c r="S81" s="77">
        <v>89.5</v>
      </c>
      <c r="T81" s="16">
        <f t="shared" si="8"/>
        <v>16</v>
      </c>
      <c r="U81" s="77">
        <v>398</v>
      </c>
      <c r="V81" s="16">
        <f t="shared" si="7"/>
        <v>1061.3333333333333</v>
      </c>
      <c r="W81" s="77">
        <v>7</v>
      </c>
      <c r="X81" s="77" t="s">
        <v>35</v>
      </c>
      <c r="Y81" s="77" t="s">
        <v>64</v>
      </c>
      <c r="Z81" s="77" t="s">
        <v>74</v>
      </c>
      <c r="AA81" s="77" t="s">
        <v>43</v>
      </c>
      <c r="AB81" s="77" t="s">
        <v>161</v>
      </c>
    </row>
    <row r="82" spans="1:28" x14ac:dyDescent="0.15">
      <c r="A82" s="77" t="s">
        <v>23</v>
      </c>
      <c r="B82" s="77" t="s">
        <v>160</v>
      </c>
      <c r="C82" s="77">
        <v>2020</v>
      </c>
      <c r="D82" s="118" t="s">
        <v>248</v>
      </c>
      <c r="E82" s="77" t="s">
        <v>274</v>
      </c>
      <c r="F82" s="77" t="s">
        <v>263</v>
      </c>
      <c r="G82" s="77" t="s">
        <v>25</v>
      </c>
      <c r="H82" s="77" t="s">
        <v>113</v>
      </c>
      <c r="I82" s="77" t="s">
        <v>111</v>
      </c>
      <c r="J82" s="77" t="s">
        <v>27</v>
      </c>
      <c r="K82" s="77" t="s">
        <v>112</v>
      </c>
      <c r="L82" s="77">
        <v>3</v>
      </c>
      <c r="N82" s="77">
        <v>6</v>
      </c>
      <c r="O82" s="77">
        <v>1.05</v>
      </c>
      <c r="P82" s="77">
        <v>1.55</v>
      </c>
      <c r="Q82" s="44">
        <f t="shared" si="0"/>
        <v>1.3</v>
      </c>
      <c r="R82" s="77">
        <v>18.7</v>
      </c>
      <c r="S82" s="77">
        <v>90</v>
      </c>
      <c r="T82" s="16">
        <f t="shared" si="8"/>
        <v>16</v>
      </c>
      <c r="U82" s="77">
        <v>398</v>
      </c>
      <c r="V82" s="16">
        <f t="shared" si="7"/>
        <v>1061.3333333333333</v>
      </c>
      <c r="W82" s="77">
        <v>7</v>
      </c>
      <c r="X82" s="77" t="s">
        <v>35</v>
      </c>
      <c r="Y82" s="77" t="s">
        <v>64</v>
      </c>
      <c r="Z82" s="77" t="s">
        <v>74</v>
      </c>
      <c r="AA82" s="77" t="s">
        <v>43</v>
      </c>
      <c r="AB82" s="77" t="s">
        <v>161</v>
      </c>
    </row>
    <row r="83" spans="1:28" x14ac:dyDescent="0.15">
      <c r="A83" s="77" t="s">
        <v>23</v>
      </c>
      <c r="B83" s="77" t="s">
        <v>160</v>
      </c>
      <c r="C83" s="77">
        <v>2020</v>
      </c>
      <c r="D83" s="118" t="s">
        <v>248</v>
      </c>
      <c r="E83" s="77" t="s">
        <v>274</v>
      </c>
      <c r="F83" s="77" t="s">
        <v>263</v>
      </c>
      <c r="G83" s="77" t="s">
        <v>25</v>
      </c>
      <c r="H83" s="77" t="s">
        <v>166</v>
      </c>
      <c r="I83" s="77" t="s">
        <v>111</v>
      </c>
      <c r="J83" s="77" t="s">
        <v>27</v>
      </c>
      <c r="K83" s="77" t="s">
        <v>112</v>
      </c>
      <c r="L83" s="77">
        <v>1</v>
      </c>
      <c r="N83" s="77">
        <v>1</v>
      </c>
      <c r="O83" s="77">
        <v>0.6</v>
      </c>
      <c r="P83" s="77">
        <v>0.7</v>
      </c>
      <c r="Q83" s="44">
        <f t="shared" si="0"/>
        <v>0.64999999999999991</v>
      </c>
      <c r="R83" s="77">
        <v>17.100000000000001</v>
      </c>
      <c r="S83" s="77">
        <v>143</v>
      </c>
      <c r="T83" s="16">
        <f t="shared" si="8"/>
        <v>36</v>
      </c>
      <c r="U83" s="77">
        <v>98</v>
      </c>
      <c r="V83" s="16">
        <f t="shared" si="7"/>
        <v>14328</v>
      </c>
      <c r="W83" s="77">
        <v>7</v>
      </c>
      <c r="X83" s="77" t="s">
        <v>35</v>
      </c>
      <c r="Y83" s="77" t="s">
        <v>64</v>
      </c>
      <c r="Z83" s="77" t="s">
        <v>74</v>
      </c>
      <c r="AA83" s="77" t="s">
        <v>43</v>
      </c>
      <c r="AB83" s="77" t="s">
        <v>161</v>
      </c>
    </row>
    <row r="84" spans="1:28" x14ac:dyDescent="0.15">
      <c r="A84" s="77" t="s">
        <v>23</v>
      </c>
      <c r="B84" s="77" t="s">
        <v>160</v>
      </c>
      <c r="C84" s="77">
        <v>2020</v>
      </c>
      <c r="D84" s="118" t="s">
        <v>248</v>
      </c>
      <c r="E84" s="77" t="s">
        <v>274</v>
      </c>
      <c r="F84" s="77" t="s">
        <v>263</v>
      </c>
      <c r="G84" s="77" t="s">
        <v>25</v>
      </c>
      <c r="H84" s="77" t="s">
        <v>166</v>
      </c>
      <c r="I84" s="77" t="s">
        <v>111</v>
      </c>
      <c r="J84" s="77" t="s">
        <v>27</v>
      </c>
      <c r="K84" s="77" t="s">
        <v>112</v>
      </c>
      <c r="L84" s="77">
        <v>2</v>
      </c>
      <c r="N84" s="77">
        <v>1</v>
      </c>
      <c r="O84" s="77">
        <v>0.7</v>
      </c>
      <c r="P84" s="77">
        <v>0.45</v>
      </c>
      <c r="Q84" s="44">
        <f t="shared" si="0"/>
        <v>0.57499999999999996</v>
      </c>
      <c r="R84" s="77">
        <v>18.3</v>
      </c>
      <c r="S84" s="77">
        <v>143.5</v>
      </c>
      <c r="T84" s="16">
        <f t="shared" si="8"/>
        <v>36</v>
      </c>
      <c r="U84" s="77">
        <v>98</v>
      </c>
      <c r="V84" s="16">
        <f t="shared" si="7"/>
        <v>3528</v>
      </c>
      <c r="W84" s="77">
        <v>7</v>
      </c>
      <c r="X84" s="77" t="s">
        <v>35</v>
      </c>
      <c r="Y84" s="77" t="s">
        <v>64</v>
      </c>
      <c r="Z84" s="77" t="s">
        <v>74</v>
      </c>
      <c r="AA84" s="77" t="s">
        <v>43</v>
      </c>
      <c r="AB84" s="77" t="s">
        <v>161</v>
      </c>
    </row>
    <row r="85" spans="1:28" x14ac:dyDescent="0.15">
      <c r="A85" s="77" t="s">
        <v>23</v>
      </c>
      <c r="B85" s="77" t="s">
        <v>160</v>
      </c>
      <c r="C85" s="77">
        <v>2020</v>
      </c>
      <c r="D85" s="118" t="s">
        <v>248</v>
      </c>
      <c r="E85" s="77" t="s">
        <v>274</v>
      </c>
      <c r="F85" s="77" t="s">
        <v>263</v>
      </c>
      <c r="G85" s="77" t="s">
        <v>25</v>
      </c>
      <c r="H85" s="77" t="s">
        <v>166</v>
      </c>
      <c r="I85" s="77" t="s">
        <v>111</v>
      </c>
      <c r="J85" s="77" t="s">
        <v>27</v>
      </c>
      <c r="K85" s="77" t="s">
        <v>112</v>
      </c>
      <c r="L85" s="77">
        <v>3</v>
      </c>
      <c r="N85" s="77">
        <v>1</v>
      </c>
      <c r="O85" s="77">
        <v>0.5</v>
      </c>
      <c r="P85" s="77">
        <v>0.5</v>
      </c>
      <c r="Q85" s="44">
        <f t="shared" si="0"/>
        <v>0.5</v>
      </c>
      <c r="R85" s="77">
        <v>19.3</v>
      </c>
      <c r="S85" s="77">
        <v>145</v>
      </c>
      <c r="T85" s="16">
        <f t="shared" si="8"/>
        <v>36</v>
      </c>
      <c r="U85" s="77">
        <v>98</v>
      </c>
      <c r="V85" s="16">
        <f t="shared" si="7"/>
        <v>3528</v>
      </c>
      <c r="W85" s="77">
        <v>7</v>
      </c>
      <c r="X85" s="77" t="s">
        <v>35</v>
      </c>
      <c r="Y85" s="77" t="s">
        <v>64</v>
      </c>
      <c r="Z85" s="77" t="s">
        <v>74</v>
      </c>
      <c r="AA85" s="77" t="s">
        <v>43</v>
      </c>
      <c r="AB85" s="77" t="s">
        <v>161</v>
      </c>
    </row>
    <row r="86" spans="1:28" x14ac:dyDescent="0.15">
      <c r="A86" s="77" t="s">
        <v>23</v>
      </c>
      <c r="B86" s="77" t="s">
        <v>160</v>
      </c>
      <c r="C86" s="77">
        <v>2020</v>
      </c>
      <c r="D86" s="118" t="s">
        <v>248</v>
      </c>
      <c r="E86" s="77" t="s">
        <v>274</v>
      </c>
      <c r="F86" s="77" t="s">
        <v>263</v>
      </c>
      <c r="G86" s="77" t="s">
        <v>25</v>
      </c>
      <c r="H86" s="77" t="s">
        <v>166</v>
      </c>
      <c r="I86" s="77" t="s">
        <v>111</v>
      </c>
      <c r="J86" s="77" t="s">
        <v>27</v>
      </c>
      <c r="K86" s="77" t="s">
        <v>112</v>
      </c>
      <c r="L86" s="77">
        <v>1</v>
      </c>
      <c r="N86" s="77">
        <v>4</v>
      </c>
      <c r="O86" s="77">
        <v>0.75</v>
      </c>
      <c r="P86" s="77">
        <v>0.5</v>
      </c>
      <c r="Q86" s="44">
        <f t="shared" ref="Q86:Q149" si="9">IF(OR(O86="",P86=""),"",AVERAGE(O86,P86))</f>
        <v>0.625</v>
      </c>
      <c r="R86" s="77">
        <v>16.5</v>
      </c>
      <c r="S86" s="77">
        <v>107</v>
      </c>
      <c r="T86" s="16">
        <f t="shared" si="8"/>
        <v>16</v>
      </c>
      <c r="U86" s="77">
        <v>398</v>
      </c>
      <c r="V86" s="16">
        <f t="shared" si="7"/>
        <v>392</v>
      </c>
      <c r="W86" s="77">
        <v>7</v>
      </c>
      <c r="X86" s="77" t="s">
        <v>35</v>
      </c>
      <c r="Y86" s="77" t="s">
        <v>64</v>
      </c>
      <c r="Z86" s="77" t="s">
        <v>74</v>
      </c>
      <c r="AA86" s="77" t="s">
        <v>43</v>
      </c>
      <c r="AB86" s="77" t="s">
        <v>161</v>
      </c>
    </row>
    <row r="87" spans="1:28" x14ac:dyDescent="0.15">
      <c r="A87" s="77" t="s">
        <v>23</v>
      </c>
      <c r="B87" s="77" t="s">
        <v>160</v>
      </c>
      <c r="C87" s="77">
        <v>2020</v>
      </c>
      <c r="D87" s="118" t="s">
        <v>248</v>
      </c>
      <c r="E87" s="77" t="s">
        <v>274</v>
      </c>
      <c r="F87" s="77" t="s">
        <v>263</v>
      </c>
      <c r="G87" s="77" t="s">
        <v>25</v>
      </c>
      <c r="H87" s="77" t="s">
        <v>166</v>
      </c>
      <c r="I87" s="77" t="s">
        <v>111</v>
      </c>
      <c r="J87" s="77" t="s">
        <v>27</v>
      </c>
      <c r="K87" s="77" t="s">
        <v>112</v>
      </c>
      <c r="L87" s="77">
        <v>2</v>
      </c>
      <c r="N87" s="77">
        <v>4</v>
      </c>
      <c r="O87" s="77">
        <v>0.7</v>
      </c>
      <c r="P87" s="77">
        <v>0.7</v>
      </c>
      <c r="Q87" s="44">
        <f t="shared" si="9"/>
        <v>0.7</v>
      </c>
      <c r="R87" s="77">
        <v>16.7</v>
      </c>
      <c r="S87" s="77">
        <v>114.5</v>
      </c>
      <c r="T87" s="16">
        <f t="shared" si="8"/>
        <v>16</v>
      </c>
      <c r="U87" s="77">
        <v>398</v>
      </c>
      <c r="V87" s="16">
        <f t="shared" si="7"/>
        <v>1592</v>
      </c>
      <c r="W87" s="77">
        <v>7</v>
      </c>
      <c r="X87" s="77" t="s">
        <v>35</v>
      </c>
      <c r="Y87" s="77" t="s">
        <v>64</v>
      </c>
      <c r="Z87" s="77" t="s">
        <v>74</v>
      </c>
      <c r="AA87" s="77" t="s">
        <v>43</v>
      </c>
      <c r="AB87" s="77" t="s">
        <v>161</v>
      </c>
    </row>
    <row r="88" spans="1:28" x14ac:dyDescent="0.15">
      <c r="A88" s="77" t="s">
        <v>23</v>
      </c>
      <c r="B88" s="77" t="s">
        <v>160</v>
      </c>
      <c r="C88" s="77">
        <v>2020</v>
      </c>
      <c r="D88" s="118" t="s">
        <v>248</v>
      </c>
      <c r="E88" s="77" t="s">
        <v>274</v>
      </c>
      <c r="F88" s="77" t="s">
        <v>263</v>
      </c>
      <c r="G88" s="77" t="s">
        <v>25</v>
      </c>
      <c r="H88" s="77" t="s">
        <v>166</v>
      </c>
      <c r="I88" s="77" t="s">
        <v>275</v>
      </c>
      <c r="J88" s="77" t="s">
        <v>27</v>
      </c>
      <c r="K88" s="77" t="s">
        <v>112</v>
      </c>
      <c r="L88" s="77">
        <v>3</v>
      </c>
      <c r="N88" s="77">
        <v>4</v>
      </c>
      <c r="O88" s="77">
        <v>0.5</v>
      </c>
      <c r="P88" s="77">
        <v>0.7</v>
      </c>
      <c r="Q88" s="16">
        <f t="shared" si="9"/>
        <v>0.6</v>
      </c>
      <c r="R88" s="77">
        <v>16.600000000000001</v>
      </c>
      <c r="S88" s="77">
        <v>112</v>
      </c>
      <c r="T88" s="16">
        <f t="shared" si="8"/>
        <v>16</v>
      </c>
      <c r="U88" s="77">
        <v>398</v>
      </c>
      <c r="V88" s="16">
        <f t="shared" si="7"/>
        <v>1592</v>
      </c>
      <c r="W88" s="77">
        <v>7</v>
      </c>
      <c r="X88" s="77" t="s">
        <v>35</v>
      </c>
      <c r="Y88" s="77" t="s">
        <v>64</v>
      </c>
      <c r="Z88" s="77" t="s">
        <v>74</v>
      </c>
      <c r="AA88" s="77" t="s">
        <v>43</v>
      </c>
      <c r="AB88" s="77" t="s">
        <v>161</v>
      </c>
    </row>
    <row r="89" spans="1:28" x14ac:dyDescent="0.15">
      <c r="A89" s="77" t="s">
        <v>23</v>
      </c>
      <c r="B89" s="77" t="s">
        <v>160</v>
      </c>
      <c r="C89" s="77">
        <v>2020</v>
      </c>
      <c r="D89" s="118" t="s">
        <v>248</v>
      </c>
      <c r="E89" s="77" t="s">
        <v>274</v>
      </c>
      <c r="F89" s="77" t="s">
        <v>263</v>
      </c>
      <c r="G89" s="77" t="s">
        <v>25</v>
      </c>
      <c r="H89" s="77" t="s">
        <v>166</v>
      </c>
      <c r="I89" s="77" t="s">
        <v>111</v>
      </c>
      <c r="J89" s="77" t="s">
        <v>27</v>
      </c>
      <c r="K89" s="77" t="s">
        <v>112</v>
      </c>
      <c r="L89" s="77">
        <v>1</v>
      </c>
      <c r="N89" s="77">
        <v>4</v>
      </c>
      <c r="O89" s="77">
        <v>0.75</v>
      </c>
      <c r="P89" s="77">
        <v>0.9</v>
      </c>
      <c r="Q89" s="16">
        <f t="shared" si="9"/>
        <v>0.82499999999999996</v>
      </c>
      <c r="R89" s="77">
        <v>16.100000000000001</v>
      </c>
      <c r="S89" s="77">
        <v>158.5</v>
      </c>
      <c r="T89" s="16">
        <f t="shared" si="8"/>
        <v>16</v>
      </c>
      <c r="U89" s="77">
        <v>680</v>
      </c>
      <c r="V89" s="16">
        <f t="shared" si="7"/>
        <v>1592</v>
      </c>
      <c r="W89" s="77">
        <v>7</v>
      </c>
      <c r="X89" s="77" t="s">
        <v>35</v>
      </c>
      <c r="Y89" s="77" t="s">
        <v>64</v>
      </c>
      <c r="Z89" s="77" t="s">
        <v>74</v>
      </c>
      <c r="AA89" s="77" t="s">
        <v>43</v>
      </c>
      <c r="AB89" s="77" t="s">
        <v>161</v>
      </c>
    </row>
    <row r="90" spans="1:28" x14ac:dyDescent="0.15">
      <c r="A90" s="77" t="s">
        <v>23</v>
      </c>
      <c r="B90" s="77" t="s">
        <v>160</v>
      </c>
      <c r="C90" s="77">
        <v>2020</v>
      </c>
      <c r="D90" s="118" t="s">
        <v>248</v>
      </c>
      <c r="E90" s="77" t="s">
        <v>274</v>
      </c>
      <c r="F90" s="77" t="s">
        <v>263</v>
      </c>
      <c r="G90" s="77" t="s">
        <v>25</v>
      </c>
      <c r="H90" s="77" t="s">
        <v>166</v>
      </c>
      <c r="I90" s="77" t="s">
        <v>111</v>
      </c>
      <c r="J90" s="77" t="s">
        <v>27</v>
      </c>
      <c r="K90" s="77" t="s">
        <v>112</v>
      </c>
      <c r="L90" s="77">
        <v>2</v>
      </c>
      <c r="N90" s="77">
        <v>4</v>
      </c>
      <c r="O90" s="77">
        <v>0.55000000000000004</v>
      </c>
      <c r="P90" s="77">
        <v>0.75</v>
      </c>
      <c r="Q90" s="16">
        <f t="shared" si="9"/>
        <v>0.65</v>
      </c>
      <c r="R90" s="77">
        <v>15.7</v>
      </c>
      <c r="S90" s="77">
        <v>159</v>
      </c>
      <c r="T90" s="16">
        <f t="shared" si="8"/>
        <v>16</v>
      </c>
      <c r="U90" s="77">
        <v>680</v>
      </c>
      <c r="V90" s="16">
        <f t="shared" si="7"/>
        <v>2720</v>
      </c>
      <c r="W90" s="77">
        <v>7</v>
      </c>
      <c r="X90" s="77" t="s">
        <v>35</v>
      </c>
      <c r="Y90" s="77" t="s">
        <v>64</v>
      </c>
      <c r="Z90" s="77" t="s">
        <v>74</v>
      </c>
      <c r="AA90" s="77" t="s">
        <v>43</v>
      </c>
      <c r="AB90" s="77" t="s">
        <v>161</v>
      </c>
    </row>
    <row r="91" spans="1:28" x14ac:dyDescent="0.15">
      <c r="A91" s="77" t="s">
        <v>23</v>
      </c>
      <c r="B91" s="77" t="s">
        <v>160</v>
      </c>
      <c r="C91" s="77">
        <v>2020</v>
      </c>
      <c r="D91" s="118" t="s">
        <v>248</v>
      </c>
      <c r="E91" s="77" t="s">
        <v>274</v>
      </c>
      <c r="F91" s="77" t="s">
        <v>263</v>
      </c>
      <c r="G91" s="77" t="s">
        <v>25</v>
      </c>
      <c r="H91" s="77" t="s">
        <v>166</v>
      </c>
      <c r="I91" s="77" t="s">
        <v>111</v>
      </c>
      <c r="J91" s="77" t="s">
        <v>27</v>
      </c>
      <c r="K91" s="77" t="s">
        <v>112</v>
      </c>
      <c r="L91" s="77">
        <v>3</v>
      </c>
      <c r="N91" s="77">
        <v>4</v>
      </c>
      <c r="O91" s="77">
        <v>0.7</v>
      </c>
      <c r="P91" s="77">
        <v>0.8</v>
      </c>
      <c r="Q91" s="16">
        <f t="shared" si="9"/>
        <v>0.75</v>
      </c>
      <c r="R91" s="77">
        <v>15.5</v>
      </c>
      <c r="S91" s="77">
        <v>168.5</v>
      </c>
      <c r="T91" s="16">
        <f t="shared" si="8"/>
        <v>16</v>
      </c>
      <c r="U91" s="77">
        <v>680</v>
      </c>
      <c r="V91" s="16">
        <f t="shared" si="7"/>
        <v>2720</v>
      </c>
      <c r="W91" s="77">
        <v>7</v>
      </c>
      <c r="X91" s="77" t="s">
        <v>35</v>
      </c>
      <c r="Y91" s="77" t="s">
        <v>64</v>
      </c>
      <c r="Z91" s="77" t="s">
        <v>74</v>
      </c>
      <c r="AA91" s="77" t="s">
        <v>43</v>
      </c>
      <c r="AB91" s="77" t="s">
        <v>161</v>
      </c>
    </row>
    <row r="92" spans="1:28" x14ac:dyDescent="0.15">
      <c r="A92" s="77" t="s">
        <v>23</v>
      </c>
      <c r="B92" s="77" t="s">
        <v>160</v>
      </c>
      <c r="C92" s="77">
        <v>2020</v>
      </c>
      <c r="D92" s="118" t="s">
        <v>248</v>
      </c>
      <c r="E92" s="77" t="s">
        <v>169</v>
      </c>
      <c r="F92" s="77" t="s">
        <v>276</v>
      </c>
      <c r="G92" s="77" t="s">
        <v>25</v>
      </c>
      <c r="H92" s="77" t="s">
        <v>113</v>
      </c>
      <c r="I92" s="77" t="s">
        <v>111</v>
      </c>
      <c r="J92" s="77" t="s">
        <v>27</v>
      </c>
      <c r="K92" s="77" t="s">
        <v>112</v>
      </c>
      <c r="L92" s="77">
        <v>1</v>
      </c>
      <c r="N92" s="77">
        <v>1</v>
      </c>
      <c r="O92" s="77">
        <v>0.75</v>
      </c>
      <c r="P92" s="77">
        <v>0.75</v>
      </c>
      <c r="Q92" s="16">
        <f t="shared" si="9"/>
        <v>0.75</v>
      </c>
      <c r="R92" s="77">
        <v>16.899999999999999</v>
      </c>
      <c r="S92" s="77">
        <v>121</v>
      </c>
      <c r="T92" s="16">
        <f t="shared" si="6"/>
        <v>30</v>
      </c>
      <c r="U92" s="77">
        <v>79</v>
      </c>
      <c r="V92" s="16">
        <f t="shared" si="2"/>
        <v>2370</v>
      </c>
      <c r="W92" s="77">
        <v>6</v>
      </c>
      <c r="X92" s="77" t="s">
        <v>35</v>
      </c>
      <c r="Y92" s="77" t="s">
        <v>74</v>
      </c>
      <c r="Z92" s="77" t="s">
        <v>55</v>
      </c>
      <c r="AA92" s="77" t="s">
        <v>43</v>
      </c>
      <c r="AB92" s="77" t="s">
        <v>161</v>
      </c>
    </row>
    <row r="93" spans="1:28" x14ac:dyDescent="0.15">
      <c r="A93" s="77" t="s">
        <v>23</v>
      </c>
      <c r="B93" s="77" t="s">
        <v>160</v>
      </c>
      <c r="C93" s="77">
        <v>2020</v>
      </c>
      <c r="D93" s="118" t="s">
        <v>248</v>
      </c>
      <c r="E93" s="77" t="s">
        <v>169</v>
      </c>
      <c r="F93" s="77" t="s">
        <v>276</v>
      </c>
      <c r="G93" s="77" t="s">
        <v>25</v>
      </c>
      <c r="H93" s="77" t="s">
        <v>113</v>
      </c>
      <c r="I93" s="77" t="s">
        <v>111</v>
      </c>
      <c r="J93" s="77" t="s">
        <v>27</v>
      </c>
      <c r="K93" s="77" t="s">
        <v>112</v>
      </c>
      <c r="L93" s="77">
        <v>2</v>
      </c>
      <c r="N93" s="77">
        <v>1</v>
      </c>
      <c r="O93" s="77">
        <v>0.6</v>
      </c>
      <c r="P93" s="77">
        <v>0.75</v>
      </c>
      <c r="Q93" s="16">
        <f t="shared" si="9"/>
        <v>0.67500000000000004</v>
      </c>
      <c r="R93" s="77">
        <v>14.7</v>
      </c>
      <c r="S93" s="77">
        <v>119.5</v>
      </c>
      <c r="T93" s="16">
        <f t="shared" si="6"/>
        <v>30</v>
      </c>
      <c r="U93" s="77">
        <v>79</v>
      </c>
      <c r="V93" s="16">
        <f t="shared" si="2"/>
        <v>2370</v>
      </c>
      <c r="W93" s="77">
        <v>6</v>
      </c>
      <c r="X93" s="77" t="s">
        <v>35</v>
      </c>
      <c r="Y93" s="77" t="s">
        <v>74</v>
      </c>
      <c r="Z93" s="77" t="s">
        <v>55</v>
      </c>
      <c r="AA93" s="77" t="s">
        <v>43</v>
      </c>
      <c r="AB93" s="77" t="s">
        <v>161</v>
      </c>
    </row>
    <row r="94" spans="1:28" x14ac:dyDescent="0.15">
      <c r="A94" s="77" t="s">
        <v>23</v>
      </c>
      <c r="B94" s="77" t="s">
        <v>160</v>
      </c>
      <c r="C94" s="77">
        <v>2020</v>
      </c>
      <c r="D94" s="118" t="s">
        <v>248</v>
      </c>
      <c r="E94" s="77" t="s">
        <v>169</v>
      </c>
      <c r="F94" s="77" t="s">
        <v>276</v>
      </c>
      <c r="G94" s="77" t="s">
        <v>25</v>
      </c>
      <c r="H94" s="77" t="s">
        <v>113</v>
      </c>
      <c r="I94" s="77" t="s">
        <v>111</v>
      </c>
      <c r="J94" s="77" t="s">
        <v>27</v>
      </c>
      <c r="K94" s="77" t="s">
        <v>112</v>
      </c>
      <c r="L94" s="77">
        <v>3</v>
      </c>
      <c r="N94" s="77">
        <v>1</v>
      </c>
      <c r="O94" s="77">
        <v>0.75</v>
      </c>
      <c r="P94" s="77">
        <v>0.8</v>
      </c>
      <c r="Q94" s="16">
        <f t="shared" si="9"/>
        <v>0.77500000000000002</v>
      </c>
      <c r="R94" s="77">
        <v>13.4</v>
      </c>
      <c r="S94" s="77">
        <v>114.5</v>
      </c>
      <c r="T94" s="16">
        <f t="shared" si="6"/>
        <v>30</v>
      </c>
      <c r="U94" s="77">
        <v>79</v>
      </c>
      <c r="V94" s="16">
        <f t="shared" si="2"/>
        <v>2370</v>
      </c>
      <c r="W94" s="77">
        <v>6</v>
      </c>
      <c r="X94" s="77" t="s">
        <v>35</v>
      </c>
      <c r="Y94" s="77" t="s">
        <v>74</v>
      </c>
      <c r="Z94" s="77" t="s">
        <v>55</v>
      </c>
      <c r="AA94" s="77" t="s">
        <v>43</v>
      </c>
      <c r="AB94" s="77" t="s">
        <v>161</v>
      </c>
    </row>
    <row r="95" spans="1:28" x14ac:dyDescent="0.15">
      <c r="A95" s="77" t="s">
        <v>23</v>
      </c>
      <c r="B95" s="77" t="s">
        <v>160</v>
      </c>
      <c r="C95" s="77">
        <v>2020</v>
      </c>
      <c r="D95" s="118" t="s">
        <v>248</v>
      </c>
      <c r="E95" s="77" t="s">
        <v>169</v>
      </c>
      <c r="F95" s="77" t="s">
        <v>276</v>
      </c>
      <c r="G95" s="77" t="s">
        <v>25</v>
      </c>
      <c r="H95" s="77" t="s">
        <v>113</v>
      </c>
      <c r="I95" s="77" t="s">
        <v>111</v>
      </c>
      <c r="J95" s="77" t="s">
        <v>27</v>
      </c>
      <c r="K95" s="77" t="s">
        <v>112</v>
      </c>
      <c r="L95" s="77">
        <v>1</v>
      </c>
      <c r="N95" s="77">
        <v>5</v>
      </c>
      <c r="O95" s="77">
        <v>0.6</v>
      </c>
      <c r="P95" s="77">
        <v>0.75</v>
      </c>
      <c r="Q95" s="16">
        <f t="shared" si="9"/>
        <v>0.67500000000000004</v>
      </c>
      <c r="R95" s="77">
        <v>16</v>
      </c>
      <c r="S95" s="77">
        <v>119.5</v>
      </c>
      <c r="T95" s="16">
        <f t="shared" si="6"/>
        <v>30</v>
      </c>
      <c r="U95" s="77">
        <v>398</v>
      </c>
      <c r="V95" s="16">
        <f t="shared" si="2"/>
        <v>2388</v>
      </c>
      <c r="W95" s="77">
        <v>6</v>
      </c>
      <c r="X95" s="77" t="s">
        <v>35</v>
      </c>
      <c r="Y95" s="77" t="s">
        <v>74</v>
      </c>
      <c r="Z95" s="77" t="s">
        <v>55</v>
      </c>
      <c r="AA95" s="77" t="s">
        <v>43</v>
      </c>
      <c r="AB95" s="77" t="s">
        <v>161</v>
      </c>
    </row>
    <row r="96" spans="1:28" x14ac:dyDescent="0.15">
      <c r="A96" s="77" t="s">
        <v>23</v>
      </c>
      <c r="B96" s="77" t="s">
        <v>160</v>
      </c>
      <c r="C96" s="77">
        <v>2020</v>
      </c>
      <c r="D96" s="118" t="s">
        <v>248</v>
      </c>
      <c r="E96" s="77" t="s">
        <v>169</v>
      </c>
      <c r="F96" s="77" t="s">
        <v>276</v>
      </c>
      <c r="G96" s="77" t="s">
        <v>25</v>
      </c>
      <c r="H96" s="77" t="s">
        <v>113</v>
      </c>
      <c r="I96" s="77" t="s">
        <v>111</v>
      </c>
      <c r="J96" s="77" t="s">
        <v>27</v>
      </c>
      <c r="K96" s="77" t="s">
        <v>112</v>
      </c>
      <c r="L96" s="77">
        <v>2</v>
      </c>
      <c r="N96" s="77">
        <v>5</v>
      </c>
      <c r="O96" s="77">
        <v>0.6</v>
      </c>
      <c r="P96" s="77">
        <v>0.55000000000000004</v>
      </c>
      <c r="Q96" s="16">
        <f t="shared" si="9"/>
        <v>0.57499999999999996</v>
      </c>
      <c r="R96" s="77">
        <v>16</v>
      </c>
      <c r="S96" s="77">
        <v>126.5</v>
      </c>
      <c r="T96" s="16">
        <f t="shared" si="6"/>
        <v>30</v>
      </c>
      <c r="U96" s="77">
        <v>398</v>
      </c>
      <c r="V96" s="16">
        <f t="shared" si="2"/>
        <v>2388</v>
      </c>
      <c r="W96" s="77">
        <v>6</v>
      </c>
      <c r="X96" s="77" t="s">
        <v>35</v>
      </c>
      <c r="Y96" s="77" t="s">
        <v>74</v>
      </c>
      <c r="Z96" s="77" t="s">
        <v>55</v>
      </c>
      <c r="AA96" s="77" t="s">
        <v>43</v>
      </c>
      <c r="AB96" s="77" t="s">
        <v>161</v>
      </c>
    </row>
    <row r="97" spans="1:28" x14ac:dyDescent="0.15">
      <c r="A97" s="77" t="s">
        <v>23</v>
      </c>
      <c r="B97" s="77" t="s">
        <v>160</v>
      </c>
      <c r="C97" s="77">
        <v>2020</v>
      </c>
      <c r="D97" s="118" t="s">
        <v>248</v>
      </c>
      <c r="E97" s="77" t="s">
        <v>169</v>
      </c>
      <c r="F97" s="77" t="s">
        <v>276</v>
      </c>
      <c r="G97" s="77" t="s">
        <v>25</v>
      </c>
      <c r="H97" s="77" t="s">
        <v>113</v>
      </c>
      <c r="I97" s="77" t="s">
        <v>111</v>
      </c>
      <c r="J97" s="77" t="s">
        <v>27</v>
      </c>
      <c r="K97" s="77" t="s">
        <v>112</v>
      </c>
      <c r="L97" s="77">
        <v>3</v>
      </c>
      <c r="N97" s="77">
        <v>5</v>
      </c>
      <c r="O97" s="77">
        <v>0.6</v>
      </c>
      <c r="P97" s="77">
        <v>0.5</v>
      </c>
      <c r="Q97" s="16">
        <f t="shared" si="9"/>
        <v>0.55000000000000004</v>
      </c>
      <c r="R97" s="77">
        <v>14.6</v>
      </c>
      <c r="S97" s="77">
        <v>128.5</v>
      </c>
      <c r="T97" s="16">
        <f t="shared" si="6"/>
        <v>30</v>
      </c>
      <c r="U97" s="77">
        <v>398</v>
      </c>
      <c r="V97" s="16">
        <f t="shared" si="2"/>
        <v>2388</v>
      </c>
      <c r="W97" s="77">
        <v>6</v>
      </c>
      <c r="X97" s="77" t="s">
        <v>35</v>
      </c>
      <c r="Y97" s="77" t="s">
        <v>74</v>
      </c>
      <c r="Z97" s="77" t="s">
        <v>55</v>
      </c>
      <c r="AA97" s="77" t="s">
        <v>43</v>
      </c>
      <c r="AB97" s="77" t="s">
        <v>161</v>
      </c>
    </row>
    <row r="98" spans="1:28" x14ac:dyDescent="0.15">
      <c r="A98" s="77" t="s">
        <v>23</v>
      </c>
      <c r="B98" s="77" t="s">
        <v>160</v>
      </c>
      <c r="C98" s="77">
        <v>2020</v>
      </c>
      <c r="D98" s="118" t="s">
        <v>248</v>
      </c>
      <c r="E98" s="77" t="s">
        <v>169</v>
      </c>
      <c r="F98" s="77" t="s">
        <v>276</v>
      </c>
      <c r="G98" s="77" t="s">
        <v>25</v>
      </c>
      <c r="H98" s="77" t="s">
        <v>166</v>
      </c>
      <c r="I98" s="77" t="s">
        <v>111</v>
      </c>
      <c r="J98" s="77" t="s">
        <v>27</v>
      </c>
      <c r="K98" s="77" t="s">
        <v>112</v>
      </c>
      <c r="L98" s="77">
        <v>1</v>
      </c>
      <c r="N98" s="77">
        <v>1</v>
      </c>
      <c r="O98" s="77">
        <v>0.6</v>
      </c>
      <c r="P98" s="77">
        <v>0.55000000000000004</v>
      </c>
      <c r="Q98" s="16">
        <f t="shared" si="9"/>
        <v>0.57499999999999996</v>
      </c>
      <c r="R98" s="77">
        <v>15.8</v>
      </c>
      <c r="S98" s="77">
        <v>111</v>
      </c>
      <c r="T98" s="16">
        <f t="shared" si="6"/>
        <v>33</v>
      </c>
      <c r="U98" s="77">
        <v>98</v>
      </c>
      <c r="V98" s="16">
        <f t="shared" si="2"/>
        <v>3234</v>
      </c>
      <c r="W98" s="77">
        <v>6</v>
      </c>
      <c r="X98" s="77" t="s">
        <v>35</v>
      </c>
      <c r="Y98" s="77" t="s">
        <v>74</v>
      </c>
      <c r="Z98" s="77" t="s">
        <v>55</v>
      </c>
      <c r="AA98" s="77" t="s">
        <v>43</v>
      </c>
      <c r="AB98" s="77" t="s">
        <v>161</v>
      </c>
    </row>
    <row r="99" spans="1:28" x14ac:dyDescent="0.15">
      <c r="A99" s="77" t="s">
        <v>23</v>
      </c>
      <c r="B99" s="77" t="s">
        <v>160</v>
      </c>
      <c r="C99" s="77">
        <v>2020</v>
      </c>
      <c r="D99" s="118" t="s">
        <v>248</v>
      </c>
      <c r="E99" s="77" t="s">
        <v>169</v>
      </c>
      <c r="F99" s="77" t="s">
        <v>276</v>
      </c>
      <c r="G99" s="77" t="s">
        <v>25</v>
      </c>
      <c r="H99" s="77" t="s">
        <v>166</v>
      </c>
      <c r="I99" s="77" t="s">
        <v>111</v>
      </c>
      <c r="J99" s="77" t="s">
        <v>27</v>
      </c>
      <c r="K99" s="77" t="s">
        <v>112</v>
      </c>
      <c r="L99" s="77">
        <v>2</v>
      </c>
      <c r="N99" s="77">
        <v>1</v>
      </c>
      <c r="O99" s="77">
        <v>0.7</v>
      </c>
      <c r="P99" s="77">
        <v>0.8</v>
      </c>
      <c r="Q99" s="16">
        <f t="shared" si="9"/>
        <v>0.75</v>
      </c>
      <c r="R99" s="77">
        <v>16.100000000000001</v>
      </c>
      <c r="S99" s="77">
        <v>114.5</v>
      </c>
      <c r="T99" s="16">
        <f t="shared" si="6"/>
        <v>30</v>
      </c>
      <c r="U99" s="77">
        <v>98</v>
      </c>
      <c r="V99" s="16">
        <f t="shared" si="2"/>
        <v>2940</v>
      </c>
      <c r="W99" s="77">
        <v>6</v>
      </c>
      <c r="X99" s="77" t="s">
        <v>35</v>
      </c>
      <c r="Y99" s="77" t="s">
        <v>74</v>
      </c>
      <c r="Z99" s="77" t="s">
        <v>55</v>
      </c>
      <c r="AA99" s="77" t="s">
        <v>43</v>
      </c>
      <c r="AB99" s="77" t="s">
        <v>161</v>
      </c>
    </row>
    <row r="100" spans="1:28" x14ac:dyDescent="0.15">
      <c r="A100" s="77" t="s">
        <v>23</v>
      </c>
      <c r="B100" s="77" t="s">
        <v>160</v>
      </c>
      <c r="C100" s="77">
        <v>2020</v>
      </c>
      <c r="D100" s="118" t="s">
        <v>248</v>
      </c>
      <c r="E100" s="77" t="s">
        <v>169</v>
      </c>
      <c r="F100" s="77" t="s">
        <v>276</v>
      </c>
      <c r="G100" s="77" t="s">
        <v>25</v>
      </c>
      <c r="H100" s="77" t="s">
        <v>166</v>
      </c>
      <c r="I100" s="77" t="s">
        <v>111</v>
      </c>
      <c r="J100" s="77" t="s">
        <v>27</v>
      </c>
      <c r="K100" s="77" t="s">
        <v>112</v>
      </c>
      <c r="L100" s="77">
        <v>3</v>
      </c>
      <c r="N100" s="77">
        <v>1</v>
      </c>
      <c r="O100" s="77">
        <v>0.7</v>
      </c>
      <c r="P100" s="77">
        <v>0.55000000000000004</v>
      </c>
      <c r="Q100" s="16">
        <f t="shared" si="9"/>
        <v>0.625</v>
      </c>
      <c r="R100" s="77">
        <v>16.7</v>
      </c>
      <c r="S100" s="77">
        <v>113</v>
      </c>
      <c r="T100" s="16">
        <f t="shared" si="6"/>
        <v>30</v>
      </c>
      <c r="U100" s="77">
        <v>98</v>
      </c>
      <c r="V100" s="16">
        <f t="shared" si="2"/>
        <v>2940</v>
      </c>
      <c r="W100" s="77">
        <v>6</v>
      </c>
      <c r="X100" s="77" t="s">
        <v>35</v>
      </c>
      <c r="Y100" s="77" t="s">
        <v>74</v>
      </c>
      <c r="Z100" s="77" t="s">
        <v>55</v>
      </c>
      <c r="AA100" s="77" t="s">
        <v>43</v>
      </c>
      <c r="AB100" s="77" t="s">
        <v>161</v>
      </c>
    </row>
    <row r="101" spans="1:28" x14ac:dyDescent="0.15">
      <c r="A101" s="77" t="s">
        <v>23</v>
      </c>
      <c r="B101" s="77" t="s">
        <v>160</v>
      </c>
      <c r="C101" s="77">
        <v>2020</v>
      </c>
      <c r="D101" s="118" t="s">
        <v>248</v>
      </c>
      <c r="E101" s="77" t="s">
        <v>169</v>
      </c>
      <c r="F101" s="77" t="s">
        <v>276</v>
      </c>
      <c r="G101" s="77" t="s">
        <v>25</v>
      </c>
      <c r="H101" s="77" t="s">
        <v>166</v>
      </c>
      <c r="I101" s="77" t="s">
        <v>111</v>
      </c>
      <c r="J101" s="77" t="s">
        <v>27</v>
      </c>
      <c r="K101" s="77" t="s">
        <v>112</v>
      </c>
      <c r="L101" s="77">
        <v>1</v>
      </c>
      <c r="N101" s="77">
        <v>4</v>
      </c>
      <c r="O101" s="77">
        <v>0.45</v>
      </c>
      <c r="P101" s="77">
        <v>0.6</v>
      </c>
      <c r="Q101" s="16">
        <f t="shared" si="9"/>
        <v>0.52500000000000002</v>
      </c>
      <c r="R101" s="77">
        <v>15.6</v>
      </c>
      <c r="S101" s="77">
        <v>116</v>
      </c>
      <c r="T101" s="16">
        <f t="shared" si="6"/>
        <v>30</v>
      </c>
      <c r="U101" s="77">
        <v>398</v>
      </c>
      <c r="V101" s="16">
        <f t="shared" si="2"/>
        <v>2985</v>
      </c>
      <c r="W101" s="77">
        <v>6</v>
      </c>
      <c r="X101" s="77" t="s">
        <v>35</v>
      </c>
      <c r="Y101" s="77" t="s">
        <v>74</v>
      </c>
      <c r="Z101" s="77" t="s">
        <v>55</v>
      </c>
      <c r="AA101" s="77" t="s">
        <v>43</v>
      </c>
      <c r="AB101" s="77" t="s">
        <v>161</v>
      </c>
    </row>
    <row r="102" spans="1:28" x14ac:dyDescent="0.15">
      <c r="A102" s="77" t="s">
        <v>23</v>
      </c>
      <c r="B102" s="77" t="s">
        <v>160</v>
      </c>
      <c r="C102" s="77">
        <v>2020</v>
      </c>
      <c r="D102" s="118" t="s">
        <v>248</v>
      </c>
      <c r="E102" s="77" t="s">
        <v>169</v>
      </c>
      <c r="F102" s="77" t="s">
        <v>276</v>
      </c>
      <c r="G102" s="77" t="s">
        <v>25</v>
      </c>
      <c r="H102" s="77" t="s">
        <v>166</v>
      </c>
      <c r="I102" s="77" t="s">
        <v>111</v>
      </c>
      <c r="J102" s="77" t="s">
        <v>27</v>
      </c>
      <c r="K102" s="77" t="s">
        <v>112</v>
      </c>
      <c r="L102" s="77">
        <v>2</v>
      </c>
      <c r="N102" s="77">
        <v>4</v>
      </c>
      <c r="O102" s="77">
        <v>0.5</v>
      </c>
      <c r="P102" s="77">
        <v>0.7</v>
      </c>
      <c r="Q102" s="16">
        <f t="shared" si="9"/>
        <v>0.6</v>
      </c>
      <c r="R102" s="77">
        <v>16.3</v>
      </c>
      <c r="S102" s="77">
        <v>109.5</v>
      </c>
      <c r="T102" s="16">
        <f t="shared" si="6"/>
        <v>33</v>
      </c>
      <c r="U102" s="77">
        <v>398</v>
      </c>
      <c r="V102" s="16">
        <f t="shared" si="2"/>
        <v>3283.5</v>
      </c>
      <c r="W102" s="77">
        <v>6</v>
      </c>
      <c r="X102" s="77" t="s">
        <v>35</v>
      </c>
      <c r="Y102" s="77" t="s">
        <v>74</v>
      </c>
      <c r="Z102" s="77" t="s">
        <v>55</v>
      </c>
      <c r="AA102" s="77" t="s">
        <v>43</v>
      </c>
      <c r="AB102" s="77" t="s">
        <v>161</v>
      </c>
    </row>
    <row r="103" spans="1:28" x14ac:dyDescent="0.15">
      <c r="A103" s="77" t="s">
        <v>23</v>
      </c>
      <c r="B103" s="77" t="s">
        <v>160</v>
      </c>
      <c r="C103" s="77">
        <v>2020</v>
      </c>
      <c r="D103" s="118" t="s">
        <v>248</v>
      </c>
      <c r="E103" s="77" t="s">
        <v>169</v>
      </c>
      <c r="F103" s="77" t="s">
        <v>276</v>
      </c>
      <c r="G103" s="77" t="s">
        <v>25</v>
      </c>
      <c r="H103" s="77" t="s">
        <v>166</v>
      </c>
      <c r="I103" s="77" t="s">
        <v>111</v>
      </c>
      <c r="J103" s="77" t="s">
        <v>27</v>
      </c>
      <c r="K103" s="77" t="s">
        <v>112</v>
      </c>
      <c r="L103" s="77">
        <v>3</v>
      </c>
      <c r="N103" s="77">
        <v>4</v>
      </c>
      <c r="O103" s="77">
        <v>0.5</v>
      </c>
      <c r="P103" s="77">
        <v>0.2</v>
      </c>
      <c r="Q103" s="16">
        <f t="shared" si="9"/>
        <v>0.35</v>
      </c>
      <c r="R103" s="77">
        <v>16.100000000000001</v>
      </c>
      <c r="S103" s="77">
        <v>117</v>
      </c>
      <c r="T103" s="16">
        <f t="shared" si="6"/>
        <v>30</v>
      </c>
      <c r="U103" s="77">
        <v>398</v>
      </c>
      <c r="V103" s="16">
        <f t="shared" si="2"/>
        <v>2985</v>
      </c>
      <c r="W103" s="77">
        <v>6</v>
      </c>
      <c r="X103" s="77" t="s">
        <v>35</v>
      </c>
      <c r="Y103" s="77" t="s">
        <v>74</v>
      </c>
      <c r="Z103" s="77" t="s">
        <v>55</v>
      </c>
      <c r="AA103" s="77" t="s">
        <v>43</v>
      </c>
      <c r="AB103" s="77" t="s">
        <v>161</v>
      </c>
    </row>
    <row r="104" spans="1:28" x14ac:dyDescent="0.15">
      <c r="A104" s="77" t="s">
        <v>23</v>
      </c>
      <c r="B104" s="77" t="s">
        <v>160</v>
      </c>
      <c r="C104" s="77">
        <v>2020</v>
      </c>
      <c r="D104" s="118" t="s">
        <v>248</v>
      </c>
      <c r="E104" s="77" t="s">
        <v>277</v>
      </c>
      <c r="F104" s="77" t="s">
        <v>267</v>
      </c>
      <c r="G104" s="77" t="s">
        <v>31</v>
      </c>
      <c r="H104" s="77" t="s">
        <v>113</v>
      </c>
      <c r="I104" s="77" t="s">
        <v>111</v>
      </c>
      <c r="J104" s="77" t="s">
        <v>27</v>
      </c>
      <c r="K104" s="77" t="s">
        <v>112</v>
      </c>
      <c r="L104" s="77">
        <v>1</v>
      </c>
      <c r="N104" s="77">
        <v>1</v>
      </c>
      <c r="O104" s="77">
        <v>0.7</v>
      </c>
      <c r="P104" s="77">
        <v>0.6</v>
      </c>
      <c r="Q104" s="16">
        <f t="shared" si="9"/>
        <v>0.64999999999999991</v>
      </c>
      <c r="R104" s="77">
        <v>16</v>
      </c>
      <c r="S104" s="77">
        <v>127</v>
      </c>
      <c r="T104" s="16">
        <f t="shared" si="6"/>
        <v>30</v>
      </c>
      <c r="U104" s="77">
        <v>118</v>
      </c>
      <c r="V104" s="16">
        <f t="shared" si="2"/>
        <v>3540</v>
      </c>
      <c r="W104" s="77">
        <v>6</v>
      </c>
      <c r="X104" s="77" t="s">
        <v>35</v>
      </c>
      <c r="Y104" s="77" t="s">
        <v>43</v>
      </c>
      <c r="Z104" s="77" t="s">
        <v>55</v>
      </c>
      <c r="AA104" s="77" t="s">
        <v>64</v>
      </c>
      <c r="AB104" s="77" t="s">
        <v>161</v>
      </c>
    </row>
    <row r="105" spans="1:28" x14ac:dyDescent="0.15">
      <c r="A105" s="77" t="s">
        <v>23</v>
      </c>
      <c r="B105" s="77" t="s">
        <v>160</v>
      </c>
      <c r="C105" s="77">
        <v>2020</v>
      </c>
      <c r="D105" s="118" t="s">
        <v>248</v>
      </c>
      <c r="E105" s="77" t="s">
        <v>277</v>
      </c>
      <c r="F105" s="77" t="s">
        <v>267</v>
      </c>
      <c r="G105" s="77" t="s">
        <v>31</v>
      </c>
      <c r="H105" s="77" t="s">
        <v>113</v>
      </c>
      <c r="I105" s="77" t="s">
        <v>111</v>
      </c>
      <c r="J105" s="77" t="s">
        <v>27</v>
      </c>
      <c r="K105" s="77" t="s">
        <v>112</v>
      </c>
      <c r="L105" s="77">
        <v>2</v>
      </c>
      <c r="N105" s="77">
        <v>1</v>
      </c>
      <c r="O105" s="77">
        <v>0.7</v>
      </c>
      <c r="P105" s="77">
        <v>0.75</v>
      </c>
      <c r="Q105" s="16">
        <f t="shared" si="9"/>
        <v>0.72499999999999998</v>
      </c>
      <c r="R105" s="77">
        <v>15.7</v>
      </c>
      <c r="S105" s="77">
        <v>128</v>
      </c>
      <c r="T105" s="16">
        <f t="shared" ref="T105:T107" si="10">IF(H105="","",IF(OR(H105="GREEN",H105="GK"),IF(S106&gt;=$AX$2,VLOOKUP(S106,$AX$2:$AY$9,2,1),""),IF(S106&gt;=$AZ$2,VLOOKUP(S106,$AZ$2:$BA$9,2,1),"")))</f>
        <v>30</v>
      </c>
      <c r="U105" s="77">
        <v>118</v>
      </c>
      <c r="V105" s="16">
        <f t="shared" si="2"/>
        <v>3540</v>
      </c>
      <c r="W105" s="77">
        <v>6</v>
      </c>
      <c r="X105" s="77" t="s">
        <v>35</v>
      </c>
      <c r="Y105" s="77" t="s">
        <v>43</v>
      </c>
      <c r="Z105" s="77" t="s">
        <v>55</v>
      </c>
      <c r="AA105" s="77" t="s">
        <v>64</v>
      </c>
      <c r="AB105" s="77" t="s">
        <v>161</v>
      </c>
    </row>
    <row r="106" spans="1:28" x14ac:dyDescent="0.15">
      <c r="A106" s="77" t="s">
        <v>23</v>
      </c>
      <c r="B106" s="77" t="s">
        <v>160</v>
      </c>
      <c r="C106" s="77">
        <v>2020</v>
      </c>
      <c r="D106" s="118" t="s">
        <v>248</v>
      </c>
      <c r="E106" s="77" t="s">
        <v>277</v>
      </c>
      <c r="F106" s="77" t="s">
        <v>267</v>
      </c>
      <c r="G106" s="77" t="s">
        <v>31</v>
      </c>
      <c r="H106" s="77" t="s">
        <v>113</v>
      </c>
      <c r="I106" s="77" t="s">
        <v>111</v>
      </c>
      <c r="J106" s="77" t="s">
        <v>27</v>
      </c>
      <c r="K106" s="77" t="s">
        <v>112</v>
      </c>
      <c r="L106" s="77">
        <v>3</v>
      </c>
      <c r="N106" s="77">
        <v>1</v>
      </c>
      <c r="O106" s="77">
        <v>0.75</v>
      </c>
      <c r="P106" s="77">
        <v>0.75</v>
      </c>
      <c r="Q106" s="16">
        <f t="shared" si="9"/>
        <v>0.75</v>
      </c>
      <c r="R106" s="77">
        <v>15.4</v>
      </c>
      <c r="S106" s="77">
        <v>130.5</v>
      </c>
      <c r="T106" s="16">
        <f t="shared" si="10"/>
        <v>30</v>
      </c>
      <c r="U106" s="77">
        <v>118</v>
      </c>
      <c r="V106" s="16">
        <f t="shared" si="2"/>
        <v>3540</v>
      </c>
      <c r="W106" s="77">
        <v>6</v>
      </c>
      <c r="X106" s="77" t="s">
        <v>35</v>
      </c>
      <c r="Y106" s="77" t="s">
        <v>43</v>
      </c>
      <c r="Z106" s="77" t="s">
        <v>55</v>
      </c>
      <c r="AA106" s="77" t="s">
        <v>64</v>
      </c>
      <c r="AB106" s="77" t="s">
        <v>161</v>
      </c>
    </row>
    <row r="107" spans="1:28" x14ac:dyDescent="0.15">
      <c r="A107" s="77" t="s">
        <v>23</v>
      </c>
      <c r="B107" s="77" t="s">
        <v>160</v>
      </c>
      <c r="C107" s="77">
        <v>2020</v>
      </c>
      <c r="D107" s="118" t="s">
        <v>248</v>
      </c>
      <c r="E107" s="77" t="s">
        <v>277</v>
      </c>
      <c r="F107" s="77" t="s">
        <v>267</v>
      </c>
      <c r="G107" s="77" t="s">
        <v>31</v>
      </c>
      <c r="H107" s="77" t="s">
        <v>166</v>
      </c>
      <c r="I107" s="77" t="s">
        <v>111</v>
      </c>
      <c r="J107" s="77" t="s">
        <v>27</v>
      </c>
      <c r="K107" s="77" t="s">
        <v>112</v>
      </c>
      <c r="L107" s="77">
        <v>1</v>
      </c>
      <c r="N107" s="77">
        <v>1</v>
      </c>
      <c r="O107" s="77">
        <v>0.5</v>
      </c>
      <c r="P107" s="77">
        <v>0.5</v>
      </c>
      <c r="Q107" s="16">
        <f t="shared" si="9"/>
        <v>0.5</v>
      </c>
      <c r="R107" s="77">
        <v>15.5</v>
      </c>
      <c r="S107" s="77">
        <v>134.5</v>
      </c>
      <c r="T107" s="16">
        <f t="shared" si="10"/>
        <v>30</v>
      </c>
      <c r="U107" s="77">
        <v>128</v>
      </c>
      <c r="V107" s="16">
        <f t="shared" si="2"/>
        <v>3840</v>
      </c>
      <c r="W107" s="77">
        <v>6</v>
      </c>
      <c r="X107" s="77" t="s">
        <v>35</v>
      </c>
      <c r="Y107" s="77" t="s">
        <v>43</v>
      </c>
      <c r="Z107" s="77" t="s">
        <v>55</v>
      </c>
      <c r="AA107" s="77" t="s">
        <v>64</v>
      </c>
      <c r="AB107" s="77" t="s">
        <v>161</v>
      </c>
    </row>
    <row r="108" spans="1:28" x14ac:dyDescent="0.15">
      <c r="A108" s="77" t="s">
        <v>23</v>
      </c>
      <c r="B108" s="77" t="s">
        <v>160</v>
      </c>
      <c r="C108" s="77">
        <v>2020</v>
      </c>
      <c r="D108" s="118" t="s">
        <v>248</v>
      </c>
      <c r="E108" s="77" t="s">
        <v>277</v>
      </c>
      <c r="F108" s="77" t="s">
        <v>267</v>
      </c>
      <c r="G108" s="77" t="s">
        <v>31</v>
      </c>
      <c r="H108" s="77" t="s">
        <v>166</v>
      </c>
      <c r="I108" s="77" t="s">
        <v>111</v>
      </c>
      <c r="J108" s="77" t="s">
        <v>27</v>
      </c>
      <c r="K108" s="77" t="s">
        <v>112</v>
      </c>
      <c r="L108" s="77">
        <v>2</v>
      </c>
      <c r="N108" s="77">
        <v>1</v>
      </c>
      <c r="O108" s="77">
        <v>0.5</v>
      </c>
      <c r="P108" s="77">
        <v>0.5</v>
      </c>
      <c r="Q108" s="16">
        <f t="shared" si="9"/>
        <v>0.5</v>
      </c>
      <c r="R108" s="77">
        <v>15.7</v>
      </c>
      <c r="S108" s="77">
        <v>131</v>
      </c>
      <c r="T108" s="16">
        <f t="shared" ref="T108:T171" si="11">IF(H108="","",IF(OR(H108="GREEN",H108="GK"),IF(S108&gt;=$AX$2,VLOOKUP(S108,$AX$2:$AY$9,2,1),""),IF(S108&gt;=$AZ$2,VLOOKUP(S108,$AZ$2:$BA$9,2,1),"")))</f>
        <v>30</v>
      </c>
      <c r="U108" s="77">
        <v>128</v>
      </c>
      <c r="V108" s="16">
        <f t="shared" si="2"/>
        <v>3840</v>
      </c>
      <c r="W108" s="77">
        <v>6</v>
      </c>
      <c r="X108" s="77" t="s">
        <v>35</v>
      </c>
      <c r="Y108" s="77" t="s">
        <v>43</v>
      </c>
      <c r="Z108" s="77" t="s">
        <v>55</v>
      </c>
      <c r="AA108" s="77" t="s">
        <v>64</v>
      </c>
      <c r="AB108" s="77" t="s">
        <v>161</v>
      </c>
    </row>
    <row r="109" spans="1:28" x14ac:dyDescent="0.15">
      <c r="A109" s="77" t="s">
        <v>23</v>
      </c>
      <c r="B109" s="77" t="s">
        <v>160</v>
      </c>
      <c r="C109" s="77">
        <v>2020</v>
      </c>
      <c r="D109" s="118" t="s">
        <v>248</v>
      </c>
      <c r="E109" s="77" t="s">
        <v>277</v>
      </c>
      <c r="F109" s="77" t="s">
        <v>267</v>
      </c>
      <c r="G109" s="77" t="s">
        <v>31</v>
      </c>
      <c r="H109" s="77" t="s">
        <v>166</v>
      </c>
      <c r="I109" s="77" t="s">
        <v>111</v>
      </c>
      <c r="J109" s="77" t="s">
        <v>27</v>
      </c>
      <c r="K109" s="77" t="s">
        <v>112</v>
      </c>
      <c r="L109" s="77">
        <v>3</v>
      </c>
      <c r="N109" s="77">
        <v>1</v>
      </c>
      <c r="O109" s="77">
        <v>0.2</v>
      </c>
      <c r="P109" s="77">
        <v>0.2</v>
      </c>
      <c r="Q109" s="16">
        <f t="shared" si="9"/>
        <v>0.2</v>
      </c>
      <c r="R109" s="77">
        <v>16.5</v>
      </c>
      <c r="S109" s="77">
        <v>125</v>
      </c>
      <c r="T109" s="16">
        <f t="shared" si="11"/>
        <v>30</v>
      </c>
      <c r="U109" s="77">
        <v>128</v>
      </c>
      <c r="V109" s="16">
        <f t="shared" si="2"/>
        <v>3840</v>
      </c>
      <c r="W109" s="77">
        <v>6</v>
      </c>
      <c r="X109" s="77" t="s">
        <v>35</v>
      </c>
      <c r="Y109" s="77" t="s">
        <v>43</v>
      </c>
      <c r="Z109" s="77" t="s">
        <v>55</v>
      </c>
      <c r="AA109" s="77" t="s">
        <v>64</v>
      </c>
      <c r="AB109" s="77" t="s">
        <v>161</v>
      </c>
    </row>
    <row r="110" spans="1:28" x14ac:dyDescent="0.15">
      <c r="A110" s="77" t="s">
        <v>23</v>
      </c>
      <c r="B110" s="77" t="s">
        <v>160</v>
      </c>
      <c r="C110" s="77">
        <v>2020</v>
      </c>
      <c r="D110" s="118" t="s">
        <v>248</v>
      </c>
      <c r="E110" s="77" t="s">
        <v>277</v>
      </c>
      <c r="F110" s="77" t="s">
        <v>267</v>
      </c>
      <c r="G110" s="77" t="s">
        <v>31</v>
      </c>
      <c r="H110" s="77" t="s">
        <v>166</v>
      </c>
      <c r="I110" s="77" t="s">
        <v>111</v>
      </c>
      <c r="J110" s="77" t="s">
        <v>27</v>
      </c>
      <c r="K110" s="77" t="s">
        <v>112</v>
      </c>
      <c r="L110" s="77">
        <v>1</v>
      </c>
      <c r="N110" s="77">
        <v>4</v>
      </c>
      <c r="O110" s="77">
        <v>0.5</v>
      </c>
      <c r="P110" s="77">
        <v>0.45</v>
      </c>
      <c r="Q110" s="16">
        <f t="shared" si="9"/>
        <v>0.47499999999999998</v>
      </c>
      <c r="R110" s="77">
        <v>15.4</v>
      </c>
      <c r="S110" s="77">
        <v>128.5</v>
      </c>
      <c r="T110" s="16">
        <f t="shared" si="11"/>
        <v>30</v>
      </c>
      <c r="U110" s="77">
        <v>498</v>
      </c>
      <c r="V110" s="16">
        <f t="shared" si="2"/>
        <v>3735</v>
      </c>
      <c r="W110" s="77">
        <v>6</v>
      </c>
      <c r="X110" s="77" t="s">
        <v>35</v>
      </c>
      <c r="Y110" s="77" t="s">
        <v>43</v>
      </c>
      <c r="Z110" s="77" t="s">
        <v>55</v>
      </c>
      <c r="AA110" s="77" t="s">
        <v>64</v>
      </c>
      <c r="AB110" s="77" t="s">
        <v>161</v>
      </c>
    </row>
    <row r="111" spans="1:28" x14ac:dyDescent="0.15">
      <c r="A111" s="77" t="s">
        <v>23</v>
      </c>
      <c r="B111" s="77" t="s">
        <v>160</v>
      </c>
      <c r="C111" s="77">
        <v>2020</v>
      </c>
      <c r="D111" s="118" t="s">
        <v>248</v>
      </c>
      <c r="E111" s="77" t="s">
        <v>277</v>
      </c>
      <c r="F111" s="77" t="s">
        <v>267</v>
      </c>
      <c r="G111" s="77" t="s">
        <v>31</v>
      </c>
      <c r="H111" s="77" t="s">
        <v>166</v>
      </c>
      <c r="I111" s="77" t="s">
        <v>111</v>
      </c>
      <c r="J111" s="77" t="s">
        <v>27</v>
      </c>
      <c r="K111" s="77" t="s">
        <v>112</v>
      </c>
      <c r="L111" s="77">
        <v>2</v>
      </c>
      <c r="N111" s="77">
        <v>4</v>
      </c>
      <c r="O111" s="77">
        <v>0.45</v>
      </c>
      <c r="P111" s="77">
        <v>0.5</v>
      </c>
      <c r="Q111" s="16">
        <f t="shared" si="9"/>
        <v>0.47499999999999998</v>
      </c>
      <c r="R111" s="77">
        <v>15.5</v>
      </c>
      <c r="S111" s="77">
        <v>135.5</v>
      </c>
      <c r="T111" s="16">
        <f t="shared" si="11"/>
        <v>30</v>
      </c>
      <c r="U111" s="77">
        <v>498</v>
      </c>
      <c r="V111" s="16">
        <f t="shared" si="2"/>
        <v>3735</v>
      </c>
      <c r="W111" s="77">
        <v>6</v>
      </c>
      <c r="X111" s="77" t="s">
        <v>35</v>
      </c>
      <c r="Y111" s="77" t="s">
        <v>43</v>
      </c>
      <c r="Z111" s="77" t="s">
        <v>55</v>
      </c>
      <c r="AA111" s="77" t="s">
        <v>64</v>
      </c>
      <c r="AB111" s="77" t="s">
        <v>161</v>
      </c>
    </row>
    <row r="112" spans="1:28" x14ac:dyDescent="0.15">
      <c r="A112" s="77" t="s">
        <v>23</v>
      </c>
      <c r="B112" s="77" t="s">
        <v>160</v>
      </c>
      <c r="C112" s="77">
        <v>2020</v>
      </c>
      <c r="D112" s="118" t="s">
        <v>248</v>
      </c>
      <c r="E112" s="77" t="s">
        <v>277</v>
      </c>
      <c r="F112" s="77" t="s">
        <v>267</v>
      </c>
      <c r="G112" s="77" t="s">
        <v>31</v>
      </c>
      <c r="H112" s="77" t="s">
        <v>166</v>
      </c>
      <c r="I112" s="77" t="s">
        <v>111</v>
      </c>
      <c r="J112" s="77" t="s">
        <v>27</v>
      </c>
      <c r="K112" s="77" t="s">
        <v>112</v>
      </c>
      <c r="L112" s="77">
        <v>3</v>
      </c>
      <c r="N112" s="77">
        <v>4</v>
      </c>
      <c r="O112" s="77">
        <v>0.45</v>
      </c>
      <c r="P112" s="77">
        <v>0.5</v>
      </c>
      <c r="Q112" s="16">
        <f t="shared" si="9"/>
        <v>0.47499999999999998</v>
      </c>
      <c r="R112" s="77">
        <v>15.6</v>
      </c>
      <c r="S112" s="77">
        <v>129</v>
      </c>
      <c r="T112" s="16">
        <f t="shared" si="11"/>
        <v>30</v>
      </c>
      <c r="U112" s="77">
        <v>498</v>
      </c>
      <c r="V112" s="16">
        <f t="shared" si="2"/>
        <v>3735</v>
      </c>
      <c r="W112" s="77">
        <v>6</v>
      </c>
      <c r="X112" s="77" t="s">
        <v>35</v>
      </c>
      <c r="Y112" s="77" t="s">
        <v>43</v>
      </c>
      <c r="Z112" s="77" t="s">
        <v>55</v>
      </c>
      <c r="AA112" s="77" t="s">
        <v>64</v>
      </c>
      <c r="AB112" s="77" t="s">
        <v>161</v>
      </c>
    </row>
    <row r="113" spans="1:28" x14ac:dyDescent="0.15">
      <c r="A113" s="77" t="s">
        <v>23</v>
      </c>
      <c r="B113" s="77" t="s">
        <v>160</v>
      </c>
      <c r="C113" s="77">
        <v>2020</v>
      </c>
      <c r="D113" s="118" t="s">
        <v>248</v>
      </c>
      <c r="E113" s="77" t="s">
        <v>277</v>
      </c>
      <c r="F113" s="77" t="s">
        <v>267</v>
      </c>
      <c r="G113" s="77" t="s">
        <v>31</v>
      </c>
      <c r="H113" s="77" t="s">
        <v>166</v>
      </c>
      <c r="I113" s="77" t="s">
        <v>111</v>
      </c>
      <c r="J113" s="77" t="s">
        <v>27</v>
      </c>
      <c r="K113" s="77" t="s">
        <v>112</v>
      </c>
      <c r="L113" s="77">
        <v>1</v>
      </c>
      <c r="N113" s="77">
        <v>8</v>
      </c>
      <c r="O113" s="77">
        <v>0.2</v>
      </c>
      <c r="P113" s="77">
        <v>0.45</v>
      </c>
      <c r="Q113" s="16">
        <f t="shared" si="9"/>
        <v>0.32500000000000001</v>
      </c>
      <c r="R113" s="77">
        <v>16.600000000000001</v>
      </c>
      <c r="S113" s="77">
        <v>94</v>
      </c>
      <c r="T113" s="16">
        <f t="shared" si="11"/>
        <v>36</v>
      </c>
      <c r="U113" s="77">
        <v>680</v>
      </c>
      <c r="V113" s="16">
        <f t="shared" si="2"/>
        <v>3060</v>
      </c>
      <c r="W113" s="77">
        <v>6</v>
      </c>
      <c r="X113" s="77" t="s">
        <v>35</v>
      </c>
      <c r="Y113" s="77" t="s">
        <v>43</v>
      </c>
      <c r="Z113" s="77" t="s">
        <v>55</v>
      </c>
      <c r="AA113" s="77" t="s">
        <v>64</v>
      </c>
      <c r="AB113" s="77" t="s">
        <v>161</v>
      </c>
    </row>
    <row r="114" spans="1:28" x14ac:dyDescent="0.15">
      <c r="A114" s="77" t="s">
        <v>23</v>
      </c>
      <c r="B114" s="77" t="s">
        <v>160</v>
      </c>
      <c r="C114" s="77">
        <v>2020</v>
      </c>
      <c r="D114" s="118" t="s">
        <v>248</v>
      </c>
      <c r="E114" s="77" t="s">
        <v>277</v>
      </c>
      <c r="F114" s="77" t="s">
        <v>267</v>
      </c>
      <c r="G114" s="77" t="s">
        <v>31</v>
      </c>
      <c r="H114" s="77" t="s">
        <v>166</v>
      </c>
      <c r="I114" s="77" t="s">
        <v>111</v>
      </c>
      <c r="J114" s="77" t="s">
        <v>27</v>
      </c>
      <c r="K114" s="77" t="s">
        <v>112</v>
      </c>
      <c r="L114" s="77">
        <v>2</v>
      </c>
      <c r="N114" s="77">
        <v>8</v>
      </c>
      <c r="O114" s="77">
        <v>0.5</v>
      </c>
      <c r="P114" s="77">
        <v>0.5</v>
      </c>
      <c r="Q114" s="16">
        <f t="shared" si="9"/>
        <v>0.5</v>
      </c>
      <c r="R114" s="77">
        <v>16.3</v>
      </c>
      <c r="S114" s="77">
        <v>104</v>
      </c>
      <c r="T114" s="16">
        <f t="shared" si="11"/>
        <v>33</v>
      </c>
      <c r="U114" s="77">
        <v>680</v>
      </c>
      <c r="V114" s="16">
        <f t="shared" si="2"/>
        <v>2805</v>
      </c>
      <c r="W114" s="77">
        <v>6</v>
      </c>
      <c r="X114" s="77" t="s">
        <v>35</v>
      </c>
      <c r="Y114" s="77" t="s">
        <v>43</v>
      </c>
      <c r="Z114" s="77" t="s">
        <v>55</v>
      </c>
      <c r="AA114" s="77" t="s">
        <v>64</v>
      </c>
      <c r="AB114" s="77" t="s">
        <v>161</v>
      </c>
    </row>
    <row r="115" spans="1:28" x14ac:dyDescent="0.15">
      <c r="A115" s="77" t="s">
        <v>23</v>
      </c>
      <c r="B115" s="77" t="s">
        <v>160</v>
      </c>
      <c r="C115" s="77">
        <v>2020</v>
      </c>
      <c r="D115" s="118" t="s">
        <v>248</v>
      </c>
      <c r="E115" s="77" t="s">
        <v>277</v>
      </c>
      <c r="F115" s="77" t="s">
        <v>267</v>
      </c>
      <c r="G115" s="77" t="s">
        <v>31</v>
      </c>
      <c r="H115" s="77" t="s">
        <v>166</v>
      </c>
      <c r="I115" s="77" t="s">
        <v>111</v>
      </c>
      <c r="J115" s="77" t="s">
        <v>27</v>
      </c>
      <c r="K115" s="77" t="s">
        <v>112</v>
      </c>
      <c r="L115" s="77">
        <v>3</v>
      </c>
      <c r="N115" s="77">
        <v>8</v>
      </c>
      <c r="O115" s="77">
        <v>0.45</v>
      </c>
      <c r="P115" s="77">
        <v>0.7</v>
      </c>
      <c r="Q115" s="16">
        <f t="shared" si="9"/>
        <v>0.57499999999999996</v>
      </c>
      <c r="R115" s="77">
        <v>16.7</v>
      </c>
      <c r="S115" s="77">
        <v>96</v>
      </c>
      <c r="T115" s="16">
        <f t="shared" si="11"/>
        <v>36</v>
      </c>
      <c r="U115" s="77">
        <v>680</v>
      </c>
      <c r="V115" s="16">
        <f t="shared" si="2"/>
        <v>3060</v>
      </c>
      <c r="W115" s="77">
        <v>6</v>
      </c>
      <c r="X115" s="77" t="s">
        <v>35</v>
      </c>
      <c r="Y115" s="77" t="s">
        <v>43</v>
      </c>
      <c r="Z115" s="77" t="s">
        <v>55</v>
      </c>
      <c r="AA115" s="77" t="s">
        <v>64</v>
      </c>
      <c r="AB115" s="77" t="s">
        <v>161</v>
      </c>
    </row>
    <row r="116" spans="1:28" x14ac:dyDescent="0.15">
      <c r="A116" s="77" t="s">
        <v>23</v>
      </c>
      <c r="B116" s="77" t="s">
        <v>160</v>
      </c>
      <c r="C116" s="77">
        <v>2020</v>
      </c>
      <c r="D116" s="118" t="s">
        <v>248</v>
      </c>
      <c r="E116" s="77" t="s">
        <v>278</v>
      </c>
      <c r="F116" s="77" t="s">
        <v>269</v>
      </c>
      <c r="G116" s="77" t="s">
        <v>25</v>
      </c>
      <c r="H116" s="77" t="s">
        <v>113</v>
      </c>
      <c r="I116" s="77" t="s">
        <v>111</v>
      </c>
      <c r="J116" s="77" t="s">
        <v>27</v>
      </c>
      <c r="K116" s="77" t="s">
        <v>112</v>
      </c>
      <c r="L116" s="77">
        <v>1</v>
      </c>
      <c r="N116" s="77">
        <v>1</v>
      </c>
      <c r="O116" s="77">
        <v>0.7</v>
      </c>
      <c r="P116" s="77">
        <v>0.9</v>
      </c>
      <c r="Q116" s="16">
        <f t="shared" si="9"/>
        <v>0.8</v>
      </c>
      <c r="R116" s="77">
        <v>17.100000000000001</v>
      </c>
      <c r="S116" s="77">
        <v>112.5</v>
      </c>
      <c r="T116" s="16">
        <f t="shared" si="11"/>
        <v>33</v>
      </c>
      <c r="U116" s="77">
        <v>94</v>
      </c>
      <c r="V116" s="16">
        <f t="shared" si="2"/>
        <v>3102</v>
      </c>
      <c r="W116" s="77">
        <v>7</v>
      </c>
      <c r="X116" s="77" t="s">
        <v>35</v>
      </c>
      <c r="Y116" s="77" t="s">
        <v>74</v>
      </c>
      <c r="Z116" s="77" t="s">
        <v>55</v>
      </c>
      <c r="AA116" s="77" t="s">
        <v>43</v>
      </c>
      <c r="AB116" s="77" t="s">
        <v>161</v>
      </c>
    </row>
    <row r="117" spans="1:28" x14ac:dyDescent="0.15">
      <c r="A117" s="77" t="s">
        <v>23</v>
      </c>
      <c r="B117" s="77" t="s">
        <v>160</v>
      </c>
      <c r="C117" s="77">
        <v>2020</v>
      </c>
      <c r="D117" s="118" t="s">
        <v>248</v>
      </c>
      <c r="E117" s="77" t="s">
        <v>278</v>
      </c>
      <c r="F117" s="77" t="s">
        <v>269</v>
      </c>
      <c r="G117" s="77" t="s">
        <v>25</v>
      </c>
      <c r="H117" s="77" t="s">
        <v>113</v>
      </c>
      <c r="I117" s="77" t="s">
        <v>111</v>
      </c>
      <c r="J117" s="77" t="s">
        <v>27</v>
      </c>
      <c r="K117" s="77" t="s">
        <v>112</v>
      </c>
      <c r="L117" s="77">
        <v>2</v>
      </c>
      <c r="N117" s="77">
        <v>1</v>
      </c>
      <c r="O117" s="77">
        <v>0.6</v>
      </c>
      <c r="P117" s="77">
        <v>0.5</v>
      </c>
      <c r="Q117" s="16">
        <f t="shared" si="9"/>
        <v>0.55000000000000004</v>
      </c>
      <c r="R117" s="77">
        <v>17.5</v>
      </c>
      <c r="S117" s="77">
        <v>114</v>
      </c>
      <c r="T117" s="16">
        <f t="shared" si="11"/>
        <v>30</v>
      </c>
      <c r="U117" s="77">
        <v>94</v>
      </c>
      <c r="V117" s="16">
        <f t="shared" si="2"/>
        <v>2820</v>
      </c>
      <c r="W117" s="77">
        <v>7</v>
      </c>
      <c r="X117" s="77" t="s">
        <v>35</v>
      </c>
      <c r="Y117" s="77" t="s">
        <v>74</v>
      </c>
      <c r="Z117" s="77" t="s">
        <v>55</v>
      </c>
      <c r="AA117" s="77" t="s">
        <v>43</v>
      </c>
      <c r="AB117" s="77" t="s">
        <v>161</v>
      </c>
    </row>
    <row r="118" spans="1:28" ht="14.25" customHeight="1" x14ac:dyDescent="0.15">
      <c r="A118" s="77" t="s">
        <v>23</v>
      </c>
      <c r="B118" s="77" t="s">
        <v>160</v>
      </c>
      <c r="C118" s="77">
        <v>2020</v>
      </c>
      <c r="D118" s="118" t="s">
        <v>248</v>
      </c>
      <c r="E118" s="77" t="s">
        <v>278</v>
      </c>
      <c r="F118" s="77" t="s">
        <v>269</v>
      </c>
      <c r="G118" s="77" t="s">
        <v>25</v>
      </c>
      <c r="H118" s="77" t="s">
        <v>113</v>
      </c>
      <c r="I118" s="77" t="s">
        <v>111</v>
      </c>
      <c r="J118" s="77" t="s">
        <v>27</v>
      </c>
      <c r="K118" s="77" t="s">
        <v>112</v>
      </c>
      <c r="L118" s="77">
        <v>3</v>
      </c>
      <c r="N118" s="77">
        <v>1</v>
      </c>
      <c r="O118" s="77">
        <v>0.55000000000000004</v>
      </c>
      <c r="P118" s="77">
        <v>0.55000000000000004</v>
      </c>
      <c r="Q118" s="16">
        <f t="shared" si="9"/>
        <v>0.55000000000000004</v>
      </c>
      <c r="R118" s="77">
        <v>16.2</v>
      </c>
      <c r="S118" s="77">
        <v>107</v>
      </c>
      <c r="T118" s="16">
        <f t="shared" si="11"/>
        <v>33</v>
      </c>
      <c r="U118" s="77">
        <v>94</v>
      </c>
      <c r="V118" s="16">
        <f t="shared" si="2"/>
        <v>3102</v>
      </c>
      <c r="W118" s="77">
        <v>7</v>
      </c>
      <c r="X118" s="77" t="s">
        <v>35</v>
      </c>
      <c r="Y118" s="77" t="s">
        <v>74</v>
      </c>
      <c r="Z118" s="77" t="s">
        <v>55</v>
      </c>
      <c r="AA118" s="77" t="s">
        <v>43</v>
      </c>
      <c r="AB118" s="77" t="s">
        <v>161</v>
      </c>
    </row>
    <row r="119" spans="1:28" ht="14.25" customHeight="1" x14ac:dyDescent="0.15">
      <c r="A119" s="77" t="s">
        <v>23</v>
      </c>
      <c r="B119" s="77" t="s">
        <v>160</v>
      </c>
      <c r="C119" s="77">
        <v>2020</v>
      </c>
      <c r="D119" s="118" t="s">
        <v>248</v>
      </c>
      <c r="E119" s="77" t="s">
        <v>278</v>
      </c>
      <c r="F119" s="77" t="s">
        <v>269</v>
      </c>
      <c r="G119" s="77" t="s">
        <v>25</v>
      </c>
      <c r="H119" s="77" t="s">
        <v>113</v>
      </c>
      <c r="I119" s="77" t="s">
        <v>111</v>
      </c>
      <c r="J119" s="77" t="s">
        <v>27</v>
      </c>
      <c r="K119" s="77" t="s">
        <v>112</v>
      </c>
      <c r="L119" s="77">
        <v>1</v>
      </c>
      <c r="N119" s="77">
        <v>4</v>
      </c>
      <c r="O119" s="77">
        <v>0.6</v>
      </c>
      <c r="P119" s="77">
        <v>0.75</v>
      </c>
      <c r="Q119" s="16">
        <f t="shared" si="9"/>
        <v>0.67500000000000004</v>
      </c>
      <c r="R119" s="77">
        <v>16.100000000000001</v>
      </c>
      <c r="S119" s="77">
        <v>103</v>
      </c>
      <c r="T119" s="16">
        <f t="shared" si="11"/>
        <v>33</v>
      </c>
      <c r="U119" s="77">
        <v>368</v>
      </c>
      <c r="V119" s="16">
        <f t="shared" ref="V119:V182" si="12">IF(OR(N119="",U119="",T119=""),"",U119/N119*T119)</f>
        <v>3036</v>
      </c>
      <c r="W119" s="77">
        <v>7</v>
      </c>
      <c r="X119" s="77" t="s">
        <v>35</v>
      </c>
      <c r="Y119" s="77" t="s">
        <v>74</v>
      </c>
      <c r="Z119" s="77" t="s">
        <v>55</v>
      </c>
      <c r="AA119" s="77" t="s">
        <v>43</v>
      </c>
      <c r="AB119" s="77" t="s">
        <v>161</v>
      </c>
    </row>
    <row r="120" spans="1:28" ht="14.25" customHeight="1" x14ac:dyDescent="0.15">
      <c r="A120" s="77" t="s">
        <v>23</v>
      </c>
      <c r="B120" s="77" t="s">
        <v>160</v>
      </c>
      <c r="C120" s="77">
        <v>2020</v>
      </c>
      <c r="D120" s="118" t="s">
        <v>248</v>
      </c>
      <c r="E120" s="77" t="s">
        <v>278</v>
      </c>
      <c r="F120" s="77" t="s">
        <v>269</v>
      </c>
      <c r="G120" s="77" t="s">
        <v>25</v>
      </c>
      <c r="H120" s="77" t="s">
        <v>113</v>
      </c>
      <c r="I120" s="77" t="s">
        <v>111</v>
      </c>
      <c r="J120" s="77" t="s">
        <v>27</v>
      </c>
      <c r="K120" s="77" t="s">
        <v>112</v>
      </c>
      <c r="L120" s="77">
        <v>2</v>
      </c>
      <c r="N120" s="77">
        <v>4</v>
      </c>
      <c r="O120" s="77">
        <v>0.75</v>
      </c>
      <c r="P120" s="77">
        <v>0.65</v>
      </c>
      <c r="Q120" s="16">
        <f t="shared" si="9"/>
        <v>0.7</v>
      </c>
      <c r="R120" s="77">
        <v>15.5</v>
      </c>
      <c r="S120" s="77">
        <v>108</v>
      </c>
      <c r="T120" s="16">
        <f t="shared" si="11"/>
        <v>33</v>
      </c>
      <c r="U120" s="77">
        <v>368</v>
      </c>
      <c r="V120" s="16">
        <f t="shared" si="12"/>
        <v>3036</v>
      </c>
      <c r="W120" s="77">
        <v>7</v>
      </c>
      <c r="X120" s="77" t="s">
        <v>35</v>
      </c>
      <c r="Y120" s="77" t="s">
        <v>74</v>
      </c>
      <c r="Z120" s="77" t="s">
        <v>55</v>
      </c>
      <c r="AA120" s="77" t="s">
        <v>43</v>
      </c>
      <c r="AB120" s="77" t="s">
        <v>161</v>
      </c>
    </row>
    <row r="121" spans="1:28" ht="14.25" customHeight="1" x14ac:dyDescent="0.15">
      <c r="A121" s="77" t="s">
        <v>23</v>
      </c>
      <c r="B121" s="77" t="s">
        <v>160</v>
      </c>
      <c r="C121" s="77">
        <v>2020</v>
      </c>
      <c r="D121" s="118" t="s">
        <v>248</v>
      </c>
      <c r="E121" s="77" t="s">
        <v>278</v>
      </c>
      <c r="F121" s="77" t="s">
        <v>269</v>
      </c>
      <c r="G121" s="77" t="s">
        <v>25</v>
      </c>
      <c r="H121" s="77" t="s">
        <v>113</v>
      </c>
      <c r="I121" s="77" t="s">
        <v>111</v>
      </c>
      <c r="J121" s="77" t="s">
        <v>27</v>
      </c>
      <c r="K121" s="77" t="s">
        <v>112</v>
      </c>
      <c r="L121" s="77">
        <v>3</v>
      </c>
      <c r="N121" s="77">
        <v>4</v>
      </c>
      <c r="O121" s="77">
        <v>0.6</v>
      </c>
      <c r="P121" s="77">
        <v>0.7</v>
      </c>
      <c r="Q121" s="16">
        <f t="shared" si="9"/>
        <v>0.64999999999999991</v>
      </c>
      <c r="R121" s="77">
        <v>15.7</v>
      </c>
      <c r="S121" s="77">
        <v>109</v>
      </c>
      <c r="T121" s="16">
        <f t="shared" si="11"/>
        <v>33</v>
      </c>
      <c r="U121" s="77">
        <v>368</v>
      </c>
      <c r="V121" s="16">
        <f t="shared" si="12"/>
        <v>3036</v>
      </c>
      <c r="W121" s="77">
        <v>7</v>
      </c>
      <c r="X121" s="77" t="s">
        <v>35</v>
      </c>
      <c r="Y121" s="77" t="s">
        <v>74</v>
      </c>
      <c r="Z121" s="77" t="s">
        <v>55</v>
      </c>
      <c r="AA121" s="77" t="s">
        <v>43</v>
      </c>
      <c r="AB121" s="77" t="s">
        <v>161</v>
      </c>
    </row>
    <row r="122" spans="1:28" ht="14.25" customHeight="1" x14ac:dyDescent="0.15">
      <c r="A122" s="77" t="s">
        <v>23</v>
      </c>
      <c r="B122" s="77" t="s">
        <v>160</v>
      </c>
      <c r="C122" s="77">
        <v>2020</v>
      </c>
      <c r="D122" s="118" t="s">
        <v>248</v>
      </c>
      <c r="E122" s="77" t="s">
        <v>278</v>
      </c>
      <c r="F122" s="77" t="s">
        <v>269</v>
      </c>
      <c r="G122" s="77" t="s">
        <v>25</v>
      </c>
      <c r="H122" s="77" t="s">
        <v>166</v>
      </c>
      <c r="I122" s="77" t="s">
        <v>111</v>
      </c>
      <c r="J122" s="77" t="s">
        <v>27</v>
      </c>
      <c r="K122" s="77" t="s">
        <v>112</v>
      </c>
      <c r="L122" s="77">
        <v>1</v>
      </c>
      <c r="N122" s="77">
        <v>1</v>
      </c>
      <c r="O122" s="77">
        <v>0.75</v>
      </c>
      <c r="P122" s="77">
        <v>0.5</v>
      </c>
      <c r="Q122" s="16">
        <f t="shared" si="9"/>
        <v>0.625</v>
      </c>
      <c r="R122" s="77">
        <v>17.399999999999999</v>
      </c>
      <c r="S122" s="77">
        <v>116</v>
      </c>
      <c r="T122" s="16">
        <f t="shared" si="11"/>
        <v>30</v>
      </c>
      <c r="U122" s="77">
        <v>94</v>
      </c>
      <c r="V122" s="16">
        <f t="shared" si="12"/>
        <v>2820</v>
      </c>
      <c r="W122" s="77">
        <v>7</v>
      </c>
      <c r="X122" s="77" t="s">
        <v>35</v>
      </c>
      <c r="Y122" s="77" t="s">
        <v>74</v>
      </c>
      <c r="Z122" s="77" t="s">
        <v>55</v>
      </c>
      <c r="AA122" s="77" t="s">
        <v>43</v>
      </c>
      <c r="AB122" s="77" t="s">
        <v>161</v>
      </c>
    </row>
    <row r="123" spans="1:28" ht="14.25" customHeight="1" x14ac:dyDescent="0.15">
      <c r="A123" s="77" t="s">
        <v>23</v>
      </c>
      <c r="B123" s="77" t="s">
        <v>160</v>
      </c>
      <c r="C123" s="77">
        <v>2020</v>
      </c>
      <c r="D123" s="118" t="s">
        <v>248</v>
      </c>
      <c r="E123" s="77" t="s">
        <v>278</v>
      </c>
      <c r="F123" s="77" t="s">
        <v>269</v>
      </c>
      <c r="G123" s="77" t="s">
        <v>25</v>
      </c>
      <c r="H123" s="77" t="s">
        <v>166</v>
      </c>
      <c r="I123" s="77" t="s">
        <v>111</v>
      </c>
      <c r="J123" s="77" t="s">
        <v>27</v>
      </c>
      <c r="K123" s="77" t="s">
        <v>112</v>
      </c>
      <c r="L123" s="77">
        <v>2</v>
      </c>
      <c r="N123" s="77">
        <v>1</v>
      </c>
      <c r="O123" s="77">
        <v>0.2</v>
      </c>
      <c r="P123" s="77">
        <v>0.5</v>
      </c>
      <c r="Q123" s="16">
        <f t="shared" si="9"/>
        <v>0.35</v>
      </c>
      <c r="R123" s="77">
        <v>18.399999999999999</v>
      </c>
      <c r="S123" s="77">
        <v>116</v>
      </c>
      <c r="T123" s="16">
        <f t="shared" si="11"/>
        <v>30</v>
      </c>
      <c r="U123" s="77">
        <v>94</v>
      </c>
      <c r="V123" s="16">
        <f t="shared" si="12"/>
        <v>2820</v>
      </c>
      <c r="W123" s="77">
        <v>7</v>
      </c>
      <c r="X123" s="77" t="s">
        <v>35</v>
      </c>
      <c r="Y123" s="77" t="s">
        <v>74</v>
      </c>
      <c r="Z123" s="77" t="s">
        <v>55</v>
      </c>
      <c r="AA123" s="77" t="s">
        <v>43</v>
      </c>
      <c r="AB123" s="77" t="s">
        <v>161</v>
      </c>
    </row>
    <row r="124" spans="1:28" ht="14.25" customHeight="1" x14ac:dyDescent="0.15">
      <c r="A124" s="77" t="s">
        <v>23</v>
      </c>
      <c r="B124" s="77" t="s">
        <v>160</v>
      </c>
      <c r="C124" s="77">
        <v>2020</v>
      </c>
      <c r="D124" s="118" t="s">
        <v>248</v>
      </c>
      <c r="E124" s="77" t="s">
        <v>278</v>
      </c>
      <c r="F124" s="77" t="s">
        <v>269</v>
      </c>
      <c r="G124" s="77" t="s">
        <v>25</v>
      </c>
      <c r="H124" s="77" t="s">
        <v>166</v>
      </c>
      <c r="I124" s="77" t="s">
        <v>111</v>
      </c>
      <c r="J124" s="77" t="s">
        <v>27</v>
      </c>
      <c r="K124" s="77" t="s">
        <v>112</v>
      </c>
      <c r="L124" s="77">
        <v>3</v>
      </c>
      <c r="N124" s="77">
        <v>1</v>
      </c>
      <c r="O124" s="77">
        <v>0.6</v>
      </c>
      <c r="P124" s="77">
        <v>0.65</v>
      </c>
      <c r="Q124" s="16">
        <f t="shared" si="9"/>
        <v>0.625</v>
      </c>
      <c r="R124" s="77">
        <v>16.7</v>
      </c>
      <c r="S124" s="77">
        <v>111</v>
      </c>
      <c r="T124" s="16">
        <f t="shared" si="11"/>
        <v>33</v>
      </c>
      <c r="U124" s="77">
        <v>94</v>
      </c>
      <c r="V124" s="16">
        <f t="shared" si="12"/>
        <v>3102</v>
      </c>
      <c r="W124" s="77">
        <v>7</v>
      </c>
      <c r="X124" s="77" t="s">
        <v>35</v>
      </c>
      <c r="Y124" s="77" t="s">
        <v>74</v>
      </c>
      <c r="Z124" s="77" t="s">
        <v>55</v>
      </c>
      <c r="AA124" s="77" t="s">
        <v>43</v>
      </c>
      <c r="AB124" s="77" t="s">
        <v>161</v>
      </c>
    </row>
    <row r="125" spans="1:28" ht="14.25" customHeight="1" x14ac:dyDescent="0.15">
      <c r="A125" s="77" t="s">
        <v>23</v>
      </c>
      <c r="B125" s="77" t="s">
        <v>160</v>
      </c>
      <c r="C125" s="77">
        <v>2020</v>
      </c>
      <c r="D125" s="118" t="s">
        <v>248</v>
      </c>
      <c r="E125" s="77" t="s">
        <v>278</v>
      </c>
      <c r="F125" s="77" t="s">
        <v>269</v>
      </c>
      <c r="G125" s="77" t="s">
        <v>25</v>
      </c>
      <c r="H125" s="77" t="s">
        <v>166</v>
      </c>
      <c r="I125" s="77" t="s">
        <v>111</v>
      </c>
      <c r="J125" s="77" t="s">
        <v>27</v>
      </c>
      <c r="K125" s="77" t="s">
        <v>112</v>
      </c>
      <c r="L125" s="77">
        <v>1</v>
      </c>
      <c r="N125" s="77">
        <v>4</v>
      </c>
      <c r="O125" s="77">
        <v>0.55000000000000004</v>
      </c>
      <c r="P125" s="77">
        <v>0.6</v>
      </c>
      <c r="Q125" s="16">
        <f t="shared" si="9"/>
        <v>0.57499999999999996</v>
      </c>
      <c r="R125" s="77">
        <v>15.7</v>
      </c>
      <c r="S125" s="77">
        <v>110.5</v>
      </c>
      <c r="T125" s="16">
        <f t="shared" si="11"/>
        <v>33</v>
      </c>
      <c r="U125" s="77">
        <v>368</v>
      </c>
      <c r="V125" s="16">
        <f t="shared" si="12"/>
        <v>3036</v>
      </c>
      <c r="W125" s="77">
        <v>7</v>
      </c>
      <c r="X125" s="77" t="s">
        <v>35</v>
      </c>
      <c r="Y125" s="77" t="s">
        <v>74</v>
      </c>
      <c r="Z125" s="77" t="s">
        <v>55</v>
      </c>
      <c r="AA125" s="77" t="s">
        <v>43</v>
      </c>
      <c r="AB125" s="77" t="s">
        <v>161</v>
      </c>
    </row>
    <row r="126" spans="1:28" ht="14.25" customHeight="1" x14ac:dyDescent="0.15">
      <c r="A126" s="77" t="s">
        <v>23</v>
      </c>
      <c r="B126" s="77" t="s">
        <v>160</v>
      </c>
      <c r="C126" s="77">
        <v>2020</v>
      </c>
      <c r="D126" s="118" t="s">
        <v>248</v>
      </c>
      <c r="E126" s="77" t="s">
        <v>278</v>
      </c>
      <c r="F126" s="77" t="s">
        <v>269</v>
      </c>
      <c r="G126" s="77" t="s">
        <v>25</v>
      </c>
      <c r="H126" s="77" t="s">
        <v>166</v>
      </c>
      <c r="I126" s="77" t="s">
        <v>111</v>
      </c>
      <c r="J126" s="77" t="s">
        <v>27</v>
      </c>
      <c r="K126" s="77" t="s">
        <v>112</v>
      </c>
      <c r="L126" s="77">
        <v>2</v>
      </c>
      <c r="N126" s="77">
        <v>4</v>
      </c>
      <c r="O126" s="77">
        <v>0.55000000000000004</v>
      </c>
      <c r="P126" s="77">
        <v>0.5</v>
      </c>
      <c r="Q126" s="16">
        <f t="shared" si="9"/>
        <v>0.52500000000000002</v>
      </c>
      <c r="R126" s="77">
        <v>16.3</v>
      </c>
      <c r="S126" s="77">
        <v>107</v>
      </c>
      <c r="T126" s="16">
        <f t="shared" si="11"/>
        <v>33</v>
      </c>
      <c r="U126" s="77">
        <v>368</v>
      </c>
      <c r="V126" s="16">
        <f t="shared" si="12"/>
        <v>3036</v>
      </c>
      <c r="W126" s="77">
        <v>7</v>
      </c>
      <c r="X126" s="77" t="s">
        <v>35</v>
      </c>
      <c r="Y126" s="77" t="s">
        <v>74</v>
      </c>
      <c r="Z126" s="77" t="s">
        <v>55</v>
      </c>
      <c r="AA126" s="77" t="s">
        <v>43</v>
      </c>
      <c r="AB126" s="77" t="s">
        <v>161</v>
      </c>
    </row>
    <row r="127" spans="1:28" ht="14.25" customHeight="1" x14ac:dyDescent="0.15">
      <c r="A127" s="77" t="s">
        <v>23</v>
      </c>
      <c r="B127" s="77" t="s">
        <v>160</v>
      </c>
      <c r="C127" s="77">
        <v>2020</v>
      </c>
      <c r="D127" s="118" t="s">
        <v>248</v>
      </c>
      <c r="E127" s="77" t="s">
        <v>278</v>
      </c>
      <c r="F127" s="77" t="s">
        <v>269</v>
      </c>
      <c r="G127" s="77" t="s">
        <v>25</v>
      </c>
      <c r="H127" s="77" t="s">
        <v>166</v>
      </c>
      <c r="I127" s="77" t="s">
        <v>111</v>
      </c>
      <c r="J127" s="77" t="s">
        <v>27</v>
      </c>
      <c r="K127" s="77" t="s">
        <v>112</v>
      </c>
      <c r="L127" s="77">
        <v>3</v>
      </c>
      <c r="N127" s="77">
        <v>4</v>
      </c>
      <c r="O127" s="77">
        <v>0.6</v>
      </c>
      <c r="P127" s="77">
        <v>0.6</v>
      </c>
      <c r="Q127" s="16">
        <f t="shared" si="9"/>
        <v>0.6</v>
      </c>
      <c r="R127" s="77">
        <v>16.8</v>
      </c>
      <c r="S127" s="77">
        <v>109</v>
      </c>
      <c r="T127" s="16">
        <f t="shared" si="11"/>
        <v>33</v>
      </c>
      <c r="U127" s="77">
        <v>368</v>
      </c>
      <c r="V127" s="16">
        <f t="shared" si="12"/>
        <v>3036</v>
      </c>
      <c r="W127" s="77">
        <v>7</v>
      </c>
      <c r="X127" s="77" t="s">
        <v>35</v>
      </c>
      <c r="Y127" s="77" t="s">
        <v>74</v>
      </c>
      <c r="Z127" s="77" t="s">
        <v>55</v>
      </c>
      <c r="AA127" s="77" t="s">
        <v>43</v>
      </c>
      <c r="AB127" s="77" t="s">
        <v>161</v>
      </c>
    </row>
    <row r="128" spans="1:28" ht="14.25" customHeight="1" x14ac:dyDescent="0.15">
      <c r="A128" s="77" t="s">
        <v>23</v>
      </c>
      <c r="B128" s="77" t="s">
        <v>160</v>
      </c>
      <c r="C128" s="77">
        <v>2020</v>
      </c>
      <c r="D128" s="118" t="s">
        <v>248</v>
      </c>
      <c r="E128" s="77" t="s">
        <v>278</v>
      </c>
      <c r="F128" s="77" t="s">
        <v>269</v>
      </c>
      <c r="G128" s="77" t="s">
        <v>25</v>
      </c>
      <c r="H128" s="77" t="s">
        <v>166</v>
      </c>
      <c r="I128" s="77" t="s">
        <v>165</v>
      </c>
      <c r="J128" s="77" t="s">
        <v>27</v>
      </c>
      <c r="K128" s="77" t="s">
        <v>112</v>
      </c>
      <c r="L128" s="77">
        <v>1</v>
      </c>
      <c r="N128" s="77">
        <v>4</v>
      </c>
      <c r="O128" s="77">
        <v>0.5</v>
      </c>
      <c r="P128" s="77">
        <v>0.6</v>
      </c>
      <c r="Q128" s="16">
        <f t="shared" si="9"/>
        <v>0.55000000000000004</v>
      </c>
      <c r="R128" s="77">
        <v>17</v>
      </c>
      <c r="S128" s="77">
        <v>96</v>
      </c>
      <c r="T128" s="16">
        <f t="shared" si="11"/>
        <v>36</v>
      </c>
      <c r="U128" s="77">
        <v>398</v>
      </c>
      <c r="V128" s="16">
        <f t="shared" si="12"/>
        <v>3582</v>
      </c>
      <c r="W128" s="77">
        <v>7</v>
      </c>
      <c r="X128" s="77" t="s">
        <v>35</v>
      </c>
      <c r="Y128" s="77" t="s">
        <v>74</v>
      </c>
      <c r="Z128" s="77" t="s">
        <v>55</v>
      </c>
      <c r="AA128" s="77" t="s">
        <v>43</v>
      </c>
      <c r="AB128" s="77" t="s">
        <v>161</v>
      </c>
    </row>
    <row r="129" spans="1:28" ht="14.25" customHeight="1" x14ac:dyDescent="0.15">
      <c r="A129" s="77" t="s">
        <v>23</v>
      </c>
      <c r="B129" s="77" t="s">
        <v>160</v>
      </c>
      <c r="C129" s="77">
        <v>2020</v>
      </c>
      <c r="D129" s="118" t="s">
        <v>248</v>
      </c>
      <c r="E129" s="77" t="s">
        <v>278</v>
      </c>
      <c r="F129" s="77" t="s">
        <v>269</v>
      </c>
      <c r="G129" s="77" t="s">
        <v>25</v>
      </c>
      <c r="H129" s="77" t="s">
        <v>166</v>
      </c>
      <c r="I129" s="77" t="s">
        <v>165</v>
      </c>
      <c r="J129" s="77" t="s">
        <v>27</v>
      </c>
      <c r="K129" s="77" t="s">
        <v>112</v>
      </c>
      <c r="L129" s="77">
        <v>2</v>
      </c>
      <c r="N129" s="77">
        <v>4</v>
      </c>
      <c r="O129" s="77">
        <v>0.45</v>
      </c>
      <c r="P129" s="77">
        <v>0.45</v>
      </c>
      <c r="Q129" s="16">
        <f t="shared" si="9"/>
        <v>0.45</v>
      </c>
      <c r="R129" s="77">
        <v>15.7</v>
      </c>
      <c r="S129" s="77">
        <v>99.5</v>
      </c>
      <c r="T129" s="16">
        <f t="shared" si="11"/>
        <v>33</v>
      </c>
      <c r="U129" s="77">
        <v>398</v>
      </c>
      <c r="V129" s="16">
        <f t="shared" si="12"/>
        <v>3283.5</v>
      </c>
      <c r="W129" s="77">
        <v>7</v>
      </c>
      <c r="X129" s="77" t="s">
        <v>35</v>
      </c>
      <c r="Y129" s="77" t="s">
        <v>74</v>
      </c>
      <c r="Z129" s="77" t="s">
        <v>55</v>
      </c>
      <c r="AA129" s="77" t="s">
        <v>43</v>
      </c>
      <c r="AB129" s="77" t="s">
        <v>161</v>
      </c>
    </row>
    <row r="130" spans="1:28" ht="14.25" customHeight="1" x14ac:dyDescent="0.15">
      <c r="A130" s="77" t="s">
        <v>23</v>
      </c>
      <c r="B130" s="77" t="s">
        <v>160</v>
      </c>
      <c r="C130" s="77">
        <v>2020</v>
      </c>
      <c r="D130" s="118" t="s">
        <v>248</v>
      </c>
      <c r="E130" s="77" t="s">
        <v>278</v>
      </c>
      <c r="F130" s="77" t="s">
        <v>269</v>
      </c>
      <c r="G130" s="77" t="s">
        <v>25</v>
      </c>
      <c r="H130" s="77" t="s">
        <v>166</v>
      </c>
      <c r="I130" s="77" t="s">
        <v>165</v>
      </c>
      <c r="J130" s="77" t="s">
        <v>27</v>
      </c>
      <c r="K130" s="77" t="s">
        <v>112</v>
      </c>
      <c r="L130" s="77">
        <v>3</v>
      </c>
      <c r="N130" s="77">
        <v>4</v>
      </c>
      <c r="O130" s="77">
        <v>0.5</v>
      </c>
      <c r="P130" s="77">
        <v>0.6</v>
      </c>
      <c r="Q130" s="16">
        <f t="shared" si="9"/>
        <v>0.55000000000000004</v>
      </c>
      <c r="R130" s="77">
        <v>16.3</v>
      </c>
      <c r="S130" s="77">
        <v>104</v>
      </c>
      <c r="T130" s="16">
        <f t="shared" si="11"/>
        <v>33</v>
      </c>
      <c r="U130" s="77">
        <v>398</v>
      </c>
      <c r="V130" s="16">
        <f t="shared" si="12"/>
        <v>3283.5</v>
      </c>
      <c r="W130" s="77">
        <v>7</v>
      </c>
      <c r="X130" s="77" t="s">
        <v>35</v>
      </c>
      <c r="Y130" s="77" t="s">
        <v>74</v>
      </c>
      <c r="Z130" s="77" t="s">
        <v>55</v>
      </c>
      <c r="AA130" s="77" t="s">
        <v>43</v>
      </c>
      <c r="AB130" s="77" t="s">
        <v>161</v>
      </c>
    </row>
    <row r="131" spans="1:28" ht="14.25" customHeight="1" x14ac:dyDescent="0.15">
      <c r="D131" s="118"/>
      <c r="Q131" s="16" t="str">
        <f t="shared" si="9"/>
        <v/>
      </c>
      <c r="T131" s="16" t="str">
        <f t="shared" si="11"/>
        <v/>
      </c>
      <c r="V131" s="16" t="str">
        <f t="shared" si="12"/>
        <v/>
      </c>
    </row>
    <row r="132" spans="1:28" ht="14.25" customHeight="1" x14ac:dyDescent="0.15">
      <c r="D132" s="118"/>
      <c r="Q132" s="16" t="str">
        <f t="shared" si="9"/>
        <v/>
      </c>
      <c r="T132" s="16" t="str">
        <f t="shared" si="11"/>
        <v/>
      </c>
      <c r="V132" s="16" t="str">
        <f t="shared" si="12"/>
        <v/>
      </c>
    </row>
    <row r="133" spans="1:28" ht="14.25" customHeight="1" x14ac:dyDescent="0.15">
      <c r="D133" s="118"/>
      <c r="Q133" s="16" t="str">
        <f t="shared" si="9"/>
        <v/>
      </c>
      <c r="T133" s="16" t="str">
        <f t="shared" si="11"/>
        <v/>
      </c>
      <c r="V133" s="16" t="str">
        <f t="shared" si="12"/>
        <v/>
      </c>
    </row>
    <row r="134" spans="1:28" ht="14.25" customHeight="1" x14ac:dyDescent="0.15">
      <c r="D134" s="118"/>
      <c r="Q134" s="16" t="str">
        <f t="shared" si="9"/>
        <v/>
      </c>
      <c r="T134" s="16" t="str">
        <f t="shared" si="11"/>
        <v/>
      </c>
      <c r="V134" s="16" t="str">
        <f t="shared" si="12"/>
        <v/>
      </c>
    </row>
    <row r="135" spans="1:28" ht="14.25" customHeight="1" x14ac:dyDescent="0.15">
      <c r="D135" s="118"/>
      <c r="Q135" s="16" t="str">
        <f t="shared" si="9"/>
        <v/>
      </c>
      <c r="T135" s="16" t="str">
        <f t="shared" si="11"/>
        <v/>
      </c>
      <c r="V135" s="16" t="str">
        <f t="shared" si="12"/>
        <v/>
      </c>
    </row>
    <row r="136" spans="1:28" ht="14.25" customHeight="1" x14ac:dyDescent="0.15">
      <c r="D136" s="118"/>
      <c r="Q136" s="16" t="str">
        <f t="shared" si="9"/>
        <v/>
      </c>
      <c r="T136" s="16" t="str">
        <f t="shared" si="11"/>
        <v/>
      </c>
      <c r="V136" s="16" t="str">
        <f t="shared" si="12"/>
        <v/>
      </c>
    </row>
    <row r="137" spans="1:28" ht="14.25" customHeight="1" x14ac:dyDescent="0.15">
      <c r="D137" s="118"/>
      <c r="Q137" s="16" t="str">
        <f t="shared" si="9"/>
        <v/>
      </c>
      <c r="T137" s="16" t="str">
        <f t="shared" si="11"/>
        <v/>
      </c>
      <c r="V137" s="16" t="str">
        <f t="shared" si="12"/>
        <v/>
      </c>
    </row>
    <row r="138" spans="1:28" ht="14.25" customHeight="1" x14ac:dyDescent="0.15">
      <c r="D138" s="118"/>
      <c r="Q138" s="16" t="str">
        <f t="shared" si="9"/>
        <v/>
      </c>
      <c r="T138" s="16" t="str">
        <f t="shared" si="11"/>
        <v/>
      </c>
      <c r="V138" s="16" t="str">
        <f t="shared" si="12"/>
        <v/>
      </c>
    </row>
    <row r="139" spans="1:28" ht="14.25" customHeight="1" x14ac:dyDescent="0.15">
      <c r="D139" s="118"/>
      <c r="Q139" s="16" t="str">
        <f t="shared" si="9"/>
        <v/>
      </c>
      <c r="T139" s="16" t="str">
        <f t="shared" si="11"/>
        <v/>
      </c>
      <c r="V139" s="16" t="str">
        <f t="shared" si="12"/>
        <v/>
      </c>
    </row>
    <row r="140" spans="1:28" ht="14.25" customHeight="1" x14ac:dyDescent="0.15">
      <c r="D140" s="118"/>
      <c r="Q140" s="16" t="str">
        <f t="shared" si="9"/>
        <v/>
      </c>
      <c r="T140" s="16" t="str">
        <f t="shared" si="11"/>
        <v/>
      </c>
      <c r="V140" s="16" t="str">
        <f t="shared" si="12"/>
        <v/>
      </c>
    </row>
    <row r="141" spans="1:28" ht="14.25" customHeight="1" x14ac:dyDescent="0.15">
      <c r="D141" s="118"/>
      <c r="Q141" s="16" t="str">
        <f t="shared" si="9"/>
        <v/>
      </c>
      <c r="T141" s="16" t="str">
        <f t="shared" si="11"/>
        <v/>
      </c>
      <c r="V141" s="16" t="str">
        <f t="shared" si="12"/>
        <v/>
      </c>
    </row>
    <row r="142" spans="1:28" ht="14.25" customHeight="1" x14ac:dyDescent="0.15">
      <c r="D142" s="118"/>
      <c r="Q142" s="16" t="str">
        <f t="shared" si="9"/>
        <v/>
      </c>
      <c r="T142" s="16" t="str">
        <f t="shared" si="11"/>
        <v/>
      </c>
      <c r="V142" s="16" t="str">
        <f t="shared" si="12"/>
        <v/>
      </c>
    </row>
    <row r="143" spans="1:28" ht="14.25" customHeight="1" x14ac:dyDescent="0.15">
      <c r="D143" s="118"/>
      <c r="Q143" s="16" t="str">
        <f t="shared" si="9"/>
        <v/>
      </c>
      <c r="T143" s="16" t="str">
        <f t="shared" si="11"/>
        <v/>
      </c>
      <c r="V143" s="16" t="str">
        <f t="shared" si="12"/>
        <v/>
      </c>
    </row>
    <row r="144" spans="1:28" ht="14.25" customHeight="1" x14ac:dyDescent="0.15">
      <c r="D144" s="118"/>
      <c r="Q144" s="16" t="str">
        <f t="shared" si="9"/>
        <v/>
      </c>
      <c r="T144" s="16" t="str">
        <f t="shared" si="11"/>
        <v/>
      </c>
      <c r="V144" s="16" t="str">
        <f t="shared" si="12"/>
        <v/>
      </c>
    </row>
    <row r="145" spans="4:22" ht="14.25" customHeight="1" x14ac:dyDescent="0.15">
      <c r="D145" s="118"/>
      <c r="Q145" s="16" t="str">
        <f t="shared" si="9"/>
        <v/>
      </c>
      <c r="T145" s="16" t="str">
        <f t="shared" si="11"/>
        <v/>
      </c>
      <c r="V145" s="16" t="str">
        <f t="shared" si="12"/>
        <v/>
      </c>
    </row>
    <row r="146" spans="4:22" ht="14.25" customHeight="1" x14ac:dyDescent="0.15">
      <c r="D146" s="118"/>
      <c r="Q146" s="16" t="str">
        <f t="shared" si="9"/>
        <v/>
      </c>
      <c r="T146" s="16" t="str">
        <f t="shared" si="11"/>
        <v/>
      </c>
      <c r="V146" s="16" t="str">
        <f t="shared" si="12"/>
        <v/>
      </c>
    </row>
    <row r="147" spans="4:22" ht="14.25" customHeight="1" x14ac:dyDescent="0.15">
      <c r="D147" s="118"/>
      <c r="Q147" s="16" t="str">
        <f t="shared" si="9"/>
        <v/>
      </c>
      <c r="T147" s="16" t="str">
        <f t="shared" si="11"/>
        <v/>
      </c>
      <c r="V147" s="16" t="str">
        <f t="shared" si="12"/>
        <v/>
      </c>
    </row>
    <row r="148" spans="4:22" ht="14.25" customHeight="1" x14ac:dyDescent="0.15">
      <c r="D148" s="118"/>
      <c r="Q148" s="16" t="str">
        <f t="shared" si="9"/>
        <v/>
      </c>
      <c r="T148" s="16" t="str">
        <f t="shared" si="11"/>
        <v/>
      </c>
      <c r="V148" s="16" t="str">
        <f t="shared" si="12"/>
        <v/>
      </c>
    </row>
    <row r="149" spans="4:22" ht="14.25" customHeight="1" x14ac:dyDescent="0.15">
      <c r="D149" s="118"/>
      <c r="Q149" s="16" t="str">
        <f t="shared" si="9"/>
        <v/>
      </c>
      <c r="T149" s="16" t="str">
        <f t="shared" si="11"/>
        <v/>
      </c>
      <c r="V149" s="16" t="str">
        <f t="shared" si="12"/>
        <v/>
      </c>
    </row>
    <row r="150" spans="4:22" ht="14.25" customHeight="1" x14ac:dyDescent="0.15">
      <c r="D150" s="118"/>
      <c r="Q150" s="16" t="str">
        <f t="shared" ref="Q150:Q213" si="13">IF(OR(O150="",P150=""),"",AVERAGE(O150,P150))</f>
        <v/>
      </c>
      <c r="T150" s="16" t="str">
        <f t="shared" si="11"/>
        <v/>
      </c>
      <c r="V150" s="16" t="str">
        <f t="shared" si="12"/>
        <v/>
      </c>
    </row>
    <row r="151" spans="4:22" ht="14.25" customHeight="1" x14ac:dyDescent="0.15">
      <c r="D151" s="118"/>
      <c r="Q151" s="16" t="str">
        <f t="shared" si="13"/>
        <v/>
      </c>
      <c r="T151" s="16" t="str">
        <f t="shared" si="11"/>
        <v/>
      </c>
      <c r="V151" s="16" t="str">
        <f t="shared" si="12"/>
        <v/>
      </c>
    </row>
    <row r="152" spans="4:22" ht="14.25" customHeight="1" x14ac:dyDescent="0.15">
      <c r="D152" s="118"/>
      <c r="Q152" s="16" t="str">
        <f t="shared" si="13"/>
        <v/>
      </c>
      <c r="T152" s="16" t="str">
        <f t="shared" si="11"/>
        <v/>
      </c>
      <c r="V152" s="16" t="str">
        <f t="shared" si="12"/>
        <v/>
      </c>
    </row>
    <row r="153" spans="4:22" ht="14.25" customHeight="1" x14ac:dyDescent="0.15">
      <c r="D153" s="118"/>
      <c r="Q153" s="16" t="str">
        <f t="shared" si="13"/>
        <v/>
      </c>
      <c r="T153" s="16" t="str">
        <f t="shared" si="11"/>
        <v/>
      </c>
      <c r="V153" s="16" t="str">
        <f t="shared" si="12"/>
        <v/>
      </c>
    </row>
    <row r="154" spans="4:22" ht="14.25" customHeight="1" x14ac:dyDescent="0.15">
      <c r="D154" s="118"/>
      <c r="Q154" s="16" t="str">
        <f t="shared" si="13"/>
        <v/>
      </c>
      <c r="T154" s="16" t="str">
        <f t="shared" si="11"/>
        <v/>
      </c>
      <c r="V154" s="16" t="str">
        <f t="shared" si="12"/>
        <v/>
      </c>
    </row>
    <row r="155" spans="4:22" ht="14.25" customHeight="1" x14ac:dyDescent="0.15">
      <c r="D155" s="118"/>
      <c r="Q155" s="16" t="str">
        <f t="shared" si="13"/>
        <v/>
      </c>
      <c r="T155" s="16" t="str">
        <f t="shared" si="11"/>
        <v/>
      </c>
      <c r="V155" s="16" t="str">
        <f t="shared" si="12"/>
        <v/>
      </c>
    </row>
    <row r="156" spans="4:22" ht="14.25" customHeight="1" x14ac:dyDescent="0.15">
      <c r="D156" s="118"/>
      <c r="Q156" s="16" t="str">
        <f t="shared" si="13"/>
        <v/>
      </c>
      <c r="T156" s="16" t="str">
        <f t="shared" si="11"/>
        <v/>
      </c>
      <c r="V156" s="16" t="str">
        <f t="shared" si="12"/>
        <v/>
      </c>
    </row>
    <row r="157" spans="4:22" ht="14.25" customHeight="1" x14ac:dyDescent="0.15">
      <c r="D157" s="118"/>
      <c r="Q157" s="16" t="str">
        <f t="shared" si="13"/>
        <v/>
      </c>
      <c r="T157" s="16" t="str">
        <f t="shared" si="11"/>
        <v/>
      </c>
      <c r="V157" s="16" t="str">
        <f t="shared" si="12"/>
        <v/>
      </c>
    </row>
    <row r="158" spans="4:22" ht="14.25" customHeight="1" x14ac:dyDescent="0.15">
      <c r="D158" s="118"/>
      <c r="Q158" s="16" t="str">
        <f t="shared" si="13"/>
        <v/>
      </c>
      <c r="T158" s="16" t="str">
        <f t="shared" si="11"/>
        <v/>
      </c>
      <c r="V158" s="16" t="str">
        <f t="shared" si="12"/>
        <v/>
      </c>
    </row>
    <row r="159" spans="4:22" ht="14.25" customHeight="1" x14ac:dyDescent="0.15">
      <c r="D159" s="118"/>
      <c r="Q159" s="16" t="str">
        <f t="shared" si="13"/>
        <v/>
      </c>
      <c r="T159" s="16" t="str">
        <f t="shared" si="11"/>
        <v/>
      </c>
      <c r="V159" s="16" t="str">
        <f t="shared" si="12"/>
        <v/>
      </c>
    </row>
    <row r="160" spans="4:22" ht="14.25" customHeight="1" x14ac:dyDescent="0.15">
      <c r="D160" s="118"/>
      <c r="Q160" s="16" t="str">
        <f t="shared" si="13"/>
        <v/>
      </c>
      <c r="T160" s="16" t="str">
        <f t="shared" si="11"/>
        <v/>
      </c>
      <c r="V160" s="16" t="str">
        <f t="shared" si="12"/>
        <v/>
      </c>
    </row>
    <row r="161" spans="4:22" ht="14.25" customHeight="1" x14ac:dyDescent="0.15">
      <c r="D161" s="118"/>
      <c r="Q161" s="16" t="str">
        <f t="shared" si="13"/>
        <v/>
      </c>
      <c r="T161" s="16" t="str">
        <f t="shared" si="11"/>
        <v/>
      </c>
      <c r="V161" s="16" t="str">
        <f t="shared" si="12"/>
        <v/>
      </c>
    </row>
    <row r="162" spans="4:22" ht="14.25" customHeight="1" x14ac:dyDescent="0.15">
      <c r="D162" s="118"/>
      <c r="Q162" s="16" t="str">
        <f t="shared" si="13"/>
        <v/>
      </c>
      <c r="T162" s="16" t="str">
        <f t="shared" si="11"/>
        <v/>
      </c>
      <c r="V162" s="16" t="str">
        <f t="shared" si="12"/>
        <v/>
      </c>
    </row>
    <row r="163" spans="4:22" ht="14.25" customHeight="1" x14ac:dyDescent="0.15">
      <c r="D163" s="118"/>
      <c r="Q163" s="16" t="str">
        <f t="shared" si="13"/>
        <v/>
      </c>
      <c r="T163" s="16" t="str">
        <f t="shared" si="11"/>
        <v/>
      </c>
      <c r="V163" s="16" t="str">
        <f t="shared" si="12"/>
        <v/>
      </c>
    </row>
    <row r="164" spans="4:22" ht="14.25" customHeight="1" x14ac:dyDescent="0.15">
      <c r="D164" s="118"/>
      <c r="Q164" s="16" t="str">
        <f t="shared" si="13"/>
        <v/>
      </c>
      <c r="T164" s="16" t="str">
        <f t="shared" si="11"/>
        <v/>
      </c>
      <c r="V164" s="16" t="str">
        <f t="shared" si="12"/>
        <v/>
      </c>
    </row>
    <row r="165" spans="4:22" ht="14.25" customHeight="1" x14ac:dyDescent="0.15">
      <c r="D165" s="118"/>
      <c r="Q165" s="16" t="str">
        <f t="shared" si="13"/>
        <v/>
      </c>
      <c r="T165" s="16" t="str">
        <f t="shared" si="11"/>
        <v/>
      </c>
      <c r="V165" s="16" t="str">
        <f t="shared" si="12"/>
        <v/>
      </c>
    </row>
    <row r="166" spans="4:22" ht="14.25" customHeight="1" x14ac:dyDescent="0.15">
      <c r="D166" s="118"/>
      <c r="Q166" s="16" t="str">
        <f t="shared" si="13"/>
        <v/>
      </c>
      <c r="T166" s="16" t="str">
        <f t="shared" si="11"/>
        <v/>
      </c>
      <c r="V166" s="16" t="str">
        <f t="shared" si="12"/>
        <v/>
      </c>
    </row>
    <row r="167" spans="4:22" ht="14.25" customHeight="1" x14ac:dyDescent="0.15">
      <c r="D167" s="118"/>
      <c r="Q167" s="16" t="str">
        <f t="shared" si="13"/>
        <v/>
      </c>
      <c r="T167" s="16" t="str">
        <f t="shared" si="11"/>
        <v/>
      </c>
      <c r="V167" s="16" t="str">
        <f t="shared" si="12"/>
        <v/>
      </c>
    </row>
    <row r="168" spans="4:22" ht="14.25" customHeight="1" x14ac:dyDescent="0.15">
      <c r="D168" s="118"/>
      <c r="Q168" s="16" t="str">
        <f t="shared" si="13"/>
        <v/>
      </c>
      <c r="T168" s="16" t="str">
        <f t="shared" si="11"/>
        <v/>
      </c>
      <c r="V168" s="16" t="str">
        <f t="shared" si="12"/>
        <v/>
      </c>
    </row>
    <row r="169" spans="4:22" ht="14.25" customHeight="1" x14ac:dyDescent="0.15">
      <c r="D169" s="118"/>
      <c r="Q169" s="16" t="str">
        <f t="shared" si="13"/>
        <v/>
      </c>
      <c r="T169" s="16" t="str">
        <f t="shared" si="11"/>
        <v/>
      </c>
      <c r="V169" s="16" t="str">
        <f t="shared" si="12"/>
        <v/>
      </c>
    </row>
    <row r="170" spans="4:22" ht="14.25" customHeight="1" x14ac:dyDescent="0.15">
      <c r="D170" s="118"/>
      <c r="Q170" s="16" t="str">
        <f t="shared" si="13"/>
        <v/>
      </c>
      <c r="T170" s="16" t="str">
        <f t="shared" si="11"/>
        <v/>
      </c>
      <c r="V170" s="16" t="str">
        <f t="shared" si="12"/>
        <v/>
      </c>
    </row>
    <row r="171" spans="4:22" ht="14.25" customHeight="1" x14ac:dyDescent="0.15">
      <c r="D171" s="118"/>
      <c r="Q171" s="16" t="str">
        <f t="shared" si="13"/>
        <v/>
      </c>
      <c r="T171" s="16" t="str">
        <f t="shared" si="11"/>
        <v/>
      </c>
      <c r="V171" s="16" t="str">
        <f t="shared" si="12"/>
        <v/>
      </c>
    </row>
    <row r="172" spans="4:22" ht="14.25" customHeight="1" x14ac:dyDescent="0.15">
      <c r="D172" s="118"/>
      <c r="Q172" s="16" t="str">
        <f t="shared" si="13"/>
        <v/>
      </c>
      <c r="T172" s="16" t="str">
        <f t="shared" ref="T172:T235" si="14">IF(H172="","",IF(OR(H172="GREEN",H172="GK"),IF(S172&gt;=$AX$2,VLOOKUP(S172,$AX$2:$AY$9,2,1),""),IF(S172&gt;=$AZ$2,VLOOKUP(S172,$AZ$2:$BA$9,2,1),"")))</f>
        <v/>
      </c>
      <c r="V172" s="16" t="str">
        <f t="shared" si="12"/>
        <v/>
      </c>
    </row>
    <row r="173" spans="4:22" ht="14.25" customHeight="1" x14ac:dyDescent="0.15">
      <c r="D173" s="118"/>
      <c r="Q173" s="16" t="str">
        <f t="shared" si="13"/>
        <v/>
      </c>
      <c r="T173" s="16" t="str">
        <f t="shared" si="14"/>
        <v/>
      </c>
      <c r="V173" s="16" t="str">
        <f t="shared" si="12"/>
        <v/>
      </c>
    </row>
    <row r="174" spans="4:22" ht="14.25" customHeight="1" x14ac:dyDescent="0.15">
      <c r="D174" s="118"/>
      <c r="Q174" s="16" t="str">
        <f t="shared" si="13"/>
        <v/>
      </c>
      <c r="T174" s="16" t="str">
        <f t="shared" si="14"/>
        <v/>
      </c>
      <c r="V174" s="16" t="str">
        <f t="shared" si="12"/>
        <v/>
      </c>
    </row>
    <row r="175" spans="4:22" ht="14.25" customHeight="1" x14ac:dyDescent="0.15">
      <c r="D175" s="118"/>
      <c r="Q175" s="16" t="str">
        <f t="shared" si="13"/>
        <v/>
      </c>
      <c r="T175" s="16" t="str">
        <f t="shared" si="14"/>
        <v/>
      </c>
      <c r="V175" s="16" t="str">
        <f t="shared" si="12"/>
        <v/>
      </c>
    </row>
    <row r="176" spans="4:22" ht="14.25" customHeight="1" x14ac:dyDescent="0.15">
      <c r="D176" s="118"/>
      <c r="Q176" s="16" t="str">
        <f t="shared" si="13"/>
        <v/>
      </c>
      <c r="T176" s="16" t="str">
        <f t="shared" si="14"/>
        <v/>
      </c>
      <c r="V176" s="16" t="str">
        <f t="shared" si="12"/>
        <v/>
      </c>
    </row>
    <row r="177" spans="4:22" ht="14.25" customHeight="1" x14ac:dyDescent="0.15">
      <c r="D177" s="118"/>
      <c r="Q177" s="16" t="str">
        <f t="shared" si="13"/>
        <v/>
      </c>
      <c r="T177" s="16" t="str">
        <f t="shared" si="14"/>
        <v/>
      </c>
      <c r="V177" s="16" t="str">
        <f t="shared" si="12"/>
        <v/>
      </c>
    </row>
    <row r="178" spans="4:22" ht="14.25" customHeight="1" x14ac:dyDescent="0.15">
      <c r="D178" s="118"/>
      <c r="Q178" s="16" t="str">
        <f t="shared" si="13"/>
        <v/>
      </c>
      <c r="T178" s="16" t="str">
        <f t="shared" si="14"/>
        <v/>
      </c>
      <c r="V178" s="16" t="str">
        <f t="shared" si="12"/>
        <v/>
      </c>
    </row>
    <row r="179" spans="4:22" ht="14.25" customHeight="1" x14ac:dyDescent="0.15">
      <c r="D179" s="118"/>
      <c r="Q179" s="16" t="str">
        <f t="shared" si="13"/>
        <v/>
      </c>
      <c r="T179" s="16" t="str">
        <f t="shared" si="14"/>
        <v/>
      </c>
      <c r="V179" s="16" t="str">
        <f t="shared" si="12"/>
        <v/>
      </c>
    </row>
    <row r="180" spans="4:22" ht="14.25" customHeight="1" x14ac:dyDescent="0.15">
      <c r="D180" s="118"/>
      <c r="Q180" s="16" t="str">
        <f t="shared" si="13"/>
        <v/>
      </c>
      <c r="T180" s="16" t="str">
        <f t="shared" si="14"/>
        <v/>
      </c>
      <c r="V180" s="16" t="str">
        <f t="shared" si="12"/>
        <v/>
      </c>
    </row>
    <row r="181" spans="4:22" ht="14.25" customHeight="1" x14ac:dyDescent="0.15">
      <c r="D181" s="118"/>
      <c r="Q181" s="16" t="str">
        <f t="shared" si="13"/>
        <v/>
      </c>
      <c r="T181" s="16" t="str">
        <f t="shared" si="14"/>
        <v/>
      </c>
      <c r="V181" s="16" t="str">
        <f t="shared" si="12"/>
        <v/>
      </c>
    </row>
    <row r="182" spans="4:22" ht="14.25" customHeight="1" x14ac:dyDescent="0.15">
      <c r="D182" s="118"/>
      <c r="Q182" s="16" t="str">
        <f t="shared" si="13"/>
        <v/>
      </c>
      <c r="T182" s="16" t="str">
        <f t="shared" si="14"/>
        <v/>
      </c>
      <c r="V182" s="16" t="str">
        <f t="shared" si="12"/>
        <v/>
      </c>
    </row>
    <row r="183" spans="4:22" ht="14.25" customHeight="1" x14ac:dyDescent="0.15">
      <c r="D183" s="118"/>
      <c r="Q183" s="16" t="str">
        <f t="shared" si="13"/>
        <v/>
      </c>
      <c r="T183" s="16" t="str">
        <f t="shared" si="14"/>
        <v/>
      </c>
      <c r="V183" s="16" t="str">
        <f t="shared" ref="V183:V246" si="15">IF(OR(N183="",U183="",T183=""),"",U183/N183*T183)</f>
        <v/>
      </c>
    </row>
    <row r="184" spans="4:22" ht="14.25" customHeight="1" x14ac:dyDescent="0.15">
      <c r="D184" s="118"/>
      <c r="Q184" s="16" t="str">
        <f t="shared" si="13"/>
        <v/>
      </c>
      <c r="T184" s="16" t="str">
        <f t="shared" si="14"/>
        <v/>
      </c>
      <c r="V184" s="16" t="str">
        <f t="shared" si="15"/>
        <v/>
      </c>
    </row>
    <row r="185" spans="4:22" ht="14.25" customHeight="1" x14ac:dyDescent="0.15">
      <c r="D185" s="118"/>
      <c r="Q185" s="16" t="str">
        <f t="shared" si="13"/>
        <v/>
      </c>
      <c r="T185" s="16" t="str">
        <f t="shared" si="14"/>
        <v/>
      </c>
      <c r="V185" s="16" t="str">
        <f t="shared" si="15"/>
        <v/>
      </c>
    </row>
    <row r="186" spans="4:22" ht="14.25" customHeight="1" x14ac:dyDescent="0.15">
      <c r="D186" s="118"/>
      <c r="Q186" s="16" t="str">
        <f t="shared" si="13"/>
        <v/>
      </c>
      <c r="T186" s="16" t="str">
        <f t="shared" si="14"/>
        <v/>
      </c>
      <c r="V186" s="16" t="str">
        <f t="shared" si="15"/>
        <v/>
      </c>
    </row>
    <row r="187" spans="4:22" ht="14.25" customHeight="1" x14ac:dyDescent="0.15">
      <c r="D187" s="118"/>
      <c r="Q187" s="16" t="str">
        <f t="shared" si="13"/>
        <v/>
      </c>
      <c r="T187" s="16" t="str">
        <f t="shared" si="14"/>
        <v/>
      </c>
      <c r="V187" s="16" t="str">
        <f t="shared" si="15"/>
        <v/>
      </c>
    </row>
    <row r="188" spans="4:22" ht="14.25" customHeight="1" x14ac:dyDescent="0.15">
      <c r="D188" s="118"/>
      <c r="Q188" s="16" t="str">
        <f t="shared" si="13"/>
        <v/>
      </c>
      <c r="T188" s="16" t="str">
        <f t="shared" si="14"/>
        <v/>
      </c>
      <c r="V188" s="16" t="str">
        <f t="shared" si="15"/>
        <v/>
      </c>
    </row>
    <row r="189" spans="4:22" ht="14.25" customHeight="1" x14ac:dyDescent="0.15">
      <c r="D189" s="118"/>
      <c r="Q189" s="16" t="str">
        <f t="shared" si="13"/>
        <v/>
      </c>
      <c r="T189" s="16" t="str">
        <f t="shared" si="14"/>
        <v/>
      </c>
      <c r="V189" s="16" t="str">
        <f t="shared" si="15"/>
        <v/>
      </c>
    </row>
    <row r="190" spans="4:22" ht="14.25" customHeight="1" x14ac:dyDescent="0.15">
      <c r="D190" s="118"/>
      <c r="Q190" s="16" t="str">
        <f t="shared" si="13"/>
        <v/>
      </c>
      <c r="T190" s="16" t="str">
        <f t="shared" si="14"/>
        <v/>
      </c>
      <c r="V190" s="16" t="str">
        <f t="shared" si="15"/>
        <v/>
      </c>
    </row>
    <row r="191" spans="4:22" ht="14.25" customHeight="1" x14ac:dyDescent="0.15">
      <c r="D191" s="118"/>
      <c r="Q191" s="16" t="str">
        <f t="shared" si="13"/>
        <v/>
      </c>
      <c r="T191" s="16" t="str">
        <f t="shared" si="14"/>
        <v/>
      </c>
      <c r="V191" s="16" t="str">
        <f t="shared" si="15"/>
        <v/>
      </c>
    </row>
    <row r="192" spans="4:22" ht="14.25" customHeight="1" x14ac:dyDescent="0.15">
      <c r="D192" s="118"/>
      <c r="Q192" s="16" t="str">
        <f t="shared" si="13"/>
        <v/>
      </c>
      <c r="T192" s="16" t="str">
        <f t="shared" si="14"/>
        <v/>
      </c>
      <c r="V192" s="16" t="str">
        <f t="shared" si="15"/>
        <v/>
      </c>
    </row>
    <row r="193" spans="4:22" ht="14.25" customHeight="1" x14ac:dyDescent="0.15">
      <c r="D193" s="118"/>
      <c r="Q193" s="16" t="str">
        <f t="shared" si="13"/>
        <v/>
      </c>
      <c r="T193" s="16" t="str">
        <f t="shared" si="14"/>
        <v/>
      </c>
      <c r="V193" s="16" t="str">
        <f t="shared" si="15"/>
        <v/>
      </c>
    </row>
    <row r="194" spans="4:22" ht="14.25" customHeight="1" x14ac:dyDescent="0.15">
      <c r="D194" s="118"/>
      <c r="Q194" s="16" t="str">
        <f t="shared" si="13"/>
        <v/>
      </c>
      <c r="T194" s="16" t="str">
        <f t="shared" si="14"/>
        <v/>
      </c>
      <c r="V194" s="16" t="str">
        <f t="shared" si="15"/>
        <v/>
      </c>
    </row>
    <row r="195" spans="4:22" ht="14.25" customHeight="1" x14ac:dyDescent="0.15">
      <c r="D195" s="118"/>
      <c r="Q195" s="16" t="str">
        <f t="shared" si="13"/>
        <v/>
      </c>
      <c r="T195" s="16" t="str">
        <f t="shared" si="14"/>
        <v/>
      </c>
      <c r="V195" s="16" t="str">
        <f t="shared" si="15"/>
        <v/>
      </c>
    </row>
    <row r="196" spans="4:22" ht="14.25" customHeight="1" x14ac:dyDescent="0.15">
      <c r="D196" s="118"/>
      <c r="Q196" s="16" t="str">
        <f t="shared" si="13"/>
        <v/>
      </c>
      <c r="T196" s="16" t="str">
        <f t="shared" si="14"/>
        <v/>
      </c>
      <c r="V196" s="16" t="str">
        <f t="shared" si="15"/>
        <v/>
      </c>
    </row>
    <row r="197" spans="4:22" ht="14.25" customHeight="1" x14ac:dyDescent="0.15">
      <c r="D197" s="118"/>
      <c r="Q197" s="16" t="str">
        <f t="shared" si="13"/>
        <v/>
      </c>
      <c r="T197" s="16" t="str">
        <f t="shared" si="14"/>
        <v/>
      </c>
      <c r="V197" s="16" t="str">
        <f t="shared" si="15"/>
        <v/>
      </c>
    </row>
    <row r="198" spans="4:22" ht="14.25" customHeight="1" x14ac:dyDescent="0.15">
      <c r="D198" s="118"/>
      <c r="Q198" s="16" t="str">
        <f t="shared" si="13"/>
        <v/>
      </c>
      <c r="T198" s="16" t="str">
        <f t="shared" si="14"/>
        <v/>
      </c>
      <c r="V198" s="16" t="str">
        <f t="shared" si="15"/>
        <v/>
      </c>
    </row>
    <row r="199" spans="4:22" ht="14.25" customHeight="1" x14ac:dyDescent="0.15">
      <c r="D199" s="118"/>
      <c r="Q199" s="16" t="str">
        <f t="shared" si="13"/>
        <v/>
      </c>
      <c r="T199" s="16" t="str">
        <f t="shared" si="14"/>
        <v/>
      </c>
      <c r="V199" s="16" t="str">
        <f t="shared" si="15"/>
        <v/>
      </c>
    </row>
    <row r="200" spans="4:22" ht="14.25" customHeight="1" x14ac:dyDescent="0.15">
      <c r="D200" s="118"/>
      <c r="Q200" s="16" t="str">
        <f t="shared" si="13"/>
        <v/>
      </c>
      <c r="T200" s="16" t="str">
        <f t="shared" si="14"/>
        <v/>
      </c>
      <c r="V200" s="16" t="str">
        <f t="shared" si="15"/>
        <v/>
      </c>
    </row>
    <row r="201" spans="4:22" ht="14.25" customHeight="1" x14ac:dyDescent="0.15">
      <c r="D201" s="118"/>
      <c r="Q201" s="16" t="str">
        <f t="shared" si="13"/>
        <v/>
      </c>
      <c r="T201" s="16" t="str">
        <f t="shared" si="14"/>
        <v/>
      </c>
      <c r="V201" s="16" t="str">
        <f t="shared" si="15"/>
        <v/>
      </c>
    </row>
    <row r="202" spans="4:22" ht="14.25" customHeight="1" x14ac:dyDescent="0.15">
      <c r="D202" s="118"/>
      <c r="Q202" s="16" t="str">
        <f t="shared" si="13"/>
        <v/>
      </c>
      <c r="T202" s="16" t="str">
        <f t="shared" si="14"/>
        <v/>
      </c>
      <c r="V202" s="16" t="str">
        <f t="shared" si="15"/>
        <v/>
      </c>
    </row>
    <row r="203" spans="4:22" ht="14.25" customHeight="1" x14ac:dyDescent="0.15">
      <c r="D203" s="118"/>
      <c r="Q203" s="16" t="str">
        <f t="shared" si="13"/>
        <v/>
      </c>
      <c r="T203" s="16" t="str">
        <f t="shared" si="14"/>
        <v/>
      </c>
      <c r="V203" s="16" t="str">
        <f t="shared" si="15"/>
        <v/>
      </c>
    </row>
    <row r="204" spans="4:22" ht="14.25" customHeight="1" x14ac:dyDescent="0.15">
      <c r="D204" s="118"/>
      <c r="Q204" s="16" t="str">
        <f t="shared" si="13"/>
        <v/>
      </c>
      <c r="T204" s="16" t="str">
        <f t="shared" si="14"/>
        <v/>
      </c>
      <c r="V204" s="16" t="str">
        <f t="shared" si="15"/>
        <v/>
      </c>
    </row>
    <row r="205" spans="4:22" ht="14.25" customHeight="1" x14ac:dyDescent="0.15">
      <c r="D205" s="118"/>
      <c r="Q205" s="16" t="str">
        <f t="shared" si="13"/>
        <v/>
      </c>
      <c r="T205" s="16" t="str">
        <f t="shared" si="14"/>
        <v/>
      </c>
      <c r="V205" s="16" t="str">
        <f t="shared" si="15"/>
        <v/>
      </c>
    </row>
    <row r="206" spans="4:22" ht="14.25" customHeight="1" x14ac:dyDescent="0.15">
      <c r="D206" s="118"/>
      <c r="Q206" s="16" t="str">
        <f t="shared" si="13"/>
        <v/>
      </c>
      <c r="T206" s="16" t="str">
        <f t="shared" si="14"/>
        <v/>
      </c>
      <c r="V206" s="16" t="str">
        <f t="shared" si="15"/>
        <v/>
      </c>
    </row>
    <row r="207" spans="4:22" ht="14.25" customHeight="1" x14ac:dyDescent="0.15">
      <c r="D207" s="118"/>
      <c r="Q207" s="16" t="str">
        <f t="shared" si="13"/>
        <v/>
      </c>
      <c r="T207" s="16" t="str">
        <f t="shared" si="14"/>
        <v/>
      </c>
      <c r="V207" s="16" t="str">
        <f t="shared" si="15"/>
        <v/>
      </c>
    </row>
    <row r="208" spans="4:22" ht="14.25" customHeight="1" x14ac:dyDescent="0.15">
      <c r="D208" s="118"/>
      <c r="Q208" s="16" t="str">
        <f t="shared" si="13"/>
        <v/>
      </c>
      <c r="T208" s="16" t="str">
        <f t="shared" si="14"/>
        <v/>
      </c>
      <c r="V208" s="16" t="str">
        <f t="shared" si="15"/>
        <v/>
      </c>
    </row>
    <row r="209" spans="4:22" ht="14.25" customHeight="1" x14ac:dyDescent="0.15">
      <c r="D209" s="118"/>
      <c r="Q209" s="16" t="str">
        <f t="shared" si="13"/>
        <v/>
      </c>
      <c r="T209" s="16" t="str">
        <f t="shared" si="14"/>
        <v/>
      </c>
      <c r="V209" s="16" t="str">
        <f t="shared" si="15"/>
        <v/>
      </c>
    </row>
    <row r="210" spans="4:22" ht="14.25" customHeight="1" x14ac:dyDescent="0.15">
      <c r="D210" s="118"/>
      <c r="Q210" s="16" t="str">
        <f t="shared" si="13"/>
        <v/>
      </c>
      <c r="T210" s="16" t="str">
        <f t="shared" si="14"/>
        <v/>
      </c>
      <c r="V210" s="16" t="str">
        <f t="shared" si="15"/>
        <v/>
      </c>
    </row>
    <row r="211" spans="4:22" ht="14.25" customHeight="1" x14ac:dyDescent="0.15">
      <c r="D211" s="118"/>
      <c r="Q211" s="16" t="str">
        <f t="shared" si="13"/>
        <v/>
      </c>
      <c r="T211" s="16" t="str">
        <f t="shared" si="14"/>
        <v/>
      </c>
      <c r="V211" s="16" t="str">
        <f t="shared" si="15"/>
        <v/>
      </c>
    </row>
    <row r="212" spans="4:22" ht="14.25" customHeight="1" x14ac:dyDescent="0.15">
      <c r="D212" s="118"/>
      <c r="Q212" s="16" t="str">
        <f t="shared" si="13"/>
        <v/>
      </c>
      <c r="T212" s="16" t="str">
        <f t="shared" si="14"/>
        <v/>
      </c>
      <c r="V212" s="16" t="str">
        <f t="shared" si="15"/>
        <v/>
      </c>
    </row>
    <row r="213" spans="4:22" ht="14.25" customHeight="1" x14ac:dyDescent="0.15">
      <c r="D213" s="118"/>
      <c r="Q213" s="16" t="str">
        <f t="shared" si="13"/>
        <v/>
      </c>
      <c r="T213" s="16" t="str">
        <f t="shared" si="14"/>
        <v/>
      </c>
      <c r="V213" s="16" t="str">
        <f t="shared" si="15"/>
        <v/>
      </c>
    </row>
    <row r="214" spans="4:22" ht="14.25" customHeight="1" x14ac:dyDescent="0.15">
      <c r="D214" s="118"/>
      <c r="Q214" s="16" t="str">
        <f t="shared" ref="Q214:Q263" si="16">IF(OR(O214="",P214=""),"",AVERAGE(O214,P214))</f>
        <v/>
      </c>
      <c r="T214" s="16" t="str">
        <f t="shared" si="14"/>
        <v/>
      </c>
      <c r="V214" s="16" t="str">
        <f t="shared" si="15"/>
        <v/>
      </c>
    </row>
    <row r="215" spans="4:22" ht="14.25" customHeight="1" x14ac:dyDescent="0.15">
      <c r="D215" s="118"/>
      <c r="Q215" s="16" t="str">
        <f t="shared" si="16"/>
        <v/>
      </c>
      <c r="T215" s="16" t="str">
        <f t="shared" si="14"/>
        <v/>
      </c>
      <c r="V215" s="16" t="str">
        <f t="shared" si="15"/>
        <v/>
      </c>
    </row>
    <row r="216" spans="4:22" ht="14.25" customHeight="1" x14ac:dyDescent="0.15">
      <c r="D216" s="118"/>
      <c r="Q216" s="16" t="str">
        <f t="shared" si="16"/>
        <v/>
      </c>
      <c r="T216" s="16" t="str">
        <f t="shared" si="14"/>
        <v/>
      </c>
      <c r="V216" s="16" t="str">
        <f t="shared" si="15"/>
        <v/>
      </c>
    </row>
    <row r="217" spans="4:22" ht="14.25" customHeight="1" x14ac:dyDescent="0.15">
      <c r="D217" s="118"/>
      <c r="Q217" s="16" t="str">
        <f t="shared" si="16"/>
        <v/>
      </c>
      <c r="T217" s="16" t="str">
        <f t="shared" si="14"/>
        <v/>
      </c>
      <c r="V217" s="16" t="str">
        <f t="shared" si="15"/>
        <v/>
      </c>
    </row>
    <row r="218" spans="4:22" ht="14.25" customHeight="1" x14ac:dyDescent="0.15">
      <c r="D218" s="118"/>
      <c r="Q218" s="16" t="str">
        <f t="shared" si="16"/>
        <v/>
      </c>
      <c r="T218" s="16" t="str">
        <f t="shared" si="14"/>
        <v/>
      </c>
      <c r="V218" s="16" t="str">
        <f t="shared" si="15"/>
        <v/>
      </c>
    </row>
    <row r="219" spans="4:22" ht="14.25" customHeight="1" x14ac:dyDescent="0.15">
      <c r="D219" s="118"/>
      <c r="Q219" s="16" t="str">
        <f t="shared" si="16"/>
        <v/>
      </c>
      <c r="T219" s="16" t="str">
        <f t="shared" si="14"/>
        <v/>
      </c>
      <c r="V219" s="16" t="str">
        <f t="shared" si="15"/>
        <v/>
      </c>
    </row>
    <row r="220" spans="4:22" ht="14.25" customHeight="1" x14ac:dyDescent="0.15">
      <c r="D220" s="118"/>
      <c r="Q220" s="16" t="str">
        <f t="shared" si="16"/>
        <v/>
      </c>
      <c r="T220" s="16" t="str">
        <f t="shared" si="14"/>
        <v/>
      </c>
      <c r="V220" s="16" t="str">
        <f t="shared" si="15"/>
        <v/>
      </c>
    </row>
    <row r="221" spans="4:22" ht="14.25" customHeight="1" x14ac:dyDescent="0.15">
      <c r="D221" s="118"/>
      <c r="Q221" s="16" t="str">
        <f t="shared" si="16"/>
        <v/>
      </c>
      <c r="T221" s="16" t="str">
        <f t="shared" si="14"/>
        <v/>
      </c>
      <c r="V221" s="16" t="str">
        <f t="shared" si="15"/>
        <v/>
      </c>
    </row>
    <row r="222" spans="4:22" ht="14.25" customHeight="1" x14ac:dyDescent="0.15">
      <c r="D222" s="118"/>
      <c r="Q222" s="16" t="str">
        <f t="shared" si="16"/>
        <v/>
      </c>
      <c r="T222" s="16" t="str">
        <f t="shared" si="14"/>
        <v/>
      </c>
      <c r="V222" s="16" t="str">
        <f t="shared" si="15"/>
        <v/>
      </c>
    </row>
    <row r="223" spans="4:22" ht="14.25" customHeight="1" x14ac:dyDescent="0.15">
      <c r="D223" s="118"/>
      <c r="Q223" s="16" t="str">
        <f t="shared" si="16"/>
        <v/>
      </c>
      <c r="T223" s="16" t="str">
        <f t="shared" si="14"/>
        <v/>
      </c>
      <c r="V223" s="16" t="str">
        <f t="shared" si="15"/>
        <v/>
      </c>
    </row>
    <row r="224" spans="4:22" ht="14.25" customHeight="1" x14ac:dyDescent="0.15">
      <c r="D224" s="118"/>
      <c r="Q224" s="16" t="str">
        <f t="shared" si="16"/>
        <v/>
      </c>
      <c r="T224" s="16" t="str">
        <f t="shared" si="14"/>
        <v/>
      </c>
      <c r="V224" s="16" t="str">
        <f t="shared" si="15"/>
        <v/>
      </c>
    </row>
    <row r="225" spans="4:22" ht="14.25" customHeight="1" x14ac:dyDescent="0.15">
      <c r="D225" s="118"/>
      <c r="Q225" s="16" t="str">
        <f t="shared" si="16"/>
        <v/>
      </c>
      <c r="T225" s="16" t="str">
        <f t="shared" si="14"/>
        <v/>
      </c>
      <c r="V225" s="16" t="str">
        <f t="shared" si="15"/>
        <v/>
      </c>
    </row>
    <row r="226" spans="4:22" ht="14.25" customHeight="1" x14ac:dyDescent="0.15">
      <c r="D226" s="118"/>
      <c r="Q226" s="16" t="str">
        <f t="shared" si="16"/>
        <v/>
      </c>
      <c r="T226" s="16" t="str">
        <f t="shared" si="14"/>
        <v/>
      </c>
      <c r="V226" s="16" t="str">
        <f t="shared" si="15"/>
        <v/>
      </c>
    </row>
    <row r="227" spans="4:22" ht="14.25" customHeight="1" x14ac:dyDescent="0.15">
      <c r="D227" s="118"/>
      <c r="Q227" s="16" t="str">
        <f t="shared" si="16"/>
        <v/>
      </c>
      <c r="T227" s="16" t="str">
        <f t="shared" si="14"/>
        <v/>
      </c>
      <c r="V227" s="16" t="str">
        <f t="shared" si="15"/>
        <v/>
      </c>
    </row>
    <row r="228" spans="4:22" ht="14.25" customHeight="1" x14ac:dyDescent="0.15">
      <c r="D228" s="118"/>
      <c r="Q228" s="16" t="str">
        <f t="shared" si="16"/>
        <v/>
      </c>
      <c r="T228" s="16" t="str">
        <f t="shared" si="14"/>
        <v/>
      </c>
      <c r="V228" s="16" t="str">
        <f t="shared" si="15"/>
        <v/>
      </c>
    </row>
    <row r="229" spans="4:22" ht="14.25" customHeight="1" x14ac:dyDescent="0.15">
      <c r="D229" s="118"/>
      <c r="Q229" s="16" t="str">
        <f t="shared" si="16"/>
        <v/>
      </c>
      <c r="T229" s="16" t="str">
        <f t="shared" si="14"/>
        <v/>
      </c>
      <c r="V229" s="16" t="str">
        <f t="shared" si="15"/>
        <v/>
      </c>
    </row>
    <row r="230" spans="4:22" ht="14.25" customHeight="1" x14ac:dyDescent="0.15">
      <c r="D230" s="118"/>
      <c r="Q230" s="16" t="str">
        <f t="shared" si="16"/>
        <v/>
      </c>
      <c r="T230" s="16" t="str">
        <f t="shared" si="14"/>
        <v/>
      </c>
      <c r="V230" s="16" t="str">
        <f t="shared" si="15"/>
        <v/>
      </c>
    </row>
    <row r="231" spans="4:22" ht="14.25" customHeight="1" x14ac:dyDescent="0.15">
      <c r="D231" s="118"/>
      <c r="Q231" s="16" t="str">
        <f t="shared" si="16"/>
        <v/>
      </c>
      <c r="T231" s="16" t="str">
        <f t="shared" si="14"/>
        <v/>
      </c>
      <c r="V231" s="16" t="str">
        <f t="shared" si="15"/>
        <v/>
      </c>
    </row>
    <row r="232" spans="4:22" ht="14.25" customHeight="1" x14ac:dyDescent="0.15">
      <c r="D232" s="118"/>
      <c r="Q232" s="16" t="str">
        <f t="shared" si="16"/>
        <v/>
      </c>
      <c r="T232" s="16" t="str">
        <f t="shared" si="14"/>
        <v/>
      </c>
      <c r="V232" s="16" t="str">
        <f t="shared" si="15"/>
        <v/>
      </c>
    </row>
    <row r="233" spans="4:22" ht="14.25" customHeight="1" x14ac:dyDescent="0.15">
      <c r="D233" s="118"/>
      <c r="Q233" s="16" t="str">
        <f t="shared" si="16"/>
        <v/>
      </c>
      <c r="T233" s="16" t="str">
        <f t="shared" si="14"/>
        <v/>
      </c>
      <c r="V233" s="16" t="str">
        <f t="shared" si="15"/>
        <v/>
      </c>
    </row>
    <row r="234" spans="4:22" ht="14.25" customHeight="1" x14ac:dyDescent="0.15">
      <c r="D234" s="118"/>
      <c r="Q234" s="16" t="str">
        <f t="shared" si="16"/>
        <v/>
      </c>
      <c r="T234" s="16" t="str">
        <f t="shared" si="14"/>
        <v/>
      </c>
      <c r="V234" s="16" t="str">
        <f t="shared" si="15"/>
        <v/>
      </c>
    </row>
    <row r="235" spans="4:22" ht="14.25" customHeight="1" x14ac:dyDescent="0.15">
      <c r="D235" s="118"/>
      <c r="Q235" s="16" t="str">
        <f t="shared" si="16"/>
        <v/>
      </c>
      <c r="T235" s="16" t="str">
        <f t="shared" si="14"/>
        <v/>
      </c>
      <c r="V235" s="16" t="str">
        <f t="shared" si="15"/>
        <v/>
      </c>
    </row>
    <row r="236" spans="4:22" ht="14.25" customHeight="1" x14ac:dyDescent="0.15">
      <c r="D236" s="118"/>
      <c r="Q236" s="16" t="str">
        <f t="shared" si="16"/>
        <v/>
      </c>
      <c r="T236" s="16" t="str">
        <f t="shared" ref="T236:T263" si="17">IF(H236="","",IF(OR(H236="GREEN",H236="GK"),IF(S236&gt;=$AX$2,VLOOKUP(S236,$AX$2:$AY$9,2,1),""),IF(S236&gt;=$AZ$2,VLOOKUP(S236,$AZ$2:$BA$9,2,1),"")))</f>
        <v/>
      </c>
      <c r="V236" s="16" t="str">
        <f t="shared" si="15"/>
        <v/>
      </c>
    </row>
    <row r="237" spans="4:22" ht="14.25" customHeight="1" x14ac:dyDescent="0.15">
      <c r="D237" s="118"/>
      <c r="Q237" s="16" t="str">
        <f t="shared" si="16"/>
        <v/>
      </c>
      <c r="T237" s="16" t="str">
        <f t="shared" si="17"/>
        <v/>
      </c>
      <c r="V237" s="16" t="str">
        <f t="shared" si="15"/>
        <v/>
      </c>
    </row>
    <row r="238" spans="4:22" ht="14.25" customHeight="1" x14ac:dyDescent="0.15">
      <c r="D238" s="118"/>
      <c r="Q238" s="16" t="str">
        <f t="shared" si="16"/>
        <v/>
      </c>
      <c r="T238" s="16" t="str">
        <f t="shared" si="17"/>
        <v/>
      </c>
      <c r="V238" s="16" t="str">
        <f t="shared" si="15"/>
        <v/>
      </c>
    </row>
    <row r="239" spans="4:22" ht="14.25" customHeight="1" x14ac:dyDescent="0.15">
      <c r="D239" s="118"/>
      <c r="Q239" s="16" t="str">
        <f t="shared" si="16"/>
        <v/>
      </c>
      <c r="T239" s="16" t="str">
        <f t="shared" si="17"/>
        <v/>
      </c>
      <c r="V239" s="16" t="str">
        <f t="shared" si="15"/>
        <v/>
      </c>
    </row>
    <row r="240" spans="4:22" ht="14.25" customHeight="1" x14ac:dyDescent="0.15">
      <c r="D240" s="118"/>
      <c r="Q240" s="16" t="str">
        <f t="shared" si="16"/>
        <v/>
      </c>
      <c r="T240" s="16" t="str">
        <f t="shared" si="17"/>
        <v/>
      </c>
      <c r="V240" s="16" t="str">
        <f t="shared" si="15"/>
        <v/>
      </c>
    </row>
    <row r="241" spans="4:22" ht="14.25" customHeight="1" x14ac:dyDescent="0.15">
      <c r="D241" s="118"/>
      <c r="Q241" s="16" t="str">
        <f t="shared" si="16"/>
        <v/>
      </c>
      <c r="T241" s="16" t="str">
        <f t="shared" si="17"/>
        <v/>
      </c>
      <c r="V241" s="16" t="str">
        <f t="shared" si="15"/>
        <v/>
      </c>
    </row>
    <row r="242" spans="4:22" ht="14.25" customHeight="1" x14ac:dyDescent="0.15">
      <c r="D242" s="118"/>
      <c r="Q242" s="16" t="str">
        <f t="shared" si="16"/>
        <v/>
      </c>
      <c r="T242" s="16" t="str">
        <f t="shared" si="17"/>
        <v/>
      </c>
      <c r="V242" s="16" t="str">
        <f t="shared" si="15"/>
        <v/>
      </c>
    </row>
    <row r="243" spans="4:22" ht="14.25" customHeight="1" x14ac:dyDescent="0.15">
      <c r="D243" s="118"/>
      <c r="Q243" s="16" t="str">
        <f t="shared" si="16"/>
        <v/>
      </c>
      <c r="T243" s="16" t="str">
        <f t="shared" si="17"/>
        <v/>
      </c>
      <c r="V243" s="16" t="str">
        <f t="shared" si="15"/>
        <v/>
      </c>
    </row>
    <row r="244" spans="4:22" ht="14.25" customHeight="1" x14ac:dyDescent="0.15">
      <c r="D244" s="118"/>
      <c r="Q244" s="16" t="str">
        <f t="shared" si="16"/>
        <v/>
      </c>
      <c r="T244" s="16" t="str">
        <f t="shared" si="17"/>
        <v/>
      </c>
      <c r="V244" s="16" t="str">
        <f t="shared" si="15"/>
        <v/>
      </c>
    </row>
    <row r="245" spans="4:22" ht="14.25" customHeight="1" x14ac:dyDescent="0.15">
      <c r="D245" s="118"/>
      <c r="Q245" s="16" t="str">
        <f t="shared" si="16"/>
        <v/>
      </c>
      <c r="T245" s="16" t="str">
        <f t="shared" si="17"/>
        <v/>
      </c>
      <c r="V245" s="16" t="str">
        <f t="shared" si="15"/>
        <v/>
      </c>
    </row>
    <row r="246" spans="4:22" ht="14.25" customHeight="1" x14ac:dyDescent="0.15">
      <c r="D246" s="118"/>
      <c r="Q246" s="16" t="str">
        <f t="shared" si="16"/>
        <v/>
      </c>
      <c r="T246" s="16" t="str">
        <f t="shared" si="17"/>
        <v/>
      </c>
      <c r="V246" s="16" t="str">
        <f t="shared" si="15"/>
        <v/>
      </c>
    </row>
    <row r="247" spans="4:22" ht="14.25" customHeight="1" x14ac:dyDescent="0.15">
      <c r="D247" s="118"/>
      <c r="Q247" s="16" t="str">
        <f t="shared" si="16"/>
        <v/>
      </c>
      <c r="T247" s="16" t="str">
        <f t="shared" si="17"/>
        <v/>
      </c>
      <c r="V247" s="16" t="str">
        <f t="shared" ref="V247:V263" si="18">IF(OR(N247="",U247="",T247=""),"",U247/N247*T247)</f>
        <v/>
      </c>
    </row>
    <row r="248" spans="4:22" ht="14.25" customHeight="1" x14ac:dyDescent="0.15">
      <c r="D248" s="118"/>
      <c r="Q248" s="16" t="str">
        <f t="shared" si="16"/>
        <v/>
      </c>
      <c r="T248" s="16" t="str">
        <f t="shared" si="17"/>
        <v/>
      </c>
      <c r="V248" s="16" t="str">
        <f t="shared" si="18"/>
        <v/>
      </c>
    </row>
    <row r="249" spans="4:22" ht="14.25" customHeight="1" x14ac:dyDescent="0.15">
      <c r="D249" s="118"/>
      <c r="Q249" s="16" t="str">
        <f t="shared" si="16"/>
        <v/>
      </c>
      <c r="T249" s="16" t="str">
        <f t="shared" si="17"/>
        <v/>
      </c>
      <c r="V249" s="16" t="str">
        <f t="shared" si="18"/>
        <v/>
      </c>
    </row>
    <row r="250" spans="4:22" ht="14.25" customHeight="1" x14ac:dyDescent="0.15">
      <c r="D250" s="118"/>
      <c r="Q250" s="16" t="str">
        <f t="shared" si="16"/>
        <v/>
      </c>
      <c r="T250" s="16" t="str">
        <f t="shared" si="17"/>
        <v/>
      </c>
      <c r="V250" s="16" t="str">
        <f t="shared" si="18"/>
        <v/>
      </c>
    </row>
    <row r="251" spans="4:22" ht="14.25" customHeight="1" x14ac:dyDescent="0.15">
      <c r="D251" s="118"/>
      <c r="Q251" s="16" t="str">
        <f t="shared" si="16"/>
        <v/>
      </c>
      <c r="T251" s="16" t="str">
        <f t="shared" si="17"/>
        <v/>
      </c>
      <c r="V251" s="16" t="str">
        <f t="shared" si="18"/>
        <v/>
      </c>
    </row>
    <row r="252" spans="4:22" ht="14.25" customHeight="1" x14ac:dyDescent="0.15">
      <c r="D252" s="118"/>
      <c r="Q252" s="16" t="str">
        <f t="shared" si="16"/>
        <v/>
      </c>
      <c r="T252" s="16" t="str">
        <f t="shared" si="17"/>
        <v/>
      </c>
      <c r="V252" s="16" t="str">
        <f t="shared" si="18"/>
        <v/>
      </c>
    </row>
    <row r="253" spans="4:22" ht="14.25" customHeight="1" x14ac:dyDescent="0.15">
      <c r="D253" s="118"/>
      <c r="Q253" s="16" t="str">
        <f t="shared" si="16"/>
        <v/>
      </c>
      <c r="T253" s="16" t="str">
        <f t="shared" si="17"/>
        <v/>
      </c>
      <c r="V253" s="16" t="str">
        <f t="shared" si="18"/>
        <v/>
      </c>
    </row>
    <row r="254" spans="4:22" ht="14.25" customHeight="1" x14ac:dyDescent="0.15">
      <c r="D254" s="118"/>
      <c r="Q254" s="16" t="str">
        <f t="shared" si="16"/>
        <v/>
      </c>
      <c r="T254" s="16" t="str">
        <f t="shared" si="17"/>
        <v/>
      </c>
      <c r="V254" s="16" t="str">
        <f t="shared" si="18"/>
        <v/>
      </c>
    </row>
    <row r="255" spans="4:22" ht="14.25" customHeight="1" x14ac:dyDescent="0.15">
      <c r="D255" s="118"/>
      <c r="Q255" s="16" t="str">
        <f t="shared" si="16"/>
        <v/>
      </c>
      <c r="T255" s="16" t="str">
        <f t="shared" si="17"/>
        <v/>
      </c>
      <c r="V255" s="16" t="str">
        <f t="shared" si="18"/>
        <v/>
      </c>
    </row>
    <row r="256" spans="4:22" ht="14.25" customHeight="1" x14ac:dyDescent="0.15">
      <c r="D256" s="118"/>
      <c r="Q256" s="16" t="str">
        <f t="shared" si="16"/>
        <v/>
      </c>
      <c r="T256" s="16" t="str">
        <f t="shared" si="17"/>
        <v/>
      </c>
      <c r="V256" s="16" t="str">
        <f t="shared" si="18"/>
        <v/>
      </c>
    </row>
    <row r="257" spans="4:22" ht="14.25" customHeight="1" x14ac:dyDescent="0.15">
      <c r="D257" s="118"/>
      <c r="Q257" s="16" t="str">
        <f t="shared" si="16"/>
        <v/>
      </c>
      <c r="T257" s="16" t="str">
        <f t="shared" si="17"/>
        <v/>
      </c>
      <c r="V257" s="16" t="str">
        <f t="shared" si="18"/>
        <v/>
      </c>
    </row>
    <row r="258" spans="4:22" ht="14.25" customHeight="1" x14ac:dyDescent="0.15">
      <c r="D258" s="118"/>
      <c r="Q258" s="16" t="str">
        <f t="shared" si="16"/>
        <v/>
      </c>
      <c r="T258" s="16" t="str">
        <f t="shared" si="17"/>
        <v/>
      </c>
      <c r="V258" s="16" t="str">
        <f t="shared" si="18"/>
        <v/>
      </c>
    </row>
    <row r="259" spans="4:22" ht="14.25" customHeight="1" x14ac:dyDescent="0.15">
      <c r="D259" s="118"/>
      <c r="Q259" s="16" t="str">
        <f t="shared" si="16"/>
        <v/>
      </c>
      <c r="T259" s="16" t="str">
        <f t="shared" si="17"/>
        <v/>
      </c>
      <c r="V259" s="16" t="str">
        <f t="shared" si="18"/>
        <v/>
      </c>
    </row>
    <row r="260" spans="4:22" ht="14.25" customHeight="1" x14ac:dyDescent="0.15">
      <c r="D260" s="118"/>
      <c r="Q260" s="16" t="str">
        <f t="shared" si="16"/>
        <v/>
      </c>
      <c r="T260" s="16" t="str">
        <f t="shared" si="17"/>
        <v/>
      </c>
      <c r="V260" s="16" t="str">
        <f t="shared" si="18"/>
        <v/>
      </c>
    </row>
    <row r="261" spans="4:22" ht="14.25" customHeight="1" x14ac:dyDescent="0.15">
      <c r="D261" s="118"/>
      <c r="Q261" s="16" t="str">
        <f t="shared" si="16"/>
        <v/>
      </c>
      <c r="T261" s="16" t="str">
        <f t="shared" si="17"/>
        <v/>
      </c>
      <c r="V261" s="16" t="str">
        <f t="shared" si="18"/>
        <v/>
      </c>
    </row>
    <row r="262" spans="4:22" ht="14.25" customHeight="1" x14ac:dyDescent="0.15">
      <c r="D262" s="118"/>
      <c r="Q262" s="16" t="str">
        <f t="shared" si="16"/>
        <v/>
      </c>
      <c r="T262" s="16" t="str">
        <f t="shared" si="17"/>
        <v/>
      </c>
      <c r="V262" s="16" t="str">
        <f t="shared" si="18"/>
        <v/>
      </c>
    </row>
    <row r="263" spans="4:22" ht="14.25" customHeight="1" x14ac:dyDescent="0.15">
      <c r="D263" s="118"/>
      <c r="Q263" s="16" t="str">
        <f t="shared" si="16"/>
        <v/>
      </c>
      <c r="T263" s="16" t="str">
        <f t="shared" si="17"/>
        <v/>
      </c>
      <c r="V263" s="16" t="str">
        <f t="shared" si="18"/>
        <v/>
      </c>
    </row>
  </sheetData>
  <autoFilter ref="A1:BA175" xr:uid="{00000000-0009-0000-0000-000000000000}"/>
  <phoneticPr fontId="3"/>
  <dataValidations count="15">
    <dataValidation type="list" allowBlank="1" showInputMessage="1" showErrorMessage="1" sqref="K2:K1003" xr:uid="{D4F65E9F-ACE7-4CE4-9D9B-22F2DBE76F2B}">
      <formula1>$AR$2:$AR$25</formula1>
    </dataValidation>
    <dataValidation type="list" allowBlank="1" showInputMessage="1" showErrorMessage="1" sqref="J2:J1003" xr:uid="{6133394B-7979-4E9F-A14F-6BAE341A242A}">
      <formula1>$AP$2:$AP$26</formula1>
    </dataValidation>
    <dataValidation type="list" allowBlank="1" showInputMessage="1" showErrorMessage="1" sqref="J65538:J65616 J131074:J131152 J196610:J196688 J262146:J262224 J327682:J327760 J393218:J393296 J458754:J458832 J524290:J524368 J589826:J589904 J655362:J655440 J720898:J720976 J786434:J786512 J851970:J852048 J917506:J917584 J983042:J983120" xr:uid="{F06C7517-78CE-4FA8-BC4B-4E152E920456}">
      <formula1>$AP$2:$AP$15</formula1>
    </dataValidation>
    <dataValidation type="list" allowBlank="1" showInputMessage="1" showErrorMessage="1" sqref="K65538:K65616 K983042:K983120 K917506:K917584 K851970:K852048 K786434:K786512 K720898:K720976 K655362:K655440 K589826:K589904 K524290:K524368 K458754:K458832 K393218:K393296 K327682:K327760 K262146:K262224 K196610:K196688 K131074:K131152" xr:uid="{F5EE163E-D996-4EE8-885D-47C96B16276D}">
      <formula1>$AR$2:$AR$33</formula1>
    </dataValidation>
    <dataValidation type="list" allowBlank="1" showInputMessage="1" showErrorMessage="1" sqref="H2:H13" xr:uid="{2A76829D-7359-4BE9-9C4D-9CCA9B971678}">
      <formula1>$AL$2:$AL$20</formula1>
    </dataValidation>
    <dataValidation type="list" allowBlank="1" showInputMessage="1" showErrorMessage="1" sqref="H14:H1096" xr:uid="{486BA175-29AE-4EB3-8042-0206C93DCAF6}">
      <formula1>$AL$2:$AL$9</formula1>
    </dataValidation>
    <dataValidation type="list" allowBlank="1" showInputMessage="1" showErrorMessage="1" sqref="E2:E473" xr:uid="{796C0332-C9A8-4DF7-9FD7-E1CBD3B48305}">
      <formula1>$AG$2:$AG$11</formula1>
    </dataValidation>
    <dataValidation type="list" allowBlank="1" showInputMessage="1" showErrorMessage="1" sqref="F2:F473" xr:uid="{6B7530A1-0D24-4777-8E37-A16D0C698278}">
      <formula1>$AH$2:$AH$11</formula1>
    </dataValidation>
    <dataValidation type="list" allowBlank="1" showInputMessage="1" showErrorMessage="1" sqref="I2:I473" xr:uid="{16FACCED-EFA0-4352-97CA-E911A2AACEF5}">
      <formula1>$AN$5:$AN$6</formula1>
    </dataValidation>
    <dataValidation type="list" allowBlank="1" showInputMessage="1" showErrorMessage="1" sqref="G2:G473" xr:uid="{7403C535-B4B7-468D-A4D7-ADFDDF62E16E}">
      <formula1>$AJ$2:$AJ$4</formula1>
    </dataValidation>
    <dataValidation type="list" allowBlank="1" showInputMessage="1" showErrorMessage="1" sqref="X2:X473" xr:uid="{BFF2EAF9-CFCA-4D20-8105-6B74E3D7665D}">
      <formula1>$AT$2:$AT$3</formula1>
    </dataValidation>
    <dataValidation type="list" allowBlank="1" showInputMessage="1" showErrorMessage="1" sqref="Y2:AA473" xr:uid="{C64383F8-D3C2-425A-B952-2620208AD61E}">
      <formula1>$AV$2:$AV$21</formula1>
    </dataValidation>
    <dataValidation type="list" allowBlank="1" showInputMessage="1" showErrorMessage="1" sqref="A2:A472" xr:uid="{159A5E11-3EAB-41C9-AE7D-C8B1AB71D2DD}">
      <formula1>$AE$2:$AE$19</formula1>
    </dataValidation>
    <dataValidation operator="equal" allowBlank="1" showInputMessage="1" showErrorMessage="1" sqref="B2:B263" xr:uid="{5E4AD4CB-DABB-4375-BF1A-8724F9C8479A}"/>
    <dataValidation type="decimal" allowBlank="1" showInputMessage="1" showErrorMessage="1" error="硬度を正しく入力して下さい。" sqref="O2:O16 O62:O114 O18:O52 P2:P52 O116:O473 P62:P473" xr:uid="{A4FE75DC-EF73-41D5-86E5-62EBBCC81184}">
      <formula1>0</formula1>
      <formula2>7</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7D6B80A-BFB5-4A1E-AE90-2CC31FEC9E80}">
  <ds:schemaRefs>
    <ds:schemaRef ds:uri="http://schemas.microsoft.com/DataMashup"/>
  </ds:schemaRefs>
</ds:datastoreItem>
</file>

<file path=customXml/itemProps2.xml><?xml version="1.0" encoding="utf-8"?>
<ds:datastoreItem xmlns:ds="http://schemas.openxmlformats.org/officeDocument/2006/customXml" ds:itemID="{FC8F8A1E-9473-4981-AC19-5FE56122F0DC}"/>
</file>

<file path=customXml/itemProps3.xml><?xml version="1.0" encoding="utf-8"?>
<ds:datastoreItem xmlns:ds="http://schemas.openxmlformats.org/officeDocument/2006/customXml" ds:itemID="{1692006D-D8F0-4E54-9B45-30033590FBFE}"/>
</file>

<file path=customXml/itemProps4.xml><?xml version="1.0" encoding="utf-8"?>
<ds:datastoreItem xmlns:ds="http://schemas.openxmlformats.org/officeDocument/2006/customXml" ds:itemID="{0ED35CB5-2EC9-4B97-875D-4F1A28572B8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tokyo-west(ota)</vt:lpstr>
      <vt:lpstr>tokyo-east(konishi)</vt:lpstr>
      <vt:lpstr>hiroshima!Print_Area</vt:lpstr>
      <vt:lpstr>'tokyo-west(ota)'!Print_Area</vt:lpstr>
      <vt:lpstr>nagoya!栽培方法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2020-07-23T05:43:53Z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